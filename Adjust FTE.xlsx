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rapinya\Desktop\TP &amp; FTE\"/>
    </mc:Choice>
  </mc:AlternateContent>
  <xr:revisionPtr revIDLastSave="0" documentId="8_{04F04BC5-B68F-4BC5-AD55-04A8043502B0}" xr6:coauthVersionLast="47" xr6:coauthVersionMax="47" xr10:uidLastSave="{00000000-0000-0000-0000-000000000000}"/>
  <bookViews>
    <workbookView xWindow="28680" yWindow="-120" windowWidth="29040" windowHeight="15720" xr2:uid="{424B982C-FC9A-4793-B163-34063E24040D}"/>
  </bookViews>
  <sheets>
    <sheet name="Adjust F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3077" i="1" l="1"/>
  <c r="Y3077" i="1"/>
  <c r="H3077" i="1"/>
  <c r="Z3076" i="1"/>
  <c r="Y3076" i="1"/>
  <c r="Z3075" i="1"/>
  <c r="Y3075" i="1"/>
  <c r="Z3074" i="1"/>
  <c r="Y3074" i="1"/>
  <c r="Z3073" i="1"/>
  <c r="Y3073" i="1"/>
  <c r="Y3072" i="1"/>
  <c r="Y3071" i="1"/>
  <c r="Y3070" i="1"/>
  <c r="Y3069" i="1"/>
  <c r="Y3068" i="1"/>
  <c r="Z3067" i="1"/>
  <c r="Y3067" i="1"/>
  <c r="Z3066" i="1"/>
  <c r="Y3066" i="1"/>
  <c r="Z3065" i="1"/>
  <c r="Y3065" i="1"/>
  <c r="Z3064" i="1"/>
  <c r="Y3064" i="1"/>
  <c r="Z3063" i="1"/>
  <c r="Y3063" i="1"/>
  <c r="Z3062" i="1"/>
  <c r="Y3062" i="1"/>
  <c r="Z3061" i="1"/>
  <c r="Y3061" i="1"/>
  <c r="Z3060" i="1"/>
  <c r="Y3060" i="1"/>
  <c r="Z3059" i="1"/>
  <c r="Y3059" i="1"/>
  <c r="Z3058" i="1"/>
  <c r="Y3058" i="1"/>
  <c r="Z3057" i="1"/>
  <c r="Y3057" i="1"/>
  <c r="Z3056" i="1"/>
  <c r="Y3056" i="1"/>
  <c r="Z3055" i="1"/>
  <c r="Y3055" i="1"/>
  <c r="Z3054" i="1"/>
  <c r="Y3054" i="1"/>
  <c r="Z3053" i="1"/>
  <c r="Y3053" i="1"/>
  <c r="H3053" i="1"/>
  <c r="Z3052" i="1"/>
  <c r="Y3052" i="1"/>
  <c r="H3052" i="1"/>
  <c r="Z3051" i="1"/>
  <c r="Y3051" i="1"/>
  <c r="H3051" i="1"/>
  <c r="Z3050" i="1"/>
  <c r="Y3050" i="1"/>
  <c r="H3050" i="1"/>
  <c r="Z3049" i="1"/>
  <c r="Y3049" i="1"/>
  <c r="H3049" i="1"/>
  <c r="Z3048" i="1"/>
  <c r="Y3048" i="1"/>
  <c r="H3048" i="1"/>
  <c r="Z3047" i="1"/>
  <c r="Y3047" i="1"/>
  <c r="H3047" i="1"/>
  <c r="Z3046" i="1"/>
  <c r="Y3046" i="1"/>
  <c r="H3046" i="1"/>
  <c r="Z3045" i="1"/>
  <c r="Y3045" i="1"/>
  <c r="H3045" i="1"/>
  <c r="Z3044" i="1"/>
  <c r="Y3044" i="1"/>
  <c r="H3044" i="1"/>
  <c r="Z3043" i="1"/>
  <c r="Y3043" i="1"/>
  <c r="H3043" i="1"/>
  <c r="Z3042" i="1"/>
  <c r="Y3042" i="1"/>
  <c r="H3042" i="1"/>
  <c r="Z3041" i="1"/>
  <c r="Y3041" i="1"/>
  <c r="H3041" i="1"/>
  <c r="Z3040" i="1"/>
  <c r="Y3040" i="1"/>
  <c r="H3040" i="1"/>
  <c r="Z3039" i="1"/>
  <c r="Y3039" i="1"/>
  <c r="H3039" i="1"/>
  <c r="Z3038" i="1"/>
  <c r="Y3038" i="1"/>
  <c r="H3038" i="1"/>
  <c r="Z3037" i="1"/>
  <c r="Y3037" i="1"/>
  <c r="H3037" i="1"/>
  <c r="Z3036" i="1"/>
  <c r="Y3036" i="1"/>
  <c r="H3036" i="1"/>
  <c r="Z3035" i="1"/>
  <c r="Y3035" i="1"/>
  <c r="H3035" i="1"/>
  <c r="Z3034" i="1"/>
  <c r="Y3034" i="1"/>
  <c r="H3034" i="1"/>
  <c r="Z3033" i="1"/>
  <c r="Y3033" i="1"/>
  <c r="H3033" i="1"/>
  <c r="Z3032" i="1"/>
  <c r="Y3032" i="1"/>
  <c r="H3032" i="1"/>
  <c r="Z3031" i="1"/>
  <c r="Y3031" i="1"/>
  <c r="H3031" i="1"/>
  <c r="Z3030" i="1"/>
  <c r="Y3030" i="1"/>
  <c r="H3030" i="1"/>
  <c r="Z3029" i="1"/>
  <c r="Y3029" i="1"/>
  <c r="H3029" i="1"/>
  <c r="Z3028" i="1"/>
  <c r="Y3028" i="1"/>
  <c r="H3028" i="1"/>
  <c r="Z3027" i="1"/>
  <c r="Y3027" i="1"/>
  <c r="H3027" i="1"/>
  <c r="Z3026" i="1"/>
  <c r="Y3026" i="1"/>
  <c r="H3026" i="1"/>
  <c r="Z3025" i="1"/>
  <c r="Y3025" i="1"/>
  <c r="H3025" i="1"/>
  <c r="Z3024" i="1"/>
  <c r="Y3024" i="1"/>
  <c r="H3024" i="1"/>
  <c r="Z3023" i="1"/>
  <c r="Y3023" i="1"/>
  <c r="H3023" i="1"/>
  <c r="Z3022" i="1"/>
  <c r="Y3022" i="1"/>
  <c r="H3022" i="1"/>
  <c r="Z3021" i="1"/>
  <c r="Y3021" i="1"/>
  <c r="H3021" i="1"/>
  <c r="Z3020" i="1"/>
  <c r="Y3020" i="1"/>
  <c r="H3020" i="1"/>
  <c r="Z3019" i="1"/>
  <c r="Y3019" i="1"/>
  <c r="H3019" i="1"/>
  <c r="Z3018" i="1"/>
  <c r="Y3018" i="1"/>
  <c r="H3018" i="1"/>
  <c r="Z3017" i="1"/>
  <c r="Y3017" i="1"/>
  <c r="H3017" i="1"/>
  <c r="Z3016" i="1"/>
  <c r="Y3016" i="1"/>
  <c r="H3016" i="1"/>
  <c r="Z3015" i="1"/>
  <c r="Y3015" i="1"/>
  <c r="H3015" i="1"/>
  <c r="Z3014" i="1"/>
  <c r="Y3014" i="1"/>
  <c r="H3014" i="1"/>
  <c r="Z3013" i="1"/>
  <c r="Y3013" i="1"/>
  <c r="H3013" i="1"/>
  <c r="Z3012" i="1"/>
  <c r="Y3012" i="1"/>
  <c r="H3012" i="1"/>
  <c r="Z3011" i="1"/>
  <c r="Y3011" i="1"/>
  <c r="H3011" i="1"/>
  <c r="Z3010" i="1"/>
  <c r="Y3010" i="1"/>
  <c r="H3010" i="1"/>
  <c r="Z3009" i="1"/>
  <c r="Y3009" i="1"/>
  <c r="H3009" i="1"/>
  <c r="Z3008" i="1"/>
  <c r="Y3008" i="1"/>
  <c r="H3008" i="1"/>
  <c r="Z3007" i="1"/>
  <c r="Y3007" i="1"/>
  <c r="H3007" i="1"/>
  <c r="Z3006" i="1"/>
  <c r="Y3006" i="1"/>
  <c r="H3006" i="1"/>
  <c r="Z3005" i="1"/>
  <c r="Y3005" i="1"/>
  <c r="H3005" i="1"/>
  <c r="Z3004" i="1"/>
  <c r="Y3004" i="1"/>
  <c r="H3004" i="1"/>
  <c r="Z3003" i="1"/>
  <c r="Y3003" i="1"/>
  <c r="H3003" i="1"/>
  <c r="Z3002" i="1"/>
  <c r="Y3002" i="1"/>
  <c r="H3002" i="1"/>
  <c r="Z3001" i="1"/>
  <c r="Y3001" i="1"/>
  <c r="H3001" i="1"/>
  <c r="Z3000" i="1"/>
  <c r="Y3000" i="1"/>
  <c r="H3000" i="1"/>
  <c r="Z2999" i="1"/>
  <c r="Y2999" i="1"/>
  <c r="H2999" i="1"/>
  <c r="Z2998" i="1"/>
  <c r="Y2998" i="1"/>
  <c r="H2998" i="1"/>
  <c r="Z2997" i="1"/>
  <c r="Y2997" i="1"/>
  <c r="H2997" i="1"/>
  <c r="Z2996" i="1"/>
  <c r="Y2996" i="1"/>
  <c r="H2996" i="1"/>
  <c r="Z2995" i="1"/>
  <c r="Y2995" i="1"/>
  <c r="H2995" i="1"/>
  <c r="Z2994" i="1"/>
  <c r="Y2994" i="1"/>
  <c r="H2994" i="1"/>
  <c r="Z2993" i="1"/>
  <c r="Y2993" i="1"/>
  <c r="H2993" i="1"/>
  <c r="Z2992" i="1"/>
  <c r="Y2992" i="1"/>
  <c r="H2992" i="1"/>
  <c r="Z2991" i="1"/>
  <c r="Y2991" i="1"/>
  <c r="H2991" i="1"/>
  <c r="Z2990" i="1"/>
  <c r="Y2990" i="1"/>
  <c r="H2990" i="1"/>
  <c r="Z2989" i="1"/>
  <c r="Y2989" i="1"/>
  <c r="H2989" i="1"/>
  <c r="Z2988" i="1"/>
  <c r="Y2988" i="1"/>
  <c r="H2988" i="1"/>
  <c r="Z2987" i="1"/>
  <c r="Y2987" i="1"/>
  <c r="H2987" i="1"/>
  <c r="Z2986" i="1"/>
  <c r="Y2986" i="1"/>
  <c r="H2986" i="1"/>
  <c r="Z2985" i="1"/>
  <c r="Y2985" i="1"/>
  <c r="H2985" i="1"/>
  <c r="Z2984" i="1"/>
  <c r="Y2984" i="1"/>
  <c r="H2984" i="1"/>
  <c r="Z2983" i="1"/>
  <c r="Y2983" i="1"/>
  <c r="H2983" i="1"/>
  <c r="Z2982" i="1"/>
  <c r="Y2982" i="1"/>
  <c r="H2982" i="1"/>
  <c r="Z2981" i="1"/>
  <c r="Y2981" i="1"/>
  <c r="H2981" i="1"/>
  <c r="Z2980" i="1"/>
  <c r="Y2980" i="1"/>
  <c r="H2980" i="1"/>
  <c r="Z2979" i="1"/>
  <c r="Y2979" i="1"/>
  <c r="H2979" i="1"/>
  <c r="Z2978" i="1"/>
  <c r="Y2978" i="1"/>
  <c r="H2978" i="1"/>
  <c r="Z2977" i="1"/>
  <c r="Y2977" i="1"/>
  <c r="H2977" i="1"/>
  <c r="Z2976" i="1"/>
  <c r="Y2976" i="1"/>
  <c r="H2976" i="1"/>
  <c r="Z2975" i="1"/>
  <c r="Y2975" i="1"/>
  <c r="H2975" i="1"/>
  <c r="Z2974" i="1"/>
  <c r="Y2974" i="1"/>
  <c r="H2974" i="1"/>
  <c r="Z2973" i="1"/>
  <c r="Y2973" i="1"/>
  <c r="H2973" i="1"/>
  <c r="Z2972" i="1"/>
  <c r="Y2972" i="1"/>
  <c r="H2972" i="1"/>
  <c r="Z2971" i="1"/>
  <c r="Y2971" i="1"/>
  <c r="H2971" i="1"/>
  <c r="Z2970" i="1"/>
  <c r="Y2970" i="1"/>
  <c r="H2970" i="1"/>
  <c r="Z2969" i="1"/>
  <c r="Y2969" i="1"/>
  <c r="H2969" i="1"/>
  <c r="Z2968" i="1"/>
  <c r="Y2968" i="1"/>
  <c r="H2968" i="1"/>
  <c r="Z2967" i="1"/>
  <c r="Y2967" i="1"/>
  <c r="H2967" i="1"/>
  <c r="Z2966" i="1"/>
  <c r="Y2966" i="1"/>
  <c r="H2966" i="1"/>
  <c r="Z2965" i="1"/>
  <c r="Y2965" i="1"/>
  <c r="H2965" i="1"/>
  <c r="Z2964" i="1"/>
  <c r="Y2964" i="1"/>
  <c r="H2964" i="1"/>
  <c r="Z2963" i="1"/>
  <c r="Y2963" i="1"/>
  <c r="H2963" i="1"/>
  <c r="Z2962" i="1"/>
  <c r="Y2962" i="1"/>
  <c r="H2962" i="1"/>
  <c r="Z2961" i="1"/>
  <c r="Y2961" i="1"/>
  <c r="H2961" i="1"/>
  <c r="Z2960" i="1"/>
  <c r="Y2960" i="1"/>
  <c r="H2960" i="1"/>
  <c r="Z2959" i="1"/>
  <c r="Y2959" i="1"/>
  <c r="H2959" i="1"/>
  <c r="Z2958" i="1"/>
  <c r="Y2958" i="1"/>
  <c r="H2958" i="1"/>
  <c r="Z2957" i="1"/>
  <c r="Y2957" i="1"/>
  <c r="H2957" i="1"/>
  <c r="Z2956" i="1"/>
  <c r="Y2956" i="1"/>
  <c r="H2956" i="1"/>
  <c r="Z2955" i="1"/>
  <c r="Y2955" i="1"/>
  <c r="H2955" i="1"/>
  <c r="Z2954" i="1"/>
  <c r="Y2954" i="1"/>
  <c r="H2954" i="1"/>
  <c r="Z2953" i="1"/>
  <c r="Y2953" i="1"/>
  <c r="H2953" i="1"/>
  <c r="Z2952" i="1"/>
  <c r="Y2952" i="1"/>
  <c r="H2952" i="1"/>
  <c r="Z2951" i="1"/>
  <c r="Y2951" i="1"/>
  <c r="H2951" i="1"/>
  <c r="Z2950" i="1"/>
  <c r="Y2950" i="1"/>
  <c r="H2950" i="1"/>
  <c r="Z2949" i="1"/>
  <c r="Y2949" i="1"/>
  <c r="H2949" i="1"/>
  <c r="Z2948" i="1"/>
  <c r="Y2948" i="1"/>
  <c r="H2948" i="1"/>
  <c r="Z2947" i="1"/>
  <c r="Y2947" i="1"/>
  <c r="H2947" i="1"/>
  <c r="Z2946" i="1"/>
  <c r="Y2946" i="1"/>
  <c r="H2946" i="1"/>
  <c r="Z2945" i="1"/>
  <c r="Y2945" i="1"/>
  <c r="H2945" i="1"/>
  <c r="Z2944" i="1"/>
  <c r="Y2944" i="1"/>
  <c r="H2944" i="1"/>
  <c r="Z2943" i="1"/>
  <c r="Y2943" i="1"/>
  <c r="H2943" i="1"/>
  <c r="Z2942" i="1"/>
  <c r="Y2942" i="1"/>
  <c r="H2942" i="1"/>
  <c r="Z2941" i="1"/>
  <c r="Y2941" i="1"/>
  <c r="H2941" i="1"/>
  <c r="Z2940" i="1"/>
  <c r="Y2940" i="1"/>
  <c r="H2940" i="1"/>
  <c r="Z2939" i="1"/>
  <c r="Y2939" i="1"/>
  <c r="H2939" i="1"/>
  <c r="Z2938" i="1"/>
  <c r="Y2938" i="1"/>
  <c r="H2938" i="1"/>
  <c r="Z2937" i="1"/>
  <c r="Y2937" i="1"/>
  <c r="H2937" i="1"/>
  <c r="Z2936" i="1"/>
  <c r="Y2936" i="1"/>
  <c r="H2936" i="1"/>
  <c r="Z2935" i="1"/>
  <c r="Y2935" i="1"/>
  <c r="H2935" i="1"/>
  <c r="Z2934" i="1"/>
  <c r="Y2934" i="1"/>
  <c r="H2934" i="1"/>
  <c r="Z2933" i="1"/>
  <c r="Y2933" i="1"/>
  <c r="H2933" i="1"/>
  <c r="Z2932" i="1"/>
  <c r="Y2932" i="1"/>
  <c r="H2932" i="1"/>
  <c r="Z2931" i="1"/>
  <c r="Y2931" i="1"/>
  <c r="H2931" i="1"/>
  <c r="Z2930" i="1"/>
  <c r="Y2930" i="1"/>
  <c r="H2930" i="1"/>
  <c r="Z2929" i="1"/>
  <c r="Y2929" i="1"/>
  <c r="H2929" i="1"/>
  <c r="Z2928" i="1"/>
  <c r="Y2928" i="1"/>
  <c r="H2928" i="1"/>
  <c r="Z2927" i="1"/>
  <c r="Y2927" i="1"/>
  <c r="H2927" i="1"/>
  <c r="Z2926" i="1"/>
  <c r="Y2926" i="1"/>
  <c r="H2926" i="1"/>
  <c r="Z2925" i="1"/>
  <c r="Y2925" i="1"/>
  <c r="H2925" i="1"/>
  <c r="Z2924" i="1"/>
  <c r="Y2924" i="1"/>
  <c r="H2924" i="1"/>
  <c r="Z2923" i="1"/>
  <c r="Y2923" i="1"/>
  <c r="H2923" i="1"/>
  <c r="Z2922" i="1"/>
  <c r="Y2922" i="1"/>
  <c r="H2922" i="1"/>
  <c r="Z2921" i="1"/>
  <c r="Y2921" i="1"/>
  <c r="H2921" i="1"/>
  <c r="Z2920" i="1"/>
  <c r="Y2920" i="1"/>
  <c r="H2920" i="1"/>
  <c r="Z2919" i="1"/>
  <c r="Y2919" i="1"/>
  <c r="H2919" i="1"/>
  <c r="Z2918" i="1"/>
  <c r="Y2918" i="1"/>
  <c r="H2918" i="1"/>
  <c r="Z2917" i="1"/>
  <c r="Y2917" i="1"/>
  <c r="H2917" i="1"/>
  <c r="Z2916" i="1"/>
  <c r="Y2916" i="1"/>
  <c r="H2916" i="1"/>
  <c r="Z2915" i="1"/>
  <c r="Y2915" i="1"/>
  <c r="H2915" i="1"/>
  <c r="Z2914" i="1"/>
  <c r="Y2914" i="1"/>
  <c r="H2914" i="1"/>
  <c r="Z2913" i="1"/>
  <c r="Y2913" i="1"/>
  <c r="H2913" i="1"/>
  <c r="Z2912" i="1"/>
  <c r="Y2912" i="1"/>
  <c r="H2912" i="1"/>
  <c r="Z2911" i="1"/>
  <c r="Y2911" i="1"/>
  <c r="H2911" i="1"/>
  <c r="Z2910" i="1"/>
  <c r="Y2910" i="1"/>
  <c r="H2910" i="1"/>
  <c r="Z2909" i="1"/>
  <c r="Y2909" i="1"/>
  <c r="H2909" i="1"/>
  <c r="Z2908" i="1"/>
  <c r="Y2908" i="1"/>
  <c r="H2908" i="1"/>
  <c r="Z2907" i="1"/>
  <c r="Y2907" i="1"/>
  <c r="H2907" i="1"/>
  <c r="Z2906" i="1"/>
  <c r="Y2906" i="1"/>
  <c r="H2906" i="1"/>
  <c r="Z2905" i="1"/>
  <c r="Y2905" i="1"/>
  <c r="H2905" i="1"/>
  <c r="Z2904" i="1"/>
  <c r="Y2904" i="1"/>
  <c r="H2904" i="1"/>
  <c r="Z2903" i="1"/>
  <c r="Y2903" i="1"/>
  <c r="H2903" i="1"/>
  <c r="Z2902" i="1"/>
  <c r="Y2902" i="1"/>
  <c r="H2902" i="1"/>
  <c r="Z2901" i="1"/>
  <c r="Y2901" i="1"/>
  <c r="H2901" i="1"/>
  <c r="Z2900" i="1"/>
  <c r="Y2900" i="1"/>
  <c r="H2900" i="1"/>
  <c r="Z2899" i="1"/>
  <c r="Y2899" i="1"/>
  <c r="H2899" i="1"/>
  <c r="Z2898" i="1"/>
  <c r="Y2898" i="1"/>
  <c r="H2898" i="1"/>
  <c r="Z2897" i="1"/>
  <c r="Y2897" i="1"/>
  <c r="H2897" i="1"/>
  <c r="Z2896" i="1"/>
  <c r="Y2896" i="1"/>
  <c r="H2896" i="1"/>
  <c r="Z2895" i="1"/>
  <c r="Y2895" i="1"/>
  <c r="H2895" i="1"/>
  <c r="Z2894" i="1"/>
  <c r="Y2894" i="1"/>
  <c r="H2894" i="1"/>
  <c r="Z2893" i="1"/>
  <c r="Y2893" i="1"/>
  <c r="H2893" i="1"/>
  <c r="Z2892" i="1"/>
  <c r="Y2892" i="1"/>
  <c r="H2892" i="1"/>
  <c r="Z2891" i="1"/>
  <c r="Y2891" i="1"/>
  <c r="H2891" i="1"/>
  <c r="Z2890" i="1"/>
  <c r="Y2890" i="1"/>
  <c r="H2890" i="1"/>
  <c r="Z2889" i="1"/>
  <c r="Y2889" i="1"/>
  <c r="H2889" i="1"/>
  <c r="Z2888" i="1"/>
  <c r="Y2888" i="1"/>
  <c r="H2888" i="1"/>
  <c r="Z2887" i="1"/>
  <c r="Y2887" i="1"/>
  <c r="H2887" i="1"/>
  <c r="Z2886" i="1"/>
  <c r="Y2886" i="1"/>
  <c r="H2886" i="1"/>
  <c r="Z2885" i="1"/>
  <c r="Y2885" i="1"/>
  <c r="H2885" i="1"/>
  <c r="Z2884" i="1"/>
  <c r="Y2884" i="1"/>
  <c r="H2884" i="1"/>
  <c r="Z2883" i="1"/>
  <c r="Y2883" i="1"/>
  <c r="H2883" i="1"/>
  <c r="Z2882" i="1"/>
  <c r="Y2882" i="1"/>
  <c r="H2882" i="1"/>
  <c r="Z2881" i="1"/>
  <c r="Y2881" i="1"/>
  <c r="H2881" i="1"/>
  <c r="Z2880" i="1"/>
  <c r="Y2880" i="1"/>
  <c r="H2880" i="1"/>
  <c r="Z2879" i="1"/>
  <c r="Y2879" i="1"/>
  <c r="H2879" i="1"/>
  <c r="Z2878" i="1"/>
  <c r="Y2878" i="1"/>
  <c r="H2878" i="1"/>
  <c r="Z2877" i="1"/>
  <c r="Y2877" i="1"/>
  <c r="H2877" i="1"/>
  <c r="Z2876" i="1"/>
  <c r="Y2876" i="1"/>
  <c r="H2876" i="1"/>
  <c r="Z2875" i="1"/>
  <c r="Y2875" i="1"/>
  <c r="H2875" i="1"/>
  <c r="Z2874" i="1"/>
  <c r="Y2874" i="1"/>
  <c r="H2874" i="1"/>
  <c r="Z2873" i="1"/>
  <c r="Y2873" i="1"/>
  <c r="H2873" i="1"/>
  <c r="Z2872" i="1"/>
  <c r="Y2872" i="1"/>
  <c r="H2872" i="1"/>
  <c r="Z2871" i="1"/>
  <c r="Y2871" i="1"/>
  <c r="H2871" i="1"/>
  <c r="Z2870" i="1"/>
  <c r="Y2870" i="1"/>
  <c r="H2870" i="1"/>
  <c r="Z2869" i="1"/>
  <c r="Y2869" i="1"/>
  <c r="H2869" i="1"/>
  <c r="Z2868" i="1"/>
  <c r="Y2868" i="1"/>
  <c r="H2868" i="1"/>
  <c r="Z2867" i="1"/>
  <c r="Y2867" i="1"/>
  <c r="H2867" i="1"/>
  <c r="Z2866" i="1"/>
  <c r="Y2866" i="1"/>
  <c r="H2866" i="1"/>
  <c r="Z2865" i="1"/>
  <c r="Y2865" i="1"/>
  <c r="H2865" i="1"/>
  <c r="Z2864" i="1"/>
  <c r="Y2864" i="1"/>
  <c r="H2864" i="1"/>
  <c r="Z2863" i="1"/>
  <c r="Y2863" i="1"/>
  <c r="H2863" i="1"/>
  <c r="Z2862" i="1"/>
  <c r="Y2862" i="1"/>
  <c r="H2862" i="1"/>
  <c r="Z2861" i="1"/>
  <c r="Y2861" i="1"/>
  <c r="H2861" i="1"/>
  <c r="Z2860" i="1"/>
  <c r="Y2860" i="1"/>
  <c r="H2860" i="1"/>
  <c r="Z2859" i="1"/>
  <c r="Y2859" i="1"/>
  <c r="H2859" i="1"/>
  <c r="Z2858" i="1"/>
  <c r="Y2858" i="1"/>
  <c r="H2858" i="1"/>
  <c r="Z2857" i="1"/>
  <c r="Y2857" i="1"/>
  <c r="H2857" i="1"/>
  <c r="Z2856" i="1"/>
  <c r="Y2856" i="1"/>
  <c r="H2856" i="1"/>
  <c r="Z2855" i="1"/>
  <c r="Y2855" i="1"/>
  <c r="H2855" i="1"/>
  <c r="Z2854" i="1"/>
  <c r="Y2854" i="1"/>
  <c r="H2854" i="1"/>
  <c r="Z2853" i="1"/>
  <c r="Y2853" i="1"/>
  <c r="H2853" i="1"/>
  <c r="Z2852" i="1"/>
  <c r="Y2852" i="1"/>
  <c r="H2852" i="1"/>
  <c r="Z2851" i="1"/>
  <c r="Y2851" i="1"/>
  <c r="H2851" i="1"/>
  <c r="Z2850" i="1"/>
  <c r="Y2850" i="1"/>
  <c r="H2850" i="1"/>
  <c r="Z2849" i="1"/>
  <c r="Y2849" i="1"/>
  <c r="H2849" i="1"/>
  <c r="Z2848" i="1"/>
  <c r="Y2848" i="1"/>
  <c r="H2848" i="1"/>
  <c r="Z2847" i="1"/>
  <c r="Y2847" i="1"/>
  <c r="H2847" i="1"/>
  <c r="Z2846" i="1"/>
  <c r="Y2846" i="1"/>
  <c r="H2846" i="1"/>
  <c r="Z2845" i="1"/>
  <c r="Y2845" i="1"/>
  <c r="H2845" i="1"/>
  <c r="Z2844" i="1"/>
  <c r="Y2844" i="1"/>
  <c r="H2844" i="1"/>
  <c r="Z2843" i="1"/>
  <c r="Y2843" i="1"/>
  <c r="H2843" i="1"/>
  <c r="Z2842" i="1"/>
  <c r="Y2842" i="1"/>
  <c r="H2842" i="1"/>
  <c r="Z2841" i="1"/>
  <c r="Y2841" i="1"/>
  <c r="H2841" i="1"/>
  <c r="Z2840" i="1"/>
  <c r="Y2840" i="1"/>
  <c r="H2840" i="1"/>
  <c r="Z2839" i="1"/>
  <c r="Y2839" i="1"/>
  <c r="H2839" i="1"/>
  <c r="Z2838" i="1"/>
  <c r="Y2838" i="1"/>
  <c r="H2838" i="1"/>
  <c r="Z2837" i="1"/>
  <c r="Y2837" i="1"/>
  <c r="H2837" i="1"/>
  <c r="Z2836" i="1"/>
  <c r="Y2836" i="1"/>
  <c r="H2836" i="1"/>
  <c r="Z2835" i="1"/>
  <c r="Y2835" i="1"/>
  <c r="H2835" i="1"/>
  <c r="Z2834" i="1"/>
  <c r="Y2834" i="1"/>
  <c r="H2834" i="1"/>
  <c r="Z2833" i="1"/>
  <c r="Y2833" i="1"/>
  <c r="H2833" i="1"/>
  <c r="Z2832" i="1"/>
  <c r="Y2832" i="1"/>
  <c r="H2832" i="1"/>
  <c r="Z2831" i="1"/>
  <c r="Y2831" i="1"/>
  <c r="H2831" i="1"/>
  <c r="Z2830" i="1"/>
  <c r="Y2830" i="1"/>
  <c r="H2830" i="1"/>
  <c r="Z2829" i="1"/>
  <c r="Y2829" i="1"/>
  <c r="H2829" i="1"/>
  <c r="Z2828" i="1"/>
  <c r="Y2828" i="1"/>
  <c r="H2828" i="1"/>
  <c r="Z2827" i="1"/>
  <c r="Y2827" i="1"/>
  <c r="H2827" i="1"/>
  <c r="Z2826" i="1"/>
  <c r="Y2826" i="1"/>
  <c r="H2826" i="1"/>
  <c r="Z2825" i="1"/>
  <c r="Y2825" i="1"/>
  <c r="H2825" i="1"/>
  <c r="Z2824" i="1"/>
  <c r="Y2824" i="1"/>
  <c r="H2824" i="1"/>
  <c r="Z2823" i="1"/>
  <c r="Y2823" i="1"/>
  <c r="H2823" i="1"/>
  <c r="Z2822" i="1"/>
  <c r="Y2822" i="1"/>
  <c r="H2822" i="1"/>
  <c r="Z2821" i="1"/>
  <c r="Y2821" i="1"/>
  <c r="H2821" i="1"/>
  <c r="Z2820" i="1"/>
  <c r="Y2820" i="1"/>
  <c r="H2820" i="1"/>
  <c r="Z2819" i="1"/>
  <c r="Y2819" i="1"/>
  <c r="H2819" i="1"/>
  <c r="Z2818" i="1"/>
  <c r="Y2818" i="1"/>
  <c r="H2818" i="1"/>
  <c r="Z2817" i="1"/>
  <c r="Y2817" i="1"/>
  <c r="H2817" i="1"/>
  <c r="Z2816" i="1"/>
  <c r="Y2816" i="1"/>
  <c r="H2816" i="1"/>
  <c r="Z2815" i="1"/>
  <c r="Y2815" i="1"/>
  <c r="H2815" i="1"/>
  <c r="Z2814" i="1"/>
  <c r="Y2814" i="1"/>
  <c r="H2814" i="1"/>
  <c r="Z2813" i="1"/>
  <c r="Y2813" i="1"/>
  <c r="H2813" i="1"/>
  <c r="Z2812" i="1"/>
  <c r="Y2812" i="1"/>
  <c r="H2812" i="1"/>
  <c r="Z2811" i="1"/>
  <c r="Y2811" i="1"/>
  <c r="H2811" i="1"/>
  <c r="Z2810" i="1"/>
  <c r="Y2810" i="1"/>
  <c r="H2810" i="1"/>
  <c r="Z2809" i="1"/>
  <c r="Y2809" i="1"/>
  <c r="H2809" i="1"/>
  <c r="Z2808" i="1"/>
  <c r="Y2808" i="1"/>
  <c r="H2808" i="1"/>
  <c r="Z2807" i="1"/>
  <c r="Y2807" i="1"/>
  <c r="H2807" i="1"/>
  <c r="Z2806" i="1"/>
  <c r="Y2806" i="1"/>
  <c r="H2806" i="1"/>
  <c r="Z2805" i="1"/>
  <c r="Y2805" i="1"/>
  <c r="H2805" i="1"/>
  <c r="Z2804" i="1"/>
  <c r="Y2804" i="1"/>
  <c r="H2804" i="1"/>
  <c r="Z2803" i="1"/>
  <c r="Y2803" i="1"/>
  <c r="H2803" i="1"/>
  <c r="Z2802" i="1"/>
  <c r="Y2802" i="1"/>
  <c r="H2802" i="1"/>
  <c r="Z2801" i="1"/>
  <c r="Y2801" i="1"/>
  <c r="H2801" i="1"/>
  <c r="Z2800" i="1"/>
  <c r="Y2800" i="1"/>
  <c r="H2800" i="1"/>
  <c r="Z2799" i="1"/>
  <c r="Y2799" i="1"/>
  <c r="H2799" i="1"/>
  <c r="Z2798" i="1"/>
  <c r="Y2798" i="1"/>
  <c r="H2798" i="1"/>
  <c r="Z2797" i="1"/>
  <c r="Y2797" i="1"/>
  <c r="H2797" i="1"/>
  <c r="Z2796" i="1"/>
  <c r="Y2796" i="1"/>
  <c r="H2796" i="1"/>
  <c r="Z2795" i="1"/>
  <c r="Y2795" i="1"/>
  <c r="H2795" i="1"/>
  <c r="Z2794" i="1"/>
  <c r="Y2794" i="1"/>
  <c r="H2794" i="1"/>
  <c r="Z2793" i="1"/>
  <c r="Y2793" i="1"/>
  <c r="H2793" i="1"/>
  <c r="Z2792" i="1"/>
  <c r="Y2792" i="1"/>
  <c r="H2792" i="1"/>
  <c r="Z2791" i="1"/>
  <c r="Y2791" i="1"/>
  <c r="H2791" i="1"/>
  <c r="Z2790" i="1"/>
  <c r="Y2790" i="1"/>
  <c r="H2790" i="1"/>
  <c r="Z2789" i="1"/>
  <c r="Y2789" i="1"/>
  <c r="H2789" i="1"/>
  <c r="Z2788" i="1"/>
  <c r="Y2788" i="1"/>
  <c r="H2788" i="1"/>
  <c r="Z2787" i="1"/>
  <c r="Y2787" i="1"/>
  <c r="H2787" i="1"/>
  <c r="Z2786" i="1"/>
  <c r="Y2786" i="1"/>
  <c r="H2786" i="1"/>
  <c r="Z2785" i="1"/>
  <c r="Y2785" i="1"/>
  <c r="H2785" i="1"/>
  <c r="Z2784" i="1"/>
  <c r="Y2784" i="1"/>
  <c r="H2784" i="1"/>
  <c r="Z2783" i="1"/>
  <c r="Y2783" i="1"/>
  <c r="H2783" i="1"/>
  <c r="Z2782" i="1"/>
  <c r="Y2782" i="1"/>
  <c r="H2782" i="1"/>
  <c r="Z2781" i="1"/>
  <c r="Y2781" i="1"/>
  <c r="H2781" i="1"/>
  <c r="Z2780" i="1"/>
  <c r="Y2780" i="1"/>
  <c r="H2780" i="1"/>
  <c r="Z2779" i="1"/>
  <c r="Y2779" i="1"/>
  <c r="H2779" i="1"/>
  <c r="Z2778" i="1"/>
  <c r="Y2778" i="1"/>
  <c r="H2778" i="1"/>
  <c r="Z2777" i="1"/>
  <c r="Y2777" i="1"/>
  <c r="H2777" i="1"/>
  <c r="Z2776" i="1"/>
  <c r="Y2776" i="1"/>
  <c r="H2776" i="1"/>
  <c r="Z2775" i="1"/>
  <c r="Y2775" i="1"/>
  <c r="H2775" i="1"/>
  <c r="Z2774" i="1"/>
  <c r="Y2774" i="1"/>
  <c r="H2774" i="1"/>
  <c r="Z2773" i="1"/>
  <c r="Y2773" i="1"/>
  <c r="H2773" i="1"/>
  <c r="Z2772" i="1"/>
  <c r="Y2772" i="1"/>
  <c r="H2772" i="1"/>
  <c r="Z2771" i="1"/>
  <c r="Y2771" i="1"/>
  <c r="H2771" i="1"/>
  <c r="Z2770" i="1"/>
  <c r="Y2770" i="1"/>
  <c r="H2770" i="1"/>
  <c r="Z2769" i="1"/>
  <c r="Y2769" i="1"/>
  <c r="H2769" i="1"/>
  <c r="Z2768" i="1"/>
  <c r="Y2768" i="1"/>
  <c r="H2768" i="1"/>
  <c r="Z2767" i="1"/>
  <c r="Y2767" i="1"/>
  <c r="H2767" i="1"/>
  <c r="Z2766" i="1"/>
  <c r="Y2766" i="1"/>
  <c r="H2766" i="1"/>
  <c r="Z2765" i="1"/>
  <c r="Y2765" i="1"/>
  <c r="H2765" i="1"/>
  <c r="Z2764" i="1"/>
  <c r="Y2764" i="1"/>
  <c r="H2764" i="1"/>
  <c r="Z2763" i="1"/>
  <c r="Y2763" i="1"/>
  <c r="H2763" i="1"/>
  <c r="Z2762" i="1"/>
  <c r="Y2762" i="1"/>
  <c r="H2762" i="1"/>
  <c r="Z2761" i="1"/>
  <c r="Y2761" i="1"/>
  <c r="H2761" i="1"/>
  <c r="Z2760" i="1"/>
  <c r="Y2760" i="1"/>
  <c r="H2760" i="1"/>
  <c r="Z2759" i="1"/>
  <c r="Y2759" i="1"/>
  <c r="H2759" i="1"/>
  <c r="Z2758" i="1"/>
  <c r="Y2758" i="1"/>
  <c r="H2758" i="1"/>
  <c r="Z2757" i="1"/>
  <c r="Y2757" i="1"/>
  <c r="H2757" i="1"/>
  <c r="Z2756" i="1"/>
  <c r="Y2756" i="1"/>
  <c r="H2756" i="1"/>
  <c r="Z2755" i="1"/>
  <c r="Y2755" i="1"/>
  <c r="H2755" i="1"/>
  <c r="Z2754" i="1"/>
  <c r="Y2754" i="1"/>
  <c r="H2754" i="1"/>
  <c r="Z2753" i="1"/>
  <c r="Y2753" i="1"/>
  <c r="H2753" i="1"/>
  <c r="Z2752" i="1"/>
  <c r="Y2752" i="1"/>
  <c r="H2752" i="1"/>
  <c r="Z2751" i="1"/>
  <c r="Y2751" i="1"/>
  <c r="H2751" i="1"/>
  <c r="Z2750" i="1"/>
  <c r="Y2750" i="1"/>
  <c r="H2750" i="1"/>
  <c r="Z2749" i="1"/>
  <c r="Y2749" i="1"/>
  <c r="H2749" i="1"/>
  <c r="Z2748" i="1"/>
  <c r="Y2748" i="1"/>
  <c r="H2748" i="1"/>
  <c r="Z2747" i="1"/>
  <c r="Y2747" i="1"/>
  <c r="H2747" i="1"/>
  <c r="Z2746" i="1"/>
  <c r="Y2746" i="1"/>
  <c r="H2746" i="1"/>
  <c r="Z2745" i="1"/>
  <c r="Y2745" i="1"/>
  <c r="H2745" i="1"/>
  <c r="Z2744" i="1"/>
  <c r="Y2744" i="1"/>
  <c r="H2744" i="1"/>
  <c r="Z2743" i="1"/>
  <c r="Y2743" i="1"/>
  <c r="H2743" i="1"/>
  <c r="Z2742" i="1"/>
  <c r="Y2742" i="1"/>
  <c r="H2742" i="1"/>
  <c r="Z2741" i="1"/>
  <c r="Y2741" i="1"/>
  <c r="H2741" i="1"/>
  <c r="Z2740" i="1"/>
  <c r="Y2740" i="1"/>
  <c r="H2740" i="1"/>
  <c r="Z2739" i="1"/>
  <c r="Y2739" i="1"/>
  <c r="H2739" i="1"/>
  <c r="Z2738" i="1"/>
  <c r="Y2738" i="1"/>
  <c r="H2738" i="1"/>
  <c r="Z2737" i="1"/>
  <c r="Y2737" i="1"/>
  <c r="H2737" i="1"/>
  <c r="Z2736" i="1"/>
  <c r="Y2736" i="1"/>
  <c r="H2736" i="1"/>
  <c r="Z2735" i="1"/>
  <c r="Y2735" i="1"/>
  <c r="H2735" i="1"/>
  <c r="Z2734" i="1"/>
  <c r="Y2734" i="1"/>
  <c r="H2734" i="1"/>
  <c r="Z2733" i="1"/>
  <c r="Y2733" i="1"/>
  <c r="H2733" i="1"/>
  <c r="Z2732" i="1"/>
  <c r="Y2732" i="1"/>
  <c r="H2732" i="1"/>
  <c r="Z2731" i="1"/>
  <c r="Y2731" i="1"/>
  <c r="H2731" i="1"/>
  <c r="Z2730" i="1"/>
  <c r="Y2730" i="1"/>
  <c r="H2730" i="1"/>
  <c r="Z2729" i="1"/>
  <c r="Y2729" i="1"/>
  <c r="H2729" i="1"/>
  <c r="Z2728" i="1"/>
  <c r="Y2728" i="1"/>
  <c r="H2728" i="1"/>
  <c r="Z2727" i="1"/>
  <c r="Y2727" i="1"/>
  <c r="H2727" i="1"/>
  <c r="Z2726" i="1"/>
  <c r="Y2726" i="1"/>
  <c r="H2726" i="1"/>
  <c r="Z2725" i="1"/>
  <c r="Y2725" i="1"/>
  <c r="H2725" i="1"/>
  <c r="Z2724" i="1"/>
  <c r="Y2724" i="1"/>
  <c r="H2724" i="1"/>
  <c r="Z2723" i="1"/>
  <c r="Y2723" i="1"/>
  <c r="H2723" i="1"/>
  <c r="Z2722" i="1"/>
  <c r="Y2722" i="1"/>
  <c r="H2722" i="1"/>
  <c r="Z2721" i="1"/>
  <c r="Y2721" i="1"/>
  <c r="H2721" i="1"/>
  <c r="Z2720" i="1"/>
  <c r="Y2720" i="1"/>
  <c r="H2720" i="1"/>
  <c r="Z2719" i="1"/>
  <c r="Y2719" i="1"/>
  <c r="H2719" i="1"/>
  <c r="Z2718" i="1"/>
  <c r="Y2718" i="1"/>
  <c r="H2718" i="1"/>
  <c r="Z2717" i="1"/>
  <c r="Y2717" i="1"/>
  <c r="H2717" i="1"/>
  <c r="Z2716" i="1"/>
  <c r="Y2716" i="1"/>
  <c r="H2716" i="1"/>
  <c r="Z2715" i="1"/>
  <c r="Y2715" i="1"/>
  <c r="H2715" i="1"/>
  <c r="Z2714" i="1"/>
  <c r="Y2714" i="1"/>
  <c r="H2714" i="1"/>
  <c r="Z2713" i="1"/>
  <c r="Y2713" i="1"/>
  <c r="H2713" i="1"/>
  <c r="Z2712" i="1"/>
  <c r="Y2712" i="1"/>
  <c r="H2712" i="1"/>
  <c r="Z2711" i="1"/>
  <c r="Y2711" i="1"/>
  <c r="H2711" i="1"/>
  <c r="Z2710" i="1"/>
  <c r="Y2710" i="1"/>
  <c r="H2710" i="1"/>
  <c r="Z2709" i="1"/>
  <c r="Y2709" i="1"/>
  <c r="H2709" i="1"/>
  <c r="Z2708" i="1"/>
  <c r="Y2708" i="1"/>
  <c r="H2708" i="1"/>
  <c r="Z2707" i="1"/>
  <c r="Y2707" i="1"/>
  <c r="H2707" i="1"/>
  <c r="Z2706" i="1"/>
  <c r="Y2706" i="1"/>
  <c r="H2706" i="1"/>
  <c r="Z2705" i="1"/>
  <c r="Y2705" i="1"/>
  <c r="H2705" i="1"/>
  <c r="Z2704" i="1"/>
  <c r="Y2704" i="1"/>
  <c r="H2704" i="1"/>
  <c r="Z2703" i="1"/>
  <c r="Y2703" i="1"/>
  <c r="H2703" i="1"/>
  <c r="Z2702" i="1"/>
  <c r="Y2702" i="1"/>
  <c r="H2702" i="1"/>
  <c r="Z2701" i="1"/>
  <c r="Y2701" i="1"/>
  <c r="H2701" i="1"/>
  <c r="Z2700" i="1"/>
  <c r="Y2700" i="1"/>
  <c r="H2700" i="1"/>
  <c r="Z2699" i="1"/>
  <c r="Y2699" i="1"/>
  <c r="H2699" i="1"/>
  <c r="Z2698" i="1"/>
  <c r="Y2698" i="1"/>
  <c r="H2698" i="1"/>
  <c r="Z2697" i="1"/>
  <c r="Y2697" i="1"/>
  <c r="H2697" i="1"/>
  <c r="Z2696" i="1"/>
  <c r="Y2696" i="1"/>
  <c r="H2696" i="1"/>
  <c r="Z2695" i="1"/>
  <c r="Y2695" i="1"/>
  <c r="H2695" i="1"/>
  <c r="Z2694" i="1"/>
  <c r="Y2694" i="1"/>
  <c r="H2694" i="1"/>
  <c r="Z2693" i="1"/>
  <c r="Y2693" i="1"/>
  <c r="H2693" i="1"/>
  <c r="Z2692" i="1"/>
  <c r="Y2692" i="1"/>
  <c r="H2692" i="1"/>
  <c r="Z2691" i="1"/>
  <c r="Y2691" i="1"/>
  <c r="H2691" i="1"/>
  <c r="Z2690" i="1"/>
  <c r="Y2690" i="1"/>
  <c r="H2690" i="1"/>
  <c r="Z2689" i="1"/>
  <c r="Y2689" i="1"/>
  <c r="H2689" i="1"/>
  <c r="Z2688" i="1"/>
  <c r="Y2688" i="1"/>
  <c r="H2688" i="1"/>
  <c r="Z2687" i="1"/>
  <c r="Y2687" i="1"/>
  <c r="H2687" i="1"/>
  <c r="Z2686" i="1"/>
  <c r="Y2686" i="1"/>
  <c r="H2686" i="1"/>
  <c r="Z2685" i="1"/>
  <c r="Y2685" i="1"/>
  <c r="H2685" i="1"/>
  <c r="Z2684" i="1"/>
  <c r="Y2684" i="1"/>
  <c r="H2684" i="1"/>
  <c r="Z2683" i="1"/>
  <c r="Y2683" i="1"/>
  <c r="H2683" i="1"/>
  <c r="Z2682" i="1"/>
  <c r="Y2682" i="1"/>
  <c r="H2682" i="1"/>
  <c r="Z2681" i="1"/>
  <c r="Y2681" i="1"/>
  <c r="H2681" i="1"/>
  <c r="Z2680" i="1"/>
  <c r="Y2680" i="1"/>
  <c r="H2680" i="1"/>
  <c r="Z2679" i="1"/>
  <c r="Y2679" i="1"/>
  <c r="H2679" i="1"/>
  <c r="Z2678" i="1"/>
  <c r="Y2678" i="1"/>
  <c r="H2678" i="1"/>
  <c r="Z2677" i="1"/>
  <c r="Y2677" i="1"/>
  <c r="H2677" i="1"/>
  <c r="Z2676" i="1"/>
  <c r="Y2676" i="1"/>
  <c r="H2676" i="1"/>
  <c r="Z2675" i="1"/>
  <c r="Y2675" i="1"/>
  <c r="H2675" i="1"/>
  <c r="Z2674" i="1"/>
  <c r="Y2674" i="1"/>
  <c r="H2674" i="1"/>
  <c r="Z2673" i="1"/>
  <c r="Y2673" i="1"/>
  <c r="H2673" i="1"/>
  <c r="Z2672" i="1"/>
  <c r="Y2672" i="1"/>
  <c r="H2672" i="1"/>
  <c r="Z2671" i="1"/>
  <c r="Y2671" i="1"/>
  <c r="H2671" i="1"/>
  <c r="Z2670" i="1"/>
  <c r="Y2670" i="1"/>
  <c r="H2670" i="1"/>
  <c r="Z2669" i="1"/>
  <c r="Y2669" i="1"/>
  <c r="H2669" i="1"/>
  <c r="Z2668" i="1"/>
  <c r="Y2668" i="1"/>
  <c r="H2668" i="1"/>
  <c r="Z2667" i="1"/>
  <c r="Y2667" i="1"/>
  <c r="H2667" i="1"/>
  <c r="Z2666" i="1"/>
  <c r="Y2666" i="1"/>
  <c r="H2666" i="1"/>
  <c r="Z2665" i="1"/>
  <c r="Y2665" i="1"/>
  <c r="H2665" i="1"/>
  <c r="Z2664" i="1"/>
  <c r="Y2664" i="1"/>
  <c r="H2664" i="1"/>
  <c r="Z2663" i="1"/>
  <c r="Y2663" i="1"/>
  <c r="H2663" i="1"/>
  <c r="Z2662" i="1"/>
  <c r="Y2662" i="1"/>
  <c r="H2662" i="1"/>
  <c r="Z2661" i="1"/>
  <c r="Y2661" i="1"/>
  <c r="H2661" i="1"/>
  <c r="Z2660" i="1"/>
  <c r="Y2660" i="1"/>
  <c r="H2660" i="1"/>
  <c r="Z2659" i="1"/>
  <c r="Y2659" i="1"/>
  <c r="H2659" i="1"/>
  <c r="Z2658" i="1"/>
  <c r="Y2658" i="1"/>
  <c r="H2658" i="1"/>
  <c r="Z2657" i="1"/>
  <c r="Y2657" i="1"/>
  <c r="H2657" i="1"/>
  <c r="Z2656" i="1"/>
  <c r="Y2656" i="1"/>
  <c r="H2656" i="1"/>
  <c r="Z2655" i="1"/>
  <c r="Y2655" i="1"/>
  <c r="H2655" i="1"/>
  <c r="Z2654" i="1"/>
  <c r="Y2654" i="1"/>
  <c r="H2654" i="1"/>
  <c r="Z2653" i="1"/>
  <c r="Y2653" i="1"/>
  <c r="H2653" i="1"/>
  <c r="Z2652" i="1"/>
  <c r="Y2652" i="1"/>
  <c r="H2652" i="1"/>
  <c r="Z2651" i="1"/>
  <c r="Y2651" i="1"/>
  <c r="H2651" i="1"/>
  <c r="Z2650" i="1"/>
  <c r="Y2650" i="1"/>
  <c r="H2650" i="1"/>
  <c r="Z2649" i="1"/>
  <c r="Y2649" i="1"/>
  <c r="H2649" i="1"/>
  <c r="Z2648" i="1"/>
  <c r="Y2648" i="1"/>
  <c r="H2648" i="1"/>
  <c r="Z2647" i="1"/>
  <c r="Y2647" i="1"/>
  <c r="H2647" i="1"/>
  <c r="Z2646" i="1"/>
  <c r="Y2646" i="1"/>
  <c r="H2646" i="1"/>
  <c r="Z2645" i="1"/>
  <c r="Y2645" i="1"/>
  <c r="H2645" i="1"/>
  <c r="Z2644" i="1"/>
  <c r="Y2644" i="1"/>
  <c r="H2644" i="1"/>
  <c r="Z2643" i="1"/>
  <c r="Y2643" i="1"/>
  <c r="H2643" i="1"/>
  <c r="Z2642" i="1"/>
  <c r="Y2642" i="1"/>
  <c r="H2642" i="1"/>
  <c r="Z2641" i="1"/>
  <c r="Y2641" i="1"/>
  <c r="H2641" i="1"/>
  <c r="Z2640" i="1"/>
  <c r="Y2640" i="1"/>
  <c r="H2640" i="1"/>
  <c r="Z2639" i="1"/>
  <c r="Y2639" i="1"/>
  <c r="H2639" i="1"/>
  <c r="Z2638" i="1"/>
  <c r="Y2638" i="1"/>
  <c r="H2638" i="1"/>
  <c r="Z2637" i="1"/>
  <c r="Y2637" i="1"/>
  <c r="H2637" i="1"/>
  <c r="Z2636" i="1"/>
  <c r="Y2636" i="1"/>
  <c r="H2636" i="1"/>
  <c r="Z2635" i="1"/>
  <c r="Y2635" i="1"/>
  <c r="H2635" i="1"/>
  <c r="Z2634" i="1"/>
  <c r="Y2634" i="1"/>
  <c r="H2634" i="1"/>
  <c r="Z2633" i="1"/>
  <c r="Y2633" i="1"/>
  <c r="H2633" i="1"/>
  <c r="Z2632" i="1"/>
  <c r="Y2632" i="1"/>
  <c r="H2632" i="1"/>
  <c r="Z2631" i="1"/>
  <c r="Y2631" i="1"/>
  <c r="H2631" i="1"/>
  <c r="Z2630" i="1"/>
  <c r="Y2630" i="1"/>
  <c r="H2630" i="1"/>
  <c r="Z2629" i="1"/>
  <c r="Y2629" i="1"/>
  <c r="H2629" i="1"/>
  <c r="Z2628" i="1"/>
  <c r="Y2628" i="1"/>
  <c r="H2628" i="1"/>
  <c r="Z2627" i="1"/>
  <c r="Y2627" i="1"/>
  <c r="H2627" i="1"/>
  <c r="Z2626" i="1"/>
  <c r="Y2626" i="1"/>
  <c r="H2626" i="1"/>
  <c r="Z2625" i="1"/>
  <c r="Y2625" i="1"/>
  <c r="H2625" i="1"/>
  <c r="Z2624" i="1"/>
  <c r="Y2624" i="1"/>
  <c r="H2624" i="1"/>
  <c r="Z2623" i="1"/>
  <c r="Y2623" i="1"/>
  <c r="H2623" i="1"/>
  <c r="Z2622" i="1"/>
  <c r="Y2622" i="1"/>
  <c r="H2622" i="1"/>
  <c r="Z2621" i="1"/>
  <c r="Y2621" i="1"/>
  <c r="H2621" i="1"/>
  <c r="Z2620" i="1"/>
  <c r="Y2620" i="1"/>
  <c r="H2620" i="1"/>
  <c r="Z2619" i="1"/>
  <c r="Y2619" i="1"/>
  <c r="H2619" i="1"/>
  <c r="Z2618" i="1"/>
  <c r="Y2618" i="1"/>
  <c r="H2618" i="1"/>
  <c r="Z2617" i="1"/>
  <c r="Y2617" i="1"/>
  <c r="H2617" i="1"/>
  <c r="Z2616" i="1"/>
  <c r="Y2616" i="1"/>
  <c r="H2616" i="1"/>
  <c r="Z2615" i="1"/>
  <c r="Y2615" i="1"/>
  <c r="H2615" i="1"/>
  <c r="Z2614" i="1"/>
  <c r="Y2614" i="1"/>
  <c r="H2614" i="1"/>
  <c r="Z2613" i="1"/>
  <c r="Y2613" i="1"/>
  <c r="H2613" i="1"/>
  <c r="Z2612" i="1"/>
  <c r="Y2612" i="1"/>
  <c r="H2612" i="1"/>
  <c r="Z2611" i="1"/>
  <c r="Y2611" i="1"/>
  <c r="H2611" i="1"/>
  <c r="Z2610" i="1"/>
  <c r="Y2610" i="1"/>
  <c r="H2610" i="1"/>
  <c r="Z2609" i="1"/>
  <c r="Y2609" i="1"/>
  <c r="H2609" i="1"/>
  <c r="Z2608" i="1"/>
  <c r="Y2608" i="1"/>
  <c r="H2608" i="1"/>
  <c r="Z2607" i="1"/>
  <c r="Y2607" i="1"/>
  <c r="H2607" i="1"/>
  <c r="Z2606" i="1"/>
  <c r="Y2606" i="1"/>
  <c r="H2606" i="1"/>
  <c r="Z2605" i="1"/>
  <c r="Y2605" i="1"/>
  <c r="H2605" i="1"/>
  <c r="Z2604" i="1"/>
  <c r="Y2604" i="1"/>
  <c r="H2604" i="1"/>
  <c r="Z2603" i="1"/>
  <c r="Y2603" i="1"/>
  <c r="H2603" i="1"/>
  <c r="Z2602" i="1"/>
  <c r="Y2602" i="1"/>
  <c r="H2602" i="1"/>
  <c r="Z2601" i="1"/>
  <c r="Y2601" i="1"/>
  <c r="H2601" i="1"/>
  <c r="Z2600" i="1"/>
  <c r="Y2600" i="1"/>
  <c r="H2600" i="1"/>
  <c r="Z2599" i="1"/>
  <c r="Y2599" i="1"/>
  <c r="H2599" i="1"/>
  <c r="Z2598" i="1"/>
  <c r="Y2598" i="1"/>
  <c r="H2598" i="1"/>
  <c r="Z2597" i="1"/>
  <c r="Y2597" i="1"/>
  <c r="H2597" i="1"/>
  <c r="Z2596" i="1"/>
  <c r="Y2596" i="1"/>
  <c r="H2596" i="1"/>
  <c r="Z2595" i="1"/>
  <c r="Y2595" i="1"/>
  <c r="H2595" i="1"/>
  <c r="Z2594" i="1"/>
  <c r="Y2594" i="1"/>
  <c r="H2594" i="1"/>
  <c r="Z2593" i="1"/>
  <c r="Y2593" i="1"/>
  <c r="H2593" i="1"/>
  <c r="Z2592" i="1"/>
  <c r="Y2592" i="1"/>
  <c r="H2592" i="1"/>
  <c r="Z2591" i="1"/>
  <c r="Y2591" i="1"/>
  <c r="H2591" i="1"/>
  <c r="Z2590" i="1"/>
  <c r="Y2590" i="1"/>
  <c r="H2590" i="1"/>
  <c r="Z2589" i="1"/>
  <c r="Y2589" i="1"/>
  <c r="H2589" i="1"/>
  <c r="Z2588" i="1"/>
  <c r="Y2588" i="1"/>
  <c r="H2588" i="1"/>
  <c r="Z2587" i="1"/>
  <c r="Y2587" i="1"/>
  <c r="H2587" i="1"/>
  <c r="Z2586" i="1"/>
  <c r="Y2586" i="1"/>
  <c r="H2586" i="1"/>
  <c r="Z2585" i="1"/>
  <c r="Y2585" i="1"/>
  <c r="H2585" i="1"/>
  <c r="Z2584" i="1"/>
  <c r="Y2584" i="1"/>
  <c r="H2584" i="1"/>
  <c r="Z2583" i="1"/>
  <c r="Y2583" i="1"/>
  <c r="H2583" i="1"/>
  <c r="Z2582" i="1"/>
  <c r="Y2582" i="1"/>
  <c r="H2582" i="1"/>
  <c r="Z2581" i="1"/>
  <c r="Y2581" i="1"/>
  <c r="H2581" i="1"/>
  <c r="Z2580" i="1"/>
  <c r="Y2580" i="1"/>
  <c r="H2580" i="1"/>
  <c r="Z2579" i="1"/>
  <c r="Y2579" i="1"/>
  <c r="H2579" i="1"/>
  <c r="Z2578" i="1"/>
  <c r="Y2578" i="1"/>
  <c r="H2578" i="1"/>
  <c r="Z2577" i="1"/>
  <c r="Y2577" i="1"/>
  <c r="H2577" i="1"/>
  <c r="Z2576" i="1"/>
  <c r="Y2576" i="1"/>
  <c r="H2576" i="1"/>
  <c r="Z2575" i="1"/>
  <c r="Y2575" i="1"/>
  <c r="H2575" i="1"/>
  <c r="Z2574" i="1"/>
  <c r="Y2574" i="1"/>
  <c r="H2574" i="1"/>
  <c r="Z2573" i="1"/>
  <c r="Y2573" i="1"/>
  <c r="H2573" i="1"/>
  <c r="Z2572" i="1"/>
  <c r="Y2572" i="1"/>
  <c r="H2572" i="1"/>
  <c r="Z2571" i="1"/>
  <c r="Y2571" i="1"/>
  <c r="H2571" i="1"/>
  <c r="Z2570" i="1"/>
  <c r="Y2570" i="1"/>
  <c r="H2570" i="1"/>
  <c r="Z2569" i="1"/>
  <c r="Y2569" i="1"/>
  <c r="H2569" i="1"/>
  <c r="Z2568" i="1"/>
  <c r="Y2568" i="1"/>
  <c r="H2568" i="1"/>
  <c r="Z2567" i="1"/>
  <c r="Y2567" i="1"/>
  <c r="H2567" i="1"/>
  <c r="Z2566" i="1"/>
  <c r="Y2566" i="1"/>
  <c r="H2566" i="1"/>
  <c r="Z2565" i="1"/>
  <c r="Y2565" i="1"/>
  <c r="H2565" i="1"/>
  <c r="Z2564" i="1"/>
  <c r="Y2564" i="1"/>
  <c r="H2564" i="1"/>
  <c r="Z2563" i="1"/>
  <c r="Y2563" i="1"/>
  <c r="H2563" i="1"/>
  <c r="Z2562" i="1"/>
  <c r="Y2562" i="1"/>
  <c r="H2562" i="1"/>
  <c r="Z2561" i="1"/>
  <c r="Y2561" i="1"/>
  <c r="H2561" i="1"/>
  <c r="Z2560" i="1"/>
  <c r="Y2560" i="1"/>
  <c r="H2560" i="1"/>
  <c r="Z2559" i="1"/>
  <c r="Y2559" i="1"/>
  <c r="H2559" i="1"/>
  <c r="Z2558" i="1"/>
  <c r="Y2558" i="1"/>
  <c r="H2558" i="1"/>
  <c r="Z2557" i="1"/>
  <c r="Y2557" i="1"/>
  <c r="H2557" i="1"/>
  <c r="Z2556" i="1"/>
  <c r="Y2556" i="1"/>
  <c r="H2556" i="1"/>
  <c r="Z2555" i="1"/>
  <c r="Y2555" i="1"/>
  <c r="H2555" i="1"/>
  <c r="Z2554" i="1"/>
  <c r="Y2554" i="1"/>
  <c r="H2554" i="1"/>
  <c r="Z2553" i="1"/>
  <c r="Y2553" i="1"/>
  <c r="H2553" i="1"/>
  <c r="Z2552" i="1"/>
  <c r="Y2552" i="1"/>
  <c r="H2552" i="1"/>
  <c r="Z2551" i="1"/>
  <c r="Y2551" i="1"/>
  <c r="H2551" i="1"/>
  <c r="Z2550" i="1"/>
  <c r="Y2550" i="1"/>
  <c r="H2550" i="1"/>
  <c r="Z2549" i="1"/>
  <c r="Y2549" i="1"/>
  <c r="H2549" i="1"/>
  <c r="Z2548" i="1"/>
  <c r="Y2548" i="1"/>
  <c r="H2548" i="1"/>
  <c r="Z2547" i="1"/>
  <c r="Y2547" i="1"/>
  <c r="H2547" i="1"/>
  <c r="Z2546" i="1"/>
  <c r="Y2546" i="1"/>
  <c r="H2546" i="1"/>
  <c r="Z2545" i="1"/>
  <c r="Y2545" i="1"/>
  <c r="H2545" i="1"/>
  <c r="Z2544" i="1"/>
  <c r="Y2544" i="1"/>
  <c r="H2544" i="1"/>
  <c r="Z2543" i="1"/>
  <c r="Y2543" i="1"/>
  <c r="H2543" i="1"/>
  <c r="Z2542" i="1"/>
  <c r="Y2542" i="1"/>
  <c r="H2542" i="1"/>
  <c r="Z2541" i="1"/>
  <c r="Y2541" i="1"/>
  <c r="H2541" i="1"/>
  <c r="Z2540" i="1"/>
  <c r="Y2540" i="1"/>
  <c r="H2540" i="1"/>
  <c r="Z2539" i="1"/>
  <c r="Y2539" i="1"/>
  <c r="H2539" i="1"/>
  <c r="Z2538" i="1"/>
  <c r="Y2538" i="1"/>
  <c r="H2538" i="1"/>
  <c r="Z2537" i="1"/>
  <c r="Y2537" i="1"/>
  <c r="H2537" i="1"/>
  <c r="Z2536" i="1"/>
  <c r="Y2536" i="1"/>
  <c r="H2536" i="1"/>
  <c r="Z2535" i="1"/>
  <c r="Y2535" i="1"/>
  <c r="H2535" i="1"/>
  <c r="Z2534" i="1"/>
  <c r="Y2534" i="1"/>
  <c r="H2534" i="1"/>
  <c r="Z2533" i="1"/>
  <c r="Y2533" i="1"/>
  <c r="H2533" i="1"/>
  <c r="Z2532" i="1"/>
  <c r="Y2532" i="1"/>
  <c r="H2532" i="1"/>
  <c r="Z2531" i="1"/>
  <c r="Y2531" i="1"/>
  <c r="H2531" i="1"/>
  <c r="Z2530" i="1"/>
  <c r="Y2530" i="1"/>
  <c r="H2530" i="1"/>
  <c r="Z2529" i="1"/>
  <c r="Y2529" i="1"/>
  <c r="H2529" i="1"/>
  <c r="Z2528" i="1"/>
  <c r="Y2528" i="1"/>
  <c r="H2528" i="1"/>
  <c r="Z2527" i="1"/>
  <c r="Y2527" i="1"/>
  <c r="H2527" i="1"/>
  <c r="Z2526" i="1"/>
  <c r="Y2526" i="1"/>
  <c r="H2526" i="1"/>
  <c r="Z2525" i="1"/>
  <c r="Y2525" i="1"/>
  <c r="H2525" i="1"/>
  <c r="Z2524" i="1"/>
  <c r="Y2524" i="1"/>
  <c r="H2524" i="1"/>
  <c r="Z2523" i="1"/>
  <c r="Y2523" i="1"/>
  <c r="H2523" i="1"/>
  <c r="Z2522" i="1"/>
  <c r="Y2522" i="1"/>
  <c r="H2522" i="1"/>
  <c r="Z2521" i="1"/>
  <c r="Y2521" i="1"/>
  <c r="H2521" i="1"/>
  <c r="Z2520" i="1"/>
  <c r="Y2520" i="1"/>
  <c r="H2520" i="1"/>
  <c r="Z2519" i="1"/>
  <c r="Y2519" i="1"/>
  <c r="H2519" i="1"/>
  <c r="Z2518" i="1"/>
  <c r="Y2518" i="1"/>
  <c r="H2518" i="1"/>
  <c r="Z2517" i="1"/>
  <c r="Y2517" i="1"/>
  <c r="H2517" i="1"/>
  <c r="Z2516" i="1"/>
  <c r="Y2516" i="1"/>
  <c r="H2516" i="1"/>
  <c r="Z2515" i="1"/>
  <c r="Y2515" i="1"/>
  <c r="H2515" i="1"/>
  <c r="Z2514" i="1"/>
  <c r="Y2514" i="1"/>
  <c r="H2514" i="1"/>
  <c r="Z2513" i="1"/>
  <c r="Y2513" i="1"/>
  <c r="H2513" i="1"/>
  <c r="Z2512" i="1"/>
  <c r="Y2512" i="1"/>
  <c r="H2512" i="1"/>
  <c r="Z2511" i="1"/>
  <c r="Y2511" i="1"/>
  <c r="H2511" i="1"/>
  <c r="Z2510" i="1"/>
  <c r="Y2510" i="1"/>
  <c r="H2510" i="1"/>
  <c r="Z2509" i="1"/>
  <c r="Y2509" i="1"/>
  <c r="H2509" i="1"/>
  <c r="Z2508" i="1"/>
  <c r="Y2508" i="1"/>
  <c r="H2508" i="1"/>
  <c r="Z2507" i="1"/>
  <c r="Y2507" i="1"/>
  <c r="H2507" i="1"/>
  <c r="Z2506" i="1"/>
  <c r="Y2506" i="1"/>
  <c r="H2506" i="1"/>
  <c r="Z2505" i="1"/>
  <c r="Y2505" i="1"/>
  <c r="H2505" i="1"/>
  <c r="Z2504" i="1"/>
  <c r="Y2504" i="1"/>
  <c r="H2504" i="1"/>
  <c r="Z2503" i="1"/>
  <c r="Y2503" i="1"/>
  <c r="H2503" i="1"/>
  <c r="Z2502" i="1"/>
  <c r="Y2502" i="1"/>
  <c r="H2502" i="1"/>
  <c r="Z2501" i="1"/>
  <c r="Y2501" i="1"/>
  <c r="H2501" i="1"/>
  <c r="Z2500" i="1"/>
  <c r="Y2500" i="1"/>
  <c r="H2500" i="1"/>
  <c r="Z2499" i="1"/>
  <c r="Y2499" i="1"/>
  <c r="H2499" i="1"/>
  <c r="Z2498" i="1"/>
  <c r="Y2498" i="1"/>
  <c r="H2498" i="1"/>
  <c r="Z2497" i="1"/>
  <c r="Y2497" i="1"/>
  <c r="H2497" i="1"/>
  <c r="Z2496" i="1"/>
  <c r="Y2496" i="1"/>
  <c r="H2496" i="1"/>
  <c r="Z2495" i="1"/>
  <c r="Y2495" i="1"/>
  <c r="H2495" i="1"/>
  <c r="Z2494" i="1"/>
  <c r="Y2494" i="1"/>
  <c r="H2494" i="1"/>
  <c r="Z2493" i="1"/>
  <c r="Y2493" i="1"/>
  <c r="H2493" i="1"/>
  <c r="Z2492" i="1"/>
  <c r="Y2492" i="1"/>
  <c r="H2492" i="1"/>
  <c r="Z2491" i="1"/>
  <c r="Y2491" i="1"/>
  <c r="H2491" i="1"/>
  <c r="Z2490" i="1"/>
  <c r="Y2490" i="1"/>
  <c r="H2490" i="1"/>
  <c r="Z2489" i="1"/>
  <c r="Y2489" i="1"/>
  <c r="H2489" i="1"/>
  <c r="Z2488" i="1"/>
  <c r="Y2488" i="1"/>
  <c r="H2488" i="1"/>
  <c r="Z2487" i="1"/>
  <c r="Y2487" i="1"/>
  <c r="H2487" i="1"/>
  <c r="Z2486" i="1"/>
  <c r="Y2486" i="1"/>
  <c r="H2486" i="1"/>
  <c r="Z2485" i="1"/>
  <c r="Y2485" i="1"/>
  <c r="H2485" i="1"/>
  <c r="Z2484" i="1"/>
  <c r="Y2484" i="1"/>
  <c r="H2484" i="1"/>
  <c r="Z2483" i="1"/>
  <c r="Y2483" i="1"/>
  <c r="H2483" i="1"/>
  <c r="Z2482" i="1"/>
  <c r="Y2482" i="1"/>
  <c r="H2482" i="1"/>
  <c r="Z2481" i="1"/>
  <c r="Y2481" i="1"/>
  <c r="H2481" i="1"/>
  <c r="Z2480" i="1"/>
  <c r="Y2480" i="1"/>
  <c r="H2480" i="1"/>
  <c r="Z2479" i="1"/>
  <c r="Y2479" i="1"/>
  <c r="H2479" i="1"/>
  <c r="Z2478" i="1"/>
  <c r="Y2478" i="1"/>
  <c r="H2478" i="1"/>
  <c r="Z2477" i="1"/>
  <c r="Y2477" i="1"/>
  <c r="H2477" i="1"/>
  <c r="Z2476" i="1"/>
  <c r="Y2476" i="1"/>
  <c r="H2476" i="1"/>
  <c r="Z2475" i="1"/>
  <c r="Y2475" i="1"/>
  <c r="H2475" i="1"/>
  <c r="Z2474" i="1"/>
  <c r="Y2474" i="1"/>
  <c r="H2474" i="1"/>
  <c r="Z2473" i="1"/>
  <c r="Y2473" i="1"/>
  <c r="H2473" i="1"/>
  <c r="Z2472" i="1"/>
  <c r="Y2472" i="1"/>
  <c r="H2472" i="1"/>
  <c r="Z2471" i="1"/>
  <c r="Y2471" i="1"/>
  <c r="H2471" i="1"/>
  <c r="Z2470" i="1"/>
  <c r="Y2470" i="1"/>
  <c r="H2470" i="1"/>
  <c r="Z2469" i="1"/>
  <c r="Y2469" i="1"/>
  <c r="H2469" i="1"/>
  <c r="Z2468" i="1"/>
  <c r="Y2468" i="1"/>
  <c r="H2468" i="1"/>
  <c r="Z2467" i="1"/>
  <c r="Y2467" i="1"/>
  <c r="H2467" i="1"/>
  <c r="Z2466" i="1"/>
  <c r="Y2466" i="1"/>
  <c r="H2466" i="1"/>
  <c r="Z2465" i="1"/>
  <c r="Y2465" i="1"/>
  <c r="H2465" i="1"/>
  <c r="Z2464" i="1"/>
  <c r="Y2464" i="1"/>
  <c r="H2464" i="1"/>
  <c r="Z2463" i="1"/>
  <c r="Y2463" i="1"/>
  <c r="H2463" i="1"/>
  <c r="Z2462" i="1"/>
  <c r="Y2462" i="1"/>
  <c r="H2462" i="1"/>
  <c r="Z2461" i="1"/>
  <c r="Y2461" i="1"/>
  <c r="H2461" i="1"/>
  <c r="Z2460" i="1"/>
  <c r="Y2460" i="1"/>
  <c r="H2460" i="1"/>
  <c r="Z2459" i="1"/>
  <c r="Y2459" i="1"/>
  <c r="H2459" i="1"/>
  <c r="Z2458" i="1"/>
  <c r="Y2458" i="1"/>
  <c r="H2458" i="1"/>
  <c r="Z2457" i="1"/>
  <c r="Y2457" i="1"/>
  <c r="H2457" i="1"/>
  <c r="Z2456" i="1"/>
  <c r="Y2456" i="1"/>
  <c r="H2456" i="1"/>
  <c r="Z2455" i="1"/>
  <c r="Y2455" i="1"/>
  <c r="H2455" i="1"/>
  <c r="Z2454" i="1"/>
  <c r="Y2454" i="1"/>
  <c r="H2454" i="1"/>
  <c r="Z2453" i="1"/>
  <c r="Y2453" i="1"/>
  <c r="H2453" i="1"/>
  <c r="Z2452" i="1"/>
  <c r="Y2452" i="1"/>
  <c r="H2452" i="1"/>
  <c r="Z2451" i="1"/>
  <c r="Y2451" i="1"/>
  <c r="H2451" i="1"/>
  <c r="Z2450" i="1"/>
  <c r="Y2450" i="1"/>
  <c r="H2450" i="1"/>
  <c r="Z2449" i="1"/>
  <c r="Y2449" i="1"/>
  <c r="H2449" i="1"/>
  <c r="Z2448" i="1"/>
  <c r="Y2448" i="1"/>
  <c r="H2448" i="1"/>
  <c r="Z2447" i="1"/>
  <c r="Y2447" i="1"/>
  <c r="H2447" i="1"/>
  <c r="Z2446" i="1"/>
  <c r="Y2446" i="1"/>
  <c r="H2446" i="1"/>
  <c r="Z2445" i="1"/>
  <c r="Y2445" i="1"/>
  <c r="H2445" i="1"/>
  <c r="Z2444" i="1"/>
  <c r="Y2444" i="1"/>
  <c r="H2444" i="1"/>
  <c r="Z2443" i="1"/>
  <c r="Y2443" i="1"/>
  <c r="H2443" i="1"/>
  <c r="Z2442" i="1"/>
  <c r="Y2442" i="1"/>
  <c r="H2442" i="1"/>
  <c r="Z2441" i="1"/>
  <c r="Y2441" i="1"/>
  <c r="H2441" i="1"/>
  <c r="Z2440" i="1"/>
  <c r="Y2440" i="1"/>
  <c r="H2440" i="1"/>
  <c r="Z2439" i="1"/>
  <c r="Y2439" i="1"/>
  <c r="H2439" i="1"/>
  <c r="Z2438" i="1"/>
  <c r="Y2438" i="1"/>
  <c r="H2438" i="1"/>
  <c r="Z2437" i="1"/>
  <c r="Y2437" i="1"/>
  <c r="H2437" i="1"/>
  <c r="Z2436" i="1"/>
  <c r="Y2436" i="1"/>
  <c r="H2436" i="1"/>
  <c r="Z2435" i="1"/>
  <c r="Y2435" i="1"/>
  <c r="H2435" i="1"/>
  <c r="Z2434" i="1"/>
  <c r="Y2434" i="1"/>
  <c r="H2434" i="1"/>
  <c r="Z2433" i="1"/>
  <c r="Y2433" i="1"/>
  <c r="H2433" i="1"/>
  <c r="Z2432" i="1"/>
  <c r="Y2432" i="1"/>
  <c r="H2432" i="1"/>
  <c r="Z2431" i="1"/>
  <c r="Y2431" i="1"/>
  <c r="H2431" i="1"/>
  <c r="Z2430" i="1"/>
  <c r="Y2430" i="1"/>
  <c r="H2430" i="1"/>
  <c r="Z2429" i="1"/>
  <c r="Y2429" i="1"/>
  <c r="H2429" i="1"/>
  <c r="Z2428" i="1"/>
  <c r="Y2428" i="1"/>
  <c r="H2428" i="1"/>
  <c r="Z2427" i="1"/>
  <c r="Y2427" i="1"/>
  <c r="H2427" i="1"/>
  <c r="Z2426" i="1"/>
  <c r="Y2426" i="1"/>
  <c r="H2426" i="1"/>
  <c r="Z2425" i="1"/>
  <c r="Y2425" i="1"/>
  <c r="H2425" i="1"/>
  <c r="Z2424" i="1"/>
  <c r="Y2424" i="1"/>
  <c r="H2424" i="1"/>
  <c r="Z2423" i="1"/>
  <c r="Y2423" i="1"/>
  <c r="H2423" i="1"/>
  <c r="Z2422" i="1"/>
  <c r="Y2422" i="1"/>
  <c r="H2422" i="1"/>
  <c r="Z2421" i="1"/>
  <c r="Y2421" i="1"/>
  <c r="H2421" i="1"/>
  <c r="Z2420" i="1"/>
  <c r="Y2420" i="1"/>
  <c r="H2420" i="1"/>
  <c r="Z2419" i="1"/>
  <c r="Y2419" i="1"/>
  <c r="H2419" i="1"/>
  <c r="Z2418" i="1"/>
  <c r="Y2418" i="1"/>
  <c r="H2418" i="1"/>
  <c r="Z2417" i="1"/>
  <c r="Y2417" i="1"/>
  <c r="H2417" i="1"/>
  <c r="Z2416" i="1"/>
  <c r="Y2416" i="1"/>
  <c r="H2416" i="1"/>
  <c r="Z2415" i="1"/>
  <c r="Y2415" i="1"/>
  <c r="H2415" i="1"/>
  <c r="Z2414" i="1"/>
  <c r="Y2414" i="1"/>
  <c r="H2414" i="1"/>
  <c r="Z2413" i="1"/>
  <c r="Y2413" i="1"/>
  <c r="H2413" i="1"/>
  <c r="Z2412" i="1"/>
  <c r="Y2412" i="1"/>
  <c r="H2412" i="1"/>
  <c r="Z2411" i="1"/>
  <c r="Y2411" i="1"/>
  <c r="H2411" i="1"/>
  <c r="Z2410" i="1"/>
  <c r="Y2410" i="1"/>
  <c r="H2410" i="1"/>
  <c r="Z2409" i="1"/>
  <c r="Y2409" i="1"/>
  <c r="H2409" i="1"/>
  <c r="Z2408" i="1"/>
  <c r="Y2408" i="1"/>
  <c r="H2408" i="1"/>
  <c r="Z2407" i="1"/>
  <c r="Y2407" i="1"/>
  <c r="H2407" i="1"/>
  <c r="Z2406" i="1"/>
  <c r="Y2406" i="1"/>
  <c r="H2406" i="1"/>
  <c r="Z2405" i="1"/>
  <c r="Y2405" i="1"/>
  <c r="H2405" i="1"/>
  <c r="Z2404" i="1"/>
  <c r="Y2404" i="1"/>
  <c r="H2404" i="1"/>
  <c r="Z2403" i="1"/>
  <c r="Y2403" i="1"/>
  <c r="H2403" i="1"/>
  <c r="Z2402" i="1"/>
  <c r="Y2402" i="1"/>
  <c r="H2402" i="1"/>
  <c r="Z2401" i="1"/>
  <c r="Y2401" i="1"/>
  <c r="H2401" i="1"/>
  <c r="Z2400" i="1"/>
  <c r="Y2400" i="1"/>
  <c r="H2400" i="1"/>
  <c r="Z2399" i="1"/>
  <c r="Y2399" i="1"/>
  <c r="H2399" i="1"/>
  <c r="Z2398" i="1"/>
  <c r="Y2398" i="1"/>
  <c r="H2398" i="1"/>
  <c r="Z2397" i="1"/>
  <c r="Y2397" i="1"/>
  <c r="H2397" i="1"/>
  <c r="Z2396" i="1"/>
  <c r="Y2396" i="1"/>
  <c r="H2396" i="1"/>
  <c r="Z2395" i="1"/>
  <c r="Y2395" i="1"/>
  <c r="H2395" i="1"/>
  <c r="Z2394" i="1"/>
  <c r="Y2394" i="1"/>
  <c r="H2394" i="1"/>
  <c r="Z2393" i="1"/>
  <c r="Y2393" i="1"/>
  <c r="H2393" i="1"/>
  <c r="Z2392" i="1"/>
  <c r="Y2392" i="1"/>
  <c r="H2392" i="1"/>
  <c r="Z2391" i="1"/>
  <c r="Y2391" i="1"/>
  <c r="H2391" i="1"/>
  <c r="Z2390" i="1"/>
  <c r="Y2390" i="1"/>
  <c r="H2390" i="1"/>
  <c r="Z2389" i="1"/>
  <c r="Y2389" i="1"/>
  <c r="H2389" i="1"/>
  <c r="Z2388" i="1"/>
  <c r="Y2388" i="1"/>
  <c r="H2388" i="1"/>
  <c r="Z2387" i="1"/>
  <c r="Y2387" i="1"/>
  <c r="H2387" i="1"/>
  <c r="Z2386" i="1"/>
  <c r="Y2386" i="1"/>
  <c r="H2386" i="1"/>
  <c r="Z2385" i="1"/>
  <c r="Y2385" i="1"/>
  <c r="H2385" i="1"/>
  <c r="Z2384" i="1"/>
  <c r="Y2384" i="1"/>
  <c r="H2384" i="1"/>
  <c r="Z2383" i="1"/>
  <c r="Y2383" i="1"/>
  <c r="H2383" i="1"/>
  <c r="Z2382" i="1"/>
  <c r="Y2382" i="1"/>
  <c r="H2382" i="1"/>
  <c r="Z2381" i="1"/>
  <c r="Y2381" i="1"/>
  <c r="H2381" i="1"/>
  <c r="Z2380" i="1"/>
  <c r="Y2380" i="1"/>
  <c r="H2380" i="1"/>
  <c r="Z2379" i="1"/>
  <c r="Y2379" i="1"/>
  <c r="H2379" i="1"/>
  <c r="Z2378" i="1"/>
  <c r="Y2378" i="1"/>
  <c r="H2378" i="1"/>
  <c r="Z2377" i="1"/>
  <c r="Y2377" i="1"/>
  <c r="H2377" i="1"/>
  <c r="Z2376" i="1"/>
  <c r="Y2376" i="1"/>
  <c r="H2376" i="1"/>
  <c r="Z2375" i="1"/>
  <c r="Y2375" i="1"/>
  <c r="H2375" i="1"/>
  <c r="Z2374" i="1"/>
  <c r="Y2374" i="1"/>
  <c r="H2374" i="1"/>
  <c r="Z2373" i="1"/>
  <c r="Y2373" i="1"/>
  <c r="H2373" i="1"/>
  <c r="Z2372" i="1"/>
  <c r="Y2372" i="1"/>
  <c r="H2372" i="1"/>
  <c r="Z2371" i="1"/>
  <c r="Y2371" i="1"/>
  <c r="H2371" i="1"/>
  <c r="Z2370" i="1"/>
  <c r="Y2370" i="1"/>
  <c r="H2370" i="1"/>
  <c r="Z2369" i="1"/>
  <c r="Y2369" i="1"/>
  <c r="H2369" i="1"/>
  <c r="Z2368" i="1"/>
  <c r="Y2368" i="1"/>
  <c r="H2368" i="1"/>
  <c r="Z2367" i="1"/>
  <c r="Y2367" i="1"/>
  <c r="H2367" i="1"/>
  <c r="Z2366" i="1"/>
  <c r="Y2366" i="1"/>
  <c r="H2366" i="1"/>
  <c r="Z2365" i="1"/>
  <c r="Y2365" i="1"/>
  <c r="H2365" i="1"/>
  <c r="Z2364" i="1"/>
  <c r="Y2364" i="1"/>
  <c r="H2364" i="1"/>
  <c r="Z2363" i="1"/>
  <c r="Y2363" i="1"/>
  <c r="H2363" i="1"/>
  <c r="Z2362" i="1"/>
  <c r="Y2362" i="1"/>
  <c r="H2362" i="1"/>
  <c r="Z2361" i="1"/>
  <c r="Y2361" i="1"/>
  <c r="H2361" i="1"/>
  <c r="Z2360" i="1"/>
  <c r="Y2360" i="1"/>
  <c r="H2360" i="1"/>
  <c r="Z2359" i="1"/>
  <c r="Y2359" i="1"/>
  <c r="H2359" i="1"/>
  <c r="Z2358" i="1"/>
  <c r="Y2358" i="1"/>
  <c r="H2358" i="1"/>
  <c r="Z2357" i="1"/>
  <c r="Y2357" i="1"/>
  <c r="H2357" i="1"/>
  <c r="Z2356" i="1"/>
  <c r="Y2356" i="1"/>
  <c r="H2356" i="1"/>
  <c r="Z2355" i="1"/>
  <c r="Y2355" i="1"/>
  <c r="H2355" i="1"/>
  <c r="Z2354" i="1"/>
  <c r="Y2354" i="1"/>
  <c r="H2354" i="1"/>
  <c r="Z2353" i="1"/>
  <c r="Y2353" i="1"/>
  <c r="H2353" i="1"/>
  <c r="Z2352" i="1"/>
  <c r="Y2352" i="1"/>
  <c r="H2352" i="1"/>
  <c r="Z2351" i="1"/>
  <c r="Y2351" i="1"/>
  <c r="H2351" i="1"/>
  <c r="Z2350" i="1"/>
  <c r="Y2350" i="1"/>
  <c r="H2350" i="1"/>
  <c r="Z2349" i="1"/>
  <c r="Y2349" i="1"/>
  <c r="H2349" i="1"/>
  <c r="Z2348" i="1"/>
  <c r="Y2348" i="1"/>
  <c r="H2348" i="1"/>
  <c r="Z2347" i="1"/>
  <c r="Y2347" i="1"/>
  <c r="H2347" i="1"/>
  <c r="Z2346" i="1"/>
  <c r="Y2346" i="1"/>
  <c r="H2346" i="1"/>
  <c r="Z2345" i="1"/>
  <c r="Y2345" i="1"/>
  <c r="H2345" i="1"/>
  <c r="Z2344" i="1"/>
  <c r="Y2344" i="1"/>
  <c r="H2344" i="1"/>
  <c r="Z2343" i="1"/>
  <c r="Y2343" i="1"/>
  <c r="H2343" i="1"/>
  <c r="Z2342" i="1"/>
  <c r="Y2342" i="1"/>
  <c r="H2342" i="1"/>
  <c r="Z2341" i="1"/>
  <c r="Y2341" i="1"/>
  <c r="H2341" i="1"/>
  <c r="Z2340" i="1"/>
  <c r="Y2340" i="1"/>
  <c r="H2340" i="1"/>
  <c r="Z2339" i="1"/>
  <c r="Y2339" i="1"/>
  <c r="H2339" i="1"/>
  <c r="Z2338" i="1"/>
  <c r="Y2338" i="1"/>
  <c r="H2338" i="1"/>
  <c r="Z2337" i="1"/>
  <c r="Y2337" i="1"/>
  <c r="H2337" i="1"/>
  <c r="Z2336" i="1"/>
  <c r="Y2336" i="1"/>
  <c r="H2336" i="1"/>
  <c r="Z2335" i="1"/>
  <c r="Y2335" i="1"/>
  <c r="H2335" i="1"/>
  <c r="Z2334" i="1"/>
  <c r="Y2334" i="1"/>
  <c r="H2334" i="1"/>
  <c r="Z2333" i="1"/>
  <c r="Y2333" i="1"/>
  <c r="H2333" i="1"/>
  <c r="Z2332" i="1"/>
  <c r="Y2332" i="1"/>
  <c r="H2332" i="1"/>
  <c r="Z2331" i="1"/>
  <c r="Y2331" i="1"/>
  <c r="H2331" i="1"/>
  <c r="Z2330" i="1"/>
  <c r="Y2330" i="1"/>
  <c r="H2330" i="1"/>
  <c r="Z2329" i="1"/>
  <c r="Y2329" i="1"/>
  <c r="H2329" i="1"/>
  <c r="Z2328" i="1"/>
  <c r="Y2328" i="1"/>
  <c r="H2328" i="1"/>
  <c r="Z2327" i="1"/>
  <c r="Y2327" i="1"/>
  <c r="H2327" i="1"/>
  <c r="Z2326" i="1"/>
  <c r="Y2326" i="1"/>
  <c r="H2326" i="1"/>
  <c r="Z2325" i="1"/>
  <c r="Y2325" i="1"/>
  <c r="H2325" i="1"/>
  <c r="Z2324" i="1"/>
  <c r="Y2324" i="1"/>
  <c r="H2324" i="1"/>
  <c r="Z2323" i="1"/>
  <c r="Y2323" i="1"/>
  <c r="H2323" i="1"/>
  <c r="Z2322" i="1"/>
  <c r="Y2322" i="1"/>
  <c r="H2322" i="1"/>
  <c r="Z2321" i="1"/>
  <c r="Y2321" i="1"/>
  <c r="H2321" i="1"/>
  <c r="Z2320" i="1"/>
  <c r="Y2320" i="1"/>
  <c r="H2320" i="1"/>
  <c r="Z2319" i="1"/>
  <c r="Y2319" i="1"/>
  <c r="H2319" i="1"/>
  <c r="Z2318" i="1"/>
  <c r="Y2318" i="1"/>
  <c r="H2318" i="1"/>
  <c r="Z2317" i="1"/>
  <c r="Y2317" i="1"/>
  <c r="H2317" i="1"/>
  <c r="Z2316" i="1"/>
  <c r="Y2316" i="1"/>
  <c r="H2316" i="1"/>
  <c r="Z2315" i="1"/>
  <c r="Y2315" i="1"/>
  <c r="H2315" i="1"/>
  <c r="Z2314" i="1"/>
  <c r="Y2314" i="1"/>
  <c r="H2314" i="1"/>
  <c r="Z2313" i="1"/>
  <c r="Y2313" i="1"/>
  <c r="H2313" i="1"/>
  <c r="Z2312" i="1"/>
  <c r="Y2312" i="1"/>
  <c r="H2312" i="1"/>
  <c r="Z2311" i="1"/>
  <c r="Y2311" i="1"/>
  <c r="H2311" i="1"/>
  <c r="Z2310" i="1"/>
  <c r="Y2310" i="1"/>
  <c r="H2310" i="1"/>
  <c r="Z2309" i="1"/>
  <c r="Y2309" i="1"/>
  <c r="H2309" i="1"/>
  <c r="Z2308" i="1"/>
  <c r="Y2308" i="1"/>
  <c r="H2308" i="1"/>
  <c r="Z2307" i="1"/>
  <c r="Y2307" i="1"/>
  <c r="H2307" i="1"/>
  <c r="Z2306" i="1"/>
  <c r="Y2306" i="1"/>
  <c r="H2306" i="1"/>
  <c r="Z2305" i="1"/>
  <c r="Y2305" i="1"/>
  <c r="H2305" i="1"/>
  <c r="Z2304" i="1"/>
  <c r="Y2304" i="1"/>
  <c r="H2304" i="1"/>
  <c r="Z2303" i="1"/>
  <c r="Y2303" i="1"/>
  <c r="H2303" i="1"/>
  <c r="Z2302" i="1"/>
  <c r="Y2302" i="1"/>
  <c r="H2302" i="1"/>
  <c r="Z2301" i="1"/>
  <c r="Y2301" i="1"/>
  <c r="H2301" i="1"/>
  <c r="Z2300" i="1"/>
  <c r="Y2300" i="1"/>
  <c r="H2300" i="1"/>
  <c r="Z2299" i="1"/>
  <c r="Y2299" i="1"/>
  <c r="H2299" i="1"/>
  <c r="Z2298" i="1"/>
  <c r="Y2298" i="1"/>
  <c r="H2298" i="1"/>
  <c r="Z2297" i="1"/>
  <c r="Y2297" i="1"/>
  <c r="H2297" i="1"/>
  <c r="Z2296" i="1"/>
  <c r="Y2296" i="1"/>
  <c r="H2296" i="1"/>
  <c r="Z2295" i="1"/>
  <c r="Y2295" i="1"/>
  <c r="H2295" i="1"/>
  <c r="Z2294" i="1"/>
  <c r="Y2294" i="1"/>
  <c r="H2294" i="1"/>
  <c r="Z2293" i="1"/>
  <c r="Y2293" i="1"/>
  <c r="H2293" i="1"/>
  <c r="Z2292" i="1"/>
  <c r="Y2292" i="1"/>
  <c r="H2292" i="1"/>
  <c r="Z2291" i="1"/>
  <c r="Y2291" i="1"/>
  <c r="H2291" i="1"/>
  <c r="Z2290" i="1"/>
  <c r="Y2290" i="1"/>
  <c r="H2290" i="1"/>
  <c r="Z2289" i="1"/>
  <c r="Y2289" i="1"/>
  <c r="H2289" i="1"/>
  <c r="Z2288" i="1"/>
  <c r="Y2288" i="1"/>
  <c r="H2288" i="1"/>
  <c r="Z2287" i="1"/>
  <c r="Y2287" i="1"/>
  <c r="H2287" i="1"/>
  <c r="Z2286" i="1"/>
  <c r="Y2286" i="1"/>
  <c r="H2286" i="1"/>
  <c r="Z2285" i="1"/>
  <c r="Y2285" i="1"/>
  <c r="H2285" i="1"/>
  <c r="Z2284" i="1"/>
  <c r="Y2284" i="1"/>
  <c r="H2284" i="1"/>
  <c r="Z2283" i="1"/>
  <c r="Y2283" i="1"/>
  <c r="H2283" i="1"/>
  <c r="Z2282" i="1"/>
  <c r="Y2282" i="1"/>
  <c r="H2282" i="1"/>
  <c r="Z2281" i="1"/>
  <c r="Y2281" i="1"/>
  <c r="H2281" i="1"/>
  <c r="Z2280" i="1"/>
  <c r="Y2280" i="1"/>
  <c r="H2280" i="1"/>
  <c r="Z2279" i="1"/>
  <c r="Y2279" i="1"/>
  <c r="H2279" i="1"/>
  <c r="Z2278" i="1"/>
  <c r="Y2278" i="1"/>
  <c r="H2278" i="1"/>
  <c r="Z2277" i="1"/>
  <c r="Y2277" i="1"/>
  <c r="H2277" i="1"/>
  <c r="Z2276" i="1"/>
  <c r="Y2276" i="1"/>
  <c r="H2276" i="1"/>
  <c r="Z2275" i="1"/>
  <c r="Y2275" i="1"/>
  <c r="H2275" i="1"/>
  <c r="Z2274" i="1"/>
  <c r="Y2274" i="1"/>
  <c r="H2274" i="1"/>
  <c r="Z2273" i="1"/>
  <c r="Y2273" i="1"/>
  <c r="H2273" i="1"/>
  <c r="Z2272" i="1"/>
  <c r="Y2272" i="1"/>
  <c r="H2272" i="1"/>
  <c r="Z2271" i="1"/>
  <c r="Y2271" i="1"/>
  <c r="H2271" i="1"/>
  <c r="Z2270" i="1"/>
  <c r="Y2270" i="1"/>
  <c r="H2270" i="1"/>
  <c r="Z2269" i="1"/>
  <c r="Y2269" i="1"/>
  <c r="H2269" i="1"/>
  <c r="Z2268" i="1"/>
  <c r="Y2268" i="1"/>
  <c r="H2268" i="1"/>
  <c r="Z2267" i="1"/>
  <c r="Y2267" i="1"/>
  <c r="H2267" i="1"/>
  <c r="Z2266" i="1"/>
  <c r="Y2266" i="1"/>
  <c r="H2266" i="1"/>
  <c r="Z2265" i="1"/>
  <c r="Y2265" i="1"/>
  <c r="H2265" i="1"/>
  <c r="Z2264" i="1"/>
  <c r="Y2264" i="1"/>
  <c r="H2264" i="1"/>
  <c r="Z2263" i="1"/>
  <c r="Y2263" i="1"/>
  <c r="H2263" i="1"/>
  <c r="Z2262" i="1"/>
  <c r="Y2262" i="1"/>
  <c r="H2262" i="1"/>
  <c r="Z2261" i="1"/>
  <c r="Y2261" i="1"/>
  <c r="H2261" i="1"/>
  <c r="Z2260" i="1"/>
  <c r="Y2260" i="1"/>
  <c r="H2260" i="1"/>
  <c r="Z2259" i="1"/>
  <c r="Y2259" i="1"/>
  <c r="H2259" i="1"/>
  <c r="Z2258" i="1"/>
  <c r="Y2258" i="1"/>
  <c r="H2258" i="1"/>
  <c r="Z2257" i="1"/>
  <c r="Y2257" i="1"/>
  <c r="H2257" i="1"/>
  <c r="Z2256" i="1"/>
  <c r="Y2256" i="1"/>
  <c r="H2256" i="1"/>
  <c r="Z2255" i="1"/>
  <c r="Y2255" i="1"/>
  <c r="H2255" i="1"/>
  <c r="Z2254" i="1"/>
  <c r="Y2254" i="1"/>
  <c r="H2254" i="1"/>
  <c r="Z2253" i="1"/>
  <c r="Y2253" i="1"/>
  <c r="H2253" i="1"/>
  <c r="Z2252" i="1"/>
  <c r="Y2252" i="1"/>
  <c r="H2252" i="1"/>
  <c r="Z2251" i="1"/>
  <c r="Y2251" i="1"/>
  <c r="H2251" i="1"/>
  <c r="Z2250" i="1"/>
  <c r="Y2250" i="1"/>
  <c r="H2250" i="1"/>
  <c r="Z2249" i="1"/>
  <c r="Y2249" i="1"/>
  <c r="H2249" i="1"/>
  <c r="Z2248" i="1"/>
  <c r="Y2248" i="1"/>
  <c r="H2248" i="1"/>
  <c r="Z2247" i="1"/>
  <c r="Y2247" i="1"/>
  <c r="H2247" i="1"/>
  <c r="Z2246" i="1"/>
  <c r="Y2246" i="1"/>
  <c r="H2246" i="1"/>
  <c r="Z2245" i="1"/>
  <c r="Y2245" i="1"/>
  <c r="H2245" i="1"/>
  <c r="Z2244" i="1"/>
  <c r="Y2244" i="1"/>
  <c r="H2244" i="1"/>
  <c r="Z2243" i="1"/>
  <c r="Y2243" i="1"/>
  <c r="H2243" i="1"/>
  <c r="Z2242" i="1"/>
  <c r="Y2242" i="1"/>
  <c r="H2242" i="1"/>
  <c r="Z2241" i="1"/>
  <c r="Y2241" i="1"/>
  <c r="H2241" i="1"/>
  <c r="Z2240" i="1"/>
  <c r="Y2240" i="1"/>
  <c r="H2240" i="1"/>
  <c r="Z2239" i="1"/>
  <c r="Y2239" i="1"/>
  <c r="H2239" i="1"/>
  <c r="Z2238" i="1"/>
  <c r="Y2238" i="1"/>
  <c r="H2238" i="1"/>
  <c r="Z2237" i="1"/>
  <c r="Y2237" i="1"/>
  <c r="H2237" i="1"/>
  <c r="Z2236" i="1"/>
  <c r="Y2236" i="1"/>
  <c r="H2236" i="1"/>
  <c r="Z2235" i="1"/>
  <c r="Y2235" i="1"/>
  <c r="H2235" i="1"/>
  <c r="Z2234" i="1"/>
  <c r="Y2234" i="1"/>
  <c r="H2234" i="1"/>
  <c r="Z2233" i="1"/>
  <c r="Y2233" i="1"/>
  <c r="H2233" i="1"/>
  <c r="Z2232" i="1"/>
  <c r="Y2232" i="1"/>
  <c r="H2232" i="1"/>
  <c r="Z2231" i="1"/>
  <c r="Y2231" i="1"/>
  <c r="H2231" i="1"/>
  <c r="Z2230" i="1"/>
  <c r="Y2230" i="1"/>
  <c r="H2230" i="1"/>
  <c r="Z2229" i="1"/>
  <c r="Y2229" i="1"/>
  <c r="H2229" i="1"/>
  <c r="Z2228" i="1"/>
  <c r="Y2228" i="1"/>
  <c r="H2228" i="1"/>
  <c r="Z2227" i="1"/>
  <c r="Y2227" i="1"/>
  <c r="H2227" i="1"/>
  <c r="Z2226" i="1"/>
  <c r="Y2226" i="1"/>
  <c r="H2226" i="1"/>
  <c r="Z2225" i="1"/>
  <c r="Y2225" i="1"/>
  <c r="H2225" i="1"/>
  <c r="Z2224" i="1"/>
  <c r="Y2224" i="1"/>
  <c r="H2224" i="1"/>
  <c r="Z2223" i="1"/>
  <c r="Y2223" i="1"/>
  <c r="H2223" i="1"/>
  <c r="Z2222" i="1"/>
  <c r="Y2222" i="1"/>
  <c r="H2222" i="1"/>
  <c r="Z2221" i="1"/>
  <c r="Y2221" i="1"/>
  <c r="H2221" i="1"/>
  <c r="Z2220" i="1"/>
  <c r="Y2220" i="1"/>
  <c r="H2220" i="1"/>
  <c r="Z2219" i="1"/>
  <c r="Y2219" i="1"/>
  <c r="H2219" i="1"/>
  <c r="Z2218" i="1"/>
  <c r="Y2218" i="1"/>
  <c r="H2218" i="1"/>
  <c r="Z2217" i="1"/>
  <c r="Y2217" i="1"/>
  <c r="H2217" i="1"/>
  <c r="Z2216" i="1"/>
  <c r="Y2216" i="1"/>
  <c r="H2216" i="1"/>
  <c r="Z2215" i="1"/>
  <c r="Y2215" i="1"/>
  <c r="H2215" i="1"/>
  <c r="Z2214" i="1"/>
  <c r="Y2214" i="1"/>
  <c r="H2214" i="1"/>
  <c r="Z2213" i="1"/>
  <c r="Y2213" i="1"/>
  <c r="H2213" i="1"/>
  <c r="Z2212" i="1"/>
  <c r="Y2212" i="1"/>
  <c r="H2212" i="1"/>
  <c r="Z2211" i="1"/>
  <c r="Y2211" i="1"/>
  <c r="H2211" i="1"/>
  <c r="Z2210" i="1"/>
  <c r="Y2210" i="1"/>
  <c r="H2210" i="1"/>
  <c r="Z2209" i="1"/>
  <c r="Y2209" i="1"/>
  <c r="H2209" i="1"/>
  <c r="Z2208" i="1"/>
  <c r="Y2208" i="1"/>
  <c r="H2208" i="1"/>
  <c r="Z2207" i="1"/>
  <c r="Y2207" i="1"/>
  <c r="H2207" i="1"/>
  <c r="Z2206" i="1"/>
  <c r="Y2206" i="1"/>
  <c r="H2206" i="1"/>
  <c r="Z2205" i="1"/>
  <c r="Y2205" i="1"/>
  <c r="H2205" i="1"/>
  <c r="Z2204" i="1"/>
  <c r="Y2204" i="1"/>
  <c r="H2204" i="1"/>
  <c r="Z2203" i="1"/>
  <c r="Y2203" i="1"/>
  <c r="H2203" i="1"/>
  <c r="Z2202" i="1"/>
  <c r="Y2202" i="1"/>
  <c r="H2202" i="1"/>
  <c r="Z2201" i="1"/>
  <c r="Y2201" i="1"/>
  <c r="H2201" i="1"/>
  <c r="Z2200" i="1"/>
  <c r="Y2200" i="1"/>
  <c r="H2200" i="1"/>
  <c r="Z2199" i="1"/>
  <c r="Y2199" i="1"/>
  <c r="H2199" i="1"/>
  <c r="Z2198" i="1"/>
  <c r="Y2198" i="1"/>
  <c r="H2198" i="1"/>
  <c r="Z2197" i="1"/>
  <c r="Y2197" i="1"/>
  <c r="H2197" i="1"/>
  <c r="Z2196" i="1"/>
  <c r="Y2196" i="1"/>
  <c r="H2196" i="1"/>
  <c r="Z2195" i="1"/>
  <c r="Y2195" i="1"/>
  <c r="H2195" i="1"/>
  <c r="Z2194" i="1"/>
  <c r="Y2194" i="1"/>
  <c r="H2194" i="1"/>
  <c r="Z2193" i="1"/>
  <c r="Y2193" i="1"/>
  <c r="H2193" i="1"/>
  <c r="Z2192" i="1"/>
  <c r="Y2192" i="1"/>
  <c r="H2192" i="1"/>
  <c r="Z2191" i="1"/>
  <c r="Y2191" i="1"/>
  <c r="H2191" i="1"/>
  <c r="Z2190" i="1"/>
  <c r="Y2190" i="1"/>
  <c r="H2190" i="1"/>
  <c r="Z2189" i="1"/>
  <c r="Y2189" i="1"/>
  <c r="H2189" i="1"/>
  <c r="Z2188" i="1"/>
  <c r="Y2188" i="1"/>
  <c r="H2188" i="1"/>
  <c r="Z2187" i="1"/>
  <c r="Y2187" i="1"/>
  <c r="H2187" i="1"/>
  <c r="Z2186" i="1"/>
  <c r="Y2186" i="1"/>
  <c r="H2186" i="1"/>
  <c r="Z2185" i="1"/>
  <c r="Y2185" i="1"/>
  <c r="H2185" i="1"/>
  <c r="Z2184" i="1"/>
  <c r="Y2184" i="1"/>
  <c r="H2184" i="1"/>
  <c r="Z2183" i="1"/>
  <c r="Y2183" i="1"/>
  <c r="H2183" i="1"/>
  <c r="Z2182" i="1"/>
  <c r="Y2182" i="1"/>
  <c r="H2182" i="1"/>
  <c r="Z2181" i="1"/>
  <c r="Y2181" i="1"/>
  <c r="H2181" i="1"/>
  <c r="Z2180" i="1"/>
  <c r="Y2180" i="1"/>
  <c r="H2180" i="1"/>
  <c r="Z2179" i="1"/>
  <c r="Y2179" i="1"/>
  <c r="H2179" i="1"/>
  <c r="Z2178" i="1"/>
  <c r="Y2178" i="1"/>
  <c r="H2178" i="1"/>
  <c r="Z2177" i="1"/>
  <c r="Y2177" i="1"/>
  <c r="H2177" i="1"/>
  <c r="Z2176" i="1"/>
  <c r="Y2176" i="1"/>
  <c r="H2176" i="1"/>
  <c r="Z2175" i="1"/>
  <c r="Y2175" i="1"/>
  <c r="H2175" i="1"/>
  <c r="Z2174" i="1"/>
  <c r="Y2174" i="1"/>
  <c r="H2174" i="1"/>
  <c r="Z2173" i="1"/>
  <c r="Y2173" i="1"/>
  <c r="H2173" i="1"/>
  <c r="Z2172" i="1"/>
  <c r="Y2172" i="1"/>
  <c r="H2172" i="1"/>
  <c r="Z2171" i="1"/>
  <c r="Y2171" i="1"/>
  <c r="H2171" i="1"/>
  <c r="Z2170" i="1"/>
  <c r="Y2170" i="1"/>
  <c r="H2170" i="1"/>
  <c r="Z2169" i="1"/>
  <c r="Y2169" i="1"/>
  <c r="H2169" i="1"/>
  <c r="Z2168" i="1"/>
  <c r="Y2168" i="1"/>
  <c r="H2168" i="1"/>
  <c r="Z2167" i="1"/>
  <c r="Y2167" i="1"/>
  <c r="H2167" i="1"/>
  <c r="Z2166" i="1"/>
  <c r="Y2166" i="1"/>
  <c r="H2166" i="1"/>
  <c r="Z2165" i="1"/>
  <c r="Y2165" i="1"/>
  <c r="H2165" i="1"/>
  <c r="Z2164" i="1"/>
  <c r="Y2164" i="1"/>
  <c r="H2164" i="1"/>
  <c r="Z2163" i="1"/>
  <c r="Y2163" i="1"/>
  <c r="H2163" i="1"/>
  <c r="Z2162" i="1"/>
  <c r="Y2162" i="1"/>
  <c r="H2162" i="1"/>
  <c r="Z2161" i="1"/>
  <c r="Y2161" i="1"/>
  <c r="H2161" i="1"/>
  <c r="Z2160" i="1"/>
  <c r="Y2160" i="1"/>
  <c r="H2160" i="1"/>
  <c r="Z2159" i="1"/>
  <c r="Y2159" i="1"/>
  <c r="H2159" i="1"/>
  <c r="Z2158" i="1"/>
  <c r="Y2158" i="1"/>
  <c r="H2158" i="1"/>
  <c r="Z2157" i="1"/>
  <c r="Y2157" i="1"/>
  <c r="H2157" i="1"/>
  <c r="Z2156" i="1"/>
  <c r="Y2156" i="1"/>
  <c r="H2156" i="1"/>
  <c r="Z2155" i="1"/>
  <c r="Y2155" i="1"/>
  <c r="H2155" i="1"/>
  <c r="Z2154" i="1"/>
  <c r="Y2154" i="1"/>
  <c r="H2154" i="1"/>
  <c r="Z2153" i="1"/>
  <c r="Y2153" i="1"/>
  <c r="H2153" i="1"/>
  <c r="Z2152" i="1"/>
  <c r="Y2152" i="1"/>
  <c r="H2152" i="1"/>
  <c r="Z2151" i="1"/>
  <c r="Y2151" i="1"/>
  <c r="H2151" i="1"/>
  <c r="Z2150" i="1"/>
  <c r="Y2150" i="1"/>
  <c r="H2150" i="1"/>
  <c r="Z2149" i="1"/>
  <c r="Y2149" i="1"/>
  <c r="H2149" i="1"/>
  <c r="Z2148" i="1"/>
  <c r="Y2148" i="1"/>
  <c r="H2148" i="1"/>
  <c r="Z2147" i="1"/>
  <c r="Y2147" i="1"/>
  <c r="H2147" i="1"/>
  <c r="Z2146" i="1"/>
  <c r="Y2146" i="1"/>
  <c r="H2146" i="1"/>
  <c r="Z2145" i="1"/>
  <c r="Y2145" i="1"/>
  <c r="H2145" i="1"/>
  <c r="Z2144" i="1"/>
  <c r="Y2144" i="1"/>
  <c r="H2144" i="1"/>
  <c r="Z2143" i="1"/>
  <c r="Y2143" i="1"/>
  <c r="H2143" i="1"/>
  <c r="Z2142" i="1"/>
  <c r="Y2142" i="1"/>
  <c r="H2142" i="1"/>
  <c r="Z2141" i="1"/>
  <c r="Y2141" i="1"/>
  <c r="H2141" i="1"/>
  <c r="Z2140" i="1"/>
  <c r="Y2140" i="1"/>
  <c r="H2140" i="1"/>
  <c r="Z2139" i="1"/>
  <c r="Y2139" i="1"/>
  <c r="H2139" i="1"/>
  <c r="Z2138" i="1"/>
  <c r="Y2138" i="1"/>
  <c r="H2138" i="1"/>
  <c r="Z2137" i="1"/>
  <c r="Y2137" i="1"/>
  <c r="H2137" i="1"/>
  <c r="Z2136" i="1"/>
  <c r="Y2136" i="1"/>
  <c r="H2136" i="1"/>
  <c r="Z2135" i="1"/>
  <c r="Y2135" i="1"/>
  <c r="H2135" i="1"/>
  <c r="Z2134" i="1"/>
  <c r="Y2134" i="1"/>
  <c r="H2134" i="1"/>
  <c r="Z2133" i="1"/>
  <c r="Y2133" i="1"/>
  <c r="H2133" i="1"/>
  <c r="Z2132" i="1"/>
  <c r="Y2132" i="1"/>
  <c r="H2132" i="1"/>
  <c r="Z2131" i="1"/>
  <c r="Y2131" i="1"/>
  <c r="H2131" i="1"/>
  <c r="Z2130" i="1"/>
  <c r="Y2130" i="1"/>
  <c r="H2130" i="1"/>
  <c r="Z2129" i="1"/>
  <c r="Y2129" i="1"/>
  <c r="H2129" i="1"/>
  <c r="Z2128" i="1"/>
  <c r="Y2128" i="1"/>
  <c r="H2128" i="1"/>
  <c r="Z2127" i="1"/>
  <c r="Y2127" i="1"/>
  <c r="H2127" i="1"/>
  <c r="Z2126" i="1"/>
  <c r="Y2126" i="1"/>
  <c r="H2126" i="1"/>
  <c r="Z2125" i="1"/>
  <c r="Y2125" i="1"/>
  <c r="H2125" i="1"/>
  <c r="Z2124" i="1"/>
  <c r="Y2124" i="1"/>
  <c r="H2124" i="1"/>
  <c r="Z2123" i="1"/>
  <c r="Y2123" i="1"/>
  <c r="H2123" i="1"/>
  <c r="Z2122" i="1"/>
  <c r="Y2122" i="1"/>
  <c r="H2122" i="1"/>
  <c r="Z2121" i="1"/>
  <c r="Y2121" i="1"/>
  <c r="H2121" i="1"/>
  <c r="Z2120" i="1"/>
  <c r="Y2120" i="1"/>
  <c r="H2120" i="1"/>
  <c r="Z2119" i="1"/>
  <c r="Y2119" i="1"/>
  <c r="H2119" i="1"/>
  <c r="Z2118" i="1"/>
  <c r="Y2118" i="1"/>
  <c r="H2118" i="1"/>
  <c r="Z2117" i="1"/>
  <c r="Y2117" i="1"/>
  <c r="H2117" i="1"/>
  <c r="Z2116" i="1"/>
  <c r="Y2116" i="1"/>
  <c r="H2116" i="1"/>
  <c r="Z2115" i="1"/>
  <c r="Y2115" i="1"/>
  <c r="H2115" i="1"/>
  <c r="Z2114" i="1"/>
  <c r="Y2114" i="1"/>
  <c r="H2114" i="1"/>
  <c r="Z2113" i="1"/>
  <c r="Y2113" i="1"/>
  <c r="H2113" i="1"/>
  <c r="Z2112" i="1"/>
  <c r="Y2112" i="1"/>
  <c r="H2112" i="1"/>
  <c r="Z2111" i="1"/>
  <c r="Y2111" i="1"/>
  <c r="H2111" i="1"/>
  <c r="Z2110" i="1"/>
  <c r="Y2110" i="1"/>
  <c r="H2110" i="1"/>
  <c r="Z2109" i="1"/>
  <c r="Y2109" i="1"/>
  <c r="H2109" i="1"/>
  <c r="Z2108" i="1"/>
  <c r="Y2108" i="1"/>
  <c r="H2108" i="1"/>
  <c r="Z2107" i="1"/>
  <c r="Y2107" i="1"/>
  <c r="H2107" i="1"/>
  <c r="Z2106" i="1"/>
  <c r="Y2106" i="1"/>
  <c r="H2106" i="1"/>
  <c r="Z2105" i="1"/>
  <c r="Y2105" i="1"/>
  <c r="H2105" i="1"/>
  <c r="Z2104" i="1"/>
  <c r="Y2104" i="1"/>
  <c r="H2104" i="1"/>
  <c r="Z2103" i="1"/>
  <c r="Y2103" i="1"/>
  <c r="H2103" i="1"/>
  <c r="Z2102" i="1"/>
  <c r="Y2102" i="1"/>
  <c r="H2102" i="1"/>
  <c r="Z2101" i="1"/>
  <c r="Y2101" i="1"/>
  <c r="H2101" i="1"/>
  <c r="Z2100" i="1"/>
  <c r="Y2100" i="1"/>
  <c r="H2100" i="1"/>
  <c r="Z2099" i="1"/>
  <c r="Y2099" i="1"/>
  <c r="H2099" i="1"/>
  <c r="Z2098" i="1"/>
  <c r="Y2098" i="1"/>
  <c r="H2098" i="1"/>
  <c r="Z2097" i="1"/>
  <c r="Y2097" i="1"/>
  <c r="H2097" i="1"/>
  <c r="Z2096" i="1"/>
  <c r="Y2096" i="1"/>
  <c r="H2096" i="1"/>
  <c r="Z2095" i="1"/>
  <c r="Y2095" i="1"/>
  <c r="H2095" i="1"/>
  <c r="Z2094" i="1"/>
  <c r="Y2094" i="1"/>
  <c r="H2094" i="1"/>
  <c r="Z2093" i="1"/>
  <c r="Y2093" i="1"/>
  <c r="H2093" i="1"/>
  <c r="Z2092" i="1"/>
  <c r="Y2092" i="1"/>
  <c r="H2092" i="1"/>
  <c r="Z2091" i="1"/>
  <c r="Y2091" i="1"/>
  <c r="H2091" i="1"/>
  <c r="Z2090" i="1"/>
  <c r="Y2090" i="1"/>
  <c r="H2090" i="1"/>
  <c r="Z2089" i="1"/>
  <c r="Y2089" i="1"/>
  <c r="H2089" i="1"/>
  <c r="Z2088" i="1"/>
  <c r="Y2088" i="1"/>
  <c r="H2088" i="1"/>
  <c r="Z2087" i="1"/>
  <c r="Y2087" i="1"/>
  <c r="H2087" i="1"/>
  <c r="Z2086" i="1"/>
  <c r="Y2086" i="1"/>
  <c r="H2086" i="1"/>
  <c r="Z2085" i="1"/>
  <c r="Y2085" i="1"/>
  <c r="H2085" i="1"/>
  <c r="Z2084" i="1"/>
  <c r="Y2084" i="1"/>
  <c r="H2084" i="1"/>
  <c r="Z2083" i="1"/>
  <c r="Y2083" i="1"/>
  <c r="H2083" i="1"/>
  <c r="Z2082" i="1"/>
  <c r="Y2082" i="1"/>
  <c r="H2082" i="1"/>
  <c r="Z2081" i="1"/>
  <c r="Y2081" i="1"/>
  <c r="H2081" i="1"/>
  <c r="Z2080" i="1"/>
  <c r="Y2080" i="1"/>
  <c r="H2080" i="1"/>
  <c r="Z2079" i="1"/>
  <c r="Y2079" i="1"/>
  <c r="H2079" i="1"/>
  <c r="Z2078" i="1"/>
  <c r="Y2078" i="1"/>
  <c r="H2078" i="1"/>
  <c r="Z2077" i="1"/>
  <c r="Y2077" i="1"/>
  <c r="H2077" i="1"/>
  <c r="Z2076" i="1"/>
  <c r="Y2076" i="1"/>
  <c r="H2076" i="1"/>
  <c r="Z2075" i="1"/>
  <c r="Y2075" i="1"/>
  <c r="H2075" i="1"/>
  <c r="Z2074" i="1"/>
  <c r="Y2074" i="1"/>
  <c r="H2074" i="1"/>
  <c r="Z2073" i="1"/>
  <c r="Y2073" i="1"/>
  <c r="H2073" i="1"/>
  <c r="Z2072" i="1"/>
  <c r="Y2072" i="1"/>
  <c r="H2072" i="1"/>
  <c r="Z2071" i="1"/>
  <c r="Y2071" i="1"/>
  <c r="H2071" i="1"/>
  <c r="Z2070" i="1"/>
  <c r="Y2070" i="1"/>
  <c r="H2070" i="1"/>
  <c r="Z2069" i="1"/>
  <c r="Y2069" i="1"/>
  <c r="H2069" i="1"/>
  <c r="Z2068" i="1"/>
  <c r="Y2068" i="1"/>
  <c r="H2068" i="1"/>
  <c r="Z2067" i="1"/>
  <c r="Y2067" i="1"/>
  <c r="H2067" i="1"/>
  <c r="Z2066" i="1"/>
  <c r="Y2066" i="1"/>
  <c r="H2066" i="1"/>
  <c r="Z2065" i="1"/>
  <c r="Y2065" i="1"/>
  <c r="H2065" i="1"/>
  <c r="Z2064" i="1"/>
  <c r="Y2064" i="1"/>
  <c r="H2064" i="1"/>
  <c r="Z2063" i="1"/>
  <c r="Y2063" i="1"/>
  <c r="H2063" i="1"/>
  <c r="Z2062" i="1"/>
  <c r="Y2062" i="1"/>
  <c r="H2062" i="1"/>
  <c r="Z2061" i="1"/>
  <c r="Y2061" i="1"/>
  <c r="H2061" i="1"/>
  <c r="Z2060" i="1"/>
  <c r="Y2060" i="1"/>
  <c r="H2060" i="1"/>
  <c r="Z2059" i="1"/>
  <c r="Y2059" i="1"/>
  <c r="H2059" i="1"/>
  <c r="Z2058" i="1"/>
  <c r="Y2058" i="1"/>
  <c r="H2058" i="1"/>
  <c r="Z2057" i="1"/>
  <c r="Y2057" i="1"/>
  <c r="H2057" i="1"/>
  <c r="Z2056" i="1"/>
  <c r="Y2056" i="1"/>
  <c r="H2056" i="1"/>
  <c r="Z2055" i="1"/>
  <c r="Y2055" i="1"/>
  <c r="H2055" i="1"/>
  <c r="Z2054" i="1"/>
  <c r="Y2054" i="1"/>
  <c r="H2054" i="1"/>
  <c r="Z2053" i="1"/>
  <c r="Y2053" i="1"/>
  <c r="H2053" i="1"/>
  <c r="Z2052" i="1"/>
  <c r="Y2052" i="1"/>
  <c r="H2052" i="1"/>
  <c r="Z2051" i="1"/>
  <c r="Y2051" i="1"/>
  <c r="H2051" i="1"/>
  <c r="Z2050" i="1"/>
  <c r="Y2050" i="1"/>
  <c r="H2050" i="1"/>
  <c r="Z2049" i="1"/>
  <c r="Y2049" i="1"/>
  <c r="H2049" i="1"/>
  <c r="Z2048" i="1"/>
  <c r="Y2048" i="1"/>
  <c r="H2048" i="1"/>
  <c r="Z2047" i="1"/>
  <c r="Y2047" i="1"/>
  <c r="H2047" i="1"/>
  <c r="Z2046" i="1"/>
  <c r="Y2046" i="1"/>
  <c r="H2046" i="1"/>
  <c r="Z2045" i="1"/>
  <c r="Y2045" i="1"/>
  <c r="H2045" i="1"/>
  <c r="Z2044" i="1"/>
  <c r="Y2044" i="1"/>
  <c r="H2044" i="1"/>
  <c r="Z2043" i="1"/>
  <c r="Y2043" i="1"/>
  <c r="H2043" i="1"/>
  <c r="Z2042" i="1"/>
  <c r="Y2042" i="1"/>
  <c r="H2042" i="1"/>
  <c r="Z2041" i="1"/>
  <c r="Y2041" i="1"/>
  <c r="H2041" i="1"/>
  <c r="Z2040" i="1"/>
  <c r="Y2040" i="1"/>
  <c r="H2040" i="1"/>
  <c r="Z2039" i="1"/>
  <c r="Y2039" i="1"/>
  <c r="H2039" i="1"/>
  <c r="Z2038" i="1"/>
  <c r="Y2038" i="1"/>
  <c r="H2038" i="1"/>
  <c r="Z2037" i="1"/>
  <c r="Y2037" i="1"/>
  <c r="H2037" i="1"/>
  <c r="Z2036" i="1"/>
  <c r="Y2036" i="1"/>
  <c r="H2036" i="1"/>
  <c r="Z2035" i="1"/>
  <c r="Y2035" i="1"/>
  <c r="H2035" i="1"/>
  <c r="Z2034" i="1"/>
  <c r="Y2034" i="1"/>
  <c r="H2034" i="1"/>
  <c r="Z2033" i="1"/>
  <c r="Y2033" i="1"/>
  <c r="H2033" i="1"/>
  <c r="Z2032" i="1"/>
  <c r="Y2032" i="1"/>
  <c r="H2032" i="1"/>
  <c r="Z2031" i="1"/>
  <c r="Y2031" i="1"/>
  <c r="H2031" i="1"/>
  <c r="Z2030" i="1"/>
  <c r="Y2030" i="1"/>
  <c r="H2030" i="1"/>
  <c r="Z2029" i="1"/>
  <c r="Y2029" i="1"/>
  <c r="H2029" i="1"/>
  <c r="Z2028" i="1"/>
  <c r="Y2028" i="1"/>
  <c r="H2028" i="1"/>
  <c r="Z2027" i="1"/>
  <c r="Y2027" i="1"/>
  <c r="H2027" i="1"/>
  <c r="Z2026" i="1"/>
  <c r="Y2026" i="1"/>
  <c r="H2026" i="1"/>
  <c r="Z2025" i="1"/>
  <c r="Y2025" i="1"/>
  <c r="H2025" i="1"/>
  <c r="Z2024" i="1"/>
  <c r="Y2024" i="1"/>
  <c r="H2024" i="1"/>
  <c r="Z2023" i="1"/>
  <c r="Y2023" i="1"/>
  <c r="H2023" i="1"/>
  <c r="Z2022" i="1"/>
  <c r="Y2022" i="1"/>
  <c r="H2022" i="1"/>
  <c r="Z2021" i="1"/>
  <c r="Y2021" i="1"/>
  <c r="H2021" i="1"/>
  <c r="Z2020" i="1"/>
  <c r="Y2020" i="1"/>
  <c r="H2020" i="1"/>
  <c r="Z2019" i="1"/>
  <c r="Y2019" i="1"/>
  <c r="H2019" i="1"/>
  <c r="Z2018" i="1"/>
  <c r="Y2018" i="1"/>
  <c r="H2018" i="1"/>
  <c r="Z2017" i="1"/>
  <c r="Y2017" i="1"/>
  <c r="H2017" i="1"/>
  <c r="Z2016" i="1"/>
  <c r="Y2016" i="1"/>
  <c r="H2016" i="1"/>
  <c r="Z2015" i="1"/>
  <c r="Y2015" i="1"/>
  <c r="H2015" i="1"/>
  <c r="Z2014" i="1"/>
  <c r="Y2014" i="1"/>
  <c r="H2014" i="1"/>
  <c r="Z2013" i="1"/>
  <c r="Y2013" i="1"/>
  <c r="H2013" i="1"/>
  <c r="Z2012" i="1"/>
  <c r="Y2012" i="1"/>
  <c r="H2012" i="1"/>
  <c r="Z2011" i="1"/>
  <c r="Y2011" i="1"/>
  <c r="H2011" i="1"/>
  <c r="Z2010" i="1"/>
  <c r="Y2010" i="1"/>
  <c r="H2010" i="1"/>
  <c r="Z2009" i="1"/>
  <c r="Y2009" i="1"/>
  <c r="H2009" i="1"/>
  <c r="Z2008" i="1"/>
  <c r="Y2008" i="1"/>
  <c r="H2008" i="1"/>
  <c r="Z2007" i="1"/>
  <c r="Y2007" i="1"/>
  <c r="H2007" i="1"/>
  <c r="Z2006" i="1"/>
  <c r="Y2006" i="1"/>
  <c r="H2006" i="1"/>
  <c r="Z2005" i="1"/>
  <c r="Y2005" i="1"/>
  <c r="H2005" i="1"/>
  <c r="Z2004" i="1"/>
  <c r="Y2004" i="1"/>
  <c r="H2004" i="1"/>
  <c r="Z2003" i="1"/>
  <c r="Y2003" i="1"/>
  <c r="H2003" i="1"/>
  <c r="Z2002" i="1"/>
  <c r="Y2002" i="1"/>
  <c r="H2002" i="1"/>
  <c r="Z2001" i="1"/>
  <c r="Y2001" i="1"/>
  <c r="H2001" i="1"/>
  <c r="Z2000" i="1"/>
  <c r="Y2000" i="1"/>
  <c r="H2000" i="1"/>
  <c r="Z1999" i="1"/>
  <c r="Y1999" i="1"/>
  <c r="H1999" i="1"/>
  <c r="Z1998" i="1"/>
  <c r="Y1998" i="1"/>
  <c r="H1998" i="1"/>
  <c r="Z1997" i="1"/>
  <c r="Y1997" i="1"/>
  <c r="H1997" i="1"/>
  <c r="Z1996" i="1"/>
  <c r="Y1996" i="1"/>
  <c r="H1996" i="1"/>
  <c r="Z1995" i="1"/>
  <c r="Y1995" i="1"/>
  <c r="H1995" i="1"/>
  <c r="Z1994" i="1"/>
  <c r="Y1994" i="1"/>
  <c r="H1994" i="1"/>
  <c r="Z1993" i="1"/>
  <c r="Y1993" i="1"/>
  <c r="H1993" i="1"/>
  <c r="Z1992" i="1"/>
  <c r="Y1992" i="1"/>
  <c r="H1992" i="1"/>
  <c r="Z1991" i="1"/>
  <c r="Y1991" i="1"/>
  <c r="H1991" i="1"/>
  <c r="Z1990" i="1"/>
  <c r="Y1990" i="1"/>
  <c r="H1990" i="1"/>
  <c r="Z1989" i="1"/>
  <c r="Y1989" i="1"/>
  <c r="H1989" i="1"/>
  <c r="Z1988" i="1"/>
  <c r="Y1988" i="1"/>
  <c r="H1988" i="1"/>
  <c r="Z1987" i="1"/>
  <c r="Y1987" i="1"/>
  <c r="H1987" i="1"/>
  <c r="Z1986" i="1"/>
  <c r="Y1986" i="1"/>
  <c r="H1986" i="1"/>
  <c r="Z1985" i="1"/>
  <c r="Y1985" i="1"/>
  <c r="H1985" i="1"/>
  <c r="Z1984" i="1"/>
  <c r="Y1984" i="1"/>
  <c r="H1984" i="1"/>
  <c r="Z1983" i="1"/>
  <c r="Y1983" i="1"/>
  <c r="H1983" i="1"/>
  <c r="Z1982" i="1"/>
  <c r="Y1982" i="1"/>
  <c r="H1982" i="1"/>
  <c r="Z1981" i="1"/>
  <c r="Y1981" i="1"/>
  <c r="H1981" i="1"/>
  <c r="Z1980" i="1"/>
  <c r="Y1980" i="1"/>
  <c r="H1980" i="1"/>
  <c r="Z1979" i="1"/>
  <c r="Y1979" i="1"/>
  <c r="H1979" i="1"/>
  <c r="Z1978" i="1"/>
  <c r="Y1978" i="1"/>
  <c r="H1978" i="1"/>
  <c r="Z1977" i="1"/>
  <c r="Y1977" i="1"/>
  <c r="H1977" i="1"/>
  <c r="Z1976" i="1"/>
  <c r="Y1976" i="1"/>
  <c r="H1976" i="1"/>
  <c r="Z1975" i="1"/>
  <c r="Y1975" i="1"/>
  <c r="H1975" i="1"/>
  <c r="Z1974" i="1"/>
  <c r="Y1974" i="1"/>
  <c r="H1974" i="1"/>
  <c r="Z1973" i="1"/>
  <c r="Y1973" i="1"/>
  <c r="H1973" i="1"/>
  <c r="Z1972" i="1"/>
  <c r="Y1972" i="1"/>
  <c r="H1972" i="1"/>
  <c r="Z1971" i="1"/>
  <c r="Y1971" i="1"/>
  <c r="H1971" i="1"/>
  <c r="Z1970" i="1"/>
  <c r="Y1970" i="1"/>
  <c r="H1970" i="1"/>
  <c r="Z1969" i="1"/>
  <c r="Y1969" i="1"/>
  <c r="H1969" i="1"/>
  <c r="Z1968" i="1"/>
  <c r="Y1968" i="1"/>
  <c r="H1968" i="1"/>
  <c r="Z1967" i="1"/>
  <c r="Y1967" i="1"/>
  <c r="H1967" i="1"/>
  <c r="Z1966" i="1"/>
  <c r="Y1966" i="1"/>
  <c r="H1966" i="1"/>
  <c r="Z1965" i="1"/>
  <c r="Y1965" i="1"/>
  <c r="H1965" i="1"/>
  <c r="Z1964" i="1"/>
  <c r="Y1964" i="1"/>
  <c r="H1964" i="1"/>
  <c r="Z1963" i="1"/>
  <c r="Y1963" i="1"/>
  <c r="H1963" i="1"/>
  <c r="Z1962" i="1"/>
  <c r="Y1962" i="1"/>
  <c r="H1962" i="1"/>
  <c r="Z1961" i="1"/>
  <c r="Y1961" i="1"/>
  <c r="H1961" i="1"/>
  <c r="Z1960" i="1"/>
  <c r="Y1960" i="1"/>
  <c r="H1960" i="1"/>
  <c r="Z1959" i="1"/>
  <c r="Y1959" i="1"/>
  <c r="H1959" i="1"/>
  <c r="Z1958" i="1"/>
  <c r="Y1958" i="1"/>
  <c r="H1958" i="1"/>
  <c r="Z1957" i="1"/>
  <c r="Y1957" i="1"/>
  <c r="H1957" i="1"/>
  <c r="Z1956" i="1"/>
  <c r="Y1956" i="1"/>
  <c r="H1956" i="1"/>
  <c r="Z1955" i="1"/>
  <c r="Y1955" i="1"/>
  <c r="H1955" i="1"/>
  <c r="Z1954" i="1"/>
  <c r="Y1954" i="1"/>
  <c r="H1954" i="1"/>
  <c r="Z1953" i="1"/>
  <c r="Y1953" i="1"/>
  <c r="H1953" i="1"/>
  <c r="Z1952" i="1"/>
  <c r="Y1952" i="1"/>
  <c r="H1952" i="1"/>
  <c r="Z1951" i="1"/>
  <c r="Y1951" i="1"/>
  <c r="H1951" i="1"/>
  <c r="Z1950" i="1"/>
  <c r="Y1950" i="1"/>
  <c r="H1950" i="1"/>
  <c r="Z1949" i="1"/>
  <c r="Y1949" i="1"/>
  <c r="H1949" i="1"/>
  <c r="Z1948" i="1"/>
  <c r="Y1948" i="1"/>
  <c r="H1948" i="1"/>
  <c r="Z1947" i="1"/>
  <c r="Y1947" i="1"/>
  <c r="H1947" i="1"/>
  <c r="Z1946" i="1"/>
  <c r="Y1946" i="1"/>
  <c r="H1946" i="1"/>
  <c r="Z1945" i="1"/>
  <c r="Y1945" i="1"/>
  <c r="H1945" i="1"/>
  <c r="Z1944" i="1"/>
  <c r="Y1944" i="1"/>
  <c r="H1944" i="1"/>
  <c r="Z1943" i="1"/>
  <c r="Y1943" i="1"/>
  <c r="H1943" i="1"/>
  <c r="Z1942" i="1"/>
  <c r="Y1942" i="1"/>
  <c r="H1942" i="1"/>
  <c r="Z1941" i="1"/>
  <c r="Y1941" i="1"/>
  <c r="H1941" i="1"/>
  <c r="Z1940" i="1"/>
  <c r="Y1940" i="1"/>
  <c r="H1940" i="1"/>
  <c r="Z1939" i="1"/>
  <c r="Y1939" i="1"/>
  <c r="H1939" i="1"/>
  <c r="Z1938" i="1"/>
  <c r="Y1938" i="1"/>
  <c r="H1938" i="1"/>
  <c r="Z1937" i="1"/>
  <c r="Y1937" i="1"/>
  <c r="H1937" i="1"/>
  <c r="Z1936" i="1"/>
  <c r="Y1936" i="1"/>
  <c r="H1936" i="1"/>
  <c r="Z1935" i="1"/>
  <c r="Y1935" i="1"/>
  <c r="H1935" i="1"/>
  <c r="Z1934" i="1"/>
  <c r="Y1934" i="1"/>
  <c r="H1934" i="1"/>
  <c r="Z1933" i="1"/>
  <c r="Y1933" i="1"/>
  <c r="H1933" i="1"/>
  <c r="Z1932" i="1"/>
  <c r="Y1932" i="1"/>
  <c r="H1932" i="1"/>
  <c r="Z1931" i="1"/>
  <c r="Y1931" i="1"/>
  <c r="H1931" i="1"/>
  <c r="Z1930" i="1"/>
  <c r="Y1930" i="1"/>
  <c r="H1930" i="1"/>
  <c r="Z1929" i="1"/>
  <c r="Y1929" i="1"/>
  <c r="H1929" i="1"/>
  <c r="Z1928" i="1"/>
  <c r="Y1928" i="1"/>
  <c r="H1928" i="1"/>
  <c r="Z1927" i="1"/>
  <c r="Y1927" i="1"/>
  <c r="H1927" i="1"/>
  <c r="Z1926" i="1"/>
  <c r="Y1926" i="1"/>
  <c r="H1926" i="1"/>
  <c r="Z1925" i="1"/>
  <c r="Y1925" i="1"/>
  <c r="H1925" i="1"/>
  <c r="Z1924" i="1"/>
  <c r="Y1924" i="1"/>
  <c r="H1924" i="1"/>
  <c r="Z1923" i="1"/>
  <c r="Y1923" i="1"/>
  <c r="H1923" i="1"/>
  <c r="Z1922" i="1"/>
  <c r="Y1922" i="1"/>
  <c r="H1922" i="1"/>
  <c r="Z1921" i="1"/>
  <c r="Y1921" i="1"/>
  <c r="H1921" i="1"/>
  <c r="Z1920" i="1"/>
  <c r="Y1920" i="1"/>
  <c r="H1920" i="1"/>
  <c r="Z1919" i="1"/>
  <c r="Y1919" i="1"/>
  <c r="H1919" i="1"/>
  <c r="Z1918" i="1"/>
  <c r="Y1918" i="1"/>
  <c r="H1918" i="1"/>
  <c r="Z1917" i="1"/>
  <c r="Y1917" i="1"/>
  <c r="H1917" i="1"/>
  <c r="Z1916" i="1"/>
  <c r="Y1916" i="1"/>
  <c r="H1916" i="1"/>
  <c r="Z1915" i="1"/>
  <c r="Y1915" i="1"/>
  <c r="H1915" i="1"/>
  <c r="Z1914" i="1"/>
  <c r="Y1914" i="1"/>
  <c r="H1914" i="1"/>
  <c r="Z1913" i="1"/>
  <c r="Y1913" i="1"/>
  <c r="H1913" i="1"/>
  <c r="Z1912" i="1"/>
  <c r="Y1912" i="1"/>
  <c r="H1912" i="1"/>
  <c r="Z1911" i="1"/>
  <c r="Y1911" i="1"/>
  <c r="H1911" i="1"/>
  <c r="Z1910" i="1"/>
  <c r="Y1910" i="1"/>
  <c r="H1910" i="1"/>
  <c r="Z1909" i="1"/>
  <c r="Y1909" i="1"/>
  <c r="H1909" i="1"/>
  <c r="Z1908" i="1"/>
  <c r="Y1908" i="1"/>
  <c r="H1908" i="1"/>
  <c r="Z1907" i="1"/>
  <c r="Y1907" i="1"/>
  <c r="H1907" i="1"/>
  <c r="Z1906" i="1"/>
  <c r="Y1906" i="1"/>
  <c r="H1906" i="1"/>
  <c r="Z1905" i="1"/>
  <c r="Y1905" i="1"/>
  <c r="H1905" i="1"/>
  <c r="Z1904" i="1"/>
  <c r="Y1904" i="1"/>
  <c r="H1904" i="1"/>
  <c r="Z1903" i="1"/>
  <c r="Y1903" i="1"/>
  <c r="H1903" i="1"/>
  <c r="Z1902" i="1"/>
  <c r="Y1902" i="1"/>
  <c r="H1902" i="1"/>
  <c r="Z1901" i="1"/>
  <c r="Y1901" i="1"/>
  <c r="H1901" i="1"/>
  <c r="Z1900" i="1"/>
  <c r="Y1900" i="1"/>
  <c r="H1900" i="1"/>
  <c r="Z1899" i="1"/>
  <c r="Y1899" i="1"/>
  <c r="H1899" i="1"/>
  <c r="Z1898" i="1"/>
  <c r="Y1898" i="1"/>
  <c r="H1898" i="1"/>
  <c r="Z1897" i="1"/>
  <c r="Y1897" i="1"/>
  <c r="H1897" i="1"/>
  <c r="Z1896" i="1"/>
  <c r="Y1896" i="1"/>
  <c r="H1896" i="1"/>
  <c r="Z1895" i="1"/>
  <c r="Y1895" i="1"/>
  <c r="H1895" i="1"/>
  <c r="Z1894" i="1"/>
  <c r="Y1894" i="1"/>
  <c r="H1894" i="1"/>
  <c r="Z1893" i="1"/>
  <c r="Y1893" i="1"/>
  <c r="H1893" i="1"/>
  <c r="Z1892" i="1"/>
  <c r="Y1892" i="1"/>
  <c r="H1892" i="1"/>
  <c r="Z1891" i="1"/>
  <c r="Y1891" i="1"/>
  <c r="H1891" i="1"/>
  <c r="Z1890" i="1"/>
  <c r="Y1890" i="1"/>
  <c r="H1890" i="1"/>
  <c r="Z1889" i="1"/>
  <c r="Y1889" i="1"/>
  <c r="H1889" i="1"/>
  <c r="Z1888" i="1"/>
  <c r="Y1888" i="1"/>
  <c r="H1888" i="1"/>
  <c r="Z1887" i="1"/>
  <c r="Y1887" i="1"/>
  <c r="H1887" i="1"/>
  <c r="Z1886" i="1"/>
  <c r="Y1886" i="1"/>
  <c r="H1886" i="1"/>
  <c r="Z1885" i="1"/>
  <c r="Y1885" i="1"/>
  <c r="H1885" i="1"/>
  <c r="Z1884" i="1"/>
  <c r="Y1884" i="1"/>
  <c r="H1884" i="1"/>
  <c r="Z1883" i="1"/>
  <c r="Y1883" i="1"/>
  <c r="H1883" i="1"/>
  <c r="Z1882" i="1"/>
  <c r="Y1882" i="1"/>
  <c r="H1882" i="1"/>
  <c r="Z1881" i="1"/>
  <c r="Y1881" i="1"/>
  <c r="H1881" i="1"/>
  <c r="Z1880" i="1"/>
  <c r="Y1880" i="1"/>
  <c r="H1880" i="1"/>
  <c r="Z1879" i="1"/>
  <c r="Y1879" i="1"/>
  <c r="H1879" i="1"/>
  <c r="Z1878" i="1"/>
  <c r="Y1878" i="1"/>
  <c r="H1878" i="1"/>
  <c r="Z1877" i="1"/>
  <c r="Y1877" i="1"/>
  <c r="H1877" i="1"/>
  <c r="Z1876" i="1"/>
  <c r="Y1876" i="1"/>
  <c r="H1876" i="1"/>
  <c r="Z1875" i="1"/>
  <c r="Y1875" i="1"/>
  <c r="H1875" i="1"/>
  <c r="Z1874" i="1"/>
  <c r="Y1874" i="1"/>
  <c r="H1874" i="1"/>
  <c r="Z1873" i="1"/>
  <c r="Y1873" i="1"/>
  <c r="H1873" i="1"/>
  <c r="Z1872" i="1"/>
  <c r="Y1872" i="1"/>
  <c r="H1872" i="1"/>
  <c r="Z1871" i="1"/>
  <c r="Y1871" i="1"/>
  <c r="H1871" i="1"/>
  <c r="Z1870" i="1"/>
  <c r="Y1870" i="1"/>
  <c r="H1870" i="1"/>
  <c r="Z1869" i="1"/>
  <c r="Y1869" i="1"/>
  <c r="H1869" i="1"/>
  <c r="Z1868" i="1"/>
  <c r="Y1868" i="1"/>
  <c r="H1868" i="1"/>
  <c r="Z1867" i="1"/>
  <c r="Y1867" i="1"/>
  <c r="H1867" i="1"/>
  <c r="Z1866" i="1"/>
  <c r="Y1866" i="1"/>
  <c r="H1866" i="1"/>
  <c r="Z1865" i="1"/>
  <c r="Y1865" i="1"/>
  <c r="H1865" i="1"/>
  <c r="Z1864" i="1"/>
  <c r="Y1864" i="1"/>
  <c r="H1864" i="1"/>
  <c r="Z1863" i="1"/>
  <c r="Y1863" i="1"/>
  <c r="H1863" i="1"/>
  <c r="Z1862" i="1"/>
  <c r="Y1862" i="1"/>
  <c r="H1862" i="1"/>
  <c r="Z1861" i="1"/>
  <c r="Y1861" i="1"/>
  <c r="H1861" i="1"/>
  <c r="Z1860" i="1"/>
  <c r="Y1860" i="1"/>
  <c r="H1860" i="1"/>
  <c r="Z1859" i="1"/>
  <c r="Y1859" i="1"/>
  <c r="H1859" i="1"/>
  <c r="Z1858" i="1"/>
  <c r="Y1858" i="1"/>
  <c r="H1858" i="1"/>
  <c r="Z1857" i="1"/>
  <c r="Y1857" i="1"/>
  <c r="H1857" i="1"/>
  <c r="Z1856" i="1"/>
  <c r="Y1856" i="1"/>
  <c r="H1856" i="1"/>
  <c r="Z1855" i="1"/>
  <c r="Y1855" i="1"/>
  <c r="H1855" i="1"/>
  <c r="Z1854" i="1"/>
  <c r="Y1854" i="1"/>
  <c r="H1854" i="1"/>
  <c r="Z1853" i="1"/>
  <c r="Y1853" i="1"/>
  <c r="H1853" i="1"/>
  <c r="Z1852" i="1"/>
  <c r="Y1852" i="1"/>
  <c r="H1852" i="1"/>
  <c r="Z1851" i="1"/>
  <c r="Y1851" i="1"/>
  <c r="H1851" i="1"/>
  <c r="Z1850" i="1"/>
  <c r="Y1850" i="1"/>
  <c r="H1850" i="1"/>
  <c r="Z1849" i="1"/>
  <c r="Y1849" i="1"/>
  <c r="H1849" i="1"/>
  <c r="Z1848" i="1"/>
  <c r="Y1848" i="1"/>
  <c r="H1848" i="1"/>
  <c r="Z1847" i="1"/>
  <c r="Y1847" i="1"/>
  <c r="H1847" i="1"/>
  <c r="Z1846" i="1"/>
  <c r="Y1846" i="1"/>
  <c r="H1846" i="1"/>
  <c r="Z1845" i="1"/>
  <c r="Y1845" i="1"/>
  <c r="H1845" i="1"/>
  <c r="Z1844" i="1"/>
  <c r="Y1844" i="1"/>
  <c r="H1844" i="1"/>
  <c r="Z1843" i="1"/>
  <c r="Y1843" i="1"/>
  <c r="H1843" i="1"/>
  <c r="Z1842" i="1"/>
  <c r="Y1842" i="1"/>
  <c r="H1842" i="1"/>
  <c r="Z1841" i="1"/>
  <c r="Y1841" i="1"/>
  <c r="H1841" i="1"/>
  <c r="Z1840" i="1"/>
  <c r="Y1840" i="1"/>
  <c r="H1840" i="1"/>
  <c r="Z1839" i="1"/>
  <c r="Y1839" i="1"/>
  <c r="H1839" i="1"/>
  <c r="Z1838" i="1"/>
  <c r="Y1838" i="1"/>
  <c r="H1838" i="1"/>
  <c r="Z1837" i="1"/>
  <c r="Y1837" i="1"/>
  <c r="H1837" i="1"/>
  <c r="Z1836" i="1"/>
  <c r="Y1836" i="1"/>
  <c r="H1836" i="1"/>
  <c r="Z1835" i="1"/>
  <c r="Y1835" i="1"/>
  <c r="H1835" i="1"/>
  <c r="Z1834" i="1"/>
  <c r="Y1834" i="1"/>
  <c r="H1834" i="1"/>
  <c r="Z1833" i="1"/>
  <c r="Y1833" i="1"/>
  <c r="H1833" i="1"/>
  <c r="Z1832" i="1"/>
  <c r="Y1832" i="1"/>
  <c r="H1832" i="1"/>
  <c r="Z1831" i="1"/>
  <c r="Y1831" i="1"/>
  <c r="H1831" i="1"/>
  <c r="Z1830" i="1"/>
  <c r="Y1830" i="1"/>
  <c r="H1830" i="1"/>
  <c r="Z1829" i="1"/>
  <c r="Y1829" i="1"/>
  <c r="H1829" i="1"/>
  <c r="Z1828" i="1"/>
  <c r="Y1828" i="1"/>
  <c r="H1828" i="1"/>
  <c r="Z1827" i="1"/>
  <c r="Y1827" i="1"/>
  <c r="H1827" i="1"/>
  <c r="Z1826" i="1"/>
  <c r="Y1826" i="1"/>
  <c r="H1826" i="1"/>
  <c r="Z1825" i="1"/>
  <c r="Y1825" i="1"/>
  <c r="H1825" i="1"/>
  <c r="Z1824" i="1"/>
  <c r="Y1824" i="1"/>
  <c r="H1824" i="1"/>
  <c r="Z1823" i="1"/>
  <c r="Y1823" i="1"/>
  <c r="H1823" i="1"/>
  <c r="Z1822" i="1"/>
  <c r="Y1822" i="1"/>
  <c r="H1822" i="1"/>
  <c r="Z1821" i="1"/>
  <c r="Y1821" i="1"/>
  <c r="H1821" i="1"/>
  <c r="Z1820" i="1"/>
  <c r="Y1820" i="1"/>
  <c r="H1820" i="1"/>
  <c r="Z1819" i="1"/>
  <c r="Y1819" i="1"/>
  <c r="H1819" i="1"/>
  <c r="Z1818" i="1"/>
  <c r="Y1818" i="1"/>
  <c r="H1818" i="1"/>
  <c r="Z1817" i="1"/>
  <c r="Y1817" i="1"/>
  <c r="H1817" i="1"/>
  <c r="Z1816" i="1"/>
  <c r="Y1816" i="1"/>
  <c r="H1816" i="1"/>
  <c r="Z1815" i="1"/>
  <c r="Y1815" i="1"/>
  <c r="H1815" i="1"/>
  <c r="Z1814" i="1"/>
  <c r="Y1814" i="1"/>
  <c r="H1814" i="1"/>
  <c r="Z1813" i="1"/>
  <c r="Y1813" i="1"/>
  <c r="H1813" i="1"/>
  <c r="Z1812" i="1"/>
  <c r="Y1812" i="1"/>
  <c r="H1812" i="1"/>
  <c r="Z1811" i="1"/>
  <c r="Y1811" i="1"/>
  <c r="H1811" i="1"/>
  <c r="Z1810" i="1"/>
  <c r="Y1810" i="1"/>
  <c r="H1810" i="1"/>
  <c r="Z1809" i="1"/>
  <c r="Y1809" i="1"/>
  <c r="H1809" i="1"/>
  <c r="Z1808" i="1"/>
  <c r="Y1808" i="1"/>
  <c r="H1808" i="1"/>
  <c r="Z1807" i="1"/>
  <c r="Y1807" i="1"/>
  <c r="H1807" i="1"/>
  <c r="Z1806" i="1"/>
  <c r="Y1806" i="1"/>
  <c r="H1806" i="1"/>
  <c r="Z1805" i="1"/>
  <c r="Y1805" i="1"/>
  <c r="H1805" i="1"/>
  <c r="Z1804" i="1"/>
  <c r="Y1804" i="1"/>
  <c r="H1804" i="1"/>
  <c r="Z1803" i="1"/>
  <c r="Y1803" i="1"/>
  <c r="H1803" i="1"/>
  <c r="Z1802" i="1"/>
  <c r="Y1802" i="1"/>
  <c r="H1802" i="1"/>
  <c r="Z1801" i="1"/>
  <c r="Y1801" i="1"/>
  <c r="H1801" i="1"/>
  <c r="Z1800" i="1"/>
  <c r="Y1800" i="1"/>
  <c r="H1800" i="1"/>
  <c r="Z1799" i="1"/>
  <c r="Y1799" i="1"/>
  <c r="H1799" i="1"/>
  <c r="Z1798" i="1"/>
  <c r="Y1798" i="1"/>
  <c r="H1798" i="1"/>
  <c r="Z1797" i="1"/>
  <c r="Y1797" i="1"/>
  <c r="H1797" i="1"/>
  <c r="Z1796" i="1"/>
  <c r="Y1796" i="1"/>
  <c r="H1796" i="1"/>
  <c r="Z1795" i="1"/>
  <c r="Y1795" i="1"/>
  <c r="H1795" i="1"/>
  <c r="Z1794" i="1"/>
  <c r="Y1794" i="1"/>
  <c r="H1794" i="1"/>
  <c r="Z1793" i="1"/>
  <c r="Y1793" i="1"/>
  <c r="H1793" i="1"/>
  <c r="Z1792" i="1"/>
  <c r="Y1792" i="1"/>
  <c r="H1792" i="1"/>
  <c r="Z1791" i="1"/>
  <c r="Y1791" i="1"/>
  <c r="H1791" i="1"/>
  <c r="Z1790" i="1"/>
  <c r="Y1790" i="1"/>
  <c r="H1790" i="1"/>
  <c r="Z1789" i="1"/>
  <c r="Y1789" i="1"/>
  <c r="H1789" i="1"/>
  <c r="Z1788" i="1"/>
  <c r="Y1788" i="1"/>
  <c r="H1788" i="1"/>
  <c r="Z1787" i="1"/>
  <c r="Y1787" i="1"/>
  <c r="H1787" i="1"/>
  <c r="Z1786" i="1"/>
  <c r="Y1786" i="1"/>
  <c r="H1786" i="1"/>
  <c r="Z1785" i="1"/>
  <c r="Y1785" i="1"/>
  <c r="H1785" i="1"/>
  <c r="Z1784" i="1"/>
  <c r="Y1784" i="1"/>
  <c r="H1784" i="1"/>
  <c r="Z1783" i="1"/>
  <c r="Y1783" i="1"/>
  <c r="H1783" i="1"/>
  <c r="Z1782" i="1"/>
  <c r="Y1782" i="1"/>
  <c r="H1782" i="1"/>
  <c r="Z1781" i="1"/>
  <c r="Y1781" i="1"/>
  <c r="H1781" i="1"/>
  <c r="Z1780" i="1"/>
  <c r="Y1780" i="1"/>
  <c r="H1780" i="1"/>
  <c r="Z1779" i="1"/>
  <c r="Y1779" i="1"/>
  <c r="H1779" i="1"/>
  <c r="Z1778" i="1"/>
  <c r="Y1778" i="1"/>
  <c r="H1778" i="1"/>
  <c r="Z1777" i="1"/>
  <c r="Y1777" i="1"/>
  <c r="H1777" i="1"/>
  <c r="Z1776" i="1"/>
  <c r="Y1776" i="1"/>
  <c r="H1776" i="1"/>
  <c r="Z1775" i="1"/>
  <c r="Y1775" i="1"/>
  <c r="H1775" i="1"/>
  <c r="Z1774" i="1"/>
  <c r="Y1774" i="1"/>
  <c r="H1774" i="1"/>
  <c r="Z1773" i="1"/>
  <c r="Y1773" i="1"/>
  <c r="H1773" i="1"/>
  <c r="Z1772" i="1"/>
  <c r="Y1772" i="1"/>
  <c r="H1772" i="1"/>
  <c r="Z1771" i="1"/>
  <c r="Y1771" i="1"/>
  <c r="H1771" i="1"/>
  <c r="Z1770" i="1"/>
  <c r="Y1770" i="1"/>
  <c r="H1770" i="1"/>
  <c r="Z1769" i="1"/>
  <c r="Y1769" i="1"/>
  <c r="H1769" i="1"/>
  <c r="Z1768" i="1"/>
  <c r="Y1768" i="1"/>
  <c r="H1768" i="1"/>
  <c r="Z1767" i="1"/>
  <c r="Y1767" i="1"/>
  <c r="H1767" i="1"/>
  <c r="Z1766" i="1"/>
  <c r="Y1766" i="1"/>
  <c r="H1766" i="1"/>
  <c r="Z1765" i="1"/>
  <c r="Y1765" i="1"/>
  <c r="H1765" i="1"/>
  <c r="Z1764" i="1"/>
  <c r="Y1764" i="1"/>
  <c r="H1764" i="1"/>
  <c r="Z1763" i="1"/>
  <c r="Y1763" i="1"/>
  <c r="H1763" i="1"/>
  <c r="Z1762" i="1"/>
  <c r="Y1762" i="1"/>
  <c r="H1762" i="1"/>
  <c r="Z1761" i="1"/>
  <c r="Y1761" i="1"/>
  <c r="H1761" i="1"/>
  <c r="Z1760" i="1"/>
  <c r="Y1760" i="1"/>
  <c r="H1760" i="1"/>
  <c r="Z1759" i="1"/>
  <c r="Y1759" i="1"/>
  <c r="H1759" i="1"/>
  <c r="Z1758" i="1"/>
  <c r="Y1758" i="1"/>
  <c r="H1758" i="1"/>
  <c r="Z1757" i="1"/>
  <c r="Y1757" i="1"/>
  <c r="H1757" i="1"/>
  <c r="Z1756" i="1"/>
  <c r="Y1756" i="1"/>
  <c r="H1756" i="1"/>
  <c r="Z1755" i="1"/>
  <c r="Y1755" i="1"/>
  <c r="H1755" i="1"/>
  <c r="Z1754" i="1"/>
  <c r="Y1754" i="1"/>
  <c r="H1754" i="1"/>
  <c r="Z1753" i="1"/>
  <c r="Y1753" i="1"/>
  <c r="H1753" i="1"/>
  <c r="Z1752" i="1"/>
  <c r="Y1752" i="1"/>
  <c r="H1752" i="1"/>
  <c r="Z1751" i="1"/>
  <c r="Y1751" i="1"/>
  <c r="H1751" i="1"/>
  <c r="Z1750" i="1"/>
  <c r="Y1750" i="1"/>
  <c r="H1750" i="1"/>
  <c r="Z1749" i="1"/>
  <c r="Y1749" i="1"/>
  <c r="H1749" i="1"/>
  <c r="Z1748" i="1"/>
  <c r="Y1748" i="1"/>
  <c r="H1748" i="1"/>
  <c r="Z1747" i="1"/>
  <c r="Y1747" i="1"/>
  <c r="H1747" i="1"/>
  <c r="Z1746" i="1"/>
  <c r="Y1746" i="1"/>
  <c r="H1746" i="1"/>
  <c r="Z1745" i="1"/>
  <c r="Y1745" i="1"/>
  <c r="H1745" i="1"/>
  <c r="Z1744" i="1"/>
  <c r="Y1744" i="1"/>
  <c r="H1744" i="1"/>
  <c r="Z1743" i="1"/>
  <c r="Y1743" i="1"/>
  <c r="H1743" i="1"/>
  <c r="Z1742" i="1"/>
  <c r="Y1742" i="1"/>
  <c r="H1742" i="1"/>
  <c r="Z1741" i="1"/>
  <c r="Y1741" i="1"/>
  <c r="H1741" i="1"/>
  <c r="Z1740" i="1"/>
  <c r="Y1740" i="1"/>
  <c r="H1740" i="1"/>
  <c r="Z1739" i="1"/>
  <c r="Y1739" i="1"/>
  <c r="H1739" i="1"/>
  <c r="Z1738" i="1"/>
  <c r="Y1738" i="1"/>
  <c r="H1738" i="1"/>
  <c r="Z1737" i="1"/>
  <c r="Y1737" i="1"/>
  <c r="H1737" i="1"/>
  <c r="Z1736" i="1"/>
  <c r="Y1736" i="1"/>
  <c r="H1736" i="1"/>
  <c r="Z1735" i="1"/>
  <c r="Y1735" i="1"/>
  <c r="H1735" i="1"/>
  <c r="Z1734" i="1"/>
  <c r="Y1734" i="1"/>
  <c r="H1734" i="1"/>
  <c r="Z1733" i="1"/>
  <c r="Y1733" i="1"/>
  <c r="H1733" i="1"/>
  <c r="Z1732" i="1"/>
  <c r="Y1732" i="1"/>
  <c r="H1732" i="1"/>
  <c r="Z1731" i="1"/>
  <c r="Y1731" i="1"/>
  <c r="H1731" i="1"/>
  <c r="Z1730" i="1"/>
  <c r="Y1730" i="1"/>
  <c r="H1730" i="1"/>
  <c r="Z1729" i="1"/>
  <c r="Y1729" i="1"/>
  <c r="H1729" i="1"/>
  <c r="Z1728" i="1"/>
  <c r="Y1728" i="1"/>
  <c r="H1728" i="1"/>
  <c r="Z1727" i="1"/>
  <c r="Y1727" i="1"/>
  <c r="H1727" i="1"/>
  <c r="Z1726" i="1"/>
  <c r="Y1726" i="1"/>
  <c r="H1726" i="1"/>
  <c r="Z1725" i="1"/>
  <c r="Y1725" i="1"/>
  <c r="H1725" i="1"/>
  <c r="Z1724" i="1"/>
  <c r="Y1724" i="1"/>
  <c r="H1724" i="1"/>
  <c r="Z1723" i="1"/>
  <c r="Y1723" i="1"/>
  <c r="H1723" i="1"/>
  <c r="Z1722" i="1"/>
  <c r="Y1722" i="1"/>
  <c r="H1722" i="1"/>
  <c r="Z1721" i="1"/>
  <c r="Y1721" i="1"/>
  <c r="H1721" i="1"/>
  <c r="Z1720" i="1"/>
  <c r="Y1720" i="1"/>
  <c r="H1720" i="1"/>
  <c r="Z1719" i="1"/>
  <c r="Y1719" i="1"/>
  <c r="H1719" i="1"/>
  <c r="Z1718" i="1"/>
  <c r="Y1718" i="1"/>
  <c r="H1718" i="1"/>
  <c r="Z1717" i="1"/>
  <c r="Y1717" i="1"/>
  <c r="H1717" i="1"/>
  <c r="Z1716" i="1"/>
  <c r="Y1716" i="1"/>
  <c r="H1716" i="1"/>
  <c r="Z1715" i="1"/>
  <c r="Y1715" i="1"/>
  <c r="H1715" i="1"/>
  <c r="Z1714" i="1"/>
  <c r="Y1714" i="1"/>
  <c r="H1714" i="1"/>
  <c r="Z1713" i="1"/>
  <c r="Y1713" i="1"/>
  <c r="H1713" i="1"/>
  <c r="Z1712" i="1"/>
  <c r="Y1712" i="1"/>
  <c r="H1712" i="1"/>
  <c r="Z1711" i="1"/>
  <c r="Y1711" i="1"/>
  <c r="H1711" i="1"/>
  <c r="Z1710" i="1"/>
  <c r="Y1710" i="1"/>
  <c r="H1710" i="1"/>
  <c r="Z1709" i="1"/>
  <c r="Y1709" i="1"/>
  <c r="H1709" i="1"/>
  <c r="Z1708" i="1"/>
  <c r="Y1708" i="1"/>
  <c r="H1708" i="1"/>
  <c r="Z1707" i="1"/>
  <c r="Y1707" i="1"/>
  <c r="H1707" i="1"/>
  <c r="Z1706" i="1"/>
  <c r="Y1706" i="1"/>
  <c r="H1706" i="1"/>
  <c r="Z1705" i="1"/>
  <c r="Y1705" i="1"/>
  <c r="H1705" i="1"/>
  <c r="Z1704" i="1"/>
  <c r="Y1704" i="1"/>
  <c r="H1704" i="1"/>
  <c r="Z1703" i="1"/>
  <c r="Y1703" i="1"/>
  <c r="H1703" i="1"/>
  <c r="Z1702" i="1"/>
  <c r="Y1702" i="1"/>
  <c r="H1702" i="1"/>
  <c r="Z1701" i="1"/>
  <c r="Y1701" i="1"/>
  <c r="H1701" i="1"/>
  <c r="Z1700" i="1"/>
  <c r="Y1700" i="1"/>
  <c r="H1700" i="1"/>
  <c r="Z1699" i="1"/>
  <c r="Y1699" i="1"/>
  <c r="H1699" i="1"/>
  <c r="Z1698" i="1"/>
  <c r="Y1698" i="1"/>
  <c r="H1698" i="1"/>
  <c r="Z1697" i="1"/>
  <c r="Y1697" i="1"/>
  <c r="H1697" i="1"/>
  <c r="Z1696" i="1"/>
  <c r="Y1696" i="1"/>
  <c r="H1696" i="1"/>
  <c r="Z1695" i="1"/>
  <c r="Y1695" i="1"/>
  <c r="H1695" i="1"/>
  <c r="Z1694" i="1"/>
  <c r="Y1694" i="1"/>
  <c r="H1694" i="1"/>
  <c r="Z1693" i="1"/>
  <c r="Y1693" i="1"/>
  <c r="H1693" i="1"/>
  <c r="Z1692" i="1"/>
  <c r="Y1692" i="1"/>
  <c r="H1692" i="1"/>
  <c r="Z1691" i="1"/>
  <c r="Y1691" i="1"/>
  <c r="H1691" i="1"/>
  <c r="Z1690" i="1"/>
  <c r="Y1690" i="1"/>
  <c r="H1690" i="1"/>
  <c r="Z1689" i="1"/>
  <c r="Y1689" i="1"/>
  <c r="H1689" i="1"/>
  <c r="Z1688" i="1"/>
  <c r="Y1688" i="1"/>
  <c r="H1688" i="1"/>
  <c r="Z1687" i="1"/>
  <c r="Y1687" i="1"/>
  <c r="H1687" i="1"/>
  <c r="Z1686" i="1"/>
  <c r="Y1686" i="1"/>
  <c r="H1686" i="1"/>
  <c r="Z1685" i="1"/>
  <c r="Y1685" i="1"/>
  <c r="H1685" i="1"/>
  <c r="Z1684" i="1"/>
  <c r="Y1684" i="1"/>
  <c r="H1684" i="1"/>
  <c r="Z1683" i="1"/>
  <c r="Y1683" i="1"/>
  <c r="H1683" i="1"/>
  <c r="Z1682" i="1"/>
  <c r="Y1682" i="1"/>
  <c r="H1682" i="1"/>
  <c r="Z1681" i="1"/>
  <c r="Y1681" i="1"/>
  <c r="H1681" i="1"/>
  <c r="Z1680" i="1"/>
  <c r="Y1680" i="1"/>
  <c r="H1680" i="1"/>
  <c r="Z1679" i="1"/>
  <c r="Y1679" i="1"/>
  <c r="H1679" i="1"/>
  <c r="Z1678" i="1"/>
  <c r="Y1678" i="1"/>
  <c r="H1678" i="1"/>
  <c r="Z1677" i="1"/>
  <c r="Y1677" i="1"/>
  <c r="H1677" i="1"/>
  <c r="Z1676" i="1"/>
  <c r="Y1676" i="1"/>
  <c r="H1676" i="1"/>
  <c r="Z1675" i="1"/>
  <c r="Y1675" i="1"/>
  <c r="H1675" i="1"/>
  <c r="Z1674" i="1"/>
  <c r="Y1674" i="1"/>
  <c r="H1674" i="1"/>
  <c r="Z1673" i="1"/>
  <c r="Y1673" i="1"/>
  <c r="H1673" i="1"/>
  <c r="Z1672" i="1"/>
  <c r="Y1672" i="1"/>
  <c r="H1672" i="1"/>
  <c r="Z1671" i="1"/>
  <c r="Y1671" i="1"/>
  <c r="H1671" i="1"/>
  <c r="Z1670" i="1"/>
  <c r="Y1670" i="1"/>
  <c r="H1670" i="1"/>
  <c r="Z1669" i="1"/>
  <c r="Y1669" i="1"/>
  <c r="H1669" i="1"/>
  <c r="Z1668" i="1"/>
  <c r="Y1668" i="1"/>
  <c r="H1668" i="1"/>
  <c r="Z1667" i="1"/>
  <c r="Y1667" i="1"/>
  <c r="H1667" i="1"/>
  <c r="Z1666" i="1"/>
  <c r="Y1666" i="1"/>
  <c r="H1666" i="1"/>
  <c r="Z1665" i="1"/>
  <c r="Y1665" i="1"/>
  <c r="H1665" i="1"/>
  <c r="Z1664" i="1"/>
  <c r="Y1664" i="1"/>
  <c r="H1664" i="1"/>
  <c r="Z1663" i="1"/>
  <c r="Y1663" i="1"/>
  <c r="H1663" i="1"/>
  <c r="Z1662" i="1"/>
  <c r="Y1662" i="1"/>
  <c r="H1662" i="1"/>
  <c r="Z1661" i="1"/>
  <c r="Y1661" i="1"/>
  <c r="H1661" i="1"/>
  <c r="Z1660" i="1"/>
  <c r="Y1660" i="1"/>
  <c r="H1660" i="1"/>
  <c r="Z1659" i="1"/>
  <c r="Y1659" i="1"/>
  <c r="H1659" i="1"/>
  <c r="Z1658" i="1"/>
  <c r="Y1658" i="1"/>
  <c r="H1658" i="1"/>
  <c r="Z1657" i="1"/>
  <c r="Y1657" i="1"/>
  <c r="H1657" i="1"/>
  <c r="Z1656" i="1"/>
  <c r="Y1656" i="1"/>
  <c r="H1656" i="1"/>
  <c r="Z1655" i="1"/>
  <c r="Y1655" i="1"/>
  <c r="H1655" i="1"/>
  <c r="Z1654" i="1"/>
  <c r="Y1654" i="1"/>
  <c r="H1654" i="1"/>
  <c r="Z1653" i="1"/>
  <c r="Y1653" i="1"/>
  <c r="H1653" i="1"/>
  <c r="Z1652" i="1"/>
  <c r="Y1652" i="1"/>
  <c r="H1652" i="1"/>
  <c r="Z1651" i="1"/>
  <c r="Y1651" i="1"/>
  <c r="H1651" i="1"/>
  <c r="Z1650" i="1"/>
  <c r="Y1650" i="1"/>
  <c r="H1650" i="1"/>
  <c r="Z1649" i="1"/>
  <c r="Y1649" i="1"/>
  <c r="H1649" i="1"/>
  <c r="Z1648" i="1"/>
  <c r="Y1648" i="1"/>
  <c r="H1648" i="1"/>
  <c r="Z1647" i="1"/>
  <c r="Y1647" i="1"/>
  <c r="H1647" i="1"/>
  <c r="Z1646" i="1"/>
  <c r="Y1646" i="1"/>
  <c r="H1646" i="1"/>
  <c r="Z1645" i="1"/>
  <c r="Y1645" i="1"/>
  <c r="H1645" i="1"/>
  <c r="Z1644" i="1"/>
  <c r="Y1644" i="1"/>
  <c r="H1644" i="1"/>
  <c r="Z1643" i="1"/>
  <c r="Y1643" i="1"/>
  <c r="H1643" i="1"/>
  <c r="Z1642" i="1"/>
  <c r="Y1642" i="1"/>
  <c r="H1642" i="1"/>
  <c r="Z1641" i="1"/>
  <c r="Y1641" i="1"/>
  <c r="H1641" i="1"/>
  <c r="Z1640" i="1"/>
  <c r="Y1640" i="1"/>
  <c r="H1640" i="1"/>
  <c r="Z1639" i="1"/>
  <c r="Y1639" i="1"/>
  <c r="H1639" i="1"/>
  <c r="Z1638" i="1"/>
  <c r="Y1638" i="1"/>
  <c r="H1638" i="1"/>
  <c r="Z1637" i="1"/>
  <c r="Y1637" i="1"/>
  <c r="H1637" i="1"/>
  <c r="Z1636" i="1"/>
  <c r="Y1636" i="1"/>
  <c r="H1636" i="1"/>
  <c r="Z1635" i="1"/>
  <c r="Y1635" i="1"/>
  <c r="H1635" i="1"/>
  <c r="Z1634" i="1"/>
  <c r="Y1634" i="1"/>
  <c r="H1634" i="1"/>
  <c r="Z1633" i="1"/>
  <c r="Y1633" i="1"/>
  <c r="H1633" i="1"/>
  <c r="Z1632" i="1"/>
  <c r="Y1632" i="1"/>
  <c r="H1632" i="1"/>
  <c r="Z1631" i="1"/>
  <c r="Y1631" i="1"/>
  <c r="H1631" i="1"/>
  <c r="Z1630" i="1"/>
  <c r="Y1630" i="1"/>
  <c r="H1630" i="1"/>
  <c r="Z1629" i="1"/>
  <c r="Y1629" i="1"/>
  <c r="H1629" i="1"/>
  <c r="Z1628" i="1"/>
  <c r="Y1628" i="1"/>
  <c r="H1628" i="1"/>
  <c r="Z1627" i="1"/>
  <c r="Y1627" i="1"/>
  <c r="H1627" i="1"/>
  <c r="Z1626" i="1"/>
  <c r="Y1626" i="1"/>
  <c r="H1626" i="1"/>
  <c r="Z1625" i="1"/>
  <c r="Y1625" i="1"/>
  <c r="H1625" i="1"/>
  <c r="Z1624" i="1"/>
  <c r="Y1624" i="1"/>
  <c r="H1624" i="1"/>
  <c r="Z1623" i="1"/>
  <c r="Y1623" i="1"/>
  <c r="H1623" i="1"/>
  <c r="Z1622" i="1"/>
  <c r="Y1622" i="1"/>
  <c r="H1622" i="1"/>
  <c r="Z1621" i="1"/>
  <c r="Y1621" i="1"/>
  <c r="H1621" i="1"/>
  <c r="Z1620" i="1"/>
  <c r="Y1620" i="1"/>
  <c r="H1620" i="1"/>
  <c r="Z1619" i="1"/>
  <c r="Y1619" i="1"/>
  <c r="H1619" i="1"/>
  <c r="Z1618" i="1"/>
  <c r="Y1618" i="1"/>
  <c r="H1618" i="1"/>
  <c r="Z1617" i="1"/>
  <c r="Y1617" i="1"/>
  <c r="H1617" i="1"/>
  <c r="Z1616" i="1"/>
  <c r="Y1616" i="1"/>
  <c r="H1616" i="1"/>
  <c r="Z1615" i="1"/>
  <c r="Y1615" i="1"/>
  <c r="H1615" i="1"/>
  <c r="Z1614" i="1"/>
  <c r="Y1614" i="1"/>
  <c r="H1614" i="1"/>
  <c r="Z1613" i="1"/>
  <c r="Y1613" i="1"/>
  <c r="H1613" i="1"/>
  <c r="Z1612" i="1"/>
  <c r="Y1612" i="1"/>
  <c r="H1612" i="1"/>
  <c r="Z1611" i="1"/>
  <c r="Y1611" i="1"/>
  <c r="H1611" i="1"/>
  <c r="Z1610" i="1"/>
  <c r="Y1610" i="1"/>
  <c r="H1610" i="1"/>
  <c r="Z1609" i="1"/>
  <c r="Y1609" i="1"/>
  <c r="H1609" i="1"/>
  <c r="Z1608" i="1"/>
  <c r="Y1608" i="1"/>
  <c r="H1608" i="1"/>
  <c r="Z1607" i="1"/>
  <c r="Y1607" i="1"/>
  <c r="H1607" i="1"/>
  <c r="Z1606" i="1"/>
  <c r="Y1606" i="1"/>
  <c r="H1606" i="1"/>
  <c r="Z1605" i="1"/>
  <c r="Y1605" i="1"/>
  <c r="H1605" i="1"/>
  <c r="Z1604" i="1"/>
  <c r="Y1604" i="1"/>
  <c r="H1604" i="1"/>
  <c r="Z1603" i="1"/>
  <c r="Y1603" i="1"/>
  <c r="H1603" i="1"/>
  <c r="Z1602" i="1"/>
  <c r="Y1602" i="1"/>
  <c r="H1602" i="1"/>
  <c r="Z1601" i="1"/>
  <c r="Y1601" i="1"/>
  <c r="H1601" i="1"/>
  <c r="Z1600" i="1"/>
  <c r="Y1600" i="1"/>
  <c r="H1600" i="1"/>
  <c r="Z1599" i="1"/>
  <c r="Y1599" i="1"/>
  <c r="H1599" i="1"/>
  <c r="Z1598" i="1"/>
  <c r="Y1598" i="1"/>
  <c r="H1598" i="1"/>
  <c r="Z1597" i="1"/>
  <c r="Y1597" i="1"/>
  <c r="H1597" i="1"/>
  <c r="Z1596" i="1"/>
  <c r="Y1596" i="1"/>
  <c r="H1596" i="1"/>
  <c r="Z1595" i="1"/>
  <c r="Y1595" i="1"/>
  <c r="H1595" i="1"/>
  <c r="Z1594" i="1"/>
  <c r="Y1594" i="1"/>
  <c r="H1594" i="1"/>
  <c r="Z1593" i="1"/>
  <c r="Y1593" i="1"/>
  <c r="H1593" i="1"/>
  <c r="Z1592" i="1"/>
  <c r="Y1592" i="1"/>
  <c r="H1592" i="1"/>
  <c r="Z1591" i="1"/>
  <c r="Y1591" i="1"/>
  <c r="H1591" i="1"/>
  <c r="Z1590" i="1"/>
  <c r="Y1590" i="1"/>
  <c r="H1590" i="1"/>
  <c r="Z1589" i="1"/>
  <c r="Y1589" i="1"/>
  <c r="H1589" i="1"/>
  <c r="Z1588" i="1"/>
  <c r="Y1588" i="1"/>
  <c r="H1588" i="1"/>
  <c r="Z1587" i="1"/>
  <c r="Y1587" i="1"/>
  <c r="H1587" i="1"/>
  <c r="Z1586" i="1"/>
  <c r="Y1586" i="1"/>
  <c r="H1586" i="1"/>
  <c r="Z1585" i="1"/>
  <c r="Y1585" i="1"/>
  <c r="H1585" i="1"/>
  <c r="Z1584" i="1"/>
  <c r="Y1584" i="1"/>
  <c r="H1584" i="1"/>
  <c r="Z1583" i="1"/>
  <c r="Y1583" i="1"/>
  <c r="H1583" i="1"/>
  <c r="Z1582" i="1"/>
  <c r="Y1582" i="1"/>
  <c r="H1582" i="1"/>
  <c r="Z1581" i="1"/>
  <c r="Y1581" i="1"/>
  <c r="H1581" i="1"/>
  <c r="Z1580" i="1"/>
  <c r="Y1580" i="1"/>
  <c r="H1580" i="1"/>
  <c r="Z1579" i="1"/>
  <c r="Y1579" i="1"/>
  <c r="H1579" i="1"/>
  <c r="Z1578" i="1"/>
  <c r="Y1578" i="1"/>
  <c r="H1578" i="1"/>
  <c r="Z1577" i="1"/>
  <c r="Y1577" i="1"/>
  <c r="H1577" i="1"/>
  <c r="Z1576" i="1"/>
  <c r="Y1576" i="1"/>
  <c r="H1576" i="1"/>
  <c r="Z1575" i="1"/>
  <c r="Y1575" i="1"/>
  <c r="H1575" i="1"/>
  <c r="Z1574" i="1"/>
  <c r="Y1574" i="1"/>
  <c r="H1574" i="1"/>
  <c r="Z1573" i="1"/>
  <c r="Y1573" i="1"/>
  <c r="H1573" i="1"/>
  <c r="Z1572" i="1"/>
  <c r="Y1572" i="1"/>
  <c r="H1572" i="1"/>
  <c r="Z1571" i="1"/>
  <c r="Y1571" i="1"/>
  <c r="H1571" i="1"/>
  <c r="Z1570" i="1"/>
  <c r="Y1570" i="1"/>
  <c r="H1570" i="1"/>
  <c r="Z1569" i="1"/>
  <c r="Y1569" i="1"/>
  <c r="H1569" i="1"/>
  <c r="Z1568" i="1"/>
  <c r="Y1568" i="1"/>
  <c r="H1568" i="1"/>
  <c r="Z1567" i="1"/>
  <c r="Y1567" i="1"/>
  <c r="H1567" i="1"/>
  <c r="Z1566" i="1"/>
  <c r="Y1566" i="1"/>
  <c r="H1566" i="1"/>
  <c r="Z1565" i="1"/>
  <c r="Y1565" i="1"/>
  <c r="H1565" i="1"/>
  <c r="Z1564" i="1"/>
  <c r="Y1564" i="1"/>
  <c r="H1564" i="1"/>
  <c r="Z1563" i="1"/>
  <c r="Y1563" i="1"/>
  <c r="H1563" i="1"/>
  <c r="Z1562" i="1"/>
  <c r="Y1562" i="1"/>
  <c r="H1562" i="1"/>
  <c r="Z1561" i="1"/>
  <c r="Y1561" i="1"/>
  <c r="H1561" i="1"/>
  <c r="Z1560" i="1"/>
  <c r="Y1560" i="1"/>
  <c r="H1560" i="1"/>
  <c r="Z1559" i="1"/>
  <c r="Y1559" i="1"/>
  <c r="H1559" i="1"/>
  <c r="Z1558" i="1"/>
  <c r="Y1558" i="1"/>
  <c r="H1558" i="1"/>
  <c r="Z1557" i="1"/>
  <c r="Y1557" i="1"/>
  <c r="H1557" i="1"/>
  <c r="Z1556" i="1"/>
  <c r="Y1556" i="1"/>
  <c r="H1556" i="1"/>
  <c r="Z1555" i="1"/>
  <c r="Y1555" i="1"/>
  <c r="H1555" i="1"/>
  <c r="Z1554" i="1"/>
  <c r="Y1554" i="1"/>
  <c r="H1554" i="1"/>
  <c r="Z1553" i="1"/>
  <c r="Y1553" i="1"/>
  <c r="H1553" i="1"/>
  <c r="Z1552" i="1"/>
  <c r="Y1552" i="1"/>
  <c r="H1552" i="1"/>
  <c r="Z1551" i="1"/>
  <c r="Y1551" i="1"/>
  <c r="H1551" i="1"/>
  <c r="Z1550" i="1"/>
  <c r="Y1550" i="1"/>
  <c r="H1550" i="1"/>
  <c r="Z1549" i="1"/>
  <c r="Y1549" i="1"/>
  <c r="H1549" i="1"/>
  <c r="Z1548" i="1"/>
  <c r="Y1548" i="1"/>
  <c r="H1548" i="1"/>
  <c r="Z1547" i="1"/>
  <c r="Y1547" i="1"/>
  <c r="H1547" i="1"/>
  <c r="Z1546" i="1"/>
  <c r="Y1546" i="1"/>
  <c r="H1546" i="1"/>
  <c r="Z1545" i="1"/>
  <c r="Y1545" i="1"/>
  <c r="H1545" i="1"/>
  <c r="Z1544" i="1"/>
  <c r="Y1544" i="1"/>
  <c r="H1544" i="1"/>
  <c r="Z1543" i="1"/>
  <c r="Y1543" i="1"/>
  <c r="H1543" i="1"/>
  <c r="Z1542" i="1"/>
  <c r="Y1542" i="1"/>
  <c r="H1542" i="1"/>
  <c r="Z1541" i="1"/>
  <c r="Y1541" i="1"/>
  <c r="H1541" i="1"/>
  <c r="Z1540" i="1"/>
  <c r="Y1540" i="1"/>
  <c r="H1540" i="1"/>
  <c r="Z1539" i="1"/>
  <c r="Y1539" i="1"/>
  <c r="H1539" i="1"/>
  <c r="Z1538" i="1"/>
  <c r="Y1538" i="1"/>
  <c r="H1538" i="1"/>
  <c r="Z1537" i="1"/>
  <c r="Y1537" i="1"/>
  <c r="H1537" i="1"/>
  <c r="Z1536" i="1"/>
  <c r="Y1536" i="1"/>
  <c r="H1536" i="1"/>
  <c r="Z1535" i="1"/>
  <c r="Y1535" i="1"/>
  <c r="H1535" i="1"/>
  <c r="Z1534" i="1"/>
  <c r="Y1534" i="1"/>
  <c r="H1534" i="1"/>
  <c r="Z1533" i="1"/>
  <c r="Y1533" i="1"/>
  <c r="H1533" i="1"/>
  <c r="Z1532" i="1"/>
  <c r="Y1532" i="1"/>
  <c r="H1532" i="1"/>
  <c r="Z1531" i="1"/>
  <c r="Y1531" i="1"/>
  <c r="H1531" i="1"/>
  <c r="Z1530" i="1"/>
  <c r="Y1530" i="1"/>
  <c r="H1530" i="1"/>
  <c r="Z1529" i="1"/>
  <c r="Y1529" i="1"/>
  <c r="H1529" i="1"/>
  <c r="Z1528" i="1"/>
  <c r="Y1528" i="1"/>
  <c r="H1528" i="1"/>
  <c r="Z1527" i="1"/>
  <c r="Y1527" i="1"/>
  <c r="H1527" i="1"/>
  <c r="Z1526" i="1"/>
  <c r="Y1526" i="1"/>
  <c r="H1526" i="1"/>
  <c r="Z1525" i="1"/>
  <c r="Y1525" i="1"/>
  <c r="H1525" i="1"/>
  <c r="Z1524" i="1"/>
  <c r="Y1524" i="1"/>
  <c r="H1524" i="1"/>
  <c r="Z1523" i="1"/>
  <c r="Y1523" i="1"/>
  <c r="H1523" i="1"/>
  <c r="Z1522" i="1"/>
  <c r="Y1522" i="1"/>
  <c r="H1522" i="1"/>
  <c r="Z1521" i="1"/>
  <c r="Y1521" i="1"/>
  <c r="H1521" i="1"/>
  <c r="Z1520" i="1"/>
  <c r="Y1520" i="1"/>
  <c r="H1520" i="1"/>
  <c r="Z1519" i="1"/>
  <c r="Y1519" i="1"/>
  <c r="H1519" i="1"/>
  <c r="Z1518" i="1"/>
  <c r="Y1518" i="1"/>
  <c r="H1518" i="1"/>
  <c r="Z1517" i="1"/>
  <c r="Y1517" i="1"/>
  <c r="H1517" i="1"/>
  <c r="Z1516" i="1"/>
  <c r="Y1516" i="1"/>
  <c r="H1516" i="1"/>
  <c r="Z1515" i="1"/>
  <c r="Y1515" i="1"/>
  <c r="H1515" i="1"/>
  <c r="Z1514" i="1"/>
  <c r="Y1514" i="1"/>
  <c r="H1514" i="1"/>
  <c r="Z1513" i="1"/>
  <c r="Y1513" i="1"/>
  <c r="H1513" i="1"/>
  <c r="Z1512" i="1"/>
  <c r="Y1512" i="1"/>
  <c r="H1512" i="1"/>
  <c r="Z1511" i="1"/>
  <c r="Y1511" i="1"/>
  <c r="H1511" i="1"/>
  <c r="Z1510" i="1"/>
  <c r="Y1510" i="1"/>
  <c r="H1510" i="1"/>
  <c r="Z1509" i="1"/>
  <c r="Y1509" i="1"/>
  <c r="H1509" i="1"/>
  <c r="Z1508" i="1"/>
  <c r="Y1508" i="1"/>
  <c r="H1508" i="1"/>
  <c r="Z1507" i="1"/>
  <c r="Y1507" i="1"/>
  <c r="H1507" i="1"/>
  <c r="Z1506" i="1"/>
  <c r="Y1506" i="1"/>
  <c r="H1506" i="1"/>
  <c r="Z1505" i="1"/>
  <c r="Y1505" i="1"/>
  <c r="H1505" i="1"/>
  <c r="Z1504" i="1"/>
  <c r="Y1504" i="1"/>
  <c r="H1504" i="1"/>
  <c r="Z1503" i="1"/>
  <c r="Y1503" i="1"/>
  <c r="H1503" i="1"/>
  <c r="Z1502" i="1"/>
  <c r="Y1502" i="1"/>
  <c r="H1502" i="1"/>
  <c r="Z1501" i="1"/>
  <c r="Y1501" i="1"/>
  <c r="H1501" i="1"/>
  <c r="Z1500" i="1"/>
  <c r="Y1500" i="1"/>
  <c r="H1500" i="1"/>
  <c r="Z1499" i="1"/>
  <c r="Y1499" i="1"/>
  <c r="H1499" i="1"/>
  <c r="Z1498" i="1"/>
  <c r="Y1498" i="1"/>
  <c r="H1498" i="1"/>
  <c r="Z1497" i="1"/>
  <c r="Y1497" i="1"/>
  <c r="H1497" i="1"/>
  <c r="Z1496" i="1"/>
  <c r="Y1496" i="1"/>
  <c r="H1496" i="1"/>
  <c r="Z1495" i="1"/>
  <c r="Y1495" i="1"/>
  <c r="H1495" i="1"/>
  <c r="Z1494" i="1"/>
  <c r="Y1494" i="1"/>
  <c r="H1494" i="1"/>
  <c r="Z1493" i="1"/>
  <c r="Y1493" i="1"/>
  <c r="H1493" i="1"/>
  <c r="Z1492" i="1"/>
  <c r="Y1492" i="1"/>
  <c r="H1492" i="1"/>
  <c r="Z1491" i="1"/>
  <c r="Y1491" i="1"/>
  <c r="H1491" i="1"/>
  <c r="Z1490" i="1"/>
  <c r="Y1490" i="1"/>
  <c r="H1490" i="1"/>
  <c r="Z1489" i="1"/>
  <c r="Y1489" i="1"/>
  <c r="H1489" i="1"/>
  <c r="Z1488" i="1"/>
  <c r="Y1488" i="1"/>
  <c r="H1488" i="1"/>
  <c r="Z1487" i="1"/>
  <c r="Y1487" i="1"/>
  <c r="H1487" i="1"/>
  <c r="Z1486" i="1"/>
  <c r="Y1486" i="1"/>
  <c r="H1486" i="1"/>
  <c r="Z1485" i="1"/>
  <c r="Y1485" i="1"/>
  <c r="H1485" i="1"/>
  <c r="Z1484" i="1"/>
  <c r="Y1484" i="1"/>
  <c r="H1484" i="1"/>
  <c r="Z1483" i="1"/>
  <c r="Y1483" i="1"/>
  <c r="H1483" i="1"/>
  <c r="Z1482" i="1"/>
  <c r="Y1482" i="1"/>
  <c r="H1482" i="1"/>
  <c r="Z1481" i="1"/>
  <c r="Y1481" i="1"/>
  <c r="H1481" i="1"/>
  <c r="Z1480" i="1"/>
  <c r="Y1480" i="1"/>
  <c r="H1480" i="1"/>
  <c r="Z1479" i="1"/>
  <c r="Y1479" i="1"/>
  <c r="H1479" i="1"/>
  <c r="Z1478" i="1"/>
  <c r="Y1478" i="1"/>
  <c r="H1478" i="1"/>
  <c r="Z1477" i="1"/>
  <c r="Y1477" i="1"/>
  <c r="H1477" i="1"/>
  <c r="Z1476" i="1"/>
  <c r="Y1476" i="1"/>
  <c r="H1476" i="1"/>
  <c r="Z1475" i="1"/>
  <c r="Y1475" i="1"/>
  <c r="H1475" i="1"/>
  <c r="Z1474" i="1"/>
  <c r="Y1474" i="1"/>
  <c r="H1474" i="1"/>
  <c r="Z1473" i="1"/>
  <c r="Y1473" i="1"/>
  <c r="H1473" i="1"/>
  <c r="Z1472" i="1"/>
  <c r="Y1472" i="1"/>
  <c r="H1472" i="1"/>
  <c r="Z1471" i="1"/>
  <c r="Y1471" i="1"/>
  <c r="H1471" i="1"/>
  <c r="Z1470" i="1"/>
  <c r="Y1470" i="1"/>
  <c r="H1470" i="1"/>
  <c r="Z1469" i="1"/>
  <c r="Y1469" i="1"/>
  <c r="H1469" i="1"/>
  <c r="Z1468" i="1"/>
  <c r="Y1468" i="1"/>
  <c r="H1468" i="1"/>
  <c r="Z1467" i="1"/>
  <c r="Y1467" i="1"/>
  <c r="H1467" i="1"/>
  <c r="Z1466" i="1"/>
  <c r="Y1466" i="1"/>
  <c r="H1466" i="1"/>
  <c r="Z1465" i="1"/>
  <c r="Y1465" i="1"/>
  <c r="H1465" i="1"/>
  <c r="Z1464" i="1"/>
  <c r="Y1464" i="1"/>
  <c r="H1464" i="1"/>
  <c r="Z1463" i="1"/>
  <c r="Y1463" i="1"/>
  <c r="H1463" i="1"/>
  <c r="Z1462" i="1"/>
  <c r="Y1462" i="1"/>
  <c r="H1462" i="1"/>
  <c r="Z1461" i="1"/>
  <c r="Y1461" i="1"/>
  <c r="H1461" i="1"/>
  <c r="Z1460" i="1"/>
  <c r="Y1460" i="1"/>
  <c r="H1460" i="1"/>
  <c r="Z1459" i="1"/>
  <c r="Y1459" i="1"/>
  <c r="H1459" i="1"/>
  <c r="Z1458" i="1"/>
  <c r="Y1458" i="1"/>
  <c r="H1458" i="1"/>
  <c r="Z1457" i="1"/>
  <c r="Y1457" i="1"/>
  <c r="H1457" i="1"/>
  <c r="Z1456" i="1"/>
  <c r="Y1456" i="1"/>
  <c r="H1456" i="1"/>
  <c r="Z1455" i="1"/>
  <c r="Y1455" i="1"/>
  <c r="H1455" i="1"/>
  <c r="Z1454" i="1"/>
  <c r="Y1454" i="1"/>
  <c r="H1454" i="1"/>
  <c r="Z1453" i="1"/>
  <c r="Y1453" i="1"/>
  <c r="H1453" i="1"/>
  <c r="Z1452" i="1"/>
  <c r="Y1452" i="1"/>
  <c r="H1452" i="1"/>
  <c r="Z1451" i="1"/>
  <c r="Y1451" i="1"/>
  <c r="H1451" i="1"/>
  <c r="Z1450" i="1"/>
  <c r="Y1450" i="1"/>
  <c r="H1450" i="1"/>
  <c r="Z1449" i="1"/>
  <c r="Y1449" i="1"/>
  <c r="H1449" i="1"/>
  <c r="Z1448" i="1"/>
  <c r="Y1448" i="1"/>
  <c r="H1448" i="1"/>
  <c r="Z1447" i="1"/>
  <c r="Y1447" i="1"/>
  <c r="H1447" i="1"/>
  <c r="Z1446" i="1"/>
  <c r="Y1446" i="1"/>
  <c r="H1446" i="1"/>
  <c r="Z1445" i="1"/>
  <c r="Y1445" i="1"/>
  <c r="H1445" i="1"/>
  <c r="Z1444" i="1"/>
  <c r="Y1444" i="1"/>
  <c r="H1444" i="1"/>
  <c r="Z1443" i="1"/>
  <c r="Y1443" i="1"/>
  <c r="H1443" i="1"/>
  <c r="Z1442" i="1"/>
  <c r="Y1442" i="1"/>
  <c r="H1442" i="1"/>
  <c r="Z1441" i="1"/>
  <c r="Y1441" i="1"/>
  <c r="H1441" i="1"/>
  <c r="Z1440" i="1"/>
  <c r="Y1440" i="1"/>
  <c r="H1440" i="1"/>
  <c r="Z1439" i="1"/>
  <c r="Y1439" i="1"/>
  <c r="H1439" i="1"/>
  <c r="Z1438" i="1"/>
  <c r="Y1438" i="1"/>
  <c r="H1438" i="1"/>
  <c r="Z1437" i="1"/>
  <c r="Y1437" i="1"/>
  <c r="H1437" i="1"/>
  <c r="Z1436" i="1"/>
  <c r="Y1436" i="1"/>
  <c r="H1436" i="1"/>
  <c r="Z1435" i="1"/>
  <c r="Y1435" i="1"/>
  <c r="H1435" i="1"/>
  <c r="Z1434" i="1"/>
  <c r="Y1434" i="1"/>
  <c r="H1434" i="1"/>
  <c r="Z1433" i="1"/>
  <c r="Y1433" i="1"/>
  <c r="H1433" i="1"/>
  <c r="Z1432" i="1"/>
  <c r="Y1432" i="1"/>
  <c r="H1432" i="1"/>
  <c r="Z1431" i="1"/>
  <c r="Y1431" i="1"/>
  <c r="H1431" i="1"/>
  <c r="Z1430" i="1"/>
  <c r="Y1430" i="1"/>
  <c r="H1430" i="1"/>
  <c r="Z1429" i="1"/>
  <c r="Y1429" i="1"/>
  <c r="H1429" i="1"/>
  <c r="Z1428" i="1"/>
  <c r="Y1428" i="1"/>
  <c r="H1428" i="1"/>
  <c r="Z1427" i="1"/>
  <c r="Y1427" i="1"/>
  <c r="H1427" i="1"/>
  <c r="Z1426" i="1"/>
  <c r="Y1426" i="1"/>
  <c r="H1426" i="1"/>
  <c r="Z1425" i="1"/>
  <c r="Y1425" i="1"/>
  <c r="H1425" i="1"/>
  <c r="Z1424" i="1"/>
  <c r="Y1424" i="1"/>
  <c r="H1424" i="1"/>
  <c r="Z1423" i="1"/>
  <c r="Y1423" i="1"/>
  <c r="H1423" i="1"/>
  <c r="Z1422" i="1"/>
  <c r="Y1422" i="1"/>
  <c r="H1422" i="1"/>
  <c r="Z1421" i="1"/>
  <c r="Y1421" i="1"/>
  <c r="H1421" i="1"/>
  <c r="Z1420" i="1"/>
  <c r="Y1420" i="1"/>
  <c r="H1420" i="1"/>
  <c r="Z1419" i="1"/>
  <c r="Y1419" i="1"/>
  <c r="H1419" i="1"/>
  <c r="Z1418" i="1"/>
  <c r="Y1418" i="1"/>
  <c r="H1418" i="1"/>
  <c r="Z1417" i="1"/>
  <c r="Y1417" i="1"/>
  <c r="H1417" i="1"/>
  <c r="Z1416" i="1"/>
  <c r="Y1416" i="1"/>
  <c r="H1416" i="1"/>
  <c r="Z1415" i="1"/>
  <c r="Y1415" i="1"/>
  <c r="H1415" i="1"/>
  <c r="Z1414" i="1"/>
  <c r="Y1414" i="1"/>
  <c r="H1414" i="1"/>
  <c r="Z1413" i="1"/>
  <c r="Y1413" i="1"/>
  <c r="H1413" i="1"/>
  <c r="Z1412" i="1"/>
  <c r="Y1412" i="1"/>
  <c r="H1412" i="1"/>
  <c r="Z1411" i="1"/>
  <c r="Y1411" i="1"/>
  <c r="H1411" i="1"/>
  <c r="Z1410" i="1"/>
  <c r="Y1410" i="1"/>
  <c r="H1410" i="1"/>
  <c r="Z1409" i="1"/>
  <c r="Y1409" i="1"/>
  <c r="H1409" i="1"/>
  <c r="Z1408" i="1"/>
  <c r="Y1408" i="1"/>
  <c r="H1408" i="1"/>
  <c r="Z1407" i="1"/>
  <c r="Y1407" i="1"/>
  <c r="H1407" i="1"/>
  <c r="Z1406" i="1"/>
  <c r="Y1406" i="1"/>
  <c r="H1406" i="1"/>
  <c r="Z1405" i="1"/>
  <c r="Y1405" i="1"/>
  <c r="H1405" i="1"/>
  <c r="Z1404" i="1"/>
  <c r="Y1404" i="1"/>
  <c r="H1404" i="1"/>
  <c r="Z1403" i="1"/>
  <c r="Y1403" i="1"/>
  <c r="H1403" i="1"/>
  <c r="Z1402" i="1"/>
  <c r="Y1402" i="1"/>
  <c r="H1402" i="1"/>
  <c r="Z1401" i="1"/>
  <c r="Y1401" i="1"/>
  <c r="H1401" i="1"/>
  <c r="Z1400" i="1"/>
  <c r="Y1400" i="1"/>
  <c r="H1400" i="1"/>
  <c r="Z1399" i="1"/>
  <c r="Y1399" i="1"/>
  <c r="H1399" i="1"/>
  <c r="Z1398" i="1"/>
  <c r="Y1398" i="1"/>
  <c r="H1398" i="1"/>
  <c r="Z1397" i="1"/>
  <c r="Y1397" i="1"/>
  <c r="H1397" i="1"/>
  <c r="Z1396" i="1"/>
  <c r="Y1396" i="1"/>
  <c r="H1396" i="1"/>
  <c r="Z1395" i="1"/>
  <c r="Y1395" i="1"/>
  <c r="H1395" i="1"/>
  <c r="Z1394" i="1"/>
  <c r="Y1394" i="1"/>
  <c r="H1394" i="1"/>
  <c r="Z1393" i="1"/>
  <c r="Y1393" i="1"/>
  <c r="H1393" i="1"/>
  <c r="Z1392" i="1"/>
  <c r="Y1392" i="1"/>
  <c r="H1392" i="1"/>
  <c r="Z1391" i="1"/>
  <c r="Y1391" i="1"/>
  <c r="H1391" i="1"/>
  <c r="Z1390" i="1"/>
  <c r="Y1390" i="1"/>
  <c r="H1390" i="1"/>
  <c r="Z1389" i="1"/>
  <c r="Y1389" i="1"/>
  <c r="H1389" i="1"/>
  <c r="Z1388" i="1"/>
  <c r="Y1388" i="1"/>
  <c r="H1388" i="1"/>
  <c r="Z1387" i="1"/>
  <c r="Y1387" i="1"/>
  <c r="H1387" i="1"/>
  <c r="Z1386" i="1"/>
  <c r="Y1386" i="1"/>
  <c r="H1386" i="1"/>
  <c r="Z1385" i="1"/>
  <c r="Y1385" i="1"/>
  <c r="H1385" i="1"/>
  <c r="Z1384" i="1"/>
  <c r="Y1384" i="1"/>
  <c r="H1384" i="1"/>
  <c r="Z1383" i="1"/>
  <c r="Y1383" i="1"/>
  <c r="H1383" i="1"/>
  <c r="Z1382" i="1"/>
  <c r="Y1382" i="1"/>
  <c r="H1382" i="1"/>
  <c r="Z1381" i="1"/>
  <c r="Y1381" i="1"/>
  <c r="H1381" i="1"/>
  <c r="Z1380" i="1"/>
  <c r="Y1380" i="1"/>
  <c r="H1380" i="1"/>
  <c r="Z1379" i="1"/>
  <c r="Y1379" i="1"/>
  <c r="H1379" i="1"/>
  <c r="Z1378" i="1"/>
  <c r="Y1378" i="1"/>
  <c r="H1378" i="1"/>
  <c r="Z1377" i="1"/>
  <c r="Y1377" i="1"/>
  <c r="H1377" i="1"/>
  <c r="Z1376" i="1"/>
  <c r="Y1376" i="1"/>
  <c r="H1376" i="1"/>
  <c r="Z1375" i="1"/>
  <c r="Y1375" i="1"/>
  <c r="H1375" i="1"/>
  <c r="Z1374" i="1"/>
  <c r="Y1374" i="1"/>
  <c r="H1374" i="1"/>
  <c r="Z1373" i="1"/>
  <c r="Y1373" i="1"/>
  <c r="H1373" i="1"/>
  <c r="Z1372" i="1"/>
  <c r="Y1372" i="1"/>
  <c r="H1372" i="1"/>
  <c r="Z1371" i="1"/>
  <c r="Y1371" i="1"/>
  <c r="H1371" i="1"/>
  <c r="Z1370" i="1"/>
  <c r="Y1370" i="1"/>
  <c r="H1370" i="1"/>
  <c r="Z1369" i="1"/>
  <c r="Y1369" i="1"/>
  <c r="H1369" i="1"/>
  <c r="Z1368" i="1"/>
  <c r="Y1368" i="1"/>
  <c r="H1368" i="1"/>
  <c r="Z1367" i="1"/>
  <c r="Y1367" i="1"/>
  <c r="H1367" i="1"/>
  <c r="Z1366" i="1"/>
  <c r="Y1366" i="1"/>
  <c r="H1366" i="1"/>
  <c r="Z1365" i="1"/>
  <c r="Y1365" i="1"/>
  <c r="H1365" i="1"/>
  <c r="Z1364" i="1"/>
  <c r="Y1364" i="1"/>
  <c r="H1364" i="1"/>
  <c r="Z1363" i="1"/>
  <c r="Y1363" i="1"/>
  <c r="H1363" i="1"/>
  <c r="Z1362" i="1"/>
  <c r="Y1362" i="1"/>
  <c r="H1362" i="1"/>
  <c r="Z1361" i="1"/>
  <c r="Y1361" i="1"/>
  <c r="H1361" i="1"/>
  <c r="Z1360" i="1"/>
  <c r="Y1360" i="1"/>
  <c r="H1360" i="1"/>
  <c r="Z1359" i="1"/>
  <c r="Y1359" i="1"/>
  <c r="H1359" i="1"/>
  <c r="Z1358" i="1"/>
  <c r="Y1358" i="1"/>
  <c r="H1358" i="1"/>
  <c r="Z1357" i="1"/>
  <c r="Y1357" i="1"/>
  <c r="H1357" i="1"/>
  <c r="Z1356" i="1"/>
  <c r="Y1356" i="1"/>
  <c r="H1356" i="1"/>
  <c r="Z1355" i="1"/>
  <c r="Y1355" i="1"/>
  <c r="H1355" i="1"/>
  <c r="Z1354" i="1"/>
  <c r="Y1354" i="1"/>
  <c r="H1354" i="1"/>
  <c r="Z1353" i="1"/>
  <c r="Y1353" i="1"/>
  <c r="H1353" i="1"/>
  <c r="Z1352" i="1"/>
  <c r="Y1352" i="1"/>
  <c r="H1352" i="1"/>
  <c r="Z1351" i="1"/>
  <c r="Y1351" i="1"/>
  <c r="H1351" i="1"/>
  <c r="Z1350" i="1"/>
  <c r="Y1350" i="1"/>
  <c r="H1350" i="1"/>
  <c r="Z1349" i="1"/>
  <c r="Y1349" i="1"/>
  <c r="H1349" i="1"/>
  <c r="Z1348" i="1"/>
  <c r="Y1348" i="1"/>
  <c r="H1348" i="1"/>
  <c r="Z1347" i="1"/>
  <c r="Y1347" i="1"/>
  <c r="H1347" i="1"/>
  <c r="Z1346" i="1"/>
  <c r="Y1346" i="1"/>
  <c r="H1346" i="1"/>
  <c r="Z1345" i="1"/>
  <c r="Y1345" i="1"/>
  <c r="H1345" i="1"/>
  <c r="Z1344" i="1"/>
  <c r="Y1344" i="1"/>
  <c r="H1344" i="1"/>
  <c r="Z1343" i="1"/>
  <c r="Y1343" i="1"/>
  <c r="H1343" i="1"/>
  <c r="Z1342" i="1"/>
  <c r="Y1342" i="1"/>
  <c r="H1342" i="1"/>
  <c r="Z1341" i="1"/>
  <c r="Y1341" i="1"/>
  <c r="H1341" i="1"/>
  <c r="Z1340" i="1"/>
  <c r="Y1340" i="1"/>
  <c r="H1340" i="1"/>
  <c r="Z1339" i="1"/>
  <c r="Y1339" i="1"/>
  <c r="H1339" i="1"/>
  <c r="Z1338" i="1"/>
  <c r="Y1338" i="1"/>
  <c r="H1338" i="1"/>
  <c r="Z1337" i="1"/>
  <c r="Y1337" i="1"/>
  <c r="H1337" i="1"/>
  <c r="Z1336" i="1"/>
  <c r="Y1336" i="1"/>
  <c r="H1336" i="1"/>
  <c r="Z1335" i="1"/>
  <c r="Y1335" i="1"/>
  <c r="H1335" i="1"/>
  <c r="Z1334" i="1"/>
  <c r="Y1334" i="1"/>
  <c r="H1334" i="1"/>
  <c r="Z1333" i="1"/>
  <c r="Y1333" i="1"/>
  <c r="H1333" i="1"/>
  <c r="Z1332" i="1"/>
  <c r="Y1332" i="1"/>
  <c r="H1332" i="1"/>
  <c r="Z1331" i="1"/>
  <c r="Y1331" i="1"/>
  <c r="H1331" i="1"/>
  <c r="Z1330" i="1"/>
  <c r="Y1330" i="1"/>
  <c r="H1330" i="1"/>
  <c r="Z1329" i="1"/>
  <c r="Y1329" i="1"/>
  <c r="H1329" i="1"/>
  <c r="Z1328" i="1"/>
  <c r="Y1328" i="1"/>
  <c r="H1328" i="1"/>
  <c r="Z1327" i="1"/>
  <c r="Y1327" i="1"/>
  <c r="H1327" i="1"/>
  <c r="Z1326" i="1"/>
  <c r="Y1326" i="1"/>
  <c r="H1326" i="1"/>
  <c r="Z1325" i="1"/>
  <c r="Y1325" i="1"/>
  <c r="H1325" i="1"/>
  <c r="Z1324" i="1"/>
  <c r="Y1324" i="1"/>
  <c r="H1324" i="1"/>
  <c r="Z1323" i="1"/>
  <c r="Y1323" i="1"/>
  <c r="H1323" i="1"/>
  <c r="Z1322" i="1"/>
  <c r="Y1322" i="1"/>
  <c r="H1322" i="1"/>
  <c r="Z1321" i="1"/>
  <c r="Y1321" i="1"/>
  <c r="H1321" i="1"/>
  <c r="Z1320" i="1"/>
  <c r="Y1320" i="1"/>
  <c r="H1320" i="1"/>
  <c r="Z1319" i="1"/>
  <c r="Y1319" i="1"/>
  <c r="H1319" i="1"/>
  <c r="Z1318" i="1"/>
  <c r="Y1318" i="1"/>
  <c r="H1318" i="1"/>
  <c r="Z1317" i="1"/>
  <c r="Y1317" i="1"/>
  <c r="H1317" i="1"/>
  <c r="Z1316" i="1"/>
  <c r="Y1316" i="1"/>
  <c r="H1316" i="1"/>
  <c r="Z1315" i="1"/>
  <c r="Y1315" i="1"/>
  <c r="H1315" i="1"/>
  <c r="Z1314" i="1"/>
  <c r="Y1314" i="1"/>
  <c r="H1314" i="1"/>
  <c r="Z1313" i="1"/>
  <c r="Y1313" i="1"/>
  <c r="H1313" i="1"/>
  <c r="Z1312" i="1"/>
  <c r="Y1312" i="1"/>
  <c r="H1312" i="1"/>
  <c r="Z1311" i="1"/>
  <c r="Y1311" i="1"/>
  <c r="H1311" i="1"/>
  <c r="Z1310" i="1"/>
  <c r="Y1310" i="1"/>
  <c r="H1310" i="1"/>
  <c r="Z1309" i="1"/>
  <c r="Y1309" i="1"/>
  <c r="H1309" i="1"/>
  <c r="Z1308" i="1"/>
  <c r="Y1308" i="1"/>
  <c r="H1308" i="1"/>
  <c r="Z1307" i="1"/>
  <c r="Y1307" i="1"/>
  <c r="H1307" i="1"/>
  <c r="Z1306" i="1"/>
  <c r="Y1306" i="1"/>
  <c r="H1306" i="1"/>
  <c r="Z1305" i="1"/>
  <c r="Y1305" i="1"/>
  <c r="H1305" i="1"/>
  <c r="Z1304" i="1"/>
  <c r="Y1304" i="1"/>
  <c r="H1304" i="1"/>
  <c r="Z1303" i="1"/>
  <c r="Y1303" i="1"/>
  <c r="H1303" i="1"/>
  <c r="Z1302" i="1"/>
  <c r="Y1302" i="1"/>
  <c r="H1302" i="1"/>
  <c r="Z1301" i="1"/>
  <c r="Y1301" i="1"/>
  <c r="H1301" i="1"/>
  <c r="Z1300" i="1"/>
  <c r="Y1300" i="1"/>
  <c r="H1300" i="1"/>
  <c r="Z1299" i="1"/>
  <c r="Y1299" i="1"/>
  <c r="H1299" i="1"/>
  <c r="Z1298" i="1"/>
  <c r="Y1298" i="1"/>
  <c r="H1298" i="1"/>
  <c r="Z1297" i="1"/>
  <c r="Y1297" i="1"/>
  <c r="H1297" i="1"/>
  <c r="Z1296" i="1"/>
  <c r="Y1296" i="1"/>
  <c r="H1296" i="1"/>
  <c r="Z1295" i="1"/>
  <c r="Y1295" i="1"/>
  <c r="H1295" i="1"/>
  <c r="Z1294" i="1"/>
  <c r="Y1294" i="1"/>
  <c r="H1294" i="1"/>
  <c r="Z1293" i="1"/>
  <c r="Y1293" i="1"/>
  <c r="H1293" i="1"/>
  <c r="Z1292" i="1"/>
  <c r="Y1292" i="1"/>
  <c r="H1292" i="1"/>
  <c r="Z1291" i="1"/>
  <c r="Y1291" i="1"/>
  <c r="H1291" i="1"/>
  <c r="Z1290" i="1"/>
  <c r="Y1290" i="1"/>
  <c r="H1290" i="1"/>
  <c r="Z1289" i="1"/>
  <c r="Y1289" i="1"/>
  <c r="H1289" i="1"/>
  <c r="Z1288" i="1"/>
  <c r="Y1288" i="1"/>
  <c r="H1288" i="1"/>
  <c r="Z1287" i="1"/>
  <c r="Y1287" i="1"/>
  <c r="H1287" i="1"/>
  <c r="Z1286" i="1"/>
  <c r="Y1286" i="1"/>
  <c r="H1286" i="1"/>
  <c r="Z1285" i="1"/>
  <c r="Y1285" i="1"/>
  <c r="H1285" i="1"/>
  <c r="Z1284" i="1"/>
  <c r="Y1284" i="1"/>
  <c r="H1284" i="1"/>
  <c r="Z1283" i="1"/>
  <c r="Y1283" i="1"/>
  <c r="H1283" i="1"/>
  <c r="Z1282" i="1"/>
  <c r="Y1282" i="1"/>
  <c r="H1282" i="1"/>
  <c r="Z1281" i="1"/>
  <c r="Y1281" i="1"/>
  <c r="H1281" i="1"/>
  <c r="Z1280" i="1"/>
  <c r="Y1280" i="1"/>
  <c r="H1280" i="1"/>
  <c r="Z1279" i="1"/>
  <c r="Y1279" i="1"/>
  <c r="H1279" i="1"/>
  <c r="Z1278" i="1"/>
  <c r="Y1278" i="1"/>
  <c r="H1278" i="1"/>
  <c r="Z1277" i="1"/>
  <c r="Y1277" i="1"/>
  <c r="H1277" i="1"/>
  <c r="Z1276" i="1"/>
  <c r="Y1276" i="1"/>
  <c r="H1276" i="1"/>
  <c r="Z1275" i="1"/>
  <c r="Y1275" i="1"/>
  <c r="H1275" i="1"/>
  <c r="Z1274" i="1"/>
  <c r="Y1274" i="1"/>
  <c r="H1274" i="1"/>
  <c r="Z1273" i="1"/>
  <c r="Y1273" i="1"/>
  <c r="H1273" i="1"/>
  <c r="Z1272" i="1"/>
  <c r="Y1272" i="1"/>
  <c r="H1272" i="1"/>
  <c r="Z1271" i="1"/>
  <c r="Y1271" i="1"/>
  <c r="H1271" i="1"/>
  <c r="Z1270" i="1"/>
  <c r="Y1270" i="1"/>
  <c r="H1270" i="1"/>
  <c r="Z1269" i="1"/>
  <c r="Y1269" i="1"/>
  <c r="H1269" i="1"/>
  <c r="Z1268" i="1"/>
  <c r="Y1268" i="1"/>
  <c r="H1268" i="1"/>
  <c r="Z1267" i="1"/>
  <c r="Y1267" i="1"/>
  <c r="H1267" i="1"/>
  <c r="Z1266" i="1"/>
  <c r="Y1266" i="1"/>
  <c r="H1266" i="1"/>
  <c r="Z1265" i="1"/>
  <c r="Y1265" i="1"/>
  <c r="H1265" i="1"/>
  <c r="Z1264" i="1"/>
  <c r="Y1264" i="1"/>
  <c r="H1264" i="1"/>
  <c r="Z1263" i="1"/>
  <c r="Y1263" i="1"/>
  <c r="H1263" i="1"/>
  <c r="Z1262" i="1"/>
  <c r="Y1262" i="1"/>
  <c r="H1262" i="1"/>
  <c r="Z1261" i="1"/>
  <c r="Y1261" i="1"/>
  <c r="H1261" i="1"/>
  <c r="Z1260" i="1"/>
  <c r="Y1260" i="1"/>
  <c r="H1260" i="1"/>
  <c r="Z1259" i="1"/>
  <c r="Y1259" i="1"/>
  <c r="H1259" i="1"/>
  <c r="Z1258" i="1"/>
  <c r="Y1258" i="1"/>
  <c r="H1258" i="1"/>
  <c r="Z1257" i="1"/>
  <c r="Y1257" i="1"/>
  <c r="H1257" i="1"/>
  <c r="Z1256" i="1"/>
  <c r="Y1256" i="1"/>
  <c r="H1256" i="1"/>
  <c r="Z1255" i="1"/>
  <c r="Y1255" i="1"/>
  <c r="H1255" i="1"/>
  <c r="Z1254" i="1"/>
  <c r="Y1254" i="1"/>
  <c r="H1254" i="1"/>
  <c r="Z1253" i="1"/>
  <c r="Y1253" i="1"/>
  <c r="H1253" i="1"/>
  <c r="Z1252" i="1"/>
  <c r="Y1252" i="1"/>
  <c r="H1252" i="1"/>
  <c r="Z1251" i="1"/>
  <c r="Y1251" i="1"/>
  <c r="H1251" i="1"/>
  <c r="Z1250" i="1"/>
  <c r="Y1250" i="1"/>
  <c r="H1250" i="1"/>
  <c r="Z1249" i="1"/>
  <c r="Y1249" i="1"/>
  <c r="H1249" i="1"/>
  <c r="Z1248" i="1"/>
  <c r="Y1248" i="1"/>
  <c r="H1248" i="1"/>
  <c r="Z1247" i="1"/>
  <c r="Y1247" i="1"/>
  <c r="H1247" i="1"/>
  <c r="Z1246" i="1"/>
  <c r="Y1246" i="1"/>
  <c r="H1246" i="1"/>
  <c r="Z1245" i="1"/>
  <c r="Y1245" i="1"/>
  <c r="H1245" i="1"/>
  <c r="Z1244" i="1"/>
  <c r="Y1244" i="1"/>
  <c r="H1244" i="1"/>
  <c r="Z1243" i="1"/>
  <c r="Y1243" i="1"/>
  <c r="H1243" i="1"/>
  <c r="Z1242" i="1"/>
  <c r="Y1242" i="1"/>
  <c r="H1242" i="1"/>
  <c r="Z1241" i="1"/>
  <c r="Y1241" i="1"/>
  <c r="H1241" i="1"/>
  <c r="Z1240" i="1"/>
  <c r="Y1240" i="1"/>
  <c r="H1240" i="1"/>
  <c r="Z1239" i="1"/>
  <c r="Y1239" i="1"/>
  <c r="H1239" i="1"/>
  <c r="Z1238" i="1"/>
  <c r="Y1238" i="1"/>
  <c r="H1238" i="1"/>
  <c r="Z1237" i="1"/>
  <c r="Y1237" i="1"/>
  <c r="H1237" i="1"/>
  <c r="Z1236" i="1"/>
  <c r="Y1236" i="1"/>
  <c r="H1236" i="1"/>
  <c r="Z1235" i="1"/>
  <c r="Y1235" i="1"/>
  <c r="H1235" i="1"/>
  <c r="Z1234" i="1"/>
  <c r="Y1234" i="1"/>
  <c r="H1234" i="1"/>
  <c r="Z1233" i="1"/>
  <c r="Y1233" i="1"/>
  <c r="H1233" i="1"/>
  <c r="Z1232" i="1"/>
  <c r="Y1232" i="1"/>
  <c r="H1232" i="1"/>
  <c r="Z1231" i="1"/>
  <c r="Y1231" i="1"/>
  <c r="H1231" i="1"/>
  <c r="Z1230" i="1"/>
  <c r="Y1230" i="1"/>
  <c r="H1230" i="1"/>
  <c r="Z1229" i="1"/>
  <c r="Y1229" i="1"/>
  <c r="H1229" i="1"/>
  <c r="Z1228" i="1"/>
  <c r="Y1228" i="1"/>
  <c r="H1228" i="1"/>
  <c r="Z1227" i="1"/>
  <c r="Y1227" i="1"/>
  <c r="H1227" i="1"/>
  <c r="Z1226" i="1"/>
  <c r="Y1226" i="1"/>
  <c r="H1226" i="1"/>
  <c r="Z1225" i="1"/>
  <c r="Y1225" i="1"/>
  <c r="H1225" i="1"/>
  <c r="Z1224" i="1"/>
  <c r="Y1224" i="1"/>
  <c r="H1224" i="1"/>
  <c r="Z1223" i="1"/>
  <c r="Y1223" i="1"/>
  <c r="H1223" i="1"/>
  <c r="Z1222" i="1"/>
  <c r="Y1222" i="1"/>
  <c r="H1222" i="1"/>
  <c r="Z1221" i="1"/>
  <c r="Y1221" i="1"/>
  <c r="H1221" i="1"/>
  <c r="Z1220" i="1"/>
  <c r="Y1220" i="1"/>
  <c r="H1220" i="1"/>
  <c r="Z1219" i="1"/>
  <c r="Y1219" i="1"/>
  <c r="H1219" i="1"/>
  <c r="Z1218" i="1"/>
  <c r="Y1218" i="1"/>
  <c r="H1218" i="1"/>
  <c r="Z1217" i="1"/>
  <c r="Y1217" i="1"/>
  <c r="H1217" i="1"/>
  <c r="Z1216" i="1"/>
  <c r="Y1216" i="1"/>
  <c r="H1216" i="1"/>
  <c r="Z1215" i="1"/>
  <c r="Y1215" i="1"/>
  <c r="H1215" i="1"/>
  <c r="Z1214" i="1"/>
  <c r="Y1214" i="1"/>
  <c r="H1214" i="1"/>
  <c r="Z1213" i="1"/>
  <c r="Y1213" i="1"/>
  <c r="H1213" i="1"/>
  <c r="Z1212" i="1"/>
  <c r="Y1212" i="1"/>
  <c r="H1212" i="1"/>
  <c r="Z1211" i="1"/>
  <c r="Y1211" i="1"/>
  <c r="H1211" i="1"/>
  <c r="Z1210" i="1"/>
  <c r="Y1210" i="1"/>
  <c r="H1210" i="1"/>
  <c r="Z1209" i="1"/>
  <c r="Y1209" i="1"/>
  <c r="H1209" i="1"/>
  <c r="Z1208" i="1"/>
  <c r="Y1208" i="1"/>
  <c r="H1208" i="1"/>
  <c r="Z1207" i="1"/>
  <c r="Y1207" i="1"/>
  <c r="H1207" i="1"/>
  <c r="Z1206" i="1"/>
  <c r="Y1206" i="1"/>
  <c r="H1206" i="1"/>
  <c r="Z1205" i="1"/>
  <c r="Y1205" i="1"/>
  <c r="H1205" i="1"/>
  <c r="Z1204" i="1"/>
  <c r="Y1204" i="1"/>
  <c r="H1204" i="1"/>
  <c r="Z1203" i="1"/>
  <c r="Y1203" i="1"/>
  <c r="H1203" i="1"/>
  <c r="Z1202" i="1"/>
  <c r="Y1202" i="1"/>
  <c r="H1202" i="1"/>
  <c r="Z1201" i="1"/>
  <c r="Y1201" i="1"/>
  <c r="H1201" i="1"/>
  <c r="Z1200" i="1"/>
  <c r="Y1200" i="1"/>
  <c r="H1200" i="1"/>
  <c r="Z1199" i="1"/>
  <c r="Y1199" i="1"/>
  <c r="H1199" i="1"/>
  <c r="Z1198" i="1"/>
  <c r="Y1198" i="1"/>
  <c r="H1198" i="1"/>
  <c r="Z1197" i="1"/>
  <c r="Y1197" i="1"/>
  <c r="H1197" i="1"/>
  <c r="Z1196" i="1"/>
  <c r="Y1196" i="1"/>
  <c r="H1196" i="1"/>
  <c r="Z1195" i="1"/>
  <c r="Y1195" i="1"/>
  <c r="H1195" i="1"/>
  <c r="Z1194" i="1"/>
  <c r="Y1194" i="1"/>
  <c r="H1194" i="1"/>
  <c r="Z1193" i="1"/>
  <c r="Y1193" i="1"/>
  <c r="H1193" i="1"/>
  <c r="Z1192" i="1"/>
  <c r="Y1192" i="1"/>
  <c r="H1192" i="1"/>
  <c r="Z1191" i="1"/>
  <c r="Y1191" i="1"/>
  <c r="H1191" i="1"/>
  <c r="Z1190" i="1"/>
  <c r="Y1190" i="1"/>
  <c r="H1190" i="1"/>
  <c r="Z1189" i="1"/>
  <c r="Y1189" i="1"/>
  <c r="H1189" i="1"/>
  <c r="Z1188" i="1"/>
  <c r="Y1188" i="1"/>
  <c r="H1188" i="1"/>
  <c r="Z1187" i="1"/>
  <c r="Y1187" i="1"/>
  <c r="H1187" i="1"/>
  <c r="Z1186" i="1"/>
  <c r="Y1186" i="1"/>
  <c r="H1186" i="1"/>
  <c r="Z1185" i="1"/>
  <c r="Y1185" i="1"/>
  <c r="H1185" i="1"/>
  <c r="Z1184" i="1"/>
  <c r="Y1184" i="1"/>
  <c r="H1184" i="1"/>
  <c r="Z1183" i="1"/>
  <c r="Y1183" i="1"/>
  <c r="H1183" i="1"/>
  <c r="Z1182" i="1"/>
  <c r="Y1182" i="1"/>
  <c r="H1182" i="1"/>
  <c r="Z1181" i="1"/>
  <c r="Y1181" i="1"/>
  <c r="H1181" i="1"/>
  <c r="Z1180" i="1"/>
  <c r="Y1180" i="1"/>
  <c r="H1180" i="1"/>
  <c r="Z1179" i="1"/>
  <c r="Y1179" i="1"/>
  <c r="H1179" i="1"/>
  <c r="Z1178" i="1"/>
  <c r="Y1178" i="1"/>
  <c r="H1178" i="1"/>
  <c r="Z1177" i="1"/>
  <c r="Y1177" i="1"/>
  <c r="H1177" i="1"/>
  <c r="Z1176" i="1"/>
  <c r="Y1176" i="1"/>
  <c r="H1176" i="1"/>
  <c r="Z1175" i="1"/>
  <c r="Y1175" i="1"/>
  <c r="H1175" i="1"/>
  <c r="Z1174" i="1"/>
  <c r="Y1174" i="1"/>
  <c r="H1174" i="1"/>
  <c r="Z1173" i="1"/>
  <c r="Y1173" i="1"/>
  <c r="H1173" i="1"/>
  <c r="Z1172" i="1"/>
  <c r="Y1172" i="1"/>
  <c r="H1172" i="1"/>
  <c r="Z1171" i="1"/>
  <c r="Y1171" i="1"/>
  <c r="H1171" i="1"/>
  <c r="Z1170" i="1"/>
  <c r="Y1170" i="1"/>
  <c r="H1170" i="1"/>
  <c r="Z1169" i="1"/>
  <c r="Y1169" i="1"/>
  <c r="H1169" i="1"/>
  <c r="Z1168" i="1"/>
  <c r="Y1168" i="1"/>
  <c r="H1168" i="1"/>
  <c r="Z1167" i="1"/>
  <c r="Y1167" i="1"/>
  <c r="H1167" i="1"/>
  <c r="Z1166" i="1"/>
  <c r="Y1166" i="1"/>
  <c r="H1166" i="1"/>
  <c r="Z1165" i="1"/>
  <c r="Y1165" i="1"/>
  <c r="H1165" i="1"/>
  <c r="Z1164" i="1"/>
  <c r="Y1164" i="1"/>
  <c r="H1164" i="1"/>
  <c r="Z1163" i="1"/>
  <c r="Y1163" i="1"/>
  <c r="H1163" i="1"/>
  <c r="Z1162" i="1"/>
  <c r="Y1162" i="1"/>
  <c r="H1162" i="1"/>
  <c r="Z1161" i="1"/>
  <c r="Y1161" i="1"/>
  <c r="H1161" i="1"/>
  <c r="Z1160" i="1"/>
  <c r="Y1160" i="1"/>
  <c r="H1160" i="1"/>
  <c r="Z1159" i="1"/>
  <c r="Y1159" i="1"/>
  <c r="H1159" i="1"/>
  <c r="Z1158" i="1"/>
  <c r="Y1158" i="1"/>
  <c r="H1158" i="1"/>
  <c r="Z1157" i="1"/>
  <c r="Y1157" i="1"/>
  <c r="H1157" i="1"/>
  <c r="Z1156" i="1"/>
  <c r="Y1156" i="1"/>
  <c r="H1156" i="1"/>
  <c r="Z1155" i="1"/>
  <c r="Y1155" i="1"/>
  <c r="H1155" i="1"/>
  <c r="Z1154" i="1"/>
  <c r="Y1154" i="1"/>
  <c r="H1154" i="1"/>
  <c r="Z1153" i="1"/>
  <c r="Y1153" i="1"/>
  <c r="H1153" i="1"/>
  <c r="Z1152" i="1"/>
  <c r="Y1152" i="1"/>
  <c r="H1152" i="1"/>
  <c r="Z1151" i="1"/>
  <c r="Y1151" i="1"/>
  <c r="H1151" i="1"/>
  <c r="Z1150" i="1"/>
  <c r="Y1150" i="1"/>
  <c r="H1150" i="1"/>
  <c r="Z1149" i="1"/>
  <c r="Y1149" i="1"/>
  <c r="H1149" i="1"/>
  <c r="Z1148" i="1"/>
  <c r="Y1148" i="1"/>
  <c r="H1148" i="1"/>
  <c r="Z1147" i="1"/>
  <c r="Y1147" i="1"/>
  <c r="H1147" i="1"/>
  <c r="Z1146" i="1"/>
  <c r="Y1146" i="1"/>
  <c r="H1146" i="1"/>
  <c r="Z1145" i="1"/>
  <c r="Y1145" i="1"/>
  <c r="H1145" i="1"/>
  <c r="Z1144" i="1"/>
  <c r="Y1144" i="1"/>
  <c r="H1144" i="1"/>
  <c r="Z1143" i="1"/>
  <c r="Y1143" i="1"/>
  <c r="H1143" i="1"/>
  <c r="Z1142" i="1"/>
  <c r="Y1142" i="1"/>
  <c r="H1142" i="1"/>
  <c r="Z1141" i="1"/>
  <c r="Y1141" i="1"/>
  <c r="H1141" i="1"/>
  <c r="Z1140" i="1"/>
  <c r="Y1140" i="1"/>
  <c r="H1140" i="1"/>
  <c r="Z1139" i="1"/>
  <c r="Y1139" i="1"/>
  <c r="H1139" i="1"/>
  <c r="Z1138" i="1"/>
  <c r="Y1138" i="1"/>
  <c r="H1138" i="1"/>
  <c r="Z1137" i="1"/>
  <c r="Y1137" i="1"/>
  <c r="H1137" i="1"/>
  <c r="Z1136" i="1"/>
  <c r="Y1136" i="1"/>
  <c r="H1136" i="1"/>
  <c r="Z1135" i="1"/>
  <c r="Y1135" i="1"/>
  <c r="H1135" i="1"/>
  <c r="Z1134" i="1"/>
  <c r="Y1134" i="1"/>
  <c r="H1134" i="1"/>
  <c r="Z1133" i="1"/>
  <c r="Y1133" i="1"/>
  <c r="H1133" i="1"/>
  <c r="Z1132" i="1"/>
  <c r="Y1132" i="1"/>
  <c r="H1132" i="1"/>
  <c r="Z1131" i="1"/>
  <c r="Y1131" i="1"/>
  <c r="H1131" i="1"/>
  <c r="Z1130" i="1"/>
  <c r="Y1130" i="1"/>
  <c r="H1130" i="1"/>
  <c r="Z1129" i="1"/>
  <c r="Y1129" i="1"/>
  <c r="H1129" i="1"/>
  <c r="Z1128" i="1"/>
  <c r="Y1128" i="1"/>
  <c r="H1128" i="1"/>
  <c r="Z1127" i="1"/>
  <c r="Y1127" i="1"/>
  <c r="H1127" i="1"/>
  <c r="Z1126" i="1"/>
  <c r="Y1126" i="1"/>
  <c r="H1126" i="1"/>
  <c r="Z1125" i="1"/>
  <c r="Y1125" i="1"/>
  <c r="H1125" i="1"/>
  <c r="Z1124" i="1"/>
  <c r="Y1124" i="1"/>
  <c r="H1124" i="1"/>
  <c r="Z1123" i="1"/>
  <c r="Y1123" i="1"/>
  <c r="H1123" i="1"/>
  <c r="Z1122" i="1"/>
  <c r="Y1122" i="1"/>
  <c r="H1122" i="1"/>
  <c r="Z1121" i="1"/>
  <c r="Y1121" i="1"/>
  <c r="H1121" i="1"/>
  <c r="Z1120" i="1"/>
  <c r="Y1120" i="1"/>
  <c r="H1120" i="1"/>
  <c r="Z1119" i="1"/>
  <c r="Y1119" i="1"/>
  <c r="H1119" i="1"/>
  <c r="Z1118" i="1"/>
  <c r="Y1118" i="1"/>
  <c r="H1118" i="1"/>
  <c r="Z1117" i="1"/>
  <c r="Y1117" i="1"/>
  <c r="H1117" i="1"/>
  <c r="Z1116" i="1"/>
  <c r="Y1116" i="1"/>
  <c r="H1116" i="1"/>
  <c r="Z1115" i="1"/>
  <c r="Y1115" i="1"/>
  <c r="H1115" i="1"/>
  <c r="Z1114" i="1"/>
  <c r="Y1114" i="1"/>
  <c r="H1114" i="1"/>
  <c r="Z1113" i="1"/>
  <c r="Y1113" i="1"/>
  <c r="H1113" i="1"/>
  <c r="Z1112" i="1"/>
  <c r="Y1112" i="1"/>
  <c r="H1112" i="1"/>
  <c r="Z1111" i="1"/>
  <c r="Y1111" i="1"/>
  <c r="H1111" i="1"/>
  <c r="Z1110" i="1"/>
  <c r="Y1110" i="1"/>
  <c r="H1110" i="1"/>
  <c r="Z1109" i="1"/>
  <c r="Y1109" i="1"/>
  <c r="H1109" i="1"/>
  <c r="Z1108" i="1"/>
  <c r="Y1108" i="1"/>
  <c r="H1108" i="1"/>
  <c r="Z1107" i="1"/>
  <c r="Y1107" i="1"/>
  <c r="H1107" i="1"/>
  <c r="Z1106" i="1"/>
  <c r="Y1106" i="1"/>
  <c r="H1106" i="1"/>
  <c r="Z1105" i="1"/>
  <c r="Y1105" i="1"/>
  <c r="H1105" i="1"/>
  <c r="Z1104" i="1"/>
  <c r="Y1104" i="1"/>
  <c r="H1104" i="1"/>
  <c r="Z1103" i="1"/>
  <c r="Y1103" i="1"/>
  <c r="H1103" i="1"/>
  <c r="Z1102" i="1"/>
  <c r="Y1102" i="1"/>
  <c r="H1102" i="1"/>
  <c r="Z1101" i="1"/>
  <c r="Y1101" i="1"/>
  <c r="H1101" i="1"/>
  <c r="Z1100" i="1"/>
  <c r="Y1100" i="1"/>
  <c r="H1100" i="1"/>
  <c r="Z1099" i="1"/>
  <c r="Y1099" i="1"/>
  <c r="H1099" i="1"/>
  <c r="Z1098" i="1"/>
  <c r="Y1098" i="1"/>
  <c r="H1098" i="1"/>
  <c r="Z1097" i="1"/>
  <c r="Y1097" i="1"/>
  <c r="H1097" i="1"/>
  <c r="Z1096" i="1"/>
  <c r="Y1096" i="1"/>
  <c r="H1096" i="1"/>
  <c r="Z1095" i="1"/>
  <c r="Y1095" i="1"/>
  <c r="H1095" i="1"/>
  <c r="Z1094" i="1"/>
  <c r="Y1094" i="1"/>
  <c r="H1094" i="1"/>
  <c r="Z1093" i="1"/>
  <c r="Y1093" i="1"/>
  <c r="H1093" i="1"/>
  <c r="Z1092" i="1"/>
  <c r="Y1092" i="1"/>
  <c r="H1092" i="1"/>
  <c r="Z1091" i="1"/>
  <c r="Y1091" i="1"/>
  <c r="H1091" i="1"/>
  <c r="Z1090" i="1"/>
  <c r="Y1090" i="1"/>
  <c r="H1090" i="1"/>
  <c r="Z1089" i="1"/>
  <c r="Y1089" i="1"/>
  <c r="H1089" i="1"/>
  <c r="Z1088" i="1"/>
  <c r="Y1088" i="1"/>
  <c r="H1088" i="1"/>
  <c r="Z1087" i="1"/>
  <c r="Y1087" i="1"/>
  <c r="H1087" i="1"/>
  <c r="Z1086" i="1"/>
  <c r="Y1086" i="1"/>
  <c r="H1086" i="1"/>
  <c r="Z1085" i="1"/>
  <c r="Y1085" i="1"/>
  <c r="H1085" i="1"/>
  <c r="Z1084" i="1"/>
  <c r="Y1084" i="1"/>
  <c r="H1084" i="1"/>
  <c r="Z1083" i="1"/>
  <c r="Y1083" i="1"/>
  <c r="H1083" i="1"/>
  <c r="Z1082" i="1"/>
  <c r="Y1082" i="1"/>
  <c r="H1082" i="1"/>
  <c r="Z1081" i="1"/>
  <c r="Y1081" i="1"/>
  <c r="H1081" i="1"/>
  <c r="Z1080" i="1"/>
  <c r="Y1080" i="1"/>
  <c r="H1080" i="1"/>
  <c r="Z1079" i="1"/>
  <c r="Y1079" i="1"/>
  <c r="H1079" i="1"/>
  <c r="Z1078" i="1"/>
  <c r="Y1078" i="1"/>
  <c r="H1078" i="1"/>
  <c r="Z1077" i="1"/>
  <c r="Y1077" i="1"/>
  <c r="H1077" i="1"/>
  <c r="Z1076" i="1"/>
  <c r="Y1076" i="1"/>
  <c r="H1076" i="1"/>
  <c r="Z1075" i="1"/>
  <c r="Y1075" i="1"/>
  <c r="H1075" i="1"/>
  <c r="Z1074" i="1"/>
  <c r="Y1074" i="1"/>
  <c r="H1074" i="1"/>
  <c r="Z1073" i="1"/>
  <c r="Y1073" i="1"/>
  <c r="H1073" i="1"/>
  <c r="Z1072" i="1"/>
  <c r="Y1072" i="1"/>
  <c r="H1072" i="1"/>
  <c r="Z1071" i="1"/>
  <c r="Y1071" i="1"/>
  <c r="H1071" i="1"/>
  <c r="Z1070" i="1"/>
  <c r="Y1070" i="1"/>
  <c r="H1070" i="1"/>
  <c r="Z1069" i="1"/>
  <c r="Y1069" i="1"/>
  <c r="H1069" i="1"/>
  <c r="Z1068" i="1"/>
  <c r="Y1068" i="1"/>
  <c r="H1068" i="1"/>
  <c r="Z1067" i="1"/>
  <c r="Y1067" i="1"/>
  <c r="H1067" i="1"/>
  <c r="Z1066" i="1"/>
  <c r="Y1066" i="1"/>
  <c r="H1066" i="1"/>
  <c r="Z1065" i="1"/>
  <c r="Y1065" i="1"/>
  <c r="H1065" i="1"/>
  <c r="Z1064" i="1"/>
  <c r="Y1064" i="1"/>
  <c r="H1064" i="1"/>
  <c r="Z1063" i="1"/>
  <c r="Y1063" i="1"/>
  <c r="H1063" i="1"/>
  <c r="Z1062" i="1"/>
  <c r="Y1062" i="1"/>
  <c r="H1062" i="1"/>
  <c r="Z1061" i="1"/>
  <c r="Y1061" i="1"/>
  <c r="H1061" i="1"/>
  <c r="Z1060" i="1"/>
  <c r="Y1060" i="1"/>
  <c r="H1060" i="1"/>
  <c r="Z1059" i="1"/>
  <c r="Y1059" i="1"/>
  <c r="H1059" i="1"/>
  <c r="Z1058" i="1"/>
  <c r="Y1058" i="1"/>
  <c r="H1058" i="1"/>
  <c r="Z1057" i="1"/>
  <c r="Y1057" i="1"/>
  <c r="H1057" i="1"/>
  <c r="Z1056" i="1"/>
  <c r="Y1056" i="1"/>
  <c r="H1056" i="1"/>
  <c r="Z1055" i="1"/>
  <c r="Y1055" i="1"/>
  <c r="H1055" i="1"/>
  <c r="Z1054" i="1"/>
  <c r="Y1054" i="1"/>
  <c r="H1054" i="1"/>
  <c r="Z1053" i="1"/>
  <c r="Y1053" i="1"/>
  <c r="H1053" i="1"/>
  <c r="Z1052" i="1"/>
  <c r="Y1052" i="1"/>
  <c r="H1052" i="1"/>
  <c r="Z1051" i="1"/>
  <c r="Y1051" i="1"/>
  <c r="H1051" i="1"/>
  <c r="Z1050" i="1"/>
  <c r="Y1050" i="1"/>
  <c r="H1050" i="1"/>
  <c r="Z1049" i="1"/>
  <c r="Y1049" i="1"/>
  <c r="H1049" i="1"/>
  <c r="Z1048" i="1"/>
  <c r="Y1048" i="1"/>
  <c r="H1048" i="1"/>
  <c r="Z1047" i="1"/>
  <c r="Y1047" i="1"/>
  <c r="H1047" i="1"/>
  <c r="Z1046" i="1"/>
  <c r="Y1046" i="1"/>
  <c r="H1046" i="1"/>
  <c r="Z1045" i="1"/>
  <c r="Y1045" i="1"/>
  <c r="H1045" i="1"/>
  <c r="Z1044" i="1"/>
  <c r="Y1044" i="1"/>
  <c r="H1044" i="1"/>
  <c r="Z1043" i="1"/>
  <c r="Y1043" i="1"/>
  <c r="H1043" i="1"/>
  <c r="Z1042" i="1"/>
  <c r="Y1042" i="1"/>
  <c r="H1042" i="1"/>
  <c r="Z1041" i="1"/>
  <c r="Y1041" i="1"/>
  <c r="H1041" i="1"/>
  <c r="Z1040" i="1"/>
  <c r="Y1040" i="1"/>
  <c r="H1040" i="1"/>
  <c r="Z1039" i="1"/>
  <c r="Y1039" i="1"/>
  <c r="H1039" i="1"/>
  <c r="Z1038" i="1"/>
  <c r="Y1038" i="1"/>
  <c r="H1038" i="1"/>
  <c r="Z1037" i="1"/>
  <c r="Y1037" i="1"/>
  <c r="H1037" i="1"/>
  <c r="Z1036" i="1"/>
  <c r="Y1036" i="1"/>
  <c r="H1036" i="1"/>
  <c r="Z1035" i="1"/>
  <c r="Y1035" i="1"/>
  <c r="H1035" i="1"/>
  <c r="Z1034" i="1"/>
  <c r="Y1034" i="1"/>
  <c r="H1034" i="1"/>
  <c r="Z1033" i="1"/>
  <c r="Y1033" i="1"/>
  <c r="H1033" i="1"/>
  <c r="Z1032" i="1"/>
  <c r="Y1032" i="1"/>
  <c r="H1032" i="1"/>
  <c r="Z1031" i="1"/>
  <c r="Y1031" i="1"/>
  <c r="H1031" i="1"/>
  <c r="Z1030" i="1"/>
  <c r="Y1030" i="1"/>
  <c r="H1030" i="1"/>
  <c r="Z1029" i="1"/>
  <c r="Y1029" i="1"/>
  <c r="H1029" i="1"/>
  <c r="Z1028" i="1"/>
  <c r="Y1028" i="1"/>
  <c r="H1028" i="1"/>
  <c r="Z1027" i="1"/>
  <c r="Y1027" i="1"/>
  <c r="H1027" i="1"/>
  <c r="Z1026" i="1"/>
  <c r="Y1026" i="1"/>
  <c r="H1026" i="1"/>
  <c r="Z1025" i="1"/>
  <c r="Y1025" i="1"/>
  <c r="H1025" i="1"/>
  <c r="Z1024" i="1"/>
  <c r="Y1024" i="1"/>
  <c r="H1024" i="1"/>
  <c r="Z1023" i="1"/>
  <c r="Y1023" i="1"/>
  <c r="H1023" i="1"/>
  <c r="Z1022" i="1"/>
  <c r="Y1022" i="1"/>
  <c r="H1022" i="1"/>
  <c r="Z1021" i="1"/>
  <c r="Y1021" i="1"/>
  <c r="H1021" i="1"/>
  <c r="Z1020" i="1"/>
  <c r="Y1020" i="1"/>
  <c r="H1020" i="1"/>
  <c r="Z1019" i="1"/>
  <c r="Y1019" i="1"/>
  <c r="H1019" i="1"/>
  <c r="Z1018" i="1"/>
  <c r="Y1018" i="1"/>
  <c r="H1018" i="1"/>
  <c r="Z1017" i="1"/>
  <c r="Y1017" i="1"/>
  <c r="H1017" i="1"/>
  <c r="Z1016" i="1"/>
  <c r="Y1016" i="1"/>
  <c r="H1016" i="1"/>
  <c r="Z1015" i="1"/>
  <c r="Y1015" i="1"/>
  <c r="H1015" i="1"/>
  <c r="Z1014" i="1"/>
  <c r="Y1014" i="1"/>
  <c r="H1014" i="1"/>
  <c r="Z1013" i="1"/>
  <c r="Y1013" i="1"/>
  <c r="H1013" i="1"/>
  <c r="Z1012" i="1"/>
  <c r="Y1012" i="1"/>
  <c r="H1012" i="1"/>
  <c r="Z1011" i="1"/>
  <c r="Y1011" i="1"/>
  <c r="H1011" i="1"/>
  <c r="Z1010" i="1"/>
  <c r="Y1010" i="1"/>
  <c r="H1010" i="1"/>
  <c r="Z1009" i="1"/>
  <c r="Y1009" i="1"/>
  <c r="H1009" i="1"/>
  <c r="Z1008" i="1"/>
  <c r="Y1008" i="1"/>
  <c r="H1008" i="1"/>
  <c r="Z1007" i="1"/>
  <c r="Y1007" i="1"/>
  <c r="H1007" i="1"/>
  <c r="Z1006" i="1"/>
  <c r="Y1006" i="1"/>
  <c r="H1006" i="1"/>
  <c r="Z1005" i="1"/>
  <c r="Y1005" i="1"/>
  <c r="H1005" i="1"/>
  <c r="Z1004" i="1"/>
  <c r="Y1004" i="1"/>
  <c r="H1004" i="1"/>
  <c r="Z1003" i="1"/>
  <c r="Y1003" i="1"/>
  <c r="H1003" i="1"/>
  <c r="Z1002" i="1"/>
  <c r="Y1002" i="1"/>
  <c r="H1002" i="1"/>
  <c r="Z1001" i="1"/>
  <c r="Y1001" i="1"/>
  <c r="H1001" i="1"/>
  <c r="Z1000" i="1"/>
  <c r="Y1000" i="1"/>
  <c r="H1000" i="1"/>
  <c r="Z999" i="1"/>
  <c r="Y999" i="1"/>
  <c r="H999" i="1"/>
  <c r="Z998" i="1"/>
  <c r="Y998" i="1"/>
  <c r="H998" i="1"/>
  <c r="Z997" i="1"/>
  <c r="Y997" i="1"/>
  <c r="H997" i="1"/>
  <c r="Z996" i="1"/>
  <c r="Y996" i="1"/>
  <c r="H996" i="1"/>
  <c r="Z995" i="1"/>
  <c r="Y995" i="1"/>
  <c r="H995" i="1"/>
  <c r="Z994" i="1"/>
  <c r="Y994" i="1"/>
  <c r="H994" i="1"/>
  <c r="Z993" i="1"/>
  <c r="Y993" i="1"/>
  <c r="H993" i="1"/>
  <c r="Z992" i="1"/>
  <c r="Y992" i="1"/>
  <c r="H992" i="1"/>
  <c r="Z991" i="1"/>
  <c r="Y991" i="1"/>
  <c r="H991" i="1"/>
  <c r="Z990" i="1"/>
  <c r="Y990" i="1"/>
  <c r="H990" i="1"/>
  <c r="Z989" i="1"/>
  <c r="Y989" i="1"/>
  <c r="H989" i="1"/>
  <c r="Z988" i="1"/>
  <c r="Y988" i="1"/>
  <c r="H988" i="1"/>
  <c r="Z987" i="1"/>
  <c r="Y987" i="1"/>
  <c r="H987" i="1"/>
  <c r="Z986" i="1"/>
  <c r="Y986" i="1"/>
  <c r="H986" i="1"/>
  <c r="Z985" i="1"/>
  <c r="Y985" i="1"/>
  <c r="H985" i="1"/>
  <c r="Z984" i="1"/>
  <c r="Y984" i="1"/>
  <c r="H984" i="1"/>
  <c r="Z983" i="1"/>
  <c r="Y983" i="1"/>
  <c r="H983" i="1"/>
  <c r="Z982" i="1"/>
  <c r="Y982" i="1"/>
  <c r="H982" i="1"/>
  <c r="Z981" i="1"/>
  <c r="Y981" i="1"/>
  <c r="H981" i="1"/>
  <c r="Z980" i="1"/>
  <c r="Y980" i="1"/>
  <c r="H980" i="1"/>
  <c r="Z979" i="1"/>
  <c r="Y979" i="1"/>
  <c r="H979" i="1"/>
  <c r="Z978" i="1"/>
  <c r="Y978" i="1"/>
  <c r="H978" i="1"/>
  <c r="Z977" i="1"/>
  <c r="Y977" i="1"/>
  <c r="H977" i="1"/>
  <c r="Z976" i="1"/>
  <c r="Y976" i="1"/>
  <c r="H976" i="1"/>
  <c r="Z975" i="1"/>
  <c r="Y975" i="1"/>
  <c r="H975" i="1"/>
  <c r="Z974" i="1"/>
  <c r="Y974" i="1"/>
  <c r="H974" i="1"/>
  <c r="Z973" i="1"/>
  <c r="Y973" i="1"/>
  <c r="H973" i="1"/>
  <c r="Z972" i="1"/>
  <c r="Y972" i="1"/>
  <c r="H972" i="1"/>
  <c r="Z971" i="1"/>
  <c r="Y971" i="1"/>
  <c r="H971" i="1"/>
  <c r="Z970" i="1"/>
  <c r="Y970" i="1"/>
  <c r="H970" i="1"/>
  <c r="Z969" i="1"/>
  <c r="Y969" i="1"/>
  <c r="H969" i="1"/>
  <c r="Z968" i="1"/>
  <c r="Y968" i="1"/>
  <c r="H968" i="1"/>
  <c r="Z967" i="1"/>
  <c r="Y967" i="1"/>
  <c r="H967" i="1"/>
  <c r="Z966" i="1"/>
  <c r="Y966" i="1"/>
  <c r="H966" i="1"/>
  <c r="Z965" i="1"/>
  <c r="Y965" i="1"/>
  <c r="H965" i="1"/>
  <c r="Z964" i="1"/>
  <c r="Y964" i="1"/>
  <c r="H964" i="1"/>
  <c r="Z963" i="1"/>
  <c r="Y963" i="1"/>
  <c r="H963" i="1"/>
  <c r="Z962" i="1"/>
  <c r="Y962" i="1"/>
  <c r="H962" i="1"/>
  <c r="Z961" i="1"/>
  <c r="Y961" i="1"/>
  <c r="H961" i="1"/>
  <c r="Z960" i="1"/>
  <c r="Y960" i="1"/>
  <c r="H960" i="1"/>
  <c r="Z959" i="1"/>
  <c r="Y959" i="1"/>
  <c r="H959" i="1"/>
  <c r="Z958" i="1"/>
  <c r="Y958" i="1"/>
  <c r="H958" i="1"/>
  <c r="Z957" i="1"/>
  <c r="Y957" i="1"/>
  <c r="H957" i="1"/>
  <c r="Z956" i="1"/>
  <c r="Y956" i="1"/>
  <c r="H956" i="1"/>
  <c r="Z955" i="1"/>
  <c r="Y955" i="1"/>
  <c r="H955" i="1"/>
  <c r="Z954" i="1"/>
  <c r="Y954" i="1"/>
  <c r="H954" i="1"/>
  <c r="Z953" i="1"/>
  <c r="Y953" i="1"/>
  <c r="H953" i="1"/>
  <c r="Z952" i="1"/>
  <c r="Y952" i="1"/>
  <c r="H952" i="1"/>
  <c r="Z951" i="1"/>
  <c r="Y951" i="1"/>
  <c r="H951" i="1"/>
  <c r="Z950" i="1"/>
  <c r="Y950" i="1"/>
  <c r="H950" i="1"/>
  <c r="Z949" i="1"/>
  <c r="Y949" i="1"/>
  <c r="H949" i="1"/>
  <c r="Z948" i="1"/>
  <c r="Y948" i="1"/>
  <c r="H948" i="1"/>
  <c r="Z947" i="1"/>
  <c r="Y947" i="1"/>
  <c r="H947" i="1"/>
  <c r="Z946" i="1"/>
  <c r="Y946" i="1"/>
  <c r="H946" i="1"/>
  <c r="Z945" i="1"/>
  <c r="Y945" i="1"/>
  <c r="H945" i="1"/>
  <c r="Z944" i="1"/>
  <c r="Y944" i="1"/>
  <c r="H944" i="1"/>
  <c r="Z943" i="1"/>
  <c r="Y943" i="1"/>
  <c r="H943" i="1"/>
  <c r="Z942" i="1"/>
  <c r="Y942" i="1"/>
  <c r="H942" i="1"/>
  <c r="Z941" i="1"/>
  <c r="Y941" i="1"/>
  <c r="H941" i="1"/>
  <c r="Z940" i="1"/>
  <c r="Y940" i="1"/>
  <c r="H940" i="1"/>
  <c r="Z939" i="1"/>
  <c r="Y939" i="1"/>
  <c r="H939" i="1"/>
  <c r="Z938" i="1"/>
  <c r="Y938" i="1"/>
  <c r="H938" i="1"/>
  <c r="Z937" i="1"/>
  <c r="Y937" i="1"/>
  <c r="H937" i="1"/>
  <c r="Z936" i="1"/>
  <c r="Y936" i="1"/>
  <c r="H936" i="1"/>
  <c r="Z935" i="1"/>
  <c r="Y935" i="1"/>
  <c r="H935" i="1"/>
  <c r="Z934" i="1"/>
  <c r="Y934" i="1"/>
  <c r="H934" i="1"/>
  <c r="Z933" i="1"/>
  <c r="Y933" i="1"/>
  <c r="H933" i="1"/>
  <c r="Z932" i="1"/>
  <c r="Y932" i="1"/>
  <c r="H932" i="1"/>
  <c r="Z931" i="1"/>
  <c r="Y931" i="1"/>
  <c r="H931" i="1"/>
  <c r="Z930" i="1"/>
  <c r="Y930" i="1"/>
  <c r="H930" i="1"/>
  <c r="Z929" i="1"/>
  <c r="Y929" i="1"/>
  <c r="H929" i="1"/>
  <c r="Z928" i="1"/>
  <c r="Y928" i="1"/>
  <c r="H928" i="1"/>
  <c r="Z927" i="1"/>
  <c r="Y927" i="1"/>
  <c r="H927" i="1"/>
  <c r="Z926" i="1"/>
  <c r="Y926" i="1"/>
  <c r="H926" i="1"/>
  <c r="Z925" i="1"/>
  <c r="Y925" i="1"/>
  <c r="H925" i="1"/>
  <c r="Z924" i="1"/>
  <c r="Y924" i="1"/>
  <c r="H924" i="1"/>
  <c r="Z923" i="1"/>
  <c r="Y923" i="1"/>
  <c r="H923" i="1"/>
  <c r="Z922" i="1"/>
  <c r="Y922" i="1"/>
  <c r="H922" i="1"/>
  <c r="Z921" i="1"/>
  <c r="Y921" i="1"/>
  <c r="H921" i="1"/>
  <c r="Z920" i="1"/>
  <c r="Y920" i="1"/>
  <c r="H920" i="1"/>
  <c r="Z919" i="1"/>
  <c r="Y919" i="1"/>
  <c r="H919" i="1"/>
  <c r="Z918" i="1"/>
  <c r="Y918" i="1"/>
  <c r="H918" i="1"/>
  <c r="Z917" i="1"/>
  <c r="Y917" i="1"/>
  <c r="H917" i="1"/>
  <c r="Z916" i="1"/>
  <c r="Y916" i="1"/>
  <c r="H916" i="1"/>
  <c r="Z915" i="1"/>
  <c r="Y915" i="1"/>
  <c r="H915" i="1"/>
  <c r="Z914" i="1"/>
  <c r="Y914" i="1"/>
  <c r="H914" i="1"/>
  <c r="Z913" i="1"/>
  <c r="Y913" i="1"/>
  <c r="H913" i="1"/>
  <c r="Z912" i="1"/>
  <c r="Y912" i="1"/>
  <c r="H912" i="1"/>
  <c r="Z911" i="1"/>
  <c r="Y911" i="1"/>
  <c r="H911" i="1"/>
  <c r="Z910" i="1"/>
  <c r="Y910" i="1"/>
  <c r="H910" i="1"/>
  <c r="Z909" i="1"/>
  <c r="Y909" i="1"/>
  <c r="H909" i="1"/>
  <c r="Z908" i="1"/>
  <c r="Y908" i="1"/>
  <c r="H908" i="1"/>
  <c r="Z907" i="1"/>
  <c r="Y907" i="1"/>
  <c r="H907" i="1"/>
  <c r="Z906" i="1"/>
  <c r="Y906" i="1"/>
  <c r="H906" i="1"/>
  <c r="Z905" i="1"/>
  <c r="Y905" i="1"/>
  <c r="H905" i="1"/>
  <c r="Z904" i="1"/>
  <c r="Y904" i="1"/>
  <c r="H904" i="1"/>
  <c r="Z903" i="1"/>
  <c r="Y903" i="1"/>
  <c r="H903" i="1"/>
  <c r="Z902" i="1"/>
  <c r="Y902" i="1"/>
  <c r="H902" i="1"/>
  <c r="Z901" i="1"/>
  <c r="Y901" i="1"/>
  <c r="H901" i="1"/>
  <c r="Z900" i="1"/>
  <c r="Y900" i="1"/>
  <c r="H900" i="1"/>
  <c r="Z899" i="1"/>
  <c r="Y899" i="1"/>
  <c r="H899" i="1"/>
  <c r="Z898" i="1"/>
  <c r="Y898" i="1"/>
  <c r="H898" i="1"/>
  <c r="Z897" i="1"/>
  <c r="Y897" i="1"/>
  <c r="H897" i="1"/>
  <c r="Z896" i="1"/>
  <c r="Y896" i="1"/>
  <c r="H896" i="1"/>
  <c r="Z895" i="1"/>
  <c r="Y895" i="1"/>
  <c r="H895" i="1"/>
  <c r="Z894" i="1"/>
  <c r="Y894" i="1"/>
  <c r="H894" i="1"/>
  <c r="Z893" i="1"/>
  <c r="Y893" i="1"/>
  <c r="H893" i="1"/>
  <c r="Z892" i="1"/>
  <c r="Y892" i="1"/>
  <c r="H892" i="1"/>
  <c r="Z891" i="1"/>
  <c r="Y891" i="1"/>
  <c r="H891" i="1"/>
  <c r="Z890" i="1"/>
  <c r="Y890" i="1"/>
  <c r="H890" i="1"/>
  <c r="Z889" i="1"/>
  <c r="Y889" i="1"/>
  <c r="H889" i="1"/>
  <c r="Z888" i="1"/>
  <c r="Y888" i="1"/>
  <c r="H888" i="1"/>
  <c r="Z887" i="1"/>
  <c r="Y887" i="1"/>
  <c r="H887" i="1"/>
  <c r="Z886" i="1"/>
  <c r="Y886" i="1"/>
  <c r="H886" i="1"/>
  <c r="Z885" i="1"/>
  <c r="Y885" i="1"/>
  <c r="H885" i="1"/>
  <c r="Z884" i="1"/>
  <c r="Y884" i="1"/>
  <c r="H884" i="1"/>
  <c r="Z883" i="1"/>
  <c r="Y883" i="1"/>
  <c r="H883" i="1"/>
  <c r="Z882" i="1"/>
  <c r="Y882" i="1"/>
  <c r="H882" i="1"/>
  <c r="Z881" i="1"/>
  <c r="Y881" i="1"/>
  <c r="H881" i="1"/>
  <c r="Z880" i="1"/>
  <c r="Y880" i="1"/>
  <c r="H880" i="1"/>
  <c r="Z879" i="1"/>
  <c r="Y879" i="1"/>
  <c r="H879" i="1"/>
  <c r="Z878" i="1"/>
  <c r="Y878" i="1"/>
  <c r="H878" i="1"/>
  <c r="Z877" i="1"/>
  <c r="Y877" i="1"/>
  <c r="H877" i="1"/>
  <c r="Z876" i="1"/>
  <c r="Y876" i="1"/>
  <c r="H876" i="1"/>
  <c r="Z875" i="1"/>
  <c r="Y875" i="1"/>
  <c r="H875" i="1"/>
  <c r="Z874" i="1"/>
  <c r="Y874" i="1"/>
  <c r="H874" i="1"/>
  <c r="Z873" i="1"/>
  <c r="Y873" i="1"/>
  <c r="H873" i="1"/>
  <c r="Z872" i="1"/>
  <c r="Y872" i="1"/>
  <c r="H872" i="1"/>
  <c r="Z871" i="1"/>
  <c r="Y871" i="1"/>
  <c r="H871" i="1"/>
  <c r="Z870" i="1"/>
  <c r="Y870" i="1"/>
  <c r="H870" i="1"/>
  <c r="Z869" i="1"/>
  <c r="Y869" i="1"/>
  <c r="H869" i="1"/>
  <c r="Z868" i="1"/>
  <c r="Y868" i="1"/>
  <c r="H868" i="1"/>
  <c r="Z867" i="1"/>
  <c r="Y867" i="1"/>
  <c r="H867" i="1"/>
  <c r="Z866" i="1"/>
  <c r="Y866" i="1"/>
  <c r="H866" i="1"/>
  <c r="Z865" i="1"/>
  <c r="Y865" i="1"/>
  <c r="H865" i="1"/>
  <c r="Z864" i="1"/>
  <c r="Y864" i="1"/>
  <c r="H864" i="1"/>
  <c r="Z863" i="1"/>
  <c r="Y863" i="1"/>
  <c r="H863" i="1"/>
  <c r="Z862" i="1"/>
  <c r="Y862" i="1"/>
  <c r="H862" i="1"/>
  <c r="Z861" i="1"/>
  <c r="Y861" i="1"/>
  <c r="H861" i="1"/>
  <c r="Z860" i="1"/>
  <c r="Y860" i="1"/>
  <c r="H860" i="1"/>
  <c r="Z859" i="1"/>
  <c r="Y859" i="1"/>
  <c r="H859" i="1"/>
  <c r="Z858" i="1"/>
  <c r="Y858" i="1"/>
  <c r="H858" i="1"/>
  <c r="Z857" i="1"/>
  <c r="Y857" i="1"/>
  <c r="H857" i="1"/>
  <c r="Z856" i="1"/>
  <c r="Y856" i="1"/>
  <c r="H856" i="1"/>
  <c r="Z855" i="1"/>
  <c r="Y855" i="1"/>
  <c r="H855" i="1"/>
  <c r="Z854" i="1"/>
  <c r="Y854" i="1"/>
  <c r="H854" i="1"/>
  <c r="Z853" i="1"/>
  <c r="Y853" i="1"/>
  <c r="H853" i="1"/>
  <c r="Z852" i="1"/>
  <c r="Y852" i="1"/>
  <c r="H852" i="1"/>
  <c r="Z851" i="1"/>
  <c r="Y851" i="1"/>
  <c r="H851" i="1"/>
  <c r="Z850" i="1"/>
  <c r="Y850" i="1"/>
  <c r="H850" i="1"/>
  <c r="Z849" i="1"/>
  <c r="Y849" i="1"/>
  <c r="H849" i="1"/>
  <c r="Z848" i="1"/>
  <c r="Y848" i="1"/>
  <c r="H848" i="1"/>
  <c r="Z847" i="1"/>
  <c r="Y847" i="1"/>
  <c r="H847" i="1"/>
  <c r="Z846" i="1"/>
  <c r="Y846" i="1"/>
  <c r="H846" i="1"/>
  <c r="Z845" i="1"/>
  <c r="Y845" i="1"/>
  <c r="H845" i="1"/>
  <c r="Z844" i="1"/>
  <c r="Y844" i="1"/>
  <c r="H844" i="1"/>
  <c r="Z843" i="1"/>
  <c r="Y843" i="1"/>
  <c r="H843" i="1"/>
  <c r="Z842" i="1"/>
  <c r="Y842" i="1"/>
  <c r="H842" i="1"/>
  <c r="Z841" i="1"/>
  <c r="Y841" i="1"/>
  <c r="H841" i="1"/>
  <c r="Z840" i="1"/>
  <c r="Y840" i="1"/>
  <c r="H840" i="1"/>
  <c r="Z839" i="1"/>
  <c r="Y839" i="1"/>
  <c r="H839" i="1"/>
  <c r="Z838" i="1"/>
  <c r="Y838" i="1"/>
  <c r="H838" i="1"/>
  <c r="Z837" i="1"/>
  <c r="Y837" i="1"/>
  <c r="H837" i="1"/>
  <c r="Z836" i="1"/>
  <c r="Y836" i="1"/>
  <c r="H836" i="1"/>
  <c r="Z835" i="1"/>
  <c r="Y835" i="1"/>
  <c r="H835" i="1"/>
  <c r="Z834" i="1"/>
  <c r="Y834" i="1"/>
  <c r="H834" i="1"/>
  <c r="Z833" i="1"/>
  <c r="Y833" i="1"/>
  <c r="H833" i="1"/>
  <c r="Z832" i="1"/>
  <c r="Y832" i="1"/>
  <c r="H832" i="1"/>
  <c r="Z831" i="1"/>
  <c r="Y831" i="1"/>
  <c r="H831" i="1"/>
  <c r="Z830" i="1"/>
  <c r="Y830" i="1"/>
  <c r="H830" i="1"/>
  <c r="Z829" i="1"/>
  <c r="Y829" i="1"/>
  <c r="H829" i="1"/>
  <c r="Z828" i="1"/>
  <c r="Y828" i="1"/>
  <c r="H828" i="1"/>
  <c r="Z827" i="1"/>
  <c r="Y827" i="1"/>
  <c r="H827" i="1"/>
  <c r="Z826" i="1"/>
  <c r="Y826" i="1"/>
  <c r="H826" i="1"/>
  <c r="Z825" i="1"/>
  <c r="Y825" i="1"/>
  <c r="H825" i="1"/>
  <c r="Z824" i="1"/>
  <c r="Y824" i="1"/>
  <c r="H824" i="1"/>
  <c r="Z823" i="1"/>
  <c r="Y823" i="1"/>
  <c r="H823" i="1"/>
  <c r="Z822" i="1"/>
  <c r="Y822" i="1"/>
  <c r="H822" i="1"/>
  <c r="Z821" i="1"/>
  <c r="Y821" i="1"/>
  <c r="H821" i="1"/>
  <c r="Z820" i="1"/>
  <c r="Y820" i="1"/>
  <c r="H820" i="1"/>
  <c r="Z819" i="1"/>
  <c r="Y819" i="1"/>
  <c r="H819" i="1"/>
  <c r="Z818" i="1"/>
  <c r="Y818" i="1"/>
  <c r="H818" i="1"/>
  <c r="Z817" i="1"/>
  <c r="Y817" i="1"/>
  <c r="H817" i="1"/>
  <c r="Z816" i="1"/>
  <c r="Y816" i="1"/>
  <c r="H816" i="1"/>
  <c r="Z815" i="1"/>
  <c r="Y815" i="1"/>
  <c r="H815" i="1"/>
  <c r="Z814" i="1"/>
  <c r="Y814" i="1"/>
  <c r="H814" i="1"/>
  <c r="Z813" i="1"/>
  <c r="Y813" i="1"/>
  <c r="H813" i="1"/>
  <c r="Z812" i="1"/>
  <c r="Y812" i="1"/>
  <c r="H812" i="1"/>
  <c r="Z811" i="1"/>
  <c r="Y811" i="1"/>
  <c r="H811" i="1"/>
  <c r="Z810" i="1"/>
  <c r="Y810" i="1"/>
  <c r="H810" i="1"/>
  <c r="Z809" i="1"/>
  <c r="Y809" i="1"/>
  <c r="H809" i="1"/>
  <c r="Z808" i="1"/>
  <c r="Y808" i="1"/>
  <c r="H808" i="1"/>
  <c r="Z807" i="1"/>
  <c r="Y807" i="1"/>
  <c r="H807" i="1"/>
  <c r="Z806" i="1"/>
  <c r="Y806" i="1"/>
  <c r="H806" i="1"/>
  <c r="Z805" i="1"/>
  <c r="Y805" i="1"/>
  <c r="H805" i="1"/>
  <c r="Z804" i="1"/>
  <c r="Y804" i="1"/>
  <c r="H804" i="1"/>
  <c r="Z803" i="1"/>
  <c r="Y803" i="1"/>
  <c r="H803" i="1"/>
  <c r="Z802" i="1"/>
  <c r="Y802" i="1"/>
  <c r="H802" i="1"/>
  <c r="Z801" i="1"/>
  <c r="Y801" i="1"/>
  <c r="H801" i="1"/>
  <c r="Z800" i="1"/>
  <c r="Y800" i="1"/>
  <c r="H800" i="1"/>
  <c r="Z799" i="1"/>
  <c r="Y799" i="1"/>
  <c r="H799" i="1"/>
  <c r="Z798" i="1"/>
  <c r="Y798" i="1"/>
  <c r="H798" i="1"/>
  <c r="Z797" i="1"/>
  <c r="Y797" i="1"/>
  <c r="H797" i="1"/>
  <c r="Z796" i="1"/>
  <c r="Y796" i="1"/>
  <c r="H796" i="1"/>
  <c r="Z795" i="1"/>
  <c r="Y795" i="1"/>
  <c r="H795" i="1"/>
  <c r="Z794" i="1"/>
  <c r="Y794" i="1"/>
  <c r="H794" i="1"/>
  <c r="Z793" i="1"/>
  <c r="Y793" i="1"/>
  <c r="H793" i="1"/>
  <c r="Z792" i="1"/>
  <c r="Y792" i="1"/>
  <c r="H792" i="1"/>
  <c r="Z791" i="1"/>
  <c r="Y791" i="1"/>
  <c r="H791" i="1"/>
  <c r="Z790" i="1"/>
  <c r="Y790" i="1"/>
  <c r="H790" i="1"/>
  <c r="Z789" i="1"/>
  <c r="Y789" i="1"/>
  <c r="H789" i="1"/>
  <c r="Z788" i="1"/>
  <c r="Y788" i="1"/>
  <c r="H788" i="1"/>
  <c r="Z787" i="1"/>
  <c r="Y787" i="1"/>
  <c r="H787" i="1"/>
  <c r="Z786" i="1"/>
  <c r="Y786" i="1"/>
  <c r="H786" i="1"/>
  <c r="Z785" i="1"/>
  <c r="Y785" i="1"/>
  <c r="H785" i="1"/>
  <c r="Z784" i="1"/>
  <c r="Y784" i="1"/>
  <c r="H784" i="1"/>
  <c r="Z783" i="1"/>
  <c r="Y783" i="1"/>
  <c r="H783" i="1"/>
  <c r="Z782" i="1"/>
  <c r="Y782" i="1"/>
  <c r="H782" i="1"/>
  <c r="Z781" i="1"/>
  <c r="Y781" i="1"/>
  <c r="H781" i="1"/>
  <c r="Z780" i="1"/>
  <c r="Y780" i="1"/>
  <c r="H780" i="1"/>
  <c r="Z779" i="1"/>
  <c r="Y779" i="1"/>
  <c r="H779" i="1"/>
  <c r="Z778" i="1"/>
  <c r="Y778" i="1"/>
  <c r="H778" i="1"/>
  <c r="Z777" i="1"/>
  <c r="Y777" i="1"/>
  <c r="H777" i="1"/>
  <c r="Z776" i="1"/>
  <c r="Y776" i="1"/>
  <c r="H776" i="1"/>
  <c r="Z775" i="1"/>
  <c r="Y775" i="1"/>
  <c r="H775" i="1"/>
  <c r="Z774" i="1"/>
  <c r="Y774" i="1"/>
  <c r="H774" i="1"/>
  <c r="Z773" i="1"/>
  <c r="Y773" i="1"/>
  <c r="H773" i="1"/>
  <c r="Z772" i="1"/>
  <c r="Y772" i="1"/>
  <c r="H772" i="1"/>
  <c r="Z771" i="1"/>
  <c r="Y771" i="1"/>
  <c r="H771" i="1"/>
  <c r="Z770" i="1"/>
  <c r="Y770" i="1"/>
  <c r="H770" i="1"/>
  <c r="Z769" i="1"/>
  <c r="Y769" i="1"/>
  <c r="H769" i="1"/>
  <c r="Z768" i="1"/>
  <c r="Y768" i="1"/>
  <c r="H768" i="1"/>
  <c r="Z767" i="1"/>
  <c r="Y767" i="1"/>
  <c r="H767" i="1"/>
  <c r="Z766" i="1"/>
  <c r="Y766" i="1"/>
  <c r="H766" i="1"/>
  <c r="Z765" i="1"/>
  <c r="Y765" i="1"/>
  <c r="H765" i="1"/>
  <c r="Z764" i="1"/>
  <c r="Y764" i="1"/>
  <c r="H764" i="1"/>
  <c r="Z763" i="1"/>
  <c r="Y763" i="1"/>
  <c r="H763" i="1"/>
  <c r="Z762" i="1"/>
  <c r="Y762" i="1"/>
  <c r="H762" i="1"/>
  <c r="Z761" i="1"/>
  <c r="Y761" i="1"/>
  <c r="H761" i="1"/>
  <c r="Z760" i="1"/>
  <c r="Y760" i="1"/>
  <c r="H760" i="1"/>
  <c r="Z759" i="1"/>
  <c r="Y759" i="1"/>
  <c r="H759" i="1"/>
  <c r="Z758" i="1"/>
  <c r="Y758" i="1"/>
  <c r="H758" i="1"/>
  <c r="Z757" i="1"/>
  <c r="Y757" i="1"/>
  <c r="H757" i="1"/>
  <c r="Z756" i="1"/>
  <c r="Y756" i="1"/>
  <c r="H756" i="1"/>
  <c r="Z755" i="1"/>
  <c r="Y755" i="1"/>
  <c r="H755" i="1"/>
  <c r="Z754" i="1"/>
  <c r="Y754" i="1"/>
  <c r="H754" i="1"/>
  <c r="Z753" i="1"/>
  <c r="Y753" i="1"/>
  <c r="H753" i="1"/>
  <c r="Z752" i="1"/>
  <c r="Y752" i="1"/>
  <c r="H752" i="1"/>
  <c r="Z751" i="1"/>
  <c r="Y751" i="1"/>
  <c r="H751" i="1"/>
  <c r="Z750" i="1"/>
  <c r="Y750" i="1"/>
  <c r="H750" i="1"/>
  <c r="Z749" i="1"/>
  <c r="Y749" i="1"/>
  <c r="H749" i="1"/>
  <c r="Z748" i="1"/>
  <c r="Y748" i="1"/>
  <c r="H748" i="1"/>
  <c r="Z747" i="1"/>
  <c r="Y747" i="1"/>
  <c r="H747" i="1"/>
  <c r="Z746" i="1"/>
  <c r="Y746" i="1"/>
  <c r="H746" i="1"/>
  <c r="Z745" i="1"/>
  <c r="Y745" i="1"/>
  <c r="H745" i="1"/>
  <c r="Z744" i="1"/>
  <c r="Y744" i="1"/>
  <c r="H744" i="1"/>
  <c r="Z743" i="1"/>
  <c r="Y743" i="1"/>
  <c r="H743" i="1"/>
  <c r="Z742" i="1"/>
  <c r="Y742" i="1"/>
  <c r="H742" i="1"/>
  <c r="Z741" i="1"/>
  <c r="Y741" i="1"/>
  <c r="H741" i="1"/>
  <c r="Z740" i="1"/>
  <c r="Y740" i="1"/>
  <c r="H740" i="1"/>
  <c r="Z739" i="1"/>
  <c r="Y739" i="1"/>
  <c r="H739" i="1"/>
  <c r="Z738" i="1"/>
  <c r="Y738" i="1"/>
  <c r="H738" i="1"/>
  <c r="Z737" i="1"/>
  <c r="Y737" i="1"/>
  <c r="H737" i="1"/>
  <c r="Z736" i="1"/>
  <c r="Y736" i="1"/>
  <c r="H736" i="1"/>
  <c r="Z735" i="1"/>
  <c r="Y735" i="1"/>
  <c r="H735" i="1"/>
  <c r="Z734" i="1"/>
  <c r="Y734" i="1"/>
  <c r="H734" i="1"/>
  <c r="Z733" i="1"/>
  <c r="Y733" i="1"/>
  <c r="H733" i="1"/>
  <c r="Z732" i="1"/>
  <c r="Y732" i="1"/>
  <c r="H732" i="1"/>
  <c r="Z731" i="1"/>
  <c r="Y731" i="1"/>
  <c r="H731" i="1"/>
  <c r="Z730" i="1"/>
  <c r="Y730" i="1"/>
  <c r="H730" i="1"/>
  <c r="Z729" i="1"/>
  <c r="Y729" i="1"/>
  <c r="H729" i="1"/>
  <c r="Z728" i="1"/>
  <c r="Y728" i="1"/>
  <c r="H728" i="1"/>
  <c r="Z727" i="1"/>
  <c r="Y727" i="1"/>
  <c r="H727" i="1"/>
  <c r="Z726" i="1"/>
  <c r="Y726" i="1"/>
  <c r="H726" i="1"/>
  <c r="Z725" i="1"/>
  <c r="Y725" i="1"/>
  <c r="H725" i="1"/>
  <c r="Z724" i="1"/>
  <c r="Y724" i="1"/>
  <c r="H724" i="1"/>
  <c r="Z723" i="1"/>
  <c r="Y723" i="1"/>
  <c r="H723" i="1"/>
  <c r="Z722" i="1"/>
  <c r="Y722" i="1"/>
  <c r="H722" i="1"/>
  <c r="Z721" i="1"/>
  <c r="Y721" i="1"/>
  <c r="H721" i="1"/>
  <c r="Z720" i="1"/>
  <c r="Y720" i="1"/>
  <c r="H720" i="1"/>
  <c r="Z719" i="1"/>
  <c r="Y719" i="1"/>
  <c r="H719" i="1"/>
  <c r="Z718" i="1"/>
  <c r="Y718" i="1"/>
  <c r="H718" i="1"/>
  <c r="Z717" i="1"/>
  <c r="Y717" i="1"/>
  <c r="H717" i="1"/>
  <c r="Z716" i="1"/>
  <c r="Y716" i="1"/>
  <c r="H716" i="1"/>
  <c r="Z715" i="1"/>
  <c r="Y715" i="1"/>
  <c r="H715" i="1"/>
  <c r="Z714" i="1"/>
  <c r="Y714" i="1"/>
  <c r="H714" i="1"/>
  <c r="Z713" i="1"/>
  <c r="Y713" i="1"/>
  <c r="H713" i="1"/>
  <c r="Z712" i="1"/>
  <c r="Y712" i="1"/>
  <c r="H712" i="1"/>
  <c r="Z711" i="1"/>
  <c r="Y711" i="1"/>
  <c r="H711" i="1"/>
  <c r="Z710" i="1"/>
  <c r="Y710" i="1"/>
  <c r="H710" i="1"/>
  <c r="Z709" i="1"/>
  <c r="Y709" i="1"/>
  <c r="H709" i="1"/>
  <c r="Z708" i="1"/>
  <c r="Y708" i="1"/>
  <c r="H708" i="1"/>
  <c r="Z707" i="1"/>
  <c r="Y707" i="1"/>
  <c r="H707" i="1"/>
  <c r="Z706" i="1"/>
  <c r="Y706" i="1"/>
  <c r="H706" i="1"/>
  <c r="Z705" i="1"/>
  <c r="Y705" i="1"/>
  <c r="H705" i="1"/>
  <c r="Z704" i="1"/>
  <c r="Y704" i="1"/>
  <c r="H704" i="1"/>
  <c r="Z703" i="1"/>
  <c r="Y703" i="1"/>
  <c r="H703" i="1"/>
  <c r="Z702" i="1"/>
  <c r="Y702" i="1"/>
  <c r="H702" i="1"/>
  <c r="Z701" i="1"/>
  <c r="Y701" i="1"/>
  <c r="H701" i="1"/>
  <c r="Z700" i="1"/>
  <c r="Y700" i="1"/>
  <c r="H700" i="1"/>
  <c r="Z699" i="1"/>
  <c r="Y699" i="1"/>
  <c r="H699" i="1"/>
  <c r="Z698" i="1"/>
  <c r="Y698" i="1"/>
  <c r="H698" i="1"/>
  <c r="Z697" i="1"/>
  <c r="Y697" i="1"/>
  <c r="H697" i="1"/>
  <c r="Z696" i="1"/>
  <c r="Y696" i="1"/>
  <c r="H696" i="1"/>
  <c r="Z695" i="1"/>
  <c r="Y695" i="1"/>
  <c r="H695" i="1"/>
  <c r="Z694" i="1"/>
  <c r="Y694" i="1"/>
  <c r="H694" i="1"/>
  <c r="Z693" i="1"/>
  <c r="Y693" i="1"/>
  <c r="H693" i="1"/>
  <c r="Z692" i="1"/>
  <c r="Y692" i="1"/>
  <c r="H692" i="1"/>
  <c r="Z691" i="1"/>
  <c r="Y691" i="1"/>
  <c r="H691" i="1"/>
  <c r="Z690" i="1"/>
  <c r="Y690" i="1"/>
  <c r="H690" i="1"/>
  <c r="Z689" i="1"/>
  <c r="Y689" i="1"/>
  <c r="H689" i="1"/>
  <c r="Z688" i="1"/>
  <c r="Y688" i="1"/>
  <c r="H688" i="1"/>
  <c r="Z687" i="1"/>
  <c r="Y687" i="1"/>
  <c r="H687" i="1"/>
  <c r="Z686" i="1"/>
  <c r="Y686" i="1"/>
  <c r="H686" i="1"/>
  <c r="Z685" i="1"/>
  <c r="Y685" i="1"/>
  <c r="H685" i="1"/>
  <c r="Z684" i="1"/>
  <c r="Y684" i="1"/>
  <c r="H684" i="1"/>
  <c r="Z683" i="1"/>
  <c r="Y683" i="1"/>
  <c r="H683" i="1"/>
  <c r="Z682" i="1"/>
  <c r="Y682" i="1"/>
  <c r="H682" i="1"/>
  <c r="Z681" i="1"/>
  <c r="Y681" i="1"/>
  <c r="H681" i="1"/>
  <c r="Z680" i="1"/>
  <c r="Y680" i="1"/>
  <c r="H680" i="1"/>
  <c r="Z679" i="1"/>
  <c r="Y679" i="1"/>
  <c r="H679" i="1"/>
  <c r="Z678" i="1"/>
  <c r="Y678" i="1"/>
  <c r="H678" i="1"/>
  <c r="Z677" i="1"/>
  <c r="Y677" i="1"/>
  <c r="H677" i="1"/>
  <c r="Z676" i="1"/>
  <c r="Y676" i="1"/>
  <c r="H676" i="1"/>
  <c r="Z675" i="1"/>
  <c r="Y675" i="1"/>
  <c r="H675" i="1"/>
  <c r="Z674" i="1"/>
  <c r="Y674" i="1"/>
  <c r="H674" i="1"/>
  <c r="Z673" i="1"/>
  <c r="Y673" i="1"/>
  <c r="H673" i="1"/>
  <c r="Z672" i="1"/>
  <c r="Y672" i="1"/>
  <c r="H672" i="1"/>
  <c r="Z671" i="1"/>
  <c r="Y671" i="1"/>
  <c r="H671" i="1"/>
  <c r="Z670" i="1"/>
  <c r="Y670" i="1"/>
  <c r="H670" i="1"/>
  <c r="Z669" i="1"/>
  <c r="Y669" i="1"/>
  <c r="H669" i="1"/>
  <c r="Z668" i="1"/>
  <c r="Y668" i="1"/>
  <c r="H668" i="1"/>
  <c r="Z667" i="1"/>
  <c r="Y667" i="1"/>
  <c r="H667" i="1"/>
  <c r="Z666" i="1"/>
  <c r="Y666" i="1"/>
  <c r="H666" i="1"/>
  <c r="Z665" i="1"/>
  <c r="Y665" i="1"/>
  <c r="H665" i="1"/>
  <c r="Z664" i="1"/>
  <c r="Y664" i="1"/>
  <c r="H664" i="1"/>
  <c r="Z663" i="1"/>
  <c r="Y663" i="1"/>
  <c r="H663" i="1"/>
  <c r="Z662" i="1"/>
  <c r="Y662" i="1"/>
  <c r="H662" i="1"/>
  <c r="Z661" i="1"/>
  <c r="Y661" i="1"/>
  <c r="H661" i="1"/>
  <c r="Z660" i="1"/>
  <c r="Y660" i="1"/>
  <c r="H660" i="1"/>
  <c r="Z659" i="1"/>
  <c r="Y659" i="1"/>
  <c r="H659" i="1"/>
  <c r="Z658" i="1"/>
  <c r="Y658" i="1"/>
  <c r="H658" i="1"/>
  <c r="Z657" i="1"/>
  <c r="Y657" i="1"/>
  <c r="H657" i="1"/>
  <c r="Z656" i="1"/>
  <c r="Y656" i="1"/>
  <c r="H656" i="1"/>
  <c r="Z655" i="1"/>
  <c r="Y655" i="1"/>
  <c r="H655" i="1"/>
  <c r="Z654" i="1"/>
  <c r="Y654" i="1"/>
  <c r="H654" i="1"/>
  <c r="Z653" i="1"/>
  <c r="Y653" i="1"/>
  <c r="H653" i="1"/>
  <c r="Z652" i="1"/>
  <c r="Y652" i="1"/>
  <c r="H652" i="1"/>
  <c r="Z651" i="1"/>
  <c r="Y651" i="1"/>
  <c r="H651" i="1"/>
  <c r="Z650" i="1"/>
  <c r="Y650" i="1"/>
  <c r="H650" i="1"/>
  <c r="Z649" i="1"/>
  <c r="Y649" i="1"/>
  <c r="H649" i="1"/>
  <c r="Z648" i="1"/>
  <c r="Y648" i="1"/>
  <c r="H648" i="1"/>
  <c r="Z647" i="1"/>
  <c r="Y647" i="1"/>
  <c r="H647" i="1"/>
  <c r="Z646" i="1"/>
  <c r="Y646" i="1"/>
  <c r="H646" i="1"/>
  <c r="Z645" i="1"/>
  <c r="Y645" i="1"/>
  <c r="H645" i="1"/>
  <c r="Z644" i="1"/>
  <c r="Y644" i="1"/>
  <c r="H644" i="1"/>
  <c r="Z643" i="1"/>
  <c r="Y643" i="1"/>
  <c r="H643" i="1"/>
  <c r="Z642" i="1"/>
  <c r="Y642" i="1"/>
  <c r="H642" i="1"/>
  <c r="Z641" i="1"/>
  <c r="Y641" i="1"/>
  <c r="H641" i="1"/>
  <c r="Z640" i="1"/>
  <c r="Y640" i="1"/>
  <c r="H640" i="1"/>
  <c r="Z639" i="1"/>
  <c r="Y639" i="1"/>
  <c r="H639" i="1"/>
  <c r="Z638" i="1"/>
  <c r="Y638" i="1"/>
  <c r="H638" i="1"/>
  <c r="Z637" i="1"/>
  <c r="Y637" i="1"/>
  <c r="H637" i="1"/>
  <c r="Z636" i="1"/>
  <c r="Y636" i="1"/>
  <c r="H636" i="1"/>
  <c r="Z635" i="1"/>
  <c r="Y635" i="1"/>
  <c r="H635" i="1"/>
  <c r="Z634" i="1"/>
  <c r="Y634" i="1"/>
  <c r="H634" i="1"/>
  <c r="Z633" i="1"/>
  <c r="Y633" i="1"/>
  <c r="H633" i="1"/>
  <c r="Z632" i="1"/>
  <c r="Y632" i="1"/>
  <c r="H632" i="1"/>
  <c r="Z631" i="1"/>
  <c r="Y631" i="1"/>
  <c r="H631" i="1"/>
  <c r="Z630" i="1"/>
  <c r="Y630" i="1"/>
  <c r="H630" i="1"/>
  <c r="Z629" i="1"/>
  <c r="Y629" i="1"/>
  <c r="H629" i="1"/>
  <c r="Z628" i="1"/>
  <c r="Y628" i="1"/>
  <c r="H628" i="1"/>
  <c r="Z627" i="1"/>
  <c r="Y627" i="1"/>
  <c r="H627" i="1"/>
  <c r="Z626" i="1"/>
  <c r="Y626" i="1"/>
  <c r="H626" i="1"/>
  <c r="Z625" i="1"/>
  <c r="Y625" i="1"/>
  <c r="H625" i="1"/>
  <c r="Z624" i="1"/>
  <c r="Y624" i="1"/>
  <c r="H624" i="1"/>
  <c r="Z623" i="1"/>
  <c r="Y623" i="1"/>
  <c r="H623" i="1"/>
  <c r="Z622" i="1"/>
  <c r="Y622" i="1"/>
  <c r="H622" i="1"/>
  <c r="Z621" i="1"/>
  <c r="Y621" i="1"/>
  <c r="H621" i="1"/>
  <c r="Z620" i="1"/>
  <c r="Y620" i="1"/>
  <c r="H620" i="1"/>
  <c r="Z619" i="1"/>
  <c r="Y619" i="1"/>
  <c r="H619" i="1"/>
  <c r="Z618" i="1"/>
  <c r="Y618" i="1"/>
  <c r="H618" i="1"/>
  <c r="Z617" i="1"/>
  <c r="Y617" i="1"/>
  <c r="H617" i="1"/>
  <c r="Z616" i="1"/>
  <c r="Y616" i="1"/>
  <c r="H616" i="1"/>
  <c r="Z615" i="1"/>
  <c r="Y615" i="1"/>
  <c r="H615" i="1"/>
  <c r="Z614" i="1"/>
  <c r="Y614" i="1"/>
  <c r="H614" i="1"/>
  <c r="Z613" i="1"/>
  <c r="Y613" i="1"/>
  <c r="H613" i="1"/>
  <c r="Z612" i="1"/>
  <c r="Y612" i="1"/>
  <c r="H612" i="1"/>
  <c r="Z611" i="1"/>
  <c r="Y611" i="1"/>
  <c r="H611" i="1"/>
  <c r="Z610" i="1"/>
  <c r="Y610" i="1"/>
  <c r="H610" i="1"/>
  <c r="Z609" i="1"/>
  <c r="Y609" i="1"/>
  <c r="H609" i="1"/>
  <c r="Z608" i="1"/>
  <c r="Y608" i="1"/>
  <c r="H608" i="1"/>
  <c r="Z607" i="1"/>
  <c r="Y607" i="1"/>
  <c r="H607" i="1"/>
  <c r="Z606" i="1"/>
  <c r="Y606" i="1"/>
  <c r="H606" i="1"/>
  <c r="Z605" i="1"/>
  <c r="Y605" i="1"/>
  <c r="H605" i="1"/>
  <c r="Z604" i="1"/>
  <c r="Y604" i="1"/>
  <c r="H604" i="1"/>
  <c r="Z603" i="1"/>
  <c r="Y603" i="1"/>
  <c r="H603" i="1"/>
  <c r="Z602" i="1"/>
  <c r="Y602" i="1"/>
  <c r="H602" i="1"/>
  <c r="Z601" i="1"/>
  <c r="Y601" i="1"/>
  <c r="H601" i="1"/>
  <c r="Z600" i="1"/>
  <c r="Y600" i="1"/>
  <c r="H600" i="1"/>
  <c r="Z599" i="1"/>
  <c r="Y599" i="1"/>
  <c r="H599" i="1"/>
  <c r="Z598" i="1"/>
  <c r="Y598" i="1"/>
  <c r="H598" i="1"/>
  <c r="Z597" i="1"/>
  <c r="Y597" i="1"/>
  <c r="H597" i="1"/>
  <c r="Z596" i="1"/>
  <c r="Y596" i="1"/>
  <c r="H596" i="1"/>
  <c r="Z595" i="1"/>
  <c r="Y595" i="1"/>
  <c r="H595" i="1"/>
  <c r="Z594" i="1"/>
  <c r="Y594" i="1"/>
  <c r="H594" i="1"/>
  <c r="Z593" i="1"/>
  <c r="Y593" i="1"/>
  <c r="H593" i="1"/>
  <c r="Z592" i="1"/>
  <c r="Y592" i="1"/>
  <c r="H592" i="1"/>
  <c r="Z591" i="1"/>
  <c r="Y591" i="1"/>
  <c r="H591" i="1"/>
  <c r="Z590" i="1"/>
  <c r="Y590" i="1"/>
  <c r="H590" i="1"/>
  <c r="Z589" i="1"/>
  <c r="Y589" i="1"/>
  <c r="H589" i="1"/>
  <c r="Z588" i="1"/>
  <c r="Y588" i="1"/>
  <c r="H588" i="1"/>
  <c r="Z587" i="1"/>
  <c r="Y587" i="1"/>
  <c r="H587" i="1"/>
  <c r="Z586" i="1"/>
  <c r="Y586" i="1"/>
  <c r="H586" i="1"/>
  <c r="Z585" i="1"/>
  <c r="Y585" i="1"/>
  <c r="H585" i="1"/>
  <c r="Z584" i="1"/>
  <c r="Y584" i="1"/>
  <c r="H584" i="1"/>
  <c r="Z583" i="1"/>
  <c r="Y583" i="1"/>
  <c r="H583" i="1"/>
  <c r="Z582" i="1"/>
  <c r="Y582" i="1"/>
  <c r="H582" i="1"/>
  <c r="Z581" i="1"/>
  <c r="Y581" i="1"/>
  <c r="H581" i="1"/>
  <c r="Z580" i="1"/>
  <c r="Y580" i="1"/>
  <c r="H580" i="1"/>
  <c r="Z579" i="1"/>
  <c r="Y579" i="1"/>
  <c r="H579" i="1"/>
  <c r="Z578" i="1"/>
  <c r="Y578" i="1"/>
  <c r="H578" i="1"/>
  <c r="Z577" i="1"/>
  <c r="Y577" i="1"/>
  <c r="H577" i="1"/>
  <c r="Z576" i="1"/>
  <c r="Y576" i="1"/>
  <c r="H576" i="1"/>
  <c r="Z575" i="1"/>
  <c r="Y575" i="1"/>
  <c r="H575" i="1"/>
  <c r="Z574" i="1"/>
  <c r="Y574" i="1"/>
  <c r="H574" i="1"/>
  <c r="Z573" i="1"/>
  <c r="Y573" i="1"/>
  <c r="H573" i="1"/>
  <c r="Z572" i="1"/>
  <c r="Y572" i="1"/>
  <c r="H572" i="1"/>
  <c r="Z571" i="1"/>
  <c r="Y571" i="1"/>
  <c r="H571" i="1"/>
  <c r="Z570" i="1"/>
  <c r="Y570" i="1"/>
  <c r="H570" i="1"/>
  <c r="Z569" i="1"/>
  <c r="Y569" i="1"/>
  <c r="H569" i="1"/>
  <c r="Z568" i="1"/>
  <c r="Y568" i="1"/>
  <c r="H568" i="1"/>
  <c r="Z567" i="1"/>
  <c r="Y567" i="1"/>
  <c r="H567" i="1"/>
  <c r="Z566" i="1"/>
  <c r="Y566" i="1"/>
  <c r="H566" i="1"/>
  <c r="Z565" i="1"/>
  <c r="Y565" i="1"/>
  <c r="H565" i="1"/>
  <c r="Z564" i="1"/>
  <c r="Y564" i="1"/>
  <c r="H564" i="1"/>
  <c r="Z563" i="1"/>
  <c r="Y563" i="1"/>
  <c r="H563" i="1"/>
  <c r="Z562" i="1"/>
  <c r="Y562" i="1"/>
  <c r="H562" i="1"/>
  <c r="Z561" i="1"/>
  <c r="Y561" i="1"/>
  <c r="H561" i="1"/>
  <c r="Z560" i="1"/>
  <c r="Y560" i="1"/>
  <c r="H560" i="1"/>
  <c r="Z559" i="1"/>
  <c r="Y559" i="1"/>
  <c r="H559" i="1"/>
  <c r="Z558" i="1"/>
  <c r="Y558" i="1"/>
  <c r="H558" i="1"/>
  <c r="Z557" i="1"/>
  <c r="Y557" i="1"/>
  <c r="H557" i="1"/>
  <c r="Z556" i="1"/>
  <c r="Y556" i="1"/>
  <c r="H556" i="1"/>
  <c r="Z555" i="1"/>
  <c r="Y555" i="1"/>
  <c r="H555" i="1"/>
  <c r="Z554" i="1"/>
  <c r="Y554" i="1"/>
  <c r="H554" i="1"/>
  <c r="Z553" i="1"/>
  <c r="Y553" i="1"/>
  <c r="H553" i="1"/>
  <c r="Z552" i="1"/>
  <c r="Y552" i="1"/>
  <c r="H552" i="1"/>
  <c r="Z551" i="1"/>
  <c r="Y551" i="1"/>
  <c r="H551" i="1"/>
  <c r="Z550" i="1"/>
  <c r="Y550" i="1"/>
  <c r="H550" i="1"/>
  <c r="Z549" i="1"/>
  <c r="Y549" i="1"/>
  <c r="H549" i="1"/>
  <c r="Z548" i="1"/>
  <c r="Y548" i="1"/>
  <c r="H548" i="1"/>
  <c r="Z547" i="1"/>
  <c r="Y547" i="1"/>
  <c r="H547" i="1"/>
  <c r="Z546" i="1"/>
  <c r="Y546" i="1"/>
  <c r="H546" i="1"/>
  <c r="Z545" i="1"/>
  <c r="Y545" i="1"/>
  <c r="H545" i="1"/>
  <c r="Z544" i="1"/>
  <c r="Y544" i="1"/>
  <c r="H544" i="1"/>
  <c r="Z543" i="1"/>
  <c r="Y543" i="1"/>
  <c r="H543" i="1"/>
  <c r="Z542" i="1"/>
  <c r="Y542" i="1"/>
  <c r="H542" i="1"/>
  <c r="Z541" i="1"/>
  <c r="Y541" i="1"/>
  <c r="H541" i="1"/>
  <c r="Z540" i="1"/>
  <c r="Y540" i="1"/>
  <c r="H540" i="1"/>
  <c r="Z539" i="1"/>
  <c r="Y539" i="1"/>
  <c r="H539" i="1"/>
  <c r="Z538" i="1"/>
  <c r="Y538" i="1"/>
  <c r="H538" i="1"/>
  <c r="Z537" i="1"/>
  <c r="Y537" i="1"/>
  <c r="H537" i="1"/>
  <c r="Z536" i="1"/>
  <c r="Y536" i="1"/>
  <c r="H536" i="1"/>
  <c r="Z535" i="1"/>
  <c r="Y535" i="1"/>
  <c r="H535" i="1"/>
  <c r="Z534" i="1"/>
  <c r="Y534" i="1"/>
  <c r="H534" i="1"/>
  <c r="Z533" i="1"/>
  <c r="Y533" i="1"/>
  <c r="H533" i="1"/>
  <c r="Z532" i="1"/>
  <c r="Y532" i="1"/>
  <c r="H532" i="1"/>
  <c r="Z531" i="1"/>
  <c r="Y531" i="1"/>
  <c r="H531" i="1"/>
  <c r="Z530" i="1"/>
  <c r="Y530" i="1"/>
  <c r="H530" i="1"/>
  <c r="Z529" i="1"/>
  <c r="Y529" i="1"/>
  <c r="H529" i="1"/>
  <c r="Z528" i="1"/>
  <c r="Y528" i="1"/>
  <c r="H528" i="1"/>
  <c r="Z527" i="1"/>
  <c r="Y527" i="1"/>
  <c r="H527" i="1"/>
  <c r="Z526" i="1"/>
  <c r="Y526" i="1"/>
  <c r="H526" i="1"/>
  <c r="Z525" i="1"/>
  <c r="Y525" i="1"/>
  <c r="H525" i="1"/>
  <c r="Z524" i="1"/>
  <c r="Y524" i="1"/>
  <c r="H524" i="1"/>
  <c r="Z523" i="1"/>
  <c r="Y523" i="1"/>
  <c r="H523" i="1"/>
  <c r="Z522" i="1"/>
  <c r="Y522" i="1"/>
  <c r="H522" i="1"/>
  <c r="Z521" i="1"/>
  <c r="Y521" i="1"/>
  <c r="H521" i="1"/>
  <c r="Z520" i="1"/>
  <c r="Y520" i="1"/>
  <c r="H520" i="1"/>
  <c r="Z519" i="1"/>
  <c r="Y519" i="1"/>
  <c r="H519" i="1"/>
  <c r="Z518" i="1"/>
  <c r="Y518" i="1"/>
  <c r="H518" i="1"/>
  <c r="Z517" i="1"/>
  <c r="Y517" i="1"/>
  <c r="H517" i="1"/>
  <c r="Z516" i="1"/>
  <c r="Y516" i="1"/>
  <c r="H516" i="1"/>
  <c r="Z515" i="1"/>
  <c r="Y515" i="1"/>
  <c r="H515" i="1"/>
  <c r="Z514" i="1"/>
  <c r="Y514" i="1"/>
  <c r="H514" i="1"/>
  <c r="Z513" i="1"/>
  <c r="Y513" i="1"/>
  <c r="H513" i="1"/>
  <c r="Z512" i="1"/>
  <c r="Y512" i="1"/>
  <c r="H512" i="1"/>
  <c r="Z511" i="1"/>
  <c r="Y511" i="1"/>
  <c r="H511" i="1"/>
  <c r="Z510" i="1"/>
  <c r="Y510" i="1"/>
  <c r="H510" i="1"/>
  <c r="Z509" i="1"/>
  <c r="Y509" i="1"/>
  <c r="H509" i="1"/>
  <c r="Z508" i="1"/>
  <c r="Y508" i="1"/>
  <c r="H508" i="1"/>
  <c r="Z507" i="1"/>
  <c r="Y507" i="1"/>
  <c r="H507" i="1"/>
  <c r="Z506" i="1"/>
  <c r="Y506" i="1"/>
  <c r="H506" i="1"/>
  <c r="Z505" i="1"/>
  <c r="Y505" i="1"/>
  <c r="H505" i="1"/>
  <c r="Z504" i="1"/>
  <c r="Y504" i="1"/>
  <c r="H504" i="1"/>
  <c r="Z503" i="1"/>
  <c r="Y503" i="1"/>
  <c r="H503" i="1"/>
  <c r="Z502" i="1"/>
  <c r="Y502" i="1"/>
  <c r="H502" i="1"/>
  <c r="Z501" i="1"/>
  <c r="Y501" i="1"/>
  <c r="H501" i="1"/>
  <c r="Z500" i="1"/>
  <c r="Y500" i="1"/>
  <c r="H500" i="1"/>
  <c r="Z499" i="1"/>
  <c r="Y499" i="1"/>
  <c r="H499" i="1"/>
  <c r="Z498" i="1"/>
  <c r="Y498" i="1"/>
  <c r="H498" i="1"/>
  <c r="Z497" i="1"/>
  <c r="Y497" i="1"/>
  <c r="H497" i="1"/>
  <c r="Z496" i="1"/>
  <c r="Y496" i="1"/>
  <c r="H496" i="1"/>
  <c r="Z495" i="1"/>
  <c r="Y495" i="1"/>
  <c r="H495" i="1"/>
  <c r="Z494" i="1"/>
  <c r="Y494" i="1"/>
  <c r="H494" i="1"/>
  <c r="Z493" i="1"/>
  <c r="Y493" i="1"/>
  <c r="H493" i="1"/>
  <c r="Z492" i="1"/>
  <c r="Y492" i="1"/>
  <c r="H492" i="1"/>
  <c r="Z491" i="1"/>
  <c r="Y491" i="1"/>
  <c r="H491" i="1"/>
  <c r="Z490" i="1"/>
  <c r="Y490" i="1"/>
  <c r="H490" i="1"/>
  <c r="Z489" i="1"/>
  <c r="Y489" i="1"/>
  <c r="H489" i="1"/>
  <c r="Z488" i="1"/>
  <c r="Y488" i="1"/>
  <c r="H488" i="1"/>
  <c r="Z487" i="1"/>
  <c r="Y487" i="1"/>
  <c r="H487" i="1"/>
  <c r="Z486" i="1"/>
  <c r="Y486" i="1"/>
  <c r="H486" i="1"/>
  <c r="Z485" i="1"/>
  <c r="Y485" i="1"/>
  <c r="H485" i="1"/>
  <c r="Z484" i="1"/>
  <c r="Y484" i="1"/>
  <c r="H484" i="1"/>
  <c r="Z483" i="1"/>
  <c r="Y483" i="1"/>
  <c r="H483" i="1"/>
  <c r="Z482" i="1"/>
  <c r="Y482" i="1"/>
  <c r="H482" i="1"/>
  <c r="Z481" i="1"/>
  <c r="Y481" i="1"/>
  <c r="H481" i="1"/>
  <c r="Z480" i="1"/>
  <c r="Y480" i="1"/>
  <c r="H480" i="1"/>
  <c r="Z479" i="1"/>
  <c r="Y479" i="1"/>
  <c r="H479" i="1"/>
  <c r="Z478" i="1"/>
  <c r="Y478" i="1"/>
  <c r="H478" i="1"/>
  <c r="Z477" i="1"/>
  <c r="Y477" i="1"/>
  <c r="H477" i="1"/>
  <c r="Z476" i="1"/>
  <c r="Y476" i="1"/>
  <c r="H476" i="1"/>
  <c r="Z475" i="1"/>
  <c r="Y475" i="1"/>
  <c r="H475" i="1"/>
  <c r="Z474" i="1"/>
  <c r="Y474" i="1"/>
  <c r="H474" i="1"/>
  <c r="Z473" i="1"/>
  <c r="Y473" i="1"/>
  <c r="H473" i="1"/>
  <c r="Z472" i="1"/>
  <c r="Y472" i="1"/>
  <c r="H472" i="1"/>
  <c r="Z471" i="1"/>
  <c r="Y471" i="1"/>
  <c r="H471" i="1"/>
  <c r="Z470" i="1"/>
  <c r="Y470" i="1"/>
  <c r="H470" i="1"/>
  <c r="Z469" i="1"/>
  <c r="Y469" i="1"/>
  <c r="H469" i="1"/>
  <c r="Z468" i="1"/>
  <c r="Y468" i="1"/>
  <c r="H468" i="1"/>
  <c r="Z467" i="1"/>
  <c r="Y467" i="1"/>
  <c r="H467" i="1"/>
  <c r="Z466" i="1"/>
  <c r="Y466" i="1"/>
  <c r="H466" i="1"/>
  <c r="Z465" i="1"/>
  <c r="Y465" i="1"/>
  <c r="H465" i="1"/>
  <c r="Z464" i="1"/>
  <c r="Y464" i="1"/>
  <c r="H464" i="1"/>
  <c r="Z463" i="1"/>
  <c r="Y463" i="1"/>
  <c r="H463" i="1"/>
  <c r="Z462" i="1"/>
  <c r="Y462" i="1"/>
  <c r="H462" i="1"/>
  <c r="Z461" i="1"/>
  <c r="Y461" i="1"/>
  <c r="H461" i="1"/>
  <c r="Z460" i="1"/>
  <c r="Y460" i="1"/>
  <c r="H460" i="1"/>
  <c r="Z459" i="1"/>
  <c r="Y459" i="1"/>
  <c r="H459" i="1"/>
  <c r="Z458" i="1"/>
  <c r="Y458" i="1"/>
  <c r="H458" i="1"/>
  <c r="Z457" i="1"/>
  <c r="Y457" i="1"/>
  <c r="H457" i="1"/>
  <c r="Z456" i="1"/>
  <c r="Y456" i="1"/>
  <c r="H456" i="1"/>
  <c r="Z455" i="1"/>
  <c r="Y455" i="1"/>
  <c r="H455" i="1"/>
  <c r="Z454" i="1"/>
  <c r="Y454" i="1"/>
  <c r="H454" i="1"/>
  <c r="Z453" i="1"/>
  <c r="Y453" i="1"/>
  <c r="H453" i="1"/>
  <c r="Z452" i="1"/>
  <c r="Y452" i="1"/>
  <c r="H452" i="1"/>
  <c r="Z451" i="1"/>
  <c r="Y451" i="1"/>
  <c r="H451" i="1"/>
  <c r="Z450" i="1"/>
  <c r="Y450" i="1"/>
  <c r="H450" i="1"/>
  <c r="Z449" i="1"/>
  <c r="Y449" i="1"/>
  <c r="H449" i="1"/>
  <c r="Z448" i="1"/>
  <c r="Y448" i="1"/>
  <c r="H448" i="1"/>
  <c r="Z447" i="1"/>
  <c r="Y447" i="1"/>
  <c r="H447" i="1"/>
  <c r="Z446" i="1"/>
  <c r="Y446" i="1"/>
  <c r="H446" i="1"/>
  <c r="Z445" i="1"/>
  <c r="Y445" i="1"/>
  <c r="H445" i="1"/>
  <c r="Z444" i="1"/>
  <c r="Y444" i="1"/>
  <c r="H444" i="1"/>
  <c r="Z443" i="1"/>
  <c r="Y443" i="1"/>
  <c r="H443" i="1"/>
  <c r="Z442" i="1"/>
  <c r="Y442" i="1"/>
  <c r="H442" i="1"/>
  <c r="Z441" i="1"/>
  <c r="Y441" i="1"/>
  <c r="H441" i="1"/>
  <c r="Z440" i="1"/>
  <c r="Y440" i="1"/>
  <c r="H440" i="1"/>
  <c r="Z439" i="1"/>
  <c r="Y439" i="1"/>
  <c r="H439" i="1"/>
  <c r="Z438" i="1"/>
  <c r="Y438" i="1"/>
  <c r="H438" i="1"/>
  <c r="Z437" i="1"/>
  <c r="Y437" i="1"/>
  <c r="H437" i="1"/>
  <c r="Z436" i="1"/>
  <c r="Y436" i="1"/>
  <c r="H436" i="1"/>
  <c r="Z435" i="1"/>
  <c r="Y435" i="1"/>
  <c r="H435" i="1"/>
  <c r="Z434" i="1"/>
  <c r="Y434" i="1"/>
  <c r="H434" i="1"/>
  <c r="Z433" i="1"/>
  <c r="Y433" i="1"/>
  <c r="H433" i="1"/>
  <c r="Z432" i="1"/>
  <c r="Y432" i="1"/>
  <c r="H432" i="1"/>
  <c r="Z431" i="1"/>
  <c r="Y431" i="1"/>
  <c r="H431" i="1"/>
  <c r="Z430" i="1"/>
  <c r="Y430" i="1"/>
  <c r="H430" i="1"/>
  <c r="Z429" i="1"/>
  <c r="Y429" i="1"/>
  <c r="H429" i="1"/>
  <c r="Z428" i="1"/>
  <c r="Y428" i="1"/>
  <c r="H428" i="1"/>
  <c r="Z427" i="1"/>
  <c r="Y427" i="1"/>
  <c r="H427" i="1"/>
  <c r="Z426" i="1"/>
  <c r="Y426" i="1"/>
  <c r="H426" i="1"/>
  <c r="Z425" i="1"/>
  <c r="Y425" i="1"/>
  <c r="H425" i="1"/>
  <c r="Z424" i="1"/>
  <c r="Y424" i="1"/>
  <c r="H424" i="1"/>
  <c r="Z423" i="1"/>
  <c r="Y423" i="1"/>
  <c r="H423" i="1"/>
  <c r="Z422" i="1"/>
  <c r="Y422" i="1"/>
  <c r="H422" i="1"/>
  <c r="Z421" i="1"/>
  <c r="Y421" i="1"/>
  <c r="H421" i="1"/>
  <c r="Z420" i="1"/>
  <c r="Y420" i="1"/>
  <c r="H420" i="1"/>
  <c r="Z419" i="1"/>
  <c r="Y419" i="1"/>
  <c r="H419" i="1"/>
  <c r="Z418" i="1"/>
  <c r="Y418" i="1"/>
  <c r="H418" i="1"/>
  <c r="Z417" i="1"/>
  <c r="Y417" i="1"/>
  <c r="H417" i="1"/>
  <c r="Z416" i="1"/>
  <c r="Y416" i="1"/>
  <c r="H416" i="1"/>
  <c r="Z415" i="1"/>
  <c r="Y415" i="1"/>
  <c r="H415" i="1"/>
  <c r="Z414" i="1"/>
  <c r="Y414" i="1"/>
  <c r="H414" i="1"/>
  <c r="Z413" i="1"/>
  <c r="Y413" i="1"/>
  <c r="H413" i="1"/>
  <c r="Z412" i="1"/>
  <c r="Y412" i="1"/>
  <c r="H412" i="1"/>
  <c r="Z411" i="1"/>
  <c r="Y411" i="1"/>
  <c r="H411" i="1"/>
  <c r="Z410" i="1"/>
  <c r="Y410" i="1"/>
  <c r="H410" i="1"/>
  <c r="Z409" i="1"/>
  <c r="Y409" i="1"/>
  <c r="H409" i="1"/>
  <c r="Z408" i="1"/>
  <c r="Y408" i="1"/>
  <c r="H408" i="1"/>
  <c r="Z407" i="1"/>
  <c r="Y407" i="1"/>
  <c r="H407" i="1"/>
  <c r="Z406" i="1"/>
  <c r="Y406" i="1"/>
  <c r="H406" i="1"/>
  <c r="Z405" i="1"/>
  <c r="Y405" i="1"/>
  <c r="H405" i="1"/>
  <c r="Z404" i="1"/>
  <c r="Y404" i="1"/>
  <c r="H404" i="1"/>
  <c r="Z403" i="1"/>
  <c r="Y403" i="1"/>
  <c r="H403" i="1"/>
  <c r="Z402" i="1"/>
  <c r="Y402" i="1"/>
  <c r="H402" i="1"/>
  <c r="Z401" i="1"/>
  <c r="Y401" i="1"/>
  <c r="H401" i="1"/>
  <c r="Z400" i="1"/>
  <c r="Y400" i="1"/>
  <c r="H400" i="1"/>
  <c r="Z399" i="1"/>
  <c r="Y399" i="1"/>
  <c r="H399" i="1"/>
  <c r="Z398" i="1"/>
  <c r="Y398" i="1"/>
  <c r="H398" i="1"/>
  <c r="Z397" i="1"/>
  <c r="Y397" i="1"/>
  <c r="H397" i="1"/>
  <c r="Z396" i="1"/>
  <c r="Y396" i="1"/>
  <c r="H396" i="1"/>
  <c r="Z395" i="1"/>
  <c r="Y395" i="1"/>
  <c r="H395" i="1"/>
  <c r="Z394" i="1"/>
  <c r="Y394" i="1"/>
  <c r="H394" i="1"/>
  <c r="Z393" i="1"/>
  <c r="Y393" i="1"/>
  <c r="H393" i="1"/>
  <c r="Z392" i="1"/>
  <c r="Y392" i="1"/>
  <c r="H392" i="1"/>
  <c r="Z391" i="1"/>
  <c r="Y391" i="1"/>
  <c r="H391" i="1"/>
  <c r="Z390" i="1"/>
  <c r="Y390" i="1"/>
  <c r="H390" i="1"/>
  <c r="Z389" i="1"/>
  <c r="Y389" i="1"/>
  <c r="H389" i="1"/>
  <c r="Z388" i="1"/>
  <c r="Y388" i="1"/>
  <c r="H388" i="1"/>
  <c r="Z387" i="1"/>
  <c r="Y387" i="1"/>
  <c r="H387" i="1"/>
  <c r="Z386" i="1"/>
  <c r="Y386" i="1"/>
  <c r="H386" i="1"/>
  <c r="Z385" i="1"/>
  <c r="Y385" i="1"/>
  <c r="H385" i="1"/>
  <c r="Z384" i="1"/>
  <c r="Y384" i="1"/>
  <c r="H384" i="1"/>
  <c r="Z383" i="1"/>
  <c r="Y383" i="1"/>
  <c r="H383" i="1"/>
  <c r="Z382" i="1"/>
  <c r="Y382" i="1"/>
  <c r="H382" i="1"/>
  <c r="Z381" i="1"/>
  <c r="Y381" i="1"/>
  <c r="H381" i="1"/>
  <c r="Z380" i="1"/>
  <c r="Y380" i="1"/>
  <c r="H380" i="1"/>
  <c r="Z379" i="1"/>
  <c r="Y379" i="1"/>
  <c r="H379" i="1"/>
  <c r="Z378" i="1"/>
  <c r="Y378" i="1"/>
  <c r="H378" i="1"/>
  <c r="Z377" i="1"/>
  <c r="Y377" i="1"/>
  <c r="H377" i="1"/>
  <c r="Z376" i="1"/>
  <c r="Y376" i="1"/>
  <c r="H376" i="1"/>
  <c r="Z375" i="1"/>
  <c r="Y375" i="1"/>
  <c r="H375" i="1"/>
  <c r="Z374" i="1"/>
  <c r="Y374" i="1"/>
  <c r="H374" i="1"/>
  <c r="Z373" i="1"/>
  <c r="Y373" i="1"/>
  <c r="H373" i="1"/>
  <c r="Z372" i="1"/>
  <c r="Y372" i="1"/>
  <c r="H372" i="1"/>
  <c r="Z371" i="1"/>
  <c r="Y371" i="1"/>
  <c r="H371" i="1"/>
  <c r="Z370" i="1"/>
  <c r="Y370" i="1"/>
  <c r="H370" i="1"/>
  <c r="Z369" i="1"/>
  <c r="Y369" i="1"/>
  <c r="H369" i="1"/>
  <c r="Z368" i="1"/>
  <c r="Y368" i="1"/>
  <c r="H368" i="1"/>
  <c r="Z367" i="1"/>
  <c r="Y367" i="1"/>
  <c r="H367" i="1"/>
  <c r="Z366" i="1"/>
  <c r="Y366" i="1"/>
  <c r="H366" i="1"/>
  <c r="Z365" i="1"/>
  <c r="Y365" i="1"/>
  <c r="H365" i="1"/>
  <c r="Z364" i="1"/>
  <c r="Y364" i="1"/>
  <c r="H364" i="1"/>
  <c r="Z363" i="1"/>
  <c r="Y363" i="1"/>
  <c r="H363" i="1"/>
  <c r="Z362" i="1"/>
  <c r="Y362" i="1"/>
  <c r="H362" i="1"/>
  <c r="Z361" i="1"/>
  <c r="Y361" i="1"/>
  <c r="H361" i="1"/>
  <c r="Z360" i="1"/>
  <c r="Y360" i="1"/>
  <c r="H360" i="1"/>
  <c r="Z359" i="1"/>
  <c r="Y359" i="1"/>
  <c r="H359" i="1"/>
  <c r="Z358" i="1"/>
  <c r="Y358" i="1"/>
  <c r="H358" i="1"/>
  <c r="Z357" i="1"/>
  <c r="Y357" i="1"/>
  <c r="H357" i="1"/>
  <c r="Z356" i="1"/>
  <c r="Y356" i="1"/>
  <c r="H356" i="1"/>
  <c r="Z355" i="1"/>
  <c r="Y355" i="1"/>
  <c r="H355" i="1"/>
  <c r="Z354" i="1"/>
  <c r="Y354" i="1"/>
  <c r="H354" i="1"/>
  <c r="Z353" i="1"/>
  <c r="Y353" i="1"/>
  <c r="H353" i="1"/>
  <c r="Z352" i="1"/>
  <c r="Y352" i="1"/>
  <c r="H352" i="1"/>
  <c r="Z351" i="1"/>
  <c r="Y351" i="1"/>
  <c r="H351" i="1"/>
  <c r="Z350" i="1"/>
  <c r="Y350" i="1"/>
  <c r="H350" i="1"/>
  <c r="Z349" i="1"/>
  <c r="Y349" i="1"/>
  <c r="H349" i="1"/>
  <c r="Z348" i="1"/>
  <c r="Y348" i="1"/>
  <c r="H348" i="1"/>
  <c r="Z347" i="1"/>
  <c r="Y347" i="1"/>
  <c r="H347" i="1"/>
  <c r="Z346" i="1"/>
  <c r="Y346" i="1"/>
  <c r="H346" i="1"/>
  <c r="Z345" i="1"/>
  <c r="Y345" i="1"/>
  <c r="H345" i="1"/>
  <c r="Z344" i="1"/>
  <c r="Y344" i="1"/>
  <c r="H344" i="1"/>
  <c r="Z343" i="1"/>
  <c r="Y343" i="1"/>
  <c r="H343" i="1"/>
  <c r="Z342" i="1"/>
  <c r="Y342" i="1"/>
  <c r="H342" i="1"/>
  <c r="Z341" i="1"/>
  <c r="Y341" i="1"/>
  <c r="H341" i="1"/>
  <c r="Z340" i="1"/>
  <c r="Y340" i="1"/>
  <c r="H340" i="1"/>
  <c r="Z339" i="1"/>
  <c r="Y339" i="1"/>
  <c r="H339" i="1"/>
  <c r="Z338" i="1"/>
  <c r="Y338" i="1"/>
  <c r="H338" i="1"/>
  <c r="Z337" i="1"/>
  <c r="Y337" i="1"/>
  <c r="H337" i="1"/>
  <c r="Z336" i="1"/>
  <c r="Y336" i="1"/>
  <c r="H336" i="1"/>
  <c r="Z335" i="1"/>
  <c r="Y335" i="1"/>
  <c r="H335" i="1"/>
  <c r="Z334" i="1"/>
  <c r="Y334" i="1"/>
  <c r="H334" i="1"/>
  <c r="Z333" i="1"/>
  <c r="Y333" i="1"/>
  <c r="H333" i="1"/>
  <c r="Z332" i="1"/>
  <c r="Y332" i="1"/>
  <c r="H332" i="1"/>
  <c r="Z331" i="1"/>
  <c r="Y331" i="1"/>
  <c r="H331" i="1"/>
  <c r="Z330" i="1"/>
  <c r="Y330" i="1"/>
  <c r="H330" i="1"/>
  <c r="Z329" i="1"/>
  <c r="Y329" i="1"/>
  <c r="H329" i="1"/>
  <c r="Z328" i="1"/>
  <c r="Y328" i="1"/>
  <c r="H328" i="1"/>
  <c r="Z327" i="1"/>
  <c r="Y327" i="1"/>
  <c r="H327" i="1"/>
  <c r="Z326" i="1"/>
  <c r="Y326" i="1"/>
  <c r="H326" i="1"/>
  <c r="Z325" i="1"/>
  <c r="Y325" i="1"/>
  <c r="H325" i="1"/>
  <c r="Z324" i="1"/>
  <c r="Y324" i="1"/>
  <c r="H324" i="1"/>
  <c r="Z323" i="1"/>
  <c r="Y323" i="1"/>
  <c r="H323" i="1"/>
  <c r="Z322" i="1"/>
  <c r="Y322" i="1"/>
  <c r="H322" i="1"/>
  <c r="Z321" i="1"/>
  <c r="Y321" i="1"/>
  <c r="H321" i="1"/>
  <c r="Z320" i="1"/>
  <c r="Y320" i="1"/>
  <c r="H320" i="1"/>
  <c r="Z319" i="1"/>
  <c r="Y319" i="1"/>
  <c r="H319" i="1"/>
  <c r="Z318" i="1"/>
  <c r="Y318" i="1"/>
  <c r="H318" i="1"/>
  <c r="Z317" i="1"/>
  <c r="Y317" i="1"/>
  <c r="H317" i="1"/>
  <c r="Z316" i="1"/>
  <c r="Y316" i="1"/>
  <c r="H316" i="1"/>
  <c r="Z315" i="1"/>
  <c r="Y315" i="1"/>
  <c r="H315" i="1"/>
  <c r="Z314" i="1"/>
  <c r="Y314" i="1"/>
  <c r="H314" i="1"/>
  <c r="Z313" i="1"/>
  <c r="Y313" i="1"/>
  <c r="H313" i="1"/>
  <c r="Z312" i="1"/>
  <c r="Y312" i="1"/>
  <c r="H312" i="1"/>
  <c r="Z311" i="1"/>
  <c r="Y311" i="1"/>
  <c r="H311" i="1"/>
  <c r="Z310" i="1"/>
  <c r="Y310" i="1"/>
  <c r="H310" i="1"/>
  <c r="Z309" i="1"/>
  <c r="Y309" i="1"/>
  <c r="H309" i="1"/>
  <c r="Z308" i="1"/>
  <c r="Y308" i="1"/>
  <c r="H308" i="1"/>
  <c r="Z307" i="1"/>
  <c r="Y307" i="1"/>
  <c r="H307" i="1"/>
  <c r="Z306" i="1"/>
  <c r="Y306" i="1"/>
  <c r="H306" i="1"/>
  <c r="Z305" i="1"/>
  <c r="Y305" i="1"/>
  <c r="H305" i="1"/>
  <c r="Z304" i="1"/>
  <c r="Y304" i="1"/>
  <c r="H304" i="1"/>
  <c r="Z303" i="1"/>
  <c r="Y303" i="1"/>
  <c r="H303" i="1"/>
  <c r="Z302" i="1"/>
  <c r="Y302" i="1"/>
  <c r="H302" i="1"/>
  <c r="Z301" i="1"/>
  <c r="Y301" i="1"/>
  <c r="H301" i="1"/>
  <c r="Z300" i="1"/>
  <c r="Y300" i="1"/>
  <c r="H300" i="1"/>
  <c r="Z299" i="1"/>
  <c r="Y299" i="1"/>
  <c r="H299" i="1"/>
  <c r="Z298" i="1"/>
  <c r="Y298" i="1"/>
  <c r="H298" i="1"/>
  <c r="Z297" i="1"/>
  <c r="Y297" i="1"/>
  <c r="H297" i="1"/>
  <c r="Z296" i="1"/>
  <c r="Y296" i="1"/>
  <c r="H296" i="1"/>
  <c r="Z295" i="1"/>
  <c r="Y295" i="1"/>
  <c r="H295" i="1"/>
  <c r="Z294" i="1"/>
  <c r="Y294" i="1"/>
  <c r="H294" i="1"/>
  <c r="Z293" i="1"/>
  <c r="Y293" i="1"/>
  <c r="H293" i="1"/>
  <c r="Z292" i="1"/>
  <c r="Y292" i="1"/>
  <c r="H292" i="1"/>
  <c r="Z291" i="1"/>
  <c r="Y291" i="1"/>
  <c r="H291" i="1"/>
  <c r="Z290" i="1"/>
  <c r="Y290" i="1"/>
  <c r="H290" i="1"/>
  <c r="Z289" i="1"/>
  <c r="Y289" i="1"/>
  <c r="H289" i="1"/>
  <c r="Z288" i="1"/>
  <c r="Y288" i="1"/>
  <c r="H288" i="1"/>
  <c r="Z287" i="1"/>
  <c r="Y287" i="1"/>
  <c r="H287" i="1"/>
  <c r="Z286" i="1"/>
  <c r="Y286" i="1"/>
  <c r="H286" i="1"/>
  <c r="Z285" i="1"/>
  <c r="Y285" i="1"/>
  <c r="H285" i="1"/>
  <c r="Z284" i="1"/>
  <c r="Y284" i="1"/>
  <c r="H284" i="1"/>
  <c r="Z283" i="1"/>
  <c r="Y283" i="1"/>
  <c r="H283" i="1"/>
  <c r="Z282" i="1"/>
  <c r="Y282" i="1"/>
  <c r="H282" i="1"/>
  <c r="Z281" i="1"/>
  <c r="Y281" i="1"/>
  <c r="H281" i="1"/>
  <c r="Z280" i="1"/>
  <c r="Y280" i="1"/>
  <c r="H280" i="1"/>
  <c r="Z279" i="1"/>
  <c r="Y279" i="1"/>
  <c r="H279" i="1"/>
  <c r="Z278" i="1"/>
  <c r="Y278" i="1"/>
  <c r="H278" i="1"/>
  <c r="Z277" i="1"/>
  <c r="Y277" i="1"/>
  <c r="H277" i="1"/>
  <c r="Z276" i="1"/>
  <c r="Y276" i="1"/>
  <c r="H276" i="1"/>
  <c r="Z275" i="1"/>
  <c r="Y275" i="1"/>
  <c r="H275" i="1"/>
  <c r="Z274" i="1"/>
  <c r="Y274" i="1"/>
  <c r="H274" i="1"/>
  <c r="Z273" i="1"/>
  <c r="Y273" i="1"/>
  <c r="H273" i="1"/>
  <c r="Z272" i="1"/>
  <c r="Y272" i="1"/>
  <c r="H272" i="1"/>
  <c r="Z271" i="1"/>
  <c r="Y271" i="1"/>
  <c r="H271" i="1"/>
  <c r="Z270" i="1"/>
  <c r="Y270" i="1"/>
  <c r="H270" i="1"/>
  <c r="Z269" i="1"/>
  <c r="Y269" i="1"/>
  <c r="H269" i="1"/>
  <c r="Z268" i="1"/>
  <c r="Y268" i="1"/>
  <c r="H268" i="1"/>
  <c r="Z267" i="1"/>
  <c r="Y267" i="1"/>
  <c r="H267" i="1"/>
  <c r="Z266" i="1"/>
  <c r="Y266" i="1"/>
  <c r="H266" i="1"/>
  <c r="Z265" i="1"/>
  <c r="Y265" i="1"/>
  <c r="H265" i="1"/>
  <c r="Z264" i="1"/>
  <c r="Y264" i="1"/>
  <c r="H264" i="1"/>
  <c r="Z263" i="1"/>
  <c r="Y263" i="1"/>
  <c r="H263" i="1"/>
  <c r="Z262" i="1"/>
  <c r="Y262" i="1"/>
  <c r="H262" i="1"/>
  <c r="Z261" i="1"/>
  <c r="Y261" i="1"/>
  <c r="H261" i="1"/>
  <c r="Z260" i="1"/>
  <c r="Y260" i="1"/>
  <c r="H260" i="1"/>
  <c r="Z259" i="1"/>
  <c r="Y259" i="1"/>
  <c r="H259" i="1"/>
  <c r="Z258" i="1"/>
  <c r="Y258" i="1"/>
  <c r="H258" i="1"/>
  <c r="Z257" i="1"/>
  <c r="Y257" i="1"/>
  <c r="H257" i="1"/>
  <c r="Z256" i="1"/>
  <c r="Y256" i="1"/>
  <c r="H256" i="1"/>
  <c r="Z255" i="1"/>
  <c r="Y255" i="1"/>
  <c r="H255" i="1"/>
  <c r="Z254" i="1"/>
  <c r="Y254" i="1"/>
  <c r="H254" i="1"/>
  <c r="Z253" i="1"/>
  <c r="Y253" i="1"/>
  <c r="H253" i="1"/>
  <c r="Z252" i="1"/>
  <c r="Y252" i="1"/>
  <c r="H252" i="1"/>
  <c r="Z251" i="1"/>
  <c r="Y251" i="1"/>
  <c r="H251" i="1"/>
  <c r="Z250" i="1"/>
  <c r="Y250" i="1"/>
  <c r="H250" i="1"/>
  <c r="Z249" i="1"/>
  <c r="Y249" i="1"/>
  <c r="H249" i="1"/>
  <c r="Z248" i="1"/>
  <c r="Y248" i="1"/>
  <c r="H248" i="1"/>
  <c r="Z247" i="1"/>
  <c r="Y247" i="1"/>
  <c r="H247" i="1"/>
  <c r="Z246" i="1"/>
  <c r="Y246" i="1"/>
  <c r="H246" i="1"/>
  <c r="Z245" i="1"/>
  <c r="Y245" i="1"/>
  <c r="H245" i="1"/>
  <c r="Z244" i="1"/>
  <c r="Y244" i="1"/>
  <c r="H244" i="1"/>
  <c r="Z243" i="1"/>
  <c r="Y243" i="1"/>
  <c r="H243" i="1"/>
  <c r="Z242" i="1"/>
  <c r="Y242" i="1"/>
  <c r="H242" i="1"/>
  <c r="Z241" i="1"/>
  <c r="Y241" i="1"/>
  <c r="H241" i="1"/>
  <c r="Z240" i="1"/>
  <c r="Y240" i="1"/>
  <c r="H240" i="1"/>
  <c r="Z239" i="1"/>
  <c r="Y239" i="1"/>
  <c r="H239" i="1"/>
  <c r="Z238" i="1"/>
  <c r="Y238" i="1"/>
  <c r="H238" i="1"/>
  <c r="Z237" i="1"/>
  <c r="Y237" i="1"/>
  <c r="H237" i="1"/>
  <c r="Z236" i="1"/>
  <c r="Y236" i="1"/>
  <c r="H236" i="1"/>
  <c r="Z235" i="1"/>
  <c r="Y235" i="1"/>
  <c r="H235" i="1"/>
  <c r="Z234" i="1"/>
  <c r="Y234" i="1"/>
  <c r="H234" i="1"/>
  <c r="Z233" i="1"/>
  <c r="Y233" i="1"/>
  <c r="H233" i="1"/>
  <c r="Z232" i="1"/>
  <c r="Y232" i="1"/>
  <c r="H232" i="1"/>
  <c r="Z231" i="1"/>
  <c r="Y231" i="1"/>
  <c r="H231" i="1"/>
  <c r="Z230" i="1"/>
  <c r="Y230" i="1"/>
  <c r="H230" i="1"/>
  <c r="Z229" i="1"/>
  <c r="Y229" i="1"/>
  <c r="H229" i="1"/>
  <c r="Z228" i="1"/>
  <c r="Y228" i="1"/>
  <c r="H228" i="1"/>
  <c r="Z227" i="1"/>
  <c r="Y227" i="1"/>
  <c r="H227" i="1"/>
  <c r="Z226" i="1"/>
  <c r="Y226" i="1"/>
  <c r="H226" i="1"/>
  <c r="Z225" i="1"/>
  <c r="Y225" i="1"/>
  <c r="H225" i="1"/>
  <c r="Z224" i="1"/>
  <c r="Y224" i="1"/>
  <c r="H224" i="1"/>
  <c r="Z223" i="1"/>
  <c r="Y223" i="1"/>
  <c r="H223" i="1"/>
  <c r="Z222" i="1"/>
  <c r="Y222" i="1"/>
  <c r="H222" i="1"/>
  <c r="Z221" i="1"/>
  <c r="Y221" i="1"/>
  <c r="H221" i="1"/>
  <c r="Z220" i="1"/>
  <c r="Y220" i="1"/>
  <c r="H220" i="1"/>
  <c r="Z219" i="1"/>
  <c r="Y219" i="1"/>
  <c r="H219" i="1"/>
  <c r="Z218" i="1"/>
  <c r="Y218" i="1"/>
  <c r="H218" i="1"/>
  <c r="Z217" i="1"/>
  <c r="Y217" i="1"/>
  <c r="H217" i="1"/>
  <c r="Z216" i="1"/>
  <c r="Y216" i="1"/>
  <c r="H216" i="1"/>
  <c r="Z215" i="1"/>
  <c r="Y215" i="1"/>
  <c r="H215" i="1"/>
  <c r="Z214" i="1"/>
  <c r="Y214" i="1"/>
  <c r="H214" i="1"/>
  <c r="Z213" i="1"/>
  <c r="Y213" i="1"/>
  <c r="H213" i="1"/>
  <c r="Z212" i="1"/>
  <c r="Y212" i="1"/>
  <c r="H212" i="1"/>
  <c r="Z211" i="1"/>
  <c r="Y211" i="1"/>
  <c r="H211" i="1"/>
  <c r="Z210" i="1"/>
  <c r="Y210" i="1"/>
  <c r="H210" i="1"/>
  <c r="Z209" i="1"/>
  <c r="Y209" i="1"/>
  <c r="H209" i="1"/>
  <c r="Z208" i="1"/>
  <c r="Y208" i="1"/>
  <c r="H208" i="1"/>
  <c r="Z207" i="1"/>
  <c r="Y207" i="1"/>
  <c r="H207" i="1"/>
  <c r="Z206" i="1"/>
  <c r="Y206" i="1"/>
  <c r="H206" i="1"/>
  <c r="Z205" i="1"/>
  <c r="Y205" i="1"/>
  <c r="H205" i="1"/>
  <c r="Z204" i="1"/>
  <c r="Y204" i="1"/>
  <c r="H204" i="1"/>
  <c r="Z203" i="1"/>
  <c r="Y203" i="1"/>
  <c r="H203" i="1"/>
  <c r="Z202" i="1"/>
  <c r="Y202" i="1"/>
  <c r="H202" i="1"/>
  <c r="Z201" i="1"/>
  <c r="Y201" i="1"/>
  <c r="H201" i="1"/>
  <c r="Z200" i="1"/>
  <c r="Y200" i="1"/>
  <c r="H200" i="1"/>
  <c r="Z199" i="1"/>
  <c r="Y199" i="1"/>
  <c r="H199" i="1"/>
  <c r="Z198" i="1"/>
  <c r="Y198" i="1"/>
  <c r="H198" i="1"/>
  <c r="Z197" i="1"/>
  <c r="Y197" i="1"/>
  <c r="H197" i="1"/>
  <c r="Z196" i="1"/>
  <c r="Y196" i="1"/>
  <c r="H196" i="1"/>
  <c r="Z195" i="1"/>
  <c r="Y195" i="1"/>
  <c r="H195" i="1"/>
  <c r="Z194" i="1"/>
  <c r="Y194" i="1"/>
  <c r="H194" i="1"/>
  <c r="Z193" i="1"/>
  <c r="Y193" i="1"/>
  <c r="H193" i="1"/>
  <c r="Z192" i="1"/>
  <c r="Y192" i="1"/>
  <c r="H192" i="1"/>
  <c r="Z191" i="1"/>
  <c r="Y191" i="1"/>
  <c r="H191" i="1"/>
  <c r="Z190" i="1"/>
  <c r="Y190" i="1"/>
  <c r="H190" i="1"/>
  <c r="Z189" i="1"/>
  <c r="Y189" i="1"/>
  <c r="H189" i="1"/>
  <c r="Z188" i="1"/>
  <c r="Y188" i="1"/>
  <c r="H188" i="1"/>
  <c r="Z187" i="1"/>
  <c r="Y187" i="1"/>
  <c r="H187" i="1"/>
  <c r="Z186" i="1"/>
  <c r="Y186" i="1"/>
  <c r="H186" i="1"/>
  <c r="Z185" i="1"/>
  <c r="Y185" i="1"/>
  <c r="H185" i="1"/>
  <c r="Z184" i="1"/>
  <c r="Y184" i="1"/>
  <c r="H184" i="1"/>
  <c r="Z183" i="1"/>
  <c r="Y183" i="1"/>
  <c r="H183" i="1"/>
  <c r="Z182" i="1"/>
  <c r="Y182" i="1"/>
  <c r="H182" i="1"/>
  <c r="Z181" i="1"/>
  <c r="Y181" i="1"/>
  <c r="H181" i="1"/>
  <c r="Z180" i="1"/>
  <c r="Y180" i="1"/>
  <c r="H180" i="1"/>
  <c r="Z179" i="1"/>
  <c r="Y179" i="1"/>
  <c r="H179" i="1"/>
  <c r="Z178" i="1"/>
  <c r="Y178" i="1"/>
  <c r="H178" i="1"/>
  <c r="Z177" i="1"/>
  <c r="Y177" i="1"/>
  <c r="H177" i="1"/>
  <c r="Z176" i="1"/>
  <c r="Y176" i="1"/>
  <c r="H176" i="1"/>
  <c r="Z175" i="1"/>
  <c r="Y175" i="1"/>
  <c r="H175" i="1"/>
  <c r="Z174" i="1"/>
  <c r="Y174" i="1"/>
  <c r="H174" i="1"/>
  <c r="Z173" i="1"/>
  <c r="Y173" i="1"/>
  <c r="H173" i="1"/>
  <c r="Z172" i="1"/>
  <c r="Y172" i="1"/>
  <c r="H172" i="1"/>
  <c r="Z171" i="1"/>
  <c r="Y171" i="1"/>
  <c r="H171" i="1"/>
  <c r="Z170" i="1"/>
  <c r="Y170" i="1"/>
  <c r="H170" i="1"/>
  <c r="Z169" i="1"/>
  <c r="Y169" i="1"/>
  <c r="H169" i="1"/>
  <c r="Z168" i="1"/>
  <c r="Y168" i="1"/>
  <c r="H168" i="1"/>
  <c r="Z167" i="1"/>
  <c r="Y167" i="1"/>
  <c r="H167" i="1"/>
  <c r="Z166" i="1"/>
  <c r="Y166" i="1"/>
  <c r="H166" i="1"/>
  <c r="Z165" i="1"/>
  <c r="Y165" i="1"/>
  <c r="H165" i="1"/>
  <c r="Z164" i="1"/>
  <c r="Y164" i="1"/>
  <c r="H164" i="1"/>
  <c r="Z163" i="1"/>
  <c r="Y163" i="1"/>
  <c r="H163" i="1"/>
  <c r="Z162" i="1"/>
  <c r="Y162" i="1"/>
  <c r="H162" i="1"/>
  <c r="Z161" i="1"/>
  <c r="Y161" i="1"/>
  <c r="H161" i="1"/>
  <c r="Z160" i="1"/>
  <c r="Y160" i="1"/>
  <c r="H160" i="1"/>
  <c r="Z159" i="1"/>
  <c r="Y159" i="1"/>
  <c r="H159" i="1"/>
  <c r="Z158" i="1"/>
  <c r="Y158" i="1"/>
  <c r="H158" i="1"/>
  <c r="Z157" i="1"/>
  <c r="Y157" i="1"/>
  <c r="H157" i="1"/>
  <c r="Z156" i="1"/>
  <c r="Y156" i="1"/>
  <c r="H156" i="1"/>
  <c r="Z155" i="1"/>
  <c r="Y155" i="1"/>
  <c r="H155" i="1"/>
  <c r="Z154" i="1"/>
  <c r="Y154" i="1"/>
  <c r="H154" i="1"/>
  <c r="Z153" i="1"/>
  <c r="Y153" i="1"/>
  <c r="H153" i="1"/>
  <c r="Z152" i="1"/>
  <c r="Y152" i="1"/>
  <c r="H152" i="1"/>
  <c r="Z151" i="1"/>
  <c r="Y151" i="1"/>
  <c r="H151" i="1"/>
  <c r="Z150" i="1"/>
  <c r="Y150" i="1"/>
  <c r="H150" i="1"/>
  <c r="Z149" i="1"/>
  <c r="Y149" i="1"/>
  <c r="H149" i="1"/>
  <c r="Z148" i="1"/>
  <c r="Y148" i="1"/>
  <c r="H148" i="1"/>
  <c r="Z147" i="1"/>
  <c r="Y147" i="1"/>
  <c r="H147" i="1"/>
  <c r="Z146" i="1"/>
  <c r="Y146" i="1"/>
  <c r="H146" i="1"/>
  <c r="Z145" i="1"/>
  <c r="Y145" i="1"/>
  <c r="H145" i="1"/>
  <c r="Z144" i="1"/>
  <c r="Y144" i="1"/>
  <c r="H144" i="1"/>
  <c r="Z143" i="1"/>
  <c r="Y143" i="1"/>
  <c r="H143" i="1"/>
  <c r="Z142" i="1"/>
  <c r="Y142" i="1"/>
  <c r="H142" i="1"/>
  <c r="Z141" i="1"/>
  <c r="Y141" i="1"/>
  <c r="H141" i="1"/>
  <c r="Z140" i="1"/>
  <c r="Y140" i="1"/>
  <c r="H140" i="1"/>
  <c r="Z139" i="1"/>
  <c r="Y139" i="1"/>
  <c r="H139" i="1"/>
  <c r="Z138" i="1"/>
  <c r="Y138" i="1"/>
  <c r="H138" i="1"/>
  <c r="Z137" i="1"/>
  <c r="Y137" i="1"/>
  <c r="H137" i="1"/>
  <c r="Z136" i="1"/>
  <c r="Y136" i="1"/>
  <c r="H136" i="1"/>
  <c r="Z135" i="1"/>
  <c r="Y135" i="1"/>
  <c r="H135" i="1"/>
  <c r="Z134" i="1"/>
  <c r="Y134" i="1"/>
  <c r="H134" i="1"/>
  <c r="Z133" i="1"/>
  <c r="Y133" i="1"/>
  <c r="H133" i="1"/>
  <c r="Z132" i="1"/>
  <c r="Y132" i="1"/>
  <c r="H132" i="1"/>
  <c r="Z131" i="1"/>
  <c r="Y131" i="1"/>
  <c r="H131" i="1"/>
  <c r="Z130" i="1"/>
  <c r="Y130" i="1"/>
  <c r="H130" i="1"/>
  <c r="Z129" i="1"/>
  <c r="Y129" i="1"/>
  <c r="H129" i="1"/>
  <c r="Z128" i="1"/>
  <c r="Y128" i="1"/>
  <c r="H128" i="1"/>
  <c r="Z127" i="1"/>
  <c r="Y127" i="1"/>
  <c r="H127" i="1"/>
  <c r="Z126" i="1"/>
  <c r="Y126" i="1"/>
  <c r="H126" i="1"/>
  <c r="Z125" i="1"/>
  <c r="Y125" i="1"/>
  <c r="H125" i="1"/>
  <c r="Z124" i="1"/>
  <c r="Y124" i="1"/>
  <c r="H124" i="1"/>
  <c r="Z123" i="1"/>
  <c r="Y123" i="1"/>
  <c r="H123" i="1"/>
  <c r="Z122" i="1"/>
  <c r="Y122" i="1"/>
  <c r="H122" i="1"/>
  <c r="Z121" i="1"/>
  <c r="Y121" i="1"/>
  <c r="H121" i="1"/>
  <c r="Z120" i="1"/>
  <c r="Y120" i="1"/>
  <c r="H120" i="1"/>
  <c r="Z119" i="1"/>
  <c r="Y119" i="1"/>
  <c r="H119" i="1"/>
  <c r="Z118" i="1"/>
  <c r="Y118" i="1"/>
  <c r="H118" i="1"/>
  <c r="Z117" i="1"/>
  <c r="Y117" i="1"/>
  <c r="H117" i="1"/>
  <c r="Z116" i="1"/>
  <c r="Y116" i="1"/>
  <c r="H116" i="1"/>
  <c r="Z115" i="1"/>
  <c r="Y115" i="1"/>
  <c r="H115" i="1"/>
  <c r="Z114" i="1"/>
  <c r="Y114" i="1"/>
  <c r="H114" i="1"/>
  <c r="Z113" i="1"/>
  <c r="Y113" i="1"/>
  <c r="H113" i="1"/>
  <c r="Z112" i="1"/>
  <c r="Y112" i="1"/>
  <c r="H112" i="1"/>
  <c r="Z111" i="1"/>
  <c r="Y111" i="1"/>
  <c r="H111" i="1"/>
  <c r="Z110" i="1"/>
  <c r="Y110" i="1"/>
  <c r="H110" i="1"/>
  <c r="Z109" i="1"/>
  <c r="Y109" i="1"/>
  <c r="H109" i="1"/>
  <c r="Z108" i="1"/>
  <c r="Y108" i="1"/>
  <c r="H108" i="1"/>
  <c r="Z107" i="1"/>
  <c r="Y107" i="1"/>
  <c r="H107" i="1"/>
  <c r="Z106" i="1"/>
  <c r="Y106" i="1"/>
  <c r="H106" i="1"/>
  <c r="Z105" i="1"/>
  <c r="Y105" i="1"/>
  <c r="H105" i="1"/>
  <c r="Z104" i="1"/>
  <c r="Y104" i="1"/>
  <c r="H104" i="1"/>
  <c r="Z103" i="1"/>
  <c r="Y103" i="1"/>
  <c r="H103" i="1"/>
  <c r="Z102" i="1"/>
  <c r="Y102" i="1"/>
  <c r="H102" i="1"/>
  <c r="Z101" i="1"/>
  <c r="Y101" i="1"/>
  <c r="H101" i="1"/>
  <c r="Z100" i="1"/>
  <c r="Y100" i="1"/>
  <c r="H100" i="1"/>
  <c r="Z99" i="1"/>
  <c r="Y99" i="1"/>
  <c r="H99" i="1"/>
  <c r="Z98" i="1"/>
  <c r="Y98" i="1"/>
  <c r="H98" i="1"/>
  <c r="Z97" i="1"/>
  <c r="Y97" i="1"/>
  <c r="H97" i="1"/>
  <c r="Z96" i="1"/>
  <c r="Y96" i="1"/>
  <c r="H96" i="1"/>
  <c r="Z95" i="1"/>
  <c r="Y95" i="1"/>
  <c r="H95" i="1"/>
  <c r="Z94" i="1"/>
  <c r="Y94" i="1"/>
  <c r="H94" i="1"/>
  <c r="Z93" i="1"/>
  <c r="Y93" i="1"/>
  <c r="H93" i="1"/>
  <c r="Z92" i="1"/>
  <c r="Y92" i="1"/>
  <c r="H92" i="1"/>
  <c r="Z91" i="1"/>
  <c r="Y91" i="1"/>
  <c r="H91" i="1"/>
  <c r="Z90" i="1"/>
  <c r="Y90" i="1"/>
  <c r="H90" i="1"/>
  <c r="Z89" i="1"/>
  <c r="Y89" i="1"/>
  <c r="H89" i="1"/>
  <c r="Z88" i="1"/>
  <c r="Y88" i="1"/>
  <c r="H88" i="1"/>
  <c r="Z87" i="1"/>
  <c r="Y87" i="1"/>
  <c r="H87" i="1"/>
  <c r="Z86" i="1"/>
  <c r="Y86" i="1"/>
  <c r="H86" i="1"/>
  <c r="Z85" i="1"/>
  <c r="Y85" i="1"/>
  <c r="H85" i="1"/>
  <c r="Z84" i="1"/>
  <c r="Y84" i="1"/>
  <c r="H84" i="1"/>
  <c r="Z83" i="1"/>
  <c r="Y83" i="1"/>
  <c r="H83" i="1"/>
  <c r="Z82" i="1"/>
  <c r="Y82" i="1"/>
  <c r="H82" i="1"/>
  <c r="Z81" i="1"/>
  <c r="Y81" i="1"/>
  <c r="H81" i="1"/>
  <c r="Z80" i="1"/>
  <c r="Y80" i="1"/>
  <c r="H80" i="1"/>
  <c r="Z79" i="1"/>
  <c r="Y79" i="1"/>
  <c r="H79" i="1"/>
  <c r="Z78" i="1"/>
  <c r="Y78" i="1"/>
  <c r="H78" i="1"/>
  <c r="Z77" i="1"/>
  <c r="Y77" i="1"/>
  <c r="H77" i="1"/>
  <c r="Z76" i="1"/>
  <c r="Y76" i="1"/>
  <c r="H76" i="1"/>
  <c r="Z75" i="1"/>
  <c r="Y75" i="1"/>
  <c r="H75" i="1"/>
  <c r="Z74" i="1"/>
  <c r="Y74" i="1"/>
  <c r="H74" i="1"/>
  <c r="Z73" i="1"/>
  <c r="Y73" i="1"/>
  <c r="H73" i="1"/>
  <c r="Z72" i="1"/>
  <c r="Y72" i="1"/>
  <c r="H72" i="1"/>
  <c r="Z71" i="1"/>
  <c r="Y71" i="1"/>
  <c r="H71" i="1"/>
  <c r="Z70" i="1"/>
  <c r="Y70" i="1"/>
  <c r="H70" i="1"/>
  <c r="Z69" i="1"/>
  <c r="Y69" i="1"/>
  <c r="H69" i="1"/>
  <c r="Z68" i="1"/>
  <c r="Y68" i="1"/>
  <c r="H68" i="1"/>
  <c r="Z67" i="1"/>
  <c r="Y67" i="1"/>
  <c r="H67" i="1"/>
  <c r="Z66" i="1"/>
  <c r="Y66" i="1"/>
  <c r="H66" i="1"/>
  <c r="Z65" i="1"/>
  <c r="Y65" i="1"/>
  <c r="H65" i="1"/>
  <c r="Z64" i="1"/>
  <c r="Y64" i="1"/>
  <c r="H64" i="1"/>
  <c r="Z63" i="1"/>
  <c r="Y63" i="1"/>
  <c r="H63" i="1"/>
  <c r="Z62" i="1"/>
  <c r="Y62" i="1"/>
  <c r="H62" i="1"/>
  <c r="Z61" i="1"/>
  <c r="Y61" i="1"/>
  <c r="H61" i="1"/>
  <c r="Z60" i="1"/>
  <c r="Y60" i="1"/>
  <c r="H60" i="1"/>
  <c r="Z59" i="1"/>
  <c r="Y59" i="1"/>
  <c r="H59" i="1"/>
  <c r="Z58" i="1"/>
  <c r="Y58" i="1"/>
  <c r="H58" i="1"/>
  <c r="Z57" i="1"/>
  <c r="Y57" i="1"/>
  <c r="H57" i="1"/>
  <c r="Z56" i="1"/>
  <c r="Y56" i="1"/>
  <c r="H56" i="1"/>
  <c r="Z55" i="1"/>
  <c r="Y55" i="1"/>
  <c r="H55" i="1"/>
  <c r="Z54" i="1"/>
  <c r="Y54" i="1"/>
  <c r="H54" i="1"/>
  <c r="Z53" i="1"/>
  <c r="Y53" i="1"/>
  <c r="H53" i="1"/>
  <c r="Z52" i="1"/>
  <c r="Y52" i="1"/>
  <c r="H52" i="1"/>
  <c r="Z51" i="1"/>
  <c r="Y51" i="1"/>
  <c r="H51" i="1"/>
  <c r="Z50" i="1"/>
  <c r="Y50" i="1"/>
  <c r="H50" i="1"/>
  <c r="Z49" i="1"/>
  <c r="Y49" i="1"/>
  <c r="H49" i="1"/>
  <c r="Z48" i="1"/>
  <c r="Y48" i="1"/>
  <c r="H48" i="1"/>
  <c r="Z47" i="1"/>
  <c r="Y47" i="1"/>
  <c r="H47" i="1"/>
  <c r="Z46" i="1"/>
  <c r="Y46" i="1"/>
  <c r="H46" i="1"/>
  <c r="Z45" i="1"/>
  <c r="Y45" i="1"/>
  <c r="H45" i="1"/>
  <c r="Z44" i="1"/>
  <c r="Y44" i="1"/>
  <c r="H44" i="1"/>
  <c r="Z43" i="1"/>
  <c r="Y43" i="1"/>
  <c r="H43" i="1"/>
  <c r="Z42" i="1"/>
  <c r="Y42" i="1"/>
  <c r="H42" i="1"/>
  <c r="Z41" i="1"/>
  <c r="Y41" i="1"/>
  <c r="H41" i="1"/>
  <c r="Z40" i="1"/>
  <c r="Y40" i="1"/>
  <c r="H40" i="1"/>
  <c r="Z39" i="1"/>
  <c r="Y39" i="1"/>
  <c r="H39" i="1"/>
  <c r="Z38" i="1"/>
  <c r="Y38" i="1"/>
  <c r="H38" i="1"/>
  <c r="Z37" i="1"/>
  <c r="Y37" i="1"/>
  <c r="H37" i="1"/>
  <c r="Z36" i="1"/>
  <c r="Y36" i="1"/>
  <c r="H36" i="1"/>
  <c r="Z35" i="1"/>
  <c r="Y35" i="1"/>
  <c r="H35" i="1"/>
  <c r="Z34" i="1"/>
  <c r="Y34" i="1"/>
  <c r="H34" i="1"/>
  <c r="Z33" i="1"/>
  <c r="Y33" i="1"/>
  <c r="H33" i="1"/>
  <c r="Z32" i="1"/>
  <c r="Y32" i="1"/>
  <c r="H32" i="1"/>
  <c r="Z31" i="1"/>
  <c r="Y31" i="1"/>
  <c r="H31" i="1"/>
  <c r="Z30" i="1"/>
  <c r="Y30" i="1"/>
  <c r="H30" i="1"/>
  <c r="Z29" i="1"/>
  <c r="Y29" i="1"/>
  <c r="H29" i="1"/>
  <c r="Z28" i="1"/>
  <c r="Y28" i="1"/>
  <c r="H28" i="1"/>
  <c r="Z27" i="1"/>
  <c r="Y27" i="1"/>
  <c r="H27" i="1"/>
  <c r="Z26" i="1"/>
  <c r="Y26" i="1"/>
  <c r="H26" i="1"/>
  <c r="Z25" i="1"/>
  <c r="Y25" i="1"/>
  <c r="H25" i="1"/>
  <c r="Z24" i="1"/>
  <c r="Y24" i="1"/>
  <c r="H24" i="1"/>
  <c r="Z23" i="1"/>
  <c r="Y23" i="1"/>
  <c r="H23" i="1"/>
  <c r="Z22" i="1"/>
  <c r="Y22" i="1"/>
  <c r="H22" i="1"/>
  <c r="Z21" i="1"/>
  <c r="Y21" i="1"/>
  <c r="H21" i="1"/>
  <c r="Z20" i="1"/>
  <c r="Y20" i="1"/>
  <c r="H20" i="1"/>
  <c r="Z19" i="1"/>
  <c r="Y19" i="1"/>
  <c r="H19" i="1"/>
  <c r="Z18" i="1"/>
  <c r="Y18" i="1"/>
  <c r="H18" i="1"/>
  <c r="Z17" i="1"/>
  <c r="Y17" i="1"/>
  <c r="H17" i="1"/>
  <c r="Z16" i="1"/>
  <c r="Y16" i="1"/>
  <c r="H16" i="1"/>
  <c r="Z15" i="1"/>
  <c r="Y15" i="1"/>
  <c r="H15" i="1"/>
  <c r="Z14" i="1"/>
  <c r="Y14" i="1"/>
  <c r="H14" i="1"/>
  <c r="Z13" i="1"/>
  <c r="Y13" i="1"/>
  <c r="H13" i="1"/>
  <c r="Z12" i="1"/>
  <c r="Y12" i="1"/>
  <c r="H12" i="1"/>
  <c r="Z11" i="1"/>
  <c r="Y11" i="1"/>
  <c r="H11" i="1"/>
  <c r="Z10" i="1"/>
  <c r="Y10" i="1"/>
  <c r="H10" i="1"/>
  <c r="Z9" i="1"/>
  <c r="Y9" i="1"/>
  <c r="H9" i="1"/>
  <c r="Z8" i="1"/>
  <c r="Y8" i="1"/>
  <c r="H8" i="1"/>
  <c r="Z7" i="1"/>
  <c r="Y7" i="1"/>
  <c r="H7" i="1"/>
  <c r="Z6" i="1"/>
  <c r="Y6" i="1"/>
  <c r="H6" i="1"/>
  <c r="Z5" i="1"/>
  <c r="Y5" i="1"/>
  <c r="H5" i="1"/>
  <c r="Z4" i="1"/>
  <c r="Y4" i="1"/>
  <c r="H4" i="1"/>
  <c r="Z3" i="1"/>
  <c r="Y3" i="1"/>
  <c r="H3" i="1"/>
  <c r="Z2" i="1"/>
  <c r="Y2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Nadnaree Tanpech</author>
  </authors>
  <commentList>
    <comment ref="Y1" authorId="0" shapeId="0" xr:uid="{A881F2CE-848D-404D-94EE-74F9B82ADD7A}">
      <text>
        <r>
          <rPr>
            <b/>
            <sz val="9"/>
            <color indexed="81"/>
            <rFont val="Tahoma"/>
            <family val="2"/>
          </rPr>
          <t>Nadnaree Tanpech:</t>
        </r>
        <r>
          <rPr>
            <sz val="9"/>
            <color indexed="81"/>
            <rFont val="Tahoma"/>
            <family val="2"/>
          </rPr>
          <t xml:space="preserve">
เพิ่ม Column ใน BI</t>
        </r>
      </text>
    </comment>
  </commentList>
</comments>
</file>

<file path=xl/sharedStrings.xml><?xml version="1.0" encoding="utf-8"?>
<sst xmlns="http://schemas.openxmlformats.org/spreadsheetml/2006/main" count="34527" uniqueCount="434">
  <si>
    <t>ID</t>
  </si>
  <si>
    <t>Record Status</t>
  </si>
  <si>
    <t>Employee ID</t>
  </si>
  <si>
    <t>Name</t>
  </si>
  <si>
    <t>Check In</t>
  </si>
  <si>
    <t>Check Out</t>
  </si>
  <si>
    <t>Time (Apps)</t>
  </si>
  <si>
    <t>FTE (Apps)</t>
  </si>
  <si>
    <t>งานปกติ</t>
  </si>
  <si>
    <t>OT 1</t>
  </si>
  <si>
    <t>OT 1.5</t>
  </si>
  <si>
    <t>OT 3</t>
  </si>
  <si>
    <t>Flag_N (Apps)</t>
  </si>
  <si>
    <t>IS_OT</t>
  </si>
  <si>
    <t>Time (Payroll)</t>
  </si>
  <si>
    <t>Corporate Title</t>
  </si>
  <si>
    <t>Branch</t>
  </si>
  <si>
    <t>Cost Center Depature</t>
  </si>
  <si>
    <t>Cost Center Depature Name</t>
  </si>
  <si>
    <t>Cost Center Destination</t>
  </si>
  <si>
    <t>Cost Center Destination Name</t>
  </si>
  <si>
    <t>BU</t>
  </si>
  <si>
    <t>Area</t>
  </si>
  <si>
    <t>Function</t>
  </si>
  <si>
    <t>Total OT</t>
  </si>
  <si>
    <t>Scan Cost ตัวเอง</t>
  </si>
  <si>
    <t>pending approve</t>
  </si>
  <si>
    <t>Katesara Phomsuwan</t>
  </si>
  <si>
    <t>OT_1.5</t>
  </si>
  <si>
    <t>N</t>
  </si>
  <si>
    <t>Staff</t>
  </si>
  <si>
    <t>WAREHOUSE</t>
  </si>
  <si>
    <t>WH Import</t>
  </si>
  <si>
    <t>SSP Online</t>
  </si>
  <si>
    <t>Packing</t>
  </si>
  <si>
    <t>Anushisa Mahatamavadee</t>
  </si>
  <si>
    <t>Rakre Visetkarn</t>
  </si>
  <si>
    <t>Mezzanine</t>
  </si>
  <si>
    <t>Picking</t>
  </si>
  <si>
    <t>Pramot Mueangchan</t>
  </si>
  <si>
    <t>Y</t>
  </si>
  <si>
    <t>2.5</t>
  </si>
  <si>
    <t>Inventory</t>
  </si>
  <si>
    <t>CMG Project (Temporary)</t>
  </si>
  <si>
    <t>Forklift</t>
  </si>
  <si>
    <t>Jirut Boontim</t>
  </si>
  <si>
    <t>CDS Online</t>
  </si>
  <si>
    <t>Inbound</t>
  </si>
  <si>
    <t/>
  </si>
  <si>
    <t>Wanwisa Aiemngoen</t>
  </si>
  <si>
    <t>Online Return, Refund and Exchange Center</t>
  </si>
  <si>
    <t>RRE</t>
  </si>
  <si>
    <t>Return Customer</t>
  </si>
  <si>
    <t>confirmed</t>
  </si>
  <si>
    <t>Pariwat Warin</t>
  </si>
  <si>
    <t>B2S XD</t>
  </si>
  <si>
    <t>OFM XD</t>
  </si>
  <si>
    <t>Sorting</t>
  </si>
  <si>
    <t>Somwang Kanarsa</t>
  </si>
  <si>
    <t>CMG Online</t>
  </si>
  <si>
    <t>Put-away</t>
  </si>
  <si>
    <t>Artid Aunporn</t>
  </si>
  <si>
    <t>Muji</t>
  </si>
  <si>
    <t>Phichannon Jaroenwiang</t>
  </si>
  <si>
    <t>Weerawan Runngam</t>
  </si>
  <si>
    <t>Regular</t>
  </si>
  <si>
    <t>CDS WH</t>
  </si>
  <si>
    <t>Wilaithong Wongphen</t>
  </si>
  <si>
    <t>Supaporn Noipia</t>
  </si>
  <si>
    <t>SSP XD</t>
  </si>
  <si>
    <t>SSP</t>
  </si>
  <si>
    <t>VAS</t>
  </si>
  <si>
    <t>Transfer</t>
  </si>
  <si>
    <t>Sutud Kongrueang</t>
  </si>
  <si>
    <t>Loss Prevention</t>
  </si>
  <si>
    <t>Beautrium Omni Warehouse</t>
  </si>
  <si>
    <t>Napa Wongsana</t>
  </si>
  <si>
    <t>OT_1</t>
  </si>
  <si>
    <t>8.5</t>
  </si>
  <si>
    <t>GIC CDS &amp; RBS</t>
  </si>
  <si>
    <t>XD CDS &amp; RBS Receiving</t>
  </si>
  <si>
    <t>Checker</t>
  </si>
  <si>
    <t>Nichaphat Chunlawa</t>
  </si>
  <si>
    <t>Common Facility</t>
  </si>
  <si>
    <t>Kanjanawadee Seesumrong</t>
  </si>
  <si>
    <t>Alisa Jaisaen</t>
  </si>
  <si>
    <t>Re-Labeling</t>
  </si>
  <si>
    <t>Supannee Juntorakorn</t>
  </si>
  <si>
    <t>GR Center</t>
  </si>
  <si>
    <t>Risa Sadawong</t>
  </si>
  <si>
    <t>NST Online</t>
  </si>
  <si>
    <t>Coolroom</t>
  </si>
  <si>
    <t>Cycle Count</t>
  </si>
  <si>
    <t>Uraiwan Harnsuk</t>
  </si>
  <si>
    <t>Saowaluck Deewinya</t>
  </si>
  <si>
    <t>Receiving</t>
  </si>
  <si>
    <t>Chonticha Sitthijaroen</t>
  </si>
  <si>
    <t>Pornpen Kheecharoen</t>
  </si>
  <si>
    <t>Kissada Thongkamphong</t>
  </si>
  <si>
    <t>Praniam Homehuek</t>
  </si>
  <si>
    <t>Pannee Purappa</t>
  </si>
  <si>
    <t>Maneerat Ongartsuttikul</t>
  </si>
  <si>
    <t>Nattaya Oudomphol</t>
  </si>
  <si>
    <t>Suthikan Promta</t>
  </si>
  <si>
    <t>Wanitsa Chaisue</t>
  </si>
  <si>
    <t>Mali Nonpho</t>
  </si>
  <si>
    <t>Parichat Suntra</t>
  </si>
  <si>
    <t>Onpreeya Trisak</t>
  </si>
  <si>
    <t>Sarinya kwammun</t>
  </si>
  <si>
    <t>Sanguan Binthaisong</t>
  </si>
  <si>
    <t>Pannee Sukyen</t>
  </si>
  <si>
    <t>Packing (Online)</t>
  </si>
  <si>
    <t>Wasan Thongthod</t>
  </si>
  <si>
    <t>Kharaphat Singsom</t>
  </si>
  <si>
    <t>Chanon Taweesith</t>
  </si>
  <si>
    <t>Kanyakon Kanphakdi</t>
  </si>
  <si>
    <t>Nutthamon Luekkrajang</t>
  </si>
  <si>
    <t>Pongsapuk Duanklang</t>
  </si>
  <si>
    <t>Krodchakon Aunsamrong</t>
  </si>
  <si>
    <t>Ratnaphap Luecha</t>
  </si>
  <si>
    <t>Thannamthip Kaewpakdee</t>
  </si>
  <si>
    <t>Ruedee Schofield</t>
  </si>
  <si>
    <t>กชวรรณ อรุญมาศ</t>
  </si>
  <si>
    <t>ณิชากร จันโทสถ</t>
  </si>
  <si>
    <t>ภูริทัต ตะวังทัน</t>
  </si>
  <si>
    <t>วทัญญู ใบบงกช</t>
  </si>
  <si>
    <t>วราทิพย์ วัชรโชควิวัฒน์</t>
  </si>
  <si>
    <t>Suphanat Makhai</t>
  </si>
  <si>
    <t>Thanaporn Srilawan</t>
  </si>
  <si>
    <t>Jamjuree Khongmark</t>
  </si>
  <si>
    <t>Jirateep Yodyoung</t>
  </si>
  <si>
    <t>Pantira Worasumpurana</t>
  </si>
  <si>
    <t>Tongchai Aimsabai</t>
  </si>
  <si>
    <t>Department Manager</t>
  </si>
  <si>
    <t>Supatra Incharoen</t>
  </si>
  <si>
    <t>High Level</t>
  </si>
  <si>
    <t>Chitchanok Rungthipdamrong</t>
  </si>
  <si>
    <t>Loss Prevention (CMG)</t>
  </si>
  <si>
    <t>Nukun Chanson</t>
  </si>
  <si>
    <t>Santana Boonta</t>
  </si>
  <si>
    <t>4.5</t>
  </si>
  <si>
    <t>Pranom Meefang</t>
  </si>
  <si>
    <t>Kullana Seesam</t>
  </si>
  <si>
    <t>Watcharaporn Photingoen</t>
  </si>
  <si>
    <t>Wasana Saneha</t>
  </si>
  <si>
    <t>Nattaphon Seewison</t>
  </si>
  <si>
    <t>Thitiporn Boonkoon</t>
  </si>
  <si>
    <t>Good Goods</t>
  </si>
  <si>
    <t>Mezzanine (ลานปูนชั้น 2)</t>
  </si>
  <si>
    <t>Labelling</t>
  </si>
  <si>
    <t>Kanittha Koonkwan</t>
  </si>
  <si>
    <t>Tiptiva Jundai</t>
  </si>
  <si>
    <t>Chokchai Saejiu</t>
  </si>
  <si>
    <t>Muji WH</t>
  </si>
  <si>
    <t>Muji WH (SCDC)</t>
  </si>
  <si>
    <t>CDS</t>
  </si>
  <si>
    <t>Anupong Noipia</t>
  </si>
  <si>
    <t>Thanaporn Wattanakul</t>
  </si>
  <si>
    <t>B2S RTV</t>
  </si>
  <si>
    <t>XD B2S RTV</t>
  </si>
  <si>
    <t>RTV &amp; Transfer</t>
  </si>
  <si>
    <t>Warisara Boonpan</t>
  </si>
  <si>
    <t>Sanya Khwunto</t>
  </si>
  <si>
    <t>Jiraporn Doungjai</t>
  </si>
  <si>
    <t>Chatmanee Ngahom</t>
  </si>
  <si>
    <t>Bundarn Pradit</t>
  </si>
  <si>
    <t>Chaowalin Luemsiri</t>
  </si>
  <si>
    <t>Prompong Tongboon</t>
  </si>
  <si>
    <t>M&amp;S</t>
  </si>
  <si>
    <t>Prakaydaw Patthuli</t>
  </si>
  <si>
    <t>Mezzanine (ลานปูนชั้น 2 )</t>
  </si>
  <si>
    <t>Allocation</t>
  </si>
  <si>
    <t>Suriya Duangjai</t>
  </si>
  <si>
    <t>Wachirintra Sangwari</t>
  </si>
  <si>
    <t>Pisan Kaewhuasai</t>
  </si>
  <si>
    <t>Saowanee Chaisong</t>
  </si>
  <si>
    <t>Credit &amp; Pool Team</t>
  </si>
  <si>
    <t>Nutcha Bunlamlerd</t>
  </si>
  <si>
    <t>Watthana Nonkhemporm</t>
  </si>
  <si>
    <t>Sonnarin Funkad</t>
  </si>
  <si>
    <t>Bunchuai Bisantia</t>
  </si>
  <si>
    <t>1.5</t>
  </si>
  <si>
    <t>Khwanchai Intharachart</t>
  </si>
  <si>
    <t>4.0</t>
  </si>
  <si>
    <t>Sort &amp; Load</t>
  </si>
  <si>
    <t>Sapparak Aryupad</t>
  </si>
  <si>
    <t>Napatsorn Pluwamara</t>
  </si>
  <si>
    <t>Kritamon Hokrathok</t>
  </si>
  <si>
    <t>Payorm Chanabun</t>
  </si>
  <si>
    <t>Somyuth Phimchan</t>
  </si>
  <si>
    <t>3.5</t>
  </si>
  <si>
    <t>Boonjan Ngodngam</t>
  </si>
  <si>
    <t>Receiving_Domestic</t>
  </si>
  <si>
    <t>Sittipong Puenprom</t>
  </si>
  <si>
    <t>Tanapat Suksawat</t>
  </si>
  <si>
    <t>Jirawut Boonterm</t>
  </si>
  <si>
    <t>Dispatch</t>
  </si>
  <si>
    <t>Patcharee Kaykon</t>
  </si>
  <si>
    <t>Panupong Aiambowon</t>
  </si>
  <si>
    <t>Bungon Laprab</t>
  </si>
  <si>
    <t>Sakon Kenchaiwong</t>
  </si>
  <si>
    <t>CDS &amp; RBS RTV</t>
  </si>
  <si>
    <t>CMG WH</t>
  </si>
  <si>
    <t>Mukunda Minjaroun</t>
  </si>
  <si>
    <t>Wanchai Petpudphong</t>
  </si>
  <si>
    <t>Rack</t>
  </si>
  <si>
    <t>Phatanee Thewasat</t>
  </si>
  <si>
    <t>พิมพ์วิมล หิมะคุณ</t>
  </si>
  <si>
    <t>3.0</t>
  </si>
  <si>
    <t>Jidapa Sirichaipom</t>
  </si>
  <si>
    <t>Nannapat Dankhuntot</t>
  </si>
  <si>
    <t>Supaporn Junloy</t>
  </si>
  <si>
    <t>Siriwan Kampasee</t>
  </si>
  <si>
    <t>Suwanna Pimpa</t>
  </si>
  <si>
    <t>Wichan Yungton</t>
  </si>
  <si>
    <t>Rattana Damkin</t>
  </si>
  <si>
    <t>Aphitchanan Rattanaphan</t>
  </si>
  <si>
    <t>วิไล ใจเอื้อ</t>
  </si>
  <si>
    <t>Pennapa Khompiam</t>
  </si>
  <si>
    <t>Natcha Thongkate</t>
  </si>
  <si>
    <t>Samai Chockram</t>
  </si>
  <si>
    <t>Samicha Thongpradab</t>
  </si>
  <si>
    <t>Pathitta Sirisoontorn</t>
  </si>
  <si>
    <t>Anek Pootian</t>
  </si>
  <si>
    <t>Sanya Khamjanthuek</t>
  </si>
  <si>
    <t>Tanyakorn Boonharm</t>
  </si>
  <si>
    <t>Sarawut Sangkaeo</t>
  </si>
  <si>
    <t>2.0</t>
  </si>
  <si>
    <t>Supaporn Junpang</t>
  </si>
  <si>
    <t xml:space="preserve"> นูรรีซาน ซาเมาะ</t>
  </si>
  <si>
    <t>Aphiwat Saksoi</t>
  </si>
  <si>
    <t>พลอยนภัส จำรัสเย็นทร</t>
  </si>
  <si>
    <t>Narumol Suanchan</t>
  </si>
  <si>
    <t>Sornram Hongtong</t>
  </si>
  <si>
    <t>Krunnkar Mitarak</t>
  </si>
  <si>
    <t>Pisit Poomila</t>
  </si>
  <si>
    <t>Prakit Vichuma</t>
  </si>
  <si>
    <t>Suwanan Yingsamer</t>
  </si>
  <si>
    <t>Jaruwan Seepua</t>
  </si>
  <si>
    <t>Sujittra Boonchuay</t>
  </si>
  <si>
    <t>Tiwaporn Prakobphol</t>
  </si>
  <si>
    <t>1.0</t>
  </si>
  <si>
    <t>5.0</t>
  </si>
  <si>
    <t>Outbound</t>
  </si>
  <si>
    <t>Kwannapa Boonhan</t>
  </si>
  <si>
    <t>6.0</t>
  </si>
  <si>
    <t>Kittipong Sriyoo</t>
  </si>
  <si>
    <t>8.0</t>
  </si>
  <si>
    <t>Narongrit Thiamkham</t>
  </si>
  <si>
    <t>Rawiwan Prapaiam</t>
  </si>
  <si>
    <t>Daw Aksornnarong</t>
  </si>
  <si>
    <t>7.0</t>
  </si>
  <si>
    <t>Nitvaree Kumdee</t>
  </si>
  <si>
    <t>Angela June Downing</t>
  </si>
  <si>
    <t>Vallaya Hama</t>
  </si>
  <si>
    <t>OT_3</t>
  </si>
  <si>
    <t>Jaroenrak Buaprom</t>
  </si>
  <si>
    <t>Sompong Thammasa</t>
  </si>
  <si>
    <t>Pheathay Seangpha</t>
  </si>
  <si>
    <t>Sanphop Keeree</t>
  </si>
  <si>
    <t>Sakchai Lekchaisue</t>
  </si>
  <si>
    <t>Jirawan Ruangon</t>
  </si>
  <si>
    <t>Nujaree Potiwat</t>
  </si>
  <si>
    <t>Jetsada Singsatit</t>
  </si>
  <si>
    <t>Suthiwong Owmwangped</t>
  </si>
  <si>
    <t>5.5</t>
  </si>
  <si>
    <t>Naruetmon Koedthong</t>
  </si>
  <si>
    <t>Full Stock Take</t>
  </si>
  <si>
    <t>Suranee Luamlam</t>
  </si>
  <si>
    <t>Nopphawan Arthan</t>
  </si>
  <si>
    <t>Matthaya Inlab</t>
  </si>
  <si>
    <t>Phagamat Srikun</t>
  </si>
  <si>
    <t>Waewmanee Phoothukjai</t>
  </si>
  <si>
    <t>Chanunchida Sawvakon</t>
  </si>
  <si>
    <t>Lalita Dasri</t>
  </si>
  <si>
    <t>Phatcharida Ruengrit</t>
  </si>
  <si>
    <t>Phakkhaphon Saisom</t>
  </si>
  <si>
    <t>Nuchjaree Phiphonnok</t>
  </si>
  <si>
    <t>ปวีณา สงนอก</t>
  </si>
  <si>
    <t>Thongchai Nimchalean</t>
  </si>
  <si>
    <t>Supplier Stock Take</t>
  </si>
  <si>
    <t>Thanaporn Buakaew</t>
  </si>
  <si>
    <t>Poomchai Phonperm</t>
  </si>
  <si>
    <t>Tiradech Prommahakul</t>
  </si>
  <si>
    <t>Bunchok Sanklang</t>
  </si>
  <si>
    <t>Samphan Fueangchunut</t>
  </si>
  <si>
    <t>Wiliwun Sungkaw</t>
  </si>
  <si>
    <t>Suppaluk Jaiwang</t>
  </si>
  <si>
    <t>Unloading</t>
  </si>
  <si>
    <t>Siriporn Chamsai</t>
  </si>
  <si>
    <t>Wilawan Khongthongchai</t>
  </si>
  <si>
    <t>Thongchai Srimanee</t>
  </si>
  <si>
    <t>Vorawut Musor</t>
  </si>
  <si>
    <t>Oradin Phontue</t>
  </si>
  <si>
    <t>Maneewan Dachoengkhao</t>
  </si>
  <si>
    <t>Thirati Kuaithong</t>
  </si>
  <si>
    <t>Boonnum Srimang</t>
  </si>
  <si>
    <t>Watchara Intachan</t>
  </si>
  <si>
    <t>Primprapha Phongsraphang</t>
  </si>
  <si>
    <t>Kittisak Treepoka</t>
  </si>
  <si>
    <t>Nopparat Kunnok</t>
  </si>
  <si>
    <t>Wassana Mangmee</t>
  </si>
  <si>
    <t>Janamporn Kaenjan</t>
  </si>
  <si>
    <t>Pakonsin Seewang</t>
  </si>
  <si>
    <t>Jeerattikul Singsaohae</t>
  </si>
  <si>
    <t>Kaewta Toomtong</t>
  </si>
  <si>
    <t>Prathom Chaikhantree</t>
  </si>
  <si>
    <t>Sukunya Chaewphothong</t>
  </si>
  <si>
    <t>Nongkran Sareephon</t>
  </si>
  <si>
    <t>Chuntana Jitmun</t>
  </si>
  <si>
    <t>8.22</t>
  </si>
  <si>
    <t>Sittichai Meksawad</t>
  </si>
  <si>
    <t>Kallaya Promsuk</t>
  </si>
  <si>
    <t>Muhammadbaihakim Hayeewachi</t>
  </si>
  <si>
    <t>Arporn Thomkaew</t>
  </si>
  <si>
    <t>Suphatcha Thongbaep</t>
  </si>
  <si>
    <t>Tamjai Worabutr</t>
  </si>
  <si>
    <t>Phongsakon Samanthong</t>
  </si>
  <si>
    <t>Chatchawan Wilamat</t>
  </si>
  <si>
    <t>Hualwichai Hualraluek</t>
  </si>
  <si>
    <t>Bua Mola</t>
  </si>
  <si>
    <t>Nurulakma Masali</t>
  </si>
  <si>
    <t>Chinapong Rampakdee</t>
  </si>
  <si>
    <t>7.83</t>
  </si>
  <si>
    <t>กัลยากร พานเงิน</t>
  </si>
  <si>
    <t>Khajanchai Sukachit</t>
  </si>
  <si>
    <t>Inventory (Cool Room)</t>
  </si>
  <si>
    <t>Adisak Waisayawan</t>
  </si>
  <si>
    <t>สราวุฒิ ธารารมย์</t>
  </si>
  <si>
    <t>Bunrod Aeingsung</t>
  </si>
  <si>
    <t>Chitawathana Jindapeht</t>
  </si>
  <si>
    <t>RTV</t>
  </si>
  <si>
    <t>Somsri Suksomjit</t>
  </si>
  <si>
    <t>Siriporn Pupang</t>
  </si>
  <si>
    <t>ชนินาถ ดีมาด</t>
  </si>
  <si>
    <t>Churarat Butsabong</t>
  </si>
  <si>
    <t>Safety</t>
  </si>
  <si>
    <t>Rattarinee Janphook</t>
  </si>
  <si>
    <t>Suchart Ployyai</t>
  </si>
  <si>
    <t>Saidi Binnu</t>
  </si>
  <si>
    <t>Anchalee Kornkaew</t>
  </si>
  <si>
    <t>Kraingkrai Ditsariyakul</t>
  </si>
  <si>
    <t>Ratsuda Buaprom</t>
  </si>
  <si>
    <t>Jongprasoet Phansri</t>
  </si>
  <si>
    <t>Charuwan Lethaisong</t>
  </si>
  <si>
    <t>Wittaya Chaiphala</t>
  </si>
  <si>
    <t>Uraiwan Seeyangnok</t>
  </si>
  <si>
    <t>Angkana Srinimnuan</t>
  </si>
  <si>
    <t>Waleeporn Chaiyota</t>
  </si>
  <si>
    <t>Rossarin Kangtong</t>
  </si>
  <si>
    <t>8.33</t>
  </si>
  <si>
    <t>8.17</t>
  </si>
  <si>
    <t>Piyanan Jaiaree</t>
  </si>
  <si>
    <t>Sitimariyae Dueramae</t>
  </si>
  <si>
    <t>1.78</t>
  </si>
  <si>
    <t>Worada Suanratcharuedee</t>
  </si>
  <si>
    <t>Management &amp; Support</t>
  </si>
  <si>
    <t>Kedsuda Srisombut</t>
  </si>
  <si>
    <t>0.98</t>
  </si>
  <si>
    <t>Aurmporn Toglad</t>
  </si>
  <si>
    <t>Nattida Luanglue</t>
  </si>
  <si>
    <t>Lamai Pala</t>
  </si>
  <si>
    <t>Muji WH (BDC1)</t>
  </si>
  <si>
    <t>0.5</t>
  </si>
  <si>
    <t>Athitaya Kakandee</t>
  </si>
  <si>
    <t>7.33</t>
  </si>
  <si>
    <t>8.02</t>
  </si>
  <si>
    <t>Chatchada Suwannalong</t>
  </si>
  <si>
    <t>Supaporn Sangsuriya</t>
  </si>
  <si>
    <t>Prajak Kasemsoy</t>
  </si>
  <si>
    <t>Anan Sangsarawat</t>
  </si>
  <si>
    <t>Anchulee Manwilai</t>
  </si>
  <si>
    <t>Kittisak Comeon</t>
  </si>
  <si>
    <t>Boonsita Chaiyachot</t>
  </si>
  <si>
    <t>Uraiwan Paktongchai</t>
  </si>
  <si>
    <t>Pathum Thongthip</t>
  </si>
  <si>
    <t>Sopapan Khantong</t>
  </si>
  <si>
    <t>Rutchanoon Paudpong</t>
  </si>
  <si>
    <t>6.5</t>
  </si>
  <si>
    <t>Nuttapon Bunchuay</t>
  </si>
  <si>
    <t>2.47</t>
  </si>
  <si>
    <t>Suphansa Sodsri</t>
  </si>
  <si>
    <t>Phantira Whiangkham</t>
  </si>
  <si>
    <t>Panatda Chotchada</t>
  </si>
  <si>
    <t>Niramon Bundet</t>
  </si>
  <si>
    <t>Butsaya Khonsin</t>
  </si>
  <si>
    <t>8.48</t>
  </si>
  <si>
    <t>Supaporn Ngokngam</t>
  </si>
  <si>
    <t>Ratsamee Kammee</t>
  </si>
  <si>
    <t>Kittichai Gigngwaklang</t>
  </si>
  <si>
    <t>Ajcharaporn Klinprathum</t>
  </si>
  <si>
    <t>Sita Sanyakup</t>
  </si>
  <si>
    <t>Patcha Buapan</t>
  </si>
  <si>
    <t>Rattanamanee Hanmontri</t>
  </si>
  <si>
    <t>Ubolwan Saeto</t>
  </si>
  <si>
    <t>Amnuay Kala</t>
  </si>
  <si>
    <t>Pukdee Chechuw</t>
  </si>
  <si>
    <t>Peeraphol Khamngam</t>
  </si>
  <si>
    <t>Sutatip Taengrattana</t>
  </si>
  <si>
    <t>Bangon Thaprung</t>
  </si>
  <si>
    <t>Nonglak Poonsin</t>
  </si>
  <si>
    <t>Thipkeson Klahan</t>
  </si>
  <si>
    <t>Thitaya Nasomwat</t>
  </si>
  <si>
    <t>Pranadda Sukkaeo</t>
  </si>
  <si>
    <t>Porntip Waichay</t>
  </si>
  <si>
    <t>Thitaporn Phanpheng</t>
  </si>
  <si>
    <t>Nomfon Khaothong</t>
  </si>
  <si>
    <t>Kanyarat Somwang</t>
  </si>
  <si>
    <t>Chalakon Jantasan</t>
  </si>
  <si>
    <t>Ponchai Chaiha</t>
  </si>
  <si>
    <t>Kittiyaphon Bunsri</t>
  </si>
  <si>
    <t>Gunthaporn Tantaha</t>
  </si>
  <si>
    <t>Ponwimon Kanjan</t>
  </si>
  <si>
    <t>8.47</t>
  </si>
  <si>
    <t>Warinee Krichey</t>
  </si>
  <si>
    <t>Sirayoot Chaichaung</t>
  </si>
  <si>
    <t>Kitiya Promsupa</t>
  </si>
  <si>
    <t>Inventory (Mezzanine)</t>
  </si>
  <si>
    <t>Wanida Sanakham</t>
  </si>
  <si>
    <t>Clearance</t>
  </si>
  <si>
    <t>HCDS/PGE</t>
  </si>
  <si>
    <t>SSP XD --&gt; SSP WH</t>
  </si>
  <si>
    <t>Adjust MHE</t>
  </si>
  <si>
    <t>DVT ไปช่วยงาน CMG 1-6/4/26</t>
  </si>
  <si>
    <t>Muji WH to WH Import</t>
  </si>
  <si>
    <t>CMG WH to WH Import</t>
  </si>
  <si>
    <t>CMG WH to WH Inventory</t>
  </si>
  <si>
    <t>XD Sorting to WH Import</t>
  </si>
  <si>
    <t>GIC CDS to GIC SSP</t>
  </si>
  <si>
    <t>SSP OLto Import</t>
  </si>
  <si>
    <t>CDS OL to Cycle count</t>
  </si>
  <si>
    <t>Division Manager</t>
  </si>
  <si>
    <t>P'Oie</t>
  </si>
  <si>
    <t xml:space="preserve"> Scan ต่าง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</si>
</sst>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10000]d/m/yyyy\ h:mm\ &quot;น.&quot;;@"/>
    <numFmt numFmtId="165" formatCode="yyyy\-mm\-dd\ hh:mm:ss"/>
    <numFmt numFmtId="166" formatCode="0.000"/>
  </numFmts>
  <fonts count="5" x14ac:knownFonts="1">
    <font>
      <sz val="11"/>
      <color theme="1"/>
      <name val="Aptos Narrow"/>
      <family val="2"/>
      <charset val="22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5" borderId="0" xfId="0" applyFont="1" applyFill="1"/>
    <xf numFmtId="165" fontId="0" fillId="0" borderId="0" xfId="0" applyNumberFormat="1"/>
    <xf numFmtId="166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6" borderId="0" xfId="0" applyFill="1"/>
    <xf numFmtId="2" fontId="0" fillId="6" borderId="0" xfId="0" applyNumberForma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164" fontId="0" fillId="9" borderId="0" xfId="0" applyNumberFormat="1" applyFill="1"/>
    <xf numFmtId="166" fontId="0" fillId="9" borderId="0" xfId="0" applyNumberFormat="1" applyFill="1"/>
    <xf numFmtId="0" fontId="2" fillId="9" borderId="0" xfId="0" applyFont="1" applyFill="1"/>
    <xf numFmtId="0" fontId="0" fillId="10" borderId="0" xfId="0" applyFill="1"/>
    <xf numFmtId="164" fontId="0" fillId="10" borderId="0" xfId="0" applyNumberFormat="1" applyFill="1"/>
    <xf numFmtId="166" fontId="0" fillId="10" borderId="0" xfId="0" applyNumberFormat="1" applyFill="1"/>
    <xf numFmtId="0" fontId="2" fillId="10" borderId="0" xfId="0" applyFont="1" applyFill="1"/>
    <xf numFmtId="0" fontId="0" fillId="11" borderId="0" xfId="0" applyFill="1"/>
    <xf numFmtId="164" fontId="0" fillId="11" borderId="0" xfId="0" applyNumberFormat="1" applyFill="1"/>
    <xf numFmtId="166" fontId="0" fillId="11" borderId="0" xfId="0" applyNumberFormat="1" applyFill="1"/>
    <xf numFmtId="0" fontId="2" fillId="11" borderId="0" xfId="0" applyFont="1" applyFill="1"/>
    <xf numFmtId="0" fontId="0" fillId="12" borderId="0" xfId="0" applyFill="1"/>
    <xf numFmtId="164" fontId="0" fillId="12" borderId="0" xfId="0" applyNumberFormat="1" applyFill="1"/>
    <xf numFmtId="166" fontId="0" fillId="12" borderId="0" xfId="0" applyNumberFormat="1" applyFill="1"/>
    <xf numFmtId="0" fontId="2" fillId="12" borderId="0" xfId="0" applyFont="1" applyFill="1"/>
    <xf numFmtId="0" fontId="0" fillId="13" borderId="0" xfId="0" applyFill="1"/>
    <xf numFmtId="165" fontId="0" fillId="13" borderId="0" xfId="0" applyNumberFormat="1" applyFill="1"/>
    <xf numFmtId="166" fontId="0" fillId="13" borderId="0" xfId="0" applyNumberFormat="1" applyFill="1"/>
    <xf numFmtId="0" fontId="0" fillId="14" borderId="0" xfId="0" applyFill="1"/>
    <xf numFmtId="164" fontId="0" fillId="14" borderId="0" xfId="0" applyNumberFormat="1" applyFill="1"/>
    <xf numFmtId="166" fontId="0" fillId="1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59B9C-0D41-4D24-B9A5-60F864503B02}">
  <dimension ref="A1:Z3080"/>
  <sheetViews>
    <sheetView tabSelected="1" workbookViewId="0">
      <pane ySplit="1" topLeftCell="A2" activePane="bottomLeft" state="frozen"/>
      <selection pane="bottomLeft" activeCell="E22" sqref="E22"/>
    </sheetView>
  </sheetViews>
  <sheetFormatPr defaultColWidth="9.58203125" defaultRowHeight="16.5" x14ac:dyDescent="0.45"/>
  <sheetData>
    <row r="1" spans="1:26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1" t="s">
        <v>18</v>
      </c>
      <c r="T1" s="3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6" t="s">
        <v>24</v>
      </c>
      <c r="Z1" s="7" t="s">
        <v>25</v>
      </c>
    </row>
    <row r="2" spans="1:26" x14ac:dyDescent="0.45">
      <c r="B2" t="s">
        <v>26</v>
      </c>
      <c r="C2">
        <v>20026156</v>
      </c>
      <c r="D2" t="s">
        <v>27</v>
      </c>
      <c r="E2" s="8">
        <v>46142.838888888888</v>
      </c>
      <c r="F2" s="8">
        <v>46143.326388888891</v>
      </c>
      <c r="G2" s="9">
        <v>11.7</v>
      </c>
      <c r="H2" s="9">
        <f>SUM(I2:L2)</f>
        <v>6.2E-2</v>
      </c>
      <c r="I2" s="9">
        <v>4.4999999999999998E-2</v>
      </c>
      <c r="J2" s="9"/>
      <c r="K2" s="9">
        <v>1.7000000000000001E-2</v>
      </c>
      <c r="L2" s="9"/>
      <c r="M2" t="s">
        <v>28</v>
      </c>
      <c r="N2" t="s">
        <v>29</v>
      </c>
      <c r="P2" t="s">
        <v>30</v>
      </c>
      <c r="Q2" t="s">
        <v>31</v>
      </c>
      <c r="R2">
        <v>82630</v>
      </c>
      <c r="S2" t="s">
        <v>32</v>
      </c>
      <c r="T2">
        <v>82658</v>
      </c>
      <c r="U2" t="s">
        <v>33</v>
      </c>
      <c r="V2" t="s">
        <v>33</v>
      </c>
      <c r="W2" t="s">
        <v>34</v>
      </c>
      <c r="X2" t="s">
        <v>34</v>
      </c>
      <c r="Y2" s="9">
        <f>SUM(J2:L2)</f>
        <v>1.7000000000000001E-2</v>
      </c>
      <c r="Z2" t="str">
        <f>IF(R2=T2,"สแกน Cost ตัวเอง","สแกนต่าง Cost")</f>
        <v>สแกนต่าง Cost</v>
      </c>
    </row>
    <row r="3" spans="1:26" x14ac:dyDescent="0.45">
      <c r="B3" t="s">
        <v>26</v>
      </c>
      <c r="C3">
        <v>20198721</v>
      </c>
      <c r="D3" t="s">
        <v>35</v>
      </c>
      <c r="E3" s="8">
        <v>46142.838888888888</v>
      </c>
      <c r="F3" s="8">
        <v>46143.326388888891</v>
      </c>
      <c r="G3" s="9">
        <v>11.7</v>
      </c>
      <c r="H3" s="9">
        <f t="shared" ref="H3:H66" si="0">SUM(I3:L3)</f>
        <v>6.2E-2</v>
      </c>
      <c r="I3" s="9">
        <v>4.4999999999999998E-2</v>
      </c>
      <c r="J3" s="9"/>
      <c r="K3" s="9">
        <v>1.7000000000000001E-2</v>
      </c>
      <c r="L3" s="9"/>
      <c r="M3" t="s">
        <v>28</v>
      </c>
      <c r="N3" t="s">
        <v>29</v>
      </c>
      <c r="P3" t="s">
        <v>30</v>
      </c>
      <c r="Q3" t="s">
        <v>31</v>
      </c>
      <c r="R3">
        <v>82630</v>
      </c>
      <c r="S3" t="s">
        <v>32</v>
      </c>
      <c r="T3">
        <v>82658</v>
      </c>
      <c r="U3" t="s">
        <v>33</v>
      </c>
      <c r="V3" t="s">
        <v>33</v>
      </c>
      <c r="W3" t="s">
        <v>34</v>
      </c>
      <c r="X3" t="s">
        <v>34</v>
      </c>
      <c r="Y3" s="9">
        <f t="shared" ref="Y3:Y66" si="1">SUM(J3:L3)</f>
        <v>1.7000000000000001E-2</v>
      </c>
      <c r="Z3" t="str">
        <f t="shared" ref="Z3:Z66" si="2">IF(R3=T3,"สแกน Cost ตัวเอง","สแกนต่าง Cost")</f>
        <v>สแกนต่าง Cost</v>
      </c>
    </row>
    <row r="4" spans="1:26" x14ac:dyDescent="0.45">
      <c r="B4" t="s">
        <v>26</v>
      </c>
      <c r="C4">
        <v>20319535</v>
      </c>
      <c r="D4" t="s">
        <v>36</v>
      </c>
      <c r="E4" s="8">
        <v>46142.836111111108</v>
      </c>
      <c r="F4" s="8">
        <v>46143.326388888891</v>
      </c>
      <c r="G4" s="9">
        <v>11.766666666666667</v>
      </c>
      <c r="H4" s="9">
        <f t="shared" si="0"/>
        <v>6.2E-2</v>
      </c>
      <c r="I4" s="9">
        <v>4.4999999999999998E-2</v>
      </c>
      <c r="J4" s="9"/>
      <c r="K4" s="9">
        <v>1.7000000000000001E-2</v>
      </c>
      <c r="L4" s="9"/>
      <c r="M4" t="s">
        <v>28</v>
      </c>
      <c r="N4" t="s">
        <v>29</v>
      </c>
      <c r="P4" t="s">
        <v>30</v>
      </c>
      <c r="Q4" t="s">
        <v>31</v>
      </c>
      <c r="R4">
        <v>82630</v>
      </c>
      <c r="S4" t="s">
        <v>32</v>
      </c>
      <c r="T4">
        <v>82658</v>
      </c>
      <c r="U4" t="s">
        <v>33</v>
      </c>
      <c r="V4" t="s">
        <v>33</v>
      </c>
      <c r="W4" t="s">
        <v>37</v>
      </c>
      <c r="X4" t="s">
        <v>38</v>
      </c>
      <c r="Y4" s="9">
        <f t="shared" si="1"/>
        <v>1.7000000000000001E-2</v>
      </c>
      <c r="Z4" t="str">
        <f t="shared" si="2"/>
        <v>สแกนต่าง Cost</v>
      </c>
    </row>
    <row r="5" spans="1:26" x14ac:dyDescent="0.45">
      <c r="B5" t="s">
        <v>26</v>
      </c>
      <c r="C5">
        <v>20060579</v>
      </c>
      <c r="D5" t="s">
        <v>39</v>
      </c>
      <c r="E5" s="8">
        <v>46142.754861111112</v>
      </c>
      <c r="F5" s="8">
        <v>46142.827777777777</v>
      </c>
      <c r="G5" s="9">
        <v>1.75</v>
      </c>
      <c r="H5" s="9">
        <f t="shared" si="0"/>
        <v>8.9999999999999993E-3</v>
      </c>
      <c r="I5" s="9"/>
      <c r="J5" s="9"/>
      <c r="K5" s="9">
        <v>8.9999999999999993E-3</v>
      </c>
      <c r="L5" s="9"/>
      <c r="M5" t="s">
        <v>28</v>
      </c>
      <c r="N5" t="s">
        <v>40</v>
      </c>
      <c r="O5" t="s">
        <v>41</v>
      </c>
      <c r="P5" t="s">
        <v>30</v>
      </c>
      <c r="Q5" t="s">
        <v>31</v>
      </c>
      <c r="R5">
        <v>82640</v>
      </c>
      <c r="S5" t="s">
        <v>42</v>
      </c>
      <c r="T5">
        <v>82611</v>
      </c>
      <c r="U5" t="s">
        <v>43</v>
      </c>
      <c r="V5" t="s">
        <v>43</v>
      </c>
      <c r="W5" t="s">
        <v>44</v>
      </c>
      <c r="X5" t="s">
        <v>44</v>
      </c>
      <c r="Y5" s="9">
        <f t="shared" si="1"/>
        <v>8.9999999999999993E-3</v>
      </c>
      <c r="Z5" t="str">
        <f t="shared" si="2"/>
        <v>สแกนต่าง Cost</v>
      </c>
    </row>
    <row r="6" spans="1:26" x14ac:dyDescent="0.45">
      <c r="B6" t="s">
        <v>26</v>
      </c>
      <c r="C6">
        <v>20198813</v>
      </c>
      <c r="D6" t="s">
        <v>45</v>
      </c>
      <c r="E6" s="8">
        <v>46142.740972222222</v>
      </c>
      <c r="F6" s="8">
        <v>46142.82708333333</v>
      </c>
      <c r="G6" s="9">
        <v>2.0666666666666669</v>
      </c>
      <c r="H6" s="9">
        <f t="shared" si="0"/>
        <v>1.0999999999999999E-2</v>
      </c>
      <c r="I6" s="9"/>
      <c r="J6" s="9"/>
      <c r="K6" s="9">
        <v>1.0999999999999999E-2</v>
      </c>
      <c r="L6" s="9"/>
      <c r="M6" t="s">
        <v>28</v>
      </c>
      <c r="N6" t="s">
        <v>29</v>
      </c>
      <c r="P6" t="s">
        <v>30</v>
      </c>
      <c r="Q6" t="s">
        <v>31</v>
      </c>
      <c r="R6">
        <v>82652</v>
      </c>
      <c r="S6" t="s">
        <v>46</v>
      </c>
      <c r="T6">
        <v>82658</v>
      </c>
      <c r="U6" t="s">
        <v>33</v>
      </c>
      <c r="V6" t="s">
        <v>33</v>
      </c>
      <c r="W6" t="s">
        <v>37</v>
      </c>
      <c r="X6" t="s">
        <v>47</v>
      </c>
      <c r="Y6" s="9">
        <f t="shared" si="1"/>
        <v>1.0999999999999999E-2</v>
      </c>
      <c r="Z6" t="str">
        <f t="shared" si="2"/>
        <v>สแกนต่าง Cost</v>
      </c>
    </row>
    <row r="7" spans="1:26" x14ac:dyDescent="0.45">
      <c r="B7" t="s">
        <v>26</v>
      </c>
      <c r="C7">
        <v>20386851</v>
      </c>
      <c r="D7" t="s">
        <v>48</v>
      </c>
      <c r="E7" s="8">
        <v>46142.740972222222</v>
      </c>
      <c r="F7" s="8">
        <v>46142.826388888891</v>
      </c>
      <c r="G7" s="9">
        <v>2.0499999999999998</v>
      </c>
      <c r="H7" s="9">
        <f t="shared" si="0"/>
        <v>1.0999999999999999E-2</v>
      </c>
      <c r="I7" s="9"/>
      <c r="J7" s="9"/>
      <c r="K7" s="9">
        <v>1.0999999999999999E-2</v>
      </c>
      <c r="L7" s="9"/>
      <c r="M7" t="s">
        <v>28</v>
      </c>
      <c r="N7" t="s">
        <v>29</v>
      </c>
      <c r="P7" t="s">
        <v>30</v>
      </c>
      <c r="Q7" t="s">
        <v>31</v>
      </c>
      <c r="R7">
        <v>82652</v>
      </c>
      <c r="S7" t="s">
        <v>46</v>
      </c>
      <c r="T7">
        <v>82658</v>
      </c>
      <c r="U7" t="s">
        <v>33</v>
      </c>
      <c r="V7" t="s">
        <v>33</v>
      </c>
      <c r="W7" t="s">
        <v>37</v>
      </c>
      <c r="X7" t="s">
        <v>47</v>
      </c>
      <c r="Y7" s="9">
        <f t="shared" si="1"/>
        <v>1.0999999999999999E-2</v>
      </c>
      <c r="Z7" t="str">
        <f t="shared" si="2"/>
        <v>สแกนต่าง Cost</v>
      </c>
    </row>
    <row r="8" spans="1:26" x14ac:dyDescent="0.45">
      <c r="B8" t="s">
        <v>26</v>
      </c>
      <c r="C8">
        <v>20198826</v>
      </c>
      <c r="D8" t="s">
        <v>49</v>
      </c>
      <c r="E8" s="8">
        <v>46142.73541666667</v>
      </c>
      <c r="F8" s="8">
        <v>46142.827777777777</v>
      </c>
      <c r="G8" s="9">
        <v>2.2166666666666668</v>
      </c>
      <c r="H8" s="9">
        <f t="shared" si="0"/>
        <v>1.2E-2</v>
      </c>
      <c r="I8" s="9"/>
      <c r="J8" s="9"/>
      <c r="K8" s="9">
        <v>1.2E-2</v>
      </c>
      <c r="L8" s="9"/>
      <c r="M8" t="s">
        <v>28</v>
      </c>
      <c r="N8" t="s">
        <v>29</v>
      </c>
      <c r="P8" t="s">
        <v>30</v>
      </c>
      <c r="Q8" t="s">
        <v>31</v>
      </c>
      <c r="R8">
        <v>82680</v>
      </c>
      <c r="S8" t="s">
        <v>50</v>
      </c>
      <c r="T8">
        <v>82658</v>
      </c>
      <c r="U8" t="s">
        <v>33</v>
      </c>
      <c r="V8" t="s">
        <v>33</v>
      </c>
      <c r="W8" t="s">
        <v>51</v>
      </c>
      <c r="X8" t="s">
        <v>52</v>
      </c>
      <c r="Y8" s="9">
        <f t="shared" si="1"/>
        <v>1.2E-2</v>
      </c>
      <c r="Z8" t="str">
        <f t="shared" si="2"/>
        <v>สแกนต่าง Cost</v>
      </c>
    </row>
    <row r="9" spans="1:26" x14ac:dyDescent="0.45">
      <c r="B9" t="s">
        <v>26</v>
      </c>
      <c r="C9">
        <v>20403261</v>
      </c>
      <c r="E9" s="8">
        <v>46142.734722222223</v>
      </c>
      <c r="F9" s="8">
        <v>46142.827777777777</v>
      </c>
      <c r="G9" s="9">
        <v>2.2333333333333334</v>
      </c>
      <c r="H9" s="9">
        <f t="shared" si="0"/>
        <v>1.2E-2</v>
      </c>
      <c r="I9" s="9">
        <v>1.2E-2</v>
      </c>
      <c r="J9" s="9"/>
      <c r="K9" s="9"/>
      <c r="L9" s="9"/>
      <c r="M9" t="s">
        <v>48</v>
      </c>
      <c r="N9" t="s">
        <v>48</v>
      </c>
      <c r="P9" t="s">
        <v>30</v>
      </c>
      <c r="R9">
        <v>82680</v>
      </c>
      <c r="T9">
        <v>82658</v>
      </c>
      <c r="U9" t="s">
        <v>33</v>
      </c>
      <c r="V9" t="s">
        <v>33</v>
      </c>
      <c r="W9" t="s">
        <v>51</v>
      </c>
      <c r="X9" t="s">
        <v>52</v>
      </c>
      <c r="Y9" s="9">
        <f t="shared" si="1"/>
        <v>0</v>
      </c>
      <c r="Z9" t="str">
        <f t="shared" si="2"/>
        <v>สแกนต่าง Cost</v>
      </c>
    </row>
    <row r="10" spans="1:26" x14ac:dyDescent="0.45">
      <c r="B10" t="s">
        <v>53</v>
      </c>
      <c r="C10">
        <v>20190542</v>
      </c>
      <c r="D10" t="s">
        <v>54</v>
      </c>
      <c r="E10" s="8">
        <v>46142.732638888891</v>
      </c>
      <c r="F10" s="8">
        <v>46142.834027777775</v>
      </c>
      <c r="G10" s="9">
        <v>2.4333333333333331</v>
      </c>
      <c r="H10" s="9">
        <f t="shared" si="0"/>
        <v>1.2999999999999999E-2</v>
      </c>
      <c r="I10" s="9"/>
      <c r="J10" s="9"/>
      <c r="K10" s="9">
        <v>1.2999999999999999E-2</v>
      </c>
      <c r="L10" s="9"/>
      <c r="M10" t="s">
        <v>28</v>
      </c>
      <c r="N10" t="s">
        <v>40</v>
      </c>
      <c r="O10" t="s">
        <v>41</v>
      </c>
      <c r="P10" t="s">
        <v>30</v>
      </c>
      <c r="Q10" t="s">
        <v>31</v>
      </c>
      <c r="R10">
        <v>82306</v>
      </c>
      <c r="S10" t="s">
        <v>55</v>
      </c>
      <c r="T10">
        <v>82303</v>
      </c>
      <c r="U10" t="s">
        <v>56</v>
      </c>
      <c r="V10" t="s">
        <v>56</v>
      </c>
      <c r="W10" t="s">
        <v>56</v>
      </c>
      <c r="X10" t="s">
        <v>57</v>
      </c>
      <c r="Y10" s="9">
        <f t="shared" si="1"/>
        <v>1.2999999999999999E-2</v>
      </c>
      <c r="Z10" t="str">
        <f t="shared" si="2"/>
        <v>สแกนต่าง Cost</v>
      </c>
    </row>
    <row r="11" spans="1:26" x14ac:dyDescent="0.45">
      <c r="B11" t="s">
        <v>26</v>
      </c>
      <c r="C11">
        <v>20403445</v>
      </c>
      <c r="E11" s="8">
        <v>46142.727777777778</v>
      </c>
      <c r="F11" s="8">
        <v>46142.827777777777</v>
      </c>
      <c r="G11" s="9">
        <v>2.4</v>
      </c>
      <c r="H11" s="9">
        <f t="shared" si="0"/>
        <v>1.2999999999999999E-2</v>
      </c>
      <c r="I11" s="9"/>
      <c r="J11" s="9"/>
      <c r="K11" s="9">
        <v>1.2999999999999999E-2</v>
      </c>
      <c r="L11" s="9"/>
      <c r="M11" t="s">
        <v>28</v>
      </c>
      <c r="N11" t="s">
        <v>29</v>
      </c>
      <c r="P11" t="s">
        <v>30</v>
      </c>
      <c r="R11">
        <v>82680</v>
      </c>
      <c r="T11">
        <v>82658</v>
      </c>
      <c r="U11" t="s">
        <v>33</v>
      </c>
      <c r="V11" t="s">
        <v>33</v>
      </c>
      <c r="W11" t="s">
        <v>51</v>
      </c>
      <c r="X11" t="s">
        <v>52</v>
      </c>
      <c r="Y11" s="9">
        <f t="shared" si="1"/>
        <v>1.2999999999999999E-2</v>
      </c>
      <c r="Z11" t="str">
        <f t="shared" si="2"/>
        <v>สแกนต่าง Cost</v>
      </c>
    </row>
    <row r="12" spans="1:26" x14ac:dyDescent="0.45">
      <c r="B12" t="s">
        <v>26</v>
      </c>
      <c r="C12">
        <v>20039227</v>
      </c>
      <c r="D12" t="s">
        <v>58</v>
      </c>
      <c r="E12" s="8">
        <v>46142.725694444445</v>
      </c>
      <c r="F12" s="8">
        <v>46142.833333333336</v>
      </c>
      <c r="G12" s="9">
        <v>2.5833333333333335</v>
      </c>
      <c r="H12" s="9">
        <f t="shared" si="0"/>
        <v>1.4E-2</v>
      </c>
      <c r="I12" s="9"/>
      <c r="J12" s="9"/>
      <c r="K12" s="9">
        <v>1.4E-2</v>
      </c>
      <c r="L12" s="9"/>
      <c r="M12" t="s">
        <v>28</v>
      </c>
      <c r="N12" t="s">
        <v>40</v>
      </c>
      <c r="O12" t="s">
        <v>41</v>
      </c>
      <c r="P12" t="s">
        <v>30</v>
      </c>
      <c r="Q12" t="s">
        <v>31</v>
      </c>
      <c r="R12">
        <v>82652</v>
      </c>
      <c r="S12" t="s">
        <v>46</v>
      </c>
      <c r="T12">
        <v>82655</v>
      </c>
      <c r="U12" t="s">
        <v>59</v>
      </c>
      <c r="V12" t="s">
        <v>59</v>
      </c>
      <c r="W12" t="s">
        <v>37</v>
      </c>
      <c r="X12" t="s">
        <v>60</v>
      </c>
      <c r="Y12" s="9">
        <f t="shared" si="1"/>
        <v>1.4E-2</v>
      </c>
      <c r="Z12" t="str">
        <f t="shared" si="2"/>
        <v>สแกนต่าง Cost</v>
      </c>
    </row>
    <row r="13" spans="1:26" x14ac:dyDescent="0.45">
      <c r="B13" t="s">
        <v>53</v>
      </c>
      <c r="C13">
        <v>20310532</v>
      </c>
      <c r="D13" t="s">
        <v>61</v>
      </c>
      <c r="E13" s="8">
        <v>46142.724305555559</v>
      </c>
      <c r="F13" s="8">
        <v>46142.827777777777</v>
      </c>
      <c r="G13" s="9">
        <v>2.4833333333333334</v>
      </c>
      <c r="H13" s="9">
        <f t="shared" si="0"/>
        <v>1.2999999999999999E-2</v>
      </c>
      <c r="I13" s="9"/>
      <c r="J13" s="9"/>
      <c r="K13" s="9">
        <v>1.2999999999999999E-2</v>
      </c>
      <c r="L13" s="9"/>
      <c r="M13" t="s">
        <v>28</v>
      </c>
      <c r="N13" t="s">
        <v>40</v>
      </c>
      <c r="O13" t="s">
        <v>41</v>
      </c>
      <c r="P13" t="s">
        <v>30</v>
      </c>
      <c r="Q13" t="s">
        <v>31</v>
      </c>
      <c r="R13">
        <v>82640</v>
      </c>
      <c r="S13" t="s">
        <v>42</v>
      </c>
      <c r="T13">
        <v>82630</v>
      </c>
      <c r="U13" t="s">
        <v>32</v>
      </c>
      <c r="V13" t="s">
        <v>62</v>
      </c>
      <c r="W13" t="s">
        <v>44</v>
      </c>
      <c r="X13" t="s">
        <v>44</v>
      </c>
      <c r="Y13" s="9">
        <f t="shared" si="1"/>
        <v>1.2999999999999999E-2</v>
      </c>
      <c r="Z13" t="str">
        <f t="shared" si="2"/>
        <v>สแกนต่าง Cost</v>
      </c>
    </row>
    <row r="14" spans="1:26" x14ac:dyDescent="0.45">
      <c r="B14" t="s">
        <v>26</v>
      </c>
      <c r="C14">
        <v>20167851</v>
      </c>
      <c r="D14" t="s">
        <v>63</v>
      </c>
      <c r="E14" s="8">
        <v>46142.722916666666</v>
      </c>
      <c r="F14" s="8">
        <v>46142.827777777777</v>
      </c>
      <c r="G14" s="9">
        <v>2.5166666666666666</v>
      </c>
      <c r="H14" s="9">
        <f t="shared" si="0"/>
        <v>1.2999999999999999E-2</v>
      </c>
      <c r="I14" s="9"/>
      <c r="J14" s="9"/>
      <c r="K14" s="9">
        <v>1.2999999999999999E-2</v>
      </c>
      <c r="L14" s="9"/>
      <c r="M14" t="s">
        <v>28</v>
      </c>
      <c r="N14" t="s">
        <v>40</v>
      </c>
      <c r="O14" t="s">
        <v>41</v>
      </c>
      <c r="P14" t="s">
        <v>30</v>
      </c>
      <c r="Q14" t="s">
        <v>31</v>
      </c>
      <c r="R14">
        <v>82640</v>
      </c>
      <c r="S14" t="s">
        <v>42</v>
      </c>
      <c r="T14">
        <v>82611</v>
      </c>
      <c r="U14" t="s">
        <v>43</v>
      </c>
      <c r="V14" t="s">
        <v>43</v>
      </c>
      <c r="W14" t="s">
        <v>44</v>
      </c>
      <c r="X14" t="s">
        <v>44</v>
      </c>
      <c r="Y14" s="9">
        <f t="shared" si="1"/>
        <v>1.2999999999999999E-2</v>
      </c>
      <c r="Z14" t="str">
        <f t="shared" si="2"/>
        <v>สแกนต่าง Cost</v>
      </c>
    </row>
    <row r="15" spans="1:26" x14ac:dyDescent="0.45">
      <c r="B15" t="s">
        <v>53</v>
      </c>
      <c r="C15">
        <v>20018899</v>
      </c>
      <c r="D15" t="s">
        <v>64</v>
      </c>
      <c r="E15" s="8">
        <v>46142.541666666664</v>
      </c>
      <c r="F15" s="8">
        <v>46142.729166666664</v>
      </c>
      <c r="G15" s="9">
        <v>4.5</v>
      </c>
      <c r="H15" s="9">
        <f t="shared" si="0"/>
        <v>2.4E-2</v>
      </c>
      <c r="I15" s="9">
        <v>2.4E-2</v>
      </c>
      <c r="J15" s="9"/>
      <c r="K15" s="9"/>
      <c r="L15" s="9"/>
      <c r="M15" t="s">
        <v>65</v>
      </c>
      <c r="N15" t="s">
        <v>29</v>
      </c>
      <c r="P15" t="s">
        <v>30</v>
      </c>
      <c r="Q15" t="s">
        <v>31</v>
      </c>
      <c r="R15">
        <v>82640</v>
      </c>
      <c r="S15" t="s">
        <v>42</v>
      </c>
      <c r="T15">
        <v>82652</v>
      </c>
      <c r="U15" t="s">
        <v>46</v>
      </c>
      <c r="V15" t="s">
        <v>66</v>
      </c>
      <c r="W15" t="s">
        <v>37</v>
      </c>
      <c r="X15" t="s">
        <v>34</v>
      </c>
      <c r="Y15" s="9">
        <f t="shared" si="1"/>
        <v>0</v>
      </c>
      <c r="Z15" t="str">
        <f t="shared" si="2"/>
        <v>สแกนต่าง Cost</v>
      </c>
    </row>
    <row r="16" spans="1:26" x14ac:dyDescent="0.45">
      <c r="B16" t="s">
        <v>53</v>
      </c>
      <c r="C16">
        <v>20220646</v>
      </c>
      <c r="D16" t="s">
        <v>67</v>
      </c>
      <c r="E16" s="8">
        <v>46142.541666666664</v>
      </c>
      <c r="F16" s="8">
        <v>46142.729166666664</v>
      </c>
      <c r="G16" s="9">
        <v>4.5</v>
      </c>
      <c r="H16" s="9">
        <f t="shared" si="0"/>
        <v>2.4E-2</v>
      </c>
      <c r="I16" s="9">
        <v>2.4E-2</v>
      </c>
      <c r="J16" s="9"/>
      <c r="K16" s="9"/>
      <c r="L16" s="9"/>
      <c r="M16" t="s">
        <v>65</v>
      </c>
      <c r="N16" t="s">
        <v>29</v>
      </c>
      <c r="P16" t="s">
        <v>30</v>
      </c>
      <c r="Q16" t="s">
        <v>31</v>
      </c>
      <c r="R16">
        <v>82640</v>
      </c>
      <c r="S16" t="s">
        <v>42</v>
      </c>
      <c r="T16">
        <v>82652</v>
      </c>
      <c r="U16" t="s">
        <v>46</v>
      </c>
      <c r="V16" t="s">
        <v>66</v>
      </c>
      <c r="W16" t="s">
        <v>37</v>
      </c>
      <c r="X16" t="s">
        <v>34</v>
      </c>
      <c r="Y16" s="9">
        <f t="shared" si="1"/>
        <v>0</v>
      </c>
      <c r="Z16" t="str">
        <f t="shared" si="2"/>
        <v>สแกนต่าง Cost</v>
      </c>
    </row>
    <row r="17" spans="1:26" x14ac:dyDescent="0.45">
      <c r="B17" t="s">
        <v>53</v>
      </c>
      <c r="C17">
        <v>20190547</v>
      </c>
      <c r="D17" t="s">
        <v>68</v>
      </c>
      <c r="E17" s="8">
        <v>46142.481944444444</v>
      </c>
      <c r="F17" s="8">
        <v>46142.546527777777</v>
      </c>
      <c r="G17" s="9">
        <v>1.55</v>
      </c>
      <c r="H17" s="9">
        <f t="shared" si="0"/>
        <v>8.0000000000000002E-3</v>
      </c>
      <c r="I17" s="9">
        <v>8.0000000000000002E-3</v>
      </c>
      <c r="J17" s="9"/>
      <c r="K17" s="9"/>
      <c r="L17" s="9"/>
      <c r="M17" t="s">
        <v>65</v>
      </c>
      <c r="N17" t="s">
        <v>29</v>
      </c>
      <c r="P17" t="s">
        <v>30</v>
      </c>
      <c r="Q17" t="s">
        <v>31</v>
      </c>
      <c r="R17">
        <v>82308</v>
      </c>
      <c r="S17" t="s">
        <v>69</v>
      </c>
      <c r="T17">
        <v>82640</v>
      </c>
      <c r="U17" t="s">
        <v>42</v>
      </c>
      <c r="V17" t="s">
        <v>70</v>
      </c>
      <c r="W17" t="s">
        <v>71</v>
      </c>
      <c r="X17" t="s">
        <v>72</v>
      </c>
      <c r="Y17" s="9">
        <f t="shared" si="1"/>
        <v>0</v>
      </c>
      <c r="Z17" t="str">
        <f t="shared" si="2"/>
        <v>สแกนต่าง Cost</v>
      </c>
    </row>
    <row r="18" spans="1:26" x14ac:dyDescent="0.45">
      <c r="B18" t="s">
        <v>53</v>
      </c>
      <c r="C18">
        <v>20190547</v>
      </c>
      <c r="D18" t="s">
        <v>68</v>
      </c>
      <c r="E18" s="8">
        <v>46142.444444444445</v>
      </c>
      <c r="F18" s="8">
        <v>46142.452777777777</v>
      </c>
      <c r="G18" s="9">
        <v>0.2</v>
      </c>
      <c r="H18" s="9">
        <f t="shared" si="0"/>
        <v>1E-3</v>
      </c>
      <c r="I18" s="9">
        <v>1E-3</v>
      </c>
      <c r="J18" s="9"/>
      <c r="K18" s="9"/>
      <c r="L18" s="9"/>
      <c r="M18" t="s">
        <v>65</v>
      </c>
      <c r="N18" t="s">
        <v>29</v>
      </c>
      <c r="P18" t="s">
        <v>30</v>
      </c>
      <c r="Q18" t="s">
        <v>31</v>
      </c>
      <c r="R18">
        <v>82308</v>
      </c>
      <c r="S18" t="s">
        <v>69</v>
      </c>
      <c r="T18">
        <v>82640</v>
      </c>
      <c r="U18" t="s">
        <v>42</v>
      </c>
      <c r="V18" t="s">
        <v>70</v>
      </c>
      <c r="W18" t="s">
        <v>71</v>
      </c>
      <c r="X18" t="s">
        <v>72</v>
      </c>
      <c r="Y18" s="9">
        <f t="shared" si="1"/>
        <v>0</v>
      </c>
      <c r="Z18" t="str">
        <f t="shared" si="2"/>
        <v>สแกนต่าง Cost</v>
      </c>
    </row>
    <row r="19" spans="1:26" x14ac:dyDescent="0.45">
      <c r="B19" t="s">
        <v>53</v>
      </c>
      <c r="C19">
        <v>20048905</v>
      </c>
      <c r="D19" t="s">
        <v>73</v>
      </c>
      <c r="E19" s="8">
        <v>46142.443749999999</v>
      </c>
      <c r="F19" s="8">
        <v>46142.895833333336</v>
      </c>
      <c r="G19" s="9">
        <v>10.85</v>
      </c>
      <c r="H19" s="9">
        <f t="shared" si="0"/>
        <v>5.7999999999999996E-2</v>
      </c>
      <c r="I19" s="9">
        <v>4.4999999999999998E-2</v>
      </c>
      <c r="J19" s="9"/>
      <c r="K19" s="9">
        <v>1.2999999999999999E-2</v>
      </c>
      <c r="L19" s="9"/>
      <c r="M19" t="s">
        <v>28</v>
      </c>
      <c r="N19" t="s">
        <v>29</v>
      </c>
      <c r="P19" t="s">
        <v>30</v>
      </c>
      <c r="Q19" t="s">
        <v>31</v>
      </c>
      <c r="R19">
        <v>82409</v>
      </c>
      <c r="S19" t="s">
        <v>74</v>
      </c>
      <c r="T19">
        <v>82664</v>
      </c>
      <c r="U19" t="s">
        <v>75</v>
      </c>
      <c r="V19" t="s">
        <v>75</v>
      </c>
      <c r="W19" t="s">
        <v>74</v>
      </c>
      <c r="X19" t="s">
        <v>74</v>
      </c>
      <c r="Y19" s="9">
        <f t="shared" si="1"/>
        <v>1.2999999999999999E-2</v>
      </c>
      <c r="Z19" t="str">
        <f t="shared" si="2"/>
        <v>สแกนต่าง Cost</v>
      </c>
    </row>
    <row r="20" spans="1:26" x14ac:dyDescent="0.45">
      <c r="B20" t="s">
        <v>26</v>
      </c>
      <c r="C20">
        <v>20403258</v>
      </c>
      <c r="E20" s="8">
        <v>46142.37777777778</v>
      </c>
      <c r="F20" s="8">
        <v>46142.706250000003</v>
      </c>
      <c r="G20" s="9">
        <v>6.8833333333333337</v>
      </c>
      <c r="H20" s="9">
        <f t="shared" si="0"/>
        <v>3.6999999999999998E-2</v>
      </c>
      <c r="I20" s="9">
        <v>3.6999999999999998E-2</v>
      </c>
      <c r="J20" s="9"/>
      <c r="K20" s="9"/>
      <c r="L20" s="9"/>
      <c r="M20" t="s">
        <v>48</v>
      </c>
      <c r="N20" t="s">
        <v>48</v>
      </c>
      <c r="P20" t="s">
        <v>30</v>
      </c>
      <c r="R20">
        <v>82640</v>
      </c>
      <c r="T20">
        <v>82658</v>
      </c>
      <c r="U20" t="s">
        <v>33</v>
      </c>
      <c r="V20" t="s">
        <v>33</v>
      </c>
      <c r="W20" t="s">
        <v>34</v>
      </c>
      <c r="X20" t="s">
        <v>34</v>
      </c>
      <c r="Y20" s="9">
        <f t="shared" si="1"/>
        <v>0</v>
      </c>
      <c r="Z20" t="str">
        <f t="shared" si="2"/>
        <v>สแกนต่าง Cost</v>
      </c>
    </row>
    <row r="21" spans="1:26" x14ac:dyDescent="0.45">
      <c r="B21" t="s">
        <v>53</v>
      </c>
      <c r="C21">
        <v>20076991</v>
      </c>
      <c r="D21" t="s">
        <v>76</v>
      </c>
      <c r="E21" s="8">
        <v>46142.375</v>
      </c>
      <c r="F21" s="8">
        <v>46142.770833333336</v>
      </c>
      <c r="G21" s="9">
        <v>8.5</v>
      </c>
      <c r="H21" s="9">
        <f t="shared" si="0"/>
        <v>4.4999999999999998E-2</v>
      </c>
      <c r="I21" s="9"/>
      <c r="J21" s="9">
        <v>4.4999999999999998E-2</v>
      </c>
      <c r="K21" s="9"/>
      <c r="L21" s="9"/>
      <c r="M21" t="s">
        <v>77</v>
      </c>
      <c r="N21" t="s">
        <v>40</v>
      </c>
      <c r="O21" t="s">
        <v>78</v>
      </c>
      <c r="P21" t="s">
        <v>30</v>
      </c>
      <c r="Q21" t="s">
        <v>31</v>
      </c>
      <c r="R21">
        <v>82308</v>
      </c>
      <c r="S21" t="s">
        <v>69</v>
      </c>
      <c r="T21">
        <v>82301</v>
      </c>
      <c r="U21" t="s">
        <v>79</v>
      </c>
      <c r="V21" t="s">
        <v>79</v>
      </c>
      <c r="W21" t="s">
        <v>80</v>
      </c>
      <c r="X21" t="s">
        <v>81</v>
      </c>
      <c r="Y21" s="9">
        <f t="shared" si="1"/>
        <v>4.4999999999999998E-2</v>
      </c>
      <c r="Z21" t="str">
        <f t="shared" si="2"/>
        <v>สแกนต่าง Cost</v>
      </c>
    </row>
    <row r="22" spans="1:26" x14ac:dyDescent="0.45">
      <c r="B22" t="s">
        <v>26</v>
      </c>
      <c r="C22">
        <v>20372078</v>
      </c>
      <c r="D22" t="s">
        <v>82</v>
      </c>
      <c r="E22" s="8">
        <v>46142.372916666667</v>
      </c>
      <c r="F22" s="8">
        <v>46142.729166666664</v>
      </c>
      <c r="G22" s="9">
        <v>7.5500000000000007</v>
      </c>
      <c r="H22" s="9">
        <f t="shared" si="0"/>
        <v>0.04</v>
      </c>
      <c r="I22" s="9">
        <v>0.04</v>
      </c>
      <c r="J22" s="9"/>
      <c r="K22" s="9"/>
      <c r="L22" s="9"/>
      <c r="M22" t="s">
        <v>65</v>
      </c>
      <c r="N22" t="s">
        <v>29</v>
      </c>
      <c r="P22" t="s">
        <v>30</v>
      </c>
      <c r="Q22" t="s">
        <v>31</v>
      </c>
      <c r="R22">
        <v>82400</v>
      </c>
      <c r="S22" t="s">
        <v>83</v>
      </c>
      <c r="T22">
        <v>82658</v>
      </c>
      <c r="U22" t="s">
        <v>33</v>
      </c>
      <c r="V22" t="s">
        <v>33</v>
      </c>
      <c r="W22" t="s">
        <v>37</v>
      </c>
      <c r="X22" t="s">
        <v>38</v>
      </c>
      <c r="Y22" s="9">
        <f t="shared" si="1"/>
        <v>0</v>
      </c>
      <c r="Z22" t="str">
        <f t="shared" si="2"/>
        <v>สแกนต่าง Cost</v>
      </c>
    </row>
    <row r="23" spans="1:26" x14ac:dyDescent="0.45">
      <c r="B23" t="s">
        <v>26</v>
      </c>
      <c r="C23">
        <v>20352282</v>
      </c>
      <c r="D23" t="s">
        <v>84</v>
      </c>
      <c r="E23" s="8">
        <v>46142.367361111108</v>
      </c>
      <c r="F23" s="8">
        <v>46142.729166666664</v>
      </c>
      <c r="G23" s="9">
        <v>7.6833333333333336</v>
      </c>
      <c r="H23" s="9">
        <f t="shared" si="0"/>
        <v>4.1000000000000002E-2</v>
      </c>
      <c r="I23" s="9">
        <v>4.1000000000000002E-2</v>
      </c>
      <c r="J23" s="9"/>
      <c r="K23" s="9"/>
      <c r="L23" s="9"/>
      <c r="M23" t="s">
        <v>65</v>
      </c>
      <c r="N23" t="s">
        <v>29</v>
      </c>
      <c r="P23" t="s">
        <v>30</v>
      </c>
      <c r="Q23" t="s">
        <v>31</v>
      </c>
      <c r="R23">
        <v>82400</v>
      </c>
      <c r="S23" t="s">
        <v>83</v>
      </c>
      <c r="T23">
        <v>82658</v>
      </c>
      <c r="U23" t="s">
        <v>33</v>
      </c>
      <c r="V23" t="s">
        <v>33</v>
      </c>
      <c r="W23" t="s">
        <v>34</v>
      </c>
      <c r="X23" t="s">
        <v>34</v>
      </c>
      <c r="Y23" s="9">
        <f t="shared" si="1"/>
        <v>0</v>
      </c>
      <c r="Z23" t="str">
        <f t="shared" si="2"/>
        <v>สแกนต่าง Cost</v>
      </c>
    </row>
    <row r="24" spans="1:26" x14ac:dyDescent="0.45">
      <c r="B24" t="s">
        <v>53</v>
      </c>
      <c r="C24">
        <v>20056406</v>
      </c>
      <c r="D24" t="s">
        <v>85</v>
      </c>
      <c r="E24" s="8">
        <v>46142.344444444447</v>
      </c>
      <c r="F24" s="8">
        <v>46142.718055555553</v>
      </c>
      <c r="G24" s="9">
        <v>7.9666666666666668</v>
      </c>
      <c r="H24" s="9">
        <f t="shared" si="0"/>
        <v>4.2999999999999997E-2</v>
      </c>
      <c r="I24" s="9">
        <v>4.2999999999999997E-2</v>
      </c>
      <c r="J24" s="9"/>
      <c r="K24" s="9"/>
      <c r="L24" s="9"/>
      <c r="M24" t="s">
        <v>65</v>
      </c>
      <c r="N24" t="s">
        <v>29</v>
      </c>
      <c r="P24" t="s">
        <v>30</v>
      </c>
      <c r="Q24" t="s">
        <v>31</v>
      </c>
      <c r="R24">
        <v>82630</v>
      </c>
      <c r="S24" t="s">
        <v>32</v>
      </c>
      <c r="T24">
        <v>82664</v>
      </c>
      <c r="U24" t="s">
        <v>75</v>
      </c>
      <c r="V24" t="s">
        <v>75</v>
      </c>
      <c r="W24" t="s">
        <v>37</v>
      </c>
      <c r="X24" t="s">
        <v>86</v>
      </c>
      <c r="Y24" s="9">
        <f t="shared" si="1"/>
        <v>0</v>
      </c>
      <c r="Z24" t="str">
        <f t="shared" si="2"/>
        <v>สแกนต่าง Cost</v>
      </c>
    </row>
    <row r="25" spans="1:26" x14ac:dyDescent="0.45">
      <c r="A25">
        <v>27319</v>
      </c>
      <c r="B25" t="s">
        <v>53</v>
      </c>
      <c r="C25">
        <v>20004913</v>
      </c>
      <c r="D25" t="s">
        <v>87</v>
      </c>
      <c r="E25" s="8">
        <v>46142.333333333336</v>
      </c>
      <c r="F25" s="8">
        <v>46142.729166666664</v>
      </c>
      <c r="G25" s="9">
        <v>8.5</v>
      </c>
      <c r="H25" s="9">
        <f t="shared" si="0"/>
        <v>4.4999999999999998E-2</v>
      </c>
      <c r="I25" s="9">
        <v>4.4999999999999998E-2</v>
      </c>
      <c r="J25" s="9"/>
      <c r="K25" s="9"/>
      <c r="L25" s="9"/>
      <c r="M25" t="s">
        <v>65</v>
      </c>
      <c r="N25" t="s">
        <v>29</v>
      </c>
      <c r="P25" t="s">
        <v>30</v>
      </c>
      <c r="Q25" t="s">
        <v>31</v>
      </c>
      <c r="R25">
        <v>82301</v>
      </c>
      <c r="S25" t="s">
        <v>79</v>
      </c>
      <c r="T25">
        <v>82308</v>
      </c>
      <c r="U25" t="s">
        <v>69</v>
      </c>
      <c r="V25" t="s">
        <v>69</v>
      </c>
      <c r="W25" t="s">
        <v>69</v>
      </c>
      <c r="X25" t="s">
        <v>88</v>
      </c>
      <c r="Y25" s="9">
        <f t="shared" si="1"/>
        <v>0</v>
      </c>
      <c r="Z25" t="str">
        <f t="shared" si="2"/>
        <v>สแกนต่าง Cost</v>
      </c>
    </row>
    <row r="26" spans="1:26" x14ac:dyDescent="0.45">
      <c r="B26" t="s">
        <v>26</v>
      </c>
      <c r="C26">
        <v>20014598</v>
      </c>
      <c r="D26" t="s">
        <v>89</v>
      </c>
      <c r="E26" s="8">
        <v>46142.333333333336</v>
      </c>
      <c r="F26" s="8">
        <v>46142.729166666664</v>
      </c>
      <c r="G26" s="9">
        <v>8.5</v>
      </c>
      <c r="H26" s="9">
        <f t="shared" si="0"/>
        <v>4.4999999999999998E-2</v>
      </c>
      <c r="I26" s="9">
        <v>4.4999999999999998E-2</v>
      </c>
      <c r="J26" s="9"/>
      <c r="K26" s="9"/>
      <c r="L26" s="9"/>
      <c r="M26" t="s">
        <v>65</v>
      </c>
      <c r="N26" t="s">
        <v>29</v>
      </c>
      <c r="P26" t="s">
        <v>30</v>
      </c>
      <c r="Q26" t="s">
        <v>31</v>
      </c>
      <c r="R26">
        <v>82400</v>
      </c>
      <c r="S26" t="s">
        <v>83</v>
      </c>
      <c r="T26">
        <v>82690</v>
      </c>
      <c r="U26" t="s">
        <v>90</v>
      </c>
      <c r="V26" t="s">
        <v>90</v>
      </c>
      <c r="W26" t="s">
        <v>91</v>
      </c>
      <c r="X26" t="s">
        <v>92</v>
      </c>
      <c r="Y26" s="9">
        <f t="shared" si="1"/>
        <v>0</v>
      </c>
      <c r="Z26" t="str">
        <f t="shared" si="2"/>
        <v>สแกนต่าง Cost</v>
      </c>
    </row>
    <row r="27" spans="1:26" x14ac:dyDescent="0.45">
      <c r="B27" t="s">
        <v>53</v>
      </c>
      <c r="C27">
        <v>20015376</v>
      </c>
      <c r="D27" t="s">
        <v>93</v>
      </c>
      <c r="E27" s="8">
        <v>46142.333333333336</v>
      </c>
      <c r="F27" s="8">
        <v>46142.717361111114</v>
      </c>
      <c r="G27" s="9">
        <v>8.2166666666666668</v>
      </c>
      <c r="H27" s="9">
        <f t="shared" si="0"/>
        <v>4.3999999999999997E-2</v>
      </c>
      <c r="I27" s="9">
        <v>4.3999999999999997E-2</v>
      </c>
      <c r="J27" s="9"/>
      <c r="K27" s="9"/>
      <c r="L27" s="9"/>
      <c r="M27" t="s">
        <v>65</v>
      </c>
      <c r="N27" t="s">
        <v>29</v>
      </c>
      <c r="P27" t="s">
        <v>30</v>
      </c>
      <c r="Q27" t="s">
        <v>31</v>
      </c>
      <c r="R27">
        <v>82630</v>
      </c>
      <c r="S27" t="s">
        <v>32</v>
      </c>
      <c r="T27">
        <v>82664</v>
      </c>
      <c r="U27" t="s">
        <v>75</v>
      </c>
      <c r="V27" t="s">
        <v>75</v>
      </c>
      <c r="W27" t="s">
        <v>37</v>
      </c>
      <c r="X27" t="s">
        <v>86</v>
      </c>
      <c r="Y27" s="9">
        <f t="shared" si="1"/>
        <v>0</v>
      </c>
      <c r="Z27" t="str">
        <f t="shared" si="2"/>
        <v>สแกนต่าง Cost</v>
      </c>
    </row>
    <row r="28" spans="1:26" x14ac:dyDescent="0.45">
      <c r="A28">
        <v>27198</v>
      </c>
      <c r="B28" t="s">
        <v>53</v>
      </c>
      <c r="C28">
        <v>20017430</v>
      </c>
      <c r="D28" t="s">
        <v>94</v>
      </c>
      <c r="E28" s="8">
        <v>46142.333333333336</v>
      </c>
      <c r="F28" s="8">
        <v>46142.520833333336</v>
      </c>
      <c r="G28" s="9">
        <v>4.5</v>
      </c>
      <c r="H28" s="9">
        <f t="shared" si="0"/>
        <v>2.4E-2</v>
      </c>
      <c r="I28" s="9">
        <v>2.4E-2</v>
      </c>
      <c r="J28" s="9"/>
      <c r="K28" s="9"/>
      <c r="L28" s="9"/>
      <c r="M28" t="s">
        <v>65</v>
      </c>
      <c r="N28" t="s">
        <v>29</v>
      </c>
      <c r="P28" t="s">
        <v>30</v>
      </c>
      <c r="Q28" t="s">
        <v>31</v>
      </c>
      <c r="R28">
        <v>82301</v>
      </c>
      <c r="S28" t="s">
        <v>79</v>
      </c>
      <c r="T28">
        <v>82308</v>
      </c>
      <c r="U28" t="s">
        <v>69</v>
      </c>
      <c r="V28" t="s">
        <v>69</v>
      </c>
      <c r="W28" t="s">
        <v>69</v>
      </c>
      <c r="X28" t="s">
        <v>95</v>
      </c>
      <c r="Y28" s="9">
        <f t="shared" si="1"/>
        <v>0</v>
      </c>
      <c r="Z28" t="str">
        <f t="shared" si="2"/>
        <v>สแกนต่าง Cost</v>
      </c>
    </row>
    <row r="29" spans="1:26" x14ac:dyDescent="0.45">
      <c r="B29" t="s">
        <v>53</v>
      </c>
      <c r="C29">
        <v>20018899</v>
      </c>
      <c r="D29" t="s">
        <v>64</v>
      </c>
      <c r="E29" s="8">
        <v>46142.333333333336</v>
      </c>
      <c r="F29" s="8">
        <v>46142.5</v>
      </c>
      <c r="G29" s="9">
        <v>4</v>
      </c>
      <c r="H29" s="9">
        <f t="shared" si="0"/>
        <v>2.1000000000000001E-2</v>
      </c>
      <c r="I29" s="9">
        <v>2.1000000000000001E-2</v>
      </c>
      <c r="J29" s="9"/>
      <c r="K29" s="9"/>
      <c r="L29" s="9"/>
      <c r="M29" t="s">
        <v>65</v>
      </c>
      <c r="N29" t="s">
        <v>29</v>
      </c>
      <c r="P29" t="s">
        <v>30</v>
      </c>
      <c r="Q29" t="s">
        <v>31</v>
      </c>
      <c r="R29">
        <v>82640</v>
      </c>
      <c r="S29" t="s">
        <v>42</v>
      </c>
      <c r="T29">
        <v>82652</v>
      </c>
      <c r="U29" t="s">
        <v>46</v>
      </c>
      <c r="V29" t="s">
        <v>66</v>
      </c>
      <c r="W29" t="s">
        <v>37</v>
      </c>
      <c r="X29" t="s">
        <v>34</v>
      </c>
      <c r="Y29" s="9">
        <f t="shared" si="1"/>
        <v>0</v>
      </c>
      <c r="Z29" t="str">
        <f t="shared" si="2"/>
        <v>สแกนต่าง Cost</v>
      </c>
    </row>
    <row r="30" spans="1:26" x14ac:dyDescent="0.45">
      <c r="B30" t="s">
        <v>53</v>
      </c>
      <c r="C30">
        <v>20021668</v>
      </c>
      <c r="D30" t="s">
        <v>96</v>
      </c>
      <c r="E30" s="8">
        <v>46142.333333333336</v>
      </c>
      <c r="F30" s="8">
        <v>46142.718055555553</v>
      </c>
      <c r="G30" s="9">
        <v>8.2333333333333325</v>
      </c>
      <c r="H30" s="9">
        <f t="shared" si="0"/>
        <v>4.3999999999999997E-2</v>
      </c>
      <c r="I30" s="9">
        <v>4.3999999999999997E-2</v>
      </c>
      <c r="J30" s="9"/>
      <c r="K30" s="9"/>
      <c r="L30" s="9"/>
      <c r="M30" t="s">
        <v>65</v>
      </c>
      <c r="N30" t="s">
        <v>29</v>
      </c>
      <c r="P30" t="s">
        <v>30</v>
      </c>
      <c r="Q30" t="s">
        <v>31</v>
      </c>
      <c r="R30">
        <v>82630</v>
      </c>
      <c r="S30" t="s">
        <v>32</v>
      </c>
      <c r="T30">
        <v>82664</v>
      </c>
      <c r="U30" t="s">
        <v>75</v>
      </c>
      <c r="V30" t="s">
        <v>75</v>
      </c>
      <c r="W30" t="s">
        <v>37</v>
      </c>
      <c r="X30" t="s">
        <v>86</v>
      </c>
      <c r="Y30" s="9">
        <f t="shared" si="1"/>
        <v>0</v>
      </c>
      <c r="Z30" t="str">
        <f t="shared" si="2"/>
        <v>สแกนต่าง Cost</v>
      </c>
    </row>
    <row r="31" spans="1:26" x14ac:dyDescent="0.45">
      <c r="B31" t="s">
        <v>53</v>
      </c>
      <c r="C31">
        <v>20023373</v>
      </c>
      <c r="D31" t="s">
        <v>97</v>
      </c>
      <c r="E31" s="8">
        <v>46142.333333333336</v>
      </c>
      <c r="F31" s="8">
        <v>46142.718055555553</v>
      </c>
      <c r="G31" s="9">
        <v>8.2333333333333325</v>
      </c>
      <c r="H31" s="9">
        <f t="shared" si="0"/>
        <v>4.3999999999999997E-2</v>
      </c>
      <c r="I31" s="9">
        <v>4.3999999999999997E-2</v>
      </c>
      <c r="J31" s="9"/>
      <c r="K31" s="9"/>
      <c r="L31" s="9"/>
      <c r="M31" t="s">
        <v>65</v>
      </c>
      <c r="N31" t="s">
        <v>29</v>
      </c>
      <c r="P31" t="s">
        <v>30</v>
      </c>
      <c r="Q31" t="s">
        <v>31</v>
      </c>
      <c r="R31">
        <v>82630</v>
      </c>
      <c r="S31" t="s">
        <v>32</v>
      </c>
      <c r="T31">
        <v>82664</v>
      </c>
      <c r="U31" t="s">
        <v>75</v>
      </c>
      <c r="V31" t="s">
        <v>75</v>
      </c>
      <c r="W31" t="s">
        <v>37</v>
      </c>
      <c r="X31" t="s">
        <v>86</v>
      </c>
      <c r="Y31" s="9">
        <f t="shared" si="1"/>
        <v>0</v>
      </c>
      <c r="Z31" t="str">
        <f t="shared" si="2"/>
        <v>สแกนต่าง Cost</v>
      </c>
    </row>
    <row r="32" spans="1:26" x14ac:dyDescent="0.45">
      <c r="B32" t="s">
        <v>53</v>
      </c>
      <c r="C32">
        <v>20026408</v>
      </c>
      <c r="D32" t="s">
        <v>98</v>
      </c>
      <c r="E32" s="8">
        <v>46142.333333333336</v>
      </c>
      <c r="F32" s="8">
        <v>46142.717361111114</v>
      </c>
      <c r="G32" s="9">
        <v>8.2166666666666668</v>
      </c>
      <c r="H32" s="9">
        <f t="shared" si="0"/>
        <v>4.3999999999999997E-2</v>
      </c>
      <c r="I32" s="9">
        <v>4.3999999999999997E-2</v>
      </c>
      <c r="J32" s="9"/>
      <c r="K32" s="9"/>
      <c r="L32" s="9"/>
      <c r="M32" t="s">
        <v>65</v>
      </c>
      <c r="N32" t="s">
        <v>29</v>
      </c>
      <c r="P32" t="s">
        <v>30</v>
      </c>
      <c r="Q32" t="s">
        <v>31</v>
      </c>
      <c r="R32">
        <v>82630</v>
      </c>
      <c r="S32" t="s">
        <v>32</v>
      </c>
      <c r="T32">
        <v>82664</v>
      </c>
      <c r="U32" t="s">
        <v>75</v>
      </c>
      <c r="V32" t="s">
        <v>75</v>
      </c>
      <c r="W32" t="s">
        <v>37</v>
      </c>
      <c r="X32" t="s">
        <v>86</v>
      </c>
      <c r="Y32" s="9">
        <f t="shared" si="1"/>
        <v>0</v>
      </c>
      <c r="Z32" t="str">
        <f t="shared" si="2"/>
        <v>สแกนต่าง Cost</v>
      </c>
    </row>
    <row r="33" spans="2:26" x14ac:dyDescent="0.45">
      <c r="B33" t="s">
        <v>53</v>
      </c>
      <c r="C33">
        <v>20034535</v>
      </c>
      <c r="D33" t="s">
        <v>99</v>
      </c>
      <c r="E33" s="8">
        <v>46142.333333333336</v>
      </c>
      <c r="F33" s="8">
        <v>46142.717361111114</v>
      </c>
      <c r="G33" s="9">
        <v>8.2166666666666668</v>
      </c>
      <c r="H33" s="9">
        <f t="shared" si="0"/>
        <v>4.3999999999999997E-2</v>
      </c>
      <c r="I33" s="9">
        <v>4.3999999999999997E-2</v>
      </c>
      <c r="J33" s="9"/>
      <c r="K33" s="9"/>
      <c r="L33" s="9"/>
      <c r="M33" t="s">
        <v>65</v>
      </c>
      <c r="N33" t="s">
        <v>29</v>
      </c>
      <c r="P33" t="s">
        <v>30</v>
      </c>
      <c r="Q33" t="s">
        <v>31</v>
      </c>
      <c r="R33">
        <v>82630</v>
      </c>
      <c r="S33" t="s">
        <v>32</v>
      </c>
      <c r="T33">
        <v>82664</v>
      </c>
      <c r="U33" t="s">
        <v>75</v>
      </c>
      <c r="V33" t="s">
        <v>75</v>
      </c>
      <c r="W33" t="s">
        <v>37</v>
      </c>
      <c r="X33" t="s">
        <v>86</v>
      </c>
      <c r="Y33" s="9">
        <f t="shared" si="1"/>
        <v>0</v>
      </c>
      <c r="Z33" t="str">
        <f t="shared" si="2"/>
        <v>สแกนต่าง Cost</v>
      </c>
    </row>
    <row r="34" spans="2:26" x14ac:dyDescent="0.45">
      <c r="B34" t="s">
        <v>53</v>
      </c>
      <c r="C34">
        <v>20041130</v>
      </c>
      <c r="D34" t="s">
        <v>100</v>
      </c>
      <c r="E34" s="8">
        <v>46142.333333333336</v>
      </c>
      <c r="F34" s="8">
        <v>46142.718055555553</v>
      </c>
      <c r="G34" s="9">
        <v>8.2333333333333325</v>
      </c>
      <c r="H34" s="9">
        <f t="shared" si="0"/>
        <v>4.3999999999999997E-2</v>
      </c>
      <c r="I34" s="9">
        <v>4.3999999999999997E-2</v>
      </c>
      <c r="J34" s="9"/>
      <c r="K34" s="9"/>
      <c r="L34" s="9"/>
      <c r="M34" t="s">
        <v>65</v>
      </c>
      <c r="N34" t="s">
        <v>29</v>
      </c>
      <c r="P34" t="s">
        <v>30</v>
      </c>
      <c r="Q34" t="s">
        <v>31</v>
      </c>
      <c r="R34">
        <v>82630</v>
      </c>
      <c r="S34" t="s">
        <v>32</v>
      </c>
      <c r="T34">
        <v>82664</v>
      </c>
      <c r="U34" t="s">
        <v>75</v>
      </c>
      <c r="V34" t="s">
        <v>75</v>
      </c>
      <c r="W34" t="s">
        <v>37</v>
      </c>
      <c r="X34" t="s">
        <v>86</v>
      </c>
      <c r="Y34" s="9">
        <f t="shared" si="1"/>
        <v>0</v>
      </c>
      <c r="Z34" t="str">
        <f t="shared" si="2"/>
        <v>สแกนต่าง Cost</v>
      </c>
    </row>
    <row r="35" spans="2:26" x14ac:dyDescent="0.45">
      <c r="B35" t="s">
        <v>53</v>
      </c>
      <c r="C35">
        <v>20074905</v>
      </c>
      <c r="D35" t="s">
        <v>101</v>
      </c>
      <c r="E35" s="8">
        <v>46142.333333333336</v>
      </c>
      <c r="F35" s="8">
        <v>46142.718055555553</v>
      </c>
      <c r="G35" s="9">
        <v>8.2333333333333325</v>
      </c>
      <c r="H35" s="9">
        <f t="shared" si="0"/>
        <v>4.3999999999999997E-2</v>
      </c>
      <c r="I35" s="9">
        <v>4.3999999999999997E-2</v>
      </c>
      <c r="J35" s="9"/>
      <c r="K35" s="9"/>
      <c r="L35" s="9"/>
      <c r="M35" t="s">
        <v>65</v>
      </c>
      <c r="N35" t="s">
        <v>29</v>
      </c>
      <c r="P35" t="s">
        <v>30</v>
      </c>
      <c r="Q35" t="s">
        <v>31</v>
      </c>
      <c r="R35">
        <v>82630</v>
      </c>
      <c r="S35" t="s">
        <v>32</v>
      </c>
      <c r="T35">
        <v>82664</v>
      </c>
      <c r="U35" t="s">
        <v>75</v>
      </c>
      <c r="V35" t="s">
        <v>75</v>
      </c>
      <c r="W35" t="s">
        <v>37</v>
      </c>
      <c r="X35" t="s">
        <v>86</v>
      </c>
      <c r="Y35" s="9">
        <f t="shared" si="1"/>
        <v>0</v>
      </c>
      <c r="Z35" t="str">
        <f t="shared" si="2"/>
        <v>สแกนต่าง Cost</v>
      </c>
    </row>
    <row r="36" spans="2:26" x14ac:dyDescent="0.45">
      <c r="B36" t="s">
        <v>53</v>
      </c>
      <c r="C36">
        <v>20156338</v>
      </c>
      <c r="D36" t="s">
        <v>102</v>
      </c>
      <c r="E36" s="8">
        <v>46142.333333333336</v>
      </c>
      <c r="F36" s="8">
        <v>46142.344444444447</v>
      </c>
      <c r="G36" s="9">
        <v>0.26666666666666666</v>
      </c>
      <c r="H36" s="9">
        <f t="shared" si="0"/>
        <v>1E-3</v>
      </c>
      <c r="I36" s="9">
        <v>1E-3</v>
      </c>
      <c r="J36" s="9"/>
      <c r="K36" s="9"/>
      <c r="L36" s="9"/>
      <c r="M36" t="s">
        <v>65</v>
      </c>
      <c r="N36" t="s">
        <v>29</v>
      </c>
      <c r="P36" t="s">
        <v>30</v>
      </c>
      <c r="Q36" t="s">
        <v>31</v>
      </c>
      <c r="R36">
        <v>82630</v>
      </c>
      <c r="S36" t="s">
        <v>32</v>
      </c>
      <c r="T36">
        <v>82664</v>
      </c>
      <c r="U36" t="s">
        <v>75</v>
      </c>
      <c r="V36" t="s">
        <v>75</v>
      </c>
      <c r="W36" t="s">
        <v>37</v>
      </c>
      <c r="X36" t="s">
        <v>86</v>
      </c>
      <c r="Y36" s="9">
        <f t="shared" si="1"/>
        <v>0</v>
      </c>
      <c r="Z36" t="str">
        <f t="shared" si="2"/>
        <v>สแกนต่าง Cost</v>
      </c>
    </row>
    <row r="37" spans="2:26" x14ac:dyDescent="0.45">
      <c r="B37" t="s">
        <v>53</v>
      </c>
      <c r="C37">
        <v>20169714</v>
      </c>
      <c r="D37" t="s">
        <v>103</v>
      </c>
      <c r="E37" s="8">
        <v>46142.333333333336</v>
      </c>
      <c r="F37" s="8">
        <v>46142.718055555553</v>
      </c>
      <c r="G37" s="9">
        <v>8.2333333333333325</v>
      </c>
      <c r="H37" s="9">
        <f t="shared" si="0"/>
        <v>4.3999999999999997E-2</v>
      </c>
      <c r="I37" s="9">
        <v>4.3999999999999997E-2</v>
      </c>
      <c r="J37" s="9"/>
      <c r="K37" s="9"/>
      <c r="L37" s="9"/>
      <c r="M37" t="s">
        <v>65</v>
      </c>
      <c r="N37" t="s">
        <v>29</v>
      </c>
      <c r="P37" t="s">
        <v>30</v>
      </c>
      <c r="Q37" t="s">
        <v>31</v>
      </c>
      <c r="R37">
        <v>82630</v>
      </c>
      <c r="S37" t="s">
        <v>32</v>
      </c>
      <c r="T37">
        <v>82664</v>
      </c>
      <c r="U37" t="s">
        <v>75</v>
      </c>
      <c r="V37" t="s">
        <v>75</v>
      </c>
      <c r="W37" t="s">
        <v>37</v>
      </c>
      <c r="X37" t="s">
        <v>86</v>
      </c>
      <c r="Y37" s="9">
        <f t="shared" si="1"/>
        <v>0</v>
      </c>
      <c r="Z37" t="str">
        <f t="shared" si="2"/>
        <v>สแกนต่าง Cost</v>
      </c>
    </row>
    <row r="38" spans="2:26" x14ac:dyDescent="0.45">
      <c r="B38" t="s">
        <v>53</v>
      </c>
      <c r="C38">
        <v>20198722</v>
      </c>
      <c r="D38" t="s">
        <v>104</v>
      </c>
      <c r="E38" s="8">
        <v>46142.333333333336</v>
      </c>
      <c r="F38" s="8">
        <v>46142.717361111114</v>
      </c>
      <c r="G38" s="9">
        <v>8.2166666666666668</v>
      </c>
      <c r="H38" s="9">
        <f t="shared" si="0"/>
        <v>4.3999999999999997E-2</v>
      </c>
      <c r="I38" s="9">
        <v>4.3999999999999997E-2</v>
      </c>
      <c r="J38" s="9"/>
      <c r="K38" s="9"/>
      <c r="L38" s="9"/>
      <c r="M38" t="s">
        <v>65</v>
      </c>
      <c r="N38" t="s">
        <v>29</v>
      </c>
      <c r="P38" t="s">
        <v>30</v>
      </c>
      <c r="Q38" t="s">
        <v>31</v>
      </c>
      <c r="R38">
        <v>82630</v>
      </c>
      <c r="S38" t="s">
        <v>32</v>
      </c>
      <c r="T38">
        <v>82664</v>
      </c>
      <c r="U38" t="s">
        <v>75</v>
      </c>
      <c r="V38" t="s">
        <v>75</v>
      </c>
      <c r="W38" t="s">
        <v>37</v>
      </c>
      <c r="X38" t="s">
        <v>86</v>
      </c>
      <c r="Y38" s="9">
        <f t="shared" si="1"/>
        <v>0</v>
      </c>
      <c r="Z38" t="str">
        <f t="shared" si="2"/>
        <v>สแกนต่าง Cost</v>
      </c>
    </row>
    <row r="39" spans="2:26" x14ac:dyDescent="0.45">
      <c r="B39" t="s">
        <v>53</v>
      </c>
      <c r="C39">
        <v>20220646</v>
      </c>
      <c r="D39" t="s">
        <v>67</v>
      </c>
      <c r="E39" s="8">
        <v>46142.333333333336</v>
      </c>
      <c r="F39" s="8">
        <v>46142.5</v>
      </c>
      <c r="G39" s="9">
        <v>4</v>
      </c>
      <c r="H39" s="9">
        <f t="shared" si="0"/>
        <v>2.1000000000000001E-2</v>
      </c>
      <c r="I39" s="9">
        <v>2.1000000000000001E-2</v>
      </c>
      <c r="J39" s="9"/>
      <c r="K39" s="9"/>
      <c r="L39" s="9"/>
      <c r="M39" t="s">
        <v>65</v>
      </c>
      <c r="N39" t="s">
        <v>29</v>
      </c>
      <c r="P39" t="s">
        <v>30</v>
      </c>
      <c r="Q39" t="s">
        <v>31</v>
      </c>
      <c r="R39">
        <v>82640</v>
      </c>
      <c r="S39" t="s">
        <v>42</v>
      </c>
      <c r="T39">
        <v>82652</v>
      </c>
      <c r="U39" t="s">
        <v>46</v>
      </c>
      <c r="V39" t="s">
        <v>66</v>
      </c>
      <c r="W39" t="s">
        <v>37</v>
      </c>
      <c r="X39" t="s">
        <v>34</v>
      </c>
      <c r="Y39" s="9">
        <f t="shared" si="1"/>
        <v>0</v>
      </c>
      <c r="Z39" t="str">
        <f t="shared" si="2"/>
        <v>สแกนต่าง Cost</v>
      </c>
    </row>
    <row r="40" spans="2:26" x14ac:dyDescent="0.45">
      <c r="B40" t="s">
        <v>53</v>
      </c>
      <c r="C40">
        <v>20240959</v>
      </c>
      <c r="D40" t="s">
        <v>105</v>
      </c>
      <c r="E40" s="8">
        <v>46142.333333333336</v>
      </c>
      <c r="F40" s="8">
        <v>46142.716666666667</v>
      </c>
      <c r="G40" s="9">
        <v>8.1999999999999993</v>
      </c>
      <c r="H40" s="9">
        <f t="shared" si="0"/>
        <v>4.3999999999999997E-2</v>
      </c>
      <c r="I40" s="9">
        <v>4.3999999999999997E-2</v>
      </c>
      <c r="J40" s="9"/>
      <c r="K40" s="9"/>
      <c r="L40" s="9"/>
      <c r="M40" t="s">
        <v>65</v>
      </c>
      <c r="N40" t="s">
        <v>29</v>
      </c>
      <c r="P40" t="s">
        <v>30</v>
      </c>
      <c r="Q40" t="s">
        <v>31</v>
      </c>
      <c r="R40">
        <v>82630</v>
      </c>
      <c r="S40" t="s">
        <v>32</v>
      </c>
      <c r="T40">
        <v>82664</v>
      </c>
      <c r="U40" t="s">
        <v>75</v>
      </c>
      <c r="V40" t="s">
        <v>75</v>
      </c>
      <c r="W40" t="s">
        <v>37</v>
      </c>
      <c r="X40" t="s">
        <v>86</v>
      </c>
      <c r="Y40" s="9">
        <f t="shared" si="1"/>
        <v>0</v>
      </c>
      <c r="Z40" t="str">
        <f t="shared" si="2"/>
        <v>สแกนต่าง Cost</v>
      </c>
    </row>
    <row r="41" spans="2:26" x14ac:dyDescent="0.45">
      <c r="B41" t="s">
        <v>53</v>
      </c>
      <c r="C41">
        <v>20306847</v>
      </c>
      <c r="D41" t="s">
        <v>106</v>
      </c>
      <c r="E41" s="8">
        <v>46142.333333333336</v>
      </c>
      <c r="F41" s="8">
        <v>46142.718055555553</v>
      </c>
      <c r="G41" s="9">
        <v>8.2333333333333325</v>
      </c>
      <c r="H41" s="9">
        <f t="shared" si="0"/>
        <v>4.3999999999999997E-2</v>
      </c>
      <c r="I41" s="9">
        <v>4.3999999999999997E-2</v>
      </c>
      <c r="J41" s="9"/>
      <c r="K41" s="9"/>
      <c r="L41" s="9"/>
      <c r="M41" t="s">
        <v>65</v>
      </c>
      <c r="N41" t="s">
        <v>29</v>
      </c>
      <c r="P41" t="s">
        <v>30</v>
      </c>
      <c r="Q41" t="s">
        <v>31</v>
      </c>
      <c r="R41">
        <v>82630</v>
      </c>
      <c r="S41" t="s">
        <v>32</v>
      </c>
      <c r="T41">
        <v>82664</v>
      </c>
      <c r="U41" t="s">
        <v>75</v>
      </c>
      <c r="V41" t="s">
        <v>75</v>
      </c>
      <c r="W41" t="s">
        <v>37</v>
      </c>
      <c r="X41" t="s">
        <v>86</v>
      </c>
      <c r="Y41" s="9">
        <f t="shared" si="1"/>
        <v>0</v>
      </c>
      <c r="Z41" t="str">
        <f t="shared" si="2"/>
        <v>สแกนต่าง Cost</v>
      </c>
    </row>
    <row r="42" spans="2:26" x14ac:dyDescent="0.45">
      <c r="B42" t="s">
        <v>26</v>
      </c>
      <c r="C42">
        <v>20328003</v>
      </c>
      <c r="D42" t="s">
        <v>107</v>
      </c>
      <c r="E42" s="8">
        <v>46142.333333333336</v>
      </c>
      <c r="F42" s="8">
        <v>46142.729166666664</v>
      </c>
      <c r="G42" s="9">
        <v>8.5</v>
      </c>
      <c r="H42" s="9">
        <f t="shared" si="0"/>
        <v>4.4999999999999998E-2</v>
      </c>
      <c r="I42" s="9">
        <v>4.4999999999999998E-2</v>
      </c>
      <c r="J42" s="9"/>
      <c r="K42" s="9"/>
      <c r="L42" s="9"/>
      <c r="M42" t="s">
        <v>65</v>
      </c>
      <c r="N42" t="s">
        <v>29</v>
      </c>
      <c r="P42" t="s">
        <v>30</v>
      </c>
      <c r="Q42" t="s">
        <v>31</v>
      </c>
      <c r="R42">
        <v>82400</v>
      </c>
      <c r="S42" t="s">
        <v>83</v>
      </c>
      <c r="T42">
        <v>82690</v>
      </c>
      <c r="U42" t="s">
        <v>90</v>
      </c>
      <c r="V42" t="s">
        <v>90</v>
      </c>
      <c r="W42" t="s">
        <v>91</v>
      </c>
      <c r="X42" t="s">
        <v>92</v>
      </c>
      <c r="Y42" s="9">
        <f t="shared" si="1"/>
        <v>0</v>
      </c>
      <c r="Z42" t="str">
        <f t="shared" si="2"/>
        <v>สแกนต่าง Cost</v>
      </c>
    </row>
    <row r="43" spans="2:26" x14ac:dyDescent="0.45">
      <c r="B43" t="s">
        <v>26</v>
      </c>
      <c r="C43">
        <v>20331986</v>
      </c>
      <c r="D43" t="s">
        <v>108</v>
      </c>
      <c r="E43" s="8">
        <v>46142.333333333336</v>
      </c>
      <c r="F43" s="8">
        <v>46142.729166666664</v>
      </c>
      <c r="G43" s="9">
        <v>8.5</v>
      </c>
      <c r="H43" s="9">
        <f t="shared" si="0"/>
        <v>4.4999999999999998E-2</v>
      </c>
      <c r="I43" s="9">
        <v>4.4999999999999998E-2</v>
      </c>
      <c r="J43" s="9"/>
      <c r="K43" s="9"/>
      <c r="L43" s="9"/>
      <c r="M43" t="s">
        <v>65</v>
      </c>
      <c r="N43" t="s">
        <v>29</v>
      </c>
      <c r="P43" t="s">
        <v>30</v>
      </c>
      <c r="Q43" t="s">
        <v>31</v>
      </c>
      <c r="R43">
        <v>82400</v>
      </c>
      <c r="S43" t="s">
        <v>83</v>
      </c>
      <c r="T43">
        <v>82690</v>
      </c>
      <c r="U43" t="s">
        <v>90</v>
      </c>
      <c r="V43" t="s">
        <v>90</v>
      </c>
      <c r="W43" t="s">
        <v>91</v>
      </c>
      <c r="X43" t="s">
        <v>92</v>
      </c>
      <c r="Y43" s="9">
        <f t="shared" si="1"/>
        <v>0</v>
      </c>
      <c r="Z43" t="str">
        <f t="shared" si="2"/>
        <v>สแกนต่าง Cost</v>
      </c>
    </row>
    <row r="44" spans="2:26" x14ac:dyDescent="0.45">
      <c r="B44" t="s">
        <v>53</v>
      </c>
      <c r="C44">
        <v>20343361</v>
      </c>
      <c r="D44" t="s">
        <v>109</v>
      </c>
      <c r="E44" s="8">
        <v>46142.333333333336</v>
      </c>
      <c r="F44" s="8">
        <v>46142.717361111114</v>
      </c>
      <c r="G44" s="9">
        <v>8.2166666666666668</v>
      </c>
      <c r="H44" s="9">
        <f t="shared" si="0"/>
        <v>4.3999999999999997E-2</v>
      </c>
      <c r="I44" s="9">
        <v>4.3999999999999997E-2</v>
      </c>
      <c r="J44" s="9"/>
      <c r="K44" s="9"/>
      <c r="L44" s="9"/>
      <c r="M44" t="s">
        <v>65</v>
      </c>
      <c r="N44" t="s">
        <v>29</v>
      </c>
      <c r="P44" t="s">
        <v>30</v>
      </c>
      <c r="Q44" t="s">
        <v>31</v>
      </c>
      <c r="R44">
        <v>82630</v>
      </c>
      <c r="S44" t="s">
        <v>32</v>
      </c>
      <c r="T44">
        <v>82664</v>
      </c>
      <c r="U44" t="s">
        <v>75</v>
      </c>
      <c r="V44" t="s">
        <v>75</v>
      </c>
      <c r="W44" t="s">
        <v>37</v>
      </c>
      <c r="X44" t="s">
        <v>86</v>
      </c>
      <c r="Y44" s="9">
        <f t="shared" si="1"/>
        <v>0</v>
      </c>
      <c r="Z44" t="str">
        <f t="shared" si="2"/>
        <v>สแกนต่าง Cost</v>
      </c>
    </row>
    <row r="45" spans="2:26" x14ac:dyDescent="0.45">
      <c r="B45" t="s">
        <v>53</v>
      </c>
      <c r="C45">
        <v>20344551</v>
      </c>
      <c r="D45" t="s">
        <v>110</v>
      </c>
      <c r="E45" s="8">
        <v>46142.333333333336</v>
      </c>
      <c r="F45" s="8">
        <v>46142.729166666664</v>
      </c>
      <c r="G45" s="9">
        <v>8.5</v>
      </c>
      <c r="H45" s="9">
        <f t="shared" si="0"/>
        <v>4.4999999999999998E-2</v>
      </c>
      <c r="I45" s="9"/>
      <c r="J45" s="9">
        <v>4.4999999999999998E-2</v>
      </c>
      <c r="K45" s="9"/>
      <c r="L45" s="9"/>
      <c r="M45" t="s">
        <v>77</v>
      </c>
      <c r="N45" t="s">
        <v>29</v>
      </c>
      <c r="P45" t="s">
        <v>30</v>
      </c>
      <c r="Q45" t="s">
        <v>31</v>
      </c>
      <c r="R45">
        <v>82655</v>
      </c>
      <c r="S45" t="s">
        <v>59</v>
      </c>
      <c r="T45">
        <v>82664</v>
      </c>
      <c r="U45" t="s">
        <v>75</v>
      </c>
      <c r="V45" t="s">
        <v>75</v>
      </c>
      <c r="W45" t="s">
        <v>37</v>
      </c>
      <c r="X45" t="s">
        <v>111</v>
      </c>
      <c r="Y45" s="9">
        <f t="shared" si="1"/>
        <v>4.4999999999999998E-2</v>
      </c>
      <c r="Z45" t="str">
        <f t="shared" si="2"/>
        <v>สแกนต่าง Cost</v>
      </c>
    </row>
    <row r="46" spans="2:26" x14ac:dyDescent="0.45">
      <c r="B46" t="s">
        <v>53</v>
      </c>
      <c r="C46">
        <v>20344552</v>
      </c>
      <c r="D46" t="s">
        <v>112</v>
      </c>
      <c r="E46" s="8">
        <v>46142.333333333336</v>
      </c>
      <c r="F46" s="8">
        <v>46142.729166666664</v>
      </c>
      <c r="G46" s="9">
        <v>8.5</v>
      </c>
      <c r="H46" s="9">
        <f t="shared" si="0"/>
        <v>4.4999999999999998E-2</v>
      </c>
      <c r="I46" s="9"/>
      <c r="J46" s="9">
        <v>4.4999999999999998E-2</v>
      </c>
      <c r="K46" s="9"/>
      <c r="L46" s="9"/>
      <c r="M46" t="s">
        <v>77</v>
      </c>
      <c r="N46" t="s">
        <v>29</v>
      </c>
      <c r="P46" t="s">
        <v>30</v>
      </c>
      <c r="Q46" t="s">
        <v>31</v>
      </c>
      <c r="R46">
        <v>82655</v>
      </c>
      <c r="S46" t="s">
        <v>59</v>
      </c>
      <c r="T46">
        <v>82664</v>
      </c>
      <c r="U46" t="s">
        <v>75</v>
      </c>
      <c r="V46" t="s">
        <v>75</v>
      </c>
      <c r="W46" t="s">
        <v>37</v>
      </c>
      <c r="X46" t="s">
        <v>111</v>
      </c>
      <c r="Y46" s="9">
        <f t="shared" si="1"/>
        <v>4.4999999999999998E-2</v>
      </c>
      <c r="Z46" t="str">
        <f t="shared" si="2"/>
        <v>สแกนต่าง Cost</v>
      </c>
    </row>
    <row r="47" spans="2:26" x14ac:dyDescent="0.45">
      <c r="B47" t="s">
        <v>26</v>
      </c>
      <c r="C47">
        <v>20352284</v>
      </c>
      <c r="D47" t="s">
        <v>113</v>
      </c>
      <c r="E47" s="8">
        <v>46142.333333333336</v>
      </c>
      <c r="F47" s="8">
        <v>46142.729166666664</v>
      </c>
      <c r="G47" s="9">
        <v>8.5</v>
      </c>
      <c r="H47" s="9">
        <f t="shared" si="0"/>
        <v>4.4999999999999998E-2</v>
      </c>
      <c r="I47" s="9">
        <v>4.4999999999999998E-2</v>
      </c>
      <c r="J47" s="9"/>
      <c r="K47" s="9"/>
      <c r="L47" s="9"/>
      <c r="M47" t="s">
        <v>65</v>
      </c>
      <c r="N47" t="s">
        <v>29</v>
      </c>
      <c r="P47" t="s">
        <v>30</v>
      </c>
      <c r="Q47" t="s">
        <v>31</v>
      </c>
      <c r="R47">
        <v>82400</v>
      </c>
      <c r="S47" t="s">
        <v>83</v>
      </c>
      <c r="T47">
        <v>82658</v>
      </c>
      <c r="U47" t="s">
        <v>33</v>
      </c>
      <c r="V47" t="s">
        <v>33</v>
      </c>
      <c r="W47" t="s">
        <v>37</v>
      </c>
      <c r="X47" t="s">
        <v>38</v>
      </c>
      <c r="Y47" s="9">
        <f t="shared" si="1"/>
        <v>0</v>
      </c>
      <c r="Z47" t="str">
        <f t="shared" si="2"/>
        <v>สแกนต่าง Cost</v>
      </c>
    </row>
    <row r="48" spans="2:26" x14ac:dyDescent="0.45">
      <c r="B48" t="s">
        <v>26</v>
      </c>
      <c r="C48">
        <v>20352338</v>
      </c>
      <c r="D48" t="s">
        <v>114</v>
      </c>
      <c r="E48" s="8">
        <v>46142.333333333336</v>
      </c>
      <c r="F48" s="8">
        <v>46142.729166666664</v>
      </c>
      <c r="G48" s="9">
        <v>8.5</v>
      </c>
      <c r="H48" s="9">
        <f t="shared" si="0"/>
        <v>4.4999999999999998E-2</v>
      </c>
      <c r="I48" s="9">
        <v>4.4999999999999998E-2</v>
      </c>
      <c r="J48" s="9"/>
      <c r="K48" s="9"/>
      <c r="L48" s="9"/>
      <c r="M48" t="s">
        <v>65</v>
      </c>
      <c r="N48" t="s">
        <v>29</v>
      </c>
      <c r="P48" t="s">
        <v>30</v>
      </c>
      <c r="Q48" t="s">
        <v>31</v>
      </c>
      <c r="R48">
        <v>82400</v>
      </c>
      <c r="S48" t="s">
        <v>83</v>
      </c>
      <c r="T48">
        <v>82690</v>
      </c>
      <c r="U48" t="s">
        <v>90</v>
      </c>
      <c r="V48" t="s">
        <v>90</v>
      </c>
      <c r="W48" t="s">
        <v>91</v>
      </c>
      <c r="X48" t="s">
        <v>92</v>
      </c>
      <c r="Y48" s="9">
        <f t="shared" si="1"/>
        <v>0</v>
      </c>
      <c r="Z48" t="str">
        <f t="shared" si="2"/>
        <v>สแกนต่าง Cost</v>
      </c>
    </row>
    <row r="49" spans="2:26" x14ac:dyDescent="0.45">
      <c r="B49" t="s">
        <v>53</v>
      </c>
      <c r="C49">
        <v>20370709</v>
      </c>
      <c r="D49" t="s">
        <v>115</v>
      </c>
      <c r="E49" s="8">
        <v>46142.333333333336</v>
      </c>
      <c r="F49" s="8">
        <v>46142.717361111114</v>
      </c>
      <c r="G49" s="9">
        <v>8.2166666666666668</v>
      </c>
      <c r="H49" s="9">
        <f t="shared" si="0"/>
        <v>4.3999999999999997E-2</v>
      </c>
      <c r="I49" s="9">
        <v>4.3999999999999997E-2</v>
      </c>
      <c r="J49" s="9"/>
      <c r="K49" s="9"/>
      <c r="L49" s="9"/>
      <c r="M49" t="s">
        <v>65</v>
      </c>
      <c r="N49" t="s">
        <v>29</v>
      </c>
      <c r="P49" t="s">
        <v>30</v>
      </c>
      <c r="Q49" t="s">
        <v>31</v>
      </c>
      <c r="R49">
        <v>82630</v>
      </c>
      <c r="S49" t="s">
        <v>32</v>
      </c>
      <c r="T49">
        <v>82664</v>
      </c>
      <c r="U49" t="s">
        <v>75</v>
      </c>
      <c r="V49" t="s">
        <v>75</v>
      </c>
      <c r="W49" t="s">
        <v>37</v>
      </c>
      <c r="X49" t="s">
        <v>86</v>
      </c>
      <c r="Y49" s="9">
        <f t="shared" si="1"/>
        <v>0</v>
      </c>
      <c r="Z49" t="str">
        <f t="shared" si="2"/>
        <v>สแกนต่าง Cost</v>
      </c>
    </row>
    <row r="50" spans="2:26" x14ac:dyDescent="0.45">
      <c r="B50" t="s">
        <v>26</v>
      </c>
      <c r="C50">
        <v>20372079</v>
      </c>
      <c r="D50" t="s">
        <v>116</v>
      </c>
      <c r="E50" s="8">
        <v>46142.333333333336</v>
      </c>
      <c r="F50" s="8">
        <v>46142.729166666664</v>
      </c>
      <c r="G50" s="9">
        <v>8.5</v>
      </c>
      <c r="H50" s="9">
        <f t="shared" si="0"/>
        <v>4.4999999999999998E-2</v>
      </c>
      <c r="I50" s="9">
        <v>4.4999999999999998E-2</v>
      </c>
      <c r="J50" s="9"/>
      <c r="K50" s="9"/>
      <c r="L50" s="9"/>
      <c r="M50" t="s">
        <v>65</v>
      </c>
      <c r="N50" t="s">
        <v>29</v>
      </c>
      <c r="P50" t="s">
        <v>30</v>
      </c>
      <c r="Q50" t="s">
        <v>31</v>
      </c>
      <c r="R50">
        <v>82400</v>
      </c>
      <c r="S50" t="s">
        <v>83</v>
      </c>
      <c r="T50">
        <v>82690</v>
      </c>
      <c r="U50" t="s">
        <v>90</v>
      </c>
      <c r="V50" t="s">
        <v>90</v>
      </c>
      <c r="W50" t="s">
        <v>91</v>
      </c>
      <c r="X50" t="s">
        <v>92</v>
      </c>
      <c r="Y50" s="9">
        <f t="shared" si="1"/>
        <v>0</v>
      </c>
      <c r="Z50" t="str">
        <f t="shared" si="2"/>
        <v>สแกนต่าง Cost</v>
      </c>
    </row>
    <row r="51" spans="2:26" x14ac:dyDescent="0.45">
      <c r="B51" t="s">
        <v>26</v>
      </c>
      <c r="C51">
        <v>20372080</v>
      </c>
      <c r="D51" t="s">
        <v>117</v>
      </c>
      <c r="E51" s="8">
        <v>46142.333333333336</v>
      </c>
      <c r="F51" s="8">
        <v>46142.729166666664</v>
      </c>
      <c r="G51" s="9">
        <v>8.5</v>
      </c>
      <c r="H51" s="9">
        <f t="shared" si="0"/>
        <v>4.4999999999999998E-2</v>
      </c>
      <c r="I51" s="9">
        <v>4.4999999999999998E-2</v>
      </c>
      <c r="J51" s="9"/>
      <c r="K51" s="9"/>
      <c r="L51" s="9"/>
      <c r="M51" t="s">
        <v>65</v>
      </c>
      <c r="N51" t="s">
        <v>29</v>
      </c>
      <c r="P51" t="s">
        <v>30</v>
      </c>
      <c r="Q51" t="s">
        <v>31</v>
      </c>
      <c r="R51">
        <v>82400</v>
      </c>
      <c r="S51" t="s">
        <v>83</v>
      </c>
      <c r="T51">
        <v>82690</v>
      </c>
      <c r="U51" t="s">
        <v>90</v>
      </c>
      <c r="V51" t="s">
        <v>90</v>
      </c>
      <c r="W51" t="s">
        <v>91</v>
      </c>
      <c r="X51" t="s">
        <v>92</v>
      </c>
      <c r="Y51" s="9">
        <f t="shared" si="1"/>
        <v>0</v>
      </c>
      <c r="Z51" t="str">
        <f t="shared" si="2"/>
        <v>สแกนต่าง Cost</v>
      </c>
    </row>
    <row r="52" spans="2:26" x14ac:dyDescent="0.45">
      <c r="B52" t="s">
        <v>26</v>
      </c>
      <c r="C52">
        <v>20382170</v>
      </c>
      <c r="D52" t="s">
        <v>118</v>
      </c>
      <c r="E52" s="8">
        <v>46142.333333333336</v>
      </c>
      <c r="F52" s="8">
        <v>46142.729166666664</v>
      </c>
      <c r="G52" s="9">
        <v>8.5</v>
      </c>
      <c r="H52" s="9">
        <f t="shared" si="0"/>
        <v>4.4999999999999998E-2</v>
      </c>
      <c r="I52" s="9">
        <v>4.4999999999999998E-2</v>
      </c>
      <c r="J52" s="9"/>
      <c r="K52" s="9"/>
      <c r="L52" s="9"/>
      <c r="M52" t="s">
        <v>65</v>
      </c>
      <c r="N52" t="s">
        <v>29</v>
      </c>
      <c r="P52" t="s">
        <v>30</v>
      </c>
      <c r="Q52" t="s">
        <v>31</v>
      </c>
      <c r="R52">
        <v>82400</v>
      </c>
      <c r="S52" t="s">
        <v>83</v>
      </c>
      <c r="T52">
        <v>82690</v>
      </c>
      <c r="U52" t="s">
        <v>90</v>
      </c>
      <c r="V52" t="s">
        <v>90</v>
      </c>
      <c r="W52" t="s">
        <v>91</v>
      </c>
      <c r="X52" t="s">
        <v>92</v>
      </c>
      <c r="Y52" s="9">
        <f t="shared" si="1"/>
        <v>0</v>
      </c>
      <c r="Z52" t="str">
        <f t="shared" si="2"/>
        <v>สแกนต่าง Cost</v>
      </c>
    </row>
    <row r="53" spans="2:26" x14ac:dyDescent="0.45">
      <c r="B53" t="s">
        <v>26</v>
      </c>
      <c r="C53">
        <v>20382171</v>
      </c>
      <c r="D53" t="s">
        <v>119</v>
      </c>
      <c r="E53" s="8">
        <v>46142.333333333336</v>
      </c>
      <c r="F53" s="8">
        <v>46142.729166666664</v>
      </c>
      <c r="G53" s="9">
        <v>8.5</v>
      </c>
      <c r="H53" s="9">
        <f t="shared" si="0"/>
        <v>4.4999999999999998E-2</v>
      </c>
      <c r="I53" s="9">
        <v>4.4999999999999998E-2</v>
      </c>
      <c r="J53" s="9"/>
      <c r="K53" s="9"/>
      <c r="L53" s="9"/>
      <c r="M53" t="s">
        <v>65</v>
      </c>
      <c r="N53" t="s">
        <v>29</v>
      </c>
      <c r="P53" t="s">
        <v>30</v>
      </c>
      <c r="Q53" t="s">
        <v>31</v>
      </c>
      <c r="R53">
        <v>82400</v>
      </c>
      <c r="S53" t="s">
        <v>83</v>
      </c>
      <c r="T53">
        <v>82690</v>
      </c>
      <c r="U53" t="s">
        <v>90</v>
      </c>
      <c r="V53" t="s">
        <v>90</v>
      </c>
      <c r="W53" t="s">
        <v>91</v>
      </c>
      <c r="X53" t="s">
        <v>92</v>
      </c>
      <c r="Y53" s="9">
        <f t="shared" si="1"/>
        <v>0</v>
      </c>
      <c r="Z53" t="str">
        <f t="shared" si="2"/>
        <v>สแกนต่าง Cost</v>
      </c>
    </row>
    <row r="54" spans="2:26" x14ac:dyDescent="0.45">
      <c r="B54" t="s">
        <v>53</v>
      </c>
      <c r="C54">
        <v>20391063</v>
      </c>
      <c r="D54" t="s">
        <v>120</v>
      </c>
      <c r="E54" s="8">
        <v>46142.333333333336</v>
      </c>
      <c r="F54" s="8">
        <v>46142.717361111114</v>
      </c>
      <c r="G54" s="9">
        <v>8.2166666666666668</v>
      </c>
      <c r="H54" s="9">
        <f t="shared" si="0"/>
        <v>4.3999999999999997E-2</v>
      </c>
      <c r="I54" s="9">
        <v>4.3999999999999997E-2</v>
      </c>
      <c r="J54" s="9"/>
      <c r="K54" s="9"/>
      <c r="L54" s="9"/>
      <c r="M54" t="s">
        <v>65</v>
      </c>
      <c r="N54" t="s">
        <v>29</v>
      </c>
      <c r="P54" t="s">
        <v>30</v>
      </c>
      <c r="Q54" t="s">
        <v>31</v>
      </c>
      <c r="R54">
        <v>82630</v>
      </c>
      <c r="S54" t="s">
        <v>32</v>
      </c>
      <c r="T54">
        <v>82664</v>
      </c>
      <c r="U54" t="s">
        <v>75</v>
      </c>
      <c r="V54" t="s">
        <v>75</v>
      </c>
      <c r="W54" t="s">
        <v>37</v>
      </c>
      <c r="X54" t="s">
        <v>86</v>
      </c>
      <c r="Y54" s="9">
        <f t="shared" si="1"/>
        <v>0</v>
      </c>
      <c r="Z54" t="str">
        <f t="shared" si="2"/>
        <v>สแกนต่าง Cost</v>
      </c>
    </row>
    <row r="55" spans="2:26" x14ac:dyDescent="0.45">
      <c r="B55" t="s">
        <v>53</v>
      </c>
      <c r="C55">
        <v>20391064</v>
      </c>
      <c r="D55" t="s">
        <v>121</v>
      </c>
      <c r="E55" s="8">
        <v>46142.333333333336</v>
      </c>
      <c r="F55" s="8">
        <v>46142.717361111114</v>
      </c>
      <c r="G55" s="9">
        <v>8.2166666666666668</v>
      </c>
      <c r="H55" s="9">
        <f t="shared" si="0"/>
        <v>4.3999999999999997E-2</v>
      </c>
      <c r="I55" s="9">
        <v>4.3999999999999997E-2</v>
      </c>
      <c r="J55" s="9"/>
      <c r="K55" s="9"/>
      <c r="L55" s="9"/>
      <c r="M55" t="s">
        <v>65</v>
      </c>
      <c r="N55" t="s">
        <v>29</v>
      </c>
      <c r="P55" t="s">
        <v>30</v>
      </c>
      <c r="Q55" t="s">
        <v>31</v>
      </c>
      <c r="R55">
        <v>82630</v>
      </c>
      <c r="S55" t="s">
        <v>32</v>
      </c>
      <c r="T55">
        <v>82664</v>
      </c>
      <c r="U55" t="s">
        <v>75</v>
      </c>
      <c r="V55" t="s">
        <v>75</v>
      </c>
      <c r="W55" t="s">
        <v>37</v>
      </c>
      <c r="X55" t="s">
        <v>86</v>
      </c>
      <c r="Y55" s="9">
        <f t="shared" si="1"/>
        <v>0</v>
      </c>
      <c r="Z55" t="str">
        <f t="shared" si="2"/>
        <v>สแกนต่าง Cost</v>
      </c>
    </row>
    <row r="56" spans="2:26" x14ac:dyDescent="0.45">
      <c r="B56" t="s">
        <v>26</v>
      </c>
      <c r="C56">
        <v>20403191</v>
      </c>
      <c r="D56" t="s">
        <v>122</v>
      </c>
      <c r="E56" s="8">
        <v>46142.333333333336</v>
      </c>
      <c r="F56" s="8">
        <v>46142.729166666664</v>
      </c>
      <c r="G56" s="9">
        <v>8.5</v>
      </c>
      <c r="H56" s="9">
        <f t="shared" si="0"/>
        <v>4.4999999999999998E-2</v>
      </c>
      <c r="I56" s="9">
        <v>4.4999999999999998E-2</v>
      </c>
      <c r="J56" s="9"/>
      <c r="K56" s="9"/>
      <c r="L56" s="9"/>
      <c r="M56" t="s">
        <v>48</v>
      </c>
      <c r="N56" t="s">
        <v>48</v>
      </c>
      <c r="P56" t="s">
        <v>30</v>
      </c>
      <c r="Q56" t="s">
        <v>31</v>
      </c>
      <c r="R56">
        <v>82400</v>
      </c>
      <c r="S56" t="s">
        <v>83</v>
      </c>
      <c r="T56">
        <v>82690</v>
      </c>
      <c r="U56" t="s">
        <v>90</v>
      </c>
      <c r="V56" t="s">
        <v>90</v>
      </c>
      <c r="W56" t="s">
        <v>91</v>
      </c>
      <c r="X56" t="s">
        <v>92</v>
      </c>
      <c r="Y56" s="9">
        <f t="shared" si="1"/>
        <v>0</v>
      </c>
      <c r="Z56" t="str">
        <f t="shared" si="2"/>
        <v>สแกนต่าง Cost</v>
      </c>
    </row>
    <row r="57" spans="2:26" x14ac:dyDescent="0.45">
      <c r="B57" t="s">
        <v>26</v>
      </c>
      <c r="C57">
        <v>20403192</v>
      </c>
      <c r="D57" t="s">
        <v>123</v>
      </c>
      <c r="E57" s="8">
        <v>46142.333333333336</v>
      </c>
      <c r="F57" s="8">
        <v>46142.729166666664</v>
      </c>
      <c r="G57" s="9">
        <v>8.5</v>
      </c>
      <c r="H57" s="9">
        <f t="shared" si="0"/>
        <v>4.4999999999999998E-2</v>
      </c>
      <c r="I57" s="9">
        <v>4.4999999999999998E-2</v>
      </c>
      <c r="J57" s="9"/>
      <c r="K57" s="9"/>
      <c r="L57" s="9"/>
      <c r="M57" t="s">
        <v>48</v>
      </c>
      <c r="N57" t="s">
        <v>48</v>
      </c>
      <c r="P57" t="s">
        <v>30</v>
      </c>
      <c r="Q57" t="s">
        <v>31</v>
      </c>
      <c r="R57">
        <v>82400</v>
      </c>
      <c r="S57" t="s">
        <v>83</v>
      </c>
      <c r="T57">
        <v>82690</v>
      </c>
      <c r="U57" t="s">
        <v>90</v>
      </c>
      <c r="V57" t="s">
        <v>90</v>
      </c>
      <c r="W57" t="s">
        <v>91</v>
      </c>
      <c r="X57" t="s">
        <v>92</v>
      </c>
      <c r="Y57" s="9">
        <f t="shared" si="1"/>
        <v>0</v>
      </c>
      <c r="Z57" t="str">
        <f t="shared" si="2"/>
        <v>สแกนต่าง Cost</v>
      </c>
    </row>
    <row r="58" spans="2:26" x14ac:dyDescent="0.45">
      <c r="B58" t="s">
        <v>26</v>
      </c>
      <c r="C58">
        <v>20403252</v>
      </c>
      <c r="D58" t="s">
        <v>124</v>
      </c>
      <c r="E58" s="8">
        <v>46142.333333333336</v>
      </c>
      <c r="F58" s="8">
        <v>46142.729166666664</v>
      </c>
      <c r="G58" s="9">
        <v>8.5</v>
      </c>
      <c r="H58" s="9">
        <f t="shared" si="0"/>
        <v>4.4999999999999998E-2</v>
      </c>
      <c r="I58" s="9">
        <v>4.4999999999999998E-2</v>
      </c>
      <c r="J58" s="9"/>
      <c r="K58" s="9"/>
      <c r="L58" s="9"/>
      <c r="M58" t="s">
        <v>48</v>
      </c>
      <c r="N58" t="s">
        <v>48</v>
      </c>
      <c r="P58" t="s">
        <v>30</v>
      </c>
      <c r="Q58" t="s">
        <v>31</v>
      </c>
      <c r="R58">
        <v>82400</v>
      </c>
      <c r="S58" t="s">
        <v>83</v>
      </c>
      <c r="T58">
        <v>82690</v>
      </c>
      <c r="U58" t="s">
        <v>90</v>
      </c>
      <c r="V58" t="s">
        <v>90</v>
      </c>
      <c r="W58" t="s">
        <v>91</v>
      </c>
      <c r="X58" t="s">
        <v>92</v>
      </c>
      <c r="Y58" s="9">
        <f t="shared" si="1"/>
        <v>0</v>
      </c>
      <c r="Z58" t="str">
        <f t="shared" si="2"/>
        <v>สแกนต่าง Cost</v>
      </c>
    </row>
    <row r="59" spans="2:26" x14ac:dyDescent="0.45">
      <c r="B59" t="s">
        <v>26</v>
      </c>
      <c r="C59">
        <v>20403253</v>
      </c>
      <c r="D59" t="s">
        <v>125</v>
      </c>
      <c r="E59" s="8">
        <v>46142.333333333336</v>
      </c>
      <c r="F59" s="8">
        <v>46142.708333333336</v>
      </c>
      <c r="G59" s="9">
        <v>8</v>
      </c>
      <c r="H59" s="9">
        <f t="shared" si="0"/>
        <v>4.2999999999999997E-2</v>
      </c>
      <c r="I59" s="9">
        <v>4.2999999999999997E-2</v>
      </c>
      <c r="J59" s="9"/>
      <c r="K59" s="9"/>
      <c r="L59" s="9"/>
      <c r="M59" t="s">
        <v>48</v>
      </c>
      <c r="N59" t="s">
        <v>48</v>
      </c>
      <c r="P59" t="s">
        <v>30</v>
      </c>
      <c r="Q59" t="s">
        <v>31</v>
      </c>
      <c r="R59">
        <v>82400</v>
      </c>
      <c r="S59" t="s">
        <v>83</v>
      </c>
      <c r="T59">
        <v>82690</v>
      </c>
      <c r="U59" t="s">
        <v>90</v>
      </c>
      <c r="V59" t="s">
        <v>90</v>
      </c>
      <c r="W59" t="s">
        <v>91</v>
      </c>
      <c r="X59" t="s">
        <v>92</v>
      </c>
      <c r="Y59" s="9">
        <f t="shared" si="1"/>
        <v>0</v>
      </c>
      <c r="Z59" t="str">
        <f t="shared" si="2"/>
        <v>สแกนต่าง Cost</v>
      </c>
    </row>
    <row r="60" spans="2:26" x14ac:dyDescent="0.45">
      <c r="B60" t="s">
        <v>26</v>
      </c>
      <c r="C60">
        <v>20403254</v>
      </c>
      <c r="D60" t="s">
        <v>126</v>
      </c>
      <c r="E60" s="8">
        <v>46142.333333333336</v>
      </c>
      <c r="F60" s="8">
        <v>46142.708333333336</v>
      </c>
      <c r="G60" s="9">
        <v>8</v>
      </c>
      <c r="H60" s="9">
        <f t="shared" si="0"/>
        <v>4.2999999999999997E-2</v>
      </c>
      <c r="I60" s="9">
        <v>4.2999999999999997E-2</v>
      </c>
      <c r="J60" s="9"/>
      <c r="K60" s="9"/>
      <c r="L60" s="9"/>
      <c r="M60" t="s">
        <v>48</v>
      </c>
      <c r="N60" t="s">
        <v>48</v>
      </c>
      <c r="P60" t="s">
        <v>30</v>
      </c>
      <c r="Q60" t="s">
        <v>31</v>
      </c>
      <c r="R60">
        <v>82400</v>
      </c>
      <c r="S60" t="s">
        <v>83</v>
      </c>
      <c r="T60">
        <v>82690</v>
      </c>
      <c r="U60" t="s">
        <v>90</v>
      </c>
      <c r="V60" t="s">
        <v>90</v>
      </c>
      <c r="W60" t="s">
        <v>91</v>
      </c>
      <c r="X60" t="s">
        <v>92</v>
      </c>
      <c r="Y60" s="9">
        <f t="shared" si="1"/>
        <v>0</v>
      </c>
      <c r="Z60" t="str">
        <f t="shared" si="2"/>
        <v>สแกนต่าง Cost</v>
      </c>
    </row>
    <row r="61" spans="2:26" x14ac:dyDescent="0.45">
      <c r="B61" t="s">
        <v>53</v>
      </c>
      <c r="C61">
        <v>20267288</v>
      </c>
      <c r="D61" t="s">
        <v>127</v>
      </c>
      <c r="E61" s="8">
        <v>46142.332638888889</v>
      </c>
      <c r="F61" s="8">
        <v>46142.729166666664</v>
      </c>
      <c r="G61" s="9">
        <v>8.5166666666666675</v>
      </c>
      <c r="H61" s="9">
        <f t="shared" si="0"/>
        <v>4.5999999999999999E-2</v>
      </c>
      <c r="I61" s="9">
        <v>4.5999999999999999E-2</v>
      </c>
      <c r="J61" s="9"/>
      <c r="K61" s="9"/>
      <c r="L61" s="9"/>
      <c r="M61" t="s">
        <v>65</v>
      </c>
      <c r="N61" t="s">
        <v>29</v>
      </c>
      <c r="P61" t="s">
        <v>30</v>
      </c>
      <c r="Q61" t="s">
        <v>31</v>
      </c>
      <c r="R61">
        <v>82409</v>
      </c>
      <c r="S61" t="s">
        <v>74</v>
      </c>
      <c r="T61">
        <v>82664</v>
      </c>
      <c r="U61" t="s">
        <v>75</v>
      </c>
      <c r="V61" t="s">
        <v>75</v>
      </c>
      <c r="W61" t="s">
        <v>74</v>
      </c>
      <c r="X61" t="s">
        <v>74</v>
      </c>
      <c r="Y61" s="9">
        <f t="shared" si="1"/>
        <v>0</v>
      </c>
      <c r="Z61" t="str">
        <f t="shared" si="2"/>
        <v>สแกนต่าง Cost</v>
      </c>
    </row>
    <row r="62" spans="2:26" x14ac:dyDescent="0.45">
      <c r="B62" t="s">
        <v>53</v>
      </c>
      <c r="C62">
        <v>20162724</v>
      </c>
      <c r="D62" t="s">
        <v>128</v>
      </c>
      <c r="E62" s="8">
        <v>46142.331944444442</v>
      </c>
      <c r="F62" s="8">
        <v>46142.729166666664</v>
      </c>
      <c r="G62" s="9">
        <v>9.5333333333333332</v>
      </c>
      <c r="H62" s="9">
        <f t="shared" si="0"/>
        <v>5.0999999999999997E-2</v>
      </c>
      <c r="I62" s="9">
        <v>4.4999999999999998E-2</v>
      </c>
      <c r="J62" s="9"/>
      <c r="K62" s="9">
        <v>6.0000000000000001E-3</v>
      </c>
      <c r="L62" s="9"/>
      <c r="M62" t="s">
        <v>28</v>
      </c>
      <c r="N62" t="s">
        <v>29</v>
      </c>
      <c r="P62" t="s">
        <v>30</v>
      </c>
      <c r="Q62" t="s">
        <v>31</v>
      </c>
      <c r="R62">
        <v>82658</v>
      </c>
      <c r="S62" t="s">
        <v>33</v>
      </c>
      <c r="T62">
        <v>82664</v>
      </c>
      <c r="U62" t="s">
        <v>75</v>
      </c>
      <c r="V62" t="s">
        <v>75</v>
      </c>
      <c r="W62" t="s">
        <v>37</v>
      </c>
      <c r="X62" t="s">
        <v>111</v>
      </c>
      <c r="Y62" s="9">
        <f t="shared" si="1"/>
        <v>6.0000000000000001E-3</v>
      </c>
      <c r="Z62" t="str">
        <f t="shared" si="2"/>
        <v>สแกนต่าง Cost</v>
      </c>
    </row>
    <row r="63" spans="2:26" x14ac:dyDescent="0.45">
      <c r="B63" t="s">
        <v>53</v>
      </c>
      <c r="C63">
        <v>20198835</v>
      </c>
      <c r="D63" t="s">
        <v>129</v>
      </c>
      <c r="E63" s="8">
        <v>46142.331944444442</v>
      </c>
      <c r="F63" s="8">
        <v>46142.729166666664</v>
      </c>
      <c r="G63" s="9">
        <v>8.5333333333333332</v>
      </c>
      <c r="H63" s="9">
        <f t="shared" si="0"/>
        <v>4.5999999999999999E-2</v>
      </c>
      <c r="I63" s="9">
        <v>4.5999999999999999E-2</v>
      </c>
      <c r="J63" s="9"/>
      <c r="K63" s="9"/>
      <c r="L63" s="9"/>
      <c r="M63" t="s">
        <v>65</v>
      </c>
      <c r="N63" t="s">
        <v>29</v>
      </c>
      <c r="P63" t="s">
        <v>30</v>
      </c>
      <c r="Q63" t="s">
        <v>31</v>
      </c>
      <c r="R63">
        <v>82658</v>
      </c>
      <c r="S63" t="s">
        <v>33</v>
      </c>
      <c r="T63">
        <v>82664</v>
      </c>
      <c r="U63" t="s">
        <v>75</v>
      </c>
      <c r="V63" t="s">
        <v>75</v>
      </c>
      <c r="W63" t="s">
        <v>37</v>
      </c>
      <c r="X63" t="s">
        <v>111</v>
      </c>
      <c r="Y63" s="9">
        <f t="shared" si="1"/>
        <v>0</v>
      </c>
      <c r="Z63" t="str">
        <f t="shared" si="2"/>
        <v>สแกนต่าง Cost</v>
      </c>
    </row>
    <row r="64" spans="2:26" x14ac:dyDescent="0.45">
      <c r="B64" t="s">
        <v>53</v>
      </c>
      <c r="C64">
        <v>20372709</v>
      </c>
      <c r="D64" t="s">
        <v>130</v>
      </c>
      <c r="E64" s="8">
        <v>46142.331944444442</v>
      </c>
      <c r="F64" s="8">
        <v>46142.729166666664</v>
      </c>
      <c r="G64" s="9">
        <v>8.5333333333333332</v>
      </c>
      <c r="H64" s="9">
        <f t="shared" si="0"/>
        <v>4.5999999999999999E-2</v>
      </c>
      <c r="I64" s="9">
        <v>4.5999999999999999E-2</v>
      </c>
      <c r="J64" s="9"/>
      <c r="K64" s="9"/>
      <c r="L64" s="9"/>
      <c r="M64" t="s">
        <v>65</v>
      </c>
      <c r="N64" t="s">
        <v>29</v>
      </c>
      <c r="P64" t="s">
        <v>30</v>
      </c>
      <c r="Q64" t="s">
        <v>31</v>
      </c>
      <c r="R64">
        <v>82658</v>
      </c>
      <c r="S64" t="s">
        <v>33</v>
      </c>
      <c r="T64">
        <v>82664</v>
      </c>
      <c r="U64" t="s">
        <v>75</v>
      </c>
      <c r="V64" t="s">
        <v>75</v>
      </c>
      <c r="W64" t="s">
        <v>37</v>
      </c>
      <c r="X64" t="s">
        <v>111</v>
      </c>
      <c r="Y64" s="9">
        <f t="shared" si="1"/>
        <v>0</v>
      </c>
      <c r="Z64" t="str">
        <f t="shared" si="2"/>
        <v>สแกนต่าง Cost</v>
      </c>
    </row>
    <row r="65" spans="1:26" x14ac:dyDescent="0.45">
      <c r="B65" t="s">
        <v>26</v>
      </c>
      <c r="C65">
        <v>20399650</v>
      </c>
      <c r="D65" t="s">
        <v>48</v>
      </c>
      <c r="E65" s="8">
        <v>46142.331944444442</v>
      </c>
      <c r="F65" s="8">
        <v>46142.729166666664</v>
      </c>
      <c r="G65" s="9">
        <v>8.5333333333333332</v>
      </c>
      <c r="H65" s="9">
        <f t="shared" si="0"/>
        <v>4.5999999999999999E-2</v>
      </c>
      <c r="I65" s="9">
        <v>4.5999999999999999E-2</v>
      </c>
      <c r="J65" s="9"/>
      <c r="K65" s="9"/>
      <c r="L65" s="9"/>
      <c r="M65" t="s">
        <v>65</v>
      </c>
      <c r="N65" t="s">
        <v>29</v>
      </c>
      <c r="P65" t="s">
        <v>30</v>
      </c>
      <c r="Q65" t="s">
        <v>31</v>
      </c>
      <c r="R65">
        <v>82640</v>
      </c>
      <c r="S65" t="s">
        <v>42</v>
      </c>
      <c r="T65">
        <v>82658</v>
      </c>
      <c r="U65" t="s">
        <v>33</v>
      </c>
      <c r="V65" t="s">
        <v>33</v>
      </c>
      <c r="W65" t="s">
        <v>37</v>
      </c>
      <c r="X65" t="s">
        <v>38</v>
      </c>
      <c r="Y65" s="9">
        <f t="shared" si="1"/>
        <v>0</v>
      </c>
      <c r="Z65" t="str">
        <f t="shared" si="2"/>
        <v>สแกนต่าง Cost</v>
      </c>
    </row>
    <row r="66" spans="1:26" x14ac:dyDescent="0.45">
      <c r="A66">
        <v>27317</v>
      </c>
      <c r="B66" t="s">
        <v>53</v>
      </c>
      <c r="C66">
        <v>20076436</v>
      </c>
      <c r="D66" t="s">
        <v>131</v>
      </c>
      <c r="E66" s="8">
        <v>46142.331250000003</v>
      </c>
      <c r="F66" s="8">
        <v>46142.729166666664</v>
      </c>
      <c r="G66" s="9">
        <v>8.5500000000000007</v>
      </c>
      <c r="H66" s="9">
        <f t="shared" si="0"/>
        <v>4.5999999999999999E-2</v>
      </c>
      <c r="I66" s="9">
        <v>4.5999999999999999E-2</v>
      </c>
      <c r="J66" s="9"/>
      <c r="K66" s="9"/>
      <c r="L66" s="9"/>
      <c r="M66" t="s">
        <v>65</v>
      </c>
      <c r="N66" t="s">
        <v>29</v>
      </c>
      <c r="P66" t="s">
        <v>30</v>
      </c>
      <c r="Q66" t="s">
        <v>31</v>
      </c>
      <c r="R66">
        <v>82301</v>
      </c>
      <c r="S66" t="s">
        <v>79</v>
      </c>
      <c r="T66">
        <v>82308</v>
      </c>
      <c r="U66" t="s">
        <v>69</v>
      </c>
      <c r="V66" t="s">
        <v>69</v>
      </c>
      <c r="W66" t="s">
        <v>69</v>
      </c>
      <c r="X66" t="s">
        <v>95</v>
      </c>
      <c r="Y66" s="9">
        <f t="shared" si="1"/>
        <v>0</v>
      </c>
      <c r="Z66" t="str">
        <f t="shared" si="2"/>
        <v>สแกนต่าง Cost</v>
      </c>
    </row>
    <row r="67" spans="1:26" x14ac:dyDescent="0.45">
      <c r="B67" t="s">
        <v>26</v>
      </c>
      <c r="C67">
        <v>20399631</v>
      </c>
      <c r="D67" t="s">
        <v>48</v>
      </c>
      <c r="E67" s="8">
        <v>46142.331250000003</v>
      </c>
      <c r="F67" s="8">
        <v>46142.729166666664</v>
      </c>
      <c r="G67" s="9">
        <v>8.5500000000000007</v>
      </c>
      <c r="H67" s="9">
        <f t="shared" ref="H67:H130" si="3">SUM(I67:L67)</f>
        <v>4.5999999999999999E-2</v>
      </c>
      <c r="I67" s="9">
        <v>4.5999999999999999E-2</v>
      </c>
      <c r="J67" s="9"/>
      <c r="K67" s="9"/>
      <c r="L67" s="9"/>
      <c r="M67" t="s">
        <v>65</v>
      </c>
      <c r="N67" t="s">
        <v>29</v>
      </c>
      <c r="P67" t="s">
        <v>30</v>
      </c>
      <c r="Q67" t="s">
        <v>31</v>
      </c>
      <c r="R67">
        <v>82640</v>
      </c>
      <c r="S67" t="s">
        <v>42</v>
      </c>
      <c r="T67">
        <v>82658</v>
      </c>
      <c r="U67" t="s">
        <v>33</v>
      </c>
      <c r="V67" t="s">
        <v>33</v>
      </c>
      <c r="W67" t="s">
        <v>37</v>
      </c>
      <c r="X67" t="s">
        <v>38</v>
      </c>
      <c r="Y67" s="9">
        <f t="shared" ref="Y67:Y130" si="4">SUM(J67:L67)</f>
        <v>0</v>
      </c>
      <c r="Z67" t="str">
        <f t="shared" ref="Z67:Z130" si="5">IF(R67=T67,"สแกน Cost ตัวเอง","สแกนต่าง Cost")</f>
        <v>สแกนต่าง Cost</v>
      </c>
    </row>
    <row r="68" spans="1:26" x14ac:dyDescent="0.45">
      <c r="B68" t="s">
        <v>26</v>
      </c>
      <c r="C68">
        <v>20403259</v>
      </c>
      <c r="E68" s="8">
        <v>46142.331250000003</v>
      </c>
      <c r="F68" s="8">
        <v>46142.706944444442</v>
      </c>
      <c r="G68" s="9">
        <v>8.0166666666666675</v>
      </c>
      <c r="H68" s="9">
        <f t="shared" si="3"/>
        <v>4.2999999999999997E-2</v>
      </c>
      <c r="I68" s="9">
        <v>4.2999999999999997E-2</v>
      </c>
      <c r="J68" s="9"/>
      <c r="K68" s="9"/>
      <c r="L68" s="9"/>
      <c r="M68" t="s">
        <v>48</v>
      </c>
      <c r="N68" t="s">
        <v>48</v>
      </c>
      <c r="P68" t="s">
        <v>30</v>
      </c>
      <c r="R68">
        <v>82640</v>
      </c>
      <c r="T68">
        <v>82658</v>
      </c>
      <c r="U68" t="s">
        <v>33</v>
      </c>
      <c r="V68" t="s">
        <v>33</v>
      </c>
      <c r="W68" t="s">
        <v>37</v>
      </c>
      <c r="X68" t="s">
        <v>38</v>
      </c>
      <c r="Y68" s="9">
        <f t="shared" si="4"/>
        <v>0</v>
      </c>
      <c r="Z68" t="str">
        <f t="shared" si="5"/>
        <v>สแกนต่าง Cost</v>
      </c>
    </row>
    <row r="69" spans="1:26" x14ac:dyDescent="0.45">
      <c r="A69">
        <v>27316</v>
      </c>
      <c r="B69" t="s">
        <v>53</v>
      </c>
      <c r="C69">
        <v>20018611</v>
      </c>
      <c r="D69" t="s">
        <v>132</v>
      </c>
      <c r="E69" s="8">
        <v>46142.330555555556</v>
      </c>
      <c r="F69" s="8">
        <v>46142.729166666664</v>
      </c>
      <c r="G69" s="9">
        <v>8.5666666666666664</v>
      </c>
      <c r="H69" s="9">
        <f t="shared" si="3"/>
        <v>4.5999999999999999E-2</v>
      </c>
      <c r="I69" s="9">
        <v>4.5999999999999999E-2</v>
      </c>
      <c r="J69" s="9"/>
      <c r="K69" s="9"/>
      <c r="L69" s="9"/>
      <c r="M69" t="s">
        <v>65</v>
      </c>
      <c r="N69" t="s">
        <v>29</v>
      </c>
      <c r="P69" t="s">
        <v>133</v>
      </c>
      <c r="Q69" t="s">
        <v>31</v>
      </c>
      <c r="R69">
        <v>82301</v>
      </c>
      <c r="S69" t="s">
        <v>79</v>
      </c>
      <c r="T69">
        <v>82308</v>
      </c>
      <c r="U69" t="s">
        <v>69</v>
      </c>
      <c r="V69" t="s">
        <v>69</v>
      </c>
      <c r="W69" t="s">
        <v>69</v>
      </c>
      <c r="X69" t="s">
        <v>95</v>
      </c>
      <c r="Y69" s="9">
        <f t="shared" si="4"/>
        <v>0</v>
      </c>
      <c r="Z69" t="str">
        <f t="shared" si="5"/>
        <v>สแกนต่าง Cost</v>
      </c>
    </row>
    <row r="70" spans="1:26" x14ac:dyDescent="0.45">
      <c r="A70">
        <v>27315</v>
      </c>
      <c r="B70" t="s">
        <v>53</v>
      </c>
      <c r="C70">
        <v>20276269</v>
      </c>
      <c r="D70" t="s">
        <v>134</v>
      </c>
      <c r="E70" s="8">
        <v>46142.330092592594</v>
      </c>
      <c r="F70" s="8">
        <v>46142.693043981482</v>
      </c>
      <c r="G70" s="9">
        <v>7.7108333333333334</v>
      </c>
      <c r="H70" s="9">
        <f t="shared" si="3"/>
        <v>4.1000000000000002E-2</v>
      </c>
      <c r="I70" s="9">
        <v>4.1000000000000002E-2</v>
      </c>
      <c r="J70" s="9"/>
      <c r="K70" s="9"/>
      <c r="L70" s="9"/>
      <c r="M70" t="s">
        <v>65</v>
      </c>
      <c r="N70" t="s">
        <v>29</v>
      </c>
      <c r="P70" t="s">
        <v>30</v>
      </c>
      <c r="Q70" t="s">
        <v>31</v>
      </c>
      <c r="R70">
        <v>82308</v>
      </c>
      <c r="S70" t="s">
        <v>69</v>
      </c>
      <c r="T70">
        <v>82301</v>
      </c>
      <c r="U70" t="s">
        <v>79</v>
      </c>
      <c r="V70" t="s">
        <v>79</v>
      </c>
      <c r="W70" t="s">
        <v>80</v>
      </c>
      <c r="X70" t="s">
        <v>135</v>
      </c>
      <c r="Y70" s="9">
        <f t="shared" si="4"/>
        <v>0</v>
      </c>
      <c r="Z70" t="str">
        <f t="shared" si="5"/>
        <v>สแกนต่าง Cost</v>
      </c>
    </row>
    <row r="71" spans="1:26" x14ac:dyDescent="0.45">
      <c r="B71" t="s">
        <v>53</v>
      </c>
      <c r="C71">
        <v>20214280</v>
      </c>
      <c r="D71" t="s">
        <v>136</v>
      </c>
      <c r="E71" s="8">
        <v>46142.293055555558</v>
      </c>
      <c r="F71" s="8">
        <v>46142.785416666666</v>
      </c>
      <c r="G71" s="9">
        <v>11.816666666666666</v>
      </c>
      <c r="H71" s="9">
        <f t="shared" si="3"/>
        <v>6.3E-2</v>
      </c>
      <c r="I71" s="9">
        <v>4.4999999999999998E-2</v>
      </c>
      <c r="J71" s="9"/>
      <c r="K71" s="9">
        <v>1.7999999999999999E-2</v>
      </c>
      <c r="L71" s="9"/>
      <c r="M71" t="s">
        <v>28</v>
      </c>
      <c r="N71" t="s">
        <v>40</v>
      </c>
      <c r="O71" t="s">
        <v>41</v>
      </c>
      <c r="P71" t="s">
        <v>30</v>
      </c>
      <c r="Q71" t="s">
        <v>31</v>
      </c>
      <c r="R71">
        <v>82415</v>
      </c>
      <c r="S71" t="s">
        <v>137</v>
      </c>
      <c r="T71">
        <v>82664</v>
      </c>
      <c r="U71" t="s">
        <v>75</v>
      </c>
      <c r="V71" t="s">
        <v>75</v>
      </c>
      <c r="W71" t="s">
        <v>74</v>
      </c>
      <c r="X71" t="s">
        <v>74</v>
      </c>
      <c r="Y71" s="9">
        <f t="shared" si="4"/>
        <v>1.7999999999999999E-2</v>
      </c>
      <c r="Z71" t="str">
        <f t="shared" si="5"/>
        <v>สแกนต่าง Cost</v>
      </c>
    </row>
    <row r="72" spans="1:26" x14ac:dyDescent="0.45">
      <c r="B72" t="s">
        <v>53</v>
      </c>
      <c r="C72">
        <v>20054261</v>
      </c>
      <c r="D72" t="s">
        <v>138</v>
      </c>
      <c r="E72" s="8">
        <v>46141.879861111112</v>
      </c>
      <c r="F72" s="8">
        <v>46142.295138888891</v>
      </c>
      <c r="G72" s="9">
        <v>8.9666666666666668</v>
      </c>
      <c r="H72" s="9">
        <f t="shared" si="3"/>
        <v>4.8000000000000001E-2</v>
      </c>
      <c r="I72" s="9">
        <v>4.8000000000000001E-2</v>
      </c>
      <c r="J72" s="9"/>
      <c r="K72" s="9"/>
      <c r="L72" s="9"/>
      <c r="M72" t="s">
        <v>65</v>
      </c>
      <c r="N72" t="s">
        <v>29</v>
      </c>
      <c r="P72" t="s">
        <v>133</v>
      </c>
      <c r="Q72" t="s">
        <v>31</v>
      </c>
      <c r="R72">
        <v>82415</v>
      </c>
      <c r="S72" t="s">
        <v>137</v>
      </c>
      <c r="T72">
        <v>82664</v>
      </c>
      <c r="U72" t="s">
        <v>75</v>
      </c>
      <c r="V72" t="s">
        <v>75</v>
      </c>
      <c r="W72" t="s">
        <v>74</v>
      </c>
      <c r="X72" t="s">
        <v>74</v>
      </c>
      <c r="Y72" s="9">
        <f t="shared" si="4"/>
        <v>0</v>
      </c>
      <c r="Z72" t="str">
        <f t="shared" si="5"/>
        <v>สแกนต่าง Cost</v>
      </c>
    </row>
    <row r="73" spans="1:26" x14ac:dyDescent="0.45">
      <c r="B73" t="s">
        <v>26</v>
      </c>
      <c r="C73">
        <v>20026156</v>
      </c>
      <c r="D73" t="s">
        <v>27</v>
      </c>
      <c r="E73" s="8">
        <v>46141.842361111114</v>
      </c>
      <c r="F73" s="8">
        <v>46142.326388888891</v>
      </c>
      <c r="G73" s="9">
        <v>11.616666666666667</v>
      </c>
      <c r="H73" s="9">
        <f t="shared" si="3"/>
        <v>6.2E-2</v>
      </c>
      <c r="I73" s="9">
        <v>4.4999999999999998E-2</v>
      </c>
      <c r="J73" s="9"/>
      <c r="K73" s="9">
        <v>1.7000000000000001E-2</v>
      </c>
      <c r="L73" s="9"/>
      <c r="M73" t="s">
        <v>28</v>
      </c>
      <c r="N73" t="s">
        <v>29</v>
      </c>
      <c r="P73" t="s">
        <v>30</v>
      </c>
      <c r="Q73" t="s">
        <v>31</v>
      </c>
      <c r="R73">
        <v>82630</v>
      </c>
      <c r="S73" t="s">
        <v>32</v>
      </c>
      <c r="T73">
        <v>82658</v>
      </c>
      <c r="U73" t="s">
        <v>33</v>
      </c>
      <c r="V73" t="s">
        <v>33</v>
      </c>
      <c r="W73" t="s">
        <v>34</v>
      </c>
      <c r="X73" t="s">
        <v>34</v>
      </c>
      <c r="Y73" s="9">
        <f t="shared" si="4"/>
        <v>1.7000000000000001E-2</v>
      </c>
      <c r="Z73" t="str">
        <f t="shared" si="5"/>
        <v>สแกนต่าง Cost</v>
      </c>
    </row>
    <row r="74" spans="1:26" x14ac:dyDescent="0.45">
      <c r="B74" t="s">
        <v>26</v>
      </c>
      <c r="C74">
        <v>20198721</v>
      </c>
      <c r="D74" t="s">
        <v>35</v>
      </c>
      <c r="E74" s="8">
        <v>46141.842361111114</v>
      </c>
      <c r="F74" s="8">
        <v>46142.326388888891</v>
      </c>
      <c r="G74" s="9">
        <v>11.616666666666667</v>
      </c>
      <c r="H74" s="9">
        <f t="shared" si="3"/>
        <v>6.2E-2</v>
      </c>
      <c r="I74" s="9">
        <v>4.4999999999999998E-2</v>
      </c>
      <c r="J74" s="9"/>
      <c r="K74" s="9">
        <v>1.7000000000000001E-2</v>
      </c>
      <c r="L74" s="9"/>
      <c r="M74" t="s">
        <v>28</v>
      </c>
      <c r="N74" t="s">
        <v>29</v>
      </c>
      <c r="P74" t="s">
        <v>30</v>
      </c>
      <c r="Q74" t="s">
        <v>31</v>
      </c>
      <c r="R74">
        <v>82630</v>
      </c>
      <c r="S74" t="s">
        <v>32</v>
      </c>
      <c r="T74">
        <v>82658</v>
      </c>
      <c r="U74" t="s">
        <v>33</v>
      </c>
      <c r="V74" t="s">
        <v>33</v>
      </c>
      <c r="W74" t="s">
        <v>34</v>
      </c>
      <c r="X74" t="s">
        <v>34</v>
      </c>
      <c r="Y74" s="9">
        <f t="shared" si="4"/>
        <v>1.7000000000000001E-2</v>
      </c>
      <c r="Z74" t="str">
        <f t="shared" si="5"/>
        <v>สแกนต่าง Cost</v>
      </c>
    </row>
    <row r="75" spans="1:26" x14ac:dyDescent="0.45">
      <c r="B75" t="s">
        <v>26</v>
      </c>
      <c r="C75">
        <v>20319535</v>
      </c>
      <c r="D75" t="s">
        <v>36</v>
      </c>
      <c r="E75" s="8">
        <v>46141.836805555555</v>
      </c>
      <c r="F75" s="8">
        <v>46142.326388888891</v>
      </c>
      <c r="G75" s="9">
        <v>11.75</v>
      </c>
      <c r="H75" s="9">
        <f t="shared" si="3"/>
        <v>6.2E-2</v>
      </c>
      <c r="I75" s="9">
        <v>4.4999999999999998E-2</v>
      </c>
      <c r="J75" s="9"/>
      <c r="K75" s="9">
        <v>1.7000000000000001E-2</v>
      </c>
      <c r="L75" s="9"/>
      <c r="M75" t="s">
        <v>28</v>
      </c>
      <c r="N75" t="s">
        <v>29</v>
      </c>
      <c r="P75" t="s">
        <v>30</v>
      </c>
      <c r="Q75" t="s">
        <v>31</v>
      </c>
      <c r="R75">
        <v>82630</v>
      </c>
      <c r="S75" t="s">
        <v>32</v>
      </c>
      <c r="T75">
        <v>82658</v>
      </c>
      <c r="U75" t="s">
        <v>33</v>
      </c>
      <c r="V75" t="s">
        <v>33</v>
      </c>
      <c r="W75" t="s">
        <v>37</v>
      </c>
      <c r="X75" t="s">
        <v>38</v>
      </c>
      <c r="Y75" s="9">
        <f t="shared" si="4"/>
        <v>1.7000000000000001E-2</v>
      </c>
      <c r="Z75" t="str">
        <f t="shared" si="5"/>
        <v>สแกนต่าง Cost</v>
      </c>
    </row>
    <row r="76" spans="1:26" x14ac:dyDescent="0.45">
      <c r="B76" t="s">
        <v>26</v>
      </c>
      <c r="C76">
        <v>20060579</v>
      </c>
      <c r="D76" t="s">
        <v>39</v>
      </c>
      <c r="E76" s="8">
        <v>46141.748611111114</v>
      </c>
      <c r="F76" s="8">
        <v>46141.827777777777</v>
      </c>
      <c r="G76" s="9">
        <v>1.9</v>
      </c>
      <c r="H76" s="9">
        <f t="shared" si="3"/>
        <v>0.01</v>
      </c>
      <c r="I76" s="9"/>
      <c r="J76" s="9"/>
      <c r="K76" s="9">
        <v>0.01</v>
      </c>
      <c r="L76" s="9"/>
      <c r="M76" t="s">
        <v>28</v>
      </c>
      <c r="N76" t="s">
        <v>40</v>
      </c>
      <c r="O76" t="s">
        <v>41</v>
      </c>
      <c r="P76" t="s">
        <v>30</v>
      </c>
      <c r="Q76" t="s">
        <v>31</v>
      </c>
      <c r="R76">
        <v>82640</v>
      </c>
      <c r="S76" t="s">
        <v>42</v>
      </c>
      <c r="T76">
        <v>82611</v>
      </c>
      <c r="U76" t="s">
        <v>43</v>
      </c>
      <c r="V76" t="s">
        <v>43</v>
      </c>
      <c r="W76" t="s">
        <v>44</v>
      </c>
      <c r="X76" t="s">
        <v>44</v>
      </c>
      <c r="Y76" s="9">
        <f t="shared" si="4"/>
        <v>0.01</v>
      </c>
      <c r="Z76" t="str">
        <f t="shared" si="5"/>
        <v>สแกนต่าง Cost</v>
      </c>
    </row>
    <row r="77" spans="1:26" x14ac:dyDescent="0.45">
      <c r="B77" t="s">
        <v>26</v>
      </c>
      <c r="C77">
        <v>20386851</v>
      </c>
      <c r="D77" t="s">
        <v>48</v>
      </c>
      <c r="E77" s="8">
        <v>46141.744444444441</v>
      </c>
      <c r="F77" s="8">
        <v>46141.827777777777</v>
      </c>
      <c r="G77" s="9">
        <v>2</v>
      </c>
      <c r="H77" s="9">
        <f t="shared" si="3"/>
        <v>1.0999999999999999E-2</v>
      </c>
      <c r="I77" s="9"/>
      <c r="J77" s="9"/>
      <c r="K77" s="9">
        <v>1.0999999999999999E-2</v>
      </c>
      <c r="L77" s="9"/>
      <c r="M77" t="s">
        <v>28</v>
      </c>
      <c r="N77" t="s">
        <v>29</v>
      </c>
      <c r="P77" t="s">
        <v>30</v>
      </c>
      <c r="Q77" t="s">
        <v>31</v>
      </c>
      <c r="R77">
        <v>82652</v>
      </c>
      <c r="S77" t="s">
        <v>46</v>
      </c>
      <c r="T77">
        <v>82658</v>
      </c>
      <c r="U77" t="s">
        <v>33</v>
      </c>
      <c r="V77" t="s">
        <v>33</v>
      </c>
      <c r="W77" t="s">
        <v>95</v>
      </c>
      <c r="X77" t="s">
        <v>47</v>
      </c>
      <c r="Y77" s="9">
        <f t="shared" si="4"/>
        <v>1.0999999999999999E-2</v>
      </c>
      <c r="Z77" t="str">
        <f t="shared" si="5"/>
        <v>สแกนต่าง Cost</v>
      </c>
    </row>
    <row r="78" spans="1:26" x14ac:dyDescent="0.45">
      <c r="B78" t="s">
        <v>26</v>
      </c>
      <c r="C78">
        <v>20028097</v>
      </c>
      <c r="D78" t="s">
        <v>139</v>
      </c>
      <c r="E78" s="8">
        <v>46141.743750000001</v>
      </c>
      <c r="F78" s="8">
        <v>46141.910416666666</v>
      </c>
      <c r="G78" s="9">
        <v>4</v>
      </c>
      <c r="H78" s="9">
        <f t="shared" si="3"/>
        <v>2.1000000000000001E-2</v>
      </c>
      <c r="I78" s="9"/>
      <c r="J78" s="9"/>
      <c r="K78" s="9">
        <v>2.1000000000000001E-2</v>
      </c>
      <c r="L78" s="9"/>
      <c r="M78" t="s">
        <v>28</v>
      </c>
      <c r="N78" t="s">
        <v>40</v>
      </c>
      <c r="O78" t="s">
        <v>140</v>
      </c>
      <c r="P78" t="s">
        <v>30</v>
      </c>
      <c r="Q78" t="s">
        <v>31</v>
      </c>
      <c r="R78">
        <v>82652</v>
      </c>
      <c r="S78" t="s">
        <v>46</v>
      </c>
      <c r="T78">
        <v>82658</v>
      </c>
      <c r="U78" t="s">
        <v>33</v>
      </c>
      <c r="V78" t="s">
        <v>33</v>
      </c>
      <c r="W78" t="s">
        <v>95</v>
      </c>
      <c r="X78" t="s">
        <v>47</v>
      </c>
      <c r="Y78" s="9">
        <f t="shared" si="4"/>
        <v>2.1000000000000001E-2</v>
      </c>
      <c r="Z78" t="str">
        <f t="shared" si="5"/>
        <v>สแกนต่าง Cost</v>
      </c>
    </row>
    <row r="79" spans="1:26" x14ac:dyDescent="0.45">
      <c r="B79" t="s">
        <v>26</v>
      </c>
      <c r="C79">
        <v>20030026</v>
      </c>
      <c r="D79" t="s">
        <v>141</v>
      </c>
      <c r="E79" s="8">
        <v>46141.743750000001</v>
      </c>
      <c r="F79" s="8">
        <v>46141.827777777777</v>
      </c>
      <c r="G79" s="9">
        <v>2.0166666666666666</v>
      </c>
      <c r="H79" s="9">
        <f t="shared" si="3"/>
        <v>1.0999999999999999E-2</v>
      </c>
      <c r="I79" s="9"/>
      <c r="J79" s="9"/>
      <c r="K79" s="9">
        <v>1.0999999999999999E-2</v>
      </c>
      <c r="L79" s="9"/>
      <c r="M79" t="s">
        <v>28</v>
      </c>
      <c r="N79" t="s">
        <v>40</v>
      </c>
      <c r="O79" t="s">
        <v>41</v>
      </c>
      <c r="P79" t="s">
        <v>30</v>
      </c>
      <c r="Q79" t="s">
        <v>31</v>
      </c>
      <c r="R79">
        <v>82652</v>
      </c>
      <c r="S79" t="s">
        <v>46</v>
      </c>
      <c r="T79">
        <v>82658</v>
      </c>
      <c r="U79" t="s">
        <v>33</v>
      </c>
      <c r="V79" t="s">
        <v>33</v>
      </c>
      <c r="W79" t="s">
        <v>95</v>
      </c>
      <c r="X79" t="s">
        <v>47</v>
      </c>
      <c r="Y79" s="9">
        <f t="shared" si="4"/>
        <v>1.0999999999999999E-2</v>
      </c>
      <c r="Z79" t="str">
        <f t="shared" si="5"/>
        <v>สแกนต่าง Cost</v>
      </c>
    </row>
    <row r="80" spans="1:26" x14ac:dyDescent="0.45">
      <c r="B80" t="s">
        <v>26</v>
      </c>
      <c r="C80">
        <v>20031153</v>
      </c>
      <c r="D80" t="s">
        <v>142</v>
      </c>
      <c r="E80" s="8">
        <v>46141.743750000001</v>
      </c>
      <c r="F80" s="8">
        <v>46141.910416666666</v>
      </c>
      <c r="G80" s="9">
        <v>4</v>
      </c>
      <c r="H80" s="9">
        <f t="shared" si="3"/>
        <v>2.1000000000000001E-2</v>
      </c>
      <c r="I80" s="9"/>
      <c r="J80" s="9"/>
      <c r="K80" s="9">
        <v>2.1000000000000001E-2</v>
      </c>
      <c r="L80" s="9"/>
      <c r="M80" t="s">
        <v>28</v>
      </c>
      <c r="N80" t="s">
        <v>29</v>
      </c>
      <c r="P80" t="s">
        <v>30</v>
      </c>
      <c r="Q80" t="s">
        <v>31</v>
      </c>
      <c r="R80">
        <v>82652</v>
      </c>
      <c r="S80" t="s">
        <v>46</v>
      </c>
      <c r="T80">
        <v>82658</v>
      </c>
      <c r="U80" t="s">
        <v>33</v>
      </c>
      <c r="V80" t="s">
        <v>33</v>
      </c>
      <c r="W80" t="s">
        <v>95</v>
      </c>
      <c r="X80" t="s">
        <v>47</v>
      </c>
      <c r="Y80" s="9">
        <f t="shared" si="4"/>
        <v>2.1000000000000001E-2</v>
      </c>
      <c r="Z80" t="str">
        <f t="shared" si="5"/>
        <v>สแกนต่าง Cost</v>
      </c>
    </row>
    <row r="81" spans="2:26" x14ac:dyDescent="0.45">
      <c r="B81" t="s">
        <v>26</v>
      </c>
      <c r="C81">
        <v>20031838</v>
      </c>
      <c r="D81" t="s">
        <v>143</v>
      </c>
      <c r="E81" s="8">
        <v>46141.743750000001</v>
      </c>
      <c r="F81" s="8">
        <v>46141.910416666666</v>
      </c>
      <c r="G81" s="9">
        <v>4</v>
      </c>
      <c r="H81" s="9">
        <f t="shared" si="3"/>
        <v>2.1000000000000001E-2</v>
      </c>
      <c r="I81" s="9"/>
      <c r="J81" s="9"/>
      <c r="K81" s="9">
        <v>2.1000000000000001E-2</v>
      </c>
      <c r="L81" s="9"/>
      <c r="M81" t="s">
        <v>28</v>
      </c>
      <c r="N81" t="s">
        <v>40</v>
      </c>
      <c r="O81" t="s">
        <v>140</v>
      </c>
      <c r="P81" t="s">
        <v>30</v>
      </c>
      <c r="Q81" t="s">
        <v>31</v>
      </c>
      <c r="R81">
        <v>82652</v>
      </c>
      <c r="S81" t="s">
        <v>46</v>
      </c>
      <c r="T81">
        <v>82658</v>
      </c>
      <c r="U81" t="s">
        <v>33</v>
      </c>
      <c r="V81" t="s">
        <v>33</v>
      </c>
      <c r="W81" t="s">
        <v>95</v>
      </c>
      <c r="X81" t="s">
        <v>47</v>
      </c>
      <c r="Y81" s="9">
        <f t="shared" si="4"/>
        <v>2.1000000000000001E-2</v>
      </c>
      <c r="Z81" t="str">
        <f t="shared" si="5"/>
        <v>สแกนต่าง Cost</v>
      </c>
    </row>
    <row r="82" spans="2:26" x14ac:dyDescent="0.45">
      <c r="B82" t="s">
        <v>26</v>
      </c>
      <c r="C82">
        <v>20198811</v>
      </c>
      <c r="D82" t="s">
        <v>144</v>
      </c>
      <c r="E82" s="8">
        <v>46141.743750000001</v>
      </c>
      <c r="F82" s="8">
        <v>46141.910416666666</v>
      </c>
      <c r="G82" s="9">
        <v>4</v>
      </c>
      <c r="H82" s="9">
        <f t="shared" si="3"/>
        <v>2.1000000000000001E-2</v>
      </c>
      <c r="I82" s="9"/>
      <c r="J82" s="9"/>
      <c r="K82" s="9">
        <v>2.1000000000000001E-2</v>
      </c>
      <c r="L82" s="9"/>
      <c r="M82" t="s">
        <v>28</v>
      </c>
      <c r="N82" t="s">
        <v>29</v>
      </c>
      <c r="P82" t="s">
        <v>30</v>
      </c>
      <c r="Q82" t="s">
        <v>31</v>
      </c>
      <c r="R82">
        <v>82652</v>
      </c>
      <c r="S82" t="s">
        <v>46</v>
      </c>
      <c r="T82">
        <v>82658</v>
      </c>
      <c r="U82" t="s">
        <v>33</v>
      </c>
      <c r="V82" t="s">
        <v>33</v>
      </c>
      <c r="W82" t="s">
        <v>95</v>
      </c>
      <c r="X82" t="s">
        <v>47</v>
      </c>
      <c r="Y82" s="9">
        <f t="shared" si="4"/>
        <v>2.1000000000000001E-2</v>
      </c>
      <c r="Z82" t="str">
        <f t="shared" si="5"/>
        <v>สแกนต่าง Cost</v>
      </c>
    </row>
    <row r="83" spans="2:26" x14ac:dyDescent="0.45">
      <c r="B83" t="s">
        <v>26</v>
      </c>
      <c r="C83">
        <v>20198813</v>
      </c>
      <c r="D83" t="s">
        <v>45</v>
      </c>
      <c r="E83" s="8">
        <v>46141.743750000001</v>
      </c>
      <c r="F83" s="8">
        <v>46141.910416666666</v>
      </c>
      <c r="G83" s="9">
        <v>4</v>
      </c>
      <c r="H83" s="9">
        <f t="shared" si="3"/>
        <v>2.1000000000000001E-2</v>
      </c>
      <c r="I83" s="9"/>
      <c r="J83" s="9"/>
      <c r="K83" s="9">
        <v>2.1000000000000001E-2</v>
      </c>
      <c r="L83" s="9"/>
      <c r="M83" t="s">
        <v>28</v>
      </c>
      <c r="N83" t="s">
        <v>29</v>
      </c>
      <c r="P83" t="s">
        <v>30</v>
      </c>
      <c r="Q83" t="s">
        <v>31</v>
      </c>
      <c r="R83">
        <v>82652</v>
      </c>
      <c r="S83" t="s">
        <v>46</v>
      </c>
      <c r="T83">
        <v>82658</v>
      </c>
      <c r="U83" t="s">
        <v>33</v>
      </c>
      <c r="V83" t="s">
        <v>33</v>
      </c>
      <c r="W83" t="s">
        <v>95</v>
      </c>
      <c r="X83" t="s">
        <v>47</v>
      </c>
      <c r="Y83" s="9">
        <f t="shared" si="4"/>
        <v>2.1000000000000001E-2</v>
      </c>
      <c r="Z83" t="str">
        <f t="shared" si="5"/>
        <v>สแกนต่าง Cost</v>
      </c>
    </row>
    <row r="84" spans="2:26" x14ac:dyDescent="0.45">
      <c r="B84" t="s">
        <v>26</v>
      </c>
      <c r="C84">
        <v>20250204</v>
      </c>
      <c r="D84" t="s">
        <v>145</v>
      </c>
      <c r="E84" s="8">
        <v>46141.743750000001</v>
      </c>
      <c r="F84" s="8">
        <v>46141.854166666664</v>
      </c>
      <c r="G84" s="9">
        <v>2.65</v>
      </c>
      <c r="H84" s="9">
        <f t="shared" si="3"/>
        <v>1.4E-2</v>
      </c>
      <c r="I84" s="9"/>
      <c r="J84" s="9"/>
      <c r="K84" s="9">
        <v>1.4E-2</v>
      </c>
      <c r="L84" s="9"/>
      <c r="M84" t="s">
        <v>28</v>
      </c>
      <c r="N84" t="s">
        <v>29</v>
      </c>
      <c r="P84" t="s">
        <v>30</v>
      </c>
      <c r="Q84" t="s">
        <v>31</v>
      </c>
      <c r="R84">
        <v>82652</v>
      </c>
      <c r="S84" t="s">
        <v>46</v>
      </c>
      <c r="T84">
        <v>82658</v>
      </c>
      <c r="U84" t="s">
        <v>33</v>
      </c>
      <c r="V84" t="s">
        <v>33</v>
      </c>
      <c r="W84" t="s">
        <v>95</v>
      </c>
      <c r="X84" t="s">
        <v>47</v>
      </c>
      <c r="Y84" s="9">
        <f t="shared" si="4"/>
        <v>1.4E-2</v>
      </c>
      <c r="Z84" t="str">
        <f t="shared" si="5"/>
        <v>สแกนต่าง Cost</v>
      </c>
    </row>
    <row r="85" spans="2:26" x14ac:dyDescent="0.45">
      <c r="B85" t="s">
        <v>26</v>
      </c>
      <c r="C85">
        <v>20198661</v>
      </c>
      <c r="D85" t="s">
        <v>146</v>
      </c>
      <c r="E85" s="8">
        <v>46141.741666666669</v>
      </c>
      <c r="F85" s="8">
        <v>46141.830555555556</v>
      </c>
      <c r="G85" s="9">
        <v>2.1333333333333333</v>
      </c>
      <c r="H85" s="9">
        <f t="shared" si="3"/>
        <v>1.0999999999999999E-2</v>
      </c>
      <c r="I85" s="9"/>
      <c r="J85" s="9"/>
      <c r="K85" s="9">
        <v>1.0999999999999999E-2</v>
      </c>
      <c r="L85" s="9"/>
      <c r="M85" t="s">
        <v>28</v>
      </c>
      <c r="N85" t="s">
        <v>29</v>
      </c>
      <c r="P85" t="s">
        <v>30</v>
      </c>
      <c r="Q85" t="s">
        <v>31</v>
      </c>
      <c r="R85">
        <v>82640</v>
      </c>
      <c r="S85" t="s">
        <v>42</v>
      </c>
      <c r="T85">
        <v>82622</v>
      </c>
      <c r="U85" t="s">
        <v>147</v>
      </c>
      <c r="V85" t="s">
        <v>147</v>
      </c>
      <c r="W85" t="s">
        <v>148</v>
      </c>
      <c r="X85" t="s">
        <v>149</v>
      </c>
      <c r="Y85" s="9">
        <f t="shared" si="4"/>
        <v>1.0999999999999999E-2</v>
      </c>
      <c r="Z85" t="str">
        <f t="shared" si="5"/>
        <v>สแกนต่าง Cost</v>
      </c>
    </row>
    <row r="86" spans="2:26" x14ac:dyDescent="0.45">
      <c r="B86" t="s">
        <v>26</v>
      </c>
      <c r="C86">
        <v>20198660</v>
      </c>
      <c r="D86" t="s">
        <v>150</v>
      </c>
      <c r="E86" s="8">
        <v>46141.740972222222</v>
      </c>
      <c r="F86" s="8">
        <v>46141.830555555556</v>
      </c>
      <c r="G86" s="9">
        <v>2.15</v>
      </c>
      <c r="H86" s="9">
        <f t="shared" si="3"/>
        <v>1.0999999999999999E-2</v>
      </c>
      <c r="I86" s="9"/>
      <c r="J86" s="9"/>
      <c r="K86" s="9">
        <v>1.0999999999999999E-2</v>
      </c>
      <c r="L86" s="9"/>
      <c r="M86" t="s">
        <v>28</v>
      </c>
      <c r="N86" t="s">
        <v>29</v>
      </c>
      <c r="P86" t="s">
        <v>30</v>
      </c>
      <c r="Q86" t="s">
        <v>31</v>
      </c>
      <c r="R86">
        <v>82640</v>
      </c>
      <c r="S86" t="s">
        <v>42</v>
      </c>
      <c r="T86">
        <v>82622</v>
      </c>
      <c r="U86" t="s">
        <v>147</v>
      </c>
      <c r="V86" t="s">
        <v>147</v>
      </c>
      <c r="W86" t="s">
        <v>148</v>
      </c>
      <c r="X86" t="s">
        <v>149</v>
      </c>
      <c r="Y86" s="9">
        <f t="shared" si="4"/>
        <v>1.0999999999999999E-2</v>
      </c>
      <c r="Z86" t="str">
        <f t="shared" si="5"/>
        <v>สแกนต่าง Cost</v>
      </c>
    </row>
    <row r="87" spans="2:26" x14ac:dyDescent="0.45">
      <c r="B87" t="s">
        <v>26</v>
      </c>
      <c r="C87">
        <v>20039227</v>
      </c>
      <c r="D87" t="s">
        <v>58</v>
      </c>
      <c r="E87" s="8">
        <v>46141.732638888891</v>
      </c>
      <c r="F87" s="8">
        <v>46141.834722222222</v>
      </c>
      <c r="G87" s="9">
        <v>2.4500000000000002</v>
      </c>
      <c r="H87" s="9">
        <f t="shared" si="3"/>
        <v>1.2999999999999999E-2</v>
      </c>
      <c r="I87" s="9"/>
      <c r="J87" s="9"/>
      <c r="K87" s="9">
        <v>1.2999999999999999E-2</v>
      </c>
      <c r="L87" s="9"/>
      <c r="M87" t="s">
        <v>28</v>
      </c>
      <c r="N87" t="s">
        <v>40</v>
      </c>
      <c r="O87" t="s">
        <v>41</v>
      </c>
      <c r="P87" t="s">
        <v>30</v>
      </c>
      <c r="Q87" t="s">
        <v>31</v>
      </c>
      <c r="R87">
        <v>82652</v>
      </c>
      <c r="S87" t="s">
        <v>46</v>
      </c>
      <c r="T87">
        <v>82655</v>
      </c>
      <c r="U87" t="s">
        <v>59</v>
      </c>
      <c r="V87" t="s">
        <v>59</v>
      </c>
      <c r="W87" t="s">
        <v>37</v>
      </c>
      <c r="X87" t="s">
        <v>60</v>
      </c>
      <c r="Y87" s="9">
        <f t="shared" si="4"/>
        <v>1.2999999999999999E-2</v>
      </c>
      <c r="Z87" t="str">
        <f t="shared" si="5"/>
        <v>สแกนต่าง Cost</v>
      </c>
    </row>
    <row r="88" spans="2:26" x14ac:dyDescent="0.45">
      <c r="B88" t="s">
        <v>53</v>
      </c>
      <c r="C88">
        <v>20018605</v>
      </c>
      <c r="D88" t="s">
        <v>151</v>
      </c>
      <c r="E88" s="8">
        <v>46141.724999999999</v>
      </c>
      <c r="F88" s="8">
        <v>46141.826388888891</v>
      </c>
      <c r="G88" s="9">
        <v>2.4333333333333331</v>
      </c>
      <c r="H88" s="9">
        <f t="shared" si="3"/>
        <v>1.2999999999999999E-2</v>
      </c>
      <c r="I88" s="9"/>
      <c r="J88" s="9"/>
      <c r="K88" s="9">
        <v>1.2999999999999999E-2</v>
      </c>
      <c r="L88" s="9"/>
      <c r="M88" t="s">
        <v>28</v>
      </c>
      <c r="N88" t="s">
        <v>40</v>
      </c>
      <c r="O88" t="s">
        <v>41</v>
      </c>
      <c r="P88" t="s">
        <v>133</v>
      </c>
      <c r="Q88" t="s">
        <v>31</v>
      </c>
      <c r="R88">
        <v>82640</v>
      </c>
      <c r="S88" t="s">
        <v>42</v>
      </c>
      <c r="T88">
        <v>82611</v>
      </c>
      <c r="U88" t="s">
        <v>43</v>
      </c>
      <c r="V88" t="s">
        <v>43</v>
      </c>
      <c r="W88" t="s">
        <v>71</v>
      </c>
      <c r="X88" t="s">
        <v>72</v>
      </c>
      <c r="Y88" s="9">
        <f t="shared" si="4"/>
        <v>1.2999999999999999E-2</v>
      </c>
      <c r="Z88" t="str">
        <f t="shared" si="5"/>
        <v>สแกนต่าง Cost</v>
      </c>
    </row>
    <row r="89" spans="2:26" x14ac:dyDescent="0.45">
      <c r="B89" t="s">
        <v>26</v>
      </c>
      <c r="C89">
        <v>20019647</v>
      </c>
      <c r="D89" t="s">
        <v>152</v>
      </c>
      <c r="E89" s="8">
        <v>46141.722916666666</v>
      </c>
      <c r="F89" s="8">
        <v>46141.828472222223</v>
      </c>
      <c r="G89" s="9">
        <v>2.5333333333333332</v>
      </c>
      <c r="H89" s="9">
        <f t="shared" si="3"/>
        <v>1.4E-2</v>
      </c>
      <c r="I89" s="9"/>
      <c r="J89" s="9"/>
      <c r="K89" s="9">
        <v>1.4E-2</v>
      </c>
      <c r="L89" s="9"/>
      <c r="M89" t="s">
        <v>28</v>
      </c>
      <c r="N89" t="s">
        <v>40</v>
      </c>
      <c r="O89" t="s">
        <v>41</v>
      </c>
      <c r="P89" t="s">
        <v>30</v>
      </c>
      <c r="Q89" t="s">
        <v>31</v>
      </c>
      <c r="R89">
        <v>82630</v>
      </c>
      <c r="S89" t="s">
        <v>32</v>
      </c>
      <c r="T89">
        <v>82612</v>
      </c>
      <c r="U89" t="s">
        <v>153</v>
      </c>
      <c r="V89" t="s">
        <v>154</v>
      </c>
      <c r="W89" t="s">
        <v>44</v>
      </c>
      <c r="X89" t="s">
        <v>44</v>
      </c>
      <c r="Y89" s="9">
        <f t="shared" si="4"/>
        <v>1.4E-2</v>
      </c>
      <c r="Z89" t="str">
        <f t="shared" si="5"/>
        <v>สแกนต่าง Cost</v>
      </c>
    </row>
    <row r="90" spans="2:26" x14ac:dyDescent="0.45">
      <c r="B90" t="s">
        <v>26</v>
      </c>
      <c r="C90">
        <v>20167851</v>
      </c>
      <c r="D90" t="s">
        <v>63</v>
      </c>
      <c r="E90" s="8">
        <v>46141.722916666666</v>
      </c>
      <c r="F90" s="8">
        <v>46141.82708333333</v>
      </c>
      <c r="G90" s="9">
        <v>2.5</v>
      </c>
      <c r="H90" s="9">
        <f t="shared" si="3"/>
        <v>1.2999999999999999E-2</v>
      </c>
      <c r="I90" s="9"/>
      <c r="J90" s="9"/>
      <c r="K90" s="9">
        <v>1.2999999999999999E-2</v>
      </c>
      <c r="L90" s="9"/>
      <c r="M90" t="s">
        <v>28</v>
      </c>
      <c r="N90" t="s">
        <v>40</v>
      </c>
      <c r="O90" t="s">
        <v>41</v>
      </c>
      <c r="P90" t="s">
        <v>30</v>
      </c>
      <c r="Q90" t="s">
        <v>31</v>
      </c>
      <c r="R90">
        <v>82640</v>
      </c>
      <c r="S90" t="s">
        <v>42</v>
      </c>
      <c r="T90">
        <v>82611</v>
      </c>
      <c r="U90" t="s">
        <v>43</v>
      </c>
      <c r="V90" t="s">
        <v>43</v>
      </c>
      <c r="W90" t="s">
        <v>44</v>
      </c>
      <c r="X90" t="s">
        <v>44</v>
      </c>
      <c r="Y90" s="9">
        <f t="shared" si="4"/>
        <v>1.2999999999999999E-2</v>
      </c>
      <c r="Z90" t="str">
        <f t="shared" si="5"/>
        <v>สแกนต่าง Cost</v>
      </c>
    </row>
    <row r="91" spans="2:26" x14ac:dyDescent="0.45">
      <c r="B91" t="s">
        <v>53</v>
      </c>
      <c r="C91">
        <v>20310532</v>
      </c>
      <c r="D91" t="s">
        <v>61</v>
      </c>
      <c r="E91" s="8">
        <v>46141.722916666666</v>
      </c>
      <c r="F91" s="8">
        <v>46141.827777777777</v>
      </c>
      <c r="G91" s="9">
        <v>2.5166666666666666</v>
      </c>
      <c r="H91" s="9">
        <f t="shared" si="3"/>
        <v>1.2999999999999999E-2</v>
      </c>
      <c r="I91" s="9"/>
      <c r="J91" s="9"/>
      <c r="K91" s="9">
        <v>1.2999999999999999E-2</v>
      </c>
      <c r="L91" s="9"/>
      <c r="M91" t="s">
        <v>28</v>
      </c>
      <c r="N91" t="s">
        <v>40</v>
      </c>
      <c r="O91" t="s">
        <v>41</v>
      </c>
      <c r="P91" t="s">
        <v>30</v>
      </c>
      <c r="Q91" t="s">
        <v>31</v>
      </c>
      <c r="R91">
        <v>82640</v>
      </c>
      <c r="S91" t="s">
        <v>42</v>
      </c>
      <c r="T91">
        <v>82630</v>
      </c>
      <c r="U91" t="s">
        <v>32</v>
      </c>
      <c r="V91" t="s">
        <v>155</v>
      </c>
      <c r="W91" t="s">
        <v>44</v>
      </c>
      <c r="X91" t="s">
        <v>44</v>
      </c>
      <c r="Y91" s="9">
        <f t="shared" si="4"/>
        <v>1.2999999999999999E-2</v>
      </c>
      <c r="Z91" t="str">
        <f t="shared" si="5"/>
        <v>สแกนต่าง Cost</v>
      </c>
    </row>
    <row r="92" spans="2:26" x14ac:dyDescent="0.45">
      <c r="B92" t="s">
        <v>26</v>
      </c>
      <c r="C92">
        <v>20332134</v>
      </c>
      <c r="D92" t="s">
        <v>156</v>
      </c>
      <c r="E92" s="8">
        <v>46141.722916666666</v>
      </c>
      <c r="F92" s="8">
        <v>46141.828472222223</v>
      </c>
      <c r="G92" s="9">
        <v>2.5333333333333332</v>
      </c>
      <c r="H92" s="9">
        <f t="shared" si="3"/>
        <v>1.4E-2</v>
      </c>
      <c r="I92" s="9"/>
      <c r="J92" s="9"/>
      <c r="K92" s="9">
        <v>1.4E-2</v>
      </c>
      <c r="L92" s="9"/>
      <c r="M92" t="s">
        <v>28</v>
      </c>
      <c r="N92" t="s">
        <v>40</v>
      </c>
      <c r="O92" t="s">
        <v>41</v>
      </c>
      <c r="P92" t="s">
        <v>30</v>
      </c>
      <c r="Q92" t="s">
        <v>31</v>
      </c>
      <c r="R92">
        <v>82640</v>
      </c>
      <c r="S92" t="s">
        <v>42</v>
      </c>
      <c r="T92">
        <v>82612</v>
      </c>
      <c r="U92" t="s">
        <v>153</v>
      </c>
      <c r="V92" t="s">
        <v>154</v>
      </c>
      <c r="W92" t="s">
        <v>44</v>
      </c>
      <c r="X92" t="s">
        <v>44</v>
      </c>
      <c r="Y92" s="9">
        <f t="shared" si="4"/>
        <v>1.4E-2</v>
      </c>
      <c r="Z92" t="str">
        <f t="shared" si="5"/>
        <v>สแกนต่าง Cost</v>
      </c>
    </row>
    <row r="93" spans="2:26" x14ac:dyDescent="0.45">
      <c r="B93" t="s">
        <v>53</v>
      </c>
      <c r="C93">
        <v>20076727</v>
      </c>
      <c r="D93" t="s">
        <v>157</v>
      </c>
      <c r="E93" s="8">
        <v>46141.720833333333</v>
      </c>
      <c r="F93" s="8">
        <v>46141.824305555558</v>
      </c>
      <c r="G93" s="9">
        <v>2.4833333333333334</v>
      </c>
      <c r="H93" s="9">
        <f t="shared" si="3"/>
        <v>1.2999999999999999E-2</v>
      </c>
      <c r="I93" s="9"/>
      <c r="J93" s="9"/>
      <c r="K93" s="9">
        <v>1.2999999999999999E-2</v>
      </c>
      <c r="L93" s="9"/>
      <c r="M93" t="s">
        <v>28</v>
      </c>
      <c r="N93" t="s">
        <v>40</v>
      </c>
      <c r="O93" t="s">
        <v>41</v>
      </c>
      <c r="P93" t="s">
        <v>133</v>
      </c>
      <c r="Q93" t="s">
        <v>31</v>
      </c>
      <c r="R93">
        <v>82306</v>
      </c>
      <c r="S93" t="s">
        <v>55</v>
      </c>
      <c r="T93">
        <v>82920</v>
      </c>
      <c r="U93" t="s">
        <v>158</v>
      </c>
      <c r="V93" t="s">
        <v>158</v>
      </c>
      <c r="W93" t="s">
        <v>159</v>
      </c>
      <c r="X93" t="s">
        <v>160</v>
      </c>
      <c r="Y93" s="9">
        <f t="shared" si="4"/>
        <v>1.2999999999999999E-2</v>
      </c>
      <c r="Z93" t="str">
        <f t="shared" si="5"/>
        <v>สแกนต่าง Cost</v>
      </c>
    </row>
    <row r="94" spans="2:26" x14ac:dyDescent="0.45">
      <c r="B94" t="s">
        <v>53</v>
      </c>
      <c r="C94">
        <v>20018899</v>
      </c>
      <c r="D94" t="s">
        <v>64</v>
      </c>
      <c r="E94" s="8">
        <v>46141.541666666664</v>
      </c>
      <c r="F94" s="8">
        <v>46141.729166666664</v>
      </c>
      <c r="G94" s="9">
        <v>4.5</v>
      </c>
      <c r="H94" s="9">
        <f t="shared" si="3"/>
        <v>2.4E-2</v>
      </c>
      <c r="I94" s="9">
        <v>2.4E-2</v>
      </c>
      <c r="J94" s="9"/>
      <c r="K94" s="9"/>
      <c r="L94" s="9"/>
      <c r="M94" t="s">
        <v>65</v>
      </c>
      <c r="N94" t="s">
        <v>29</v>
      </c>
      <c r="P94" t="s">
        <v>30</v>
      </c>
      <c r="Q94" t="s">
        <v>31</v>
      </c>
      <c r="R94">
        <v>82640</v>
      </c>
      <c r="S94" t="s">
        <v>42</v>
      </c>
      <c r="T94">
        <v>82652</v>
      </c>
      <c r="U94" t="s">
        <v>46</v>
      </c>
      <c r="V94" t="s">
        <v>66</v>
      </c>
      <c r="W94" t="s">
        <v>37</v>
      </c>
      <c r="X94" t="s">
        <v>34</v>
      </c>
      <c r="Y94" s="9">
        <f t="shared" si="4"/>
        <v>0</v>
      </c>
      <c r="Z94" t="str">
        <f t="shared" si="5"/>
        <v>สแกนต่าง Cost</v>
      </c>
    </row>
    <row r="95" spans="2:26" x14ac:dyDescent="0.45">
      <c r="B95" t="s">
        <v>53</v>
      </c>
      <c r="C95">
        <v>20220646</v>
      </c>
      <c r="D95" t="s">
        <v>67</v>
      </c>
      <c r="E95" s="8">
        <v>46141.541666666664</v>
      </c>
      <c r="F95" s="8">
        <v>46141.729166666664</v>
      </c>
      <c r="G95" s="9">
        <v>4.5</v>
      </c>
      <c r="H95" s="9">
        <f t="shared" si="3"/>
        <v>2.4E-2</v>
      </c>
      <c r="I95" s="9">
        <v>2.4E-2</v>
      </c>
      <c r="J95" s="9"/>
      <c r="K95" s="9"/>
      <c r="L95" s="9"/>
      <c r="M95" t="s">
        <v>65</v>
      </c>
      <c r="N95" t="s">
        <v>29</v>
      </c>
      <c r="P95" t="s">
        <v>30</v>
      </c>
      <c r="Q95" t="s">
        <v>31</v>
      </c>
      <c r="R95">
        <v>82640</v>
      </c>
      <c r="S95" t="s">
        <v>42</v>
      </c>
      <c r="T95">
        <v>82652</v>
      </c>
      <c r="U95" t="s">
        <v>46</v>
      </c>
      <c r="V95" t="s">
        <v>66</v>
      </c>
      <c r="W95" t="s">
        <v>37</v>
      </c>
      <c r="X95" t="s">
        <v>34</v>
      </c>
      <c r="Y95" s="9">
        <f t="shared" si="4"/>
        <v>0</v>
      </c>
      <c r="Z95" t="str">
        <f t="shared" si="5"/>
        <v>สแกนต่าง Cost</v>
      </c>
    </row>
    <row r="96" spans="2:26" x14ac:dyDescent="0.45">
      <c r="B96" t="s">
        <v>53</v>
      </c>
      <c r="C96">
        <v>20048905</v>
      </c>
      <c r="D96" t="s">
        <v>73</v>
      </c>
      <c r="E96" s="8">
        <v>46141.458333333336</v>
      </c>
      <c r="F96" s="8">
        <v>46141.897222222222</v>
      </c>
      <c r="G96" s="9">
        <v>10.533333333333333</v>
      </c>
      <c r="H96" s="9">
        <f t="shared" si="3"/>
        <v>5.5999999999999994E-2</v>
      </c>
      <c r="I96" s="9">
        <v>4.4999999999999998E-2</v>
      </c>
      <c r="J96" s="9"/>
      <c r="K96" s="9">
        <v>1.0999999999999999E-2</v>
      </c>
      <c r="L96" s="9"/>
      <c r="M96" t="s">
        <v>28</v>
      </c>
      <c r="N96" t="s">
        <v>29</v>
      </c>
      <c r="P96" t="s">
        <v>30</v>
      </c>
      <c r="Q96" t="s">
        <v>31</v>
      </c>
      <c r="R96">
        <v>82409</v>
      </c>
      <c r="S96" t="s">
        <v>74</v>
      </c>
      <c r="T96">
        <v>82664</v>
      </c>
      <c r="U96" t="s">
        <v>75</v>
      </c>
      <c r="V96" t="s">
        <v>75</v>
      </c>
      <c r="W96" t="s">
        <v>74</v>
      </c>
      <c r="X96" t="s">
        <v>74</v>
      </c>
      <c r="Y96" s="9">
        <f t="shared" si="4"/>
        <v>1.0999999999999999E-2</v>
      </c>
      <c r="Z96" t="str">
        <f t="shared" si="5"/>
        <v>สแกนต่าง Cost</v>
      </c>
    </row>
    <row r="97" spans="1:26" x14ac:dyDescent="0.45">
      <c r="B97" t="s">
        <v>53</v>
      </c>
      <c r="C97">
        <v>20156338</v>
      </c>
      <c r="D97" t="s">
        <v>102</v>
      </c>
      <c r="E97" s="8">
        <v>46141.385416666664</v>
      </c>
      <c r="F97" s="8">
        <v>46141.697916666664</v>
      </c>
      <c r="G97" s="9">
        <v>6.5</v>
      </c>
      <c r="H97" s="9">
        <f t="shared" si="3"/>
        <v>3.5000000000000003E-2</v>
      </c>
      <c r="I97" s="9">
        <v>3.5000000000000003E-2</v>
      </c>
      <c r="J97" s="9"/>
      <c r="K97" s="9"/>
      <c r="L97" s="9"/>
      <c r="M97" t="s">
        <v>65</v>
      </c>
      <c r="N97" t="s">
        <v>29</v>
      </c>
      <c r="P97" t="s">
        <v>30</v>
      </c>
      <c r="Q97" t="s">
        <v>31</v>
      </c>
      <c r="R97">
        <v>82630</v>
      </c>
      <c r="S97" t="s">
        <v>32</v>
      </c>
      <c r="T97">
        <v>82664</v>
      </c>
      <c r="U97" t="s">
        <v>75</v>
      </c>
      <c r="V97" t="s">
        <v>75</v>
      </c>
      <c r="W97" t="s">
        <v>37</v>
      </c>
      <c r="X97" t="s">
        <v>86</v>
      </c>
      <c r="Y97" s="9">
        <f t="shared" si="4"/>
        <v>0</v>
      </c>
      <c r="Z97" t="str">
        <f t="shared" si="5"/>
        <v>สแกนต่าง Cost</v>
      </c>
    </row>
    <row r="98" spans="1:26" x14ac:dyDescent="0.45">
      <c r="B98" t="s">
        <v>53</v>
      </c>
      <c r="C98">
        <v>20278787</v>
      </c>
      <c r="D98" t="s">
        <v>161</v>
      </c>
      <c r="E98" s="8">
        <v>46141.385416666664</v>
      </c>
      <c r="F98" s="8">
        <v>46141.697916666664</v>
      </c>
      <c r="G98" s="9">
        <v>6.5</v>
      </c>
      <c r="H98" s="9">
        <f t="shared" si="3"/>
        <v>3.5000000000000003E-2</v>
      </c>
      <c r="I98" s="9">
        <v>3.5000000000000003E-2</v>
      </c>
      <c r="J98" s="9"/>
      <c r="K98" s="9"/>
      <c r="L98" s="9"/>
      <c r="M98" t="s">
        <v>65</v>
      </c>
      <c r="N98" t="s">
        <v>29</v>
      </c>
      <c r="P98" t="s">
        <v>30</v>
      </c>
      <c r="Q98" t="s">
        <v>31</v>
      </c>
      <c r="R98">
        <v>82630</v>
      </c>
      <c r="S98" t="s">
        <v>32</v>
      </c>
      <c r="T98">
        <v>82664</v>
      </c>
      <c r="U98" t="s">
        <v>75</v>
      </c>
      <c r="V98" t="s">
        <v>75</v>
      </c>
      <c r="W98" t="s">
        <v>37</v>
      </c>
      <c r="X98" t="s">
        <v>86</v>
      </c>
      <c r="Y98" s="9">
        <f t="shared" si="4"/>
        <v>0</v>
      </c>
      <c r="Z98" t="str">
        <f t="shared" si="5"/>
        <v>สแกนต่าง Cost</v>
      </c>
    </row>
    <row r="99" spans="1:26" x14ac:dyDescent="0.45">
      <c r="B99" t="s">
        <v>53</v>
      </c>
      <c r="C99">
        <v>20015376</v>
      </c>
      <c r="D99" t="s">
        <v>93</v>
      </c>
      <c r="E99" s="8">
        <v>46141.384722222225</v>
      </c>
      <c r="F99" s="8">
        <v>46141.697222222225</v>
      </c>
      <c r="G99" s="9">
        <v>6.5</v>
      </c>
      <c r="H99" s="9">
        <f t="shared" si="3"/>
        <v>3.5000000000000003E-2</v>
      </c>
      <c r="I99" s="9">
        <v>3.5000000000000003E-2</v>
      </c>
      <c r="J99" s="9"/>
      <c r="K99" s="9"/>
      <c r="L99" s="9"/>
      <c r="M99" t="s">
        <v>65</v>
      </c>
      <c r="N99" t="s">
        <v>29</v>
      </c>
      <c r="P99" t="s">
        <v>30</v>
      </c>
      <c r="Q99" t="s">
        <v>31</v>
      </c>
      <c r="R99">
        <v>82630</v>
      </c>
      <c r="S99" t="s">
        <v>32</v>
      </c>
      <c r="T99">
        <v>82664</v>
      </c>
      <c r="U99" t="s">
        <v>75</v>
      </c>
      <c r="V99" t="s">
        <v>75</v>
      </c>
      <c r="W99" t="s">
        <v>37</v>
      </c>
      <c r="X99" t="s">
        <v>86</v>
      </c>
      <c r="Y99" s="9">
        <f t="shared" si="4"/>
        <v>0</v>
      </c>
      <c r="Z99" t="str">
        <f t="shared" si="5"/>
        <v>สแกนต่าง Cost</v>
      </c>
    </row>
    <row r="100" spans="1:26" x14ac:dyDescent="0.45">
      <c r="B100" t="s">
        <v>53</v>
      </c>
      <c r="C100">
        <v>20074652</v>
      </c>
      <c r="D100" t="s">
        <v>162</v>
      </c>
      <c r="E100" s="8">
        <v>46141.384722222225</v>
      </c>
      <c r="F100" s="8">
        <v>46141.697916666664</v>
      </c>
      <c r="G100" s="9">
        <v>6.5166666666666666</v>
      </c>
      <c r="H100" s="9">
        <f t="shared" si="3"/>
        <v>3.5000000000000003E-2</v>
      </c>
      <c r="I100" s="9">
        <v>3.5000000000000003E-2</v>
      </c>
      <c r="J100" s="9"/>
      <c r="K100" s="9"/>
      <c r="L100" s="9"/>
      <c r="M100" t="s">
        <v>65</v>
      </c>
      <c r="N100" t="s">
        <v>29</v>
      </c>
      <c r="P100" t="s">
        <v>30</v>
      </c>
      <c r="Q100" t="s">
        <v>31</v>
      </c>
      <c r="R100">
        <v>82630</v>
      </c>
      <c r="S100" t="s">
        <v>32</v>
      </c>
      <c r="T100">
        <v>82664</v>
      </c>
      <c r="U100" t="s">
        <v>75</v>
      </c>
      <c r="V100" t="s">
        <v>75</v>
      </c>
      <c r="W100" t="s">
        <v>37</v>
      </c>
      <c r="X100" t="s">
        <v>86</v>
      </c>
      <c r="Y100" s="9">
        <f t="shared" si="4"/>
        <v>0</v>
      </c>
      <c r="Z100" t="str">
        <f t="shared" si="5"/>
        <v>สแกนต่าง Cost</v>
      </c>
    </row>
    <row r="101" spans="1:26" x14ac:dyDescent="0.45">
      <c r="B101" t="s">
        <v>53</v>
      </c>
      <c r="C101">
        <v>20240959</v>
      </c>
      <c r="D101" t="s">
        <v>105</v>
      </c>
      <c r="E101" s="8">
        <v>46141.384722222225</v>
      </c>
      <c r="F101" s="8">
        <v>46141.697916666664</v>
      </c>
      <c r="G101" s="9">
        <v>6.5166666666666666</v>
      </c>
      <c r="H101" s="9">
        <f t="shared" si="3"/>
        <v>3.5000000000000003E-2</v>
      </c>
      <c r="I101" s="9">
        <v>3.5000000000000003E-2</v>
      </c>
      <c r="J101" s="9"/>
      <c r="K101" s="9"/>
      <c r="L101" s="9"/>
      <c r="M101" t="s">
        <v>65</v>
      </c>
      <c r="N101" t="s">
        <v>29</v>
      </c>
      <c r="P101" t="s">
        <v>30</v>
      </c>
      <c r="Q101" t="s">
        <v>31</v>
      </c>
      <c r="R101">
        <v>82630</v>
      </c>
      <c r="S101" t="s">
        <v>32</v>
      </c>
      <c r="T101">
        <v>82664</v>
      </c>
      <c r="U101" t="s">
        <v>75</v>
      </c>
      <c r="V101" t="s">
        <v>75</v>
      </c>
      <c r="W101" t="s">
        <v>37</v>
      </c>
      <c r="X101" t="s">
        <v>86</v>
      </c>
      <c r="Y101" s="9">
        <f t="shared" si="4"/>
        <v>0</v>
      </c>
      <c r="Z101" t="str">
        <f t="shared" si="5"/>
        <v>สแกนต่าง Cost</v>
      </c>
    </row>
    <row r="102" spans="1:26" x14ac:dyDescent="0.45">
      <c r="B102" t="s">
        <v>53</v>
      </c>
      <c r="C102">
        <v>20343361</v>
      </c>
      <c r="D102" t="s">
        <v>109</v>
      </c>
      <c r="E102" s="8">
        <v>46141.384722222225</v>
      </c>
      <c r="F102" s="8">
        <v>46141.697916666664</v>
      </c>
      <c r="G102" s="9">
        <v>6.5166666666666666</v>
      </c>
      <c r="H102" s="9">
        <f t="shared" si="3"/>
        <v>3.5000000000000003E-2</v>
      </c>
      <c r="I102" s="9">
        <v>3.5000000000000003E-2</v>
      </c>
      <c r="J102" s="9"/>
      <c r="K102" s="9"/>
      <c r="L102" s="9"/>
      <c r="M102" t="s">
        <v>65</v>
      </c>
      <c r="N102" t="s">
        <v>29</v>
      </c>
      <c r="P102" t="s">
        <v>30</v>
      </c>
      <c r="Q102" t="s">
        <v>31</v>
      </c>
      <c r="R102">
        <v>82630</v>
      </c>
      <c r="S102" t="s">
        <v>32</v>
      </c>
      <c r="T102">
        <v>82664</v>
      </c>
      <c r="U102" t="s">
        <v>75</v>
      </c>
      <c r="V102" t="s">
        <v>75</v>
      </c>
      <c r="W102" t="s">
        <v>37</v>
      </c>
      <c r="X102" t="s">
        <v>86</v>
      </c>
      <c r="Y102" s="9">
        <f t="shared" si="4"/>
        <v>0</v>
      </c>
      <c r="Z102" t="str">
        <f t="shared" si="5"/>
        <v>สแกนต่าง Cost</v>
      </c>
    </row>
    <row r="103" spans="1:26" x14ac:dyDescent="0.45">
      <c r="B103" t="s">
        <v>53</v>
      </c>
      <c r="C103">
        <v>20029099</v>
      </c>
      <c r="D103" t="s">
        <v>163</v>
      </c>
      <c r="E103" s="8">
        <v>46141.384027777778</v>
      </c>
      <c r="F103" s="8">
        <v>46141.697222222225</v>
      </c>
      <c r="G103" s="9">
        <v>6.5166666666666666</v>
      </c>
      <c r="H103" s="9">
        <f t="shared" si="3"/>
        <v>3.5000000000000003E-2</v>
      </c>
      <c r="I103" s="9">
        <v>3.5000000000000003E-2</v>
      </c>
      <c r="J103" s="9"/>
      <c r="K103" s="9"/>
      <c r="L103" s="9"/>
      <c r="M103" t="s">
        <v>65</v>
      </c>
      <c r="N103" t="s">
        <v>29</v>
      </c>
      <c r="P103" t="s">
        <v>30</v>
      </c>
      <c r="Q103" t="s">
        <v>31</v>
      </c>
      <c r="R103">
        <v>82630</v>
      </c>
      <c r="S103" t="s">
        <v>32</v>
      </c>
      <c r="T103">
        <v>82664</v>
      </c>
      <c r="U103" t="s">
        <v>75</v>
      </c>
      <c r="V103" t="s">
        <v>75</v>
      </c>
      <c r="W103" t="s">
        <v>37</v>
      </c>
      <c r="X103" t="s">
        <v>86</v>
      </c>
      <c r="Y103" s="9">
        <f t="shared" si="4"/>
        <v>0</v>
      </c>
      <c r="Z103" t="str">
        <f t="shared" si="5"/>
        <v>สแกนต่าง Cost</v>
      </c>
    </row>
    <row r="104" spans="1:26" x14ac:dyDescent="0.45">
      <c r="A104">
        <v>27116</v>
      </c>
      <c r="B104" t="s">
        <v>53</v>
      </c>
      <c r="C104">
        <v>20026402</v>
      </c>
      <c r="D104" t="s">
        <v>164</v>
      </c>
      <c r="E104" s="8">
        <v>46141.375</v>
      </c>
      <c r="F104" s="8">
        <v>46141.770833333336</v>
      </c>
      <c r="G104" s="9">
        <v>8.5</v>
      </c>
      <c r="H104" s="9">
        <f t="shared" si="3"/>
        <v>4.4999999999999998E-2</v>
      </c>
      <c r="I104" s="9">
        <v>4.4999999999999998E-2</v>
      </c>
      <c r="J104" s="9"/>
      <c r="K104" s="9"/>
      <c r="L104" s="9"/>
      <c r="M104" t="s">
        <v>65</v>
      </c>
      <c r="N104" t="s">
        <v>29</v>
      </c>
      <c r="P104" t="s">
        <v>30</v>
      </c>
      <c r="Q104" t="s">
        <v>31</v>
      </c>
      <c r="R104">
        <v>82301</v>
      </c>
      <c r="S104" t="s">
        <v>79</v>
      </c>
      <c r="T104">
        <v>82308</v>
      </c>
      <c r="U104" t="s">
        <v>69</v>
      </c>
      <c r="V104" t="s">
        <v>69</v>
      </c>
      <c r="W104" t="s">
        <v>69</v>
      </c>
      <c r="X104" t="s">
        <v>88</v>
      </c>
      <c r="Y104" s="9">
        <f t="shared" si="4"/>
        <v>0</v>
      </c>
      <c r="Z104" t="str">
        <f t="shared" si="5"/>
        <v>สแกนต่าง Cost</v>
      </c>
    </row>
    <row r="105" spans="1:26" x14ac:dyDescent="0.45">
      <c r="B105" t="s">
        <v>53</v>
      </c>
      <c r="C105">
        <v>20002972</v>
      </c>
      <c r="D105" t="s">
        <v>165</v>
      </c>
      <c r="E105" s="8">
        <v>46141.351388888892</v>
      </c>
      <c r="F105" s="8">
        <v>46141.729166666664</v>
      </c>
      <c r="G105" s="9">
        <v>8.0666666666666664</v>
      </c>
      <c r="H105" s="9">
        <f t="shared" si="3"/>
        <v>4.2999999999999997E-2</v>
      </c>
      <c r="I105" s="9"/>
      <c r="J105" s="9">
        <v>4.2999999999999997E-2</v>
      </c>
      <c r="K105" s="9"/>
      <c r="L105" s="9"/>
      <c r="M105" t="s">
        <v>77</v>
      </c>
      <c r="N105" t="s">
        <v>40</v>
      </c>
      <c r="O105" t="s">
        <v>78</v>
      </c>
      <c r="P105" t="s">
        <v>30</v>
      </c>
      <c r="Q105" t="s">
        <v>31</v>
      </c>
      <c r="R105">
        <v>82301</v>
      </c>
      <c r="S105" t="s">
        <v>79</v>
      </c>
      <c r="T105">
        <v>82640</v>
      </c>
      <c r="U105" t="s">
        <v>42</v>
      </c>
      <c r="V105" t="s">
        <v>70</v>
      </c>
      <c r="W105" t="s">
        <v>71</v>
      </c>
      <c r="X105" t="s">
        <v>72</v>
      </c>
      <c r="Y105" s="9">
        <f t="shared" si="4"/>
        <v>4.2999999999999997E-2</v>
      </c>
      <c r="Z105" t="str">
        <f t="shared" si="5"/>
        <v>สแกนต่าง Cost</v>
      </c>
    </row>
    <row r="106" spans="1:26" x14ac:dyDescent="0.45">
      <c r="B106" t="s">
        <v>53</v>
      </c>
      <c r="C106">
        <v>20276269</v>
      </c>
      <c r="D106" t="s">
        <v>134</v>
      </c>
      <c r="E106" s="8">
        <v>46141.351388888892</v>
      </c>
      <c r="F106" s="8">
        <v>46141.68472222222</v>
      </c>
      <c r="G106" s="9">
        <v>7</v>
      </c>
      <c r="H106" s="9">
        <f t="shared" si="3"/>
        <v>3.6999999999999998E-2</v>
      </c>
      <c r="I106" s="9">
        <v>3.6999999999999998E-2</v>
      </c>
      <c r="J106" s="9"/>
      <c r="K106" s="9"/>
      <c r="L106" s="9"/>
      <c r="M106" t="s">
        <v>65</v>
      </c>
      <c r="N106" t="s">
        <v>29</v>
      </c>
      <c r="P106" t="s">
        <v>30</v>
      </c>
      <c r="Q106" t="s">
        <v>31</v>
      </c>
      <c r="R106">
        <v>82308</v>
      </c>
      <c r="S106" t="s">
        <v>69</v>
      </c>
      <c r="T106">
        <v>82640</v>
      </c>
      <c r="U106" t="s">
        <v>42</v>
      </c>
      <c r="V106" t="s">
        <v>70</v>
      </c>
      <c r="W106" t="s">
        <v>71</v>
      </c>
      <c r="X106" t="s">
        <v>72</v>
      </c>
      <c r="Y106" s="9">
        <f t="shared" si="4"/>
        <v>0</v>
      </c>
      <c r="Z106" t="str">
        <f t="shared" si="5"/>
        <v>สแกนต่าง Cost</v>
      </c>
    </row>
    <row r="107" spans="1:26" x14ac:dyDescent="0.45">
      <c r="B107" t="s">
        <v>53</v>
      </c>
      <c r="C107">
        <v>20339209</v>
      </c>
      <c r="D107" t="s">
        <v>166</v>
      </c>
      <c r="E107" s="8">
        <v>46141.351388888892</v>
      </c>
      <c r="F107" s="8">
        <v>46141.729166666664</v>
      </c>
      <c r="G107" s="9">
        <v>8.0666666666666664</v>
      </c>
      <c r="H107" s="9">
        <f t="shared" si="3"/>
        <v>4.2999999999999997E-2</v>
      </c>
      <c r="I107" s="9">
        <v>4.2999999999999997E-2</v>
      </c>
      <c r="J107" s="9"/>
      <c r="K107" s="9"/>
      <c r="L107" s="9"/>
      <c r="M107" t="s">
        <v>65</v>
      </c>
      <c r="N107" t="s">
        <v>29</v>
      </c>
      <c r="P107" t="s">
        <v>30</v>
      </c>
      <c r="Q107" t="s">
        <v>31</v>
      </c>
      <c r="R107">
        <v>82308</v>
      </c>
      <c r="S107" t="s">
        <v>69</v>
      </c>
      <c r="T107">
        <v>82640</v>
      </c>
      <c r="U107" t="s">
        <v>42</v>
      </c>
      <c r="V107" t="s">
        <v>70</v>
      </c>
      <c r="W107" t="s">
        <v>71</v>
      </c>
      <c r="X107" t="s">
        <v>72</v>
      </c>
      <c r="Y107" s="9">
        <f t="shared" si="4"/>
        <v>0</v>
      </c>
      <c r="Z107" t="str">
        <f t="shared" si="5"/>
        <v>สแกนต่าง Cost</v>
      </c>
    </row>
    <row r="108" spans="1:26" x14ac:dyDescent="0.45">
      <c r="B108" t="s">
        <v>26</v>
      </c>
      <c r="C108">
        <v>20014598</v>
      </c>
      <c r="D108" t="s">
        <v>89</v>
      </c>
      <c r="E108" s="8">
        <v>46141.333333333336</v>
      </c>
      <c r="F108" s="8">
        <v>46141.729166666664</v>
      </c>
      <c r="G108" s="9">
        <v>8.5</v>
      </c>
      <c r="H108" s="9">
        <f t="shared" si="3"/>
        <v>4.4999999999999998E-2</v>
      </c>
      <c r="I108" s="9">
        <v>4.4999999999999998E-2</v>
      </c>
      <c r="J108" s="9"/>
      <c r="K108" s="9"/>
      <c r="L108" s="9"/>
      <c r="M108" t="s">
        <v>65</v>
      </c>
      <c r="N108" t="s">
        <v>29</v>
      </c>
      <c r="P108" t="s">
        <v>30</v>
      </c>
      <c r="Q108" t="s">
        <v>31</v>
      </c>
      <c r="R108">
        <v>82400</v>
      </c>
      <c r="S108" t="s">
        <v>83</v>
      </c>
      <c r="T108">
        <v>82690</v>
      </c>
      <c r="U108" t="s">
        <v>90</v>
      </c>
      <c r="V108" t="s">
        <v>90</v>
      </c>
      <c r="W108" t="s">
        <v>91</v>
      </c>
      <c r="X108" t="s">
        <v>92</v>
      </c>
      <c r="Y108" s="9">
        <f t="shared" si="4"/>
        <v>0</v>
      </c>
      <c r="Z108" t="str">
        <f t="shared" si="5"/>
        <v>สแกนต่าง Cost</v>
      </c>
    </row>
    <row r="109" spans="1:26" x14ac:dyDescent="0.45">
      <c r="B109" t="s">
        <v>53</v>
      </c>
      <c r="C109">
        <v>20014916</v>
      </c>
      <c r="D109" t="s">
        <v>167</v>
      </c>
      <c r="E109" s="8">
        <v>46141.333333333336</v>
      </c>
      <c r="F109" s="8">
        <v>46142.729166666664</v>
      </c>
      <c r="G109" s="9">
        <v>33.5</v>
      </c>
      <c r="H109" s="9">
        <f t="shared" si="3"/>
        <v>0.17899999999999999</v>
      </c>
      <c r="I109" s="9">
        <v>0.17899999999999999</v>
      </c>
      <c r="J109" s="9"/>
      <c r="K109" s="9"/>
      <c r="L109" s="9"/>
      <c r="M109" t="s">
        <v>28</v>
      </c>
      <c r="N109" t="s">
        <v>29</v>
      </c>
      <c r="P109" t="s">
        <v>133</v>
      </c>
      <c r="Q109" t="s">
        <v>31</v>
      </c>
      <c r="R109">
        <v>82607</v>
      </c>
      <c r="S109" t="s">
        <v>168</v>
      </c>
      <c r="T109">
        <v>82640</v>
      </c>
      <c r="U109" t="s">
        <v>42</v>
      </c>
      <c r="V109" t="s">
        <v>155</v>
      </c>
      <c r="W109" t="s">
        <v>47</v>
      </c>
      <c r="X109" t="s">
        <v>95</v>
      </c>
      <c r="Y109" s="9">
        <f t="shared" si="4"/>
        <v>0</v>
      </c>
      <c r="Z109" t="str">
        <f t="shared" si="5"/>
        <v>สแกนต่าง Cost</v>
      </c>
    </row>
    <row r="110" spans="1:26" x14ac:dyDescent="0.45">
      <c r="A110">
        <v>27107</v>
      </c>
      <c r="B110" t="s">
        <v>53</v>
      </c>
      <c r="C110">
        <v>20017430</v>
      </c>
      <c r="D110" t="s">
        <v>94</v>
      </c>
      <c r="E110" s="8">
        <v>46141.333333333336</v>
      </c>
      <c r="F110" s="8">
        <v>46141.729166666664</v>
      </c>
      <c r="G110" s="9">
        <v>8.5</v>
      </c>
      <c r="H110" s="9">
        <f t="shared" si="3"/>
        <v>4.4999999999999998E-2</v>
      </c>
      <c r="I110" s="9">
        <v>4.4999999999999998E-2</v>
      </c>
      <c r="J110" s="9"/>
      <c r="K110" s="9"/>
      <c r="L110" s="9"/>
      <c r="M110" t="s">
        <v>65</v>
      </c>
      <c r="N110" t="s">
        <v>29</v>
      </c>
      <c r="P110" t="s">
        <v>30</v>
      </c>
      <c r="Q110" t="s">
        <v>31</v>
      </c>
      <c r="R110">
        <v>82301</v>
      </c>
      <c r="S110" t="s">
        <v>79</v>
      </c>
      <c r="T110">
        <v>82308</v>
      </c>
      <c r="U110" t="s">
        <v>69</v>
      </c>
      <c r="V110" t="s">
        <v>69</v>
      </c>
      <c r="W110" t="s">
        <v>69</v>
      </c>
      <c r="X110" t="s">
        <v>95</v>
      </c>
      <c r="Y110" s="9">
        <f t="shared" si="4"/>
        <v>0</v>
      </c>
      <c r="Z110" t="str">
        <f t="shared" si="5"/>
        <v>สแกนต่าง Cost</v>
      </c>
    </row>
    <row r="111" spans="1:26" x14ac:dyDescent="0.45">
      <c r="A111">
        <v>27111</v>
      </c>
      <c r="B111" t="s">
        <v>53</v>
      </c>
      <c r="C111">
        <v>20018611</v>
      </c>
      <c r="D111" t="s">
        <v>132</v>
      </c>
      <c r="E111" s="8">
        <v>46141.333333333336</v>
      </c>
      <c r="F111" s="8">
        <v>46141.729166666664</v>
      </c>
      <c r="G111" s="9">
        <v>8.5</v>
      </c>
      <c r="H111" s="9">
        <f t="shared" si="3"/>
        <v>4.4999999999999998E-2</v>
      </c>
      <c r="I111" s="9">
        <v>4.4999999999999998E-2</v>
      </c>
      <c r="J111" s="9"/>
      <c r="K111" s="9"/>
      <c r="L111" s="9"/>
      <c r="M111" t="s">
        <v>65</v>
      </c>
      <c r="N111" t="s">
        <v>29</v>
      </c>
      <c r="P111" t="s">
        <v>133</v>
      </c>
      <c r="Q111" t="s">
        <v>31</v>
      </c>
      <c r="R111">
        <v>82301</v>
      </c>
      <c r="S111" t="s">
        <v>79</v>
      </c>
      <c r="T111">
        <v>82308</v>
      </c>
      <c r="U111" t="s">
        <v>69</v>
      </c>
      <c r="V111" t="s">
        <v>69</v>
      </c>
      <c r="W111" t="s">
        <v>69</v>
      </c>
      <c r="X111" t="s">
        <v>95</v>
      </c>
      <c r="Y111" s="9">
        <f t="shared" si="4"/>
        <v>0</v>
      </c>
      <c r="Z111" t="str">
        <f t="shared" si="5"/>
        <v>สแกนต่าง Cost</v>
      </c>
    </row>
    <row r="112" spans="1:26" x14ac:dyDescent="0.45">
      <c r="B112" t="s">
        <v>53</v>
      </c>
      <c r="C112">
        <v>20018899</v>
      </c>
      <c r="D112" t="s">
        <v>64</v>
      </c>
      <c r="E112" s="8">
        <v>46141.333333333336</v>
      </c>
      <c r="F112" s="8">
        <v>46141.5</v>
      </c>
      <c r="G112" s="9">
        <v>4</v>
      </c>
      <c r="H112" s="9">
        <f t="shared" si="3"/>
        <v>2.1000000000000001E-2</v>
      </c>
      <c r="I112" s="9">
        <v>2.1000000000000001E-2</v>
      </c>
      <c r="J112" s="9"/>
      <c r="K112" s="9"/>
      <c r="L112" s="9"/>
      <c r="M112" t="s">
        <v>65</v>
      </c>
      <c r="N112" t="s">
        <v>29</v>
      </c>
      <c r="P112" t="s">
        <v>30</v>
      </c>
      <c r="Q112" t="s">
        <v>31</v>
      </c>
      <c r="R112">
        <v>82640</v>
      </c>
      <c r="S112" t="s">
        <v>42</v>
      </c>
      <c r="T112">
        <v>82652</v>
      </c>
      <c r="U112" t="s">
        <v>46</v>
      </c>
      <c r="V112" t="s">
        <v>66</v>
      </c>
      <c r="W112" t="s">
        <v>37</v>
      </c>
      <c r="X112" t="s">
        <v>34</v>
      </c>
      <c r="Y112" s="9">
        <f t="shared" si="4"/>
        <v>0</v>
      </c>
      <c r="Z112" t="str">
        <f t="shared" si="5"/>
        <v>สแกนต่าง Cost</v>
      </c>
    </row>
    <row r="113" spans="1:26" x14ac:dyDescent="0.45">
      <c r="B113" t="s">
        <v>53</v>
      </c>
      <c r="C113">
        <v>20023163</v>
      </c>
      <c r="D113" t="s">
        <v>169</v>
      </c>
      <c r="E113" s="8">
        <v>46141.333333333336</v>
      </c>
      <c r="F113" s="8">
        <v>46141.729166666664</v>
      </c>
      <c r="G113" s="9">
        <v>8.5</v>
      </c>
      <c r="H113" s="9">
        <f t="shared" si="3"/>
        <v>4.4999999999999998E-2</v>
      </c>
      <c r="I113" s="9">
        <v>4.4999999999999998E-2</v>
      </c>
      <c r="J113" s="9"/>
      <c r="K113" s="9"/>
      <c r="L113" s="9"/>
      <c r="M113" t="s">
        <v>65</v>
      </c>
      <c r="N113" t="s">
        <v>29</v>
      </c>
      <c r="P113" t="s">
        <v>30</v>
      </c>
      <c r="Q113" t="s">
        <v>31</v>
      </c>
      <c r="R113">
        <v>82630</v>
      </c>
      <c r="S113" t="s">
        <v>32</v>
      </c>
      <c r="T113">
        <v>82640</v>
      </c>
      <c r="U113" t="s">
        <v>42</v>
      </c>
      <c r="V113" t="s">
        <v>70</v>
      </c>
      <c r="W113" t="s">
        <v>170</v>
      </c>
      <c r="X113" t="s">
        <v>171</v>
      </c>
      <c r="Y113" s="9">
        <f t="shared" si="4"/>
        <v>0</v>
      </c>
      <c r="Z113" t="str">
        <f t="shared" si="5"/>
        <v>สแกนต่าง Cost</v>
      </c>
    </row>
    <row r="114" spans="1:26" x14ac:dyDescent="0.45">
      <c r="B114" t="s">
        <v>53</v>
      </c>
      <c r="C114">
        <v>20034535</v>
      </c>
      <c r="D114" t="s">
        <v>99</v>
      </c>
      <c r="E114" s="8">
        <v>46141.333333333336</v>
      </c>
      <c r="F114" s="8">
        <v>46141.729166666664</v>
      </c>
      <c r="G114" s="9">
        <v>8.5</v>
      </c>
      <c r="H114" s="9">
        <f t="shared" si="3"/>
        <v>4.4999999999999998E-2</v>
      </c>
      <c r="I114" s="9">
        <v>4.4999999999999998E-2</v>
      </c>
      <c r="J114" s="9"/>
      <c r="K114" s="9"/>
      <c r="L114" s="9"/>
      <c r="M114" t="s">
        <v>65</v>
      </c>
      <c r="N114" t="s">
        <v>29</v>
      </c>
      <c r="P114" t="s">
        <v>30</v>
      </c>
      <c r="Q114" t="s">
        <v>31</v>
      </c>
      <c r="R114">
        <v>82630</v>
      </c>
      <c r="S114" t="s">
        <v>32</v>
      </c>
      <c r="T114">
        <v>82611</v>
      </c>
      <c r="U114" t="s">
        <v>43</v>
      </c>
      <c r="V114" t="s">
        <v>43</v>
      </c>
      <c r="W114" t="s">
        <v>170</v>
      </c>
      <c r="X114" t="s">
        <v>171</v>
      </c>
      <c r="Y114" s="9">
        <f t="shared" si="4"/>
        <v>0</v>
      </c>
      <c r="Z114" t="str">
        <f t="shared" si="5"/>
        <v>สแกนต่าง Cost</v>
      </c>
    </row>
    <row r="115" spans="1:26" x14ac:dyDescent="0.45">
      <c r="B115" t="s">
        <v>53</v>
      </c>
      <c r="C115">
        <v>20037938</v>
      </c>
      <c r="D115" t="s">
        <v>172</v>
      </c>
      <c r="E115" s="8">
        <v>46141.333333333336</v>
      </c>
      <c r="F115" s="8">
        <v>46141.729166666664</v>
      </c>
      <c r="G115" s="9">
        <v>8.5</v>
      </c>
      <c r="H115" s="9">
        <f t="shared" si="3"/>
        <v>4.4999999999999998E-2</v>
      </c>
      <c r="I115" s="9">
        <v>4.4999999999999998E-2</v>
      </c>
      <c r="J115" s="9"/>
      <c r="K115" s="9"/>
      <c r="L115" s="9"/>
      <c r="M115" t="s">
        <v>65</v>
      </c>
      <c r="N115" t="s">
        <v>29</v>
      </c>
      <c r="P115" t="s">
        <v>30</v>
      </c>
      <c r="Q115" t="s">
        <v>31</v>
      </c>
      <c r="R115">
        <v>82630</v>
      </c>
      <c r="S115" t="s">
        <v>32</v>
      </c>
      <c r="T115">
        <v>82611</v>
      </c>
      <c r="U115" t="s">
        <v>43</v>
      </c>
      <c r="V115" t="s">
        <v>43</v>
      </c>
      <c r="W115" t="s">
        <v>170</v>
      </c>
      <c r="X115" t="s">
        <v>171</v>
      </c>
      <c r="Y115" s="9">
        <f t="shared" si="4"/>
        <v>0</v>
      </c>
      <c r="Z115" t="str">
        <f t="shared" si="5"/>
        <v>สแกนต่าง Cost</v>
      </c>
    </row>
    <row r="116" spans="1:26" x14ac:dyDescent="0.45">
      <c r="B116" t="s">
        <v>53</v>
      </c>
      <c r="C116">
        <v>20041131</v>
      </c>
      <c r="D116" t="s">
        <v>173</v>
      </c>
      <c r="E116" s="8">
        <v>46141.333333333336</v>
      </c>
      <c r="F116" s="8">
        <v>46141.729166666664</v>
      </c>
      <c r="G116" s="9">
        <v>8.5</v>
      </c>
      <c r="H116" s="9">
        <f t="shared" si="3"/>
        <v>4.4999999999999998E-2</v>
      </c>
      <c r="I116" s="9">
        <v>4.4999999999999998E-2</v>
      </c>
      <c r="J116" s="9"/>
      <c r="K116" s="9"/>
      <c r="L116" s="9"/>
      <c r="M116" t="s">
        <v>65</v>
      </c>
      <c r="N116" t="s">
        <v>29</v>
      </c>
      <c r="P116" t="s">
        <v>30</v>
      </c>
      <c r="Q116" t="s">
        <v>31</v>
      </c>
      <c r="R116">
        <v>82630</v>
      </c>
      <c r="S116" t="s">
        <v>32</v>
      </c>
      <c r="T116">
        <v>82611</v>
      </c>
      <c r="U116" t="s">
        <v>43</v>
      </c>
      <c r="V116" t="s">
        <v>43</v>
      </c>
      <c r="W116" t="s">
        <v>170</v>
      </c>
      <c r="X116" t="s">
        <v>171</v>
      </c>
      <c r="Y116" s="9">
        <f t="shared" si="4"/>
        <v>0</v>
      </c>
      <c r="Z116" t="str">
        <f t="shared" si="5"/>
        <v>สแกนต่าง Cost</v>
      </c>
    </row>
    <row r="117" spans="1:26" x14ac:dyDescent="0.45">
      <c r="B117" t="s">
        <v>53</v>
      </c>
      <c r="C117">
        <v>20075871</v>
      </c>
      <c r="D117" t="s">
        <v>174</v>
      </c>
      <c r="E117" s="8">
        <v>46141.333333333336</v>
      </c>
      <c r="F117" s="8">
        <v>46141.729166666664</v>
      </c>
      <c r="G117" s="9">
        <v>8.5</v>
      </c>
      <c r="H117" s="9">
        <f t="shared" si="3"/>
        <v>4.4999999999999998E-2</v>
      </c>
      <c r="I117" s="9">
        <v>4.4999999999999998E-2</v>
      </c>
      <c r="J117" s="9"/>
      <c r="K117" s="9"/>
      <c r="L117" s="9"/>
      <c r="M117" t="s">
        <v>65</v>
      </c>
      <c r="N117" t="s">
        <v>29</v>
      </c>
      <c r="P117" t="s">
        <v>133</v>
      </c>
      <c r="Q117" t="s">
        <v>31</v>
      </c>
      <c r="R117">
        <v>82301</v>
      </c>
      <c r="S117" t="s">
        <v>79</v>
      </c>
      <c r="T117">
        <v>82308</v>
      </c>
      <c r="U117" t="s">
        <v>69</v>
      </c>
      <c r="V117" t="s">
        <v>69</v>
      </c>
      <c r="W117" t="s">
        <v>69</v>
      </c>
      <c r="X117" t="s">
        <v>95</v>
      </c>
      <c r="Y117" s="9">
        <f t="shared" si="4"/>
        <v>0</v>
      </c>
      <c r="Z117" t="str">
        <f t="shared" si="5"/>
        <v>สแกนต่าง Cost</v>
      </c>
    </row>
    <row r="118" spans="1:26" x14ac:dyDescent="0.45">
      <c r="A118">
        <v>27110</v>
      </c>
      <c r="B118" t="s">
        <v>53</v>
      </c>
      <c r="C118">
        <v>20076436</v>
      </c>
      <c r="D118" t="s">
        <v>131</v>
      </c>
      <c r="E118" s="8">
        <v>46141.333333333336</v>
      </c>
      <c r="F118" s="8">
        <v>46141.729166666664</v>
      </c>
      <c r="G118" s="9">
        <v>8.5</v>
      </c>
      <c r="H118" s="9">
        <f t="shared" si="3"/>
        <v>4.4999999999999998E-2</v>
      </c>
      <c r="I118" s="9">
        <v>4.4999999999999998E-2</v>
      </c>
      <c r="J118" s="9"/>
      <c r="K118" s="9"/>
      <c r="L118" s="9"/>
      <c r="M118" t="s">
        <v>65</v>
      </c>
      <c r="N118" t="s">
        <v>29</v>
      </c>
      <c r="P118" t="s">
        <v>30</v>
      </c>
      <c r="Q118" t="s">
        <v>31</v>
      </c>
      <c r="R118">
        <v>82301</v>
      </c>
      <c r="S118" t="s">
        <v>79</v>
      </c>
      <c r="T118">
        <v>82308</v>
      </c>
      <c r="U118" t="s">
        <v>69</v>
      </c>
      <c r="V118" t="s">
        <v>69</v>
      </c>
      <c r="W118" t="s">
        <v>69</v>
      </c>
      <c r="X118" t="s">
        <v>95</v>
      </c>
      <c r="Y118" s="9">
        <f t="shared" si="4"/>
        <v>0</v>
      </c>
      <c r="Z118" t="str">
        <f t="shared" si="5"/>
        <v>สแกนต่าง Cost</v>
      </c>
    </row>
    <row r="119" spans="1:26" x14ac:dyDescent="0.45">
      <c r="A119">
        <v>27112</v>
      </c>
      <c r="B119" t="s">
        <v>53</v>
      </c>
      <c r="C119">
        <v>20083462</v>
      </c>
      <c r="D119" t="s">
        <v>175</v>
      </c>
      <c r="E119" s="8">
        <v>46141.333333333336</v>
      </c>
      <c r="F119" s="8">
        <v>46141.729166666664</v>
      </c>
      <c r="G119" s="9">
        <v>8.5</v>
      </c>
      <c r="H119" s="9">
        <f t="shared" si="3"/>
        <v>4.4999999999999998E-2</v>
      </c>
      <c r="I119" s="9">
        <v>4.4999999999999998E-2</v>
      </c>
      <c r="J119" s="9"/>
      <c r="K119" s="9"/>
      <c r="L119" s="9"/>
      <c r="M119" t="s">
        <v>65</v>
      </c>
      <c r="N119" t="s">
        <v>29</v>
      </c>
      <c r="P119" t="s">
        <v>30</v>
      </c>
      <c r="Q119" t="s">
        <v>31</v>
      </c>
      <c r="R119">
        <v>82308</v>
      </c>
      <c r="S119" t="s">
        <v>69</v>
      </c>
      <c r="T119">
        <v>82301</v>
      </c>
      <c r="U119" t="s">
        <v>79</v>
      </c>
      <c r="V119" t="s">
        <v>79</v>
      </c>
      <c r="W119" t="s">
        <v>80</v>
      </c>
      <c r="X119" t="s">
        <v>176</v>
      </c>
      <c r="Y119" s="9">
        <f t="shared" si="4"/>
        <v>0</v>
      </c>
      <c r="Z119" t="str">
        <f t="shared" si="5"/>
        <v>สแกนต่าง Cost</v>
      </c>
    </row>
    <row r="120" spans="1:26" x14ac:dyDescent="0.45">
      <c r="A120">
        <v>27108</v>
      </c>
      <c r="B120" t="s">
        <v>53</v>
      </c>
      <c r="C120">
        <v>20152023</v>
      </c>
      <c r="D120" t="s">
        <v>177</v>
      </c>
      <c r="E120" s="8">
        <v>46141.333333333336</v>
      </c>
      <c r="F120" s="8">
        <v>46141.729166666664</v>
      </c>
      <c r="G120" s="9">
        <v>8.5</v>
      </c>
      <c r="H120" s="9">
        <f t="shared" si="3"/>
        <v>4.4999999999999998E-2</v>
      </c>
      <c r="I120" s="9">
        <v>4.4999999999999998E-2</v>
      </c>
      <c r="J120" s="9"/>
      <c r="K120" s="9"/>
      <c r="L120" s="9"/>
      <c r="M120" t="s">
        <v>65</v>
      </c>
      <c r="N120" t="s">
        <v>29</v>
      </c>
      <c r="P120" t="s">
        <v>30</v>
      </c>
      <c r="Q120" t="s">
        <v>31</v>
      </c>
      <c r="R120">
        <v>82308</v>
      </c>
      <c r="S120" t="s">
        <v>69</v>
      </c>
      <c r="T120">
        <v>82301</v>
      </c>
      <c r="U120" t="s">
        <v>79</v>
      </c>
      <c r="V120" t="s">
        <v>79</v>
      </c>
      <c r="W120" t="s">
        <v>80</v>
      </c>
      <c r="X120" t="s">
        <v>176</v>
      </c>
      <c r="Y120" s="9">
        <f t="shared" si="4"/>
        <v>0</v>
      </c>
      <c r="Z120" t="str">
        <f t="shared" si="5"/>
        <v>สแกนต่าง Cost</v>
      </c>
    </row>
    <row r="121" spans="1:26" x14ac:dyDescent="0.45">
      <c r="B121" t="s">
        <v>53</v>
      </c>
      <c r="C121">
        <v>20198711</v>
      </c>
      <c r="D121" t="s">
        <v>178</v>
      </c>
      <c r="E121" s="8">
        <v>46141.333333333336</v>
      </c>
      <c r="F121" s="8">
        <v>46141.729166666664</v>
      </c>
      <c r="G121" s="9">
        <v>8.5</v>
      </c>
      <c r="H121" s="9">
        <f t="shared" si="3"/>
        <v>4.4999999999999998E-2</v>
      </c>
      <c r="I121" s="9">
        <v>4.4999999999999998E-2</v>
      </c>
      <c r="J121" s="9"/>
      <c r="K121" s="9"/>
      <c r="L121" s="9"/>
      <c r="M121" t="s">
        <v>65</v>
      </c>
      <c r="N121" t="s">
        <v>29</v>
      </c>
      <c r="P121" t="s">
        <v>30</v>
      </c>
      <c r="Q121" t="s">
        <v>31</v>
      </c>
      <c r="R121">
        <v>82630</v>
      </c>
      <c r="S121" t="s">
        <v>32</v>
      </c>
      <c r="T121">
        <v>82611</v>
      </c>
      <c r="U121" t="s">
        <v>43</v>
      </c>
      <c r="V121" t="s">
        <v>43</v>
      </c>
      <c r="W121" t="s">
        <v>170</v>
      </c>
      <c r="X121" t="s">
        <v>171</v>
      </c>
      <c r="Y121" s="9">
        <f t="shared" si="4"/>
        <v>0</v>
      </c>
      <c r="Z121" t="str">
        <f t="shared" si="5"/>
        <v>สแกนต่าง Cost</v>
      </c>
    </row>
    <row r="122" spans="1:26" x14ac:dyDescent="0.45">
      <c r="B122" t="s">
        <v>53</v>
      </c>
      <c r="C122">
        <v>20198715</v>
      </c>
      <c r="D122" t="s">
        <v>179</v>
      </c>
      <c r="E122" s="8">
        <v>46141.333333333336</v>
      </c>
      <c r="F122" s="8">
        <v>46141.729166666664</v>
      </c>
      <c r="G122" s="9">
        <v>8.5</v>
      </c>
      <c r="H122" s="9">
        <f t="shared" si="3"/>
        <v>4.4999999999999998E-2</v>
      </c>
      <c r="I122" s="9">
        <v>4.4999999999999998E-2</v>
      </c>
      <c r="J122" s="9"/>
      <c r="K122" s="9"/>
      <c r="L122" s="9"/>
      <c r="M122" t="s">
        <v>65</v>
      </c>
      <c r="N122" t="s">
        <v>29</v>
      </c>
      <c r="P122" t="s">
        <v>30</v>
      </c>
      <c r="Q122" t="s">
        <v>31</v>
      </c>
      <c r="R122">
        <v>82630</v>
      </c>
      <c r="S122" t="s">
        <v>32</v>
      </c>
      <c r="T122">
        <v>82611</v>
      </c>
      <c r="U122" t="s">
        <v>43</v>
      </c>
      <c r="V122" t="s">
        <v>43</v>
      </c>
      <c r="W122" t="s">
        <v>170</v>
      </c>
      <c r="X122" t="s">
        <v>171</v>
      </c>
      <c r="Y122" s="9">
        <f t="shared" si="4"/>
        <v>0</v>
      </c>
      <c r="Z122" t="str">
        <f t="shared" si="5"/>
        <v>สแกนต่าง Cost</v>
      </c>
    </row>
    <row r="123" spans="1:26" x14ac:dyDescent="0.45">
      <c r="B123" t="s">
        <v>53</v>
      </c>
      <c r="C123">
        <v>20198747</v>
      </c>
      <c r="D123" t="s">
        <v>180</v>
      </c>
      <c r="E123" s="8">
        <v>46141.333333333336</v>
      </c>
      <c r="F123" s="8">
        <v>46141.729166666664</v>
      </c>
      <c r="G123" s="9">
        <v>8.5</v>
      </c>
      <c r="H123" s="9">
        <f t="shared" si="3"/>
        <v>4.4999999999999998E-2</v>
      </c>
      <c r="I123" s="9">
        <v>4.4999999999999998E-2</v>
      </c>
      <c r="J123" s="9"/>
      <c r="K123" s="9"/>
      <c r="L123" s="9"/>
      <c r="M123" t="s">
        <v>65</v>
      </c>
      <c r="N123" t="s">
        <v>29</v>
      </c>
      <c r="P123" t="s">
        <v>30</v>
      </c>
      <c r="Q123" t="s">
        <v>31</v>
      </c>
      <c r="R123">
        <v>82630</v>
      </c>
      <c r="S123" t="s">
        <v>32</v>
      </c>
      <c r="T123">
        <v>82640</v>
      </c>
      <c r="U123" t="s">
        <v>42</v>
      </c>
      <c r="V123" t="s">
        <v>70</v>
      </c>
      <c r="W123" t="s">
        <v>170</v>
      </c>
      <c r="X123" t="s">
        <v>171</v>
      </c>
      <c r="Y123" s="9">
        <f t="shared" si="4"/>
        <v>0</v>
      </c>
      <c r="Z123" t="str">
        <f t="shared" si="5"/>
        <v>สแกนต่าง Cost</v>
      </c>
    </row>
    <row r="124" spans="1:26" x14ac:dyDescent="0.45">
      <c r="B124" t="s">
        <v>53</v>
      </c>
      <c r="C124">
        <v>20220646</v>
      </c>
      <c r="D124" t="s">
        <v>67</v>
      </c>
      <c r="E124" s="8">
        <v>46141.333333333336</v>
      </c>
      <c r="F124" s="8">
        <v>46141.5</v>
      </c>
      <c r="G124" s="9">
        <v>4</v>
      </c>
      <c r="H124" s="9">
        <f t="shared" si="3"/>
        <v>2.1000000000000001E-2</v>
      </c>
      <c r="I124" s="9">
        <v>2.1000000000000001E-2</v>
      </c>
      <c r="J124" s="9"/>
      <c r="K124" s="9"/>
      <c r="L124" s="9"/>
      <c r="M124" t="s">
        <v>65</v>
      </c>
      <c r="N124" t="s">
        <v>29</v>
      </c>
      <c r="P124" t="s">
        <v>30</v>
      </c>
      <c r="Q124" t="s">
        <v>31</v>
      </c>
      <c r="R124">
        <v>82640</v>
      </c>
      <c r="S124" t="s">
        <v>42</v>
      </c>
      <c r="T124">
        <v>82652</v>
      </c>
      <c r="U124" t="s">
        <v>46</v>
      </c>
      <c r="V124" t="s">
        <v>66</v>
      </c>
      <c r="W124" t="s">
        <v>37</v>
      </c>
      <c r="X124" t="s">
        <v>34</v>
      </c>
      <c r="Y124" s="9">
        <f t="shared" si="4"/>
        <v>0</v>
      </c>
      <c r="Z124" t="str">
        <f t="shared" si="5"/>
        <v>สแกนต่าง Cost</v>
      </c>
    </row>
    <row r="125" spans="1:26" x14ac:dyDescent="0.45">
      <c r="B125" t="s">
        <v>53</v>
      </c>
      <c r="C125">
        <v>20267288</v>
      </c>
      <c r="D125" t="s">
        <v>127</v>
      </c>
      <c r="E125" s="8">
        <v>46141.333333333336</v>
      </c>
      <c r="F125" s="8">
        <v>46141.786805555559</v>
      </c>
      <c r="G125" s="9">
        <v>10.883333333333333</v>
      </c>
      <c r="H125" s="9">
        <f t="shared" si="3"/>
        <v>5.7999999999999996E-2</v>
      </c>
      <c r="I125" s="9">
        <v>4.4999999999999998E-2</v>
      </c>
      <c r="J125" s="9"/>
      <c r="K125" s="9">
        <v>1.2999999999999999E-2</v>
      </c>
      <c r="L125" s="9"/>
      <c r="M125" t="s">
        <v>28</v>
      </c>
      <c r="N125" t="s">
        <v>40</v>
      </c>
      <c r="O125" t="s">
        <v>181</v>
      </c>
      <c r="P125" t="s">
        <v>30</v>
      </c>
      <c r="Q125" t="s">
        <v>31</v>
      </c>
      <c r="R125">
        <v>82409</v>
      </c>
      <c r="S125" t="s">
        <v>74</v>
      </c>
      <c r="T125">
        <v>82664</v>
      </c>
      <c r="U125" t="s">
        <v>75</v>
      </c>
      <c r="V125" t="s">
        <v>75</v>
      </c>
      <c r="W125" t="s">
        <v>74</v>
      </c>
      <c r="X125" t="s">
        <v>74</v>
      </c>
      <c r="Y125" s="9">
        <f t="shared" si="4"/>
        <v>1.2999999999999999E-2</v>
      </c>
      <c r="Z125" t="str">
        <f t="shared" si="5"/>
        <v>สแกนต่าง Cost</v>
      </c>
    </row>
    <row r="126" spans="1:26" x14ac:dyDescent="0.45">
      <c r="A126">
        <v>27109</v>
      </c>
      <c r="B126" t="s">
        <v>53</v>
      </c>
      <c r="C126">
        <v>20284710</v>
      </c>
      <c r="D126" t="s">
        <v>182</v>
      </c>
      <c r="E126" s="8">
        <v>46141.333333333336</v>
      </c>
      <c r="F126" s="8">
        <v>46141.704861111109</v>
      </c>
      <c r="G126" s="9">
        <v>8.9166666666666661</v>
      </c>
      <c r="H126" s="9">
        <f t="shared" si="3"/>
        <v>4.7E-2</v>
      </c>
      <c r="I126" s="9">
        <v>4.4999999999999998E-2</v>
      </c>
      <c r="J126" s="9"/>
      <c r="K126" s="9">
        <v>2E-3</v>
      </c>
      <c r="L126" s="9"/>
      <c r="M126" t="s">
        <v>28</v>
      </c>
      <c r="N126" t="s">
        <v>40</v>
      </c>
      <c r="O126" t="s">
        <v>183</v>
      </c>
      <c r="P126" t="s">
        <v>30</v>
      </c>
      <c r="Q126" t="s">
        <v>31</v>
      </c>
      <c r="R126">
        <v>82210</v>
      </c>
      <c r="S126" t="s">
        <v>184</v>
      </c>
      <c r="T126">
        <v>82308</v>
      </c>
      <c r="U126" t="s">
        <v>69</v>
      </c>
      <c r="V126" t="s">
        <v>69</v>
      </c>
      <c r="W126" t="s">
        <v>69</v>
      </c>
      <c r="X126" t="s">
        <v>57</v>
      </c>
      <c r="Y126" s="9">
        <f t="shared" si="4"/>
        <v>2E-3</v>
      </c>
      <c r="Z126" t="str">
        <f t="shared" si="5"/>
        <v>สแกนต่าง Cost</v>
      </c>
    </row>
    <row r="127" spans="1:26" x14ac:dyDescent="0.45">
      <c r="B127" t="s">
        <v>53</v>
      </c>
      <c r="C127">
        <v>20319535</v>
      </c>
      <c r="D127" t="s">
        <v>36</v>
      </c>
      <c r="E127" s="8">
        <v>46141.333333333336</v>
      </c>
      <c r="F127" s="8">
        <v>46141.729166666664</v>
      </c>
      <c r="G127" s="9">
        <v>9.5</v>
      </c>
      <c r="H127" s="9">
        <f t="shared" si="3"/>
        <v>4.9999999999999996E-2</v>
      </c>
      <c r="I127" s="9">
        <v>4.4999999999999998E-2</v>
      </c>
      <c r="J127" s="9"/>
      <c r="K127" s="9">
        <v>5.0000000000000001E-3</v>
      </c>
      <c r="L127" s="9"/>
      <c r="M127" t="s">
        <v>28</v>
      </c>
      <c r="N127" t="s">
        <v>29</v>
      </c>
      <c r="P127" t="s">
        <v>30</v>
      </c>
      <c r="Q127" t="s">
        <v>31</v>
      </c>
      <c r="R127">
        <v>82630</v>
      </c>
      <c r="S127" t="s">
        <v>32</v>
      </c>
      <c r="T127">
        <v>82611</v>
      </c>
      <c r="U127" t="s">
        <v>43</v>
      </c>
      <c r="V127" t="s">
        <v>43</v>
      </c>
      <c r="W127" t="s">
        <v>170</v>
      </c>
      <c r="X127" t="s">
        <v>171</v>
      </c>
      <c r="Y127" s="9">
        <f t="shared" si="4"/>
        <v>5.0000000000000001E-3</v>
      </c>
      <c r="Z127" t="str">
        <f t="shared" si="5"/>
        <v>สแกนต่าง Cost</v>
      </c>
    </row>
    <row r="128" spans="1:26" x14ac:dyDescent="0.45">
      <c r="B128" t="s">
        <v>26</v>
      </c>
      <c r="C128">
        <v>20328003</v>
      </c>
      <c r="D128" t="s">
        <v>107</v>
      </c>
      <c r="E128" s="8">
        <v>46141.333333333336</v>
      </c>
      <c r="F128" s="8">
        <v>46141.729166666664</v>
      </c>
      <c r="G128" s="9">
        <v>8.5</v>
      </c>
      <c r="H128" s="9">
        <f t="shared" si="3"/>
        <v>4.4999999999999998E-2</v>
      </c>
      <c r="I128" s="9">
        <v>4.4999999999999998E-2</v>
      </c>
      <c r="J128" s="9"/>
      <c r="K128" s="9"/>
      <c r="L128" s="9"/>
      <c r="M128" t="s">
        <v>65</v>
      </c>
      <c r="N128" t="s">
        <v>29</v>
      </c>
      <c r="P128" t="s">
        <v>30</v>
      </c>
      <c r="Q128" t="s">
        <v>31</v>
      </c>
      <c r="R128">
        <v>82400</v>
      </c>
      <c r="S128" t="s">
        <v>83</v>
      </c>
      <c r="T128">
        <v>82690</v>
      </c>
      <c r="U128" t="s">
        <v>90</v>
      </c>
      <c r="V128" t="s">
        <v>90</v>
      </c>
      <c r="W128" t="s">
        <v>91</v>
      </c>
      <c r="X128" t="s">
        <v>92</v>
      </c>
      <c r="Y128" s="9">
        <f t="shared" si="4"/>
        <v>0</v>
      </c>
      <c r="Z128" t="str">
        <f t="shared" si="5"/>
        <v>สแกนต่าง Cost</v>
      </c>
    </row>
    <row r="129" spans="2:26" x14ac:dyDescent="0.45">
      <c r="B129" t="s">
        <v>26</v>
      </c>
      <c r="C129">
        <v>20331986</v>
      </c>
      <c r="D129" t="s">
        <v>108</v>
      </c>
      <c r="E129" s="8">
        <v>46141.333333333336</v>
      </c>
      <c r="F129" s="8">
        <v>46141.729166666664</v>
      </c>
      <c r="G129" s="9">
        <v>8.5</v>
      </c>
      <c r="H129" s="9">
        <f t="shared" si="3"/>
        <v>4.4999999999999998E-2</v>
      </c>
      <c r="I129" s="9">
        <v>4.4999999999999998E-2</v>
      </c>
      <c r="J129" s="9"/>
      <c r="K129" s="9"/>
      <c r="L129" s="9"/>
      <c r="M129" t="s">
        <v>65</v>
      </c>
      <c r="N129" t="s">
        <v>29</v>
      </c>
      <c r="P129" t="s">
        <v>30</v>
      </c>
      <c r="Q129" t="s">
        <v>31</v>
      </c>
      <c r="R129">
        <v>82400</v>
      </c>
      <c r="S129" t="s">
        <v>83</v>
      </c>
      <c r="T129">
        <v>82690</v>
      </c>
      <c r="U129" t="s">
        <v>90</v>
      </c>
      <c r="V129" t="s">
        <v>90</v>
      </c>
      <c r="W129" t="s">
        <v>91</v>
      </c>
      <c r="X129" t="s">
        <v>92</v>
      </c>
      <c r="Y129" s="9">
        <f t="shared" si="4"/>
        <v>0</v>
      </c>
      <c r="Z129" t="str">
        <f t="shared" si="5"/>
        <v>สแกนต่าง Cost</v>
      </c>
    </row>
    <row r="130" spans="2:26" x14ac:dyDescent="0.45">
      <c r="B130" t="s">
        <v>26</v>
      </c>
      <c r="C130">
        <v>20334391</v>
      </c>
      <c r="D130" t="s">
        <v>185</v>
      </c>
      <c r="E130" s="8">
        <v>46141.333333333336</v>
      </c>
      <c r="F130" s="8">
        <v>46141.729166666664</v>
      </c>
      <c r="G130" s="9">
        <v>8.5</v>
      </c>
      <c r="H130" s="9">
        <f t="shared" si="3"/>
        <v>4.4999999999999998E-2</v>
      </c>
      <c r="I130" s="9"/>
      <c r="J130" s="9">
        <v>4.4999999999999998E-2</v>
      </c>
      <c r="K130" s="9"/>
      <c r="L130" s="9"/>
      <c r="M130" t="s">
        <v>77</v>
      </c>
      <c r="N130" t="s">
        <v>40</v>
      </c>
      <c r="O130" t="s">
        <v>78</v>
      </c>
      <c r="P130" t="s">
        <v>30</v>
      </c>
      <c r="Q130" t="s">
        <v>31</v>
      </c>
      <c r="R130">
        <v>82640</v>
      </c>
      <c r="S130" t="s">
        <v>42</v>
      </c>
      <c r="T130">
        <v>82658</v>
      </c>
      <c r="U130" t="s">
        <v>33</v>
      </c>
      <c r="V130" t="s">
        <v>33</v>
      </c>
      <c r="W130" t="s">
        <v>34</v>
      </c>
      <c r="X130" t="s">
        <v>34</v>
      </c>
      <c r="Y130" s="9">
        <f t="shared" si="4"/>
        <v>4.4999999999999998E-2</v>
      </c>
      <c r="Z130" t="str">
        <f t="shared" si="5"/>
        <v>สแกนต่าง Cost</v>
      </c>
    </row>
    <row r="131" spans="2:26" x14ac:dyDescent="0.45">
      <c r="B131" t="s">
        <v>53</v>
      </c>
      <c r="C131">
        <v>20344532</v>
      </c>
      <c r="D131" t="s">
        <v>186</v>
      </c>
      <c r="E131" s="8">
        <v>46141.333333333336</v>
      </c>
      <c r="F131" s="8">
        <v>46141.729166666664</v>
      </c>
      <c r="G131" s="9">
        <v>9.5</v>
      </c>
      <c r="H131" s="9">
        <f t="shared" ref="H131:H194" si="6">SUM(I131:L131)</f>
        <v>4.9999999999999996E-2</v>
      </c>
      <c r="I131" s="9">
        <v>4.4999999999999998E-2</v>
      </c>
      <c r="J131" s="9"/>
      <c r="K131" s="9">
        <v>5.0000000000000001E-3</v>
      </c>
      <c r="L131" s="9"/>
      <c r="M131" t="s">
        <v>28</v>
      </c>
      <c r="N131" t="s">
        <v>29</v>
      </c>
      <c r="P131" t="s">
        <v>30</v>
      </c>
      <c r="Q131" t="s">
        <v>31</v>
      </c>
      <c r="R131">
        <v>82630</v>
      </c>
      <c r="S131" t="s">
        <v>32</v>
      </c>
      <c r="T131">
        <v>82611</v>
      </c>
      <c r="U131" t="s">
        <v>43</v>
      </c>
      <c r="V131" t="s">
        <v>43</v>
      </c>
      <c r="W131" t="s">
        <v>170</v>
      </c>
      <c r="X131" t="s">
        <v>171</v>
      </c>
      <c r="Y131" s="9">
        <f t="shared" ref="Y131:Y194" si="7">SUM(J131:L131)</f>
        <v>5.0000000000000001E-3</v>
      </c>
      <c r="Z131" t="str">
        <f t="shared" ref="Z131:Z194" si="8">IF(R131=T131,"สแกน Cost ตัวเอง","สแกนต่าง Cost")</f>
        <v>สแกนต่าง Cost</v>
      </c>
    </row>
    <row r="132" spans="2:26" x14ac:dyDescent="0.45">
      <c r="B132" t="s">
        <v>53</v>
      </c>
      <c r="C132">
        <v>20352276</v>
      </c>
      <c r="D132" t="s">
        <v>187</v>
      </c>
      <c r="E132" s="8">
        <v>46141.333333333336</v>
      </c>
      <c r="F132" s="8">
        <v>46141.729166666664</v>
      </c>
      <c r="G132" s="9">
        <v>8.5</v>
      </c>
      <c r="H132" s="9">
        <f t="shared" si="6"/>
        <v>4.4999999999999998E-2</v>
      </c>
      <c r="I132" s="9">
        <v>4.4999999999999998E-2</v>
      </c>
      <c r="J132" s="9"/>
      <c r="K132" s="9"/>
      <c r="L132" s="9"/>
      <c r="M132" t="s">
        <v>65</v>
      </c>
      <c r="N132" t="s">
        <v>29</v>
      </c>
      <c r="P132" t="s">
        <v>30</v>
      </c>
      <c r="Q132" t="s">
        <v>31</v>
      </c>
      <c r="R132">
        <v>82630</v>
      </c>
      <c r="S132" t="s">
        <v>32</v>
      </c>
      <c r="T132">
        <v>82611</v>
      </c>
      <c r="U132" t="s">
        <v>43</v>
      </c>
      <c r="V132" t="s">
        <v>43</v>
      </c>
      <c r="W132" t="s">
        <v>170</v>
      </c>
      <c r="X132" t="s">
        <v>171</v>
      </c>
      <c r="Y132" s="9">
        <f t="shared" si="7"/>
        <v>0</v>
      </c>
      <c r="Z132" t="str">
        <f t="shared" si="8"/>
        <v>สแกนต่าง Cost</v>
      </c>
    </row>
    <row r="133" spans="2:26" x14ac:dyDescent="0.45">
      <c r="B133" t="s">
        <v>26</v>
      </c>
      <c r="C133">
        <v>20352282</v>
      </c>
      <c r="D133" t="s">
        <v>84</v>
      </c>
      <c r="E133" s="8">
        <v>46141.333333333336</v>
      </c>
      <c r="F133" s="8">
        <v>46141.729166666664</v>
      </c>
      <c r="G133" s="9">
        <v>8.5</v>
      </c>
      <c r="H133" s="9">
        <f t="shared" si="6"/>
        <v>4.4999999999999998E-2</v>
      </c>
      <c r="I133" s="9">
        <v>4.4999999999999998E-2</v>
      </c>
      <c r="J133" s="9"/>
      <c r="K133" s="9"/>
      <c r="L133" s="9"/>
      <c r="M133" t="s">
        <v>65</v>
      </c>
      <c r="N133" t="s">
        <v>29</v>
      </c>
      <c r="P133" t="s">
        <v>30</v>
      </c>
      <c r="Q133" t="s">
        <v>31</v>
      </c>
      <c r="R133">
        <v>82400</v>
      </c>
      <c r="S133" t="s">
        <v>83</v>
      </c>
      <c r="T133">
        <v>82690</v>
      </c>
      <c r="U133" t="s">
        <v>90</v>
      </c>
      <c r="V133" t="s">
        <v>90</v>
      </c>
      <c r="W133" t="s">
        <v>91</v>
      </c>
      <c r="X133" t="s">
        <v>92</v>
      </c>
      <c r="Y133" s="9">
        <f t="shared" si="7"/>
        <v>0</v>
      </c>
      <c r="Z133" t="str">
        <f t="shared" si="8"/>
        <v>สแกนต่าง Cost</v>
      </c>
    </row>
    <row r="134" spans="2:26" x14ac:dyDescent="0.45">
      <c r="B134" t="s">
        <v>26</v>
      </c>
      <c r="C134">
        <v>20352284</v>
      </c>
      <c r="D134" t="s">
        <v>113</v>
      </c>
      <c r="E134" s="8">
        <v>46141.333333333336</v>
      </c>
      <c r="F134" s="8">
        <v>46141.729166666664</v>
      </c>
      <c r="G134" s="9">
        <v>8.5</v>
      </c>
      <c r="H134" s="9">
        <f t="shared" si="6"/>
        <v>4.4999999999999998E-2</v>
      </c>
      <c r="I134" s="9">
        <v>4.4999999999999998E-2</v>
      </c>
      <c r="J134" s="9"/>
      <c r="K134" s="9"/>
      <c r="L134" s="9"/>
      <c r="M134" t="s">
        <v>65</v>
      </c>
      <c r="N134" t="s">
        <v>29</v>
      </c>
      <c r="P134" t="s">
        <v>30</v>
      </c>
      <c r="Q134" t="s">
        <v>31</v>
      </c>
      <c r="R134">
        <v>82400</v>
      </c>
      <c r="S134" t="s">
        <v>83</v>
      </c>
      <c r="T134">
        <v>82690</v>
      </c>
      <c r="U134" t="s">
        <v>90</v>
      </c>
      <c r="V134" t="s">
        <v>90</v>
      </c>
      <c r="W134" t="s">
        <v>91</v>
      </c>
      <c r="X134" t="s">
        <v>92</v>
      </c>
      <c r="Y134" s="9">
        <f t="shared" si="7"/>
        <v>0</v>
      </c>
      <c r="Z134" t="str">
        <f t="shared" si="8"/>
        <v>สแกนต่าง Cost</v>
      </c>
    </row>
    <row r="135" spans="2:26" x14ac:dyDescent="0.45">
      <c r="B135" t="s">
        <v>26</v>
      </c>
      <c r="C135">
        <v>20352338</v>
      </c>
      <c r="D135" t="s">
        <v>114</v>
      </c>
      <c r="E135" s="8">
        <v>46141.333333333336</v>
      </c>
      <c r="F135" s="8">
        <v>46141.729166666664</v>
      </c>
      <c r="G135" s="9">
        <v>8.5</v>
      </c>
      <c r="H135" s="9">
        <f t="shared" si="6"/>
        <v>4.4999999999999998E-2</v>
      </c>
      <c r="I135" s="9">
        <v>4.4999999999999998E-2</v>
      </c>
      <c r="J135" s="9"/>
      <c r="K135" s="9"/>
      <c r="L135" s="9"/>
      <c r="M135" t="s">
        <v>65</v>
      </c>
      <c r="N135" t="s">
        <v>29</v>
      </c>
      <c r="P135" t="s">
        <v>30</v>
      </c>
      <c r="Q135" t="s">
        <v>31</v>
      </c>
      <c r="R135">
        <v>82400</v>
      </c>
      <c r="S135" t="s">
        <v>83</v>
      </c>
      <c r="T135">
        <v>82690</v>
      </c>
      <c r="U135" t="s">
        <v>90</v>
      </c>
      <c r="V135" t="s">
        <v>90</v>
      </c>
      <c r="W135" t="s">
        <v>91</v>
      </c>
      <c r="X135" t="s">
        <v>92</v>
      </c>
      <c r="Y135" s="9">
        <f t="shared" si="7"/>
        <v>0</v>
      </c>
      <c r="Z135" t="str">
        <f t="shared" si="8"/>
        <v>สแกนต่าง Cost</v>
      </c>
    </row>
    <row r="136" spans="2:26" x14ac:dyDescent="0.45">
      <c r="B136" t="s">
        <v>26</v>
      </c>
      <c r="C136">
        <v>20372078</v>
      </c>
      <c r="D136" t="s">
        <v>82</v>
      </c>
      <c r="E136" s="8">
        <v>46141.333333333336</v>
      </c>
      <c r="F136" s="8">
        <v>46141.729166666664</v>
      </c>
      <c r="G136" s="9">
        <v>8.5</v>
      </c>
      <c r="H136" s="9">
        <f t="shared" si="6"/>
        <v>4.4999999999999998E-2</v>
      </c>
      <c r="I136" s="9">
        <v>4.4999999999999998E-2</v>
      </c>
      <c r="J136" s="9"/>
      <c r="K136" s="9"/>
      <c r="L136" s="9"/>
      <c r="M136" t="s">
        <v>65</v>
      </c>
      <c r="N136" t="s">
        <v>29</v>
      </c>
      <c r="P136" t="s">
        <v>30</v>
      </c>
      <c r="Q136" t="s">
        <v>31</v>
      </c>
      <c r="R136">
        <v>82400</v>
      </c>
      <c r="S136" t="s">
        <v>83</v>
      </c>
      <c r="T136">
        <v>82690</v>
      </c>
      <c r="U136" t="s">
        <v>90</v>
      </c>
      <c r="V136" t="s">
        <v>90</v>
      </c>
      <c r="W136" t="s">
        <v>91</v>
      </c>
      <c r="X136" t="s">
        <v>92</v>
      </c>
      <c r="Y136" s="9">
        <f t="shared" si="7"/>
        <v>0</v>
      </c>
      <c r="Z136" t="str">
        <f t="shared" si="8"/>
        <v>สแกนต่าง Cost</v>
      </c>
    </row>
    <row r="137" spans="2:26" x14ac:dyDescent="0.45">
      <c r="B137" t="s">
        <v>26</v>
      </c>
      <c r="C137">
        <v>20372079</v>
      </c>
      <c r="D137" t="s">
        <v>116</v>
      </c>
      <c r="E137" s="8">
        <v>46141.333333333336</v>
      </c>
      <c r="F137" s="8">
        <v>46141.729166666664</v>
      </c>
      <c r="G137" s="9">
        <v>8.5</v>
      </c>
      <c r="H137" s="9">
        <f t="shared" si="6"/>
        <v>4.4999999999999998E-2</v>
      </c>
      <c r="I137" s="9">
        <v>4.4999999999999998E-2</v>
      </c>
      <c r="J137" s="9"/>
      <c r="K137" s="9"/>
      <c r="L137" s="9"/>
      <c r="M137" t="s">
        <v>65</v>
      </c>
      <c r="N137" t="s">
        <v>29</v>
      </c>
      <c r="P137" t="s">
        <v>30</v>
      </c>
      <c r="Q137" t="s">
        <v>31</v>
      </c>
      <c r="R137">
        <v>82400</v>
      </c>
      <c r="S137" t="s">
        <v>83</v>
      </c>
      <c r="T137">
        <v>82690</v>
      </c>
      <c r="U137" t="s">
        <v>90</v>
      </c>
      <c r="V137" t="s">
        <v>90</v>
      </c>
      <c r="W137" t="s">
        <v>91</v>
      </c>
      <c r="X137" t="s">
        <v>92</v>
      </c>
      <c r="Y137" s="9">
        <f t="shared" si="7"/>
        <v>0</v>
      </c>
      <c r="Z137" t="str">
        <f t="shared" si="8"/>
        <v>สแกนต่าง Cost</v>
      </c>
    </row>
    <row r="138" spans="2:26" x14ac:dyDescent="0.45">
      <c r="B138" t="s">
        <v>26</v>
      </c>
      <c r="C138">
        <v>20372080</v>
      </c>
      <c r="D138" t="s">
        <v>117</v>
      </c>
      <c r="E138" s="8">
        <v>46141.333333333336</v>
      </c>
      <c r="F138" s="8">
        <v>46141.729166666664</v>
      </c>
      <c r="G138" s="9">
        <v>8.5</v>
      </c>
      <c r="H138" s="9">
        <f t="shared" si="6"/>
        <v>4.4999999999999998E-2</v>
      </c>
      <c r="I138" s="9">
        <v>4.4999999999999998E-2</v>
      </c>
      <c r="J138" s="9"/>
      <c r="K138" s="9"/>
      <c r="L138" s="9"/>
      <c r="M138" t="s">
        <v>65</v>
      </c>
      <c r="N138" t="s">
        <v>29</v>
      </c>
      <c r="P138" t="s">
        <v>30</v>
      </c>
      <c r="Q138" t="s">
        <v>31</v>
      </c>
      <c r="R138">
        <v>82400</v>
      </c>
      <c r="S138" t="s">
        <v>83</v>
      </c>
      <c r="T138">
        <v>82690</v>
      </c>
      <c r="U138" t="s">
        <v>90</v>
      </c>
      <c r="V138" t="s">
        <v>90</v>
      </c>
      <c r="W138" t="s">
        <v>91</v>
      </c>
      <c r="X138" t="s">
        <v>92</v>
      </c>
      <c r="Y138" s="9">
        <f t="shared" si="7"/>
        <v>0</v>
      </c>
      <c r="Z138" t="str">
        <f t="shared" si="8"/>
        <v>สแกนต่าง Cost</v>
      </c>
    </row>
    <row r="139" spans="2:26" x14ac:dyDescent="0.45">
      <c r="B139" t="s">
        <v>26</v>
      </c>
      <c r="C139">
        <v>20382170</v>
      </c>
      <c r="D139" t="s">
        <v>118</v>
      </c>
      <c r="E139" s="8">
        <v>46141.333333333336</v>
      </c>
      <c r="F139" s="8">
        <v>46141.729166666664</v>
      </c>
      <c r="G139" s="9">
        <v>8.5</v>
      </c>
      <c r="H139" s="9">
        <f t="shared" si="6"/>
        <v>4.4999999999999998E-2</v>
      </c>
      <c r="I139" s="9">
        <v>4.4999999999999998E-2</v>
      </c>
      <c r="J139" s="9"/>
      <c r="K139" s="9"/>
      <c r="L139" s="9"/>
      <c r="M139" t="s">
        <v>65</v>
      </c>
      <c r="N139" t="s">
        <v>29</v>
      </c>
      <c r="P139" t="s">
        <v>30</v>
      </c>
      <c r="Q139" t="s">
        <v>31</v>
      </c>
      <c r="R139">
        <v>82400</v>
      </c>
      <c r="S139" t="s">
        <v>83</v>
      </c>
      <c r="T139">
        <v>82690</v>
      </c>
      <c r="U139" t="s">
        <v>90</v>
      </c>
      <c r="V139" t="s">
        <v>90</v>
      </c>
      <c r="W139" t="s">
        <v>91</v>
      </c>
      <c r="X139" t="s">
        <v>92</v>
      </c>
      <c r="Y139" s="9">
        <f t="shared" si="7"/>
        <v>0</v>
      </c>
      <c r="Z139" t="str">
        <f t="shared" si="8"/>
        <v>สแกนต่าง Cost</v>
      </c>
    </row>
    <row r="140" spans="2:26" x14ac:dyDescent="0.45">
      <c r="B140" t="s">
        <v>26</v>
      </c>
      <c r="C140">
        <v>20382171</v>
      </c>
      <c r="D140" t="s">
        <v>119</v>
      </c>
      <c r="E140" s="8">
        <v>46141.333333333336</v>
      </c>
      <c r="F140" s="8">
        <v>46141.729166666664</v>
      </c>
      <c r="G140" s="9">
        <v>8.5</v>
      </c>
      <c r="H140" s="9">
        <f t="shared" si="6"/>
        <v>4.4999999999999998E-2</v>
      </c>
      <c r="I140" s="9">
        <v>4.4999999999999998E-2</v>
      </c>
      <c r="J140" s="9"/>
      <c r="K140" s="9"/>
      <c r="L140" s="9"/>
      <c r="M140" t="s">
        <v>65</v>
      </c>
      <c r="N140" t="s">
        <v>29</v>
      </c>
      <c r="P140" t="s">
        <v>30</v>
      </c>
      <c r="Q140" t="s">
        <v>31</v>
      </c>
      <c r="R140">
        <v>82400</v>
      </c>
      <c r="S140" t="s">
        <v>83</v>
      </c>
      <c r="T140">
        <v>82690</v>
      </c>
      <c r="U140" t="s">
        <v>90</v>
      </c>
      <c r="V140" t="s">
        <v>90</v>
      </c>
      <c r="W140" t="s">
        <v>91</v>
      </c>
      <c r="X140" t="s">
        <v>92</v>
      </c>
      <c r="Y140" s="9">
        <f t="shared" si="7"/>
        <v>0</v>
      </c>
      <c r="Z140" t="str">
        <f t="shared" si="8"/>
        <v>สแกนต่าง Cost</v>
      </c>
    </row>
    <row r="141" spans="2:26" x14ac:dyDescent="0.45">
      <c r="B141" t="s">
        <v>26</v>
      </c>
      <c r="C141">
        <v>20403191</v>
      </c>
      <c r="D141" t="s">
        <v>122</v>
      </c>
      <c r="E141" s="8">
        <v>46141.333333333336</v>
      </c>
      <c r="F141" s="8">
        <v>46141.729166666664</v>
      </c>
      <c r="G141" s="9">
        <v>8.5</v>
      </c>
      <c r="H141" s="9">
        <f t="shared" si="6"/>
        <v>4.4999999999999998E-2</v>
      </c>
      <c r="I141" s="9">
        <v>4.4999999999999998E-2</v>
      </c>
      <c r="J141" s="9"/>
      <c r="K141" s="9"/>
      <c r="L141" s="9"/>
      <c r="M141" t="s">
        <v>48</v>
      </c>
      <c r="N141" t="s">
        <v>48</v>
      </c>
      <c r="P141" t="s">
        <v>30</v>
      </c>
      <c r="Q141" t="s">
        <v>31</v>
      </c>
      <c r="R141">
        <v>82400</v>
      </c>
      <c r="S141" t="s">
        <v>83</v>
      </c>
      <c r="T141">
        <v>82690</v>
      </c>
      <c r="U141" t="s">
        <v>90</v>
      </c>
      <c r="V141" t="s">
        <v>90</v>
      </c>
      <c r="W141" t="s">
        <v>91</v>
      </c>
      <c r="X141" t="s">
        <v>92</v>
      </c>
      <c r="Y141" s="9">
        <f t="shared" si="7"/>
        <v>0</v>
      </c>
      <c r="Z141" t="str">
        <f t="shared" si="8"/>
        <v>สแกนต่าง Cost</v>
      </c>
    </row>
    <row r="142" spans="2:26" x14ac:dyDescent="0.45">
      <c r="B142" t="s">
        <v>26</v>
      </c>
      <c r="C142">
        <v>20403192</v>
      </c>
      <c r="D142" t="s">
        <v>123</v>
      </c>
      <c r="E142" s="8">
        <v>46141.333333333336</v>
      </c>
      <c r="F142" s="8">
        <v>46141.729166666664</v>
      </c>
      <c r="G142" s="9">
        <v>8.5</v>
      </c>
      <c r="H142" s="9">
        <f t="shared" si="6"/>
        <v>4.4999999999999998E-2</v>
      </c>
      <c r="I142" s="9">
        <v>4.4999999999999998E-2</v>
      </c>
      <c r="J142" s="9"/>
      <c r="K142" s="9"/>
      <c r="L142" s="9"/>
      <c r="M142" t="s">
        <v>48</v>
      </c>
      <c r="N142" t="s">
        <v>48</v>
      </c>
      <c r="P142" t="s">
        <v>30</v>
      </c>
      <c r="Q142" t="s">
        <v>31</v>
      </c>
      <c r="R142">
        <v>82400</v>
      </c>
      <c r="S142" t="s">
        <v>83</v>
      </c>
      <c r="T142">
        <v>82690</v>
      </c>
      <c r="U142" t="s">
        <v>90</v>
      </c>
      <c r="V142" t="s">
        <v>90</v>
      </c>
      <c r="W142" t="s">
        <v>91</v>
      </c>
      <c r="X142" t="s">
        <v>92</v>
      </c>
      <c r="Y142" s="9">
        <f t="shared" si="7"/>
        <v>0</v>
      </c>
      <c r="Z142" t="str">
        <f t="shared" si="8"/>
        <v>สแกนต่าง Cost</v>
      </c>
    </row>
    <row r="143" spans="2:26" x14ac:dyDescent="0.45">
      <c r="B143" t="s">
        <v>26</v>
      </c>
      <c r="C143">
        <v>20403252</v>
      </c>
      <c r="D143" t="s">
        <v>124</v>
      </c>
      <c r="E143" s="8">
        <v>46141.333333333336</v>
      </c>
      <c r="F143" s="8">
        <v>46141.729166666664</v>
      </c>
      <c r="G143" s="9">
        <v>8.5</v>
      </c>
      <c r="H143" s="9">
        <f t="shared" si="6"/>
        <v>4.4999999999999998E-2</v>
      </c>
      <c r="I143" s="9">
        <v>4.4999999999999998E-2</v>
      </c>
      <c r="J143" s="9"/>
      <c r="K143" s="9"/>
      <c r="L143" s="9"/>
      <c r="M143" t="s">
        <v>48</v>
      </c>
      <c r="N143" t="s">
        <v>48</v>
      </c>
      <c r="P143" t="s">
        <v>30</v>
      </c>
      <c r="Q143" t="s">
        <v>31</v>
      </c>
      <c r="R143">
        <v>82400</v>
      </c>
      <c r="S143" t="s">
        <v>83</v>
      </c>
      <c r="T143">
        <v>82690</v>
      </c>
      <c r="U143" t="s">
        <v>90</v>
      </c>
      <c r="V143" t="s">
        <v>90</v>
      </c>
      <c r="W143" t="s">
        <v>91</v>
      </c>
      <c r="X143" t="s">
        <v>92</v>
      </c>
      <c r="Y143" s="9">
        <f t="shared" si="7"/>
        <v>0</v>
      </c>
      <c r="Z143" t="str">
        <f t="shared" si="8"/>
        <v>สแกนต่าง Cost</v>
      </c>
    </row>
    <row r="144" spans="2:26" x14ac:dyDescent="0.45">
      <c r="B144" t="s">
        <v>26</v>
      </c>
      <c r="C144">
        <v>20403253</v>
      </c>
      <c r="D144" t="s">
        <v>125</v>
      </c>
      <c r="E144" s="8">
        <v>46141.333333333336</v>
      </c>
      <c r="F144" s="8">
        <v>46141.729166666664</v>
      </c>
      <c r="G144" s="9">
        <v>8.5</v>
      </c>
      <c r="H144" s="9">
        <f t="shared" si="6"/>
        <v>4.4999999999999998E-2</v>
      </c>
      <c r="I144" s="9">
        <v>4.4999999999999998E-2</v>
      </c>
      <c r="J144" s="9"/>
      <c r="K144" s="9"/>
      <c r="L144" s="9"/>
      <c r="M144" t="s">
        <v>48</v>
      </c>
      <c r="N144" t="s">
        <v>48</v>
      </c>
      <c r="P144" t="s">
        <v>30</v>
      </c>
      <c r="Q144" t="s">
        <v>31</v>
      </c>
      <c r="R144">
        <v>82400</v>
      </c>
      <c r="S144" t="s">
        <v>83</v>
      </c>
      <c r="T144">
        <v>82690</v>
      </c>
      <c r="U144" t="s">
        <v>90</v>
      </c>
      <c r="V144" t="s">
        <v>90</v>
      </c>
      <c r="W144" t="s">
        <v>91</v>
      </c>
      <c r="X144" t="s">
        <v>92</v>
      </c>
      <c r="Y144" s="9">
        <f t="shared" si="7"/>
        <v>0</v>
      </c>
      <c r="Z144" t="str">
        <f t="shared" si="8"/>
        <v>สแกนต่าง Cost</v>
      </c>
    </row>
    <row r="145" spans="1:26" x14ac:dyDescent="0.45">
      <c r="B145" t="s">
        <v>26</v>
      </c>
      <c r="C145">
        <v>20403254</v>
      </c>
      <c r="D145" t="s">
        <v>126</v>
      </c>
      <c r="E145" s="8">
        <v>46141.333333333336</v>
      </c>
      <c r="F145" s="8">
        <v>46141.729166666664</v>
      </c>
      <c r="G145" s="9">
        <v>8.5</v>
      </c>
      <c r="H145" s="9">
        <f t="shared" si="6"/>
        <v>4.4999999999999998E-2</v>
      </c>
      <c r="I145" s="9">
        <v>4.4999999999999998E-2</v>
      </c>
      <c r="J145" s="9"/>
      <c r="K145" s="9"/>
      <c r="L145" s="9"/>
      <c r="M145" t="s">
        <v>48</v>
      </c>
      <c r="N145" t="s">
        <v>48</v>
      </c>
      <c r="P145" t="s">
        <v>30</v>
      </c>
      <c r="Q145" t="s">
        <v>31</v>
      </c>
      <c r="R145">
        <v>82400</v>
      </c>
      <c r="S145" t="s">
        <v>83</v>
      </c>
      <c r="T145">
        <v>82690</v>
      </c>
      <c r="U145" t="s">
        <v>90</v>
      </c>
      <c r="V145" t="s">
        <v>90</v>
      </c>
      <c r="W145" t="s">
        <v>91</v>
      </c>
      <c r="X145" t="s">
        <v>92</v>
      </c>
      <c r="Y145" s="9">
        <f t="shared" si="7"/>
        <v>0</v>
      </c>
      <c r="Z145" t="str">
        <f t="shared" si="8"/>
        <v>สแกนต่าง Cost</v>
      </c>
    </row>
    <row r="146" spans="1:26" x14ac:dyDescent="0.45">
      <c r="B146" t="s">
        <v>53</v>
      </c>
      <c r="C146">
        <v>20344551</v>
      </c>
      <c r="D146" t="s">
        <v>110</v>
      </c>
      <c r="E146" s="8">
        <v>46141.331944444442</v>
      </c>
      <c r="F146" s="8">
        <v>46141.830555555556</v>
      </c>
      <c r="G146" s="9">
        <v>11.966666666666667</v>
      </c>
      <c r="H146" s="9">
        <f t="shared" si="6"/>
        <v>6.4000000000000001E-2</v>
      </c>
      <c r="I146" s="9">
        <v>4.4999999999999998E-2</v>
      </c>
      <c r="J146" s="9"/>
      <c r="K146" s="9">
        <v>1.9E-2</v>
      </c>
      <c r="L146" s="9"/>
      <c r="M146" t="s">
        <v>28</v>
      </c>
      <c r="N146" t="s">
        <v>29</v>
      </c>
      <c r="P146" t="s">
        <v>30</v>
      </c>
      <c r="Q146" t="s">
        <v>31</v>
      </c>
      <c r="R146">
        <v>82655</v>
      </c>
      <c r="S146" t="s">
        <v>59</v>
      </c>
      <c r="T146">
        <v>82664</v>
      </c>
      <c r="U146" t="s">
        <v>75</v>
      </c>
      <c r="V146" t="s">
        <v>75</v>
      </c>
      <c r="W146" t="s">
        <v>37</v>
      </c>
      <c r="X146" t="s">
        <v>111</v>
      </c>
      <c r="Y146" s="9">
        <f t="shared" si="7"/>
        <v>1.9E-2</v>
      </c>
      <c r="Z146" t="str">
        <f t="shared" si="8"/>
        <v>สแกนต่าง Cost</v>
      </c>
    </row>
    <row r="147" spans="1:26" x14ac:dyDescent="0.45">
      <c r="B147" t="s">
        <v>53</v>
      </c>
      <c r="C147">
        <v>20344552</v>
      </c>
      <c r="D147" t="s">
        <v>112</v>
      </c>
      <c r="E147" s="8">
        <v>46141.331944444442</v>
      </c>
      <c r="F147" s="8">
        <v>46141.830555555556</v>
      </c>
      <c r="G147" s="9">
        <v>11.966666666666667</v>
      </c>
      <c r="H147" s="9">
        <f t="shared" si="6"/>
        <v>6.4000000000000001E-2</v>
      </c>
      <c r="I147" s="9">
        <v>4.4999999999999998E-2</v>
      </c>
      <c r="J147" s="9"/>
      <c r="K147" s="9">
        <v>1.9E-2</v>
      </c>
      <c r="L147" s="9"/>
      <c r="M147" t="s">
        <v>28</v>
      </c>
      <c r="N147" t="s">
        <v>29</v>
      </c>
      <c r="P147" t="s">
        <v>30</v>
      </c>
      <c r="Q147" t="s">
        <v>31</v>
      </c>
      <c r="R147">
        <v>82655</v>
      </c>
      <c r="S147" t="s">
        <v>59</v>
      </c>
      <c r="T147">
        <v>82664</v>
      </c>
      <c r="U147" t="s">
        <v>75</v>
      </c>
      <c r="V147" t="s">
        <v>75</v>
      </c>
      <c r="W147" t="s">
        <v>37</v>
      </c>
      <c r="X147" t="s">
        <v>111</v>
      </c>
      <c r="Y147" s="9">
        <f t="shared" si="7"/>
        <v>1.9E-2</v>
      </c>
      <c r="Z147" t="str">
        <f t="shared" si="8"/>
        <v>สแกนต่าง Cost</v>
      </c>
    </row>
    <row r="148" spans="1:26" x14ac:dyDescent="0.45">
      <c r="B148" t="s">
        <v>26</v>
      </c>
      <c r="C148">
        <v>20399631</v>
      </c>
      <c r="D148" t="s">
        <v>48</v>
      </c>
      <c r="E148" s="8">
        <v>46141.331944444442</v>
      </c>
      <c r="F148" s="8">
        <v>46141.729166666664</v>
      </c>
      <c r="G148" s="9">
        <v>8.5333333333333332</v>
      </c>
      <c r="H148" s="9">
        <f t="shared" si="6"/>
        <v>4.5999999999999999E-2</v>
      </c>
      <c r="I148" s="9"/>
      <c r="J148" s="9">
        <v>4.5999999999999999E-2</v>
      </c>
      <c r="K148" s="9"/>
      <c r="L148" s="9"/>
      <c r="M148" t="s">
        <v>77</v>
      </c>
      <c r="N148" t="s">
        <v>40</v>
      </c>
      <c r="O148" t="s">
        <v>78</v>
      </c>
      <c r="P148" t="s">
        <v>30</v>
      </c>
      <c r="Q148" t="s">
        <v>31</v>
      </c>
      <c r="R148">
        <v>82640</v>
      </c>
      <c r="S148" t="s">
        <v>42</v>
      </c>
      <c r="T148">
        <v>82658</v>
      </c>
      <c r="U148" t="s">
        <v>33</v>
      </c>
      <c r="V148" t="s">
        <v>33</v>
      </c>
      <c r="W148" t="s">
        <v>37</v>
      </c>
      <c r="X148" t="s">
        <v>38</v>
      </c>
      <c r="Y148" s="9">
        <f t="shared" si="7"/>
        <v>4.5999999999999999E-2</v>
      </c>
      <c r="Z148" t="str">
        <f t="shared" si="8"/>
        <v>สแกนต่าง Cost</v>
      </c>
    </row>
    <row r="149" spans="1:26" x14ac:dyDescent="0.45">
      <c r="B149" t="s">
        <v>26</v>
      </c>
      <c r="C149">
        <v>20403259</v>
      </c>
      <c r="E149" s="8">
        <v>46141.330555555556</v>
      </c>
      <c r="F149" s="8">
        <v>46141.707638888889</v>
      </c>
      <c r="G149" s="9">
        <v>8.0500000000000007</v>
      </c>
      <c r="H149" s="9">
        <f t="shared" si="6"/>
        <v>4.2999999999999997E-2</v>
      </c>
      <c r="I149" s="9">
        <v>4.2999999999999997E-2</v>
      </c>
      <c r="J149" s="9"/>
      <c r="K149" s="9"/>
      <c r="L149" s="9"/>
      <c r="M149" t="s">
        <v>48</v>
      </c>
      <c r="N149" t="s">
        <v>48</v>
      </c>
      <c r="P149" t="s">
        <v>30</v>
      </c>
      <c r="R149">
        <v>82640</v>
      </c>
      <c r="T149">
        <v>82658</v>
      </c>
      <c r="U149" t="s">
        <v>33</v>
      </c>
      <c r="V149" t="s">
        <v>33</v>
      </c>
      <c r="W149" t="s">
        <v>37</v>
      </c>
      <c r="X149" t="s">
        <v>38</v>
      </c>
      <c r="Y149" s="9">
        <f t="shared" si="7"/>
        <v>0</v>
      </c>
      <c r="Z149" t="str">
        <f t="shared" si="8"/>
        <v>สแกนต่าง Cost</v>
      </c>
    </row>
    <row r="150" spans="1:26" x14ac:dyDescent="0.45">
      <c r="B150" t="s">
        <v>26</v>
      </c>
      <c r="C150">
        <v>20399650</v>
      </c>
      <c r="D150" t="s">
        <v>48</v>
      </c>
      <c r="E150" s="8">
        <v>46141.329861111109</v>
      </c>
      <c r="F150" s="8">
        <v>46141.729166666664</v>
      </c>
      <c r="G150" s="9">
        <v>8.5833333333333339</v>
      </c>
      <c r="H150" s="9">
        <f t="shared" si="6"/>
        <v>4.5999999999999999E-2</v>
      </c>
      <c r="I150" s="9">
        <v>4.5999999999999999E-2</v>
      </c>
      <c r="J150" s="9"/>
      <c r="K150" s="9"/>
      <c r="L150" s="9"/>
      <c r="M150" t="s">
        <v>65</v>
      </c>
      <c r="N150" t="s">
        <v>29</v>
      </c>
      <c r="P150" t="s">
        <v>30</v>
      </c>
      <c r="Q150" t="s">
        <v>31</v>
      </c>
      <c r="R150">
        <v>82640</v>
      </c>
      <c r="S150" t="s">
        <v>42</v>
      </c>
      <c r="T150">
        <v>82658</v>
      </c>
      <c r="U150" t="s">
        <v>33</v>
      </c>
      <c r="V150" t="s">
        <v>33</v>
      </c>
      <c r="W150" t="s">
        <v>37</v>
      </c>
      <c r="X150" t="s">
        <v>38</v>
      </c>
      <c r="Y150" s="9">
        <f t="shared" si="7"/>
        <v>0</v>
      </c>
      <c r="Z150" t="str">
        <f t="shared" si="8"/>
        <v>สแกนต่าง Cost</v>
      </c>
    </row>
    <row r="151" spans="1:26" x14ac:dyDescent="0.45">
      <c r="B151" t="s">
        <v>53</v>
      </c>
      <c r="C151">
        <v>20162724</v>
      </c>
      <c r="D151" t="s">
        <v>128</v>
      </c>
      <c r="E151" s="8">
        <v>46141.325694444444</v>
      </c>
      <c r="F151" s="8">
        <v>46141.788194444445</v>
      </c>
      <c r="G151" s="9">
        <v>11.1</v>
      </c>
      <c r="H151" s="9">
        <f t="shared" si="6"/>
        <v>5.8999999999999997E-2</v>
      </c>
      <c r="I151" s="9">
        <v>4.4999999999999998E-2</v>
      </c>
      <c r="J151" s="9"/>
      <c r="K151" s="9">
        <v>1.4E-2</v>
      </c>
      <c r="L151" s="9"/>
      <c r="M151" t="s">
        <v>28</v>
      </c>
      <c r="N151" t="s">
        <v>29</v>
      </c>
      <c r="P151" t="s">
        <v>30</v>
      </c>
      <c r="Q151" t="s">
        <v>31</v>
      </c>
      <c r="R151">
        <v>82658</v>
      </c>
      <c r="S151" t="s">
        <v>33</v>
      </c>
      <c r="T151">
        <v>82664</v>
      </c>
      <c r="U151" t="s">
        <v>75</v>
      </c>
      <c r="V151" t="s">
        <v>75</v>
      </c>
      <c r="W151" t="s">
        <v>37</v>
      </c>
      <c r="X151" t="s">
        <v>111</v>
      </c>
      <c r="Y151" s="9">
        <f t="shared" si="7"/>
        <v>1.4E-2</v>
      </c>
      <c r="Z151" t="str">
        <f t="shared" si="8"/>
        <v>สแกนต่าง Cost</v>
      </c>
    </row>
    <row r="152" spans="1:26" x14ac:dyDescent="0.45">
      <c r="B152" t="s">
        <v>53</v>
      </c>
      <c r="C152">
        <v>20198835</v>
      </c>
      <c r="D152" t="s">
        <v>129</v>
      </c>
      <c r="E152" s="8">
        <v>46141.325694444444</v>
      </c>
      <c r="F152" s="8">
        <v>46141.830555555556</v>
      </c>
      <c r="G152" s="9">
        <v>12.116666666666667</v>
      </c>
      <c r="H152" s="9">
        <f t="shared" si="6"/>
        <v>6.4000000000000001E-2</v>
      </c>
      <c r="I152" s="9">
        <v>4.4999999999999998E-2</v>
      </c>
      <c r="J152" s="9"/>
      <c r="K152" s="9">
        <v>1.9E-2</v>
      </c>
      <c r="L152" s="9"/>
      <c r="M152" t="s">
        <v>28</v>
      </c>
      <c r="N152" t="s">
        <v>29</v>
      </c>
      <c r="P152" t="s">
        <v>30</v>
      </c>
      <c r="Q152" t="s">
        <v>31</v>
      </c>
      <c r="R152">
        <v>82658</v>
      </c>
      <c r="S152" t="s">
        <v>33</v>
      </c>
      <c r="T152">
        <v>82664</v>
      </c>
      <c r="U152" t="s">
        <v>75</v>
      </c>
      <c r="V152" t="s">
        <v>75</v>
      </c>
      <c r="W152" t="s">
        <v>37</v>
      </c>
      <c r="X152" t="s">
        <v>111</v>
      </c>
      <c r="Y152" s="9">
        <f t="shared" si="7"/>
        <v>1.9E-2</v>
      </c>
      <c r="Z152" t="str">
        <f t="shared" si="8"/>
        <v>สแกนต่าง Cost</v>
      </c>
    </row>
    <row r="153" spans="1:26" x14ac:dyDescent="0.45">
      <c r="B153" t="s">
        <v>53</v>
      </c>
      <c r="C153">
        <v>20372709</v>
      </c>
      <c r="D153" t="s">
        <v>130</v>
      </c>
      <c r="E153" s="8">
        <v>46141.325694444444</v>
      </c>
      <c r="F153" s="8">
        <v>46141.830555555556</v>
      </c>
      <c r="G153" s="9">
        <v>12.116666666666667</v>
      </c>
      <c r="H153" s="9">
        <f t="shared" si="6"/>
        <v>6.4000000000000001E-2</v>
      </c>
      <c r="I153" s="9">
        <v>4.4999999999999998E-2</v>
      </c>
      <c r="J153" s="9"/>
      <c r="K153" s="9">
        <v>1.9E-2</v>
      </c>
      <c r="L153" s="9"/>
      <c r="M153" t="s">
        <v>28</v>
      </c>
      <c r="N153" t="s">
        <v>29</v>
      </c>
      <c r="P153" t="s">
        <v>30</v>
      </c>
      <c r="Q153" t="s">
        <v>31</v>
      </c>
      <c r="R153">
        <v>82658</v>
      </c>
      <c r="S153" t="s">
        <v>33</v>
      </c>
      <c r="T153">
        <v>82664</v>
      </c>
      <c r="U153" t="s">
        <v>75</v>
      </c>
      <c r="V153" t="s">
        <v>75</v>
      </c>
      <c r="W153" t="s">
        <v>37</v>
      </c>
      <c r="X153" t="s">
        <v>111</v>
      </c>
      <c r="Y153" s="9">
        <f t="shared" si="7"/>
        <v>1.9E-2</v>
      </c>
      <c r="Z153" t="str">
        <f t="shared" si="8"/>
        <v>สแกนต่าง Cost</v>
      </c>
    </row>
    <row r="154" spans="1:26" x14ac:dyDescent="0.45">
      <c r="B154" t="s">
        <v>53</v>
      </c>
      <c r="C154">
        <v>20214280</v>
      </c>
      <c r="D154" t="s">
        <v>136</v>
      </c>
      <c r="E154" s="8">
        <v>46141.292361111111</v>
      </c>
      <c r="F154" s="8">
        <v>46141.681250000001</v>
      </c>
      <c r="G154" s="9">
        <v>9.3333333333333339</v>
      </c>
      <c r="H154" s="9">
        <f t="shared" si="6"/>
        <v>4.9000000000000002E-2</v>
      </c>
      <c r="I154" s="9">
        <v>4.4999999999999998E-2</v>
      </c>
      <c r="J154" s="9"/>
      <c r="K154" s="9">
        <v>4.0000000000000001E-3</v>
      </c>
      <c r="L154" s="9"/>
      <c r="M154" t="s">
        <v>28</v>
      </c>
      <c r="N154" t="s">
        <v>29</v>
      </c>
      <c r="P154" t="s">
        <v>30</v>
      </c>
      <c r="Q154" t="s">
        <v>31</v>
      </c>
      <c r="R154">
        <v>82415</v>
      </c>
      <c r="S154" t="s">
        <v>137</v>
      </c>
      <c r="T154">
        <v>82664</v>
      </c>
      <c r="U154" t="s">
        <v>75</v>
      </c>
      <c r="V154" t="s">
        <v>75</v>
      </c>
      <c r="W154" t="s">
        <v>74</v>
      </c>
      <c r="X154" t="s">
        <v>74</v>
      </c>
      <c r="Y154" s="9">
        <f t="shared" si="7"/>
        <v>4.0000000000000001E-3</v>
      </c>
      <c r="Z154" t="str">
        <f t="shared" si="8"/>
        <v>สแกนต่าง Cost</v>
      </c>
    </row>
    <row r="155" spans="1:26" x14ac:dyDescent="0.45">
      <c r="A155">
        <v>27314</v>
      </c>
      <c r="B155" t="s">
        <v>53</v>
      </c>
      <c r="C155">
        <v>20276269</v>
      </c>
      <c r="D155" t="s">
        <v>134</v>
      </c>
      <c r="E155" s="8">
        <v>46141.291666666664</v>
      </c>
      <c r="F155" s="8">
        <v>46141.333333333336</v>
      </c>
      <c r="G155" s="9">
        <v>1</v>
      </c>
      <c r="H155" s="9">
        <f t="shared" si="6"/>
        <v>5.0000000000000001E-3</v>
      </c>
      <c r="I155" s="9">
        <v>5.0000000000000001E-3</v>
      </c>
      <c r="J155" s="9"/>
      <c r="K155" s="9"/>
      <c r="L155" s="9"/>
      <c r="M155" t="s">
        <v>65</v>
      </c>
      <c r="N155" t="s">
        <v>29</v>
      </c>
      <c r="P155" t="s">
        <v>30</v>
      </c>
      <c r="Q155" t="s">
        <v>31</v>
      </c>
      <c r="R155">
        <v>82308</v>
      </c>
      <c r="S155" t="s">
        <v>69</v>
      </c>
      <c r="T155">
        <v>82301</v>
      </c>
      <c r="U155" t="s">
        <v>79</v>
      </c>
      <c r="V155" t="s">
        <v>79</v>
      </c>
      <c r="W155" t="s">
        <v>80</v>
      </c>
      <c r="X155" t="s">
        <v>135</v>
      </c>
      <c r="Y155" s="9">
        <f t="shared" si="7"/>
        <v>0</v>
      </c>
      <c r="Z155" t="str">
        <f t="shared" si="8"/>
        <v>สแกนต่าง Cost</v>
      </c>
    </row>
    <row r="156" spans="1:26" x14ac:dyDescent="0.45">
      <c r="B156" t="s">
        <v>26</v>
      </c>
      <c r="C156">
        <v>20198721</v>
      </c>
      <c r="D156" t="s">
        <v>35</v>
      </c>
      <c r="E156" s="8">
        <v>46141.229861111111</v>
      </c>
      <c r="F156" s="8">
        <v>46141.32708333333</v>
      </c>
      <c r="G156" s="9">
        <v>2.3333333333333335</v>
      </c>
      <c r="H156" s="9">
        <f t="shared" si="6"/>
        <v>1.2E-2</v>
      </c>
      <c r="I156" s="9"/>
      <c r="J156" s="9"/>
      <c r="K156" s="9">
        <v>1.2E-2</v>
      </c>
      <c r="L156" s="9"/>
      <c r="M156" t="s">
        <v>28</v>
      </c>
      <c r="N156" t="s">
        <v>29</v>
      </c>
      <c r="P156" t="s">
        <v>30</v>
      </c>
      <c r="Q156" t="s">
        <v>31</v>
      </c>
      <c r="R156">
        <v>82630</v>
      </c>
      <c r="S156" t="s">
        <v>32</v>
      </c>
      <c r="T156">
        <v>82658</v>
      </c>
      <c r="U156" t="s">
        <v>33</v>
      </c>
      <c r="V156" t="s">
        <v>33</v>
      </c>
      <c r="W156" t="s">
        <v>34</v>
      </c>
      <c r="X156" t="s">
        <v>34</v>
      </c>
      <c r="Y156" s="9">
        <f t="shared" si="7"/>
        <v>1.2E-2</v>
      </c>
      <c r="Z156" t="str">
        <f t="shared" si="8"/>
        <v>สแกนต่าง Cost</v>
      </c>
    </row>
    <row r="157" spans="1:26" x14ac:dyDescent="0.45">
      <c r="B157" t="s">
        <v>53</v>
      </c>
      <c r="C157">
        <v>20054261</v>
      </c>
      <c r="D157" t="s">
        <v>138</v>
      </c>
      <c r="E157" s="8">
        <v>46140.990972222222</v>
      </c>
      <c r="F157" s="8">
        <v>46141.295138888891</v>
      </c>
      <c r="G157" s="9">
        <v>6.3</v>
      </c>
      <c r="H157" s="9">
        <f t="shared" si="6"/>
        <v>3.4000000000000002E-2</v>
      </c>
      <c r="I157" s="9">
        <v>3.4000000000000002E-2</v>
      </c>
      <c r="J157" s="9"/>
      <c r="K157" s="9"/>
      <c r="L157" s="9"/>
      <c r="M157" t="s">
        <v>65</v>
      </c>
      <c r="N157" t="s">
        <v>29</v>
      </c>
      <c r="P157" t="s">
        <v>133</v>
      </c>
      <c r="Q157" t="s">
        <v>31</v>
      </c>
      <c r="R157">
        <v>82415</v>
      </c>
      <c r="S157" t="s">
        <v>137</v>
      </c>
      <c r="T157">
        <v>82664</v>
      </c>
      <c r="U157" t="s">
        <v>75</v>
      </c>
      <c r="V157" t="s">
        <v>75</v>
      </c>
      <c r="W157" t="s">
        <v>74</v>
      </c>
      <c r="X157" t="s">
        <v>74</v>
      </c>
      <c r="Y157" s="9">
        <f t="shared" si="7"/>
        <v>0</v>
      </c>
      <c r="Z157" t="str">
        <f t="shared" si="8"/>
        <v>สแกนต่าง Cost</v>
      </c>
    </row>
    <row r="158" spans="1:26" x14ac:dyDescent="0.45">
      <c r="B158" t="s">
        <v>26</v>
      </c>
      <c r="C158">
        <v>20039177</v>
      </c>
      <c r="D158" t="s">
        <v>188</v>
      </c>
      <c r="E158" s="8">
        <v>46140.914583333331</v>
      </c>
      <c r="F158" s="8">
        <v>46141.339583333334</v>
      </c>
      <c r="G158" s="9">
        <v>10.199999999999999</v>
      </c>
      <c r="H158" s="9">
        <f t="shared" si="6"/>
        <v>5.3999999999999999E-2</v>
      </c>
      <c r="I158" s="9">
        <v>4.4999999999999998E-2</v>
      </c>
      <c r="J158" s="9"/>
      <c r="K158" s="9">
        <v>8.9999999999999993E-3</v>
      </c>
      <c r="L158" s="9"/>
      <c r="M158" t="s">
        <v>28</v>
      </c>
      <c r="N158" t="s">
        <v>40</v>
      </c>
      <c r="O158" t="s">
        <v>140</v>
      </c>
      <c r="P158" t="s">
        <v>30</v>
      </c>
      <c r="Q158" t="s">
        <v>31</v>
      </c>
      <c r="R158">
        <v>82655</v>
      </c>
      <c r="S158" t="s">
        <v>59</v>
      </c>
      <c r="T158">
        <v>82658</v>
      </c>
      <c r="U158" t="s">
        <v>33</v>
      </c>
      <c r="V158" t="s">
        <v>33</v>
      </c>
      <c r="W158" t="s">
        <v>37</v>
      </c>
      <c r="X158" t="s">
        <v>38</v>
      </c>
      <c r="Y158" s="9">
        <f t="shared" si="7"/>
        <v>8.9999999999999993E-3</v>
      </c>
      <c r="Z158" t="str">
        <f t="shared" si="8"/>
        <v>สแกนต่าง Cost</v>
      </c>
    </row>
    <row r="159" spans="1:26" x14ac:dyDescent="0.45">
      <c r="B159" t="s">
        <v>26</v>
      </c>
      <c r="C159">
        <v>20319535</v>
      </c>
      <c r="D159" t="s">
        <v>36</v>
      </c>
      <c r="E159" s="8">
        <v>46140.845833333333</v>
      </c>
      <c r="F159" s="8">
        <v>46141.32708333333</v>
      </c>
      <c r="G159" s="9">
        <v>11.55</v>
      </c>
      <c r="H159" s="9">
        <f t="shared" si="6"/>
        <v>6.0999999999999999E-2</v>
      </c>
      <c r="I159" s="9">
        <v>4.4999999999999998E-2</v>
      </c>
      <c r="J159" s="9"/>
      <c r="K159" s="9">
        <v>1.6E-2</v>
      </c>
      <c r="L159" s="9"/>
      <c r="M159" t="s">
        <v>28</v>
      </c>
      <c r="N159" t="s">
        <v>29</v>
      </c>
      <c r="P159" t="s">
        <v>30</v>
      </c>
      <c r="Q159" t="s">
        <v>31</v>
      </c>
      <c r="R159">
        <v>82630</v>
      </c>
      <c r="S159" t="s">
        <v>32</v>
      </c>
      <c r="T159">
        <v>82658</v>
      </c>
      <c r="U159" t="s">
        <v>33</v>
      </c>
      <c r="V159" t="s">
        <v>33</v>
      </c>
      <c r="W159" t="s">
        <v>37</v>
      </c>
      <c r="X159" t="s">
        <v>38</v>
      </c>
      <c r="Y159" s="9">
        <f t="shared" si="7"/>
        <v>1.6E-2</v>
      </c>
      <c r="Z159" t="str">
        <f t="shared" si="8"/>
        <v>สแกนต่าง Cost</v>
      </c>
    </row>
    <row r="160" spans="1:26" x14ac:dyDescent="0.45">
      <c r="B160" t="s">
        <v>26</v>
      </c>
      <c r="C160">
        <v>20198811</v>
      </c>
      <c r="D160" t="s">
        <v>144</v>
      </c>
      <c r="E160" s="8">
        <v>46140.830555555556</v>
      </c>
      <c r="F160" s="8">
        <v>46140.90902777778</v>
      </c>
      <c r="G160" s="9">
        <v>1.8833333333333333</v>
      </c>
      <c r="H160" s="9">
        <f t="shared" si="6"/>
        <v>0.01</v>
      </c>
      <c r="I160" s="9"/>
      <c r="J160" s="9"/>
      <c r="K160" s="9">
        <v>0.01</v>
      </c>
      <c r="L160" s="9"/>
      <c r="M160" t="s">
        <v>28</v>
      </c>
      <c r="N160" t="s">
        <v>29</v>
      </c>
      <c r="P160" t="s">
        <v>30</v>
      </c>
      <c r="Q160" t="s">
        <v>31</v>
      </c>
      <c r="R160">
        <v>82652</v>
      </c>
      <c r="S160" t="s">
        <v>46</v>
      </c>
      <c r="T160">
        <v>82658</v>
      </c>
      <c r="U160" t="s">
        <v>33</v>
      </c>
      <c r="V160" t="s">
        <v>33</v>
      </c>
      <c r="W160" t="s">
        <v>37</v>
      </c>
      <c r="X160" t="s">
        <v>47</v>
      </c>
      <c r="Y160" s="9">
        <f t="shared" si="7"/>
        <v>0.01</v>
      </c>
      <c r="Z160" t="str">
        <f t="shared" si="8"/>
        <v>สแกนต่าง Cost</v>
      </c>
    </row>
    <row r="161" spans="1:26" x14ac:dyDescent="0.45">
      <c r="B161" t="s">
        <v>26</v>
      </c>
      <c r="C161">
        <v>20028097</v>
      </c>
      <c r="D161" t="s">
        <v>139</v>
      </c>
      <c r="E161" s="8">
        <v>46140.829861111109</v>
      </c>
      <c r="F161" s="8">
        <v>46140.90902777778</v>
      </c>
      <c r="G161" s="9">
        <v>1.9</v>
      </c>
      <c r="H161" s="9">
        <f t="shared" si="6"/>
        <v>0.01</v>
      </c>
      <c r="I161" s="9"/>
      <c r="J161" s="9"/>
      <c r="K161" s="9">
        <v>0.01</v>
      </c>
      <c r="L161" s="9"/>
      <c r="M161" t="s">
        <v>28</v>
      </c>
      <c r="N161" t="s">
        <v>40</v>
      </c>
      <c r="O161" t="s">
        <v>140</v>
      </c>
      <c r="P161" t="s">
        <v>30</v>
      </c>
      <c r="Q161" t="s">
        <v>31</v>
      </c>
      <c r="R161">
        <v>82652</v>
      </c>
      <c r="S161" t="s">
        <v>46</v>
      </c>
      <c r="T161">
        <v>82658</v>
      </c>
      <c r="U161" t="s">
        <v>33</v>
      </c>
      <c r="V161" t="s">
        <v>33</v>
      </c>
      <c r="W161" t="s">
        <v>37</v>
      </c>
      <c r="X161" t="s">
        <v>47</v>
      </c>
      <c r="Y161" s="9">
        <f t="shared" si="7"/>
        <v>0.01</v>
      </c>
      <c r="Z161" t="str">
        <f t="shared" si="8"/>
        <v>สแกนต่าง Cost</v>
      </c>
    </row>
    <row r="162" spans="1:26" x14ac:dyDescent="0.45">
      <c r="B162" t="s">
        <v>26</v>
      </c>
      <c r="C162">
        <v>20031153</v>
      </c>
      <c r="D162" t="s">
        <v>142</v>
      </c>
      <c r="E162" s="8">
        <v>46140.829861111109</v>
      </c>
      <c r="F162" s="8">
        <v>46140.90902777778</v>
      </c>
      <c r="G162" s="9">
        <v>1.9</v>
      </c>
      <c r="H162" s="9">
        <f t="shared" si="6"/>
        <v>0.01</v>
      </c>
      <c r="I162" s="9"/>
      <c r="J162" s="9"/>
      <c r="K162" s="9">
        <v>0.01</v>
      </c>
      <c r="L162" s="9"/>
      <c r="M162" t="s">
        <v>28</v>
      </c>
      <c r="N162" t="s">
        <v>29</v>
      </c>
      <c r="P162" t="s">
        <v>30</v>
      </c>
      <c r="Q162" t="s">
        <v>31</v>
      </c>
      <c r="R162">
        <v>82652</v>
      </c>
      <c r="S162" t="s">
        <v>46</v>
      </c>
      <c r="T162">
        <v>82658</v>
      </c>
      <c r="U162" t="s">
        <v>33</v>
      </c>
      <c r="V162" t="s">
        <v>33</v>
      </c>
      <c r="W162" t="s">
        <v>37</v>
      </c>
      <c r="X162" t="s">
        <v>47</v>
      </c>
      <c r="Y162" s="9">
        <f t="shared" si="7"/>
        <v>0.01</v>
      </c>
      <c r="Z162" t="str">
        <f t="shared" si="8"/>
        <v>สแกนต่าง Cost</v>
      </c>
    </row>
    <row r="163" spans="1:26" x14ac:dyDescent="0.45">
      <c r="B163" t="s">
        <v>26</v>
      </c>
      <c r="C163">
        <v>20403445</v>
      </c>
      <c r="E163" s="8">
        <v>46140.740277777775</v>
      </c>
      <c r="F163" s="8">
        <v>46140.826388888891</v>
      </c>
      <c r="G163" s="9">
        <v>2.0666666666666669</v>
      </c>
      <c r="H163" s="9">
        <f t="shared" si="6"/>
        <v>1.0999999999999999E-2</v>
      </c>
      <c r="I163" s="9"/>
      <c r="J163" s="9"/>
      <c r="K163" s="9">
        <v>1.0999999999999999E-2</v>
      </c>
      <c r="L163" s="9"/>
      <c r="M163" t="s">
        <v>28</v>
      </c>
      <c r="N163" t="s">
        <v>29</v>
      </c>
      <c r="P163" t="s">
        <v>30</v>
      </c>
      <c r="R163">
        <v>82680</v>
      </c>
      <c r="T163">
        <v>82658</v>
      </c>
      <c r="U163" t="s">
        <v>33</v>
      </c>
      <c r="V163" t="s">
        <v>33</v>
      </c>
      <c r="W163" t="s">
        <v>34</v>
      </c>
      <c r="X163" t="s">
        <v>34</v>
      </c>
      <c r="Y163" s="9">
        <f t="shared" si="7"/>
        <v>1.0999999999999999E-2</v>
      </c>
      <c r="Z163" t="str">
        <f t="shared" si="8"/>
        <v>สแกนต่าง Cost</v>
      </c>
    </row>
    <row r="164" spans="1:26" x14ac:dyDescent="0.45">
      <c r="B164" t="s">
        <v>26</v>
      </c>
      <c r="C164">
        <v>20403261</v>
      </c>
      <c r="E164" s="8">
        <v>46140.736111111109</v>
      </c>
      <c r="F164" s="8">
        <v>46140.826388888891</v>
      </c>
      <c r="G164" s="9">
        <v>2.1666666666666665</v>
      </c>
      <c r="H164" s="9">
        <f t="shared" si="6"/>
        <v>1.2E-2</v>
      </c>
      <c r="I164" s="9">
        <v>1.2E-2</v>
      </c>
      <c r="J164" s="9"/>
      <c r="K164" s="9"/>
      <c r="L164" s="9"/>
      <c r="M164" t="s">
        <v>48</v>
      </c>
      <c r="N164" t="s">
        <v>48</v>
      </c>
      <c r="P164" t="s">
        <v>30</v>
      </c>
      <c r="R164">
        <v>82680</v>
      </c>
      <c r="T164">
        <v>82658</v>
      </c>
      <c r="U164" t="s">
        <v>33</v>
      </c>
      <c r="V164" t="s">
        <v>33</v>
      </c>
      <c r="W164" t="s">
        <v>34</v>
      </c>
      <c r="X164" t="s">
        <v>34</v>
      </c>
      <c r="Y164" s="9">
        <f t="shared" si="7"/>
        <v>0</v>
      </c>
      <c r="Z164" t="str">
        <f t="shared" si="8"/>
        <v>สแกนต่าง Cost</v>
      </c>
    </row>
    <row r="165" spans="1:26" x14ac:dyDescent="0.45">
      <c r="A165">
        <v>27106</v>
      </c>
      <c r="B165" t="s">
        <v>53</v>
      </c>
      <c r="C165">
        <v>20074796</v>
      </c>
      <c r="D165" t="s">
        <v>189</v>
      </c>
      <c r="E165" s="8">
        <v>46140.731249999997</v>
      </c>
      <c r="F165" s="8">
        <v>46140.875</v>
      </c>
      <c r="G165" s="9">
        <v>3.45</v>
      </c>
      <c r="H165" s="9">
        <f t="shared" si="6"/>
        <v>1.7999999999999999E-2</v>
      </c>
      <c r="I165" s="9"/>
      <c r="J165" s="9"/>
      <c r="K165" s="9">
        <v>1.7999999999999999E-2</v>
      </c>
      <c r="L165" s="9"/>
      <c r="M165" t="s">
        <v>28</v>
      </c>
      <c r="N165" t="s">
        <v>40</v>
      </c>
      <c r="O165" t="s">
        <v>190</v>
      </c>
      <c r="P165" t="s">
        <v>30</v>
      </c>
      <c r="Q165" t="s">
        <v>31</v>
      </c>
      <c r="R165">
        <v>82306</v>
      </c>
      <c r="S165" t="s">
        <v>55</v>
      </c>
      <c r="T165">
        <v>82303</v>
      </c>
      <c r="U165" t="s">
        <v>56</v>
      </c>
      <c r="V165" t="s">
        <v>56</v>
      </c>
      <c r="W165" t="s">
        <v>56</v>
      </c>
      <c r="X165" t="s">
        <v>57</v>
      </c>
      <c r="Y165" s="9">
        <f t="shared" si="7"/>
        <v>1.7999999999999999E-2</v>
      </c>
      <c r="Z165" t="str">
        <f t="shared" si="8"/>
        <v>สแกนต่าง Cost</v>
      </c>
    </row>
    <row r="166" spans="1:26" x14ac:dyDescent="0.45">
      <c r="B166" t="s">
        <v>53</v>
      </c>
      <c r="C166">
        <v>20075031</v>
      </c>
      <c r="D166" t="s">
        <v>191</v>
      </c>
      <c r="E166" s="8">
        <v>46140.731249999997</v>
      </c>
      <c r="F166" s="8">
        <v>46140.902083333334</v>
      </c>
      <c r="G166" s="9">
        <v>4.0999999999999996</v>
      </c>
      <c r="H166" s="9">
        <f t="shared" si="6"/>
        <v>2.1999999999999999E-2</v>
      </c>
      <c r="I166" s="9"/>
      <c r="J166" s="9"/>
      <c r="K166" s="9">
        <v>2.1999999999999999E-2</v>
      </c>
      <c r="L166" s="9"/>
      <c r="M166" t="s">
        <v>28</v>
      </c>
      <c r="N166" t="s">
        <v>40</v>
      </c>
      <c r="O166" t="s">
        <v>183</v>
      </c>
      <c r="P166" t="s">
        <v>30</v>
      </c>
      <c r="Q166" t="s">
        <v>31</v>
      </c>
      <c r="R166">
        <v>82640</v>
      </c>
      <c r="S166" t="s">
        <v>42</v>
      </c>
      <c r="T166">
        <v>82611</v>
      </c>
      <c r="U166" t="s">
        <v>43</v>
      </c>
      <c r="V166" t="s">
        <v>43</v>
      </c>
      <c r="W166" t="s">
        <v>47</v>
      </c>
      <c r="X166" t="s">
        <v>192</v>
      </c>
      <c r="Y166" s="9">
        <f t="shared" si="7"/>
        <v>2.1999999999999999E-2</v>
      </c>
      <c r="Z166" t="str">
        <f t="shared" si="8"/>
        <v>สแกนต่าง Cost</v>
      </c>
    </row>
    <row r="167" spans="1:26" x14ac:dyDescent="0.45">
      <c r="A167">
        <v>27105</v>
      </c>
      <c r="B167" t="s">
        <v>53</v>
      </c>
      <c r="C167">
        <v>20076492</v>
      </c>
      <c r="D167" t="s">
        <v>193</v>
      </c>
      <c r="E167" s="8">
        <v>46140.731249999997</v>
      </c>
      <c r="F167" s="8">
        <v>46140.895833333336</v>
      </c>
      <c r="G167" s="9">
        <v>3.95</v>
      </c>
      <c r="H167" s="9">
        <f t="shared" si="6"/>
        <v>2.1000000000000001E-2</v>
      </c>
      <c r="I167" s="9"/>
      <c r="J167" s="9"/>
      <c r="K167" s="9">
        <v>2.1000000000000001E-2</v>
      </c>
      <c r="L167" s="9"/>
      <c r="M167" t="s">
        <v>28</v>
      </c>
      <c r="N167" t="s">
        <v>40</v>
      </c>
      <c r="O167" t="s">
        <v>183</v>
      </c>
      <c r="P167" t="s">
        <v>30</v>
      </c>
      <c r="Q167" t="s">
        <v>31</v>
      </c>
      <c r="R167">
        <v>82306</v>
      </c>
      <c r="S167" t="s">
        <v>55</v>
      </c>
      <c r="T167">
        <v>82303</v>
      </c>
      <c r="U167" t="s">
        <v>56</v>
      </c>
      <c r="V167" t="s">
        <v>56</v>
      </c>
      <c r="W167" t="s">
        <v>56</v>
      </c>
      <c r="X167" t="s">
        <v>57</v>
      </c>
      <c r="Y167" s="9">
        <f t="shared" si="7"/>
        <v>2.1000000000000001E-2</v>
      </c>
      <c r="Z167" t="str">
        <f t="shared" si="8"/>
        <v>สแกนต่าง Cost</v>
      </c>
    </row>
    <row r="168" spans="1:26" x14ac:dyDescent="0.45">
      <c r="B168" t="s">
        <v>26</v>
      </c>
      <c r="C168">
        <v>20039227</v>
      </c>
      <c r="D168" t="s">
        <v>58</v>
      </c>
      <c r="E168" s="8">
        <v>46140.730555555558</v>
      </c>
      <c r="F168" s="8">
        <v>46140.835416666669</v>
      </c>
      <c r="G168" s="9">
        <v>2.5166666666666666</v>
      </c>
      <c r="H168" s="9">
        <f t="shared" si="6"/>
        <v>1.2999999999999999E-2</v>
      </c>
      <c r="I168" s="9"/>
      <c r="J168" s="9"/>
      <c r="K168" s="9">
        <v>1.2999999999999999E-2</v>
      </c>
      <c r="L168" s="9"/>
      <c r="M168" t="s">
        <v>28</v>
      </c>
      <c r="N168" t="s">
        <v>40</v>
      </c>
      <c r="O168" t="s">
        <v>41</v>
      </c>
      <c r="P168" t="s">
        <v>30</v>
      </c>
      <c r="Q168" t="s">
        <v>31</v>
      </c>
      <c r="R168">
        <v>82652</v>
      </c>
      <c r="S168" t="s">
        <v>46</v>
      </c>
      <c r="T168">
        <v>82655</v>
      </c>
      <c r="U168" t="s">
        <v>59</v>
      </c>
      <c r="V168" t="s">
        <v>59</v>
      </c>
      <c r="W168" t="s">
        <v>37</v>
      </c>
      <c r="X168" t="s">
        <v>60</v>
      </c>
      <c r="Y168" s="9">
        <f t="shared" si="7"/>
        <v>1.2999999999999999E-2</v>
      </c>
      <c r="Z168" t="str">
        <f t="shared" si="8"/>
        <v>สแกนต่าง Cost</v>
      </c>
    </row>
    <row r="169" spans="1:26" x14ac:dyDescent="0.45">
      <c r="B169" t="s">
        <v>53</v>
      </c>
      <c r="C169">
        <v>20018605</v>
      </c>
      <c r="D169" t="s">
        <v>151</v>
      </c>
      <c r="E169" s="8">
        <v>46140.722916666666</v>
      </c>
      <c r="F169" s="8">
        <v>46140.826388888891</v>
      </c>
      <c r="G169" s="9">
        <v>2.4833333333333334</v>
      </c>
      <c r="H169" s="9">
        <f t="shared" si="6"/>
        <v>1.2999999999999999E-2</v>
      </c>
      <c r="I169" s="9"/>
      <c r="J169" s="9"/>
      <c r="K169" s="9">
        <v>1.2999999999999999E-2</v>
      </c>
      <c r="L169" s="9"/>
      <c r="M169" t="s">
        <v>28</v>
      </c>
      <c r="N169" t="s">
        <v>40</v>
      </c>
      <c r="O169" t="s">
        <v>41</v>
      </c>
      <c r="P169" t="s">
        <v>133</v>
      </c>
      <c r="Q169" t="s">
        <v>31</v>
      </c>
      <c r="R169">
        <v>82640</v>
      </c>
      <c r="S169" t="s">
        <v>42</v>
      </c>
      <c r="T169">
        <v>82611</v>
      </c>
      <c r="U169" t="s">
        <v>43</v>
      </c>
      <c r="V169" t="s">
        <v>43</v>
      </c>
      <c r="W169" t="s">
        <v>71</v>
      </c>
      <c r="X169" t="s">
        <v>72</v>
      </c>
      <c r="Y169" s="9">
        <f t="shared" si="7"/>
        <v>1.2999999999999999E-2</v>
      </c>
      <c r="Z169" t="str">
        <f t="shared" si="8"/>
        <v>สแกนต่าง Cost</v>
      </c>
    </row>
    <row r="170" spans="1:26" x14ac:dyDescent="0.45">
      <c r="B170" t="s">
        <v>53</v>
      </c>
      <c r="C170">
        <v>20019647</v>
      </c>
      <c r="D170" t="s">
        <v>152</v>
      </c>
      <c r="E170" s="8">
        <v>46140.722916666666</v>
      </c>
      <c r="F170" s="8">
        <v>46140.827777777777</v>
      </c>
      <c r="G170" s="9">
        <v>2.5166666666666666</v>
      </c>
      <c r="H170" s="9">
        <f t="shared" si="6"/>
        <v>1.2999999999999999E-2</v>
      </c>
      <c r="I170" s="9"/>
      <c r="J170" s="9"/>
      <c r="K170" s="9">
        <v>1.2999999999999999E-2</v>
      </c>
      <c r="L170" s="9"/>
      <c r="M170" t="s">
        <v>28</v>
      </c>
      <c r="N170" t="s">
        <v>40</v>
      </c>
      <c r="O170" t="s">
        <v>41</v>
      </c>
      <c r="P170" t="s">
        <v>30</v>
      </c>
      <c r="Q170" t="s">
        <v>31</v>
      </c>
      <c r="R170">
        <v>82630</v>
      </c>
      <c r="S170" t="s">
        <v>32</v>
      </c>
      <c r="T170">
        <v>82611</v>
      </c>
      <c r="U170" t="s">
        <v>43</v>
      </c>
      <c r="V170" t="s">
        <v>43</v>
      </c>
      <c r="W170" t="s">
        <v>44</v>
      </c>
      <c r="X170" t="s">
        <v>44</v>
      </c>
      <c r="Y170" s="9">
        <f t="shared" si="7"/>
        <v>1.2999999999999999E-2</v>
      </c>
      <c r="Z170" t="str">
        <f t="shared" si="8"/>
        <v>สแกนต่าง Cost</v>
      </c>
    </row>
    <row r="171" spans="1:26" x14ac:dyDescent="0.45">
      <c r="B171" t="s">
        <v>26</v>
      </c>
      <c r="C171">
        <v>20060579</v>
      </c>
      <c r="D171" t="s">
        <v>39</v>
      </c>
      <c r="E171" s="8">
        <v>46140.722916666666</v>
      </c>
      <c r="F171" s="8">
        <v>46140.828472222223</v>
      </c>
      <c r="G171" s="9">
        <v>2.5333333333333332</v>
      </c>
      <c r="H171" s="9">
        <f t="shared" si="6"/>
        <v>1.4E-2</v>
      </c>
      <c r="I171" s="9"/>
      <c r="J171" s="9"/>
      <c r="K171" s="9">
        <v>1.4E-2</v>
      </c>
      <c r="L171" s="9"/>
      <c r="M171" t="s">
        <v>28</v>
      </c>
      <c r="N171" t="s">
        <v>40</v>
      </c>
      <c r="O171" t="s">
        <v>41</v>
      </c>
      <c r="P171" t="s">
        <v>30</v>
      </c>
      <c r="Q171" t="s">
        <v>31</v>
      </c>
      <c r="R171">
        <v>82640</v>
      </c>
      <c r="S171" t="s">
        <v>42</v>
      </c>
      <c r="T171">
        <v>82611</v>
      </c>
      <c r="U171" t="s">
        <v>43</v>
      </c>
      <c r="V171" t="s">
        <v>43</v>
      </c>
      <c r="W171" t="s">
        <v>44</v>
      </c>
      <c r="X171" t="s">
        <v>44</v>
      </c>
      <c r="Y171" s="9">
        <f t="shared" si="7"/>
        <v>1.4E-2</v>
      </c>
      <c r="Z171" t="str">
        <f t="shared" si="8"/>
        <v>สแกนต่าง Cost</v>
      </c>
    </row>
    <row r="172" spans="1:26" x14ac:dyDescent="0.45">
      <c r="B172" t="s">
        <v>26</v>
      </c>
      <c r="C172">
        <v>20167851</v>
      </c>
      <c r="D172" t="s">
        <v>63</v>
      </c>
      <c r="E172" s="8">
        <v>46140.722916666666</v>
      </c>
      <c r="F172" s="8">
        <v>46140.827777777777</v>
      </c>
      <c r="G172" s="9">
        <v>2.5166666666666666</v>
      </c>
      <c r="H172" s="9">
        <f t="shared" si="6"/>
        <v>1.2999999999999999E-2</v>
      </c>
      <c r="I172" s="9"/>
      <c r="J172" s="9"/>
      <c r="K172" s="9">
        <v>1.2999999999999999E-2</v>
      </c>
      <c r="L172" s="9"/>
      <c r="M172" t="s">
        <v>28</v>
      </c>
      <c r="N172" t="s">
        <v>40</v>
      </c>
      <c r="O172" t="s">
        <v>41</v>
      </c>
      <c r="P172" t="s">
        <v>30</v>
      </c>
      <c r="Q172" t="s">
        <v>31</v>
      </c>
      <c r="R172">
        <v>82640</v>
      </c>
      <c r="S172" t="s">
        <v>42</v>
      </c>
      <c r="T172">
        <v>82611</v>
      </c>
      <c r="U172" t="s">
        <v>43</v>
      </c>
      <c r="V172" t="s">
        <v>43</v>
      </c>
      <c r="W172" t="s">
        <v>44</v>
      </c>
      <c r="X172" t="s">
        <v>44</v>
      </c>
      <c r="Y172" s="9">
        <f t="shared" si="7"/>
        <v>1.2999999999999999E-2</v>
      </c>
      <c r="Z172" t="str">
        <f t="shared" si="8"/>
        <v>สแกนต่าง Cost</v>
      </c>
    </row>
    <row r="173" spans="1:26" x14ac:dyDescent="0.45">
      <c r="B173" t="s">
        <v>26</v>
      </c>
      <c r="C173">
        <v>20310532</v>
      </c>
      <c r="D173" t="s">
        <v>61</v>
      </c>
      <c r="E173" s="8">
        <v>46140.722916666666</v>
      </c>
      <c r="F173" s="8">
        <v>46140.827777777777</v>
      </c>
      <c r="G173" s="9">
        <v>2.5166666666666666</v>
      </c>
      <c r="H173" s="9">
        <f t="shared" si="6"/>
        <v>1.2999999999999999E-2</v>
      </c>
      <c r="I173" s="9"/>
      <c r="J173" s="9"/>
      <c r="K173" s="9">
        <v>1.2999999999999999E-2</v>
      </c>
      <c r="L173" s="9"/>
      <c r="M173" t="s">
        <v>28</v>
      </c>
      <c r="N173" t="s">
        <v>40</v>
      </c>
      <c r="O173" t="s">
        <v>41</v>
      </c>
      <c r="P173" t="s">
        <v>30</v>
      </c>
      <c r="Q173" t="s">
        <v>31</v>
      </c>
      <c r="R173">
        <v>82640</v>
      </c>
      <c r="S173" t="s">
        <v>42</v>
      </c>
      <c r="T173">
        <v>82611</v>
      </c>
      <c r="U173" t="s">
        <v>43</v>
      </c>
      <c r="V173" t="s">
        <v>43</v>
      </c>
      <c r="W173" t="s">
        <v>44</v>
      </c>
      <c r="X173" t="s">
        <v>44</v>
      </c>
      <c r="Y173" s="9">
        <f t="shared" si="7"/>
        <v>1.2999999999999999E-2</v>
      </c>
      <c r="Z173" t="str">
        <f t="shared" si="8"/>
        <v>สแกนต่าง Cost</v>
      </c>
    </row>
    <row r="174" spans="1:26" x14ac:dyDescent="0.45">
      <c r="B174" t="s">
        <v>26</v>
      </c>
      <c r="C174">
        <v>20332134</v>
      </c>
      <c r="D174" t="s">
        <v>156</v>
      </c>
      <c r="E174" s="8">
        <v>46140.722916666666</v>
      </c>
      <c r="F174" s="8">
        <v>46140.828472222223</v>
      </c>
      <c r="G174" s="9">
        <v>2.5333333333333332</v>
      </c>
      <c r="H174" s="9">
        <f t="shared" si="6"/>
        <v>1.4E-2</v>
      </c>
      <c r="I174" s="9"/>
      <c r="J174" s="9"/>
      <c r="K174" s="9">
        <v>1.4E-2</v>
      </c>
      <c r="L174" s="9"/>
      <c r="M174" t="s">
        <v>28</v>
      </c>
      <c r="N174" t="s">
        <v>40</v>
      </c>
      <c r="O174" t="s">
        <v>41</v>
      </c>
      <c r="P174" t="s">
        <v>30</v>
      </c>
      <c r="Q174" t="s">
        <v>31</v>
      </c>
      <c r="R174">
        <v>82640</v>
      </c>
      <c r="S174" t="s">
        <v>42</v>
      </c>
      <c r="T174">
        <v>82611</v>
      </c>
      <c r="U174" t="s">
        <v>43</v>
      </c>
      <c r="V174" t="s">
        <v>43</v>
      </c>
      <c r="W174" t="s">
        <v>44</v>
      </c>
      <c r="X174" t="s">
        <v>44</v>
      </c>
      <c r="Y174" s="9">
        <f t="shared" si="7"/>
        <v>1.4E-2</v>
      </c>
      <c r="Z174" t="str">
        <f t="shared" si="8"/>
        <v>สแกนต่าง Cost</v>
      </c>
    </row>
    <row r="175" spans="1:26" x14ac:dyDescent="0.45">
      <c r="B175" t="s">
        <v>53</v>
      </c>
      <c r="C175">
        <v>20014916</v>
      </c>
      <c r="D175" t="s">
        <v>167</v>
      </c>
      <c r="E175" s="8">
        <v>46140.604166666664</v>
      </c>
      <c r="F175" s="8">
        <v>46140.729166666664</v>
      </c>
      <c r="G175" s="9">
        <v>3</v>
      </c>
      <c r="H175" s="9">
        <f t="shared" si="6"/>
        <v>1.6E-2</v>
      </c>
      <c r="I175" s="9">
        <v>1.6E-2</v>
      </c>
      <c r="J175" s="9"/>
      <c r="K175" s="9"/>
      <c r="L175" s="9"/>
      <c r="M175" t="s">
        <v>65</v>
      </c>
      <c r="N175" t="s">
        <v>29</v>
      </c>
      <c r="P175" t="s">
        <v>133</v>
      </c>
      <c r="Q175" t="s">
        <v>31</v>
      </c>
      <c r="R175">
        <v>82607</v>
      </c>
      <c r="S175" t="s">
        <v>168</v>
      </c>
      <c r="T175">
        <v>82640</v>
      </c>
      <c r="U175" t="s">
        <v>42</v>
      </c>
      <c r="V175" t="s">
        <v>155</v>
      </c>
      <c r="W175" t="s">
        <v>47</v>
      </c>
      <c r="X175" t="s">
        <v>95</v>
      </c>
      <c r="Y175" s="9">
        <f t="shared" si="7"/>
        <v>0</v>
      </c>
      <c r="Z175" t="str">
        <f t="shared" si="8"/>
        <v>สแกนต่าง Cost</v>
      </c>
    </row>
    <row r="176" spans="1:26" x14ac:dyDescent="0.45">
      <c r="B176" t="s">
        <v>53</v>
      </c>
      <c r="C176">
        <v>20377125</v>
      </c>
      <c r="D176" t="s">
        <v>194</v>
      </c>
      <c r="E176" s="8">
        <v>46140.547222222223</v>
      </c>
      <c r="F176" s="8">
        <v>46140.729166666664</v>
      </c>
      <c r="G176" s="9">
        <v>4.3666666666666663</v>
      </c>
      <c r="H176" s="9">
        <f t="shared" si="6"/>
        <v>2.3E-2</v>
      </c>
      <c r="I176" s="9">
        <v>2.3E-2</v>
      </c>
      <c r="J176" s="9"/>
      <c r="K176" s="9"/>
      <c r="L176" s="9"/>
      <c r="M176" t="s">
        <v>65</v>
      </c>
      <c r="N176" t="s">
        <v>29</v>
      </c>
      <c r="P176" t="s">
        <v>30</v>
      </c>
      <c r="Q176" t="s">
        <v>31</v>
      </c>
      <c r="R176">
        <v>82301</v>
      </c>
      <c r="S176" t="s">
        <v>79</v>
      </c>
      <c r="T176">
        <v>82640</v>
      </c>
      <c r="U176" t="s">
        <v>42</v>
      </c>
      <c r="V176" t="s">
        <v>70</v>
      </c>
      <c r="W176" t="s">
        <v>71</v>
      </c>
      <c r="X176" t="s">
        <v>72</v>
      </c>
      <c r="Y176" s="9">
        <f t="shared" si="7"/>
        <v>0</v>
      </c>
      <c r="Z176" t="str">
        <f t="shared" si="8"/>
        <v>สแกนต่าง Cost</v>
      </c>
    </row>
    <row r="177" spans="1:26" x14ac:dyDescent="0.45">
      <c r="B177" t="s">
        <v>53</v>
      </c>
      <c r="C177">
        <v>20018899</v>
      </c>
      <c r="D177" t="s">
        <v>64</v>
      </c>
      <c r="E177" s="8">
        <v>46140.541666666664</v>
      </c>
      <c r="F177" s="8">
        <v>46140.729166666664</v>
      </c>
      <c r="G177" s="9">
        <v>4.5</v>
      </c>
      <c r="H177" s="9">
        <f t="shared" si="6"/>
        <v>2.4E-2</v>
      </c>
      <c r="I177" s="9">
        <v>2.4E-2</v>
      </c>
      <c r="J177" s="9"/>
      <c r="K177" s="9"/>
      <c r="L177" s="9"/>
      <c r="M177" t="s">
        <v>65</v>
      </c>
      <c r="N177" t="s">
        <v>29</v>
      </c>
      <c r="P177" t="s">
        <v>30</v>
      </c>
      <c r="Q177" t="s">
        <v>31</v>
      </c>
      <c r="R177">
        <v>82640</v>
      </c>
      <c r="S177" t="s">
        <v>42</v>
      </c>
      <c r="T177">
        <v>82652</v>
      </c>
      <c r="U177" t="s">
        <v>46</v>
      </c>
      <c r="V177" t="s">
        <v>66</v>
      </c>
      <c r="W177" t="s">
        <v>37</v>
      </c>
      <c r="X177" t="s">
        <v>34</v>
      </c>
      <c r="Y177" s="9">
        <f t="shared" si="7"/>
        <v>0</v>
      </c>
      <c r="Z177" t="str">
        <f t="shared" si="8"/>
        <v>สแกนต่าง Cost</v>
      </c>
    </row>
    <row r="178" spans="1:26" x14ac:dyDescent="0.45">
      <c r="A178">
        <v>26992</v>
      </c>
      <c r="B178" t="s">
        <v>53</v>
      </c>
      <c r="C178">
        <v>20083462</v>
      </c>
      <c r="D178" t="s">
        <v>175</v>
      </c>
      <c r="E178" s="8">
        <v>46140.541666666664</v>
      </c>
      <c r="F178" s="8">
        <v>46140.729166666664</v>
      </c>
      <c r="G178" s="9">
        <v>4.5</v>
      </c>
      <c r="H178" s="9">
        <f t="shared" si="6"/>
        <v>2.4E-2</v>
      </c>
      <c r="I178" s="9">
        <v>2.4E-2</v>
      </c>
      <c r="J178" s="9"/>
      <c r="K178" s="9"/>
      <c r="L178" s="9"/>
      <c r="M178" t="s">
        <v>65</v>
      </c>
      <c r="N178" t="s">
        <v>29</v>
      </c>
      <c r="P178" t="s">
        <v>30</v>
      </c>
      <c r="Q178" t="s">
        <v>31</v>
      </c>
      <c r="R178">
        <v>82308</v>
      </c>
      <c r="S178" t="s">
        <v>69</v>
      </c>
      <c r="T178">
        <v>82301</v>
      </c>
      <c r="U178" t="s">
        <v>79</v>
      </c>
      <c r="V178" t="s">
        <v>79</v>
      </c>
      <c r="W178" t="s">
        <v>80</v>
      </c>
      <c r="X178" t="s">
        <v>81</v>
      </c>
      <c r="Y178" s="9">
        <f t="shared" si="7"/>
        <v>0</v>
      </c>
      <c r="Z178" t="str">
        <f t="shared" si="8"/>
        <v>สแกนต่าง Cost</v>
      </c>
    </row>
    <row r="179" spans="1:26" x14ac:dyDescent="0.45">
      <c r="B179" t="s">
        <v>53</v>
      </c>
      <c r="C179">
        <v>20220646</v>
      </c>
      <c r="D179" t="s">
        <v>67</v>
      </c>
      <c r="E179" s="8">
        <v>46140.541666666664</v>
      </c>
      <c r="F179" s="8">
        <v>46140.729166666664</v>
      </c>
      <c r="G179" s="9">
        <v>4.5</v>
      </c>
      <c r="H179" s="9">
        <f t="shared" si="6"/>
        <v>2.4E-2</v>
      </c>
      <c r="I179" s="9">
        <v>2.4E-2</v>
      </c>
      <c r="J179" s="9"/>
      <c r="K179" s="9"/>
      <c r="L179" s="9"/>
      <c r="M179" t="s">
        <v>65</v>
      </c>
      <c r="N179" t="s">
        <v>29</v>
      </c>
      <c r="P179" t="s">
        <v>30</v>
      </c>
      <c r="Q179" t="s">
        <v>31</v>
      </c>
      <c r="R179">
        <v>82640</v>
      </c>
      <c r="S179" t="s">
        <v>42</v>
      </c>
      <c r="T179">
        <v>82652</v>
      </c>
      <c r="U179" t="s">
        <v>46</v>
      </c>
      <c r="V179" t="s">
        <v>66</v>
      </c>
      <c r="W179" t="s">
        <v>37</v>
      </c>
      <c r="X179" t="s">
        <v>34</v>
      </c>
      <c r="Y179" s="9">
        <f t="shared" si="7"/>
        <v>0</v>
      </c>
      <c r="Z179" t="str">
        <f t="shared" si="8"/>
        <v>สแกนต่าง Cost</v>
      </c>
    </row>
    <row r="180" spans="1:26" x14ac:dyDescent="0.45">
      <c r="B180" t="s">
        <v>26</v>
      </c>
      <c r="C180">
        <v>20399631</v>
      </c>
      <c r="D180" t="s">
        <v>48</v>
      </c>
      <c r="E180" s="8">
        <v>46140.540277777778</v>
      </c>
      <c r="F180" s="8">
        <v>46140.729166666664</v>
      </c>
      <c r="G180" s="9">
        <v>4.5333333333333332</v>
      </c>
      <c r="H180" s="9">
        <f t="shared" si="6"/>
        <v>2.4E-2</v>
      </c>
      <c r="I180" s="9">
        <v>2.4E-2</v>
      </c>
      <c r="J180" s="9"/>
      <c r="K180" s="9"/>
      <c r="L180" s="9"/>
      <c r="M180" t="s">
        <v>65</v>
      </c>
      <c r="N180" t="s">
        <v>29</v>
      </c>
      <c r="P180" t="s">
        <v>30</v>
      </c>
      <c r="Q180" t="s">
        <v>31</v>
      </c>
      <c r="R180">
        <v>82640</v>
      </c>
      <c r="S180" t="s">
        <v>42</v>
      </c>
      <c r="T180">
        <v>82658</v>
      </c>
      <c r="U180" t="s">
        <v>33</v>
      </c>
      <c r="V180" t="s">
        <v>33</v>
      </c>
      <c r="W180" t="s">
        <v>37</v>
      </c>
      <c r="X180" t="s">
        <v>38</v>
      </c>
      <c r="Y180" s="9">
        <f t="shared" si="7"/>
        <v>0</v>
      </c>
      <c r="Z180" t="str">
        <f t="shared" si="8"/>
        <v>สแกนต่าง Cost</v>
      </c>
    </row>
    <row r="181" spans="1:26" x14ac:dyDescent="0.45">
      <c r="A181">
        <v>27102</v>
      </c>
      <c r="B181" t="s">
        <v>53</v>
      </c>
      <c r="C181">
        <v>20048905</v>
      </c>
      <c r="D181" t="s">
        <v>73</v>
      </c>
      <c r="E181" s="8">
        <v>46140.504861111112</v>
      </c>
      <c r="F181" s="8">
        <v>46140.984027777777</v>
      </c>
      <c r="G181" s="9">
        <v>11.5</v>
      </c>
      <c r="H181" s="9">
        <f t="shared" si="6"/>
        <v>6.0999999999999999E-2</v>
      </c>
      <c r="I181" s="9">
        <v>4.4999999999999998E-2</v>
      </c>
      <c r="J181" s="9"/>
      <c r="K181" s="9">
        <v>1.6E-2</v>
      </c>
      <c r="L181" s="9"/>
      <c r="M181" t="s">
        <v>28</v>
      </c>
      <c r="N181" t="s">
        <v>29</v>
      </c>
      <c r="P181" t="s">
        <v>30</v>
      </c>
      <c r="Q181" t="s">
        <v>31</v>
      </c>
      <c r="R181">
        <v>82409</v>
      </c>
      <c r="S181" t="s">
        <v>74</v>
      </c>
      <c r="T181">
        <v>82664</v>
      </c>
      <c r="U181" t="s">
        <v>75</v>
      </c>
      <c r="V181" t="s">
        <v>75</v>
      </c>
      <c r="W181" t="s">
        <v>74</v>
      </c>
      <c r="X181" t="s">
        <v>74</v>
      </c>
      <c r="Y181" s="9">
        <f t="shared" si="7"/>
        <v>1.6E-2</v>
      </c>
      <c r="Z181" t="str">
        <f t="shared" si="8"/>
        <v>สแกนต่าง Cost</v>
      </c>
    </row>
    <row r="182" spans="1:26" x14ac:dyDescent="0.45">
      <c r="B182" t="s">
        <v>53</v>
      </c>
      <c r="C182">
        <v>20238349</v>
      </c>
      <c r="D182" t="s">
        <v>195</v>
      </c>
      <c r="E182" s="8">
        <v>46140.452777777777</v>
      </c>
      <c r="F182" s="8">
        <v>46140.729166666664</v>
      </c>
      <c r="G182" s="9">
        <v>5.6333333333333337</v>
      </c>
      <c r="H182" s="9">
        <f t="shared" si="6"/>
        <v>0.03</v>
      </c>
      <c r="I182" s="9">
        <v>0.03</v>
      </c>
      <c r="J182" s="9"/>
      <c r="K182" s="9"/>
      <c r="L182" s="9"/>
      <c r="M182" t="s">
        <v>65</v>
      </c>
      <c r="N182" t="s">
        <v>29</v>
      </c>
      <c r="P182" t="s">
        <v>30</v>
      </c>
      <c r="Q182" t="s">
        <v>31</v>
      </c>
      <c r="R182">
        <v>82301</v>
      </c>
      <c r="S182" t="s">
        <v>79</v>
      </c>
      <c r="T182">
        <v>82640</v>
      </c>
      <c r="U182" t="s">
        <v>42</v>
      </c>
      <c r="V182" t="s">
        <v>70</v>
      </c>
      <c r="W182" t="s">
        <v>71</v>
      </c>
      <c r="X182" t="s">
        <v>72</v>
      </c>
      <c r="Y182" s="9">
        <f t="shared" si="7"/>
        <v>0</v>
      </c>
      <c r="Z182" t="str">
        <f t="shared" si="8"/>
        <v>สแกนต่าง Cost</v>
      </c>
    </row>
    <row r="183" spans="1:26" x14ac:dyDescent="0.45">
      <c r="B183" t="s">
        <v>53</v>
      </c>
      <c r="C183">
        <v>20377125</v>
      </c>
      <c r="D183" t="s">
        <v>194</v>
      </c>
      <c r="E183" s="8">
        <v>46140.450694444444</v>
      </c>
      <c r="F183" s="8">
        <v>46140.496527777781</v>
      </c>
      <c r="G183" s="9">
        <v>1.1000000000000001</v>
      </c>
      <c r="H183" s="9">
        <f t="shared" si="6"/>
        <v>6.0000000000000001E-3</v>
      </c>
      <c r="I183" s="9">
        <v>6.0000000000000001E-3</v>
      </c>
      <c r="J183" s="9"/>
      <c r="K183" s="9"/>
      <c r="L183" s="9"/>
      <c r="M183" t="s">
        <v>65</v>
      </c>
      <c r="N183" t="s">
        <v>29</v>
      </c>
      <c r="P183" t="s">
        <v>30</v>
      </c>
      <c r="Q183" t="s">
        <v>31</v>
      </c>
      <c r="R183">
        <v>82301</v>
      </c>
      <c r="S183" t="s">
        <v>79</v>
      </c>
      <c r="T183">
        <v>82640</v>
      </c>
      <c r="U183" t="s">
        <v>42</v>
      </c>
      <c r="V183" t="s">
        <v>70</v>
      </c>
      <c r="W183" t="s">
        <v>71</v>
      </c>
      <c r="X183" t="s">
        <v>72</v>
      </c>
      <c r="Y183" s="9">
        <f t="shared" si="7"/>
        <v>0</v>
      </c>
      <c r="Z183" t="str">
        <f t="shared" si="8"/>
        <v>สแกนต่าง Cost</v>
      </c>
    </row>
    <row r="184" spans="1:26" x14ac:dyDescent="0.45">
      <c r="A184">
        <v>27097</v>
      </c>
      <c r="B184" t="s">
        <v>53</v>
      </c>
      <c r="C184">
        <v>20238349</v>
      </c>
      <c r="D184" t="s">
        <v>195</v>
      </c>
      <c r="E184" s="8">
        <v>46140.425000000003</v>
      </c>
      <c r="F184" s="8">
        <v>46140.45</v>
      </c>
      <c r="G184" s="9">
        <v>0.6</v>
      </c>
      <c r="H184" s="9">
        <f t="shared" si="6"/>
        <v>3.0000000000000001E-3</v>
      </c>
      <c r="I184" s="9">
        <v>3.0000000000000001E-3</v>
      </c>
      <c r="J184" s="9"/>
      <c r="K184" s="9"/>
      <c r="L184" s="9"/>
      <c r="M184" t="s">
        <v>65</v>
      </c>
      <c r="N184" t="s">
        <v>29</v>
      </c>
      <c r="P184" t="s">
        <v>30</v>
      </c>
      <c r="Q184" t="s">
        <v>31</v>
      </c>
      <c r="R184">
        <v>82301</v>
      </c>
      <c r="S184" t="s">
        <v>79</v>
      </c>
      <c r="T184">
        <v>82308</v>
      </c>
      <c r="U184" t="s">
        <v>69</v>
      </c>
      <c r="V184" t="s">
        <v>69</v>
      </c>
      <c r="W184" t="s">
        <v>69</v>
      </c>
      <c r="X184" t="s">
        <v>196</v>
      </c>
      <c r="Y184" s="9">
        <f t="shared" si="7"/>
        <v>0</v>
      </c>
      <c r="Z184" t="str">
        <f t="shared" si="8"/>
        <v>สแกนต่าง Cost</v>
      </c>
    </row>
    <row r="185" spans="1:26" x14ac:dyDescent="0.45">
      <c r="A185">
        <v>26990</v>
      </c>
      <c r="B185" t="s">
        <v>53</v>
      </c>
      <c r="C185">
        <v>20276269</v>
      </c>
      <c r="D185" t="s">
        <v>134</v>
      </c>
      <c r="E185" s="8">
        <v>46140.416666666664</v>
      </c>
      <c r="F185" s="8">
        <v>46140.6875</v>
      </c>
      <c r="G185" s="9">
        <v>5.5</v>
      </c>
      <c r="H185" s="9">
        <f t="shared" si="6"/>
        <v>2.9000000000000001E-2</v>
      </c>
      <c r="I185" s="9">
        <v>2.9000000000000001E-2</v>
      </c>
      <c r="J185" s="9"/>
      <c r="K185" s="9"/>
      <c r="L185" s="9"/>
      <c r="M185" t="s">
        <v>65</v>
      </c>
      <c r="N185" t="s">
        <v>29</v>
      </c>
      <c r="P185" t="s">
        <v>30</v>
      </c>
      <c r="Q185" t="s">
        <v>31</v>
      </c>
      <c r="R185">
        <v>82308</v>
      </c>
      <c r="S185" t="s">
        <v>69</v>
      </c>
      <c r="T185">
        <v>82301</v>
      </c>
      <c r="U185" t="s">
        <v>79</v>
      </c>
      <c r="V185" t="s">
        <v>79</v>
      </c>
      <c r="W185" t="s">
        <v>80</v>
      </c>
      <c r="X185" t="s">
        <v>135</v>
      </c>
      <c r="Y185" s="9">
        <f t="shared" si="7"/>
        <v>0</v>
      </c>
      <c r="Z185" t="str">
        <f t="shared" si="8"/>
        <v>สแกนต่าง Cost</v>
      </c>
    </row>
    <row r="186" spans="1:26" x14ac:dyDescent="0.45">
      <c r="B186" t="s">
        <v>53</v>
      </c>
      <c r="C186">
        <v>20078229</v>
      </c>
      <c r="D186" t="s">
        <v>197</v>
      </c>
      <c r="E186" s="8">
        <v>46140.398611111108</v>
      </c>
      <c r="F186" s="8">
        <v>46140.729166666664</v>
      </c>
      <c r="G186" s="9">
        <v>6.9333333333333336</v>
      </c>
      <c r="H186" s="9">
        <f t="shared" si="6"/>
        <v>3.6999999999999998E-2</v>
      </c>
      <c r="I186" s="9">
        <v>3.6999999999999998E-2</v>
      </c>
      <c r="J186" s="9"/>
      <c r="K186" s="9"/>
      <c r="L186" s="9"/>
      <c r="M186" t="s">
        <v>65</v>
      </c>
      <c r="N186" t="s">
        <v>29</v>
      </c>
      <c r="P186" t="s">
        <v>133</v>
      </c>
      <c r="Q186" t="s">
        <v>31</v>
      </c>
      <c r="R186">
        <v>82612</v>
      </c>
      <c r="S186" t="s">
        <v>153</v>
      </c>
      <c r="T186">
        <v>82630</v>
      </c>
      <c r="U186" t="s">
        <v>32</v>
      </c>
      <c r="V186" t="s">
        <v>62</v>
      </c>
      <c r="W186" t="s">
        <v>148</v>
      </c>
      <c r="X186" t="s">
        <v>149</v>
      </c>
      <c r="Y186" s="9">
        <f t="shared" si="7"/>
        <v>0</v>
      </c>
      <c r="Z186" t="str">
        <f t="shared" si="8"/>
        <v>สแกนต่าง Cost</v>
      </c>
    </row>
    <row r="187" spans="1:26" x14ac:dyDescent="0.45">
      <c r="B187" t="s">
        <v>26</v>
      </c>
      <c r="C187">
        <v>20031838</v>
      </c>
      <c r="D187" t="s">
        <v>143</v>
      </c>
      <c r="E187" s="8">
        <v>46140.368750000001</v>
      </c>
      <c r="F187" s="8">
        <v>46140.729166666664</v>
      </c>
      <c r="G187" s="9">
        <v>7.65</v>
      </c>
      <c r="H187" s="9">
        <f t="shared" si="6"/>
        <v>4.1000000000000002E-2</v>
      </c>
      <c r="I187" s="9">
        <v>4.1000000000000002E-2</v>
      </c>
      <c r="J187" s="9"/>
      <c r="K187" s="9"/>
      <c r="L187" s="9"/>
      <c r="M187" t="s">
        <v>65</v>
      </c>
      <c r="N187" t="s">
        <v>29</v>
      </c>
      <c r="P187" t="s">
        <v>30</v>
      </c>
      <c r="Q187" t="s">
        <v>31</v>
      </c>
      <c r="R187">
        <v>82652</v>
      </c>
      <c r="S187" t="s">
        <v>46</v>
      </c>
      <c r="T187">
        <v>82658</v>
      </c>
      <c r="U187" t="s">
        <v>33</v>
      </c>
      <c r="V187" t="s">
        <v>33</v>
      </c>
      <c r="W187" t="s">
        <v>37</v>
      </c>
      <c r="X187" t="s">
        <v>38</v>
      </c>
      <c r="Y187" s="9">
        <f t="shared" si="7"/>
        <v>0</v>
      </c>
      <c r="Z187" t="str">
        <f t="shared" si="8"/>
        <v>สแกนต่าง Cost</v>
      </c>
    </row>
    <row r="188" spans="1:26" x14ac:dyDescent="0.45">
      <c r="A188">
        <v>27092</v>
      </c>
      <c r="B188" t="s">
        <v>53</v>
      </c>
      <c r="C188">
        <v>20238364</v>
      </c>
      <c r="D188" t="s">
        <v>198</v>
      </c>
      <c r="E188" s="8">
        <v>46140.34652777778</v>
      </c>
      <c r="F188" s="8">
        <v>46140.411111111112</v>
      </c>
      <c r="G188" s="9">
        <v>1.55</v>
      </c>
      <c r="H188" s="9">
        <f t="shared" si="6"/>
        <v>8.0000000000000002E-3</v>
      </c>
      <c r="I188" s="9">
        <v>8.0000000000000002E-3</v>
      </c>
      <c r="J188" s="9"/>
      <c r="K188" s="9"/>
      <c r="L188" s="9"/>
      <c r="M188" t="s">
        <v>65</v>
      </c>
      <c r="N188" t="s">
        <v>29</v>
      </c>
      <c r="P188" t="s">
        <v>30</v>
      </c>
      <c r="Q188" t="s">
        <v>31</v>
      </c>
      <c r="R188">
        <v>82306</v>
      </c>
      <c r="S188" t="s">
        <v>55</v>
      </c>
      <c r="T188">
        <v>82920</v>
      </c>
      <c r="U188" t="s">
        <v>158</v>
      </c>
      <c r="V188" t="s">
        <v>158</v>
      </c>
      <c r="W188" t="s">
        <v>159</v>
      </c>
      <c r="X188" t="s">
        <v>160</v>
      </c>
      <c r="Y188" s="9">
        <f t="shared" si="7"/>
        <v>0</v>
      </c>
      <c r="Z188" t="str">
        <f t="shared" si="8"/>
        <v>สแกนต่าง Cost</v>
      </c>
    </row>
    <row r="189" spans="1:26" x14ac:dyDescent="0.45">
      <c r="B189" t="s">
        <v>26</v>
      </c>
      <c r="C189">
        <v>20334391</v>
      </c>
      <c r="D189" t="s">
        <v>185</v>
      </c>
      <c r="E189" s="8">
        <v>46140.345833333333</v>
      </c>
      <c r="F189" s="8">
        <v>46140.825694444444</v>
      </c>
      <c r="G189" s="9">
        <v>11.516666666666667</v>
      </c>
      <c r="H189" s="9">
        <f t="shared" si="6"/>
        <v>6.0999999999999999E-2</v>
      </c>
      <c r="I189" s="9">
        <v>4.4999999999999998E-2</v>
      </c>
      <c r="J189" s="9"/>
      <c r="K189" s="9">
        <v>1.6E-2</v>
      </c>
      <c r="L189" s="9"/>
      <c r="M189" t="s">
        <v>28</v>
      </c>
      <c r="N189" t="s">
        <v>40</v>
      </c>
      <c r="O189" t="s">
        <v>41</v>
      </c>
      <c r="P189" t="s">
        <v>30</v>
      </c>
      <c r="Q189" t="s">
        <v>31</v>
      </c>
      <c r="R189">
        <v>82640</v>
      </c>
      <c r="S189" t="s">
        <v>42</v>
      </c>
      <c r="T189">
        <v>82658</v>
      </c>
      <c r="U189" t="s">
        <v>33</v>
      </c>
      <c r="V189" t="s">
        <v>33</v>
      </c>
      <c r="W189" t="s">
        <v>34</v>
      </c>
      <c r="X189" t="s">
        <v>34</v>
      </c>
      <c r="Y189" s="9">
        <f t="shared" si="7"/>
        <v>1.6E-2</v>
      </c>
      <c r="Z189" t="str">
        <f t="shared" si="8"/>
        <v>สแกนต่าง Cost</v>
      </c>
    </row>
    <row r="190" spans="1:26" x14ac:dyDescent="0.45">
      <c r="A190">
        <v>26991</v>
      </c>
      <c r="B190" t="s">
        <v>53</v>
      </c>
      <c r="C190">
        <v>20004913</v>
      </c>
      <c r="D190" t="s">
        <v>87</v>
      </c>
      <c r="E190" s="8">
        <v>46140.333333333336</v>
      </c>
      <c r="F190" s="8">
        <v>46140.729166666664</v>
      </c>
      <c r="G190" s="9">
        <v>8.5</v>
      </c>
      <c r="H190" s="9">
        <f t="shared" si="6"/>
        <v>4.4999999999999998E-2</v>
      </c>
      <c r="I190" s="9">
        <v>4.4999999999999998E-2</v>
      </c>
      <c r="J190" s="9"/>
      <c r="K190" s="9"/>
      <c r="L190" s="9"/>
      <c r="M190" t="s">
        <v>65</v>
      </c>
      <c r="N190" t="s">
        <v>29</v>
      </c>
      <c r="P190" t="s">
        <v>30</v>
      </c>
      <c r="Q190" t="s">
        <v>31</v>
      </c>
      <c r="R190">
        <v>82301</v>
      </c>
      <c r="S190" t="s">
        <v>79</v>
      </c>
      <c r="T190">
        <v>82308</v>
      </c>
      <c r="U190" t="s">
        <v>69</v>
      </c>
      <c r="V190" t="s">
        <v>69</v>
      </c>
      <c r="W190" t="s">
        <v>69</v>
      </c>
      <c r="X190" t="s">
        <v>88</v>
      </c>
      <c r="Y190" s="9">
        <f t="shared" si="7"/>
        <v>0</v>
      </c>
      <c r="Z190" t="str">
        <f t="shared" si="8"/>
        <v>สแกนต่าง Cost</v>
      </c>
    </row>
    <row r="191" spans="1:26" x14ac:dyDescent="0.45">
      <c r="B191" t="s">
        <v>26</v>
      </c>
      <c r="C191">
        <v>20014598</v>
      </c>
      <c r="D191" t="s">
        <v>89</v>
      </c>
      <c r="E191" s="8">
        <v>46140.333333333336</v>
      </c>
      <c r="F191" s="8">
        <v>46140.729166666664</v>
      </c>
      <c r="G191" s="9">
        <v>8.5</v>
      </c>
      <c r="H191" s="9">
        <f t="shared" si="6"/>
        <v>4.4999999999999998E-2</v>
      </c>
      <c r="I191" s="9">
        <v>4.4999999999999998E-2</v>
      </c>
      <c r="J191" s="9"/>
      <c r="K191" s="9"/>
      <c r="L191" s="9"/>
      <c r="M191" t="s">
        <v>65</v>
      </c>
      <c r="N191" t="s">
        <v>29</v>
      </c>
      <c r="P191" t="s">
        <v>30</v>
      </c>
      <c r="Q191" t="s">
        <v>31</v>
      </c>
      <c r="R191">
        <v>82400</v>
      </c>
      <c r="S191" t="s">
        <v>83</v>
      </c>
      <c r="T191">
        <v>82690</v>
      </c>
      <c r="U191" t="s">
        <v>90</v>
      </c>
      <c r="V191" t="s">
        <v>90</v>
      </c>
      <c r="W191" t="s">
        <v>91</v>
      </c>
      <c r="X191" t="s">
        <v>92</v>
      </c>
      <c r="Y191" s="9">
        <f t="shared" si="7"/>
        <v>0</v>
      </c>
      <c r="Z191" t="str">
        <f t="shared" si="8"/>
        <v>สแกนต่าง Cost</v>
      </c>
    </row>
    <row r="192" spans="1:26" x14ac:dyDescent="0.45">
      <c r="A192">
        <v>27096</v>
      </c>
      <c r="B192" t="s">
        <v>53</v>
      </c>
      <c r="C192">
        <v>20017430</v>
      </c>
      <c r="D192" t="s">
        <v>94</v>
      </c>
      <c r="E192" s="8">
        <v>46140.333333333336</v>
      </c>
      <c r="F192" s="8">
        <v>46140.729166666664</v>
      </c>
      <c r="G192" s="9">
        <v>8.5</v>
      </c>
      <c r="H192" s="9">
        <f t="shared" si="6"/>
        <v>4.4999999999999998E-2</v>
      </c>
      <c r="I192" s="9">
        <v>4.4999999999999998E-2</v>
      </c>
      <c r="J192" s="9"/>
      <c r="K192" s="9"/>
      <c r="L192" s="9"/>
      <c r="M192" t="s">
        <v>65</v>
      </c>
      <c r="N192" t="s">
        <v>29</v>
      </c>
      <c r="P192" t="s">
        <v>30</v>
      </c>
      <c r="Q192" t="s">
        <v>31</v>
      </c>
      <c r="R192">
        <v>82301</v>
      </c>
      <c r="S192" t="s">
        <v>79</v>
      </c>
      <c r="T192">
        <v>82308</v>
      </c>
      <c r="U192" t="s">
        <v>69</v>
      </c>
      <c r="V192" t="s">
        <v>69</v>
      </c>
      <c r="W192" t="s">
        <v>69</v>
      </c>
      <c r="X192" t="s">
        <v>95</v>
      </c>
      <c r="Y192" s="9">
        <f t="shared" si="7"/>
        <v>0</v>
      </c>
      <c r="Z192" t="str">
        <f t="shared" si="8"/>
        <v>สแกนต่าง Cost</v>
      </c>
    </row>
    <row r="193" spans="1:26" x14ac:dyDescent="0.45">
      <c r="A193">
        <v>26988</v>
      </c>
      <c r="B193" t="s">
        <v>53</v>
      </c>
      <c r="C193">
        <v>20018611</v>
      </c>
      <c r="D193" t="s">
        <v>132</v>
      </c>
      <c r="E193" s="8">
        <v>46140.333333333336</v>
      </c>
      <c r="F193" s="8">
        <v>46140.729166666664</v>
      </c>
      <c r="G193" s="9">
        <v>8.5</v>
      </c>
      <c r="H193" s="9">
        <f t="shared" si="6"/>
        <v>4.4999999999999998E-2</v>
      </c>
      <c r="I193" s="9">
        <v>4.4999999999999998E-2</v>
      </c>
      <c r="J193" s="9"/>
      <c r="K193" s="9"/>
      <c r="L193" s="9"/>
      <c r="M193" t="s">
        <v>65</v>
      </c>
      <c r="N193" t="s">
        <v>29</v>
      </c>
      <c r="P193" t="s">
        <v>133</v>
      </c>
      <c r="Q193" t="s">
        <v>31</v>
      </c>
      <c r="R193">
        <v>82301</v>
      </c>
      <c r="S193" t="s">
        <v>79</v>
      </c>
      <c r="T193">
        <v>82308</v>
      </c>
      <c r="U193" t="s">
        <v>69</v>
      </c>
      <c r="V193" t="s">
        <v>69</v>
      </c>
      <c r="W193" t="s">
        <v>69</v>
      </c>
      <c r="X193" t="s">
        <v>95</v>
      </c>
      <c r="Y193" s="9">
        <f t="shared" si="7"/>
        <v>0</v>
      </c>
      <c r="Z193" t="str">
        <f t="shared" si="8"/>
        <v>สแกนต่าง Cost</v>
      </c>
    </row>
    <row r="194" spans="1:26" x14ac:dyDescent="0.45">
      <c r="B194" t="s">
        <v>53</v>
      </c>
      <c r="C194">
        <v>20018899</v>
      </c>
      <c r="D194" t="s">
        <v>64</v>
      </c>
      <c r="E194" s="8">
        <v>46140.333333333336</v>
      </c>
      <c r="F194" s="8">
        <v>46140.5</v>
      </c>
      <c r="G194" s="9">
        <v>4</v>
      </c>
      <c r="H194" s="9">
        <f t="shared" si="6"/>
        <v>2.1000000000000001E-2</v>
      </c>
      <c r="I194" s="9">
        <v>2.1000000000000001E-2</v>
      </c>
      <c r="J194" s="9"/>
      <c r="K194" s="9"/>
      <c r="L194" s="9"/>
      <c r="M194" t="s">
        <v>65</v>
      </c>
      <c r="N194" t="s">
        <v>29</v>
      </c>
      <c r="P194" t="s">
        <v>30</v>
      </c>
      <c r="Q194" t="s">
        <v>31</v>
      </c>
      <c r="R194">
        <v>82640</v>
      </c>
      <c r="S194" t="s">
        <v>42</v>
      </c>
      <c r="T194">
        <v>82652</v>
      </c>
      <c r="U194" t="s">
        <v>46</v>
      </c>
      <c r="V194" t="s">
        <v>66</v>
      </c>
      <c r="W194" t="s">
        <v>37</v>
      </c>
      <c r="X194" t="s">
        <v>34</v>
      </c>
      <c r="Y194" s="9">
        <f t="shared" si="7"/>
        <v>0</v>
      </c>
      <c r="Z194" t="str">
        <f t="shared" si="8"/>
        <v>สแกนต่าง Cost</v>
      </c>
    </row>
    <row r="195" spans="1:26" x14ac:dyDescent="0.45">
      <c r="A195">
        <v>27090</v>
      </c>
      <c r="B195" t="s">
        <v>53</v>
      </c>
      <c r="C195">
        <v>20023073</v>
      </c>
      <c r="D195" t="s">
        <v>199</v>
      </c>
      <c r="E195" s="8">
        <v>46140.333333333336</v>
      </c>
      <c r="F195" s="8">
        <v>46140.421527777777</v>
      </c>
      <c r="G195" s="9">
        <v>2.1166666666666667</v>
      </c>
      <c r="H195" s="9">
        <f t="shared" ref="H195:H258" si="9">SUM(I195:L195)</f>
        <v>1.0999999999999999E-2</v>
      </c>
      <c r="I195" s="9">
        <v>1.0999999999999999E-2</v>
      </c>
      <c r="J195" s="9"/>
      <c r="K195" s="9"/>
      <c r="L195" s="9"/>
      <c r="M195" t="s">
        <v>65</v>
      </c>
      <c r="N195" t="s">
        <v>29</v>
      </c>
      <c r="P195" t="s">
        <v>30</v>
      </c>
      <c r="Q195" t="s">
        <v>31</v>
      </c>
      <c r="R195">
        <v>82301</v>
      </c>
      <c r="S195" t="s">
        <v>79</v>
      </c>
      <c r="T195">
        <v>82308</v>
      </c>
      <c r="U195" t="s">
        <v>69</v>
      </c>
      <c r="V195" t="s">
        <v>69</v>
      </c>
      <c r="W195" t="s">
        <v>69</v>
      </c>
      <c r="X195" t="s">
        <v>196</v>
      </c>
      <c r="Y195" s="9">
        <f t="shared" ref="Y195:Y258" si="10">SUM(J195:L195)</f>
        <v>0</v>
      </c>
      <c r="Z195" t="str">
        <f t="shared" ref="Z195:Z258" si="11">IF(R195=T195,"สแกน Cost ตัวเอง","สแกนต่าง Cost")</f>
        <v>สแกนต่าง Cost</v>
      </c>
    </row>
    <row r="196" spans="1:26" x14ac:dyDescent="0.45">
      <c r="B196" t="s">
        <v>53</v>
      </c>
      <c r="C196">
        <v>20023163</v>
      </c>
      <c r="D196" t="s">
        <v>169</v>
      </c>
      <c r="E196" s="8">
        <v>46140.333333333336</v>
      </c>
      <c r="F196" s="8">
        <v>46140.729166666664</v>
      </c>
      <c r="G196" s="9">
        <v>8.5</v>
      </c>
      <c r="H196" s="9">
        <f t="shared" si="9"/>
        <v>4.4999999999999998E-2</v>
      </c>
      <c r="I196" s="9">
        <v>4.4999999999999998E-2</v>
      </c>
      <c r="J196" s="9"/>
      <c r="K196" s="9"/>
      <c r="L196" s="9"/>
      <c r="M196" t="s">
        <v>65</v>
      </c>
      <c r="N196" t="s">
        <v>29</v>
      </c>
      <c r="P196" t="s">
        <v>30</v>
      </c>
      <c r="Q196" t="s">
        <v>31</v>
      </c>
      <c r="R196">
        <v>82630</v>
      </c>
      <c r="S196" t="s">
        <v>32</v>
      </c>
      <c r="T196">
        <v>82640</v>
      </c>
      <c r="U196" t="s">
        <v>42</v>
      </c>
      <c r="V196" t="s">
        <v>70</v>
      </c>
      <c r="W196" t="s">
        <v>170</v>
      </c>
      <c r="X196" t="s">
        <v>171</v>
      </c>
      <c r="Y196" s="9">
        <f t="shared" si="10"/>
        <v>0</v>
      </c>
      <c r="Z196" t="str">
        <f t="shared" si="11"/>
        <v>สแกนต่าง Cost</v>
      </c>
    </row>
    <row r="197" spans="1:26" x14ac:dyDescent="0.45">
      <c r="B197" t="s">
        <v>26</v>
      </c>
      <c r="C197">
        <v>20025986</v>
      </c>
      <c r="D197" t="s">
        <v>200</v>
      </c>
      <c r="E197" s="8">
        <v>46140.333333333336</v>
      </c>
      <c r="F197" s="8">
        <v>46140.729166666664</v>
      </c>
      <c r="G197" s="9">
        <v>8.5</v>
      </c>
      <c r="H197" s="9">
        <f t="shared" si="9"/>
        <v>4.4999999999999998E-2</v>
      </c>
      <c r="I197" s="9">
        <v>4.4999999999999998E-2</v>
      </c>
      <c r="J197" s="9"/>
      <c r="K197" s="9"/>
      <c r="L197" s="9"/>
      <c r="M197" t="s">
        <v>65</v>
      </c>
      <c r="N197" t="s">
        <v>29</v>
      </c>
      <c r="P197" t="s">
        <v>30</v>
      </c>
      <c r="Q197" t="s">
        <v>31</v>
      </c>
      <c r="R197">
        <v>82910</v>
      </c>
      <c r="S197" t="s">
        <v>201</v>
      </c>
      <c r="T197">
        <v>82605</v>
      </c>
      <c r="U197" t="s">
        <v>202</v>
      </c>
      <c r="V197" t="s">
        <v>202</v>
      </c>
      <c r="W197" t="s">
        <v>37</v>
      </c>
      <c r="X197" t="s">
        <v>47</v>
      </c>
      <c r="Y197" s="9">
        <f t="shared" si="10"/>
        <v>0</v>
      </c>
      <c r="Z197" t="str">
        <f t="shared" si="11"/>
        <v>สแกนต่าง Cost</v>
      </c>
    </row>
    <row r="198" spans="1:26" x14ac:dyDescent="0.45">
      <c r="B198" t="s">
        <v>53</v>
      </c>
      <c r="C198">
        <v>20034535</v>
      </c>
      <c r="D198" t="s">
        <v>99</v>
      </c>
      <c r="E198" s="8">
        <v>46140.333333333336</v>
      </c>
      <c r="F198" s="8">
        <v>46140.729166666664</v>
      </c>
      <c r="G198" s="9">
        <v>8.5</v>
      </c>
      <c r="H198" s="9">
        <f t="shared" si="9"/>
        <v>4.4999999999999998E-2</v>
      </c>
      <c r="I198" s="9">
        <v>4.4999999999999998E-2</v>
      </c>
      <c r="J198" s="9"/>
      <c r="K198" s="9"/>
      <c r="L198" s="9"/>
      <c r="M198" t="s">
        <v>65</v>
      </c>
      <c r="N198" t="s">
        <v>29</v>
      </c>
      <c r="P198" t="s">
        <v>30</v>
      </c>
      <c r="Q198" t="s">
        <v>31</v>
      </c>
      <c r="R198">
        <v>82630</v>
      </c>
      <c r="S198" t="s">
        <v>32</v>
      </c>
      <c r="T198">
        <v>82611</v>
      </c>
      <c r="U198" t="s">
        <v>43</v>
      </c>
      <c r="V198" t="s">
        <v>43</v>
      </c>
      <c r="W198" t="s">
        <v>170</v>
      </c>
      <c r="X198" t="s">
        <v>171</v>
      </c>
      <c r="Y198" s="9">
        <f t="shared" si="10"/>
        <v>0</v>
      </c>
      <c r="Z198" t="str">
        <f t="shared" si="11"/>
        <v>สแกนต่าง Cost</v>
      </c>
    </row>
    <row r="199" spans="1:26" x14ac:dyDescent="0.45">
      <c r="B199" t="s">
        <v>53</v>
      </c>
      <c r="C199">
        <v>20037938</v>
      </c>
      <c r="D199" t="s">
        <v>172</v>
      </c>
      <c r="E199" s="8">
        <v>46140.333333333336</v>
      </c>
      <c r="F199" s="8">
        <v>46140.729166666664</v>
      </c>
      <c r="G199" s="9">
        <v>8.5</v>
      </c>
      <c r="H199" s="9">
        <f t="shared" si="9"/>
        <v>4.4999999999999998E-2</v>
      </c>
      <c r="I199" s="9">
        <v>4.4999999999999998E-2</v>
      </c>
      <c r="J199" s="9"/>
      <c r="K199" s="9"/>
      <c r="L199" s="9"/>
      <c r="M199" t="s">
        <v>65</v>
      </c>
      <c r="N199" t="s">
        <v>29</v>
      </c>
      <c r="P199" t="s">
        <v>30</v>
      </c>
      <c r="Q199" t="s">
        <v>31</v>
      </c>
      <c r="R199">
        <v>82630</v>
      </c>
      <c r="S199" t="s">
        <v>32</v>
      </c>
      <c r="T199">
        <v>82611</v>
      </c>
      <c r="U199" t="s">
        <v>43</v>
      </c>
      <c r="V199" t="s">
        <v>43</v>
      </c>
      <c r="W199" t="s">
        <v>170</v>
      </c>
      <c r="X199" t="s">
        <v>171</v>
      </c>
      <c r="Y199" s="9">
        <f t="shared" si="10"/>
        <v>0</v>
      </c>
      <c r="Z199" t="str">
        <f t="shared" si="11"/>
        <v>สแกนต่าง Cost</v>
      </c>
    </row>
    <row r="200" spans="1:26" x14ac:dyDescent="0.45">
      <c r="B200" t="s">
        <v>53</v>
      </c>
      <c r="C200">
        <v>20041131</v>
      </c>
      <c r="D200" t="s">
        <v>173</v>
      </c>
      <c r="E200" s="8">
        <v>46140.333333333336</v>
      </c>
      <c r="F200" s="8">
        <v>46140.729166666664</v>
      </c>
      <c r="G200" s="9">
        <v>8.5</v>
      </c>
      <c r="H200" s="9">
        <f t="shared" si="9"/>
        <v>4.4999999999999998E-2</v>
      </c>
      <c r="I200" s="9">
        <v>4.4999999999999998E-2</v>
      </c>
      <c r="J200" s="9"/>
      <c r="K200" s="9"/>
      <c r="L200" s="9"/>
      <c r="M200" t="s">
        <v>65</v>
      </c>
      <c r="N200" t="s">
        <v>29</v>
      </c>
      <c r="P200" t="s">
        <v>30</v>
      </c>
      <c r="Q200" t="s">
        <v>31</v>
      </c>
      <c r="R200">
        <v>82630</v>
      </c>
      <c r="S200" t="s">
        <v>32</v>
      </c>
      <c r="T200">
        <v>82611</v>
      </c>
      <c r="U200" t="s">
        <v>43</v>
      </c>
      <c r="V200" t="s">
        <v>43</v>
      </c>
      <c r="W200" t="s">
        <v>170</v>
      </c>
      <c r="X200" t="s">
        <v>171</v>
      </c>
      <c r="Y200" s="9">
        <f t="shared" si="10"/>
        <v>0</v>
      </c>
      <c r="Z200" t="str">
        <f t="shared" si="11"/>
        <v>สแกนต่าง Cost</v>
      </c>
    </row>
    <row r="201" spans="1:26" x14ac:dyDescent="0.45">
      <c r="B201" t="s">
        <v>26</v>
      </c>
      <c r="C201">
        <v>20066762</v>
      </c>
      <c r="D201" t="s">
        <v>203</v>
      </c>
      <c r="E201" s="8">
        <v>46140.333333333336</v>
      </c>
      <c r="F201" s="8">
        <v>46140.729166666664</v>
      </c>
      <c r="G201" s="9">
        <v>8.5</v>
      </c>
      <c r="H201" s="9">
        <f t="shared" si="9"/>
        <v>4.4999999999999998E-2</v>
      </c>
      <c r="I201" s="9">
        <v>4.4999999999999998E-2</v>
      </c>
      <c r="J201" s="9"/>
      <c r="K201" s="9"/>
      <c r="L201" s="9"/>
      <c r="M201" t="s">
        <v>65</v>
      </c>
      <c r="N201" t="s">
        <v>29</v>
      </c>
      <c r="P201" t="s">
        <v>30</v>
      </c>
      <c r="Q201" t="s">
        <v>31</v>
      </c>
      <c r="R201">
        <v>82910</v>
      </c>
      <c r="S201" t="s">
        <v>201</v>
      </c>
      <c r="T201">
        <v>82605</v>
      </c>
      <c r="U201" t="s">
        <v>202</v>
      </c>
      <c r="V201" t="s">
        <v>202</v>
      </c>
      <c r="W201" t="s">
        <v>37</v>
      </c>
      <c r="X201" t="s">
        <v>47</v>
      </c>
      <c r="Y201" s="9">
        <f t="shared" si="10"/>
        <v>0</v>
      </c>
      <c r="Z201" t="str">
        <f t="shared" si="11"/>
        <v>สแกนต่าง Cost</v>
      </c>
    </row>
    <row r="202" spans="1:26" x14ac:dyDescent="0.45">
      <c r="B202" t="s">
        <v>53</v>
      </c>
      <c r="C202">
        <v>20075031</v>
      </c>
      <c r="D202" t="s">
        <v>191</v>
      </c>
      <c r="E202" s="8">
        <v>46140.333333333336</v>
      </c>
      <c r="F202" s="8">
        <v>46140.708333333336</v>
      </c>
      <c r="G202" s="9">
        <v>8</v>
      </c>
      <c r="H202" s="9">
        <f t="shared" si="9"/>
        <v>4.2999999999999997E-2</v>
      </c>
      <c r="I202" s="9">
        <v>4.2999999999999997E-2</v>
      </c>
      <c r="J202" s="9"/>
      <c r="K202" s="9"/>
      <c r="L202" s="9"/>
      <c r="M202" t="s">
        <v>65</v>
      </c>
      <c r="N202" t="s">
        <v>29</v>
      </c>
      <c r="P202" t="s">
        <v>30</v>
      </c>
      <c r="Q202" t="s">
        <v>31</v>
      </c>
      <c r="R202">
        <v>82640</v>
      </c>
      <c r="S202" t="s">
        <v>42</v>
      </c>
      <c r="T202">
        <v>82611</v>
      </c>
      <c r="U202" t="s">
        <v>43</v>
      </c>
      <c r="V202" t="s">
        <v>43</v>
      </c>
      <c r="W202" t="s">
        <v>47</v>
      </c>
      <c r="X202" t="s">
        <v>192</v>
      </c>
      <c r="Y202" s="9">
        <f t="shared" si="10"/>
        <v>0</v>
      </c>
      <c r="Z202" t="str">
        <f t="shared" si="11"/>
        <v>สแกนต่าง Cost</v>
      </c>
    </row>
    <row r="203" spans="1:26" x14ac:dyDescent="0.45">
      <c r="B203" t="s">
        <v>53</v>
      </c>
      <c r="C203">
        <v>20075871</v>
      </c>
      <c r="D203" t="s">
        <v>174</v>
      </c>
      <c r="E203" s="8">
        <v>46140.333333333336</v>
      </c>
      <c r="F203" s="8">
        <v>46140.729166666664</v>
      </c>
      <c r="G203" s="9">
        <v>8.5</v>
      </c>
      <c r="H203" s="9">
        <f t="shared" si="9"/>
        <v>4.4999999999999998E-2</v>
      </c>
      <c r="I203" s="9">
        <v>4.4999999999999998E-2</v>
      </c>
      <c r="J203" s="9"/>
      <c r="K203" s="9"/>
      <c r="L203" s="9"/>
      <c r="M203" t="s">
        <v>65</v>
      </c>
      <c r="N203" t="s">
        <v>29</v>
      </c>
      <c r="P203" t="s">
        <v>133</v>
      </c>
      <c r="Q203" t="s">
        <v>31</v>
      </c>
      <c r="R203">
        <v>82301</v>
      </c>
      <c r="S203" t="s">
        <v>79</v>
      </c>
      <c r="T203">
        <v>82308</v>
      </c>
      <c r="U203" t="s">
        <v>69</v>
      </c>
      <c r="V203" t="s">
        <v>69</v>
      </c>
      <c r="W203" t="s">
        <v>69</v>
      </c>
      <c r="X203" t="s">
        <v>95</v>
      </c>
      <c r="Y203" s="9">
        <f t="shared" si="10"/>
        <v>0</v>
      </c>
      <c r="Z203" t="str">
        <f t="shared" si="11"/>
        <v>สแกนต่าง Cost</v>
      </c>
    </row>
    <row r="204" spans="1:26" x14ac:dyDescent="0.45">
      <c r="A204">
        <v>26989</v>
      </c>
      <c r="B204" t="s">
        <v>53</v>
      </c>
      <c r="C204">
        <v>20076436</v>
      </c>
      <c r="D204" t="s">
        <v>131</v>
      </c>
      <c r="E204" s="8">
        <v>46140.333333333336</v>
      </c>
      <c r="F204" s="8">
        <v>46140.729166666664</v>
      </c>
      <c r="G204" s="9">
        <v>8.5</v>
      </c>
      <c r="H204" s="9">
        <f t="shared" si="9"/>
        <v>4.4999999999999998E-2</v>
      </c>
      <c r="I204" s="9">
        <v>4.4999999999999998E-2</v>
      </c>
      <c r="J204" s="9"/>
      <c r="K204" s="9"/>
      <c r="L204" s="9"/>
      <c r="M204" t="s">
        <v>65</v>
      </c>
      <c r="N204" t="s">
        <v>29</v>
      </c>
      <c r="P204" t="s">
        <v>30</v>
      </c>
      <c r="Q204" t="s">
        <v>31</v>
      </c>
      <c r="R204">
        <v>82301</v>
      </c>
      <c r="S204" t="s">
        <v>79</v>
      </c>
      <c r="T204">
        <v>82308</v>
      </c>
      <c r="U204" t="s">
        <v>69</v>
      </c>
      <c r="V204" t="s">
        <v>69</v>
      </c>
      <c r="W204" t="s">
        <v>69</v>
      </c>
      <c r="X204" t="s">
        <v>95</v>
      </c>
      <c r="Y204" s="9">
        <f t="shared" si="10"/>
        <v>0</v>
      </c>
      <c r="Z204" t="str">
        <f t="shared" si="11"/>
        <v>สแกนต่าง Cost</v>
      </c>
    </row>
    <row r="205" spans="1:26" x14ac:dyDescent="0.45">
      <c r="B205" t="s">
        <v>53</v>
      </c>
      <c r="C205">
        <v>20198711</v>
      </c>
      <c r="D205" t="s">
        <v>178</v>
      </c>
      <c r="E205" s="8">
        <v>46140.333333333336</v>
      </c>
      <c r="F205" s="8">
        <v>46140.729166666664</v>
      </c>
      <c r="G205" s="9">
        <v>8.5</v>
      </c>
      <c r="H205" s="9">
        <f t="shared" si="9"/>
        <v>4.4999999999999998E-2</v>
      </c>
      <c r="I205" s="9">
        <v>4.4999999999999998E-2</v>
      </c>
      <c r="J205" s="9"/>
      <c r="K205" s="9"/>
      <c r="L205" s="9"/>
      <c r="M205" t="s">
        <v>65</v>
      </c>
      <c r="N205" t="s">
        <v>29</v>
      </c>
      <c r="P205" t="s">
        <v>30</v>
      </c>
      <c r="Q205" t="s">
        <v>31</v>
      </c>
      <c r="R205">
        <v>82630</v>
      </c>
      <c r="S205" t="s">
        <v>32</v>
      </c>
      <c r="T205">
        <v>82611</v>
      </c>
      <c r="U205" t="s">
        <v>43</v>
      </c>
      <c r="V205" t="s">
        <v>43</v>
      </c>
      <c r="W205" t="s">
        <v>170</v>
      </c>
      <c r="X205" t="s">
        <v>171</v>
      </c>
      <c r="Y205" s="9">
        <f t="shared" si="10"/>
        <v>0</v>
      </c>
      <c r="Z205" t="str">
        <f t="shared" si="11"/>
        <v>สแกนต่าง Cost</v>
      </c>
    </row>
    <row r="206" spans="1:26" x14ac:dyDescent="0.45">
      <c r="B206" t="s">
        <v>53</v>
      </c>
      <c r="C206">
        <v>20198715</v>
      </c>
      <c r="D206" t="s">
        <v>179</v>
      </c>
      <c r="E206" s="8">
        <v>46140.333333333336</v>
      </c>
      <c r="F206" s="8">
        <v>46140.729166666664</v>
      </c>
      <c r="G206" s="9">
        <v>8.5</v>
      </c>
      <c r="H206" s="9">
        <f t="shared" si="9"/>
        <v>4.4999999999999998E-2</v>
      </c>
      <c r="I206" s="9">
        <v>4.4999999999999998E-2</v>
      </c>
      <c r="J206" s="9"/>
      <c r="K206" s="9"/>
      <c r="L206" s="9"/>
      <c r="M206" t="s">
        <v>65</v>
      </c>
      <c r="N206" t="s">
        <v>29</v>
      </c>
      <c r="P206" t="s">
        <v>30</v>
      </c>
      <c r="Q206" t="s">
        <v>31</v>
      </c>
      <c r="R206">
        <v>82630</v>
      </c>
      <c r="S206" t="s">
        <v>32</v>
      </c>
      <c r="T206">
        <v>82611</v>
      </c>
      <c r="U206" t="s">
        <v>43</v>
      </c>
      <c r="V206" t="s">
        <v>43</v>
      </c>
      <c r="W206" t="s">
        <v>170</v>
      </c>
      <c r="X206" t="s">
        <v>171</v>
      </c>
      <c r="Y206" s="9">
        <f t="shared" si="10"/>
        <v>0</v>
      </c>
      <c r="Z206" t="str">
        <f t="shared" si="11"/>
        <v>สแกนต่าง Cost</v>
      </c>
    </row>
    <row r="207" spans="1:26" x14ac:dyDescent="0.45">
      <c r="B207" t="s">
        <v>53</v>
      </c>
      <c r="C207">
        <v>20198747</v>
      </c>
      <c r="D207" t="s">
        <v>180</v>
      </c>
      <c r="E207" s="8">
        <v>46140.333333333336</v>
      </c>
      <c r="F207" s="8">
        <v>46140.729166666664</v>
      </c>
      <c r="G207" s="9">
        <v>8.5</v>
      </c>
      <c r="H207" s="9">
        <f t="shared" si="9"/>
        <v>4.4999999999999998E-2</v>
      </c>
      <c r="I207" s="9">
        <v>4.4999999999999998E-2</v>
      </c>
      <c r="J207" s="9"/>
      <c r="K207" s="9"/>
      <c r="L207" s="9"/>
      <c r="M207" t="s">
        <v>65</v>
      </c>
      <c r="N207" t="s">
        <v>29</v>
      </c>
      <c r="P207" t="s">
        <v>30</v>
      </c>
      <c r="Q207" t="s">
        <v>31</v>
      </c>
      <c r="R207">
        <v>82630</v>
      </c>
      <c r="S207" t="s">
        <v>32</v>
      </c>
      <c r="T207">
        <v>82640</v>
      </c>
      <c r="U207" t="s">
        <v>42</v>
      </c>
      <c r="V207" t="s">
        <v>70</v>
      </c>
      <c r="W207" t="s">
        <v>170</v>
      </c>
      <c r="X207" t="s">
        <v>171</v>
      </c>
      <c r="Y207" s="9">
        <f t="shared" si="10"/>
        <v>0</v>
      </c>
      <c r="Z207" t="str">
        <f t="shared" si="11"/>
        <v>สแกนต่าง Cost</v>
      </c>
    </row>
    <row r="208" spans="1:26" x14ac:dyDescent="0.45">
      <c r="B208" t="s">
        <v>53</v>
      </c>
      <c r="C208">
        <v>20220646</v>
      </c>
      <c r="D208" t="s">
        <v>67</v>
      </c>
      <c r="E208" s="8">
        <v>46140.333333333336</v>
      </c>
      <c r="F208" s="8">
        <v>46140.5</v>
      </c>
      <c r="G208" s="9">
        <v>4</v>
      </c>
      <c r="H208" s="9">
        <f t="shared" si="9"/>
        <v>2.1000000000000001E-2</v>
      </c>
      <c r="I208" s="9">
        <v>2.1000000000000001E-2</v>
      </c>
      <c r="J208" s="9"/>
      <c r="K208" s="9"/>
      <c r="L208" s="9"/>
      <c r="M208" t="s">
        <v>65</v>
      </c>
      <c r="N208" t="s">
        <v>29</v>
      </c>
      <c r="P208" t="s">
        <v>30</v>
      </c>
      <c r="Q208" t="s">
        <v>31</v>
      </c>
      <c r="R208">
        <v>82640</v>
      </c>
      <c r="S208" t="s">
        <v>42</v>
      </c>
      <c r="T208">
        <v>82652</v>
      </c>
      <c r="U208" t="s">
        <v>46</v>
      </c>
      <c r="V208" t="s">
        <v>66</v>
      </c>
      <c r="W208" t="s">
        <v>37</v>
      </c>
      <c r="X208" t="s">
        <v>34</v>
      </c>
      <c r="Y208" s="9">
        <f t="shared" si="10"/>
        <v>0</v>
      </c>
      <c r="Z208" t="str">
        <f t="shared" si="11"/>
        <v>สแกนต่าง Cost</v>
      </c>
    </row>
    <row r="209" spans="1:26" x14ac:dyDescent="0.45">
      <c r="A209">
        <v>27084</v>
      </c>
      <c r="B209" t="s">
        <v>53</v>
      </c>
      <c r="C209">
        <v>20267288</v>
      </c>
      <c r="D209" t="s">
        <v>127</v>
      </c>
      <c r="E209" s="8">
        <v>46140.333333333336</v>
      </c>
      <c r="F209" s="8">
        <v>46140.828472222223</v>
      </c>
      <c r="G209" s="9">
        <v>11.883333333333333</v>
      </c>
      <c r="H209" s="9">
        <f t="shared" si="9"/>
        <v>6.3E-2</v>
      </c>
      <c r="I209" s="9">
        <v>4.4999999999999998E-2</v>
      </c>
      <c r="J209" s="9"/>
      <c r="K209" s="9">
        <v>1.7999999999999999E-2</v>
      </c>
      <c r="L209" s="9"/>
      <c r="M209" t="s">
        <v>28</v>
      </c>
      <c r="N209" t="s">
        <v>40</v>
      </c>
      <c r="O209" t="s">
        <v>41</v>
      </c>
      <c r="P209" t="s">
        <v>30</v>
      </c>
      <c r="Q209" t="s">
        <v>31</v>
      </c>
      <c r="R209">
        <v>82409</v>
      </c>
      <c r="S209" t="s">
        <v>74</v>
      </c>
      <c r="T209">
        <v>82664</v>
      </c>
      <c r="U209" t="s">
        <v>75</v>
      </c>
      <c r="V209" t="s">
        <v>75</v>
      </c>
      <c r="W209" t="s">
        <v>74</v>
      </c>
      <c r="X209" t="s">
        <v>74</v>
      </c>
      <c r="Y209" s="9">
        <f t="shared" si="10"/>
        <v>1.7999999999999999E-2</v>
      </c>
      <c r="Z209" t="str">
        <f t="shared" si="11"/>
        <v>สแกนต่าง Cost</v>
      </c>
    </row>
    <row r="210" spans="1:26" x14ac:dyDescent="0.45">
      <c r="A210">
        <v>27089</v>
      </c>
      <c r="B210" t="s">
        <v>53</v>
      </c>
      <c r="C210">
        <v>20284710</v>
      </c>
      <c r="D210" t="s">
        <v>182</v>
      </c>
      <c r="E210" s="8">
        <v>46140.333333333336</v>
      </c>
      <c r="F210" s="8">
        <v>46140.548611111109</v>
      </c>
      <c r="G210" s="9">
        <v>5.166666666666667</v>
      </c>
      <c r="H210" s="9">
        <f t="shared" si="9"/>
        <v>2.8000000000000001E-2</v>
      </c>
      <c r="I210" s="9"/>
      <c r="J210" s="9"/>
      <c r="K210" s="9">
        <v>2.8000000000000001E-2</v>
      </c>
      <c r="L210" s="9"/>
      <c r="M210" t="s">
        <v>28</v>
      </c>
      <c r="N210" t="s">
        <v>40</v>
      </c>
      <c r="O210" t="s">
        <v>41</v>
      </c>
      <c r="P210" t="s">
        <v>30</v>
      </c>
      <c r="Q210" t="s">
        <v>31</v>
      </c>
      <c r="R210">
        <v>82210</v>
      </c>
      <c r="S210" t="s">
        <v>184</v>
      </c>
      <c r="T210">
        <v>82308</v>
      </c>
      <c r="U210" t="s">
        <v>69</v>
      </c>
      <c r="V210" t="s">
        <v>69</v>
      </c>
      <c r="W210" t="s">
        <v>69</v>
      </c>
      <c r="X210" t="s">
        <v>57</v>
      </c>
      <c r="Y210" s="9">
        <f t="shared" si="10"/>
        <v>2.8000000000000001E-2</v>
      </c>
      <c r="Z210" t="str">
        <f t="shared" si="11"/>
        <v>สแกนต่าง Cost</v>
      </c>
    </row>
    <row r="211" spans="1:26" x14ac:dyDescent="0.45">
      <c r="B211" t="s">
        <v>53</v>
      </c>
      <c r="C211">
        <v>20319535</v>
      </c>
      <c r="D211" t="s">
        <v>36</v>
      </c>
      <c r="E211" s="8">
        <v>46140.333333333336</v>
      </c>
      <c r="F211" s="8">
        <v>46140.729166666664</v>
      </c>
      <c r="G211" s="9">
        <v>9.5</v>
      </c>
      <c r="H211" s="9">
        <f t="shared" si="9"/>
        <v>4.9999999999999996E-2</v>
      </c>
      <c r="I211" s="9">
        <v>4.4999999999999998E-2</v>
      </c>
      <c r="J211" s="9"/>
      <c r="K211" s="9">
        <v>5.0000000000000001E-3</v>
      </c>
      <c r="L211" s="9"/>
      <c r="M211" t="s">
        <v>28</v>
      </c>
      <c r="N211" t="s">
        <v>29</v>
      </c>
      <c r="P211" t="s">
        <v>30</v>
      </c>
      <c r="Q211" t="s">
        <v>31</v>
      </c>
      <c r="R211">
        <v>82630</v>
      </c>
      <c r="S211" t="s">
        <v>32</v>
      </c>
      <c r="T211">
        <v>82611</v>
      </c>
      <c r="U211" t="s">
        <v>43</v>
      </c>
      <c r="V211" t="s">
        <v>43</v>
      </c>
      <c r="W211" t="s">
        <v>170</v>
      </c>
      <c r="X211" t="s">
        <v>171</v>
      </c>
      <c r="Y211" s="9">
        <f t="shared" si="10"/>
        <v>5.0000000000000001E-3</v>
      </c>
      <c r="Z211" t="str">
        <f t="shared" si="11"/>
        <v>สแกนต่าง Cost</v>
      </c>
    </row>
    <row r="212" spans="1:26" x14ac:dyDescent="0.45">
      <c r="B212" t="s">
        <v>26</v>
      </c>
      <c r="C212">
        <v>20328003</v>
      </c>
      <c r="D212" t="s">
        <v>107</v>
      </c>
      <c r="E212" s="8">
        <v>46140.333333333336</v>
      </c>
      <c r="F212" s="8">
        <v>46140.729166666664</v>
      </c>
      <c r="G212" s="9">
        <v>8.5</v>
      </c>
      <c r="H212" s="9">
        <f t="shared" si="9"/>
        <v>4.4999999999999998E-2</v>
      </c>
      <c r="I212" s="9">
        <v>4.4999999999999998E-2</v>
      </c>
      <c r="J212" s="9"/>
      <c r="K212" s="9"/>
      <c r="L212" s="9"/>
      <c r="M212" t="s">
        <v>65</v>
      </c>
      <c r="N212" t="s">
        <v>29</v>
      </c>
      <c r="P212" t="s">
        <v>30</v>
      </c>
      <c r="Q212" t="s">
        <v>31</v>
      </c>
      <c r="R212">
        <v>82400</v>
      </c>
      <c r="S212" t="s">
        <v>83</v>
      </c>
      <c r="T212">
        <v>82690</v>
      </c>
      <c r="U212" t="s">
        <v>90</v>
      </c>
      <c r="V212" t="s">
        <v>90</v>
      </c>
      <c r="W212" t="s">
        <v>91</v>
      </c>
      <c r="X212" t="s">
        <v>92</v>
      </c>
      <c r="Y212" s="9">
        <f t="shared" si="10"/>
        <v>0</v>
      </c>
      <c r="Z212" t="str">
        <f t="shared" si="11"/>
        <v>สแกนต่าง Cost</v>
      </c>
    </row>
    <row r="213" spans="1:26" x14ac:dyDescent="0.45">
      <c r="B213" t="s">
        <v>26</v>
      </c>
      <c r="C213">
        <v>20330032</v>
      </c>
      <c r="D213" t="s">
        <v>204</v>
      </c>
      <c r="E213" s="8">
        <v>46140.333333333336</v>
      </c>
      <c r="F213" s="8">
        <v>46140.729166666664</v>
      </c>
      <c r="G213" s="9">
        <v>8.5</v>
      </c>
      <c r="H213" s="9">
        <f t="shared" si="9"/>
        <v>4.4999999999999998E-2</v>
      </c>
      <c r="I213" s="9">
        <v>4.4999999999999998E-2</v>
      </c>
      <c r="J213" s="9"/>
      <c r="K213" s="9"/>
      <c r="L213" s="9"/>
      <c r="M213" t="s">
        <v>65</v>
      </c>
      <c r="N213" t="s">
        <v>29</v>
      </c>
      <c r="P213" t="s">
        <v>30</v>
      </c>
      <c r="Q213" t="s">
        <v>31</v>
      </c>
      <c r="R213">
        <v>82910</v>
      </c>
      <c r="S213" t="s">
        <v>201</v>
      </c>
      <c r="T213">
        <v>82605</v>
      </c>
      <c r="U213" t="s">
        <v>202</v>
      </c>
      <c r="V213" t="s">
        <v>202</v>
      </c>
      <c r="W213" t="s">
        <v>37</v>
      </c>
      <c r="X213" t="s">
        <v>47</v>
      </c>
      <c r="Y213" s="9">
        <f t="shared" si="10"/>
        <v>0</v>
      </c>
      <c r="Z213" t="str">
        <f t="shared" si="11"/>
        <v>สแกนต่าง Cost</v>
      </c>
    </row>
    <row r="214" spans="1:26" x14ac:dyDescent="0.45">
      <c r="B214" t="s">
        <v>26</v>
      </c>
      <c r="C214">
        <v>20331986</v>
      </c>
      <c r="D214" t="s">
        <v>108</v>
      </c>
      <c r="E214" s="8">
        <v>46140.333333333336</v>
      </c>
      <c r="F214" s="8">
        <v>46140.729166666664</v>
      </c>
      <c r="G214" s="9">
        <v>8.5</v>
      </c>
      <c r="H214" s="9">
        <f t="shared" si="9"/>
        <v>4.4999999999999998E-2</v>
      </c>
      <c r="I214" s="9">
        <v>4.4999999999999998E-2</v>
      </c>
      <c r="J214" s="9"/>
      <c r="K214" s="9"/>
      <c r="L214" s="9"/>
      <c r="M214" t="s">
        <v>65</v>
      </c>
      <c r="N214" t="s">
        <v>29</v>
      </c>
      <c r="P214" t="s">
        <v>30</v>
      </c>
      <c r="Q214" t="s">
        <v>31</v>
      </c>
      <c r="R214">
        <v>82400</v>
      </c>
      <c r="S214" t="s">
        <v>83</v>
      </c>
      <c r="T214">
        <v>82690</v>
      </c>
      <c r="U214" t="s">
        <v>90</v>
      </c>
      <c r="V214" t="s">
        <v>90</v>
      </c>
      <c r="W214" t="s">
        <v>91</v>
      </c>
      <c r="X214" t="s">
        <v>92</v>
      </c>
      <c r="Y214" s="9">
        <f t="shared" si="10"/>
        <v>0</v>
      </c>
      <c r="Z214" t="str">
        <f t="shared" si="11"/>
        <v>สแกนต่าง Cost</v>
      </c>
    </row>
    <row r="215" spans="1:26" x14ac:dyDescent="0.45">
      <c r="B215" t="s">
        <v>53</v>
      </c>
      <c r="C215">
        <v>20344532</v>
      </c>
      <c r="D215" t="s">
        <v>186</v>
      </c>
      <c r="E215" s="8">
        <v>46140.333333333336</v>
      </c>
      <c r="F215" s="8">
        <v>46140.729166666664</v>
      </c>
      <c r="G215" s="9">
        <v>9.5</v>
      </c>
      <c r="H215" s="9">
        <f t="shared" si="9"/>
        <v>4.9999999999999996E-2</v>
      </c>
      <c r="I215" s="9">
        <v>4.4999999999999998E-2</v>
      </c>
      <c r="J215" s="9"/>
      <c r="K215" s="9">
        <v>5.0000000000000001E-3</v>
      </c>
      <c r="L215" s="9"/>
      <c r="M215" t="s">
        <v>28</v>
      </c>
      <c r="N215" t="s">
        <v>29</v>
      </c>
      <c r="P215" t="s">
        <v>30</v>
      </c>
      <c r="Q215" t="s">
        <v>31</v>
      </c>
      <c r="R215">
        <v>82630</v>
      </c>
      <c r="S215" t="s">
        <v>32</v>
      </c>
      <c r="T215">
        <v>82611</v>
      </c>
      <c r="U215" t="s">
        <v>43</v>
      </c>
      <c r="V215" t="s">
        <v>43</v>
      </c>
      <c r="W215" t="s">
        <v>170</v>
      </c>
      <c r="X215" t="s">
        <v>171</v>
      </c>
      <c r="Y215" s="9">
        <f t="shared" si="10"/>
        <v>5.0000000000000001E-3</v>
      </c>
      <c r="Z215" t="str">
        <f t="shared" si="11"/>
        <v>สแกนต่าง Cost</v>
      </c>
    </row>
    <row r="216" spans="1:26" x14ac:dyDescent="0.45">
      <c r="A216">
        <v>27086</v>
      </c>
      <c r="B216" t="s">
        <v>53</v>
      </c>
      <c r="C216">
        <v>20344551</v>
      </c>
      <c r="D216" t="s">
        <v>110</v>
      </c>
      <c r="E216" s="8">
        <v>46140.333333333336</v>
      </c>
      <c r="F216" s="8">
        <v>46140.854166666664</v>
      </c>
      <c r="G216" s="9">
        <v>12.5</v>
      </c>
      <c r="H216" s="9">
        <f t="shared" si="9"/>
        <v>6.6000000000000003E-2</v>
      </c>
      <c r="I216" s="9">
        <v>4.4999999999999998E-2</v>
      </c>
      <c r="J216" s="9"/>
      <c r="K216" s="9">
        <v>2.1000000000000001E-2</v>
      </c>
      <c r="L216" s="9"/>
      <c r="M216" t="s">
        <v>28</v>
      </c>
      <c r="N216" t="s">
        <v>29</v>
      </c>
      <c r="P216" t="s">
        <v>30</v>
      </c>
      <c r="Q216" t="s">
        <v>31</v>
      </c>
      <c r="R216">
        <v>82655</v>
      </c>
      <c r="S216" t="s">
        <v>59</v>
      </c>
      <c r="T216">
        <v>82664</v>
      </c>
      <c r="U216" t="s">
        <v>75</v>
      </c>
      <c r="V216" t="s">
        <v>75</v>
      </c>
      <c r="W216" t="s">
        <v>205</v>
      </c>
      <c r="X216" t="s">
        <v>38</v>
      </c>
      <c r="Y216" s="9">
        <f t="shared" si="10"/>
        <v>2.1000000000000001E-2</v>
      </c>
      <c r="Z216" t="str">
        <f t="shared" si="11"/>
        <v>สแกนต่าง Cost</v>
      </c>
    </row>
    <row r="217" spans="1:26" x14ac:dyDescent="0.45">
      <c r="A217">
        <v>27087</v>
      </c>
      <c r="B217" t="s">
        <v>53</v>
      </c>
      <c r="C217">
        <v>20344552</v>
      </c>
      <c r="D217" t="s">
        <v>112</v>
      </c>
      <c r="E217" s="8">
        <v>46140.333333333336</v>
      </c>
      <c r="F217" s="8">
        <v>46140.854166666664</v>
      </c>
      <c r="G217" s="9">
        <v>12.5</v>
      </c>
      <c r="H217" s="9">
        <f t="shared" si="9"/>
        <v>6.6000000000000003E-2</v>
      </c>
      <c r="I217" s="9">
        <v>4.4999999999999998E-2</v>
      </c>
      <c r="J217" s="9"/>
      <c r="K217" s="9">
        <v>2.1000000000000001E-2</v>
      </c>
      <c r="L217" s="9"/>
      <c r="M217" t="s">
        <v>28</v>
      </c>
      <c r="N217" t="s">
        <v>29</v>
      </c>
      <c r="P217" t="s">
        <v>30</v>
      </c>
      <c r="Q217" t="s">
        <v>31</v>
      </c>
      <c r="R217">
        <v>82655</v>
      </c>
      <c r="S217" t="s">
        <v>59</v>
      </c>
      <c r="T217">
        <v>82664</v>
      </c>
      <c r="U217" t="s">
        <v>75</v>
      </c>
      <c r="V217" t="s">
        <v>75</v>
      </c>
      <c r="W217" t="s">
        <v>205</v>
      </c>
      <c r="X217" t="s">
        <v>38</v>
      </c>
      <c r="Y217" s="9">
        <f t="shared" si="10"/>
        <v>2.1000000000000001E-2</v>
      </c>
      <c r="Z217" t="str">
        <f t="shared" si="11"/>
        <v>สแกนต่าง Cost</v>
      </c>
    </row>
    <row r="218" spans="1:26" x14ac:dyDescent="0.45">
      <c r="B218" t="s">
        <v>53</v>
      </c>
      <c r="C218">
        <v>20352276</v>
      </c>
      <c r="D218" t="s">
        <v>187</v>
      </c>
      <c r="E218" s="8">
        <v>46140.333333333336</v>
      </c>
      <c r="F218" s="8">
        <v>46140.729166666664</v>
      </c>
      <c r="G218" s="9">
        <v>8.5</v>
      </c>
      <c r="H218" s="9">
        <f t="shared" si="9"/>
        <v>4.4999999999999998E-2</v>
      </c>
      <c r="I218" s="9">
        <v>4.4999999999999998E-2</v>
      </c>
      <c r="J218" s="9"/>
      <c r="K218" s="9"/>
      <c r="L218" s="9"/>
      <c r="M218" t="s">
        <v>65</v>
      </c>
      <c r="N218" t="s">
        <v>29</v>
      </c>
      <c r="P218" t="s">
        <v>30</v>
      </c>
      <c r="Q218" t="s">
        <v>31</v>
      </c>
      <c r="R218">
        <v>82630</v>
      </c>
      <c r="S218" t="s">
        <v>32</v>
      </c>
      <c r="T218">
        <v>82611</v>
      </c>
      <c r="U218" t="s">
        <v>43</v>
      </c>
      <c r="V218" t="s">
        <v>43</v>
      </c>
      <c r="W218" t="s">
        <v>170</v>
      </c>
      <c r="X218" t="s">
        <v>171</v>
      </c>
      <c r="Y218" s="9">
        <f t="shared" si="10"/>
        <v>0</v>
      </c>
      <c r="Z218" t="str">
        <f t="shared" si="11"/>
        <v>สแกนต่าง Cost</v>
      </c>
    </row>
    <row r="219" spans="1:26" x14ac:dyDescent="0.45">
      <c r="B219" t="s">
        <v>26</v>
      </c>
      <c r="C219">
        <v>20352282</v>
      </c>
      <c r="D219" t="s">
        <v>84</v>
      </c>
      <c r="E219" s="8">
        <v>46140.333333333336</v>
      </c>
      <c r="F219" s="8">
        <v>46140.729166666664</v>
      </c>
      <c r="G219" s="9">
        <v>8.5</v>
      </c>
      <c r="H219" s="9">
        <f t="shared" si="9"/>
        <v>4.4999999999999998E-2</v>
      </c>
      <c r="I219" s="9">
        <v>4.4999999999999998E-2</v>
      </c>
      <c r="J219" s="9"/>
      <c r="K219" s="9"/>
      <c r="L219" s="9"/>
      <c r="M219" t="s">
        <v>65</v>
      </c>
      <c r="N219" t="s">
        <v>29</v>
      </c>
      <c r="P219" t="s">
        <v>30</v>
      </c>
      <c r="Q219" t="s">
        <v>31</v>
      </c>
      <c r="R219">
        <v>82400</v>
      </c>
      <c r="S219" t="s">
        <v>83</v>
      </c>
      <c r="T219">
        <v>82690</v>
      </c>
      <c r="U219" t="s">
        <v>90</v>
      </c>
      <c r="V219" t="s">
        <v>90</v>
      </c>
      <c r="W219" t="s">
        <v>91</v>
      </c>
      <c r="X219" t="s">
        <v>92</v>
      </c>
      <c r="Y219" s="9">
        <f t="shared" si="10"/>
        <v>0</v>
      </c>
      <c r="Z219" t="str">
        <f t="shared" si="11"/>
        <v>สแกนต่าง Cost</v>
      </c>
    </row>
    <row r="220" spans="1:26" x14ac:dyDescent="0.45">
      <c r="B220" t="s">
        <v>26</v>
      </c>
      <c r="C220">
        <v>20352284</v>
      </c>
      <c r="D220" t="s">
        <v>113</v>
      </c>
      <c r="E220" s="8">
        <v>46140.333333333336</v>
      </c>
      <c r="F220" s="8">
        <v>46140.729166666664</v>
      </c>
      <c r="G220" s="9">
        <v>8.5</v>
      </c>
      <c r="H220" s="9">
        <f t="shared" si="9"/>
        <v>4.4999999999999998E-2</v>
      </c>
      <c r="I220" s="9">
        <v>4.4999999999999998E-2</v>
      </c>
      <c r="J220" s="9"/>
      <c r="K220" s="9"/>
      <c r="L220" s="9"/>
      <c r="M220" t="s">
        <v>65</v>
      </c>
      <c r="N220" t="s">
        <v>29</v>
      </c>
      <c r="P220" t="s">
        <v>30</v>
      </c>
      <c r="Q220" t="s">
        <v>31</v>
      </c>
      <c r="R220">
        <v>82400</v>
      </c>
      <c r="S220" t="s">
        <v>83</v>
      </c>
      <c r="T220">
        <v>82690</v>
      </c>
      <c r="U220" t="s">
        <v>90</v>
      </c>
      <c r="V220" t="s">
        <v>90</v>
      </c>
      <c r="W220" t="s">
        <v>91</v>
      </c>
      <c r="X220" t="s">
        <v>92</v>
      </c>
      <c r="Y220" s="9">
        <f t="shared" si="10"/>
        <v>0</v>
      </c>
      <c r="Z220" t="str">
        <f t="shared" si="11"/>
        <v>สแกนต่าง Cost</v>
      </c>
    </row>
    <row r="221" spans="1:26" x14ac:dyDescent="0.45">
      <c r="B221" t="s">
        <v>26</v>
      </c>
      <c r="C221">
        <v>20352338</v>
      </c>
      <c r="D221" t="s">
        <v>114</v>
      </c>
      <c r="E221" s="8">
        <v>46140.333333333336</v>
      </c>
      <c r="F221" s="8">
        <v>46140.729166666664</v>
      </c>
      <c r="G221" s="9">
        <v>8.5</v>
      </c>
      <c r="H221" s="9">
        <f t="shared" si="9"/>
        <v>4.4999999999999998E-2</v>
      </c>
      <c r="I221" s="9">
        <v>4.4999999999999998E-2</v>
      </c>
      <c r="J221" s="9"/>
      <c r="K221" s="9"/>
      <c r="L221" s="9"/>
      <c r="M221" t="s">
        <v>65</v>
      </c>
      <c r="N221" t="s">
        <v>29</v>
      </c>
      <c r="P221" t="s">
        <v>30</v>
      </c>
      <c r="Q221" t="s">
        <v>31</v>
      </c>
      <c r="R221">
        <v>82400</v>
      </c>
      <c r="S221" t="s">
        <v>83</v>
      </c>
      <c r="T221">
        <v>82690</v>
      </c>
      <c r="U221" t="s">
        <v>90</v>
      </c>
      <c r="V221" t="s">
        <v>90</v>
      </c>
      <c r="W221" t="s">
        <v>91</v>
      </c>
      <c r="X221" t="s">
        <v>92</v>
      </c>
      <c r="Y221" s="9">
        <f t="shared" si="10"/>
        <v>0</v>
      </c>
      <c r="Z221" t="str">
        <f t="shared" si="11"/>
        <v>สแกนต่าง Cost</v>
      </c>
    </row>
    <row r="222" spans="1:26" x14ac:dyDescent="0.45">
      <c r="B222" t="s">
        <v>26</v>
      </c>
      <c r="C222">
        <v>20372078</v>
      </c>
      <c r="D222" t="s">
        <v>82</v>
      </c>
      <c r="E222" s="8">
        <v>46140.333333333336</v>
      </c>
      <c r="F222" s="8">
        <v>46140.729166666664</v>
      </c>
      <c r="G222" s="9">
        <v>8.5</v>
      </c>
      <c r="H222" s="9">
        <f t="shared" si="9"/>
        <v>4.4999999999999998E-2</v>
      </c>
      <c r="I222" s="9">
        <v>4.4999999999999998E-2</v>
      </c>
      <c r="J222" s="9"/>
      <c r="K222" s="9"/>
      <c r="L222" s="9"/>
      <c r="M222" t="s">
        <v>65</v>
      </c>
      <c r="N222" t="s">
        <v>29</v>
      </c>
      <c r="P222" t="s">
        <v>30</v>
      </c>
      <c r="Q222" t="s">
        <v>31</v>
      </c>
      <c r="R222">
        <v>82400</v>
      </c>
      <c r="S222" t="s">
        <v>83</v>
      </c>
      <c r="T222">
        <v>82690</v>
      </c>
      <c r="U222" t="s">
        <v>90</v>
      </c>
      <c r="V222" t="s">
        <v>90</v>
      </c>
      <c r="W222" t="s">
        <v>91</v>
      </c>
      <c r="X222" t="s">
        <v>92</v>
      </c>
      <c r="Y222" s="9">
        <f t="shared" si="10"/>
        <v>0</v>
      </c>
      <c r="Z222" t="str">
        <f t="shared" si="11"/>
        <v>สแกนต่าง Cost</v>
      </c>
    </row>
    <row r="223" spans="1:26" x14ac:dyDescent="0.45">
      <c r="B223" t="s">
        <v>26</v>
      </c>
      <c r="C223">
        <v>20372079</v>
      </c>
      <c r="D223" t="s">
        <v>116</v>
      </c>
      <c r="E223" s="8">
        <v>46140.333333333336</v>
      </c>
      <c r="F223" s="8">
        <v>46140.729166666664</v>
      </c>
      <c r="G223" s="9">
        <v>8.5</v>
      </c>
      <c r="H223" s="9">
        <f t="shared" si="9"/>
        <v>4.4999999999999998E-2</v>
      </c>
      <c r="I223" s="9">
        <v>4.4999999999999998E-2</v>
      </c>
      <c r="J223" s="9"/>
      <c r="K223" s="9"/>
      <c r="L223" s="9"/>
      <c r="M223" t="s">
        <v>65</v>
      </c>
      <c r="N223" t="s">
        <v>29</v>
      </c>
      <c r="P223" t="s">
        <v>30</v>
      </c>
      <c r="Q223" t="s">
        <v>31</v>
      </c>
      <c r="R223">
        <v>82400</v>
      </c>
      <c r="S223" t="s">
        <v>83</v>
      </c>
      <c r="T223">
        <v>82690</v>
      </c>
      <c r="U223" t="s">
        <v>90</v>
      </c>
      <c r="V223" t="s">
        <v>90</v>
      </c>
      <c r="W223" t="s">
        <v>91</v>
      </c>
      <c r="X223" t="s">
        <v>92</v>
      </c>
      <c r="Y223" s="9">
        <f t="shared" si="10"/>
        <v>0</v>
      </c>
      <c r="Z223" t="str">
        <f t="shared" si="11"/>
        <v>สแกนต่าง Cost</v>
      </c>
    </row>
    <row r="224" spans="1:26" x14ac:dyDescent="0.45">
      <c r="B224" t="s">
        <v>26</v>
      </c>
      <c r="C224">
        <v>20372080</v>
      </c>
      <c r="D224" t="s">
        <v>117</v>
      </c>
      <c r="E224" s="8">
        <v>46140.333333333336</v>
      </c>
      <c r="F224" s="8">
        <v>46140.729166666664</v>
      </c>
      <c r="G224" s="9">
        <v>8.5</v>
      </c>
      <c r="H224" s="9">
        <f t="shared" si="9"/>
        <v>4.4999999999999998E-2</v>
      </c>
      <c r="I224" s="9">
        <v>4.4999999999999998E-2</v>
      </c>
      <c r="J224" s="9"/>
      <c r="K224" s="9"/>
      <c r="L224" s="9"/>
      <c r="M224" t="s">
        <v>65</v>
      </c>
      <c r="N224" t="s">
        <v>29</v>
      </c>
      <c r="P224" t="s">
        <v>30</v>
      </c>
      <c r="Q224" t="s">
        <v>31</v>
      </c>
      <c r="R224">
        <v>82400</v>
      </c>
      <c r="S224" t="s">
        <v>83</v>
      </c>
      <c r="T224">
        <v>82690</v>
      </c>
      <c r="U224" t="s">
        <v>90</v>
      </c>
      <c r="V224" t="s">
        <v>90</v>
      </c>
      <c r="W224" t="s">
        <v>91</v>
      </c>
      <c r="X224" t="s">
        <v>92</v>
      </c>
      <c r="Y224" s="9">
        <f t="shared" si="10"/>
        <v>0</v>
      </c>
      <c r="Z224" t="str">
        <f t="shared" si="11"/>
        <v>สแกนต่าง Cost</v>
      </c>
    </row>
    <row r="225" spans="1:26" x14ac:dyDescent="0.45">
      <c r="B225" t="s">
        <v>26</v>
      </c>
      <c r="C225">
        <v>20373210</v>
      </c>
      <c r="D225" t="s">
        <v>206</v>
      </c>
      <c r="E225" s="8">
        <v>46140.333333333336</v>
      </c>
      <c r="F225" s="8">
        <v>46140.729166666664</v>
      </c>
      <c r="G225" s="9">
        <v>8.5</v>
      </c>
      <c r="H225" s="9">
        <f t="shared" si="9"/>
        <v>4.4999999999999998E-2</v>
      </c>
      <c r="I225" s="9">
        <v>4.4999999999999998E-2</v>
      </c>
      <c r="J225" s="9"/>
      <c r="K225" s="9"/>
      <c r="L225" s="9"/>
      <c r="M225" t="s">
        <v>65</v>
      </c>
      <c r="N225" t="s">
        <v>29</v>
      </c>
      <c r="P225" t="s">
        <v>30</v>
      </c>
      <c r="Q225" t="s">
        <v>31</v>
      </c>
      <c r="R225">
        <v>82910</v>
      </c>
      <c r="S225" t="s">
        <v>201</v>
      </c>
      <c r="T225">
        <v>82605</v>
      </c>
      <c r="U225" t="s">
        <v>202</v>
      </c>
      <c r="V225" t="s">
        <v>202</v>
      </c>
      <c r="W225" t="s">
        <v>37</v>
      </c>
      <c r="X225" t="s">
        <v>47</v>
      </c>
      <c r="Y225" s="9">
        <f t="shared" si="10"/>
        <v>0</v>
      </c>
      <c r="Z225" t="str">
        <f t="shared" si="11"/>
        <v>สแกนต่าง Cost</v>
      </c>
    </row>
    <row r="226" spans="1:26" x14ac:dyDescent="0.45">
      <c r="A226">
        <v>27085</v>
      </c>
      <c r="B226" t="s">
        <v>53</v>
      </c>
      <c r="C226">
        <v>20374943</v>
      </c>
      <c r="D226" t="s">
        <v>207</v>
      </c>
      <c r="E226" s="8">
        <v>46140.333333333336</v>
      </c>
      <c r="F226" s="8">
        <v>46140.729166666664</v>
      </c>
      <c r="G226" s="9">
        <v>8.5</v>
      </c>
      <c r="H226" s="9">
        <f t="shared" si="9"/>
        <v>4.4999999999999998E-2</v>
      </c>
      <c r="I226" s="9"/>
      <c r="J226" s="9">
        <v>4.4999999999999998E-2</v>
      </c>
      <c r="K226" s="9"/>
      <c r="L226" s="9"/>
      <c r="M226" t="s">
        <v>77</v>
      </c>
      <c r="N226" t="s">
        <v>40</v>
      </c>
      <c r="O226" t="s">
        <v>78</v>
      </c>
      <c r="P226" t="s">
        <v>30</v>
      </c>
      <c r="Q226" t="s">
        <v>31</v>
      </c>
      <c r="R226">
        <v>82301</v>
      </c>
      <c r="S226" t="s">
        <v>79</v>
      </c>
      <c r="T226">
        <v>82308</v>
      </c>
      <c r="U226" t="s">
        <v>69</v>
      </c>
      <c r="V226" t="s">
        <v>69</v>
      </c>
      <c r="W226" t="s">
        <v>69</v>
      </c>
      <c r="X226" t="s">
        <v>196</v>
      </c>
      <c r="Y226" s="9">
        <f t="shared" si="10"/>
        <v>4.4999999999999998E-2</v>
      </c>
      <c r="Z226" t="str">
        <f t="shared" si="11"/>
        <v>สแกนต่าง Cost</v>
      </c>
    </row>
    <row r="227" spans="1:26" x14ac:dyDescent="0.45">
      <c r="A227">
        <v>27091</v>
      </c>
      <c r="B227" t="s">
        <v>53</v>
      </c>
      <c r="C227">
        <v>20377125</v>
      </c>
      <c r="D227" t="s">
        <v>194</v>
      </c>
      <c r="E227" s="8">
        <v>46140.333333333336</v>
      </c>
      <c r="F227" s="8">
        <v>46140.421527777777</v>
      </c>
      <c r="G227" s="9">
        <v>2.1166666666666667</v>
      </c>
      <c r="H227" s="9">
        <f t="shared" si="9"/>
        <v>1.0999999999999999E-2</v>
      </c>
      <c r="I227" s="9">
        <v>1.0999999999999999E-2</v>
      </c>
      <c r="J227" s="9"/>
      <c r="K227" s="9"/>
      <c r="L227" s="9"/>
      <c r="M227" t="s">
        <v>65</v>
      </c>
      <c r="N227" t="s">
        <v>29</v>
      </c>
      <c r="P227" t="s">
        <v>30</v>
      </c>
      <c r="Q227" t="s">
        <v>31</v>
      </c>
      <c r="R227">
        <v>82301</v>
      </c>
      <c r="S227" t="s">
        <v>79</v>
      </c>
      <c r="T227">
        <v>82308</v>
      </c>
      <c r="U227" t="s">
        <v>69</v>
      </c>
      <c r="V227" t="s">
        <v>69</v>
      </c>
      <c r="W227" t="s">
        <v>69</v>
      </c>
      <c r="X227" t="s">
        <v>196</v>
      </c>
      <c r="Y227" s="9">
        <f t="shared" si="10"/>
        <v>0</v>
      </c>
      <c r="Z227" t="str">
        <f t="shared" si="11"/>
        <v>สแกนต่าง Cost</v>
      </c>
    </row>
    <row r="228" spans="1:26" x14ac:dyDescent="0.45">
      <c r="B228" t="s">
        <v>26</v>
      </c>
      <c r="C228">
        <v>20382170</v>
      </c>
      <c r="D228" t="s">
        <v>118</v>
      </c>
      <c r="E228" s="8">
        <v>46140.333333333336</v>
      </c>
      <c r="F228" s="8">
        <v>46140.729166666664</v>
      </c>
      <c r="G228" s="9">
        <v>8.5</v>
      </c>
      <c r="H228" s="9">
        <f t="shared" si="9"/>
        <v>4.4999999999999998E-2</v>
      </c>
      <c r="I228" s="9">
        <v>4.4999999999999998E-2</v>
      </c>
      <c r="J228" s="9"/>
      <c r="K228" s="9"/>
      <c r="L228" s="9"/>
      <c r="M228" t="s">
        <v>65</v>
      </c>
      <c r="N228" t="s">
        <v>29</v>
      </c>
      <c r="P228" t="s">
        <v>30</v>
      </c>
      <c r="Q228" t="s">
        <v>31</v>
      </c>
      <c r="R228">
        <v>82400</v>
      </c>
      <c r="S228" t="s">
        <v>83</v>
      </c>
      <c r="T228">
        <v>82690</v>
      </c>
      <c r="U228" t="s">
        <v>90</v>
      </c>
      <c r="V228" t="s">
        <v>90</v>
      </c>
      <c r="W228" t="s">
        <v>91</v>
      </c>
      <c r="X228" t="s">
        <v>92</v>
      </c>
      <c r="Y228" s="9">
        <f t="shared" si="10"/>
        <v>0</v>
      </c>
      <c r="Z228" t="str">
        <f t="shared" si="11"/>
        <v>สแกนต่าง Cost</v>
      </c>
    </row>
    <row r="229" spans="1:26" x14ac:dyDescent="0.45">
      <c r="B229" t="s">
        <v>26</v>
      </c>
      <c r="C229">
        <v>20382171</v>
      </c>
      <c r="D229" t="s">
        <v>119</v>
      </c>
      <c r="E229" s="8">
        <v>46140.333333333336</v>
      </c>
      <c r="F229" s="8">
        <v>46140.729166666664</v>
      </c>
      <c r="G229" s="9">
        <v>8.5</v>
      </c>
      <c r="H229" s="9">
        <f t="shared" si="9"/>
        <v>4.4999999999999998E-2</v>
      </c>
      <c r="I229" s="9">
        <v>4.4999999999999998E-2</v>
      </c>
      <c r="J229" s="9"/>
      <c r="K229" s="9"/>
      <c r="L229" s="9"/>
      <c r="M229" t="s">
        <v>65</v>
      </c>
      <c r="N229" t="s">
        <v>29</v>
      </c>
      <c r="P229" t="s">
        <v>30</v>
      </c>
      <c r="Q229" t="s">
        <v>31</v>
      </c>
      <c r="R229">
        <v>82400</v>
      </c>
      <c r="S229" t="s">
        <v>83</v>
      </c>
      <c r="T229">
        <v>82690</v>
      </c>
      <c r="U229" t="s">
        <v>90</v>
      </c>
      <c r="V229" t="s">
        <v>90</v>
      </c>
      <c r="W229" t="s">
        <v>91</v>
      </c>
      <c r="X229" t="s">
        <v>92</v>
      </c>
      <c r="Y229" s="9">
        <f t="shared" si="10"/>
        <v>0</v>
      </c>
      <c r="Z229" t="str">
        <f t="shared" si="11"/>
        <v>สแกนต่าง Cost</v>
      </c>
    </row>
    <row r="230" spans="1:26" x14ac:dyDescent="0.45">
      <c r="B230" t="s">
        <v>26</v>
      </c>
      <c r="C230">
        <v>20403191</v>
      </c>
      <c r="D230" t="s">
        <v>122</v>
      </c>
      <c r="E230" s="8">
        <v>46140.333333333336</v>
      </c>
      <c r="F230" s="8">
        <v>46140.729166666664</v>
      </c>
      <c r="G230" s="9">
        <v>8.5</v>
      </c>
      <c r="H230" s="9">
        <f t="shared" si="9"/>
        <v>4.4999999999999998E-2</v>
      </c>
      <c r="I230" s="9">
        <v>4.4999999999999998E-2</v>
      </c>
      <c r="J230" s="9"/>
      <c r="K230" s="9"/>
      <c r="L230" s="9"/>
      <c r="M230" t="s">
        <v>48</v>
      </c>
      <c r="N230" t="s">
        <v>48</v>
      </c>
      <c r="P230" t="s">
        <v>30</v>
      </c>
      <c r="Q230" t="s">
        <v>31</v>
      </c>
      <c r="R230">
        <v>82400</v>
      </c>
      <c r="S230" t="s">
        <v>83</v>
      </c>
      <c r="T230">
        <v>82690</v>
      </c>
      <c r="U230" t="s">
        <v>90</v>
      </c>
      <c r="V230" t="s">
        <v>90</v>
      </c>
      <c r="W230" t="s">
        <v>91</v>
      </c>
      <c r="X230" t="s">
        <v>92</v>
      </c>
      <c r="Y230" s="9">
        <f t="shared" si="10"/>
        <v>0</v>
      </c>
      <c r="Z230" t="str">
        <f t="shared" si="11"/>
        <v>สแกนต่าง Cost</v>
      </c>
    </row>
    <row r="231" spans="1:26" x14ac:dyDescent="0.45">
      <c r="B231" t="s">
        <v>26</v>
      </c>
      <c r="C231">
        <v>20403192</v>
      </c>
      <c r="D231" t="s">
        <v>123</v>
      </c>
      <c r="E231" s="8">
        <v>46140.333333333336</v>
      </c>
      <c r="F231" s="8">
        <v>46140.729166666664</v>
      </c>
      <c r="G231" s="9">
        <v>8.5</v>
      </c>
      <c r="H231" s="9">
        <f t="shared" si="9"/>
        <v>4.4999999999999998E-2</v>
      </c>
      <c r="I231" s="9">
        <v>4.4999999999999998E-2</v>
      </c>
      <c r="J231" s="9"/>
      <c r="K231" s="9"/>
      <c r="L231" s="9"/>
      <c r="M231" t="s">
        <v>48</v>
      </c>
      <c r="N231" t="s">
        <v>48</v>
      </c>
      <c r="P231" t="s">
        <v>30</v>
      </c>
      <c r="Q231" t="s">
        <v>31</v>
      </c>
      <c r="R231">
        <v>82400</v>
      </c>
      <c r="S231" t="s">
        <v>83</v>
      </c>
      <c r="T231">
        <v>82690</v>
      </c>
      <c r="U231" t="s">
        <v>90</v>
      </c>
      <c r="V231" t="s">
        <v>90</v>
      </c>
      <c r="W231" t="s">
        <v>91</v>
      </c>
      <c r="X231" t="s">
        <v>92</v>
      </c>
      <c r="Y231" s="9">
        <f t="shared" si="10"/>
        <v>0</v>
      </c>
      <c r="Z231" t="str">
        <f t="shared" si="11"/>
        <v>สแกนต่าง Cost</v>
      </c>
    </row>
    <row r="232" spans="1:26" x14ac:dyDescent="0.45">
      <c r="B232" t="s">
        <v>26</v>
      </c>
      <c r="C232">
        <v>20403252</v>
      </c>
      <c r="D232" t="s">
        <v>124</v>
      </c>
      <c r="E232" s="8">
        <v>46140.333333333336</v>
      </c>
      <c r="F232" s="8">
        <v>46140.729166666664</v>
      </c>
      <c r="G232" s="9">
        <v>8.5</v>
      </c>
      <c r="H232" s="9">
        <f t="shared" si="9"/>
        <v>4.4999999999999998E-2</v>
      </c>
      <c r="I232" s="9">
        <v>4.4999999999999998E-2</v>
      </c>
      <c r="J232" s="9"/>
      <c r="K232" s="9"/>
      <c r="L232" s="9"/>
      <c r="M232" t="s">
        <v>48</v>
      </c>
      <c r="N232" t="s">
        <v>48</v>
      </c>
      <c r="P232" t="s">
        <v>30</v>
      </c>
      <c r="Q232" t="s">
        <v>31</v>
      </c>
      <c r="R232">
        <v>82400</v>
      </c>
      <c r="S232" t="s">
        <v>83</v>
      </c>
      <c r="T232">
        <v>82690</v>
      </c>
      <c r="U232" t="s">
        <v>90</v>
      </c>
      <c r="V232" t="s">
        <v>90</v>
      </c>
      <c r="W232" t="s">
        <v>91</v>
      </c>
      <c r="X232" t="s">
        <v>92</v>
      </c>
      <c r="Y232" s="9">
        <f t="shared" si="10"/>
        <v>0</v>
      </c>
      <c r="Z232" t="str">
        <f t="shared" si="11"/>
        <v>สแกนต่าง Cost</v>
      </c>
    </row>
    <row r="233" spans="1:26" x14ac:dyDescent="0.45">
      <c r="B233" t="s">
        <v>26</v>
      </c>
      <c r="C233">
        <v>20403253</v>
      </c>
      <c r="D233" t="s">
        <v>125</v>
      </c>
      <c r="E233" s="8">
        <v>46140.333333333336</v>
      </c>
      <c r="F233" s="8">
        <v>46140.729166666664</v>
      </c>
      <c r="G233" s="9">
        <v>8.5</v>
      </c>
      <c r="H233" s="9">
        <f t="shared" si="9"/>
        <v>4.4999999999999998E-2</v>
      </c>
      <c r="I233" s="9">
        <v>4.4999999999999998E-2</v>
      </c>
      <c r="J233" s="9"/>
      <c r="K233" s="9"/>
      <c r="L233" s="9"/>
      <c r="M233" t="s">
        <v>48</v>
      </c>
      <c r="N233" t="s">
        <v>48</v>
      </c>
      <c r="P233" t="s">
        <v>30</v>
      </c>
      <c r="Q233" t="s">
        <v>31</v>
      </c>
      <c r="R233">
        <v>82400</v>
      </c>
      <c r="S233" t="s">
        <v>83</v>
      </c>
      <c r="T233">
        <v>82690</v>
      </c>
      <c r="U233" t="s">
        <v>90</v>
      </c>
      <c r="V233" t="s">
        <v>90</v>
      </c>
      <c r="W233" t="s">
        <v>91</v>
      </c>
      <c r="X233" t="s">
        <v>92</v>
      </c>
      <c r="Y233" s="9">
        <f t="shared" si="10"/>
        <v>0</v>
      </c>
      <c r="Z233" t="str">
        <f t="shared" si="11"/>
        <v>สแกนต่าง Cost</v>
      </c>
    </row>
    <row r="234" spans="1:26" x14ac:dyDescent="0.45">
      <c r="B234" t="s">
        <v>26</v>
      </c>
      <c r="C234">
        <v>20403254</v>
      </c>
      <c r="D234" t="s">
        <v>126</v>
      </c>
      <c r="E234" s="8">
        <v>46140.333333333336</v>
      </c>
      <c r="F234" s="8">
        <v>46140.729166666664</v>
      </c>
      <c r="G234" s="9">
        <v>8.5</v>
      </c>
      <c r="H234" s="9">
        <f t="shared" si="9"/>
        <v>4.4999999999999998E-2</v>
      </c>
      <c r="I234" s="9">
        <v>4.4999999999999998E-2</v>
      </c>
      <c r="J234" s="9"/>
      <c r="K234" s="9"/>
      <c r="L234" s="9"/>
      <c r="M234" t="s">
        <v>48</v>
      </c>
      <c r="N234" t="s">
        <v>48</v>
      </c>
      <c r="P234" t="s">
        <v>30</v>
      </c>
      <c r="Q234" t="s">
        <v>31</v>
      </c>
      <c r="R234">
        <v>82400</v>
      </c>
      <c r="S234" t="s">
        <v>83</v>
      </c>
      <c r="T234">
        <v>82690</v>
      </c>
      <c r="U234" t="s">
        <v>90</v>
      </c>
      <c r="V234" t="s">
        <v>90</v>
      </c>
      <c r="W234" t="s">
        <v>91</v>
      </c>
      <c r="X234" t="s">
        <v>92</v>
      </c>
      <c r="Y234" s="9">
        <f t="shared" si="10"/>
        <v>0</v>
      </c>
      <c r="Z234" t="str">
        <f t="shared" si="11"/>
        <v>สแกนต่าง Cost</v>
      </c>
    </row>
    <row r="235" spans="1:26" x14ac:dyDescent="0.45">
      <c r="B235" t="s">
        <v>26</v>
      </c>
      <c r="C235">
        <v>20319535</v>
      </c>
      <c r="D235" t="s">
        <v>36</v>
      </c>
      <c r="E235" s="8">
        <v>46140.326388888891</v>
      </c>
      <c r="F235" s="8">
        <v>46140.838194444441</v>
      </c>
      <c r="G235" s="9">
        <v>12.283333333333333</v>
      </c>
      <c r="H235" s="9">
        <f t="shared" si="9"/>
        <v>6.5000000000000002E-2</v>
      </c>
      <c r="I235" s="9">
        <v>4.4999999999999998E-2</v>
      </c>
      <c r="J235" s="9"/>
      <c r="K235" s="9">
        <v>0.02</v>
      </c>
      <c r="L235" s="9"/>
      <c r="M235" t="s">
        <v>28</v>
      </c>
      <c r="N235" t="s">
        <v>29</v>
      </c>
      <c r="P235" t="s">
        <v>30</v>
      </c>
      <c r="Q235" t="s">
        <v>31</v>
      </c>
      <c r="R235">
        <v>82630</v>
      </c>
      <c r="S235" t="s">
        <v>32</v>
      </c>
      <c r="T235">
        <v>82658</v>
      </c>
      <c r="U235" t="s">
        <v>33</v>
      </c>
      <c r="V235" t="s">
        <v>33</v>
      </c>
      <c r="W235" t="s">
        <v>37</v>
      </c>
      <c r="X235" t="s">
        <v>38</v>
      </c>
      <c r="Y235" s="9">
        <f t="shared" si="10"/>
        <v>0.02</v>
      </c>
      <c r="Z235" t="str">
        <f t="shared" si="11"/>
        <v>สแกนต่าง Cost</v>
      </c>
    </row>
    <row r="236" spans="1:26" x14ac:dyDescent="0.45">
      <c r="A236">
        <v>27083</v>
      </c>
      <c r="B236" t="s">
        <v>53</v>
      </c>
      <c r="C236">
        <v>20214280</v>
      </c>
      <c r="D236" t="s">
        <v>136</v>
      </c>
      <c r="E236" s="8">
        <v>46140.293749999997</v>
      </c>
      <c r="F236" s="8">
        <v>46140.786805555559</v>
      </c>
      <c r="G236" s="9">
        <v>11.833333333333334</v>
      </c>
      <c r="H236" s="9">
        <f t="shared" si="9"/>
        <v>6.3E-2</v>
      </c>
      <c r="I236" s="9">
        <v>4.4999999999999998E-2</v>
      </c>
      <c r="J236" s="9"/>
      <c r="K236" s="9">
        <v>1.7999999999999999E-2</v>
      </c>
      <c r="L236" s="9"/>
      <c r="M236" t="s">
        <v>28</v>
      </c>
      <c r="N236" t="s">
        <v>40</v>
      </c>
      <c r="O236" t="s">
        <v>41</v>
      </c>
      <c r="P236" t="s">
        <v>30</v>
      </c>
      <c r="Q236" t="s">
        <v>31</v>
      </c>
      <c r="R236">
        <v>82415</v>
      </c>
      <c r="S236" t="s">
        <v>137</v>
      </c>
      <c r="T236">
        <v>82664</v>
      </c>
      <c r="U236" t="s">
        <v>75</v>
      </c>
      <c r="V236" t="s">
        <v>75</v>
      </c>
      <c r="W236" t="s">
        <v>74</v>
      </c>
      <c r="X236" t="s">
        <v>74</v>
      </c>
      <c r="Y236" s="9">
        <f t="shared" si="10"/>
        <v>1.7999999999999999E-2</v>
      </c>
      <c r="Z236" t="str">
        <f t="shared" si="11"/>
        <v>สแกนต่าง Cost</v>
      </c>
    </row>
    <row r="237" spans="1:26" x14ac:dyDescent="0.45">
      <c r="A237">
        <v>27082</v>
      </c>
      <c r="B237" t="s">
        <v>53</v>
      </c>
      <c r="C237">
        <v>20054261</v>
      </c>
      <c r="D237" t="s">
        <v>138</v>
      </c>
      <c r="E237" s="8">
        <v>46139.97152777778</v>
      </c>
      <c r="F237" s="8">
        <v>46140.293749999997</v>
      </c>
      <c r="G237" s="9">
        <v>6.7333333333333334</v>
      </c>
      <c r="H237" s="9">
        <f t="shared" si="9"/>
        <v>3.5999999999999997E-2</v>
      </c>
      <c r="I237" s="9">
        <v>3.5999999999999997E-2</v>
      </c>
      <c r="J237" s="9"/>
      <c r="K237" s="9"/>
      <c r="L237" s="9"/>
      <c r="M237" t="s">
        <v>65</v>
      </c>
      <c r="N237" t="s">
        <v>29</v>
      </c>
      <c r="P237" t="s">
        <v>133</v>
      </c>
      <c r="Q237" t="s">
        <v>31</v>
      </c>
      <c r="R237">
        <v>82415</v>
      </c>
      <c r="S237" t="s">
        <v>137</v>
      </c>
      <c r="T237">
        <v>82664</v>
      </c>
      <c r="U237" t="s">
        <v>75</v>
      </c>
      <c r="V237" t="s">
        <v>75</v>
      </c>
      <c r="W237" t="s">
        <v>74</v>
      </c>
      <c r="X237" t="s">
        <v>74</v>
      </c>
      <c r="Y237" s="9">
        <f t="shared" si="10"/>
        <v>0</v>
      </c>
      <c r="Z237" t="str">
        <f t="shared" si="11"/>
        <v>สแกนต่าง Cost</v>
      </c>
    </row>
    <row r="238" spans="1:26" x14ac:dyDescent="0.45">
      <c r="B238" t="s">
        <v>26</v>
      </c>
      <c r="C238">
        <v>20198811</v>
      </c>
      <c r="D238" t="s">
        <v>144</v>
      </c>
      <c r="E238" s="8">
        <v>46139.833333333336</v>
      </c>
      <c r="F238" s="8">
        <v>46139.913194444445</v>
      </c>
      <c r="G238" s="9">
        <v>1.9166666666666667</v>
      </c>
      <c r="H238" s="9">
        <f t="shared" si="9"/>
        <v>0.01</v>
      </c>
      <c r="I238" s="9"/>
      <c r="J238" s="9"/>
      <c r="K238" s="9">
        <v>0.01</v>
      </c>
      <c r="L238" s="9"/>
      <c r="M238" t="s">
        <v>28</v>
      </c>
      <c r="N238" t="s">
        <v>29</v>
      </c>
      <c r="P238" t="s">
        <v>30</v>
      </c>
      <c r="Q238" t="s">
        <v>31</v>
      </c>
      <c r="R238">
        <v>82652</v>
      </c>
      <c r="S238" t="s">
        <v>46</v>
      </c>
      <c r="T238">
        <v>82658</v>
      </c>
      <c r="U238" t="s">
        <v>33</v>
      </c>
      <c r="V238" t="s">
        <v>33</v>
      </c>
      <c r="W238" t="s">
        <v>37</v>
      </c>
      <c r="X238" t="s">
        <v>38</v>
      </c>
      <c r="Y238" s="9">
        <f t="shared" si="10"/>
        <v>0.01</v>
      </c>
      <c r="Z238" t="str">
        <f t="shared" si="11"/>
        <v>สแกนต่าง Cost</v>
      </c>
    </row>
    <row r="239" spans="1:26" x14ac:dyDescent="0.45">
      <c r="B239" t="s">
        <v>26</v>
      </c>
      <c r="C239">
        <v>20028097</v>
      </c>
      <c r="D239" t="s">
        <v>139</v>
      </c>
      <c r="E239" s="8">
        <v>46139.832638888889</v>
      </c>
      <c r="F239" s="8">
        <v>46139.911805555559</v>
      </c>
      <c r="G239" s="9">
        <v>1.9</v>
      </c>
      <c r="H239" s="9">
        <f t="shared" si="9"/>
        <v>0.01</v>
      </c>
      <c r="I239" s="9"/>
      <c r="J239" s="9"/>
      <c r="K239" s="9">
        <v>0.01</v>
      </c>
      <c r="L239" s="9"/>
      <c r="M239" t="s">
        <v>28</v>
      </c>
      <c r="N239" t="s">
        <v>40</v>
      </c>
      <c r="O239" t="s">
        <v>140</v>
      </c>
      <c r="P239" t="s">
        <v>30</v>
      </c>
      <c r="Q239" t="s">
        <v>31</v>
      </c>
      <c r="R239">
        <v>82652</v>
      </c>
      <c r="S239" t="s">
        <v>46</v>
      </c>
      <c r="T239">
        <v>82658</v>
      </c>
      <c r="U239" t="s">
        <v>33</v>
      </c>
      <c r="V239" t="s">
        <v>33</v>
      </c>
      <c r="W239" t="s">
        <v>37</v>
      </c>
      <c r="X239" t="s">
        <v>38</v>
      </c>
      <c r="Y239" s="9">
        <f t="shared" si="10"/>
        <v>0.01</v>
      </c>
      <c r="Z239" t="str">
        <f t="shared" si="11"/>
        <v>สแกนต่าง Cost</v>
      </c>
    </row>
    <row r="240" spans="1:26" x14ac:dyDescent="0.45">
      <c r="B240" t="s">
        <v>26</v>
      </c>
      <c r="C240">
        <v>20031153</v>
      </c>
      <c r="D240" t="s">
        <v>142</v>
      </c>
      <c r="E240" s="8">
        <v>46139.832638888889</v>
      </c>
      <c r="F240" s="8">
        <v>46139.911805555559</v>
      </c>
      <c r="G240" s="9">
        <v>1.9</v>
      </c>
      <c r="H240" s="9">
        <f t="shared" si="9"/>
        <v>0.01</v>
      </c>
      <c r="I240" s="9"/>
      <c r="J240" s="9"/>
      <c r="K240" s="9">
        <v>0.01</v>
      </c>
      <c r="L240" s="9"/>
      <c r="M240" t="s">
        <v>28</v>
      </c>
      <c r="N240" t="s">
        <v>29</v>
      </c>
      <c r="P240" t="s">
        <v>30</v>
      </c>
      <c r="Q240" t="s">
        <v>31</v>
      </c>
      <c r="R240">
        <v>82652</v>
      </c>
      <c r="S240" t="s">
        <v>46</v>
      </c>
      <c r="T240">
        <v>82658</v>
      </c>
      <c r="U240" t="s">
        <v>33</v>
      </c>
      <c r="V240" t="s">
        <v>33</v>
      </c>
      <c r="W240" t="s">
        <v>37</v>
      </c>
      <c r="X240" t="s">
        <v>38</v>
      </c>
      <c r="Y240" s="9">
        <f t="shared" si="10"/>
        <v>0.01</v>
      </c>
      <c r="Z240" t="str">
        <f t="shared" si="11"/>
        <v>สแกนต่าง Cost</v>
      </c>
    </row>
    <row r="241" spans="1:26" x14ac:dyDescent="0.45">
      <c r="A241">
        <v>26956</v>
      </c>
      <c r="B241" t="s">
        <v>53</v>
      </c>
      <c r="C241">
        <v>20238364</v>
      </c>
      <c r="D241" t="s">
        <v>198</v>
      </c>
      <c r="E241" s="8">
        <v>46139.770138888889</v>
      </c>
      <c r="F241" s="8">
        <v>46139.892361111109</v>
      </c>
      <c r="G241" s="9">
        <v>2.9333333333333331</v>
      </c>
      <c r="H241" s="9">
        <f t="shared" si="9"/>
        <v>1.6E-2</v>
      </c>
      <c r="I241" s="9"/>
      <c r="J241" s="9"/>
      <c r="K241" s="9">
        <v>1.6E-2</v>
      </c>
      <c r="L241" s="9"/>
      <c r="M241" t="s">
        <v>28</v>
      </c>
      <c r="N241" t="s">
        <v>40</v>
      </c>
      <c r="O241" t="s">
        <v>208</v>
      </c>
      <c r="P241" t="s">
        <v>30</v>
      </c>
      <c r="Q241" t="s">
        <v>31</v>
      </c>
      <c r="R241">
        <v>82306</v>
      </c>
      <c r="S241" t="s">
        <v>55</v>
      </c>
      <c r="T241">
        <v>82303</v>
      </c>
      <c r="U241" t="s">
        <v>56</v>
      </c>
      <c r="V241" t="s">
        <v>56</v>
      </c>
      <c r="W241" t="s">
        <v>56</v>
      </c>
      <c r="X241" t="s">
        <v>57</v>
      </c>
      <c r="Y241" s="9">
        <f t="shared" si="10"/>
        <v>1.6E-2</v>
      </c>
      <c r="Z241" t="str">
        <f t="shared" si="11"/>
        <v>สแกนต่าง Cost</v>
      </c>
    </row>
    <row r="242" spans="1:26" x14ac:dyDescent="0.45">
      <c r="B242" t="s">
        <v>26</v>
      </c>
      <c r="C242">
        <v>20028098</v>
      </c>
      <c r="D242" t="s">
        <v>209</v>
      </c>
      <c r="E242" s="8">
        <v>46139.745833333334</v>
      </c>
      <c r="F242" s="8">
        <v>46139.827777777777</v>
      </c>
      <c r="G242" s="9">
        <v>1.9666666666666666</v>
      </c>
      <c r="H242" s="9">
        <f t="shared" si="9"/>
        <v>1.0999999999999999E-2</v>
      </c>
      <c r="I242" s="9"/>
      <c r="J242" s="9"/>
      <c r="K242" s="9">
        <v>1.0999999999999999E-2</v>
      </c>
      <c r="L242" s="9"/>
      <c r="M242" t="s">
        <v>28</v>
      </c>
      <c r="N242" t="s">
        <v>40</v>
      </c>
      <c r="O242" t="s">
        <v>41</v>
      </c>
      <c r="P242" t="s">
        <v>30</v>
      </c>
      <c r="Q242" t="s">
        <v>31</v>
      </c>
      <c r="R242">
        <v>82655</v>
      </c>
      <c r="S242" t="s">
        <v>59</v>
      </c>
      <c r="T242">
        <v>82658</v>
      </c>
      <c r="U242" t="s">
        <v>33</v>
      </c>
      <c r="V242" t="s">
        <v>33</v>
      </c>
      <c r="W242" t="s">
        <v>37</v>
      </c>
      <c r="X242" t="s">
        <v>38</v>
      </c>
      <c r="Y242" s="9">
        <f t="shared" si="10"/>
        <v>1.0999999999999999E-2</v>
      </c>
      <c r="Z242" t="str">
        <f t="shared" si="11"/>
        <v>สแกนต่าง Cost</v>
      </c>
    </row>
    <row r="243" spans="1:26" x14ac:dyDescent="0.45">
      <c r="B243" t="s">
        <v>26</v>
      </c>
      <c r="C243">
        <v>20317992</v>
      </c>
      <c r="D243" t="s">
        <v>210</v>
      </c>
      <c r="E243" s="8">
        <v>46139.745833333334</v>
      </c>
      <c r="F243" s="8">
        <v>46139.82708333333</v>
      </c>
      <c r="G243" s="9">
        <v>1.95</v>
      </c>
      <c r="H243" s="9">
        <f t="shared" si="9"/>
        <v>0.01</v>
      </c>
      <c r="I243" s="9"/>
      <c r="J243" s="9"/>
      <c r="K243" s="9">
        <v>0.01</v>
      </c>
      <c r="L243" s="9"/>
      <c r="M243" t="s">
        <v>28</v>
      </c>
      <c r="N243" t="s">
        <v>29</v>
      </c>
      <c r="P243" t="s">
        <v>30</v>
      </c>
      <c r="Q243" t="s">
        <v>31</v>
      </c>
      <c r="R243">
        <v>82652</v>
      </c>
      <c r="S243" t="s">
        <v>46</v>
      </c>
      <c r="T243">
        <v>82658</v>
      </c>
      <c r="U243" t="s">
        <v>33</v>
      </c>
      <c r="V243" t="s">
        <v>33</v>
      </c>
      <c r="W243" t="s">
        <v>37</v>
      </c>
      <c r="X243" t="s">
        <v>38</v>
      </c>
      <c r="Y243" s="9">
        <f t="shared" si="10"/>
        <v>0.01</v>
      </c>
      <c r="Z243" t="str">
        <f t="shared" si="11"/>
        <v>สแกนต่าง Cost</v>
      </c>
    </row>
    <row r="244" spans="1:26" x14ac:dyDescent="0.45">
      <c r="B244" t="s">
        <v>26</v>
      </c>
      <c r="C244">
        <v>20403191</v>
      </c>
      <c r="D244" t="s">
        <v>122</v>
      </c>
      <c r="E244" s="8">
        <v>46139.745833333334</v>
      </c>
      <c r="F244" s="8">
        <v>46139.827777777777</v>
      </c>
      <c r="G244" s="9">
        <v>1.9666666666666666</v>
      </c>
      <c r="H244" s="9">
        <f t="shared" si="9"/>
        <v>1.0999999999999999E-2</v>
      </c>
      <c r="I244" s="9">
        <v>1.0999999999999999E-2</v>
      </c>
      <c r="J244" s="9"/>
      <c r="K244" s="9"/>
      <c r="L244" s="9"/>
      <c r="M244" t="s">
        <v>48</v>
      </c>
      <c r="N244" t="s">
        <v>48</v>
      </c>
      <c r="P244" t="s">
        <v>30</v>
      </c>
      <c r="Q244" t="s">
        <v>31</v>
      </c>
      <c r="R244">
        <v>82400</v>
      </c>
      <c r="S244" t="s">
        <v>83</v>
      </c>
      <c r="T244">
        <v>82658</v>
      </c>
      <c r="U244" t="s">
        <v>33</v>
      </c>
      <c r="V244" t="s">
        <v>33</v>
      </c>
      <c r="W244" t="s">
        <v>34</v>
      </c>
      <c r="X244" t="s">
        <v>34</v>
      </c>
      <c r="Y244" s="9">
        <f t="shared" si="10"/>
        <v>0</v>
      </c>
      <c r="Z244" t="str">
        <f t="shared" si="11"/>
        <v>สแกนต่าง Cost</v>
      </c>
    </row>
    <row r="245" spans="1:26" x14ac:dyDescent="0.45">
      <c r="B245" t="s">
        <v>26</v>
      </c>
      <c r="C245">
        <v>20198805</v>
      </c>
      <c r="D245" t="s">
        <v>211</v>
      </c>
      <c r="E245" s="8">
        <v>46139.744444444441</v>
      </c>
      <c r="F245" s="8">
        <v>46139.826388888891</v>
      </c>
      <c r="G245" s="9">
        <v>1.9666666666666666</v>
      </c>
      <c r="H245" s="9">
        <f t="shared" si="9"/>
        <v>1.0999999999999999E-2</v>
      </c>
      <c r="I245" s="9"/>
      <c r="J245" s="9"/>
      <c r="K245" s="9">
        <v>1.0999999999999999E-2</v>
      </c>
      <c r="L245" s="9"/>
      <c r="M245" t="s">
        <v>28</v>
      </c>
      <c r="N245" t="s">
        <v>40</v>
      </c>
      <c r="O245" t="s">
        <v>41</v>
      </c>
      <c r="P245" t="s">
        <v>30</v>
      </c>
      <c r="Q245" t="s">
        <v>31</v>
      </c>
      <c r="R245">
        <v>82652</v>
      </c>
      <c r="S245" t="s">
        <v>46</v>
      </c>
      <c r="T245">
        <v>82658</v>
      </c>
      <c r="U245" t="s">
        <v>33</v>
      </c>
      <c r="V245" t="s">
        <v>33</v>
      </c>
      <c r="W245" t="s">
        <v>37</v>
      </c>
      <c r="X245" t="s">
        <v>38</v>
      </c>
      <c r="Y245" s="9">
        <f t="shared" si="10"/>
        <v>1.0999999999999999E-2</v>
      </c>
      <c r="Z245" t="str">
        <f t="shared" si="11"/>
        <v>สแกนต่าง Cost</v>
      </c>
    </row>
    <row r="246" spans="1:26" x14ac:dyDescent="0.45">
      <c r="B246" t="s">
        <v>26</v>
      </c>
      <c r="C246">
        <v>20030026</v>
      </c>
      <c r="D246" t="s">
        <v>141</v>
      </c>
      <c r="E246" s="8">
        <v>46139.742361111108</v>
      </c>
      <c r="F246" s="8">
        <v>46139.82708333333</v>
      </c>
      <c r="G246" s="9">
        <v>2.0333333333333332</v>
      </c>
      <c r="H246" s="9">
        <f t="shared" si="9"/>
        <v>1.0999999999999999E-2</v>
      </c>
      <c r="I246" s="9"/>
      <c r="J246" s="9"/>
      <c r="K246" s="9">
        <v>1.0999999999999999E-2</v>
      </c>
      <c r="L246" s="9"/>
      <c r="M246" t="s">
        <v>28</v>
      </c>
      <c r="N246" t="s">
        <v>40</v>
      </c>
      <c r="O246" t="s">
        <v>41</v>
      </c>
      <c r="P246" t="s">
        <v>30</v>
      </c>
      <c r="Q246" t="s">
        <v>31</v>
      </c>
      <c r="R246">
        <v>82652</v>
      </c>
      <c r="S246" t="s">
        <v>46</v>
      </c>
      <c r="T246">
        <v>82658</v>
      </c>
      <c r="U246" t="s">
        <v>33</v>
      </c>
      <c r="V246" t="s">
        <v>33</v>
      </c>
      <c r="W246" t="s">
        <v>37</v>
      </c>
      <c r="X246" t="s">
        <v>38</v>
      </c>
      <c r="Y246" s="9">
        <f t="shared" si="10"/>
        <v>1.0999999999999999E-2</v>
      </c>
      <c r="Z246" t="str">
        <f t="shared" si="11"/>
        <v>สแกนต่าง Cost</v>
      </c>
    </row>
    <row r="247" spans="1:26" x14ac:dyDescent="0.45">
      <c r="B247" t="s">
        <v>26</v>
      </c>
      <c r="C247">
        <v>20039177</v>
      </c>
      <c r="D247" t="s">
        <v>188</v>
      </c>
      <c r="E247" s="8">
        <v>46139.742361111108</v>
      </c>
      <c r="F247" s="8">
        <v>46139.913194444445</v>
      </c>
      <c r="G247" s="9">
        <v>4.0999999999999996</v>
      </c>
      <c r="H247" s="9">
        <f t="shared" si="9"/>
        <v>2.1999999999999999E-2</v>
      </c>
      <c r="I247" s="9"/>
      <c r="J247" s="9"/>
      <c r="K247" s="9">
        <v>2.1999999999999999E-2</v>
      </c>
      <c r="L247" s="9"/>
      <c r="M247" t="s">
        <v>28</v>
      </c>
      <c r="N247" t="s">
        <v>40</v>
      </c>
      <c r="O247" t="s">
        <v>140</v>
      </c>
      <c r="P247" t="s">
        <v>30</v>
      </c>
      <c r="Q247" t="s">
        <v>31</v>
      </c>
      <c r="R247">
        <v>82655</v>
      </c>
      <c r="S247" t="s">
        <v>59</v>
      </c>
      <c r="T247">
        <v>82658</v>
      </c>
      <c r="U247" t="s">
        <v>33</v>
      </c>
      <c r="V247" t="s">
        <v>33</v>
      </c>
      <c r="W247" t="s">
        <v>37</v>
      </c>
      <c r="X247" t="s">
        <v>38</v>
      </c>
      <c r="Y247" s="9">
        <f t="shared" si="10"/>
        <v>2.1999999999999999E-2</v>
      </c>
      <c r="Z247" t="str">
        <f t="shared" si="11"/>
        <v>สแกนต่าง Cost</v>
      </c>
    </row>
    <row r="248" spans="1:26" x14ac:dyDescent="0.45">
      <c r="B248" t="s">
        <v>26</v>
      </c>
      <c r="C248">
        <v>20198836</v>
      </c>
      <c r="D248" t="s">
        <v>212</v>
      </c>
      <c r="E248" s="8">
        <v>46139.741666666669</v>
      </c>
      <c r="F248" s="8">
        <v>46139.830555555556</v>
      </c>
      <c r="G248" s="9">
        <v>2.1333333333333333</v>
      </c>
      <c r="H248" s="9">
        <f t="shared" si="9"/>
        <v>1.0999999999999999E-2</v>
      </c>
      <c r="I248" s="9"/>
      <c r="J248" s="9"/>
      <c r="K248" s="9">
        <v>1.0999999999999999E-2</v>
      </c>
      <c r="L248" s="9"/>
      <c r="M248" t="s">
        <v>28</v>
      </c>
      <c r="N248" t="s">
        <v>40</v>
      </c>
      <c r="O248" t="s">
        <v>41</v>
      </c>
      <c r="P248" t="s">
        <v>30</v>
      </c>
      <c r="Q248" t="s">
        <v>31</v>
      </c>
      <c r="R248">
        <v>82640</v>
      </c>
      <c r="S248" t="s">
        <v>42</v>
      </c>
      <c r="T248">
        <v>82611</v>
      </c>
      <c r="U248" t="s">
        <v>43</v>
      </c>
      <c r="V248" t="s">
        <v>43</v>
      </c>
      <c r="W248" t="s">
        <v>42</v>
      </c>
      <c r="X248" t="s">
        <v>38</v>
      </c>
      <c r="Y248" s="9">
        <f t="shared" si="10"/>
        <v>1.0999999999999999E-2</v>
      </c>
      <c r="Z248" t="str">
        <f t="shared" si="11"/>
        <v>สแกนต่าง Cost</v>
      </c>
    </row>
    <row r="249" spans="1:26" x14ac:dyDescent="0.45">
      <c r="B249" t="s">
        <v>26</v>
      </c>
      <c r="C249">
        <v>20198853</v>
      </c>
      <c r="D249" t="s">
        <v>213</v>
      </c>
      <c r="E249" s="8">
        <v>46139.739583333336</v>
      </c>
      <c r="F249" s="8">
        <v>46139.831250000003</v>
      </c>
      <c r="G249" s="9">
        <v>2.2000000000000002</v>
      </c>
      <c r="H249" s="9">
        <f t="shared" si="9"/>
        <v>1.2E-2</v>
      </c>
      <c r="I249" s="9"/>
      <c r="J249" s="9"/>
      <c r="K249" s="9">
        <v>1.2E-2</v>
      </c>
      <c r="L249" s="9"/>
      <c r="M249" t="s">
        <v>28</v>
      </c>
      <c r="N249" t="s">
        <v>40</v>
      </c>
      <c r="O249" t="s">
        <v>41</v>
      </c>
      <c r="P249" t="s">
        <v>30</v>
      </c>
      <c r="Q249" t="s">
        <v>31</v>
      </c>
      <c r="R249">
        <v>82640</v>
      </c>
      <c r="S249" t="s">
        <v>42</v>
      </c>
      <c r="T249">
        <v>82611</v>
      </c>
      <c r="U249" t="s">
        <v>43</v>
      </c>
      <c r="V249" t="s">
        <v>43</v>
      </c>
      <c r="W249" t="s">
        <v>42</v>
      </c>
      <c r="X249" t="s">
        <v>38</v>
      </c>
      <c r="Y249" s="9">
        <f t="shared" si="10"/>
        <v>1.2E-2</v>
      </c>
      <c r="Z249" t="str">
        <f t="shared" si="11"/>
        <v>สแกนต่าง Cost</v>
      </c>
    </row>
    <row r="250" spans="1:26" x14ac:dyDescent="0.45">
      <c r="B250" t="s">
        <v>26</v>
      </c>
      <c r="C250">
        <v>20060579</v>
      </c>
      <c r="D250" t="s">
        <v>39</v>
      </c>
      <c r="E250" s="8">
        <v>46139.738194444442</v>
      </c>
      <c r="F250" s="8">
        <v>46139.82916666667</v>
      </c>
      <c r="G250" s="9">
        <v>2.1833333333333331</v>
      </c>
      <c r="H250" s="9">
        <f t="shared" si="9"/>
        <v>1.2E-2</v>
      </c>
      <c r="I250" s="9"/>
      <c r="J250" s="9"/>
      <c r="K250" s="9">
        <v>1.2E-2</v>
      </c>
      <c r="L250" s="9"/>
      <c r="M250" t="s">
        <v>28</v>
      </c>
      <c r="N250" t="s">
        <v>40</v>
      </c>
      <c r="O250" t="s">
        <v>41</v>
      </c>
      <c r="P250" t="s">
        <v>30</v>
      </c>
      <c r="Q250" t="s">
        <v>31</v>
      </c>
      <c r="R250">
        <v>82640</v>
      </c>
      <c r="S250" t="s">
        <v>42</v>
      </c>
      <c r="T250">
        <v>82611</v>
      </c>
      <c r="U250" t="s">
        <v>43</v>
      </c>
      <c r="V250" t="s">
        <v>43</v>
      </c>
      <c r="W250" t="s">
        <v>44</v>
      </c>
      <c r="X250" t="s">
        <v>44</v>
      </c>
      <c r="Y250" s="9">
        <f t="shared" si="10"/>
        <v>1.2E-2</v>
      </c>
      <c r="Z250" t="str">
        <f t="shared" si="11"/>
        <v>สแกนต่าง Cost</v>
      </c>
    </row>
    <row r="251" spans="1:26" x14ac:dyDescent="0.45">
      <c r="B251" t="s">
        <v>26</v>
      </c>
      <c r="C251">
        <v>20027956</v>
      </c>
      <c r="D251" t="s">
        <v>214</v>
      </c>
      <c r="E251" s="8">
        <v>46139.73541666667</v>
      </c>
      <c r="F251" s="8">
        <v>46139.82916666667</v>
      </c>
      <c r="G251" s="9">
        <v>2.25</v>
      </c>
      <c r="H251" s="9">
        <f t="shared" si="9"/>
        <v>1.2E-2</v>
      </c>
      <c r="I251" s="9"/>
      <c r="J251" s="9"/>
      <c r="K251" s="9">
        <v>1.2E-2</v>
      </c>
      <c r="L251" s="9"/>
      <c r="M251" t="s">
        <v>28</v>
      </c>
      <c r="N251" t="s">
        <v>40</v>
      </c>
      <c r="O251" t="s">
        <v>41</v>
      </c>
      <c r="P251" t="s">
        <v>30</v>
      </c>
      <c r="Q251" t="s">
        <v>31</v>
      </c>
      <c r="R251">
        <v>82640</v>
      </c>
      <c r="S251" t="s">
        <v>42</v>
      </c>
      <c r="T251">
        <v>82611</v>
      </c>
      <c r="U251" t="s">
        <v>43</v>
      </c>
      <c r="V251" t="s">
        <v>43</v>
      </c>
      <c r="W251" t="s">
        <v>44</v>
      </c>
      <c r="X251" t="s">
        <v>44</v>
      </c>
      <c r="Y251" s="9">
        <f t="shared" si="10"/>
        <v>1.2E-2</v>
      </c>
      <c r="Z251" t="str">
        <f t="shared" si="11"/>
        <v>สแกนต่าง Cost</v>
      </c>
    </row>
    <row r="252" spans="1:26" x14ac:dyDescent="0.45">
      <c r="B252" t="s">
        <v>26</v>
      </c>
      <c r="C252">
        <v>20403261</v>
      </c>
      <c r="E252" s="8">
        <v>46139.73541666667</v>
      </c>
      <c r="F252" s="8">
        <v>46139.826388888891</v>
      </c>
      <c r="G252" s="9">
        <v>2.1833333333333331</v>
      </c>
      <c r="H252" s="9">
        <f t="shared" si="9"/>
        <v>1.2E-2</v>
      </c>
      <c r="I252" s="9">
        <v>1.2E-2</v>
      </c>
      <c r="J252" s="9"/>
      <c r="K252" s="9"/>
      <c r="L252" s="9"/>
      <c r="M252" t="s">
        <v>48</v>
      </c>
      <c r="N252" t="s">
        <v>48</v>
      </c>
      <c r="P252" t="s">
        <v>30</v>
      </c>
      <c r="R252">
        <v>82680</v>
      </c>
      <c r="T252">
        <v>82658</v>
      </c>
      <c r="U252" t="s">
        <v>33</v>
      </c>
      <c r="V252" t="s">
        <v>33</v>
      </c>
      <c r="W252" t="s">
        <v>34</v>
      </c>
      <c r="X252" t="s">
        <v>34</v>
      </c>
      <c r="Y252" s="9">
        <f t="shared" si="10"/>
        <v>0</v>
      </c>
      <c r="Z252" t="str">
        <f t="shared" si="11"/>
        <v>สแกนต่าง Cost</v>
      </c>
    </row>
    <row r="253" spans="1:26" x14ac:dyDescent="0.45">
      <c r="B253" t="s">
        <v>26</v>
      </c>
      <c r="C253">
        <v>20054825</v>
      </c>
      <c r="D253" t="s">
        <v>215</v>
      </c>
      <c r="E253" s="8">
        <v>46139.734027777777</v>
      </c>
      <c r="F253" s="8">
        <v>46139.834027777775</v>
      </c>
      <c r="G253" s="9">
        <v>2.4</v>
      </c>
      <c r="H253" s="9">
        <f t="shared" si="9"/>
        <v>1.2999999999999999E-2</v>
      </c>
      <c r="I253" s="9"/>
      <c r="J253" s="9"/>
      <c r="K253" s="9">
        <v>1.2999999999999999E-2</v>
      </c>
      <c r="L253" s="9"/>
      <c r="M253" t="s">
        <v>28</v>
      </c>
      <c r="N253" t="s">
        <v>29</v>
      </c>
      <c r="P253" t="s">
        <v>30</v>
      </c>
      <c r="Q253" t="s">
        <v>31</v>
      </c>
      <c r="R253">
        <v>82640</v>
      </c>
      <c r="S253" t="s">
        <v>42</v>
      </c>
      <c r="T253">
        <v>82611</v>
      </c>
      <c r="U253" t="s">
        <v>43</v>
      </c>
      <c r="V253" t="s">
        <v>43</v>
      </c>
      <c r="W253" t="s">
        <v>42</v>
      </c>
      <c r="X253" t="s">
        <v>38</v>
      </c>
      <c r="Y253" s="9">
        <f t="shared" si="10"/>
        <v>1.2999999999999999E-2</v>
      </c>
      <c r="Z253" t="str">
        <f t="shared" si="11"/>
        <v>สแกนต่าง Cost</v>
      </c>
    </row>
    <row r="254" spans="1:26" x14ac:dyDescent="0.45">
      <c r="B254" t="s">
        <v>26</v>
      </c>
      <c r="C254">
        <v>20220651</v>
      </c>
      <c r="D254" t="s">
        <v>216</v>
      </c>
      <c r="E254" s="8">
        <v>46139.734027777777</v>
      </c>
      <c r="F254" s="8">
        <v>46139.834027777775</v>
      </c>
      <c r="G254" s="9">
        <v>2.4</v>
      </c>
      <c r="H254" s="9">
        <f t="shared" si="9"/>
        <v>1.2999999999999999E-2</v>
      </c>
      <c r="I254" s="9"/>
      <c r="J254" s="9"/>
      <c r="K254" s="9">
        <v>1.2999999999999999E-2</v>
      </c>
      <c r="L254" s="9"/>
      <c r="M254" t="s">
        <v>28</v>
      </c>
      <c r="N254" t="s">
        <v>40</v>
      </c>
      <c r="O254" t="s">
        <v>41</v>
      </c>
      <c r="P254" t="s">
        <v>30</v>
      </c>
      <c r="Q254" t="s">
        <v>31</v>
      </c>
      <c r="R254">
        <v>82640</v>
      </c>
      <c r="S254" t="s">
        <v>42</v>
      </c>
      <c r="T254">
        <v>82611</v>
      </c>
      <c r="U254" t="s">
        <v>43</v>
      </c>
      <c r="V254" t="s">
        <v>43</v>
      </c>
      <c r="W254" t="s">
        <v>42</v>
      </c>
      <c r="X254" t="s">
        <v>38</v>
      </c>
      <c r="Y254" s="9">
        <f t="shared" si="10"/>
        <v>1.2999999999999999E-2</v>
      </c>
      <c r="Z254" t="str">
        <f t="shared" si="11"/>
        <v>สแกนต่าง Cost</v>
      </c>
    </row>
    <row r="255" spans="1:26" x14ac:dyDescent="0.45">
      <c r="B255" t="s">
        <v>26</v>
      </c>
      <c r="C255">
        <v>20198826</v>
      </c>
      <c r="D255" t="s">
        <v>49</v>
      </c>
      <c r="E255" s="8">
        <v>46139.732638888891</v>
      </c>
      <c r="F255" s="8">
        <v>46139.826388888891</v>
      </c>
      <c r="G255" s="9">
        <v>2.25</v>
      </c>
      <c r="H255" s="9">
        <f t="shared" si="9"/>
        <v>1.2E-2</v>
      </c>
      <c r="I255" s="9"/>
      <c r="J255" s="9"/>
      <c r="K255" s="9">
        <v>1.2E-2</v>
      </c>
      <c r="L255" s="9"/>
      <c r="M255" t="s">
        <v>28</v>
      </c>
      <c r="N255" t="s">
        <v>29</v>
      </c>
      <c r="P255" t="s">
        <v>30</v>
      </c>
      <c r="Q255" t="s">
        <v>31</v>
      </c>
      <c r="R255">
        <v>82680</v>
      </c>
      <c r="S255" t="s">
        <v>50</v>
      </c>
      <c r="T255">
        <v>82658</v>
      </c>
      <c r="U255" t="s">
        <v>33</v>
      </c>
      <c r="V255" t="s">
        <v>33</v>
      </c>
      <c r="W255" t="s">
        <v>34</v>
      </c>
      <c r="X255" t="s">
        <v>34</v>
      </c>
      <c r="Y255" s="9">
        <f t="shared" si="10"/>
        <v>1.2E-2</v>
      </c>
      <c r="Z255" t="str">
        <f t="shared" si="11"/>
        <v>สแกนต่าง Cost</v>
      </c>
    </row>
    <row r="256" spans="1:26" x14ac:dyDescent="0.45">
      <c r="B256" t="s">
        <v>26</v>
      </c>
      <c r="C256">
        <v>20344817</v>
      </c>
      <c r="D256" t="s">
        <v>217</v>
      </c>
      <c r="E256" s="8">
        <v>46139.732638888891</v>
      </c>
      <c r="F256" s="8">
        <v>46139.826388888891</v>
      </c>
      <c r="G256" s="9">
        <v>2.25</v>
      </c>
      <c r="H256" s="9">
        <f t="shared" si="9"/>
        <v>1.2E-2</v>
      </c>
      <c r="I256" s="9"/>
      <c r="J256" s="9"/>
      <c r="K256" s="9">
        <v>1.2E-2</v>
      </c>
      <c r="L256" s="9"/>
      <c r="M256" t="s">
        <v>28</v>
      </c>
      <c r="N256" t="s">
        <v>29</v>
      </c>
      <c r="P256" t="s">
        <v>30</v>
      </c>
      <c r="Q256" t="s">
        <v>31</v>
      </c>
      <c r="R256">
        <v>82655</v>
      </c>
      <c r="S256" t="s">
        <v>59</v>
      </c>
      <c r="T256">
        <v>82658</v>
      </c>
      <c r="U256" t="s">
        <v>33</v>
      </c>
      <c r="V256" t="s">
        <v>33</v>
      </c>
      <c r="W256" t="s">
        <v>34</v>
      </c>
      <c r="X256" t="s">
        <v>34</v>
      </c>
      <c r="Y256" s="9">
        <f t="shared" si="10"/>
        <v>1.2E-2</v>
      </c>
      <c r="Z256" t="str">
        <f t="shared" si="11"/>
        <v>สแกนต่าง Cost</v>
      </c>
    </row>
    <row r="257" spans="2:26" x14ac:dyDescent="0.45">
      <c r="B257" t="s">
        <v>26</v>
      </c>
      <c r="C257">
        <v>20038749</v>
      </c>
      <c r="D257" t="s">
        <v>218</v>
      </c>
      <c r="E257" s="8">
        <v>46139.731944444444</v>
      </c>
      <c r="F257" s="8">
        <v>46139.826388888891</v>
      </c>
      <c r="G257" s="9">
        <v>2.2666666666666666</v>
      </c>
      <c r="H257" s="9">
        <f t="shared" si="9"/>
        <v>1.2E-2</v>
      </c>
      <c r="I257" s="9"/>
      <c r="J257" s="9"/>
      <c r="K257" s="9">
        <v>1.2E-2</v>
      </c>
      <c r="L257" s="9"/>
      <c r="M257" t="s">
        <v>28</v>
      </c>
      <c r="N257" t="s">
        <v>40</v>
      </c>
      <c r="O257" t="s">
        <v>41</v>
      </c>
      <c r="P257" t="s">
        <v>30</v>
      </c>
      <c r="Q257" t="s">
        <v>31</v>
      </c>
      <c r="R257">
        <v>82680</v>
      </c>
      <c r="S257" t="s">
        <v>50</v>
      </c>
      <c r="T257">
        <v>82658</v>
      </c>
      <c r="U257" t="s">
        <v>33</v>
      </c>
      <c r="V257" t="s">
        <v>33</v>
      </c>
      <c r="W257" t="s">
        <v>34</v>
      </c>
      <c r="X257" t="s">
        <v>34</v>
      </c>
      <c r="Y257" s="9">
        <f t="shared" si="10"/>
        <v>1.2E-2</v>
      </c>
      <c r="Z257" t="str">
        <f t="shared" si="11"/>
        <v>สแกนต่าง Cost</v>
      </c>
    </row>
    <row r="258" spans="2:26" x14ac:dyDescent="0.45">
      <c r="B258" t="s">
        <v>26</v>
      </c>
      <c r="C258">
        <v>20233956</v>
      </c>
      <c r="D258" t="s">
        <v>219</v>
      </c>
      <c r="E258" s="8">
        <v>46139.731944444444</v>
      </c>
      <c r="F258" s="8">
        <v>46139.826388888891</v>
      </c>
      <c r="G258" s="9">
        <v>2.2666666666666666</v>
      </c>
      <c r="H258" s="9">
        <f t="shared" si="9"/>
        <v>1.2E-2</v>
      </c>
      <c r="I258" s="9"/>
      <c r="J258" s="9"/>
      <c r="K258" s="9">
        <v>1.2E-2</v>
      </c>
      <c r="L258" s="9"/>
      <c r="M258" t="s">
        <v>28</v>
      </c>
      <c r="N258" t="s">
        <v>29</v>
      </c>
      <c r="P258" t="s">
        <v>30</v>
      </c>
      <c r="Q258" t="s">
        <v>31</v>
      </c>
      <c r="R258">
        <v>82680</v>
      </c>
      <c r="S258" t="s">
        <v>50</v>
      </c>
      <c r="T258">
        <v>82658</v>
      </c>
      <c r="U258" t="s">
        <v>33</v>
      </c>
      <c r="V258" t="s">
        <v>33</v>
      </c>
      <c r="W258" t="s">
        <v>34</v>
      </c>
      <c r="X258" t="s">
        <v>34</v>
      </c>
      <c r="Y258" s="9">
        <f t="shared" si="10"/>
        <v>1.2E-2</v>
      </c>
      <c r="Z258" t="str">
        <f t="shared" si="11"/>
        <v>สแกนต่าง Cost</v>
      </c>
    </row>
    <row r="259" spans="2:26" x14ac:dyDescent="0.45">
      <c r="B259" t="s">
        <v>26</v>
      </c>
      <c r="C259">
        <v>20310530</v>
      </c>
      <c r="D259" t="s">
        <v>220</v>
      </c>
      <c r="E259" s="8">
        <v>46139.729861111111</v>
      </c>
      <c r="F259" s="8">
        <v>46139.834027777775</v>
      </c>
      <c r="G259" s="9">
        <v>2.5</v>
      </c>
      <c r="H259" s="9">
        <f t="shared" ref="H259:H322" si="12">SUM(I259:L259)</f>
        <v>1.2999999999999999E-2</v>
      </c>
      <c r="I259" s="9"/>
      <c r="J259" s="9"/>
      <c r="K259" s="9">
        <v>1.2999999999999999E-2</v>
      </c>
      <c r="L259" s="9"/>
      <c r="M259" t="s">
        <v>28</v>
      </c>
      <c r="N259" t="s">
        <v>40</v>
      </c>
      <c r="O259" t="s">
        <v>41</v>
      </c>
      <c r="P259" t="s">
        <v>30</v>
      </c>
      <c r="Q259" t="s">
        <v>31</v>
      </c>
      <c r="R259">
        <v>82640</v>
      </c>
      <c r="S259" t="s">
        <v>42</v>
      </c>
      <c r="T259">
        <v>82611</v>
      </c>
      <c r="U259" t="s">
        <v>43</v>
      </c>
      <c r="V259" t="s">
        <v>43</v>
      </c>
      <c r="W259" t="s">
        <v>42</v>
      </c>
      <c r="X259" t="s">
        <v>38</v>
      </c>
      <c r="Y259" s="9">
        <f t="shared" ref="Y259:Y322" si="13">SUM(J259:L259)</f>
        <v>1.2999999999999999E-2</v>
      </c>
      <c r="Z259" t="str">
        <f t="shared" ref="Z259:Z322" si="14">IF(R259=T259,"สแกน Cost ตัวเอง","สแกนต่าง Cost")</f>
        <v>สแกนต่าง Cost</v>
      </c>
    </row>
    <row r="260" spans="2:26" x14ac:dyDescent="0.45">
      <c r="B260" t="s">
        <v>26</v>
      </c>
      <c r="C260">
        <v>20340657</v>
      </c>
      <c r="D260" t="s">
        <v>221</v>
      </c>
      <c r="E260" s="8">
        <v>46139.729861111111</v>
      </c>
      <c r="F260" s="8">
        <v>46139.827777777777</v>
      </c>
      <c r="G260" s="9">
        <v>2.35</v>
      </c>
      <c r="H260" s="9">
        <f t="shared" si="12"/>
        <v>1.2999999999999999E-2</v>
      </c>
      <c r="I260" s="9"/>
      <c r="J260" s="9"/>
      <c r="K260" s="9">
        <v>1.2999999999999999E-2</v>
      </c>
      <c r="L260" s="9"/>
      <c r="M260" t="s">
        <v>28</v>
      </c>
      <c r="N260" t="s">
        <v>40</v>
      </c>
      <c r="O260" t="s">
        <v>41</v>
      </c>
      <c r="P260" t="s">
        <v>30</v>
      </c>
      <c r="Q260" t="s">
        <v>31</v>
      </c>
      <c r="R260">
        <v>82640</v>
      </c>
      <c r="S260" t="s">
        <v>42</v>
      </c>
      <c r="T260">
        <v>82611</v>
      </c>
      <c r="U260" t="s">
        <v>43</v>
      </c>
      <c r="V260" t="s">
        <v>43</v>
      </c>
      <c r="W260" t="s">
        <v>42</v>
      </c>
      <c r="X260" t="s">
        <v>38</v>
      </c>
      <c r="Y260" s="9">
        <f t="shared" si="13"/>
        <v>1.2999999999999999E-2</v>
      </c>
      <c r="Z260" t="str">
        <f t="shared" si="14"/>
        <v>สแกนต่าง Cost</v>
      </c>
    </row>
    <row r="261" spans="2:26" x14ac:dyDescent="0.45">
      <c r="B261" t="s">
        <v>26</v>
      </c>
      <c r="C261">
        <v>20153440</v>
      </c>
      <c r="D261" t="s">
        <v>222</v>
      </c>
      <c r="E261" s="8">
        <v>46139.729166666664</v>
      </c>
      <c r="F261" s="8">
        <v>46139.834027777775</v>
      </c>
      <c r="G261" s="9">
        <v>2.5166666666666666</v>
      </c>
      <c r="H261" s="9">
        <f t="shared" si="12"/>
        <v>1.2999999999999999E-2</v>
      </c>
      <c r="I261" s="9"/>
      <c r="J261" s="9"/>
      <c r="K261" s="9">
        <v>1.2999999999999999E-2</v>
      </c>
      <c r="L261" s="9"/>
      <c r="M261" t="s">
        <v>28</v>
      </c>
      <c r="N261" t="s">
        <v>40</v>
      </c>
      <c r="O261" t="s">
        <v>41</v>
      </c>
      <c r="P261" t="s">
        <v>30</v>
      </c>
      <c r="Q261" t="s">
        <v>31</v>
      </c>
      <c r="R261">
        <v>82640</v>
      </c>
      <c r="S261" t="s">
        <v>42</v>
      </c>
      <c r="T261">
        <v>82611</v>
      </c>
      <c r="U261" t="s">
        <v>43</v>
      </c>
      <c r="V261" t="s">
        <v>43</v>
      </c>
      <c r="W261" t="s">
        <v>42</v>
      </c>
      <c r="X261" t="s">
        <v>38</v>
      </c>
      <c r="Y261" s="9">
        <f t="shared" si="13"/>
        <v>1.2999999999999999E-2</v>
      </c>
      <c r="Z261" t="str">
        <f t="shared" si="14"/>
        <v>สแกนต่าง Cost</v>
      </c>
    </row>
    <row r="262" spans="2:26" x14ac:dyDescent="0.45">
      <c r="B262" t="s">
        <v>53</v>
      </c>
      <c r="C262">
        <v>20020013</v>
      </c>
      <c r="D262" t="s">
        <v>223</v>
      </c>
      <c r="E262" s="8">
        <v>46139.724305555559</v>
      </c>
      <c r="F262" s="8">
        <v>46139.826388888891</v>
      </c>
      <c r="G262" s="9">
        <v>2.4500000000000002</v>
      </c>
      <c r="H262" s="9">
        <f t="shared" si="12"/>
        <v>1.2999999999999999E-2</v>
      </c>
      <c r="I262" s="9"/>
      <c r="J262" s="9"/>
      <c r="K262" s="9">
        <v>1.2999999999999999E-2</v>
      </c>
      <c r="L262" s="9"/>
      <c r="M262" t="s">
        <v>28</v>
      </c>
      <c r="N262" t="s">
        <v>40</v>
      </c>
      <c r="O262" t="s">
        <v>41</v>
      </c>
      <c r="P262" t="s">
        <v>30</v>
      </c>
      <c r="Q262" t="s">
        <v>31</v>
      </c>
      <c r="R262">
        <v>82611</v>
      </c>
      <c r="S262" t="s">
        <v>43</v>
      </c>
      <c r="T262">
        <v>82640</v>
      </c>
      <c r="U262" t="s">
        <v>42</v>
      </c>
      <c r="V262" t="s">
        <v>70</v>
      </c>
      <c r="W262" t="s">
        <v>71</v>
      </c>
      <c r="X262" t="s">
        <v>72</v>
      </c>
      <c r="Y262" s="9">
        <f t="shared" si="13"/>
        <v>1.2999999999999999E-2</v>
      </c>
      <c r="Z262" t="str">
        <f t="shared" si="14"/>
        <v>สแกนต่าง Cost</v>
      </c>
    </row>
    <row r="263" spans="2:26" x14ac:dyDescent="0.45">
      <c r="B263" t="s">
        <v>53</v>
      </c>
      <c r="C263">
        <v>20334092</v>
      </c>
      <c r="D263" t="s">
        <v>224</v>
      </c>
      <c r="E263" s="8">
        <v>46139.724305555559</v>
      </c>
      <c r="F263" s="8">
        <v>46139.82708333333</v>
      </c>
      <c r="G263" s="9">
        <v>2.4666666666666668</v>
      </c>
      <c r="H263" s="9">
        <f t="shared" si="12"/>
        <v>1.2999999999999999E-2</v>
      </c>
      <c r="I263" s="9"/>
      <c r="J263" s="9"/>
      <c r="K263" s="9">
        <v>1.2999999999999999E-2</v>
      </c>
      <c r="L263" s="9"/>
      <c r="M263" t="s">
        <v>28</v>
      </c>
      <c r="N263" t="s">
        <v>40</v>
      </c>
      <c r="O263" t="s">
        <v>41</v>
      </c>
      <c r="P263" t="s">
        <v>30</v>
      </c>
      <c r="Q263" t="s">
        <v>31</v>
      </c>
      <c r="R263">
        <v>82611</v>
      </c>
      <c r="S263" t="s">
        <v>43</v>
      </c>
      <c r="T263">
        <v>82640</v>
      </c>
      <c r="U263" t="s">
        <v>42</v>
      </c>
      <c r="V263" t="s">
        <v>70</v>
      </c>
      <c r="W263" t="s">
        <v>71</v>
      </c>
      <c r="X263" t="s">
        <v>72</v>
      </c>
      <c r="Y263" s="9">
        <f t="shared" si="13"/>
        <v>1.2999999999999999E-2</v>
      </c>
      <c r="Z263" t="str">
        <f t="shared" si="14"/>
        <v>สแกนต่าง Cost</v>
      </c>
    </row>
    <row r="264" spans="2:26" x14ac:dyDescent="0.45">
      <c r="B264" t="s">
        <v>53</v>
      </c>
      <c r="C264">
        <v>20376910</v>
      </c>
      <c r="D264" t="s">
        <v>48</v>
      </c>
      <c r="E264" s="8">
        <v>46139.724305555559</v>
      </c>
      <c r="F264" s="8">
        <v>46139.828472222223</v>
      </c>
      <c r="G264" s="9">
        <v>2.5</v>
      </c>
      <c r="H264" s="9">
        <f t="shared" si="12"/>
        <v>1.2999999999999999E-2</v>
      </c>
      <c r="I264" s="9"/>
      <c r="J264" s="9"/>
      <c r="K264" s="9">
        <v>1.2999999999999999E-2</v>
      </c>
      <c r="L264" s="9"/>
      <c r="M264" t="s">
        <v>28</v>
      </c>
      <c r="N264" t="s">
        <v>40</v>
      </c>
      <c r="O264" t="s">
        <v>41</v>
      </c>
      <c r="P264" t="s">
        <v>30</v>
      </c>
      <c r="Q264" t="s">
        <v>31</v>
      </c>
      <c r="R264">
        <v>82611</v>
      </c>
      <c r="S264" t="s">
        <v>43</v>
      </c>
      <c r="T264">
        <v>82640</v>
      </c>
      <c r="U264" t="s">
        <v>42</v>
      </c>
      <c r="V264" t="s">
        <v>70</v>
      </c>
      <c r="W264" t="s">
        <v>71</v>
      </c>
      <c r="X264" t="s">
        <v>72</v>
      </c>
      <c r="Y264" s="9">
        <f t="shared" si="13"/>
        <v>1.2999999999999999E-2</v>
      </c>
      <c r="Z264" t="str">
        <f t="shared" si="14"/>
        <v>สแกนต่าง Cost</v>
      </c>
    </row>
    <row r="265" spans="2:26" x14ac:dyDescent="0.45">
      <c r="B265" t="s">
        <v>53</v>
      </c>
      <c r="C265">
        <v>20153442</v>
      </c>
      <c r="D265" t="s">
        <v>225</v>
      </c>
      <c r="E265" s="8">
        <v>46139.723611111112</v>
      </c>
      <c r="F265" s="8">
        <v>46139.826388888891</v>
      </c>
      <c r="G265" s="9">
        <v>2.4666666666666668</v>
      </c>
      <c r="H265" s="9">
        <f t="shared" si="12"/>
        <v>1.2999999999999999E-2</v>
      </c>
      <c r="I265" s="9"/>
      <c r="J265" s="9"/>
      <c r="K265" s="9">
        <v>1.2999999999999999E-2</v>
      </c>
      <c r="L265" s="9"/>
      <c r="M265" t="s">
        <v>28</v>
      </c>
      <c r="N265" t="s">
        <v>40</v>
      </c>
      <c r="O265" t="s">
        <v>41</v>
      </c>
      <c r="P265" t="s">
        <v>30</v>
      </c>
      <c r="Q265" t="s">
        <v>31</v>
      </c>
      <c r="R265">
        <v>82611</v>
      </c>
      <c r="S265" t="s">
        <v>43</v>
      </c>
      <c r="T265">
        <v>82640</v>
      </c>
      <c r="U265" t="s">
        <v>42</v>
      </c>
      <c r="V265" t="s">
        <v>70</v>
      </c>
      <c r="W265" t="s">
        <v>71</v>
      </c>
      <c r="X265" t="s">
        <v>72</v>
      </c>
      <c r="Y265" s="9">
        <f t="shared" si="13"/>
        <v>1.2999999999999999E-2</v>
      </c>
      <c r="Z265" t="str">
        <f t="shared" si="14"/>
        <v>สแกนต่าง Cost</v>
      </c>
    </row>
    <row r="266" spans="2:26" x14ac:dyDescent="0.45">
      <c r="B266" t="s">
        <v>53</v>
      </c>
      <c r="C266">
        <v>20186595</v>
      </c>
      <c r="D266" t="s">
        <v>226</v>
      </c>
      <c r="E266" s="8">
        <v>46139.723611111112</v>
      </c>
      <c r="F266" s="8">
        <v>46139.826388888891</v>
      </c>
      <c r="G266" s="9">
        <v>2.4666666666666668</v>
      </c>
      <c r="H266" s="9">
        <f t="shared" si="12"/>
        <v>1.2999999999999999E-2</v>
      </c>
      <c r="I266" s="9"/>
      <c r="J266" s="9"/>
      <c r="K266" s="9">
        <v>1.2999999999999999E-2</v>
      </c>
      <c r="L266" s="9"/>
      <c r="M266" t="s">
        <v>28</v>
      </c>
      <c r="N266" t="s">
        <v>40</v>
      </c>
      <c r="O266" t="s">
        <v>41</v>
      </c>
      <c r="P266" t="s">
        <v>30</v>
      </c>
      <c r="Q266" t="s">
        <v>31</v>
      </c>
      <c r="R266">
        <v>82611</v>
      </c>
      <c r="S266" t="s">
        <v>43</v>
      </c>
      <c r="T266">
        <v>82640</v>
      </c>
      <c r="U266" t="s">
        <v>42</v>
      </c>
      <c r="V266" t="s">
        <v>70</v>
      </c>
      <c r="W266" t="s">
        <v>71</v>
      </c>
      <c r="X266" t="s">
        <v>72</v>
      </c>
      <c r="Y266" s="9">
        <f t="shared" si="13"/>
        <v>1.2999999999999999E-2</v>
      </c>
      <c r="Z266" t="str">
        <f t="shared" si="14"/>
        <v>สแกนต่าง Cost</v>
      </c>
    </row>
    <row r="267" spans="2:26" x14ac:dyDescent="0.45">
      <c r="B267" t="s">
        <v>26</v>
      </c>
      <c r="C267">
        <v>20332134</v>
      </c>
      <c r="D267" t="s">
        <v>156</v>
      </c>
      <c r="E267" s="8">
        <v>46139.722916666666</v>
      </c>
      <c r="F267" s="8">
        <v>46139.8125</v>
      </c>
      <c r="G267" s="9">
        <v>2.15</v>
      </c>
      <c r="H267" s="9">
        <f t="shared" si="12"/>
        <v>1.0999999999999999E-2</v>
      </c>
      <c r="I267" s="9"/>
      <c r="J267" s="9"/>
      <c r="K267" s="9">
        <v>1.0999999999999999E-2</v>
      </c>
      <c r="L267" s="9"/>
      <c r="M267" t="s">
        <v>28</v>
      </c>
      <c r="N267" t="s">
        <v>40</v>
      </c>
      <c r="O267" t="s">
        <v>227</v>
      </c>
      <c r="P267" t="s">
        <v>30</v>
      </c>
      <c r="Q267" t="s">
        <v>31</v>
      </c>
      <c r="R267">
        <v>82640</v>
      </c>
      <c r="S267" t="s">
        <v>42</v>
      </c>
      <c r="T267">
        <v>82612</v>
      </c>
      <c r="U267" t="s">
        <v>153</v>
      </c>
      <c r="V267" t="s">
        <v>154</v>
      </c>
      <c r="W267" t="s">
        <v>44</v>
      </c>
      <c r="X267" t="s">
        <v>44</v>
      </c>
      <c r="Y267" s="9">
        <f t="shared" si="13"/>
        <v>1.0999999999999999E-2</v>
      </c>
      <c r="Z267" t="str">
        <f t="shared" si="14"/>
        <v>สแกนต่าง Cost</v>
      </c>
    </row>
    <row r="268" spans="2:26" x14ac:dyDescent="0.45">
      <c r="B268" t="s">
        <v>53</v>
      </c>
      <c r="C268">
        <v>20357413</v>
      </c>
      <c r="D268" t="s">
        <v>48</v>
      </c>
      <c r="E268" s="8">
        <v>46139.722916666666</v>
      </c>
      <c r="F268" s="8">
        <v>46139.82708333333</v>
      </c>
      <c r="G268" s="9">
        <v>2.5</v>
      </c>
      <c r="H268" s="9">
        <f t="shared" si="12"/>
        <v>1.2999999999999999E-2</v>
      </c>
      <c r="I268" s="9"/>
      <c r="J268" s="9"/>
      <c r="K268" s="9">
        <v>1.2999999999999999E-2</v>
      </c>
      <c r="L268" s="9"/>
      <c r="M268" t="s">
        <v>28</v>
      </c>
      <c r="N268" t="s">
        <v>40</v>
      </c>
      <c r="O268" t="s">
        <v>41</v>
      </c>
      <c r="P268" t="s">
        <v>30</v>
      </c>
      <c r="Q268" t="s">
        <v>31</v>
      </c>
      <c r="R268">
        <v>82611</v>
      </c>
      <c r="S268" t="s">
        <v>43</v>
      </c>
      <c r="T268">
        <v>82640</v>
      </c>
      <c r="U268" t="s">
        <v>42</v>
      </c>
      <c r="V268" t="s">
        <v>70</v>
      </c>
      <c r="W268" t="s">
        <v>71</v>
      </c>
      <c r="X268" t="s">
        <v>72</v>
      </c>
      <c r="Y268" s="9">
        <f t="shared" si="13"/>
        <v>1.2999999999999999E-2</v>
      </c>
      <c r="Z268" t="str">
        <f t="shared" si="14"/>
        <v>สแกนต่าง Cost</v>
      </c>
    </row>
    <row r="269" spans="2:26" x14ac:dyDescent="0.45">
      <c r="B269" t="s">
        <v>53</v>
      </c>
      <c r="C269">
        <v>20310534</v>
      </c>
      <c r="D269" t="s">
        <v>228</v>
      </c>
      <c r="E269" s="8">
        <v>46139.722222222219</v>
      </c>
      <c r="F269" s="8">
        <v>46139.826388888891</v>
      </c>
      <c r="G269" s="9">
        <v>2.5</v>
      </c>
      <c r="H269" s="9">
        <f t="shared" si="12"/>
        <v>1.2999999999999999E-2</v>
      </c>
      <c r="I269" s="9"/>
      <c r="J269" s="9"/>
      <c r="K269" s="9">
        <v>1.2999999999999999E-2</v>
      </c>
      <c r="L269" s="9"/>
      <c r="M269" t="s">
        <v>28</v>
      </c>
      <c r="N269" t="s">
        <v>40</v>
      </c>
      <c r="O269" t="s">
        <v>41</v>
      </c>
      <c r="P269" t="s">
        <v>30</v>
      </c>
      <c r="Q269" t="s">
        <v>31</v>
      </c>
      <c r="R269">
        <v>82611</v>
      </c>
      <c r="S269" t="s">
        <v>43</v>
      </c>
      <c r="T269">
        <v>82640</v>
      </c>
      <c r="U269" t="s">
        <v>42</v>
      </c>
      <c r="V269" t="s">
        <v>70</v>
      </c>
      <c r="W269" t="s">
        <v>71</v>
      </c>
      <c r="X269" t="s">
        <v>72</v>
      </c>
      <c r="Y269" s="9">
        <f t="shared" si="13"/>
        <v>1.2999999999999999E-2</v>
      </c>
      <c r="Z269" t="str">
        <f t="shared" si="14"/>
        <v>สแกนต่าง Cost</v>
      </c>
    </row>
    <row r="270" spans="2:26" x14ac:dyDescent="0.45">
      <c r="B270" t="s">
        <v>53</v>
      </c>
      <c r="C270">
        <v>20399661</v>
      </c>
      <c r="D270" t="s">
        <v>229</v>
      </c>
      <c r="E270" s="8">
        <v>46139.5625</v>
      </c>
      <c r="F270" s="8">
        <v>46139.729166666664</v>
      </c>
      <c r="G270" s="9">
        <v>4</v>
      </c>
      <c r="H270" s="9">
        <f t="shared" si="12"/>
        <v>2.1000000000000001E-2</v>
      </c>
      <c r="I270" s="9">
        <v>2.1000000000000001E-2</v>
      </c>
      <c r="J270" s="9"/>
      <c r="K270" s="9"/>
      <c r="L270" s="9"/>
      <c r="M270" t="s">
        <v>65</v>
      </c>
      <c r="N270" t="s">
        <v>29</v>
      </c>
      <c r="P270" t="s">
        <v>30</v>
      </c>
      <c r="Q270" t="s">
        <v>31</v>
      </c>
      <c r="R270">
        <v>82611</v>
      </c>
      <c r="S270" t="s">
        <v>43</v>
      </c>
      <c r="T270">
        <v>82640</v>
      </c>
      <c r="U270" t="s">
        <v>42</v>
      </c>
      <c r="V270" t="s">
        <v>70</v>
      </c>
      <c r="W270" t="s">
        <v>47</v>
      </c>
      <c r="X270" t="s">
        <v>95</v>
      </c>
      <c r="Y270" s="9">
        <f t="shared" si="13"/>
        <v>0</v>
      </c>
      <c r="Z270" t="str">
        <f t="shared" si="14"/>
        <v>สแกนต่าง Cost</v>
      </c>
    </row>
    <row r="271" spans="2:26" x14ac:dyDescent="0.45">
      <c r="B271" t="s">
        <v>53</v>
      </c>
      <c r="C271">
        <v>20018899</v>
      </c>
      <c r="D271" t="s">
        <v>64</v>
      </c>
      <c r="E271" s="8">
        <v>46139.541666666664</v>
      </c>
      <c r="F271" s="8">
        <v>46139.729166666664</v>
      </c>
      <c r="G271" s="9">
        <v>4.5</v>
      </c>
      <c r="H271" s="9">
        <f t="shared" si="12"/>
        <v>2.4E-2</v>
      </c>
      <c r="I271" s="9">
        <v>2.4E-2</v>
      </c>
      <c r="J271" s="9"/>
      <c r="K271" s="9"/>
      <c r="L271" s="9"/>
      <c r="M271" t="s">
        <v>65</v>
      </c>
      <c r="N271" t="s">
        <v>29</v>
      </c>
      <c r="P271" t="s">
        <v>30</v>
      </c>
      <c r="Q271" t="s">
        <v>31</v>
      </c>
      <c r="R271">
        <v>82640</v>
      </c>
      <c r="S271" t="s">
        <v>42</v>
      </c>
      <c r="T271">
        <v>82652</v>
      </c>
      <c r="U271" t="s">
        <v>46</v>
      </c>
      <c r="V271" t="s">
        <v>66</v>
      </c>
      <c r="W271" t="s">
        <v>37</v>
      </c>
      <c r="X271" t="s">
        <v>34</v>
      </c>
      <c r="Y271" s="9">
        <f t="shared" si="13"/>
        <v>0</v>
      </c>
      <c r="Z271" t="str">
        <f t="shared" si="14"/>
        <v>สแกนต่าง Cost</v>
      </c>
    </row>
    <row r="272" spans="2:26" x14ac:dyDescent="0.45">
      <c r="B272" t="s">
        <v>53</v>
      </c>
      <c r="C272">
        <v>20220646</v>
      </c>
      <c r="D272" t="s">
        <v>67</v>
      </c>
      <c r="E272" s="8">
        <v>46139.541666666664</v>
      </c>
      <c r="F272" s="8">
        <v>46139.729166666664</v>
      </c>
      <c r="G272" s="9">
        <v>4.5</v>
      </c>
      <c r="H272" s="9">
        <f t="shared" si="12"/>
        <v>2.4E-2</v>
      </c>
      <c r="I272" s="9">
        <v>2.4E-2</v>
      </c>
      <c r="J272" s="9"/>
      <c r="K272" s="9"/>
      <c r="L272" s="9"/>
      <c r="M272" t="s">
        <v>65</v>
      </c>
      <c r="N272" t="s">
        <v>29</v>
      </c>
      <c r="P272" t="s">
        <v>30</v>
      </c>
      <c r="Q272" t="s">
        <v>31</v>
      </c>
      <c r="R272">
        <v>82640</v>
      </c>
      <c r="S272" t="s">
        <v>42</v>
      </c>
      <c r="T272">
        <v>82652</v>
      </c>
      <c r="U272" t="s">
        <v>46</v>
      </c>
      <c r="V272" t="s">
        <v>66</v>
      </c>
      <c r="W272" t="s">
        <v>37</v>
      </c>
      <c r="X272" t="s">
        <v>34</v>
      </c>
      <c r="Y272" s="9">
        <f t="shared" si="13"/>
        <v>0</v>
      </c>
      <c r="Z272" t="str">
        <f t="shared" si="14"/>
        <v>สแกนต่าง Cost</v>
      </c>
    </row>
    <row r="273" spans="1:26" x14ac:dyDescent="0.45">
      <c r="A273">
        <v>27078</v>
      </c>
      <c r="B273" t="s">
        <v>53</v>
      </c>
      <c r="C273">
        <v>20048905</v>
      </c>
      <c r="D273" t="s">
        <v>73</v>
      </c>
      <c r="E273" s="8">
        <v>46139.486805555556</v>
      </c>
      <c r="F273" s="8">
        <v>46139.980555555558</v>
      </c>
      <c r="G273" s="9">
        <v>11.85</v>
      </c>
      <c r="H273" s="9">
        <f t="shared" si="12"/>
        <v>6.3E-2</v>
      </c>
      <c r="I273" s="9">
        <v>4.4999999999999998E-2</v>
      </c>
      <c r="J273" s="9"/>
      <c r="K273" s="9">
        <v>1.7999999999999999E-2</v>
      </c>
      <c r="L273" s="9"/>
      <c r="M273" t="s">
        <v>28</v>
      </c>
      <c r="N273" t="s">
        <v>29</v>
      </c>
      <c r="P273" t="s">
        <v>30</v>
      </c>
      <c r="Q273" t="s">
        <v>31</v>
      </c>
      <c r="R273">
        <v>82409</v>
      </c>
      <c r="S273" t="s">
        <v>74</v>
      </c>
      <c r="T273">
        <v>82664</v>
      </c>
      <c r="U273" t="s">
        <v>75</v>
      </c>
      <c r="V273" t="s">
        <v>75</v>
      </c>
      <c r="W273" t="s">
        <v>74</v>
      </c>
      <c r="X273" t="s">
        <v>74</v>
      </c>
      <c r="Y273" s="9">
        <f t="shared" si="13"/>
        <v>1.7999999999999999E-2</v>
      </c>
      <c r="Z273" t="str">
        <f t="shared" si="14"/>
        <v>สแกนต่าง Cost</v>
      </c>
    </row>
    <row r="274" spans="1:26" x14ac:dyDescent="0.45">
      <c r="B274" t="s">
        <v>53</v>
      </c>
      <c r="C274">
        <v>20342012</v>
      </c>
      <c r="D274" t="s">
        <v>230</v>
      </c>
      <c r="E274" s="8">
        <v>46139.395833333336</v>
      </c>
      <c r="F274" s="8">
        <v>46139.729166666664</v>
      </c>
      <c r="G274" s="9">
        <v>7</v>
      </c>
      <c r="H274" s="9">
        <f t="shared" si="12"/>
        <v>3.6999999999999998E-2</v>
      </c>
      <c r="I274" s="9">
        <v>3.6999999999999998E-2</v>
      </c>
      <c r="J274" s="9"/>
      <c r="K274" s="9"/>
      <c r="L274" s="9"/>
      <c r="M274" t="s">
        <v>65</v>
      </c>
      <c r="N274" t="s">
        <v>29</v>
      </c>
      <c r="P274" t="s">
        <v>30</v>
      </c>
      <c r="Q274" t="s">
        <v>31</v>
      </c>
      <c r="R274">
        <v>82611</v>
      </c>
      <c r="S274" t="s">
        <v>43</v>
      </c>
      <c r="T274">
        <v>82640</v>
      </c>
      <c r="U274" t="s">
        <v>42</v>
      </c>
      <c r="V274" t="s">
        <v>70</v>
      </c>
      <c r="W274" t="s">
        <v>47</v>
      </c>
      <c r="X274" t="s">
        <v>95</v>
      </c>
      <c r="Y274" s="9">
        <f t="shared" si="13"/>
        <v>0</v>
      </c>
      <c r="Z274" t="str">
        <f t="shared" si="14"/>
        <v>สแกนต่าง Cost</v>
      </c>
    </row>
    <row r="275" spans="1:26" x14ac:dyDescent="0.45">
      <c r="B275" t="s">
        <v>53</v>
      </c>
      <c r="C275">
        <v>20403255</v>
      </c>
      <c r="D275" t="s">
        <v>231</v>
      </c>
      <c r="E275" s="8">
        <v>46139.395833333336</v>
      </c>
      <c r="F275" s="8">
        <v>46139.729166666664</v>
      </c>
      <c r="G275" s="9">
        <v>7</v>
      </c>
      <c r="H275" s="9">
        <f t="shared" si="12"/>
        <v>3.6999999999999998E-2</v>
      </c>
      <c r="I275" s="9">
        <v>3.6999999999999998E-2</v>
      </c>
      <c r="J275" s="9"/>
      <c r="K275" s="9"/>
      <c r="L275" s="9"/>
      <c r="M275" t="s">
        <v>48</v>
      </c>
      <c r="N275" t="s">
        <v>48</v>
      </c>
      <c r="P275" t="s">
        <v>30</v>
      </c>
      <c r="Q275" t="s">
        <v>31</v>
      </c>
      <c r="R275">
        <v>82611</v>
      </c>
      <c r="S275" t="s">
        <v>43</v>
      </c>
      <c r="T275">
        <v>82640</v>
      </c>
      <c r="U275" t="s">
        <v>42</v>
      </c>
      <c r="V275" t="s">
        <v>70</v>
      </c>
      <c r="W275" t="s">
        <v>47</v>
      </c>
      <c r="X275" t="s">
        <v>95</v>
      </c>
      <c r="Y275" s="9">
        <f t="shared" si="13"/>
        <v>0</v>
      </c>
      <c r="Z275" t="str">
        <f t="shared" si="14"/>
        <v>สแกนต่าง Cost</v>
      </c>
    </row>
    <row r="276" spans="1:26" x14ac:dyDescent="0.45">
      <c r="B276" t="s">
        <v>26</v>
      </c>
      <c r="C276">
        <v>20031838</v>
      </c>
      <c r="D276" t="s">
        <v>143</v>
      </c>
      <c r="E276" s="8">
        <v>46139.38958333333</v>
      </c>
      <c r="F276" s="8">
        <v>46139.911111111112</v>
      </c>
      <c r="G276" s="9">
        <v>12.516666666666667</v>
      </c>
      <c r="H276" s="9">
        <f t="shared" si="12"/>
        <v>6.6000000000000003E-2</v>
      </c>
      <c r="I276" s="9">
        <v>4.4999999999999998E-2</v>
      </c>
      <c r="J276" s="9"/>
      <c r="K276" s="9">
        <v>2.1000000000000001E-2</v>
      </c>
      <c r="L276" s="9"/>
      <c r="M276" t="s">
        <v>28</v>
      </c>
      <c r="N276" t="s">
        <v>40</v>
      </c>
      <c r="O276" t="s">
        <v>140</v>
      </c>
      <c r="P276" t="s">
        <v>30</v>
      </c>
      <c r="Q276" t="s">
        <v>31</v>
      </c>
      <c r="R276">
        <v>82652</v>
      </c>
      <c r="S276" t="s">
        <v>46</v>
      </c>
      <c r="T276">
        <v>82658</v>
      </c>
      <c r="U276" t="s">
        <v>33</v>
      </c>
      <c r="V276" t="s">
        <v>33</v>
      </c>
      <c r="W276" t="s">
        <v>37</v>
      </c>
      <c r="X276" t="s">
        <v>38</v>
      </c>
      <c r="Y276" s="9">
        <f t="shared" si="13"/>
        <v>2.1000000000000001E-2</v>
      </c>
      <c r="Z276" t="str">
        <f t="shared" si="14"/>
        <v>สแกนต่าง Cost</v>
      </c>
    </row>
    <row r="277" spans="1:26" x14ac:dyDescent="0.45">
      <c r="B277" t="s">
        <v>26</v>
      </c>
      <c r="C277">
        <v>20403192</v>
      </c>
      <c r="D277" t="s">
        <v>123</v>
      </c>
      <c r="E277" s="8">
        <v>46139.365277777775</v>
      </c>
      <c r="F277" s="8">
        <v>46139.729166666664</v>
      </c>
      <c r="G277" s="9">
        <v>7.7333333333333325</v>
      </c>
      <c r="H277" s="9">
        <f t="shared" si="12"/>
        <v>4.1000000000000002E-2</v>
      </c>
      <c r="I277" s="9">
        <v>4.1000000000000002E-2</v>
      </c>
      <c r="J277" s="9"/>
      <c r="K277" s="9"/>
      <c r="L277" s="9"/>
      <c r="M277" t="s">
        <v>48</v>
      </c>
      <c r="N277" t="s">
        <v>48</v>
      </c>
      <c r="P277" t="s">
        <v>30</v>
      </c>
      <c r="Q277" t="s">
        <v>31</v>
      </c>
      <c r="R277">
        <v>82400</v>
      </c>
      <c r="S277" t="s">
        <v>83</v>
      </c>
      <c r="T277">
        <v>82658</v>
      </c>
      <c r="U277" t="s">
        <v>33</v>
      </c>
      <c r="V277" t="s">
        <v>33</v>
      </c>
      <c r="W277" t="s">
        <v>34</v>
      </c>
      <c r="X277" t="s">
        <v>34</v>
      </c>
      <c r="Y277" s="9">
        <f t="shared" si="13"/>
        <v>0</v>
      </c>
      <c r="Z277" t="str">
        <f t="shared" si="14"/>
        <v>สแกนต่าง Cost</v>
      </c>
    </row>
    <row r="278" spans="1:26" x14ac:dyDescent="0.45">
      <c r="B278" t="s">
        <v>26</v>
      </c>
      <c r="C278">
        <v>20403191</v>
      </c>
      <c r="D278" t="s">
        <v>122</v>
      </c>
      <c r="E278" s="8">
        <v>46139.364583333336</v>
      </c>
      <c r="F278" s="8">
        <v>46139.729166666664</v>
      </c>
      <c r="G278" s="9">
        <v>7.75</v>
      </c>
      <c r="H278" s="9">
        <f t="shared" si="12"/>
        <v>4.1000000000000002E-2</v>
      </c>
      <c r="I278" s="9">
        <v>4.1000000000000002E-2</v>
      </c>
      <c r="J278" s="9"/>
      <c r="K278" s="9"/>
      <c r="L278" s="9"/>
      <c r="M278" t="s">
        <v>48</v>
      </c>
      <c r="N278" t="s">
        <v>48</v>
      </c>
      <c r="P278" t="s">
        <v>30</v>
      </c>
      <c r="Q278" t="s">
        <v>31</v>
      </c>
      <c r="R278">
        <v>82400</v>
      </c>
      <c r="S278" t="s">
        <v>83</v>
      </c>
      <c r="T278">
        <v>82658</v>
      </c>
      <c r="U278" t="s">
        <v>33</v>
      </c>
      <c r="V278" t="s">
        <v>33</v>
      </c>
      <c r="W278" t="s">
        <v>34</v>
      </c>
      <c r="X278" t="s">
        <v>34</v>
      </c>
      <c r="Y278" s="9">
        <f t="shared" si="13"/>
        <v>0</v>
      </c>
      <c r="Z278" t="str">
        <f t="shared" si="14"/>
        <v>สแกนต่าง Cost</v>
      </c>
    </row>
    <row r="279" spans="1:26" x14ac:dyDescent="0.45">
      <c r="B279" t="s">
        <v>26</v>
      </c>
      <c r="C279">
        <v>20403252</v>
      </c>
      <c r="D279" t="s">
        <v>124</v>
      </c>
      <c r="E279" s="8">
        <v>46139.364583333336</v>
      </c>
      <c r="F279" s="8">
        <v>46139.710416666669</v>
      </c>
      <c r="G279" s="9">
        <v>7.3000000000000007</v>
      </c>
      <c r="H279" s="9">
        <f t="shared" si="12"/>
        <v>3.9E-2</v>
      </c>
      <c r="I279" s="9">
        <v>3.9E-2</v>
      </c>
      <c r="J279" s="9"/>
      <c r="K279" s="9"/>
      <c r="L279" s="9"/>
      <c r="M279" t="s">
        <v>48</v>
      </c>
      <c r="N279" t="s">
        <v>48</v>
      </c>
      <c r="P279" t="s">
        <v>30</v>
      </c>
      <c r="Q279" t="s">
        <v>31</v>
      </c>
      <c r="R279">
        <v>82400</v>
      </c>
      <c r="S279" t="s">
        <v>83</v>
      </c>
      <c r="T279">
        <v>82658</v>
      </c>
      <c r="U279" t="s">
        <v>33</v>
      </c>
      <c r="V279" t="s">
        <v>33</v>
      </c>
      <c r="W279" t="s">
        <v>34</v>
      </c>
      <c r="X279" t="s">
        <v>34</v>
      </c>
      <c r="Y279" s="9">
        <f t="shared" si="13"/>
        <v>0</v>
      </c>
      <c r="Z279" t="str">
        <f t="shared" si="14"/>
        <v>สแกนต่าง Cost</v>
      </c>
    </row>
    <row r="280" spans="1:26" x14ac:dyDescent="0.45">
      <c r="B280" t="s">
        <v>26</v>
      </c>
      <c r="C280">
        <v>20403253</v>
      </c>
      <c r="D280" t="s">
        <v>125</v>
      </c>
      <c r="E280" s="8">
        <v>46139.364583333336</v>
      </c>
      <c r="F280" s="8">
        <v>46139.710416666669</v>
      </c>
      <c r="G280" s="9">
        <v>7.3000000000000007</v>
      </c>
      <c r="H280" s="9">
        <f t="shared" si="12"/>
        <v>3.9E-2</v>
      </c>
      <c r="I280" s="9">
        <v>3.9E-2</v>
      </c>
      <c r="J280" s="9"/>
      <c r="K280" s="9"/>
      <c r="L280" s="9"/>
      <c r="M280" t="s">
        <v>48</v>
      </c>
      <c r="N280" t="s">
        <v>48</v>
      </c>
      <c r="P280" t="s">
        <v>30</v>
      </c>
      <c r="Q280" t="s">
        <v>31</v>
      </c>
      <c r="R280">
        <v>82400</v>
      </c>
      <c r="S280" t="s">
        <v>83</v>
      </c>
      <c r="T280">
        <v>82658</v>
      </c>
      <c r="U280" t="s">
        <v>33</v>
      </c>
      <c r="V280" t="s">
        <v>33</v>
      </c>
      <c r="W280" t="s">
        <v>34</v>
      </c>
      <c r="X280" t="s">
        <v>34</v>
      </c>
      <c r="Y280" s="9">
        <f t="shared" si="13"/>
        <v>0</v>
      </c>
      <c r="Z280" t="str">
        <f t="shared" si="14"/>
        <v>สแกนต่าง Cost</v>
      </c>
    </row>
    <row r="281" spans="1:26" x14ac:dyDescent="0.45">
      <c r="B281" t="s">
        <v>26</v>
      </c>
      <c r="C281">
        <v>20403254</v>
      </c>
      <c r="D281" t="s">
        <v>126</v>
      </c>
      <c r="E281" s="8">
        <v>46139.364583333336</v>
      </c>
      <c r="F281" s="8">
        <v>46139.826388888891</v>
      </c>
      <c r="G281" s="9">
        <v>10.083333333333334</v>
      </c>
      <c r="H281" s="9">
        <f t="shared" si="12"/>
        <v>5.3999999999999999E-2</v>
      </c>
      <c r="I281" s="9">
        <v>5.3999999999999999E-2</v>
      </c>
      <c r="J281" s="9"/>
      <c r="K281" s="9"/>
      <c r="L281" s="9"/>
      <c r="M281" t="s">
        <v>48</v>
      </c>
      <c r="N281" t="s">
        <v>48</v>
      </c>
      <c r="P281" t="s">
        <v>30</v>
      </c>
      <c r="Q281" t="s">
        <v>31</v>
      </c>
      <c r="R281">
        <v>82400</v>
      </c>
      <c r="S281" t="s">
        <v>83</v>
      </c>
      <c r="T281">
        <v>82658</v>
      </c>
      <c r="U281" t="s">
        <v>33</v>
      </c>
      <c r="V281" t="s">
        <v>33</v>
      </c>
      <c r="W281" t="s">
        <v>34</v>
      </c>
      <c r="X281" t="s">
        <v>34</v>
      </c>
      <c r="Y281" s="9">
        <f t="shared" si="13"/>
        <v>0</v>
      </c>
      <c r="Z281" t="str">
        <f t="shared" si="14"/>
        <v>สแกนต่าง Cost</v>
      </c>
    </row>
    <row r="282" spans="1:26" x14ac:dyDescent="0.45">
      <c r="B282" t="s">
        <v>53</v>
      </c>
      <c r="C282">
        <v>20075031</v>
      </c>
      <c r="D282" t="s">
        <v>191</v>
      </c>
      <c r="E282" s="8">
        <v>46139.354166666664</v>
      </c>
      <c r="F282" s="8">
        <v>46139.729166666664</v>
      </c>
      <c r="G282" s="9">
        <v>8</v>
      </c>
      <c r="H282" s="9">
        <f t="shared" si="12"/>
        <v>4.2999999999999997E-2</v>
      </c>
      <c r="I282" s="9">
        <v>4.2999999999999997E-2</v>
      </c>
      <c r="J282" s="9"/>
      <c r="K282" s="9"/>
      <c r="L282" s="9"/>
      <c r="M282" t="s">
        <v>65</v>
      </c>
      <c r="N282" t="s">
        <v>29</v>
      </c>
      <c r="P282" t="s">
        <v>30</v>
      </c>
      <c r="Q282" t="s">
        <v>31</v>
      </c>
      <c r="R282">
        <v>82640</v>
      </c>
      <c r="S282" t="s">
        <v>42</v>
      </c>
      <c r="T282">
        <v>82611</v>
      </c>
      <c r="U282" t="s">
        <v>43</v>
      </c>
      <c r="V282" t="s">
        <v>43</v>
      </c>
      <c r="W282" t="s">
        <v>47</v>
      </c>
      <c r="X282" t="s">
        <v>192</v>
      </c>
      <c r="Y282" s="9">
        <f t="shared" si="13"/>
        <v>0</v>
      </c>
      <c r="Z282" t="str">
        <f t="shared" si="14"/>
        <v>สแกนต่าง Cost</v>
      </c>
    </row>
    <row r="283" spans="1:26" x14ac:dyDescent="0.45">
      <c r="A283">
        <v>26957</v>
      </c>
      <c r="B283" t="s">
        <v>53</v>
      </c>
      <c r="C283">
        <v>20004913</v>
      </c>
      <c r="D283" t="s">
        <v>87</v>
      </c>
      <c r="E283" s="8">
        <v>46139.333333333336</v>
      </c>
      <c r="F283" s="8">
        <v>46139.729166666664</v>
      </c>
      <c r="G283" s="9">
        <v>8.5</v>
      </c>
      <c r="H283" s="9">
        <f t="shared" si="12"/>
        <v>4.4999999999999998E-2</v>
      </c>
      <c r="I283" s="9">
        <v>4.4999999999999998E-2</v>
      </c>
      <c r="J283" s="9"/>
      <c r="K283" s="9"/>
      <c r="L283" s="9"/>
      <c r="M283" t="s">
        <v>65</v>
      </c>
      <c r="N283" t="s">
        <v>29</v>
      </c>
      <c r="P283" t="s">
        <v>30</v>
      </c>
      <c r="Q283" t="s">
        <v>31</v>
      </c>
      <c r="R283">
        <v>82301</v>
      </c>
      <c r="S283" t="s">
        <v>79</v>
      </c>
      <c r="T283">
        <v>82308</v>
      </c>
      <c r="U283" t="s">
        <v>69</v>
      </c>
      <c r="V283" t="s">
        <v>69</v>
      </c>
      <c r="W283" t="s">
        <v>69</v>
      </c>
      <c r="X283" t="s">
        <v>88</v>
      </c>
      <c r="Y283" s="9">
        <f t="shared" si="13"/>
        <v>0</v>
      </c>
      <c r="Z283" t="str">
        <f t="shared" si="14"/>
        <v>สแกนต่าง Cost</v>
      </c>
    </row>
    <row r="284" spans="1:26" x14ac:dyDescent="0.45">
      <c r="A284">
        <v>26952</v>
      </c>
      <c r="B284" t="s">
        <v>53</v>
      </c>
      <c r="C284">
        <v>20014917</v>
      </c>
      <c r="D284" t="s">
        <v>232</v>
      </c>
      <c r="E284" s="8">
        <v>46139.333333333336</v>
      </c>
      <c r="F284" s="8">
        <v>46139.729166666664</v>
      </c>
      <c r="G284" s="9">
        <v>8.5</v>
      </c>
      <c r="H284" s="9">
        <f t="shared" si="12"/>
        <v>4.4999999999999998E-2</v>
      </c>
      <c r="I284" s="9"/>
      <c r="J284" s="9">
        <v>4.4999999999999998E-2</v>
      </c>
      <c r="K284" s="9"/>
      <c r="L284" s="9"/>
      <c r="M284" t="s">
        <v>77</v>
      </c>
      <c r="N284" t="s">
        <v>40</v>
      </c>
      <c r="O284" t="s">
        <v>78</v>
      </c>
      <c r="P284" t="s">
        <v>30</v>
      </c>
      <c r="Q284" t="s">
        <v>31</v>
      </c>
      <c r="R284">
        <v>82301</v>
      </c>
      <c r="S284" t="s">
        <v>79</v>
      </c>
      <c r="T284">
        <v>82308</v>
      </c>
      <c r="U284" t="s">
        <v>69</v>
      </c>
      <c r="V284" t="s">
        <v>69</v>
      </c>
      <c r="W284" t="s">
        <v>69</v>
      </c>
      <c r="X284" t="s">
        <v>196</v>
      </c>
      <c r="Y284" s="9">
        <f t="shared" si="13"/>
        <v>4.4999999999999998E-2</v>
      </c>
      <c r="Z284" t="str">
        <f t="shared" si="14"/>
        <v>สแกนต่าง Cost</v>
      </c>
    </row>
    <row r="285" spans="1:26" x14ac:dyDescent="0.45">
      <c r="A285">
        <v>26955</v>
      </c>
      <c r="B285" t="s">
        <v>53</v>
      </c>
      <c r="C285">
        <v>20018611</v>
      </c>
      <c r="D285" t="s">
        <v>132</v>
      </c>
      <c r="E285" s="8">
        <v>46139.333333333336</v>
      </c>
      <c r="F285" s="8">
        <v>46139.729166666664</v>
      </c>
      <c r="G285" s="9">
        <v>8.5</v>
      </c>
      <c r="H285" s="9">
        <f t="shared" si="12"/>
        <v>4.4999999999999998E-2</v>
      </c>
      <c r="I285" s="9">
        <v>4.4999999999999998E-2</v>
      </c>
      <c r="J285" s="9"/>
      <c r="K285" s="9"/>
      <c r="L285" s="9"/>
      <c r="M285" t="s">
        <v>65</v>
      </c>
      <c r="N285" t="s">
        <v>29</v>
      </c>
      <c r="P285" t="s">
        <v>133</v>
      </c>
      <c r="Q285" t="s">
        <v>31</v>
      </c>
      <c r="R285">
        <v>82301</v>
      </c>
      <c r="S285" t="s">
        <v>79</v>
      </c>
      <c r="T285">
        <v>82308</v>
      </c>
      <c r="U285" t="s">
        <v>69</v>
      </c>
      <c r="V285" t="s">
        <v>69</v>
      </c>
      <c r="W285" t="s">
        <v>69</v>
      </c>
      <c r="X285" t="s">
        <v>95</v>
      </c>
      <c r="Y285" s="9">
        <f t="shared" si="13"/>
        <v>0</v>
      </c>
      <c r="Z285" t="str">
        <f t="shared" si="14"/>
        <v>สแกนต่าง Cost</v>
      </c>
    </row>
    <row r="286" spans="1:26" x14ac:dyDescent="0.45">
      <c r="B286" t="s">
        <v>53</v>
      </c>
      <c r="C286">
        <v>20018899</v>
      </c>
      <c r="D286" t="s">
        <v>64</v>
      </c>
      <c r="E286" s="8">
        <v>46139.333333333336</v>
      </c>
      <c r="F286" s="8">
        <v>46139.5</v>
      </c>
      <c r="G286" s="9">
        <v>4</v>
      </c>
      <c r="H286" s="9">
        <f t="shared" si="12"/>
        <v>2.1000000000000001E-2</v>
      </c>
      <c r="I286" s="9">
        <v>2.1000000000000001E-2</v>
      </c>
      <c r="J286" s="9"/>
      <c r="K286" s="9"/>
      <c r="L286" s="9"/>
      <c r="M286" t="s">
        <v>65</v>
      </c>
      <c r="N286" t="s">
        <v>29</v>
      </c>
      <c r="P286" t="s">
        <v>30</v>
      </c>
      <c r="Q286" t="s">
        <v>31</v>
      </c>
      <c r="R286">
        <v>82640</v>
      </c>
      <c r="S286" t="s">
        <v>42</v>
      </c>
      <c r="T286">
        <v>82652</v>
      </c>
      <c r="U286" t="s">
        <v>46</v>
      </c>
      <c r="V286" t="s">
        <v>66</v>
      </c>
      <c r="W286" t="s">
        <v>37</v>
      </c>
      <c r="X286" t="s">
        <v>34</v>
      </c>
      <c r="Y286" s="9">
        <f t="shared" si="13"/>
        <v>0</v>
      </c>
      <c r="Z286" t="str">
        <f t="shared" si="14"/>
        <v>สแกนต่าง Cost</v>
      </c>
    </row>
    <row r="287" spans="1:26" x14ac:dyDescent="0.45">
      <c r="B287" t="s">
        <v>53</v>
      </c>
      <c r="C287">
        <v>20023163</v>
      </c>
      <c r="D287" t="s">
        <v>169</v>
      </c>
      <c r="E287" s="8">
        <v>46139.333333333336</v>
      </c>
      <c r="F287" s="8">
        <v>46139.729166666664</v>
      </c>
      <c r="G287" s="9">
        <v>8.5</v>
      </c>
      <c r="H287" s="9">
        <f t="shared" si="12"/>
        <v>4.4999999999999998E-2</v>
      </c>
      <c r="I287" s="9">
        <v>4.4999999999999998E-2</v>
      </c>
      <c r="J287" s="9"/>
      <c r="K287" s="9"/>
      <c r="L287" s="9"/>
      <c r="M287" t="s">
        <v>65</v>
      </c>
      <c r="N287" t="s">
        <v>29</v>
      </c>
      <c r="P287" t="s">
        <v>30</v>
      </c>
      <c r="Q287" t="s">
        <v>31</v>
      </c>
      <c r="R287">
        <v>82630</v>
      </c>
      <c r="S287" t="s">
        <v>32</v>
      </c>
      <c r="T287">
        <v>82640</v>
      </c>
      <c r="U287" t="s">
        <v>42</v>
      </c>
      <c r="V287" t="s">
        <v>70</v>
      </c>
      <c r="W287" t="s">
        <v>170</v>
      </c>
      <c r="X287" t="s">
        <v>171</v>
      </c>
      <c r="Y287" s="9">
        <f t="shared" si="13"/>
        <v>0</v>
      </c>
      <c r="Z287" t="str">
        <f t="shared" si="14"/>
        <v>สแกนต่าง Cost</v>
      </c>
    </row>
    <row r="288" spans="1:26" x14ac:dyDescent="0.45">
      <c r="B288" t="s">
        <v>26</v>
      </c>
      <c r="C288">
        <v>20024254</v>
      </c>
      <c r="D288" t="s">
        <v>233</v>
      </c>
      <c r="E288" s="8">
        <v>46139.333333333336</v>
      </c>
      <c r="F288" s="8">
        <v>46139.729166666664</v>
      </c>
      <c r="G288" s="9">
        <v>8.5</v>
      </c>
      <c r="H288" s="9">
        <f t="shared" si="12"/>
        <v>4.4999999999999998E-2</v>
      </c>
      <c r="I288" s="9">
        <v>4.4999999999999998E-2</v>
      </c>
      <c r="J288" s="9"/>
      <c r="K288" s="9"/>
      <c r="L288" s="9"/>
      <c r="M288" t="s">
        <v>65</v>
      </c>
      <c r="N288" t="s">
        <v>29</v>
      </c>
      <c r="P288" t="s">
        <v>30</v>
      </c>
      <c r="Q288" t="s">
        <v>31</v>
      </c>
      <c r="R288">
        <v>82910</v>
      </c>
      <c r="S288" t="s">
        <v>201</v>
      </c>
      <c r="T288">
        <v>82605</v>
      </c>
      <c r="U288" t="s">
        <v>202</v>
      </c>
      <c r="V288" t="s">
        <v>202</v>
      </c>
      <c r="W288" t="s">
        <v>37</v>
      </c>
      <c r="X288" t="s">
        <v>47</v>
      </c>
      <c r="Y288" s="9">
        <f t="shared" si="13"/>
        <v>0</v>
      </c>
      <c r="Z288" t="str">
        <f t="shared" si="14"/>
        <v>สแกนต่าง Cost</v>
      </c>
    </row>
    <row r="289" spans="1:26" x14ac:dyDescent="0.45">
      <c r="A289">
        <v>26950</v>
      </c>
      <c r="B289" t="s">
        <v>53</v>
      </c>
      <c r="C289">
        <v>20025699</v>
      </c>
      <c r="D289" t="s">
        <v>234</v>
      </c>
      <c r="E289" s="8">
        <v>46139.333333333336</v>
      </c>
      <c r="F289" s="8">
        <v>46139.729166666664</v>
      </c>
      <c r="G289" s="9">
        <v>8.5</v>
      </c>
      <c r="H289" s="9">
        <f t="shared" si="12"/>
        <v>4.4999999999999998E-2</v>
      </c>
      <c r="I289" s="9">
        <v>4.4999999999999998E-2</v>
      </c>
      <c r="J289" s="9"/>
      <c r="K289" s="9"/>
      <c r="L289" s="9"/>
      <c r="M289" t="s">
        <v>65</v>
      </c>
      <c r="N289" t="s">
        <v>29</v>
      </c>
      <c r="P289" t="s">
        <v>30</v>
      </c>
      <c r="Q289" t="s">
        <v>31</v>
      </c>
      <c r="R289">
        <v>82301</v>
      </c>
      <c r="S289" t="s">
        <v>79</v>
      </c>
      <c r="T289">
        <v>82308</v>
      </c>
      <c r="U289" t="s">
        <v>69</v>
      </c>
      <c r="V289" t="s">
        <v>69</v>
      </c>
      <c r="W289" t="s">
        <v>69</v>
      </c>
      <c r="X289" t="s">
        <v>196</v>
      </c>
      <c r="Y289" s="9">
        <f t="shared" si="13"/>
        <v>0</v>
      </c>
      <c r="Z289" t="str">
        <f t="shared" si="14"/>
        <v>สแกนต่าง Cost</v>
      </c>
    </row>
    <row r="290" spans="1:26" x14ac:dyDescent="0.45">
      <c r="A290">
        <v>27066</v>
      </c>
      <c r="B290" t="s">
        <v>53</v>
      </c>
      <c r="C290">
        <v>20030839</v>
      </c>
      <c r="D290" t="s">
        <v>235</v>
      </c>
      <c r="E290" s="8">
        <v>46139.333333333336</v>
      </c>
      <c r="F290" s="8">
        <v>46139.829861111109</v>
      </c>
      <c r="G290" s="9">
        <v>11.916666666666666</v>
      </c>
      <c r="H290" s="9">
        <f t="shared" si="12"/>
        <v>6.3E-2</v>
      </c>
      <c r="I290" s="9">
        <v>4.4999999999999998E-2</v>
      </c>
      <c r="J290" s="9"/>
      <c r="K290" s="9">
        <v>1.7999999999999999E-2</v>
      </c>
      <c r="L290" s="9"/>
      <c r="M290" t="s">
        <v>28</v>
      </c>
      <c r="N290" t="s">
        <v>29</v>
      </c>
      <c r="P290" t="s">
        <v>30</v>
      </c>
      <c r="Q290" t="s">
        <v>31</v>
      </c>
      <c r="R290">
        <v>82658</v>
      </c>
      <c r="S290" t="s">
        <v>33</v>
      </c>
      <c r="T290">
        <v>82664</v>
      </c>
      <c r="U290" t="s">
        <v>75</v>
      </c>
      <c r="V290" t="s">
        <v>75</v>
      </c>
      <c r="W290" t="s">
        <v>37</v>
      </c>
      <c r="X290" t="s">
        <v>111</v>
      </c>
      <c r="Y290" s="9">
        <f t="shared" si="13"/>
        <v>1.7999999999999999E-2</v>
      </c>
      <c r="Z290" t="str">
        <f t="shared" si="14"/>
        <v>สแกนต่าง Cost</v>
      </c>
    </row>
    <row r="291" spans="1:26" x14ac:dyDescent="0.45">
      <c r="B291" t="s">
        <v>53</v>
      </c>
      <c r="C291">
        <v>20034535</v>
      </c>
      <c r="D291" t="s">
        <v>99</v>
      </c>
      <c r="E291" s="8">
        <v>46139.333333333336</v>
      </c>
      <c r="F291" s="8">
        <v>46139.729166666664</v>
      </c>
      <c r="G291" s="9">
        <v>8.5</v>
      </c>
      <c r="H291" s="9">
        <f t="shared" si="12"/>
        <v>4.4999999999999998E-2</v>
      </c>
      <c r="I291" s="9">
        <v>4.4999999999999998E-2</v>
      </c>
      <c r="J291" s="9"/>
      <c r="K291" s="9"/>
      <c r="L291" s="9"/>
      <c r="M291" t="s">
        <v>65</v>
      </c>
      <c r="N291" t="s">
        <v>29</v>
      </c>
      <c r="P291" t="s">
        <v>30</v>
      </c>
      <c r="Q291" t="s">
        <v>31</v>
      </c>
      <c r="R291">
        <v>82630</v>
      </c>
      <c r="S291" t="s">
        <v>32</v>
      </c>
      <c r="T291">
        <v>82611</v>
      </c>
      <c r="U291" t="s">
        <v>43</v>
      </c>
      <c r="V291" t="s">
        <v>43</v>
      </c>
      <c r="W291" t="s">
        <v>170</v>
      </c>
      <c r="X291" t="s">
        <v>171</v>
      </c>
      <c r="Y291" s="9">
        <f t="shared" si="13"/>
        <v>0</v>
      </c>
      <c r="Z291" t="str">
        <f t="shared" si="14"/>
        <v>สแกนต่าง Cost</v>
      </c>
    </row>
    <row r="292" spans="1:26" x14ac:dyDescent="0.45">
      <c r="B292" t="s">
        <v>53</v>
      </c>
      <c r="C292">
        <v>20037938</v>
      </c>
      <c r="D292" t="s">
        <v>172</v>
      </c>
      <c r="E292" s="8">
        <v>46139.333333333336</v>
      </c>
      <c r="F292" s="8">
        <v>46139.729166666664</v>
      </c>
      <c r="G292" s="9">
        <v>8.5</v>
      </c>
      <c r="H292" s="9">
        <f t="shared" si="12"/>
        <v>4.4999999999999998E-2</v>
      </c>
      <c r="I292" s="9">
        <v>4.4999999999999998E-2</v>
      </c>
      <c r="J292" s="9"/>
      <c r="K292" s="9"/>
      <c r="L292" s="9"/>
      <c r="M292" t="s">
        <v>65</v>
      </c>
      <c r="N292" t="s">
        <v>29</v>
      </c>
      <c r="P292" t="s">
        <v>30</v>
      </c>
      <c r="Q292" t="s">
        <v>31</v>
      </c>
      <c r="R292">
        <v>82630</v>
      </c>
      <c r="S292" t="s">
        <v>32</v>
      </c>
      <c r="T292">
        <v>82611</v>
      </c>
      <c r="U292" t="s">
        <v>43</v>
      </c>
      <c r="V292" t="s">
        <v>43</v>
      </c>
      <c r="W292" t="s">
        <v>170</v>
      </c>
      <c r="X292" t="s">
        <v>171</v>
      </c>
      <c r="Y292" s="9">
        <f t="shared" si="13"/>
        <v>0</v>
      </c>
      <c r="Z292" t="str">
        <f t="shared" si="14"/>
        <v>สแกนต่าง Cost</v>
      </c>
    </row>
    <row r="293" spans="1:26" x14ac:dyDescent="0.45">
      <c r="B293" t="s">
        <v>53</v>
      </c>
      <c r="C293">
        <v>20041131</v>
      </c>
      <c r="D293" t="s">
        <v>173</v>
      </c>
      <c r="E293" s="8">
        <v>46139.333333333336</v>
      </c>
      <c r="F293" s="8">
        <v>46139.729166666664</v>
      </c>
      <c r="G293" s="9">
        <v>8.5</v>
      </c>
      <c r="H293" s="9">
        <f t="shared" si="12"/>
        <v>4.4999999999999998E-2</v>
      </c>
      <c r="I293" s="9">
        <v>4.4999999999999998E-2</v>
      </c>
      <c r="J293" s="9"/>
      <c r="K293" s="9"/>
      <c r="L293" s="9"/>
      <c r="M293" t="s">
        <v>65</v>
      </c>
      <c r="N293" t="s">
        <v>29</v>
      </c>
      <c r="P293" t="s">
        <v>30</v>
      </c>
      <c r="Q293" t="s">
        <v>31</v>
      </c>
      <c r="R293">
        <v>82630</v>
      </c>
      <c r="S293" t="s">
        <v>32</v>
      </c>
      <c r="T293">
        <v>82611</v>
      </c>
      <c r="U293" t="s">
        <v>43</v>
      </c>
      <c r="V293" t="s">
        <v>43</v>
      </c>
      <c r="W293" t="s">
        <v>170</v>
      </c>
      <c r="X293" t="s">
        <v>171</v>
      </c>
      <c r="Y293" s="9">
        <f t="shared" si="13"/>
        <v>0</v>
      </c>
      <c r="Z293" t="str">
        <f t="shared" si="14"/>
        <v>สแกนต่าง Cost</v>
      </c>
    </row>
    <row r="294" spans="1:26" x14ac:dyDescent="0.45">
      <c r="B294" t="s">
        <v>26</v>
      </c>
      <c r="C294">
        <v>20066762</v>
      </c>
      <c r="D294" t="s">
        <v>203</v>
      </c>
      <c r="E294" s="8">
        <v>46139.333333333336</v>
      </c>
      <c r="F294" s="8">
        <v>46139.729166666664</v>
      </c>
      <c r="G294" s="9">
        <v>8.5</v>
      </c>
      <c r="H294" s="9">
        <f t="shared" si="12"/>
        <v>4.4999999999999998E-2</v>
      </c>
      <c r="I294" s="9">
        <v>4.4999999999999998E-2</v>
      </c>
      <c r="J294" s="9"/>
      <c r="K294" s="9"/>
      <c r="L294" s="9"/>
      <c r="M294" t="s">
        <v>65</v>
      </c>
      <c r="N294" t="s">
        <v>29</v>
      </c>
      <c r="P294" t="s">
        <v>30</v>
      </c>
      <c r="Q294" t="s">
        <v>31</v>
      </c>
      <c r="R294">
        <v>82910</v>
      </c>
      <c r="S294" t="s">
        <v>201</v>
      </c>
      <c r="T294">
        <v>82605</v>
      </c>
      <c r="U294" t="s">
        <v>202</v>
      </c>
      <c r="V294" t="s">
        <v>202</v>
      </c>
      <c r="W294" t="s">
        <v>37</v>
      </c>
      <c r="X294" t="s">
        <v>47</v>
      </c>
      <c r="Y294" s="9">
        <f t="shared" si="13"/>
        <v>0</v>
      </c>
      <c r="Z294" t="str">
        <f t="shared" si="14"/>
        <v>สแกนต่าง Cost</v>
      </c>
    </row>
    <row r="295" spans="1:26" x14ac:dyDescent="0.45">
      <c r="B295" t="s">
        <v>53</v>
      </c>
      <c r="C295">
        <v>20075871</v>
      </c>
      <c r="D295" t="s">
        <v>174</v>
      </c>
      <c r="E295" s="8">
        <v>46139.333333333336</v>
      </c>
      <c r="F295" s="8">
        <v>46139.729166666664</v>
      </c>
      <c r="G295" s="9">
        <v>8.5</v>
      </c>
      <c r="H295" s="9">
        <f t="shared" si="12"/>
        <v>4.4999999999999998E-2</v>
      </c>
      <c r="I295" s="9">
        <v>4.4999999999999998E-2</v>
      </c>
      <c r="J295" s="9"/>
      <c r="K295" s="9"/>
      <c r="L295" s="9"/>
      <c r="M295" t="s">
        <v>65</v>
      </c>
      <c r="N295" t="s">
        <v>29</v>
      </c>
      <c r="P295" t="s">
        <v>133</v>
      </c>
      <c r="Q295" t="s">
        <v>31</v>
      </c>
      <c r="R295">
        <v>82301</v>
      </c>
      <c r="S295" t="s">
        <v>79</v>
      </c>
      <c r="T295">
        <v>82308</v>
      </c>
      <c r="U295" t="s">
        <v>69</v>
      </c>
      <c r="V295" t="s">
        <v>69</v>
      </c>
      <c r="W295" t="s">
        <v>69</v>
      </c>
      <c r="X295" t="s">
        <v>95</v>
      </c>
      <c r="Y295" s="9">
        <f t="shared" si="13"/>
        <v>0</v>
      </c>
      <c r="Z295" t="str">
        <f t="shared" si="14"/>
        <v>สแกนต่าง Cost</v>
      </c>
    </row>
    <row r="296" spans="1:26" x14ac:dyDescent="0.45">
      <c r="A296">
        <v>26954</v>
      </c>
      <c r="B296" t="s">
        <v>53</v>
      </c>
      <c r="C296">
        <v>20076436</v>
      </c>
      <c r="D296" t="s">
        <v>131</v>
      </c>
      <c r="E296" s="8">
        <v>46139.333333333336</v>
      </c>
      <c r="F296" s="8">
        <v>46139.729166666664</v>
      </c>
      <c r="G296" s="9">
        <v>8.5</v>
      </c>
      <c r="H296" s="9">
        <f t="shared" si="12"/>
        <v>4.4999999999999998E-2</v>
      </c>
      <c r="I296" s="9">
        <v>4.4999999999999998E-2</v>
      </c>
      <c r="J296" s="9"/>
      <c r="K296" s="9"/>
      <c r="L296" s="9"/>
      <c r="M296" t="s">
        <v>65</v>
      </c>
      <c r="N296" t="s">
        <v>29</v>
      </c>
      <c r="P296" t="s">
        <v>30</v>
      </c>
      <c r="Q296" t="s">
        <v>31</v>
      </c>
      <c r="R296">
        <v>82301</v>
      </c>
      <c r="S296" t="s">
        <v>79</v>
      </c>
      <c r="T296">
        <v>82308</v>
      </c>
      <c r="U296" t="s">
        <v>69</v>
      </c>
      <c r="V296" t="s">
        <v>69</v>
      </c>
      <c r="W296" t="s">
        <v>69</v>
      </c>
      <c r="X296" t="s">
        <v>95</v>
      </c>
      <c r="Y296" s="9">
        <f t="shared" si="13"/>
        <v>0</v>
      </c>
      <c r="Z296" t="str">
        <f t="shared" si="14"/>
        <v>สแกนต่าง Cost</v>
      </c>
    </row>
    <row r="297" spans="1:26" x14ac:dyDescent="0.45">
      <c r="A297">
        <v>27065</v>
      </c>
      <c r="B297" t="s">
        <v>53</v>
      </c>
      <c r="C297">
        <v>20162724</v>
      </c>
      <c r="D297" t="s">
        <v>128</v>
      </c>
      <c r="E297" s="8">
        <v>46139.333333333336</v>
      </c>
      <c r="F297" s="8">
        <v>46139.829861111109</v>
      </c>
      <c r="G297" s="9">
        <v>11.916666666666666</v>
      </c>
      <c r="H297" s="9">
        <f t="shared" si="12"/>
        <v>6.3E-2</v>
      </c>
      <c r="I297" s="9">
        <v>4.4999999999999998E-2</v>
      </c>
      <c r="J297" s="9"/>
      <c r="K297" s="9">
        <v>1.7999999999999999E-2</v>
      </c>
      <c r="L297" s="9"/>
      <c r="M297" t="s">
        <v>28</v>
      </c>
      <c r="N297" t="s">
        <v>29</v>
      </c>
      <c r="P297" t="s">
        <v>30</v>
      </c>
      <c r="Q297" t="s">
        <v>31</v>
      </c>
      <c r="R297">
        <v>82658</v>
      </c>
      <c r="S297" t="s">
        <v>33</v>
      </c>
      <c r="T297">
        <v>82664</v>
      </c>
      <c r="U297" t="s">
        <v>75</v>
      </c>
      <c r="V297" t="s">
        <v>75</v>
      </c>
      <c r="W297" t="s">
        <v>37</v>
      </c>
      <c r="X297" t="s">
        <v>111</v>
      </c>
      <c r="Y297" s="9">
        <f t="shared" si="13"/>
        <v>1.7999999999999999E-2</v>
      </c>
      <c r="Z297" t="str">
        <f t="shared" si="14"/>
        <v>สแกนต่าง Cost</v>
      </c>
    </row>
    <row r="298" spans="1:26" x14ac:dyDescent="0.45">
      <c r="B298" t="s">
        <v>53</v>
      </c>
      <c r="C298">
        <v>20198711</v>
      </c>
      <c r="D298" t="s">
        <v>178</v>
      </c>
      <c r="E298" s="8">
        <v>46139.333333333336</v>
      </c>
      <c r="F298" s="8">
        <v>46139.729166666664</v>
      </c>
      <c r="G298" s="9">
        <v>8.5</v>
      </c>
      <c r="H298" s="9">
        <f t="shared" si="12"/>
        <v>4.4999999999999998E-2</v>
      </c>
      <c r="I298" s="9"/>
      <c r="J298" s="9">
        <v>4.4999999999999998E-2</v>
      </c>
      <c r="K298" s="9"/>
      <c r="L298" s="9"/>
      <c r="M298" t="s">
        <v>77</v>
      </c>
      <c r="N298" t="s">
        <v>29</v>
      </c>
      <c r="P298" t="s">
        <v>30</v>
      </c>
      <c r="Q298" t="s">
        <v>31</v>
      </c>
      <c r="R298">
        <v>82630</v>
      </c>
      <c r="S298" t="s">
        <v>32</v>
      </c>
      <c r="T298">
        <v>82611</v>
      </c>
      <c r="U298" t="s">
        <v>43</v>
      </c>
      <c r="V298" t="s">
        <v>43</v>
      </c>
      <c r="W298" t="s">
        <v>170</v>
      </c>
      <c r="X298" t="s">
        <v>171</v>
      </c>
      <c r="Y298" s="9">
        <f t="shared" si="13"/>
        <v>4.4999999999999998E-2</v>
      </c>
      <c r="Z298" t="str">
        <f t="shared" si="14"/>
        <v>สแกนต่าง Cost</v>
      </c>
    </row>
    <row r="299" spans="1:26" x14ac:dyDescent="0.45">
      <c r="B299" t="s">
        <v>53</v>
      </c>
      <c r="C299">
        <v>20198715</v>
      </c>
      <c r="D299" t="s">
        <v>179</v>
      </c>
      <c r="E299" s="8">
        <v>46139.333333333336</v>
      </c>
      <c r="F299" s="8">
        <v>46139.729166666664</v>
      </c>
      <c r="G299" s="9">
        <v>8.5</v>
      </c>
      <c r="H299" s="9">
        <f t="shared" si="12"/>
        <v>4.4999999999999998E-2</v>
      </c>
      <c r="I299" s="9">
        <v>4.4999999999999998E-2</v>
      </c>
      <c r="J299" s="9"/>
      <c r="K299" s="9"/>
      <c r="L299" s="9"/>
      <c r="M299" t="s">
        <v>65</v>
      </c>
      <c r="N299" t="s">
        <v>29</v>
      </c>
      <c r="P299" t="s">
        <v>30</v>
      </c>
      <c r="Q299" t="s">
        <v>31</v>
      </c>
      <c r="R299">
        <v>82630</v>
      </c>
      <c r="S299" t="s">
        <v>32</v>
      </c>
      <c r="T299">
        <v>82611</v>
      </c>
      <c r="U299" t="s">
        <v>43</v>
      </c>
      <c r="V299" t="s">
        <v>43</v>
      </c>
      <c r="W299" t="s">
        <v>170</v>
      </c>
      <c r="X299" t="s">
        <v>171</v>
      </c>
      <c r="Y299" s="9">
        <f t="shared" si="13"/>
        <v>0</v>
      </c>
      <c r="Z299" t="str">
        <f t="shared" si="14"/>
        <v>สแกนต่าง Cost</v>
      </c>
    </row>
    <row r="300" spans="1:26" x14ac:dyDescent="0.45">
      <c r="B300" t="s">
        <v>53</v>
      </c>
      <c r="C300">
        <v>20198747</v>
      </c>
      <c r="D300" t="s">
        <v>180</v>
      </c>
      <c r="E300" s="8">
        <v>46139.333333333336</v>
      </c>
      <c r="F300" s="8">
        <v>46139.729166666664</v>
      </c>
      <c r="G300" s="9">
        <v>8.5</v>
      </c>
      <c r="H300" s="9">
        <f t="shared" si="12"/>
        <v>4.4999999999999998E-2</v>
      </c>
      <c r="I300" s="9">
        <v>4.4999999999999998E-2</v>
      </c>
      <c r="J300" s="9"/>
      <c r="K300" s="9"/>
      <c r="L300" s="9"/>
      <c r="M300" t="s">
        <v>65</v>
      </c>
      <c r="N300" t="s">
        <v>29</v>
      </c>
      <c r="P300" t="s">
        <v>30</v>
      </c>
      <c r="Q300" t="s">
        <v>31</v>
      </c>
      <c r="R300">
        <v>82630</v>
      </c>
      <c r="S300" t="s">
        <v>32</v>
      </c>
      <c r="T300">
        <v>82640</v>
      </c>
      <c r="U300" t="s">
        <v>42</v>
      </c>
      <c r="V300" t="s">
        <v>70</v>
      </c>
      <c r="W300" t="s">
        <v>170</v>
      </c>
      <c r="X300" t="s">
        <v>171</v>
      </c>
      <c r="Y300" s="9">
        <f t="shared" si="13"/>
        <v>0</v>
      </c>
      <c r="Z300" t="str">
        <f t="shared" si="14"/>
        <v>สแกนต่าง Cost</v>
      </c>
    </row>
    <row r="301" spans="1:26" x14ac:dyDescent="0.45">
      <c r="A301">
        <v>27067</v>
      </c>
      <c r="B301" t="s">
        <v>53</v>
      </c>
      <c r="C301">
        <v>20198835</v>
      </c>
      <c r="D301" t="s">
        <v>129</v>
      </c>
      <c r="E301" s="8">
        <v>46139.333333333336</v>
      </c>
      <c r="F301" s="8">
        <v>46139.89166666667</v>
      </c>
      <c r="G301" s="9">
        <v>13.4</v>
      </c>
      <c r="H301" s="9">
        <f t="shared" si="12"/>
        <v>7.0999999999999994E-2</v>
      </c>
      <c r="I301" s="9">
        <v>4.4999999999999998E-2</v>
      </c>
      <c r="J301" s="9"/>
      <c r="K301" s="9">
        <v>2.5999999999999999E-2</v>
      </c>
      <c r="L301" s="9"/>
      <c r="M301" t="s">
        <v>28</v>
      </c>
      <c r="N301" t="s">
        <v>29</v>
      </c>
      <c r="P301" t="s">
        <v>30</v>
      </c>
      <c r="Q301" t="s">
        <v>31</v>
      </c>
      <c r="R301">
        <v>82658</v>
      </c>
      <c r="S301" t="s">
        <v>33</v>
      </c>
      <c r="T301">
        <v>82664</v>
      </c>
      <c r="U301" t="s">
        <v>75</v>
      </c>
      <c r="V301" t="s">
        <v>75</v>
      </c>
      <c r="W301" t="s">
        <v>37</v>
      </c>
      <c r="X301" t="s">
        <v>111</v>
      </c>
      <c r="Y301" s="9">
        <f t="shared" si="13"/>
        <v>2.5999999999999999E-2</v>
      </c>
      <c r="Z301" t="str">
        <f t="shared" si="14"/>
        <v>สแกนต่าง Cost</v>
      </c>
    </row>
    <row r="302" spans="1:26" x14ac:dyDescent="0.45">
      <c r="B302" t="s">
        <v>53</v>
      </c>
      <c r="C302">
        <v>20220646</v>
      </c>
      <c r="D302" t="s">
        <v>67</v>
      </c>
      <c r="E302" s="8">
        <v>46139.333333333336</v>
      </c>
      <c r="F302" s="8">
        <v>46139.5</v>
      </c>
      <c r="G302" s="9">
        <v>4</v>
      </c>
      <c r="H302" s="9">
        <f t="shared" si="12"/>
        <v>2.1000000000000001E-2</v>
      </c>
      <c r="I302" s="9">
        <v>2.1000000000000001E-2</v>
      </c>
      <c r="J302" s="9"/>
      <c r="K302" s="9"/>
      <c r="L302" s="9"/>
      <c r="M302" t="s">
        <v>65</v>
      </c>
      <c r="N302" t="s">
        <v>29</v>
      </c>
      <c r="P302" t="s">
        <v>30</v>
      </c>
      <c r="Q302" t="s">
        <v>31</v>
      </c>
      <c r="R302">
        <v>82640</v>
      </c>
      <c r="S302" t="s">
        <v>42</v>
      </c>
      <c r="T302">
        <v>82652</v>
      </c>
      <c r="U302" t="s">
        <v>46</v>
      </c>
      <c r="V302" t="s">
        <v>66</v>
      </c>
      <c r="W302" t="s">
        <v>37</v>
      </c>
      <c r="X302" t="s">
        <v>34</v>
      </c>
      <c r="Y302" s="9">
        <f t="shared" si="13"/>
        <v>0</v>
      </c>
      <c r="Z302" t="str">
        <f t="shared" si="14"/>
        <v>สแกนต่าง Cost</v>
      </c>
    </row>
    <row r="303" spans="1:26" x14ac:dyDescent="0.45">
      <c r="A303">
        <v>26949</v>
      </c>
      <c r="B303" t="s">
        <v>53</v>
      </c>
      <c r="C303">
        <v>20238349</v>
      </c>
      <c r="D303" t="s">
        <v>195</v>
      </c>
      <c r="E303" s="8">
        <v>46139.333333333336</v>
      </c>
      <c r="F303" s="8">
        <v>46139.729166666664</v>
      </c>
      <c r="G303" s="9">
        <v>8.5</v>
      </c>
      <c r="H303" s="9">
        <f t="shared" si="12"/>
        <v>4.4999999999999998E-2</v>
      </c>
      <c r="I303" s="9">
        <v>4.4999999999999998E-2</v>
      </c>
      <c r="J303" s="9"/>
      <c r="K303" s="9"/>
      <c r="L303" s="9"/>
      <c r="M303" t="s">
        <v>65</v>
      </c>
      <c r="N303" t="s">
        <v>29</v>
      </c>
      <c r="P303" t="s">
        <v>30</v>
      </c>
      <c r="Q303" t="s">
        <v>31</v>
      </c>
      <c r="R303">
        <v>82301</v>
      </c>
      <c r="S303" t="s">
        <v>79</v>
      </c>
      <c r="T303">
        <v>82308</v>
      </c>
      <c r="U303" t="s">
        <v>69</v>
      </c>
      <c r="V303" t="s">
        <v>69</v>
      </c>
      <c r="W303" t="s">
        <v>69</v>
      </c>
      <c r="X303" t="s">
        <v>196</v>
      </c>
      <c r="Y303" s="9">
        <f t="shared" si="13"/>
        <v>0</v>
      </c>
      <c r="Z303" t="str">
        <f t="shared" si="14"/>
        <v>สแกนต่าง Cost</v>
      </c>
    </row>
    <row r="304" spans="1:26" x14ac:dyDescent="0.45">
      <c r="A304">
        <v>26953</v>
      </c>
      <c r="B304" t="s">
        <v>53</v>
      </c>
      <c r="C304">
        <v>20276264</v>
      </c>
      <c r="D304" t="s">
        <v>236</v>
      </c>
      <c r="E304" s="8">
        <v>46139.333333333336</v>
      </c>
      <c r="F304" s="8">
        <v>46139.729166666664</v>
      </c>
      <c r="G304" s="9">
        <v>8.5</v>
      </c>
      <c r="H304" s="9">
        <f t="shared" si="12"/>
        <v>4.4999999999999998E-2</v>
      </c>
      <c r="I304" s="9">
        <v>4.4999999999999998E-2</v>
      </c>
      <c r="J304" s="9"/>
      <c r="K304" s="9"/>
      <c r="L304" s="9"/>
      <c r="M304" t="s">
        <v>65</v>
      </c>
      <c r="N304" t="s">
        <v>29</v>
      </c>
      <c r="P304" t="s">
        <v>30</v>
      </c>
      <c r="Q304" t="s">
        <v>31</v>
      </c>
      <c r="R304">
        <v>82301</v>
      </c>
      <c r="S304" t="s">
        <v>79</v>
      </c>
      <c r="T304">
        <v>82308</v>
      </c>
      <c r="U304" t="s">
        <v>69</v>
      </c>
      <c r="V304" t="s">
        <v>69</v>
      </c>
      <c r="W304" t="s">
        <v>69</v>
      </c>
      <c r="X304" t="s">
        <v>95</v>
      </c>
      <c r="Y304" s="9">
        <f t="shared" si="13"/>
        <v>0</v>
      </c>
      <c r="Z304" t="str">
        <f t="shared" si="14"/>
        <v>สแกนต่าง Cost</v>
      </c>
    </row>
    <row r="305" spans="1:26" x14ac:dyDescent="0.45">
      <c r="A305">
        <v>27071</v>
      </c>
      <c r="B305" t="s">
        <v>53</v>
      </c>
      <c r="C305">
        <v>20284710</v>
      </c>
      <c r="D305" t="s">
        <v>182</v>
      </c>
      <c r="E305" s="8">
        <v>46139.333333333336</v>
      </c>
      <c r="F305" s="8">
        <v>46139.416666666664</v>
      </c>
      <c r="G305" s="9">
        <v>2</v>
      </c>
      <c r="H305" s="9">
        <f t="shared" si="12"/>
        <v>1.0999999999999999E-2</v>
      </c>
      <c r="I305" s="9"/>
      <c r="J305" s="9"/>
      <c r="K305" s="9">
        <v>1.0999999999999999E-2</v>
      </c>
      <c r="L305" s="9"/>
      <c r="M305" t="s">
        <v>28</v>
      </c>
      <c r="N305" t="s">
        <v>40</v>
      </c>
      <c r="O305" t="s">
        <v>183</v>
      </c>
      <c r="P305" t="s">
        <v>30</v>
      </c>
      <c r="Q305" t="s">
        <v>31</v>
      </c>
      <c r="R305">
        <v>82210</v>
      </c>
      <c r="S305" t="s">
        <v>184</v>
      </c>
      <c r="T305">
        <v>82308</v>
      </c>
      <c r="U305" t="s">
        <v>69</v>
      </c>
      <c r="V305" t="s">
        <v>69</v>
      </c>
      <c r="W305" t="s">
        <v>69</v>
      </c>
      <c r="X305" t="s">
        <v>57</v>
      </c>
      <c r="Y305" s="9">
        <f t="shared" si="13"/>
        <v>1.0999999999999999E-2</v>
      </c>
      <c r="Z305" t="str">
        <f t="shared" si="14"/>
        <v>สแกนต่าง Cost</v>
      </c>
    </row>
    <row r="306" spans="1:26" x14ac:dyDescent="0.45">
      <c r="B306" t="s">
        <v>53</v>
      </c>
      <c r="C306">
        <v>20319535</v>
      </c>
      <c r="D306" t="s">
        <v>36</v>
      </c>
      <c r="E306" s="8">
        <v>46139.333333333336</v>
      </c>
      <c r="F306" s="8">
        <v>46139.729166666664</v>
      </c>
      <c r="G306" s="9">
        <v>9.5</v>
      </c>
      <c r="H306" s="9">
        <f t="shared" si="12"/>
        <v>4.9999999999999996E-2</v>
      </c>
      <c r="I306" s="9">
        <v>4.4999999999999998E-2</v>
      </c>
      <c r="J306" s="9"/>
      <c r="K306" s="9">
        <v>5.0000000000000001E-3</v>
      </c>
      <c r="L306" s="9"/>
      <c r="M306" t="s">
        <v>28</v>
      </c>
      <c r="N306" t="s">
        <v>29</v>
      </c>
      <c r="P306" t="s">
        <v>30</v>
      </c>
      <c r="Q306" t="s">
        <v>31</v>
      </c>
      <c r="R306">
        <v>82630</v>
      </c>
      <c r="S306" t="s">
        <v>32</v>
      </c>
      <c r="T306">
        <v>82611</v>
      </c>
      <c r="U306" t="s">
        <v>43</v>
      </c>
      <c r="V306" t="s">
        <v>43</v>
      </c>
      <c r="W306" t="s">
        <v>170</v>
      </c>
      <c r="X306" t="s">
        <v>171</v>
      </c>
      <c r="Y306" s="9">
        <f t="shared" si="13"/>
        <v>5.0000000000000001E-3</v>
      </c>
      <c r="Z306" t="str">
        <f t="shared" si="14"/>
        <v>สแกนต่าง Cost</v>
      </c>
    </row>
    <row r="307" spans="1:26" x14ac:dyDescent="0.45">
      <c r="B307" t="s">
        <v>26</v>
      </c>
      <c r="C307">
        <v>20330032</v>
      </c>
      <c r="D307" t="s">
        <v>204</v>
      </c>
      <c r="E307" s="8">
        <v>46139.333333333336</v>
      </c>
      <c r="F307" s="8">
        <v>46139.729166666664</v>
      </c>
      <c r="G307" s="9">
        <v>8.5</v>
      </c>
      <c r="H307" s="9">
        <f t="shared" si="12"/>
        <v>4.4999999999999998E-2</v>
      </c>
      <c r="I307" s="9">
        <v>4.4999999999999998E-2</v>
      </c>
      <c r="J307" s="9"/>
      <c r="K307" s="9"/>
      <c r="L307" s="9"/>
      <c r="M307" t="s">
        <v>65</v>
      </c>
      <c r="N307" t="s">
        <v>29</v>
      </c>
      <c r="P307" t="s">
        <v>30</v>
      </c>
      <c r="Q307" t="s">
        <v>31</v>
      </c>
      <c r="R307">
        <v>82910</v>
      </c>
      <c r="S307" t="s">
        <v>201</v>
      </c>
      <c r="T307">
        <v>82605</v>
      </c>
      <c r="U307" t="s">
        <v>202</v>
      </c>
      <c r="V307" t="s">
        <v>202</v>
      </c>
      <c r="W307" t="s">
        <v>37</v>
      </c>
      <c r="X307" t="s">
        <v>47</v>
      </c>
      <c r="Y307" s="9">
        <f t="shared" si="13"/>
        <v>0</v>
      </c>
      <c r="Z307" t="str">
        <f t="shared" si="14"/>
        <v>สแกนต่าง Cost</v>
      </c>
    </row>
    <row r="308" spans="1:26" x14ac:dyDescent="0.45">
      <c r="A308">
        <v>26948</v>
      </c>
      <c r="B308" t="s">
        <v>53</v>
      </c>
      <c r="C308">
        <v>20334399</v>
      </c>
      <c r="D308" t="s">
        <v>237</v>
      </c>
      <c r="E308" s="8">
        <v>46139.333333333336</v>
      </c>
      <c r="F308" s="8">
        <v>46139.729166666664</v>
      </c>
      <c r="G308" s="9">
        <v>8.5</v>
      </c>
      <c r="H308" s="9">
        <f t="shared" si="12"/>
        <v>4.4999999999999998E-2</v>
      </c>
      <c r="I308" s="9">
        <v>4.4999999999999998E-2</v>
      </c>
      <c r="J308" s="9"/>
      <c r="K308" s="9"/>
      <c r="L308" s="9"/>
      <c r="M308" t="s">
        <v>65</v>
      </c>
      <c r="N308" t="s">
        <v>29</v>
      </c>
      <c r="P308" t="s">
        <v>30</v>
      </c>
      <c r="Q308" t="s">
        <v>31</v>
      </c>
      <c r="R308">
        <v>82301</v>
      </c>
      <c r="S308" t="s">
        <v>79</v>
      </c>
      <c r="T308">
        <v>82308</v>
      </c>
      <c r="U308" t="s">
        <v>69</v>
      </c>
      <c r="V308" t="s">
        <v>69</v>
      </c>
      <c r="W308" t="s">
        <v>69</v>
      </c>
      <c r="X308" t="s">
        <v>196</v>
      </c>
      <c r="Y308" s="9">
        <f t="shared" si="13"/>
        <v>0</v>
      </c>
      <c r="Z308" t="str">
        <f t="shared" si="14"/>
        <v>สแกนต่าง Cost</v>
      </c>
    </row>
    <row r="309" spans="1:26" x14ac:dyDescent="0.45">
      <c r="B309" t="s">
        <v>53</v>
      </c>
      <c r="C309">
        <v>20344532</v>
      </c>
      <c r="D309" t="s">
        <v>186</v>
      </c>
      <c r="E309" s="8">
        <v>46139.333333333336</v>
      </c>
      <c r="F309" s="8">
        <v>46139.729166666664</v>
      </c>
      <c r="G309" s="9">
        <v>9.5</v>
      </c>
      <c r="H309" s="9">
        <f t="shared" si="12"/>
        <v>4.9999999999999996E-2</v>
      </c>
      <c r="I309" s="9">
        <v>4.4999999999999998E-2</v>
      </c>
      <c r="J309" s="9"/>
      <c r="K309" s="9">
        <v>5.0000000000000001E-3</v>
      </c>
      <c r="L309" s="9"/>
      <c r="M309" t="s">
        <v>28</v>
      </c>
      <c r="N309" t="s">
        <v>29</v>
      </c>
      <c r="P309" t="s">
        <v>30</v>
      </c>
      <c r="Q309" t="s">
        <v>31</v>
      </c>
      <c r="R309">
        <v>82630</v>
      </c>
      <c r="S309" t="s">
        <v>32</v>
      </c>
      <c r="T309">
        <v>82611</v>
      </c>
      <c r="U309" t="s">
        <v>43</v>
      </c>
      <c r="V309" t="s">
        <v>43</v>
      </c>
      <c r="W309" t="s">
        <v>170</v>
      </c>
      <c r="X309" t="s">
        <v>171</v>
      </c>
      <c r="Y309" s="9">
        <f t="shared" si="13"/>
        <v>5.0000000000000001E-3</v>
      </c>
      <c r="Z309" t="str">
        <f t="shared" si="14"/>
        <v>สแกนต่าง Cost</v>
      </c>
    </row>
    <row r="310" spans="1:26" x14ac:dyDescent="0.45">
      <c r="A310">
        <v>27069</v>
      </c>
      <c r="B310" t="s">
        <v>53</v>
      </c>
      <c r="C310">
        <v>20344551</v>
      </c>
      <c r="D310" t="s">
        <v>110</v>
      </c>
      <c r="E310" s="8">
        <v>46139.333333333336</v>
      </c>
      <c r="F310" s="8">
        <v>46139.89166666667</v>
      </c>
      <c r="G310" s="9">
        <v>13.4</v>
      </c>
      <c r="H310" s="9">
        <f t="shared" si="12"/>
        <v>7.0999999999999994E-2</v>
      </c>
      <c r="I310" s="9">
        <v>4.4999999999999998E-2</v>
      </c>
      <c r="J310" s="9"/>
      <c r="K310" s="9">
        <v>2.5999999999999999E-2</v>
      </c>
      <c r="L310" s="9"/>
      <c r="M310" t="s">
        <v>28</v>
      </c>
      <c r="N310" t="s">
        <v>29</v>
      </c>
      <c r="P310" t="s">
        <v>30</v>
      </c>
      <c r="Q310" t="s">
        <v>31</v>
      </c>
      <c r="R310">
        <v>82655</v>
      </c>
      <c r="S310" t="s">
        <v>59</v>
      </c>
      <c r="T310">
        <v>82664</v>
      </c>
      <c r="U310" t="s">
        <v>75</v>
      </c>
      <c r="V310" t="s">
        <v>75</v>
      </c>
      <c r="W310" t="s">
        <v>37</v>
      </c>
      <c r="X310" t="s">
        <v>111</v>
      </c>
      <c r="Y310" s="9">
        <f t="shared" si="13"/>
        <v>2.5999999999999999E-2</v>
      </c>
      <c r="Z310" t="str">
        <f t="shared" si="14"/>
        <v>สแกนต่าง Cost</v>
      </c>
    </row>
    <row r="311" spans="1:26" x14ac:dyDescent="0.45">
      <c r="A311">
        <v>27070</v>
      </c>
      <c r="B311" t="s">
        <v>53</v>
      </c>
      <c r="C311">
        <v>20344552</v>
      </c>
      <c r="D311" t="s">
        <v>112</v>
      </c>
      <c r="E311" s="8">
        <v>46139.333333333336</v>
      </c>
      <c r="F311" s="8">
        <v>46139.89166666667</v>
      </c>
      <c r="G311" s="9">
        <v>13.4</v>
      </c>
      <c r="H311" s="9">
        <f t="shared" si="12"/>
        <v>7.0999999999999994E-2</v>
      </c>
      <c r="I311" s="9">
        <v>4.4999999999999998E-2</v>
      </c>
      <c r="J311" s="9"/>
      <c r="K311" s="9">
        <v>2.5999999999999999E-2</v>
      </c>
      <c r="L311" s="9"/>
      <c r="M311" t="s">
        <v>28</v>
      </c>
      <c r="N311" t="s">
        <v>29</v>
      </c>
      <c r="P311" t="s">
        <v>30</v>
      </c>
      <c r="Q311" t="s">
        <v>31</v>
      </c>
      <c r="R311">
        <v>82655</v>
      </c>
      <c r="S311" t="s">
        <v>59</v>
      </c>
      <c r="T311">
        <v>82664</v>
      </c>
      <c r="U311" t="s">
        <v>75</v>
      </c>
      <c r="V311" t="s">
        <v>75</v>
      </c>
      <c r="W311" t="s">
        <v>37</v>
      </c>
      <c r="X311" t="s">
        <v>111</v>
      </c>
      <c r="Y311" s="9">
        <f t="shared" si="13"/>
        <v>2.5999999999999999E-2</v>
      </c>
      <c r="Z311" t="str">
        <f t="shared" si="14"/>
        <v>สแกนต่าง Cost</v>
      </c>
    </row>
    <row r="312" spans="1:26" x14ac:dyDescent="0.45">
      <c r="B312" t="s">
        <v>53</v>
      </c>
      <c r="C312">
        <v>20352276</v>
      </c>
      <c r="D312" t="s">
        <v>187</v>
      </c>
      <c r="E312" s="8">
        <v>46139.333333333336</v>
      </c>
      <c r="F312" s="8">
        <v>46139.729166666664</v>
      </c>
      <c r="G312" s="9">
        <v>8.5</v>
      </c>
      <c r="H312" s="9">
        <f t="shared" si="12"/>
        <v>4.4999999999999998E-2</v>
      </c>
      <c r="I312" s="9">
        <v>4.4999999999999998E-2</v>
      </c>
      <c r="J312" s="9"/>
      <c r="K312" s="9"/>
      <c r="L312" s="9"/>
      <c r="M312" t="s">
        <v>65</v>
      </c>
      <c r="N312" t="s">
        <v>29</v>
      </c>
      <c r="P312" t="s">
        <v>30</v>
      </c>
      <c r="Q312" t="s">
        <v>31</v>
      </c>
      <c r="R312">
        <v>82630</v>
      </c>
      <c r="S312" t="s">
        <v>32</v>
      </c>
      <c r="T312">
        <v>82611</v>
      </c>
      <c r="U312" t="s">
        <v>43</v>
      </c>
      <c r="V312" t="s">
        <v>43</v>
      </c>
      <c r="W312" t="s">
        <v>170</v>
      </c>
      <c r="X312" t="s">
        <v>171</v>
      </c>
      <c r="Y312" s="9">
        <f t="shared" si="13"/>
        <v>0</v>
      </c>
      <c r="Z312" t="str">
        <f t="shared" si="14"/>
        <v>สแกนต่าง Cost</v>
      </c>
    </row>
    <row r="313" spans="1:26" x14ac:dyDescent="0.45">
      <c r="A313">
        <v>27068</v>
      </c>
      <c r="B313" t="s">
        <v>53</v>
      </c>
      <c r="C313">
        <v>20372709</v>
      </c>
      <c r="D313" t="s">
        <v>130</v>
      </c>
      <c r="E313" s="8">
        <v>46139.333333333336</v>
      </c>
      <c r="F313" s="8">
        <v>46139.89166666667</v>
      </c>
      <c r="G313" s="9">
        <v>13.4</v>
      </c>
      <c r="H313" s="9">
        <f t="shared" si="12"/>
        <v>7.0999999999999994E-2</v>
      </c>
      <c r="I313" s="9">
        <v>4.4999999999999998E-2</v>
      </c>
      <c r="J313" s="9"/>
      <c r="K313" s="9">
        <v>2.5999999999999999E-2</v>
      </c>
      <c r="L313" s="9"/>
      <c r="M313" t="s">
        <v>28</v>
      </c>
      <c r="N313" t="s">
        <v>29</v>
      </c>
      <c r="P313" t="s">
        <v>30</v>
      </c>
      <c r="Q313" t="s">
        <v>31</v>
      </c>
      <c r="R313">
        <v>82658</v>
      </c>
      <c r="S313" t="s">
        <v>33</v>
      </c>
      <c r="T313">
        <v>82664</v>
      </c>
      <c r="U313" t="s">
        <v>75</v>
      </c>
      <c r="V313" t="s">
        <v>75</v>
      </c>
      <c r="W313" t="s">
        <v>37</v>
      </c>
      <c r="X313" t="s">
        <v>111</v>
      </c>
      <c r="Y313" s="9">
        <f t="shared" si="13"/>
        <v>2.5999999999999999E-2</v>
      </c>
      <c r="Z313" t="str">
        <f t="shared" si="14"/>
        <v>สแกนต่าง Cost</v>
      </c>
    </row>
    <row r="314" spans="1:26" x14ac:dyDescent="0.45">
      <c r="B314" t="s">
        <v>26</v>
      </c>
      <c r="C314">
        <v>20373210</v>
      </c>
      <c r="D314" t="s">
        <v>206</v>
      </c>
      <c r="E314" s="8">
        <v>46139.333333333336</v>
      </c>
      <c r="F314" s="8">
        <v>46139.729166666664</v>
      </c>
      <c r="G314" s="9">
        <v>8.5</v>
      </c>
      <c r="H314" s="9">
        <f t="shared" si="12"/>
        <v>4.4999999999999998E-2</v>
      </c>
      <c r="I314" s="9">
        <v>4.4999999999999998E-2</v>
      </c>
      <c r="J314" s="9"/>
      <c r="K314" s="9"/>
      <c r="L314" s="9"/>
      <c r="M314" t="s">
        <v>77</v>
      </c>
      <c r="N314" t="s">
        <v>40</v>
      </c>
      <c r="O314" t="s">
        <v>78</v>
      </c>
      <c r="P314" t="s">
        <v>30</v>
      </c>
      <c r="Q314" t="s">
        <v>31</v>
      </c>
      <c r="R314">
        <v>82910</v>
      </c>
      <c r="S314" t="s">
        <v>201</v>
      </c>
      <c r="T314">
        <v>82605</v>
      </c>
      <c r="U314" t="s">
        <v>202</v>
      </c>
      <c r="V314" t="s">
        <v>202</v>
      </c>
      <c r="W314" t="s">
        <v>37</v>
      </c>
      <c r="X314" t="s">
        <v>47</v>
      </c>
      <c r="Y314" s="9">
        <f t="shared" si="13"/>
        <v>0</v>
      </c>
      <c r="Z314" t="str">
        <f t="shared" si="14"/>
        <v>สแกนต่าง Cost</v>
      </c>
    </row>
    <row r="315" spans="1:26" x14ac:dyDescent="0.45">
      <c r="A315">
        <v>26951</v>
      </c>
      <c r="B315" t="s">
        <v>53</v>
      </c>
      <c r="C315">
        <v>20374943</v>
      </c>
      <c r="D315" t="s">
        <v>207</v>
      </c>
      <c r="E315" s="8">
        <v>46139.333333333336</v>
      </c>
      <c r="F315" s="8">
        <v>46139.729166666664</v>
      </c>
      <c r="G315" s="9">
        <v>8.5</v>
      </c>
      <c r="H315" s="9">
        <f t="shared" si="12"/>
        <v>4.4999999999999998E-2</v>
      </c>
      <c r="I315" s="9">
        <v>4.4999999999999998E-2</v>
      </c>
      <c r="J315" s="9"/>
      <c r="K315" s="9"/>
      <c r="L315" s="9"/>
      <c r="M315" t="s">
        <v>65</v>
      </c>
      <c r="N315" t="s">
        <v>29</v>
      </c>
      <c r="P315" t="s">
        <v>30</v>
      </c>
      <c r="Q315" t="s">
        <v>31</v>
      </c>
      <c r="R315">
        <v>82301</v>
      </c>
      <c r="S315" t="s">
        <v>79</v>
      </c>
      <c r="T315">
        <v>82308</v>
      </c>
      <c r="U315" t="s">
        <v>69</v>
      </c>
      <c r="V315" t="s">
        <v>69</v>
      </c>
      <c r="W315" t="s">
        <v>69</v>
      </c>
      <c r="X315" t="s">
        <v>95</v>
      </c>
      <c r="Y315" s="9">
        <f t="shared" si="13"/>
        <v>0</v>
      </c>
      <c r="Z315" t="str">
        <f t="shared" si="14"/>
        <v>สแกนต่าง Cost</v>
      </c>
    </row>
    <row r="316" spans="1:26" x14ac:dyDescent="0.45">
      <c r="A316">
        <v>27064</v>
      </c>
      <c r="B316" t="s">
        <v>53</v>
      </c>
      <c r="C316">
        <v>20267288</v>
      </c>
      <c r="D316" t="s">
        <v>127</v>
      </c>
      <c r="E316" s="8">
        <v>46139.327777777777</v>
      </c>
      <c r="F316" s="8">
        <v>46139.729166666664</v>
      </c>
      <c r="G316" s="9">
        <v>8.6333333333333329</v>
      </c>
      <c r="H316" s="9">
        <f t="shared" si="12"/>
        <v>4.5999999999999999E-2</v>
      </c>
      <c r="I316" s="9">
        <v>4.5999999999999999E-2</v>
      </c>
      <c r="J316" s="9"/>
      <c r="K316" s="9"/>
      <c r="L316" s="9"/>
      <c r="M316" t="s">
        <v>65</v>
      </c>
      <c r="N316" t="s">
        <v>29</v>
      </c>
      <c r="P316" t="s">
        <v>30</v>
      </c>
      <c r="Q316" t="s">
        <v>31</v>
      </c>
      <c r="R316">
        <v>82409</v>
      </c>
      <c r="S316" t="s">
        <v>74</v>
      </c>
      <c r="T316">
        <v>82664</v>
      </c>
      <c r="U316" t="s">
        <v>75</v>
      </c>
      <c r="V316" t="s">
        <v>75</v>
      </c>
      <c r="W316" t="s">
        <v>74</v>
      </c>
      <c r="X316" t="s">
        <v>74</v>
      </c>
      <c r="Y316" s="9">
        <f t="shared" si="13"/>
        <v>0</v>
      </c>
      <c r="Z316" t="str">
        <f t="shared" si="14"/>
        <v>สแกนต่าง Cost</v>
      </c>
    </row>
    <row r="317" spans="1:26" x14ac:dyDescent="0.45">
      <c r="A317">
        <v>27063</v>
      </c>
      <c r="B317" t="s">
        <v>53</v>
      </c>
      <c r="C317">
        <v>20391064</v>
      </c>
      <c r="D317" t="s">
        <v>121</v>
      </c>
      <c r="E317" s="8">
        <v>46139.32708333333</v>
      </c>
      <c r="F317" s="8">
        <v>46139.711111111108</v>
      </c>
      <c r="G317" s="9">
        <v>8.2166666666666668</v>
      </c>
      <c r="H317" s="9">
        <f t="shared" si="12"/>
        <v>4.3999999999999997E-2</v>
      </c>
      <c r="I317" s="9">
        <v>4.3999999999999997E-2</v>
      </c>
      <c r="J317" s="9"/>
      <c r="K317" s="9"/>
      <c r="L317" s="9"/>
      <c r="M317" t="s">
        <v>65</v>
      </c>
      <c r="N317" t="s">
        <v>29</v>
      </c>
      <c r="P317" t="s">
        <v>30</v>
      </c>
      <c r="Q317" t="s">
        <v>31</v>
      </c>
      <c r="R317">
        <v>82630</v>
      </c>
      <c r="S317" t="s">
        <v>32</v>
      </c>
      <c r="T317">
        <v>82664</v>
      </c>
      <c r="U317" t="s">
        <v>75</v>
      </c>
      <c r="V317" t="s">
        <v>75</v>
      </c>
      <c r="W317" t="s">
        <v>37</v>
      </c>
      <c r="X317" t="s">
        <v>86</v>
      </c>
      <c r="Y317" s="9">
        <f t="shared" si="13"/>
        <v>0</v>
      </c>
      <c r="Z317" t="str">
        <f t="shared" si="14"/>
        <v>สแกนต่าง Cost</v>
      </c>
    </row>
    <row r="318" spans="1:26" x14ac:dyDescent="0.45">
      <c r="A318">
        <v>27059</v>
      </c>
      <c r="B318" t="s">
        <v>53</v>
      </c>
      <c r="C318">
        <v>20041131</v>
      </c>
      <c r="D318" t="s">
        <v>173</v>
      </c>
      <c r="E318" s="8">
        <v>46139.326388888891</v>
      </c>
      <c r="F318" s="8">
        <v>46139.710416666669</v>
      </c>
      <c r="G318" s="9">
        <v>8.2166666666666668</v>
      </c>
      <c r="H318" s="9">
        <f t="shared" si="12"/>
        <v>4.3999999999999997E-2</v>
      </c>
      <c r="I318" s="9">
        <v>4.3999999999999997E-2</v>
      </c>
      <c r="J318" s="9"/>
      <c r="K318" s="9"/>
      <c r="L318" s="9"/>
      <c r="M318" t="s">
        <v>65</v>
      </c>
      <c r="N318" t="s">
        <v>29</v>
      </c>
      <c r="P318" t="s">
        <v>30</v>
      </c>
      <c r="Q318" t="s">
        <v>31</v>
      </c>
      <c r="R318">
        <v>82630</v>
      </c>
      <c r="S318" t="s">
        <v>32</v>
      </c>
      <c r="T318">
        <v>82664</v>
      </c>
      <c r="U318" t="s">
        <v>75</v>
      </c>
      <c r="V318" t="s">
        <v>75</v>
      </c>
      <c r="W318" t="s">
        <v>37</v>
      </c>
      <c r="X318" t="s">
        <v>86</v>
      </c>
      <c r="Y318" s="9">
        <f t="shared" si="13"/>
        <v>0</v>
      </c>
      <c r="Z318" t="str">
        <f t="shared" si="14"/>
        <v>สแกนต่าง Cost</v>
      </c>
    </row>
    <row r="319" spans="1:26" x14ac:dyDescent="0.45">
      <c r="A319">
        <v>27062</v>
      </c>
      <c r="B319" t="s">
        <v>53</v>
      </c>
      <c r="C319">
        <v>20056406</v>
      </c>
      <c r="D319" t="s">
        <v>85</v>
      </c>
      <c r="E319" s="8">
        <v>46139.326388888891</v>
      </c>
      <c r="F319" s="8">
        <v>46139.710416666669</v>
      </c>
      <c r="G319" s="9">
        <v>8.2166666666666668</v>
      </c>
      <c r="H319" s="9">
        <f t="shared" si="12"/>
        <v>4.3999999999999997E-2</v>
      </c>
      <c r="I319" s="9"/>
      <c r="J319" s="9">
        <v>4.3999999999999997E-2</v>
      </c>
      <c r="K319" s="9"/>
      <c r="L319" s="9"/>
      <c r="M319" t="s">
        <v>77</v>
      </c>
      <c r="N319" t="s">
        <v>29</v>
      </c>
      <c r="P319" t="s">
        <v>30</v>
      </c>
      <c r="Q319" t="s">
        <v>31</v>
      </c>
      <c r="R319">
        <v>82630</v>
      </c>
      <c r="S319" t="s">
        <v>32</v>
      </c>
      <c r="T319">
        <v>82664</v>
      </c>
      <c r="U319" t="s">
        <v>75</v>
      </c>
      <c r="V319" t="s">
        <v>75</v>
      </c>
      <c r="W319" t="s">
        <v>37</v>
      </c>
      <c r="X319" t="s">
        <v>86</v>
      </c>
      <c r="Y319" s="9">
        <f t="shared" si="13"/>
        <v>4.3999999999999997E-2</v>
      </c>
      <c r="Z319" t="str">
        <f t="shared" si="14"/>
        <v>สแกนต่าง Cost</v>
      </c>
    </row>
    <row r="320" spans="1:26" x14ac:dyDescent="0.45">
      <c r="A320">
        <v>27056</v>
      </c>
      <c r="B320" t="s">
        <v>53</v>
      </c>
      <c r="C320">
        <v>20156338</v>
      </c>
      <c r="D320" t="s">
        <v>102</v>
      </c>
      <c r="E320" s="8">
        <v>46139.326388888891</v>
      </c>
      <c r="F320" s="8">
        <v>46139.710416666669</v>
      </c>
      <c r="G320" s="9">
        <v>8.2166666666666668</v>
      </c>
      <c r="H320" s="9">
        <f t="shared" si="12"/>
        <v>4.3999999999999997E-2</v>
      </c>
      <c r="I320" s="9"/>
      <c r="J320" s="9">
        <v>4.3999999999999997E-2</v>
      </c>
      <c r="K320" s="9"/>
      <c r="L320" s="9"/>
      <c r="M320" t="s">
        <v>77</v>
      </c>
      <c r="N320" t="s">
        <v>29</v>
      </c>
      <c r="P320" t="s">
        <v>30</v>
      </c>
      <c r="Q320" t="s">
        <v>31</v>
      </c>
      <c r="R320">
        <v>82630</v>
      </c>
      <c r="S320" t="s">
        <v>32</v>
      </c>
      <c r="T320">
        <v>82664</v>
      </c>
      <c r="U320" t="s">
        <v>75</v>
      </c>
      <c r="V320" t="s">
        <v>75</v>
      </c>
      <c r="W320" t="s">
        <v>37</v>
      </c>
      <c r="X320" t="s">
        <v>86</v>
      </c>
      <c r="Y320" s="9">
        <f t="shared" si="13"/>
        <v>4.3999999999999997E-2</v>
      </c>
      <c r="Z320" t="str">
        <f t="shared" si="14"/>
        <v>สแกนต่าง Cost</v>
      </c>
    </row>
    <row r="321" spans="1:26" x14ac:dyDescent="0.45">
      <c r="A321">
        <v>27055</v>
      </c>
      <c r="B321" t="s">
        <v>53</v>
      </c>
      <c r="C321">
        <v>20198717</v>
      </c>
      <c r="D321" t="s">
        <v>238</v>
      </c>
      <c r="E321" s="8">
        <v>46139.326388888891</v>
      </c>
      <c r="F321" s="8">
        <v>46139.710416666669</v>
      </c>
      <c r="G321" s="9">
        <v>8.2166666666666668</v>
      </c>
      <c r="H321" s="9">
        <f t="shared" si="12"/>
        <v>4.3999999999999997E-2</v>
      </c>
      <c r="I321" s="9"/>
      <c r="J321" s="9">
        <v>4.3999999999999997E-2</v>
      </c>
      <c r="K321" s="9"/>
      <c r="L321" s="9"/>
      <c r="M321" t="s">
        <v>77</v>
      </c>
      <c r="N321" t="s">
        <v>29</v>
      </c>
      <c r="P321" t="s">
        <v>30</v>
      </c>
      <c r="Q321" t="s">
        <v>31</v>
      </c>
      <c r="R321">
        <v>82630</v>
      </c>
      <c r="S321" t="s">
        <v>32</v>
      </c>
      <c r="T321">
        <v>82664</v>
      </c>
      <c r="U321" t="s">
        <v>75</v>
      </c>
      <c r="V321" t="s">
        <v>75</v>
      </c>
      <c r="W321" t="s">
        <v>37</v>
      </c>
      <c r="X321" t="s">
        <v>86</v>
      </c>
      <c r="Y321" s="9">
        <f t="shared" si="13"/>
        <v>4.3999999999999997E-2</v>
      </c>
      <c r="Z321" t="str">
        <f t="shared" si="14"/>
        <v>สแกนต่าง Cost</v>
      </c>
    </row>
    <row r="322" spans="1:26" x14ac:dyDescent="0.45">
      <c r="A322">
        <v>27060</v>
      </c>
      <c r="B322" t="s">
        <v>53</v>
      </c>
      <c r="C322">
        <v>20198722</v>
      </c>
      <c r="D322" t="s">
        <v>104</v>
      </c>
      <c r="E322" s="8">
        <v>46139.326388888891</v>
      </c>
      <c r="F322" s="8">
        <v>46139.710416666669</v>
      </c>
      <c r="G322" s="9">
        <v>8.2166666666666668</v>
      </c>
      <c r="H322" s="9">
        <f t="shared" si="12"/>
        <v>4.3999999999999997E-2</v>
      </c>
      <c r="I322" s="9"/>
      <c r="J322" s="9">
        <v>4.3999999999999997E-2</v>
      </c>
      <c r="K322" s="9"/>
      <c r="L322" s="9"/>
      <c r="M322" t="s">
        <v>77</v>
      </c>
      <c r="N322" t="s">
        <v>29</v>
      </c>
      <c r="P322" t="s">
        <v>30</v>
      </c>
      <c r="Q322" t="s">
        <v>31</v>
      </c>
      <c r="R322">
        <v>82630</v>
      </c>
      <c r="S322" t="s">
        <v>32</v>
      </c>
      <c r="T322">
        <v>82664</v>
      </c>
      <c r="U322" t="s">
        <v>75</v>
      </c>
      <c r="V322" t="s">
        <v>75</v>
      </c>
      <c r="W322" t="s">
        <v>37</v>
      </c>
      <c r="X322" t="s">
        <v>86</v>
      </c>
      <c r="Y322" s="9">
        <f t="shared" si="13"/>
        <v>4.3999999999999997E-2</v>
      </c>
      <c r="Z322" t="str">
        <f t="shared" si="14"/>
        <v>สแกนต่าง Cost</v>
      </c>
    </row>
    <row r="323" spans="1:26" x14ac:dyDescent="0.45">
      <c r="A323">
        <v>27057</v>
      </c>
      <c r="B323" t="s">
        <v>53</v>
      </c>
      <c r="C323">
        <v>20240961</v>
      </c>
      <c r="D323" t="s">
        <v>239</v>
      </c>
      <c r="E323" s="8">
        <v>46139.326388888891</v>
      </c>
      <c r="F323" s="8">
        <v>46139.710416666669</v>
      </c>
      <c r="G323" s="9">
        <v>8.2166666666666668</v>
      </c>
      <c r="H323" s="9">
        <f t="shared" ref="H323:H386" si="15">SUM(I323:L323)</f>
        <v>4.3999999999999997E-2</v>
      </c>
      <c r="I323" s="9">
        <v>4.3999999999999997E-2</v>
      </c>
      <c r="J323" s="9"/>
      <c r="K323" s="9"/>
      <c r="L323" s="9"/>
      <c r="M323" t="s">
        <v>65</v>
      </c>
      <c r="N323" t="s">
        <v>29</v>
      </c>
      <c r="P323" t="s">
        <v>30</v>
      </c>
      <c r="Q323" t="s">
        <v>31</v>
      </c>
      <c r="R323">
        <v>82630</v>
      </c>
      <c r="S323" t="s">
        <v>32</v>
      </c>
      <c r="T323">
        <v>82664</v>
      </c>
      <c r="U323" t="s">
        <v>75</v>
      </c>
      <c r="V323" t="s">
        <v>75</v>
      </c>
      <c r="W323" t="s">
        <v>37</v>
      </c>
      <c r="X323" t="s">
        <v>86</v>
      </c>
      <c r="Y323" s="9">
        <f t="shared" ref="Y323:Y386" si="16">SUM(J323:L323)</f>
        <v>0</v>
      </c>
      <c r="Z323" t="str">
        <f t="shared" ref="Z323:Z386" si="17">IF(R323=T323,"สแกน Cost ตัวเอง","สแกนต่าง Cost")</f>
        <v>สแกนต่าง Cost</v>
      </c>
    </row>
    <row r="324" spans="1:26" x14ac:dyDescent="0.45">
      <c r="A324">
        <v>27054</v>
      </c>
      <c r="B324" t="s">
        <v>53</v>
      </c>
      <c r="C324">
        <v>20278787</v>
      </c>
      <c r="D324" t="s">
        <v>161</v>
      </c>
      <c r="E324" s="8">
        <v>46139.326388888891</v>
      </c>
      <c r="F324" s="8">
        <v>46139.710416666669</v>
      </c>
      <c r="G324" s="9">
        <v>8.2166666666666668</v>
      </c>
      <c r="H324" s="9">
        <f t="shared" si="15"/>
        <v>4.3999999999999997E-2</v>
      </c>
      <c r="I324" s="9"/>
      <c r="J324" s="9">
        <v>4.3999999999999997E-2</v>
      </c>
      <c r="K324" s="9"/>
      <c r="L324" s="9"/>
      <c r="M324" t="s">
        <v>77</v>
      </c>
      <c r="N324" t="s">
        <v>29</v>
      </c>
      <c r="P324" t="s">
        <v>30</v>
      </c>
      <c r="Q324" t="s">
        <v>31</v>
      </c>
      <c r="R324">
        <v>82630</v>
      </c>
      <c r="S324" t="s">
        <v>32</v>
      </c>
      <c r="T324">
        <v>82664</v>
      </c>
      <c r="U324" t="s">
        <v>75</v>
      </c>
      <c r="V324" t="s">
        <v>75</v>
      </c>
      <c r="W324" t="s">
        <v>37</v>
      </c>
      <c r="X324" t="s">
        <v>86</v>
      </c>
      <c r="Y324" s="9">
        <f t="shared" si="16"/>
        <v>4.3999999999999997E-2</v>
      </c>
      <c r="Z324" t="str">
        <f t="shared" si="17"/>
        <v>สแกนต่าง Cost</v>
      </c>
    </row>
    <row r="325" spans="1:26" x14ac:dyDescent="0.45">
      <c r="A325">
        <v>27053</v>
      </c>
      <c r="B325" t="s">
        <v>53</v>
      </c>
      <c r="C325">
        <v>20343361</v>
      </c>
      <c r="D325" t="s">
        <v>109</v>
      </c>
      <c r="E325" s="8">
        <v>46139.326388888891</v>
      </c>
      <c r="F325" s="8">
        <v>46139.710416666669</v>
      </c>
      <c r="G325" s="9">
        <v>8.2166666666666668</v>
      </c>
      <c r="H325" s="9">
        <f t="shared" si="15"/>
        <v>4.3999999999999997E-2</v>
      </c>
      <c r="I325" s="9"/>
      <c r="J325" s="9">
        <v>4.3999999999999997E-2</v>
      </c>
      <c r="K325" s="9"/>
      <c r="L325" s="9"/>
      <c r="M325" t="s">
        <v>77</v>
      </c>
      <c r="N325" t="s">
        <v>29</v>
      </c>
      <c r="P325" t="s">
        <v>30</v>
      </c>
      <c r="Q325" t="s">
        <v>31</v>
      </c>
      <c r="R325">
        <v>82630</v>
      </c>
      <c r="S325" t="s">
        <v>32</v>
      </c>
      <c r="T325">
        <v>82664</v>
      </c>
      <c r="U325" t="s">
        <v>75</v>
      </c>
      <c r="V325" t="s">
        <v>75</v>
      </c>
      <c r="W325" t="s">
        <v>37</v>
      </c>
      <c r="X325" t="s">
        <v>86</v>
      </c>
      <c r="Y325" s="9">
        <f t="shared" si="16"/>
        <v>4.3999999999999997E-2</v>
      </c>
      <c r="Z325" t="str">
        <f t="shared" si="17"/>
        <v>สแกนต่าง Cost</v>
      </c>
    </row>
    <row r="326" spans="1:26" x14ac:dyDescent="0.45">
      <c r="A326">
        <v>27058</v>
      </c>
      <c r="B326" t="s">
        <v>53</v>
      </c>
      <c r="C326">
        <v>20370709</v>
      </c>
      <c r="D326" t="s">
        <v>115</v>
      </c>
      <c r="E326" s="8">
        <v>46139.326388888891</v>
      </c>
      <c r="F326" s="8">
        <v>46139.710416666669</v>
      </c>
      <c r="G326" s="9">
        <v>8.2166666666666668</v>
      </c>
      <c r="H326" s="9">
        <f t="shared" si="15"/>
        <v>4.3999999999999997E-2</v>
      </c>
      <c r="I326" s="9">
        <v>4.3999999999999997E-2</v>
      </c>
      <c r="J326" s="9"/>
      <c r="K326" s="9"/>
      <c r="L326" s="9"/>
      <c r="M326" t="s">
        <v>65</v>
      </c>
      <c r="N326" t="s">
        <v>29</v>
      </c>
      <c r="P326" t="s">
        <v>30</v>
      </c>
      <c r="Q326" t="s">
        <v>31</v>
      </c>
      <c r="R326">
        <v>82630</v>
      </c>
      <c r="S326" t="s">
        <v>32</v>
      </c>
      <c r="T326">
        <v>82664</v>
      </c>
      <c r="U326" t="s">
        <v>75</v>
      </c>
      <c r="V326" t="s">
        <v>75</v>
      </c>
      <c r="W326" t="s">
        <v>37</v>
      </c>
      <c r="X326" t="s">
        <v>86</v>
      </c>
      <c r="Y326" s="9">
        <f t="shared" si="16"/>
        <v>0</v>
      </c>
      <c r="Z326" t="str">
        <f t="shared" si="17"/>
        <v>สแกนต่าง Cost</v>
      </c>
    </row>
    <row r="327" spans="1:26" x14ac:dyDescent="0.45">
      <c r="A327">
        <v>27061</v>
      </c>
      <c r="B327" t="s">
        <v>53</v>
      </c>
      <c r="C327">
        <v>20391063</v>
      </c>
      <c r="D327" t="s">
        <v>120</v>
      </c>
      <c r="E327" s="8">
        <v>46139.326388888891</v>
      </c>
      <c r="F327" s="8">
        <v>46139.710416666669</v>
      </c>
      <c r="G327" s="9">
        <v>8.2166666666666668</v>
      </c>
      <c r="H327" s="9">
        <f t="shared" si="15"/>
        <v>4.3999999999999997E-2</v>
      </c>
      <c r="I327" s="9">
        <v>4.3999999999999997E-2</v>
      </c>
      <c r="J327" s="9"/>
      <c r="K327" s="9"/>
      <c r="L327" s="9"/>
      <c r="M327" t="s">
        <v>65</v>
      </c>
      <c r="N327" t="s">
        <v>29</v>
      </c>
      <c r="P327" t="s">
        <v>30</v>
      </c>
      <c r="Q327" t="s">
        <v>31</v>
      </c>
      <c r="R327">
        <v>82630</v>
      </c>
      <c r="S327" t="s">
        <v>32</v>
      </c>
      <c r="T327">
        <v>82664</v>
      </c>
      <c r="U327" t="s">
        <v>75</v>
      </c>
      <c r="V327" t="s">
        <v>75</v>
      </c>
      <c r="W327" t="s">
        <v>37</v>
      </c>
      <c r="X327" t="s">
        <v>86</v>
      </c>
      <c r="Y327" s="9">
        <f t="shared" si="16"/>
        <v>0</v>
      </c>
      <c r="Z327" t="str">
        <f t="shared" si="17"/>
        <v>สแกนต่าง Cost</v>
      </c>
    </row>
    <row r="328" spans="1:26" x14ac:dyDescent="0.45">
      <c r="A328">
        <v>27050</v>
      </c>
      <c r="B328" t="s">
        <v>53</v>
      </c>
      <c r="C328">
        <v>20015376</v>
      </c>
      <c r="D328" t="s">
        <v>93</v>
      </c>
      <c r="E328" s="8">
        <v>46139.325694444444</v>
      </c>
      <c r="F328" s="8">
        <v>46139.709722222222</v>
      </c>
      <c r="G328" s="9">
        <v>8.2166666666666668</v>
      </c>
      <c r="H328" s="9">
        <f t="shared" si="15"/>
        <v>4.3999999999999997E-2</v>
      </c>
      <c r="I328" s="9"/>
      <c r="J328" s="9">
        <v>4.3999999999999997E-2</v>
      </c>
      <c r="K328" s="9"/>
      <c r="L328" s="9"/>
      <c r="M328" t="s">
        <v>77</v>
      </c>
      <c r="N328" t="s">
        <v>29</v>
      </c>
      <c r="P328" t="s">
        <v>30</v>
      </c>
      <c r="Q328" t="s">
        <v>31</v>
      </c>
      <c r="R328">
        <v>82630</v>
      </c>
      <c r="S328" t="s">
        <v>32</v>
      </c>
      <c r="T328">
        <v>82664</v>
      </c>
      <c r="U328" t="s">
        <v>75</v>
      </c>
      <c r="V328" t="s">
        <v>75</v>
      </c>
      <c r="W328" t="s">
        <v>37</v>
      </c>
      <c r="X328" t="s">
        <v>86</v>
      </c>
      <c r="Y328" s="9">
        <f t="shared" si="16"/>
        <v>4.3999999999999997E-2</v>
      </c>
      <c r="Z328" t="str">
        <f t="shared" si="17"/>
        <v>สแกนต่าง Cost</v>
      </c>
    </row>
    <row r="329" spans="1:26" x14ac:dyDescent="0.45">
      <c r="A329">
        <v>27051</v>
      </c>
      <c r="B329" t="s">
        <v>53</v>
      </c>
      <c r="C329">
        <v>20074652</v>
      </c>
      <c r="D329" t="s">
        <v>162</v>
      </c>
      <c r="E329" s="8">
        <v>46139.325694444444</v>
      </c>
      <c r="F329" s="8">
        <v>46139.709722222222</v>
      </c>
      <c r="G329" s="9">
        <v>8.2166666666666668</v>
      </c>
      <c r="H329" s="9">
        <f t="shared" si="15"/>
        <v>4.3999999999999997E-2</v>
      </c>
      <c r="I329" s="9"/>
      <c r="J329" s="9">
        <v>4.3999999999999997E-2</v>
      </c>
      <c r="K329" s="9"/>
      <c r="L329" s="9"/>
      <c r="M329" t="s">
        <v>77</v>
      </c>
      <c r="N329" t="s">
        <v>29</v>
      </c>
      <c r="P329" t="s">
        <v>30</v>
      </c>
      <c r="Q329" t="s">
        <v>31</v>
      </c>
      <c r="R329">
        <v>82630</v>
      </c>
      <c r="S329" t="s">
        <v>32</v>
      </c>
      <c r="T329">
        <v>82664</v>
      </c>
      <c r="U329" t="s">
        <v>75</v>
      </c>
      <c r="V329" t="s">
        <v>75</v>
      </c>
      <c r="W329" t="s">
        <v>37</v>
      </c>
      <c r="X329" t="s">
        <v>86</v>
      </c>
      <c r="Y329" s="9">
        <f t="shared" si="16"/>
        <v>4.3999999999999997E-2</v>
      </c>
      <c r="Z329" t="str">
        <f t="shared" si="17"/>
        <v>สแกนต่าง Cost</v>
      </c>
    </row>
    <row r="330" spans="1:26" x14ac:dyDescent="0.45">
      <c r="A330">
        <v>27052</v>
      </c>
      <c r="B330" t="s">
        <v>53</v>
      </c>
      <c r="C330">
        <v>20240959</v>
      </c>
      <c r="D330" t="s">
        <v>105</v>
      </c>
      <c r="E330" s="8">
        <v>46139.325694444444</v>
      </c>
      <c r="F330" s="8">
        <v>46139.709722222222</v>
      </c>
      <c r="G330" s="9">
        <v>8.2166666666666668</v>
      </c>
      <c r="H330" s="9">
        <f t="shared" si="15"/>
        <v>4.3999999999999997E-2</v>
      </c>
      <c r="I330" s="9"/>
      <c r="J330" s="9">
        <v>4.3999999999999997E-2</v>
      </c>
      <c r="K330" s="9"/>
      <c r="L330" s="9"/>
      <c r="M330" t="s">
        <v>77</v>
      </c>
      <c r="N330" t="s">
        <v>40</v>
      </c>
      <c r="O330" t="s">
        <v>78</v>
      </c>
      <c r="P330" t="s">
        <v>30</v>
      </c>
      <c r="Q330" t="s">
        <v>31</v>
      </c>
      <c r="R330">
        <v>82630</v>
      </c>
      <c r="S330" t="s">
        <v>32</v>
      </c>
      <c r="T330">
        <v>82664</v>
      </c>
      <c r="U330" t="s">
        <v>75</v>
      </c>
      <c r="V330" t="s">
        <v>75</v>
      </c>
      <c r="W330" t="s">
        <v>37</v>
      </c>
      <c r="X330" t="s">
        <v>86</v>
      </c>
      <c r="Y330" s="9">
        <f t="shared" si="16"/>
        <v>4.3999999999999997E-2</v>
      </c>
      <c r="Z330" t="str">
        <f t="shared" si="17"/>
        <v>สแกนต่าง Cost</v>
      </c>
    </row>
    <row r="331" spans="1:26" x14ac:dyDescent="0.45">
      <c r="A331">
        <v>26946</v>
      </c>
      <c r="B331" t="s">
        <v>53</v>
      </c>
      <c r="C331">
        <v>20017430</v>
      </c>
      <c r="D331" t="s">
        <v>94</v>
      </c>
      <c r="E331" s="8">
        <v>46139.292361111111</v>
      </c>
      <c r="F331" s="8">
        <v>46139.729166666664</v>
      </c>
      <c r="G331" s="9">
        <v>10.483333333333333</v>
      </c>
      <c r="H331" s="9">
        <f t="shared" si="15"/>
        <v>5.5999999999999994E-2</v>
      </c>
      <c r="I331" s="9">
        <v>4.4999999999999998E-2</v>
      </c>
      <c r="J331" s="9"/>
      <c r="K331" s="9">
        <v>1.0999999999999999E-2</v>
      </c>
      <c r="L331" s="9"/>
      <c r="M331" t="s">
        <v>28</v>
      </c>
      <c r="N331" t="s">
        <v>29</v>
      </c>
      <c r="P331" t="s">
        <v>30</v>
      </c>
      <c r="Q331" t="s">
        <v>31</v>
      </c>
      <c r="R331">
        <v>82301</v>
      </c>
      <c r="S331" t="s">
        <v>79</v>
      </c>
      <c r="T331">
        <v>82308</v>
      </c>
      <c r="U331" t="s">
        <v>69</v>
      </c>
      <c r="V331" t="s">
        <v>69</v>
      </c>
      <c r="W331" t="s">
        <v>69</v>
      </c>
      <c r="X331" t="s">
        <v>95</v>
      </c>
      <c r="Y331" s="9">
        <f t="shared" si="16"/>
        <v>1.0999999999999999E-2</v>
      </c>
      <c r="Z331" t="str">
        <f t="shared" si="17"/>
        <v>สแกนต่าง Cost</v>
      </c>
    </row>
    <row r="332" spans="1:26" x14ac:dyDescent="0.45">
      <c r="A332">
        <v>26947</v>
      </c>
      <c r="B332" t="s">
        <v>53</v>
      </c>
      <c r="C332">
        <v>20038911</v>
      </c>
      <c r="D332" t="s">
        <v>240</v>
      </c>
      <c r="E332" s="8">
        <v>46139.292361111111</v>
      </c>
      <c r="F332" s="8">
        <v>46139.333333333336</v>
      </c>
      <c r="G332" s="9">
        <v>0.98333333333333328</v>
      </c>
      <c r="H332" s="9">
        <f t="shared" si="15"/>
        <v>5.0000000000000001E-3</v>
      </c>
      <c r="I332" s="9"/>
      <c r="J332" s="9"/>
      <c r="K332" s="9">
        <v>5.0000000000000001E-3</v>
      </c>
      <c r="L332" s="9"/>
      <c r="M332" t="s">
        <v>28</v>
      </c>
      <c r="N332" t="s">
        <v>40</v>
      </c>
      <c r="O332" t="s">
        <v>241</v>
      </c>
      <c r="P332" t="s">
        <v>30</v>
      </c>
      <c r="Q332" t="s">
        <v>31</v>
      </c>
      <c r="R332">
        <v>82301</v>
      </c>
      <c r="S332" t="s">
        <v>79</v>
      </c>
      <c r="T332">
        <v>82308</v>
      </c>
      <c r="U332" t="s">
        <v>69</v>
      </c>
      <c r="V332" t="s">
        <v>69</v>
      </c>
      <c r="W332" t="s">
        <v>69</v>
      </c>
      <c r="X332" t="s">
        <v>95</v>
      </c>
      <c r="Y332" s="9">
        <f t="shared" si="16"/>
        <v>5.0000000000000001E-3</v>
      </c>
      <c r="Z332" t="str">
        <f t="shared" si="17"/>
        <v>สแกนต่าง Cost</v>
      </c>
    </row>
    <row r="333" spans="1:26" x14ac:dyDescent="0.45">
      <c r="A333">
        <v>27049</v>
      </c>
      <c r="B333" t="s">
        <v>53</v>
      </c>
      <c r="C333">
        <v>20214280</v>
      </c>
      <c r="D333" t="s">
        <v>136</v>
      </c>
      <c r="E333" s="8">
        <v>46139.24722222222</v>
      </c>
      <c r="F333" s="8">
        <v>46139.754861111112</v>
      </c>
      <c r="G333" s="9">
        <v>12.183333333333334</v>
      </c>
      <c r="H333" s="9">
        <f t="shared" si="15"/>
        <v>6.5000000000000002E-2</v>
      </c>
      <c r="I333" s="9">
        <v>4.4999999999999998E-2</v>
      </c>
      <c r="J333" s="9"/>
      <c r="K333" s="9">
        <v>0.02</v>
      </c>
      <c r="L333" s="9"/>
      <c r="M333" t="s">
        <v>28</v>
      </c>
      <c r="N333" t="s">
        <v>40</v>
      </c>
      <c r="O333" t="s">
        <v>41</v>
      </c>
      <c r="P333" t="s">
        <v>30</v>
      </c>
      <c r="Q333" t="s">
        <v>31</v>
      </c>
      <c r="R333">
        <v>82415</v>
      </c>
      <c r="S333" t="s">
        <v>137</v>
      </c>
      <c r="T333">
        <v>82664</v>
      </c>
      <c r="U333" t="s">
        <v>75</v>
      </c>
      <c r="V333" t="s">
        <v>75</v>
      </c>
      <c r="W333" t="s">
        <v>74</v>
      </c>
      <c r="X333" t="s">
        <v>74</v>
      </c>
      <c r="Y333" s="9">
        <f t="shared" si="16"/>
        <v>0.02</v>
      </c>
      <c r="Z333" t="str">
        <f t="shared" si="17"/>
        <v>สแกนต่าง Cost</v>
      </c>
    </row>
    <row r="334" spans="1:26" x14ac:dyDescent="0.45">
      <c r="B334" t="s">
        <v>26</v>
      </c>
      <c r="C334">
        <v>20075031</v>
      </c>
      <c r="D334" t="s">
        <v>191</v>
      </c>
      <c r="E334" s="8">
        <v>46138.418055555558</v>
      </c>
      <c r="F334" s="8">
        <v>46138.665972222225</v>
      </c>
      <c r="G334" s="9">
        <v>4.95</v>
      </c>
      <c r="H334" s="9">
        <f t="shared" si="15"/>
        <v>2.5999999999999999E-2</v>
      </c>
      <c r="I334" s="9"/>
      <c r="J334" s="9">
        <v>2.5999999999999999E-2</v>
      </c>
      <c r="K334" s="9"/>
      <c r="L334" s="9"/>
      <c r="M334" t="s">
        <v>77</v>
      </c>
      <c r="N334" t="s">
        <v>40</v>
      </c>
      <c r="O334" t="s">
        <v>242</v>
      </c>
      <c r="P334" t="s">
        <v>30</v>
      </c>
      <c r="Q334" t="s">
        <v>31</v>
      </c>
      <c r="R334">
        <v>82640</v>
      </c>
      <c r="S334" t="s">
        <v>42</v>
      </c>
      <c r="T334">
        <v>82611</v>
      </c>
      <c r="U334" t="s">
        <v>43</v>
      </c>
      <c r="V334" t="s">
        <v>43</v>
      </c>
      <c r="W334" t="s">
        <v>243</v>
      </c>
      <c r="X334" t="s">
        <v>243</v>
      </c>
      <c r="Y334" s="9">
        <f t="shared" si="16"/>
        <v>2.5999999999999999E-2</v>
      </c>
      <c r="Z334" t="str">
        <f t="shared" si="17"/>
        <v>สแกนต่าง Cost</v>
      </c>
    </row>
    <row r="335" spans="1:26" x14ac:dyDescent="0.45">
      <c r="A335">
        <v>27044</v>
      </c>
      <c r="B335" t="s">
        <v>53</v>
      </c>
      <c r="C335">
        <v>20030839</v>
      </c>
      <c r="D335" t="s">
        <v>235</v>
      </c>
      <c r="E335" s="8">
        <v>46138.333333333336</v>
      </c>
      <c r="F335" s="8">
        <v>46138.729166666664</v>
      </c>
      <c r="G335" s="9">
        <v>8.5</v>
      </c>
      <c r="H335" s="9">
        <f t="shared" si="15"/>
        <v>4.4999999999999998E-2</v>
      </c>
      <c r="I335" s="9"/>
      <c r="J335" s="9">
        <v>4.4999999999999998E-2</v>
      </c>
      <c r="K335" s="9"/>
      <c r="L335" s="9"/>
      <c r="M335" t="s">
        <v>77</v>
      </c>
      <c r="N335" t="s">
        <v>40</v>
      </c>
      <c r="O335" t="s">
        <v>78</v>
      </c>
      <c r="P335" t="s">
        <v>30</v>
      </c>
      <c r="Q335" t="s">
        <v>31</v>
      </c>
      <c r="R335">
        <v>82658</v>
      </c>
      <c r="S335" t="s">
        <v>33</v>
      </c>
      <c r="T335">
        <v>82664</v>
      </c>
      <c r="U335" t="s">
        <v>75</v>
      </c>
      <c r="V335" t="s">
        <v>75</v>
      </c>
      <c r="W335" t="s">
        <v>37</v>
      </c>
      <c r="X335" t="s">
        <v>111</v>
      </c>
      <c r="Y335" s="9">
        <f t="shared" si="16"/>
        <v>4.4999999999999998E-2</v>
      </c>
      <c r="Z335" t="str">
        <f t="shared" si="17"/>
        <v>สแกนต่าง Cost</v>
      </c>
    </row>
    <row r="336" spans="1:26" x14ac:dyDescent="0.45">
      <c r="B336" t="s">
        <v>26</v>
      </c>
      <c r="C336">
        <v>20098133</v>
      </c>
      <c r="D336" t="s">
        <v>244</v>
      </c>
      <c r="E336" s="8">
        <v>46138.333333333336</v>
      </c>
      <c r="F336" s="8">
        <v>46138.624305555553</v>
      </c>
      <c r="G336" s="9">
        <v>5.9833333333333334</v>
      </c>
      <c r="H336" s="9">
        <f t="shared" si="15"/>
        <v>3.2000000000000001E-2</v>
      </c>
      <c r="I336" s="9"/>
      <c r="J336" s="9">
        <v>3.2000000000000001E-2</v>
      </c>
      <c r="K336" s="9"/>
      <c r="L336" s="9"/>
      <c r="M336" t="s">
        <v>77</v>
      </c>
      <c r="N336" t="s">
        <v>40</v>
      </c>
      <c r="O336" t="s">
        <v>245</v>
      </c>
      <c r="P336" t="s">
        <v>30</v>
      </c>
      <c r="Q336" t="s">
        <v>31</v>
      </c>
      <c r="R336">
        <v>82640</v>
      </c>
      <c r="S336" t="s">
        <v>42</v>
      </c>
      <c r="T336">
        <v>82611</v>
      </c>
      <c r="U336" t="s">
        <v>43</v>
      </c>
      <c r="V336" t="s">
        <v>43</v>
      </c>
      <c r="W336" t="s">
        <v>42</v>
      </c>
      <c r="X336" t="s">
        <v>38</v>
      </c>
      <c r="Y336" s="9">
        <f t="shared" si="16"/>
        <v>3.2000000000000001E-2</v>
      </c>
      <c r="Z336" t="str">
        <f t="shared" si="17"/>
        <v>สแกนต่าง Cost</v>
      </c>
    </row>
    <row r="337" spans="1:26" x14ac:dyDescent="0.45">
      <c r="A337">
        <v>27043</v>
      </c>
      <c r="B337" t="s">
        <v>53</v>
      </c>
      <c r="C337">
        <v>20162724</v>
      </c>
      <c r="D337" t="s">
        <v>128</v>
      </c>
      <c r="E337" s="8">
        <v>46138.333333333336</v>
      </c>
      <c r="F337" s="8">
        <v>46138.729166666664</v>
      </c>
      <c r="G337" s="9">
        <v>8.5</v>
      </c>
      <c r="H337" s="9">
        <f t="shared" si="15"/>
        <v>4.4999999999999998E-2</v>
      </c>
      <c r="I337" s="9"/>
      <c r="J337" s="9">
        <v>4.4999999999999998E-2</v>
      </c>
      <c r="K337" s="9"/>
      <c r="L337" s="9"/>
      <c r="M337" t="s">
        <v>77</v>
      </c>
      <c r="N337" t="s">
        <v>29</v>
      </c>
      <c r="P337" t="s">
        <v>30</v>
      </c>
      <c r="Q337" t="s">
        <v>31</v>
      </c>
      <c r="R337">
        <v>82658</v>
      </c>
      <c r="S337" t="s">
        <v>33</v>
      </c>
      <c r="T337">
        <v>82664</v>
      </c>
      <c r="U337" t="s">
        <v>75</v>
      </c>
      <c r="V337" t="s">
        <v>75</v>
      </c>
      <c r="W337" t="s">
        <v>37</v>
      </c>
      <c r="X337" t="s">
        <v>111</v>
      </c>
      <c r="Y337" s="9">
        <f t="shared" si="16"/>
        <v>4.4999999999999998E-2</v>
      </c>
      <c r="Z337" t="str">
        <f t="shared" si="17"/>
        <v>สแกนต่าง Cost</v>
      </c>
    </row>
    <row r="338" spans="1:26" x14ac:dyDescent="0.45">
      <c r="A338">
        <v>27045</v>
      </c>
      <c r="B338" t="s">
        <v>53</v>
      </c>
      <c r="C338">
        <v>20198835</v>
      </c>
      <c r="D338" t="s">
        <v>129</v>
      </c>
      <c r="E338" s="8">
        <v>46138.333333333336</v>
      </c>
      <c r="F338" s="8">
        <v>46138.729166666664</v>
      </c>
      <c r="G338" s="9">
        <v>8.5</v>
      </c>
      <c r="H338" s="9">
        <f t="shared" si="15"/>
        <v>4.4999999999999998E-2</v>
      </c>
      <c r="I338" s="9"/>
      <c r="J338" s="9">
        <v>4.4999999999999998E-2</v>
      </c>
      <c r="K338" s="9"/>
      <c r="L338" s="9"/>
      <c r="M338" t="s">
        <v>77</v>
      </c>
      <c r="N338" t="s">
        <v>40</v>
      </c>
      <c r="O338" t="s">
        <v>78</v>
      </c>
      <c r="P338" t="s">
        <v>30</v>
      </c>
      <c r="Q338" t="s">
        <v>31</v>
      </c>
      <c r="R338">
        <v>82658</v>
      </c>
      <c r="S338" t="s">
        <v>33</v>
      </c>
      <c r="T338">
        <v>82664</v>
      </c>
      <c r="U338" t="s">
        <v>75</v>
      </c>
      <c r="V338" t="s">
        <v>75</v>
      </c>
      <c r="W338" t="s">
        <v>37</v>
      </c>
      <c r="X338" t="s">
        <v>111</v>
      </c>
      <c r="Y338" s="9">
        <f t="shared" si="16"/>
        <v>4.4999999999999998E-2</v>
      </c>
      <c r="Z338" t="str">
        <f t="shared" si="17"/>
        <v>สแกนต่าง Cost</v>
      </c>
    </row>
    <row r="339" spans="1:26" x14ac:dyDescent="0.45">
      <c r="B339" t="s">
        <v>26</v>
      </c>
      <c r="C339">
        <v>20244923</v>
      </c>
      <c r="D339" t="s">
        <v>246</v>
      </c>
      <c r="E339" s="8">
        <v>46138.333333333336</v>
      </c>
      <c r="F339" s="8">
        <v>46138.70208333333</v>
      </c>
      <c r="G339" s="9">
        <v>7.85</v>
      </c>
      <c r="H339" s="9">
        <f t="shared" si="15"/>
        <v>4.2000000000000003E-2</v>
      </c>
      <c r="I339" s="9"/>
      <c r="J339" s="9">
        <v>4.2000000000000003E-2</v>
      </c>
      <c r="K339" s="9"/>
      <c r="L339" s="9"/>
      <c r="M339" t="s">
        <v>77</v>
      </c>
      <c r="N339" t="s">
        <v>40</v>
      </c>
      <c r="O339" t="s">
        <v>247</v>
      </c>
      <c r="P339" t="s">
        <v>30</v>
      </c>
      <c r="Q339" t="s">
        <v>31</v>
      </c>
      <c r="R339">
        <v>82640</v>
      </c>
      <c r="S339" t="s">
        <v>42</v>
      </c>
      <c r="T339">
        <v>82611</v>
      </c>
      <c r="U339" t="s">
        <v>43</v>
      </c>
      <c r="V339" t="s">
        <v>43</v>
      </c>
      <c r="W339" t="s">
        <v>44</v>
      </c>
      <c r="X339" t="s">
        <v>44</v>
      </c>
      <c r="Y339" s="9">
        <f t="shared" si="16"/>
        <v>4.2000000000000003E-2</v>
      </c>
      <c r="Z339" t="str">
        <f t="shared" si="17"/>
        <v>สแกนต่าง Cost</v>
      </c>
    </row>
    <row r="340" spans="1:26" x14ac:dyDescent="0.45">
      <c r="B340" t="s">
        <v>26</v>
      </c>
      <c r="C340">
        <v>20334391</v>
      </c>
      <c r="D340" t="s">
        <v>185</v>
      </c>
      <c r="E340" s="8">
        <v>46138.333333333336</v>
      </c>
      <c r="F340" s="8">
        <v>46138.62777777778</v>
      </c>
      <c r="G340" s="9">
        <v>6.0666666666666664</v>
      </c>
      <c r="H340" s="9">
        <f t="shared" si="15"/>
        <v>3.2000000000000001E-2</v>
      </c>
      <c r="I340" s="9"/>
      <c r="J340" s="9">
        <v>3.2000000000000001E-2</v>
      </c>
      <c r="K340" s="9"/>
      <c r="L340" s="9"/>
      <c r="M340" t="s">
        <v>77</v>
      </c>
      <c r="N340" t="s">
        <v>40</v>
      </c>
      <c r="O340" t="s">
        <v>245</v>
      </c>
      <c r="P340" t="s">
        <v>30</v>
      </c>
      <c r="Q340" t="s">
        <v>31</v>
      </c>
      <c r="R340">
        <v>82640</v>
      </c>
      <c r="S340" t="s">
        <v>42</v>
      </c>
      <c r="T340">
        <v>82611</v>
      </c>
      <c r="U340" t="s">
        <v>43</v>
      </c>
      <c r="V340" t="s">
        <v>43</v>
      </c>
      <c r="W340" t="s">
        <v>42</v>
      </c>
      <c r="X340" t="s">
        <v>38</v>
      </c>
      <c r="Y340" s="9">
        <f t="shared" si="16"/>
        <v>3.2000000000000001E-2</v>
      </c>
      <c r="Z340" t="str">
        <f t="shared" si="17"/>
        <v>สแกนต่าง Cost</v>
      </c>
    </row>
    <row r="341" spans="1:26" x14ac:dyDescent="0.45">
      <c r="A341">
        <v>27047</v>
      </c>
      <c r="B341" t="s">
        <v>53</v>
      </c>
      <c r="C341">
        <v>20344551</v>
      </c>
      <c r="D341" t="s">
        <v>110</v>
      </c>
      <c r="E341" s="8">
        <v>46138.333333333336</v>
      </c>
      <c r="F341" s="8">
        <v>46138.729166666664</v>
      </c>
      <c r="G341" s="9">
        <v>8.5</v>
      </c>
      <c r="H341" s="9">
        <f t="shared" si="15"/>
        <v>4.4999999999999998E-2</v>
      </c>
      <c r="I341" s="9"/>
      <c r="J341" s="9">
        <v>4.4999999999999998E-2</v>
      </c>
      <c r="K341" s="9"/>
      <c r="L341" s="9"/>
      <c r="M341" t="s">
        <v>77</v>
      </c>
      <c r="N341" t="s">
        <v>40</v>
      </c>
      <c r="O341" t="s">
        <v>78</v>
      </c>
      <c r="P341" t="s">
        <v>30</v>
      </c>
      <c r="Q341" t="s">
        <v>31</v>
      </c>
      <c r="R341">
        <v>82655</v>
      </c>
      <c r="S341" t="s">
        <v>59</v>
      </c>
      <c r="T341">
        <v>82664</v>
      </c>
      <c r="U341" t="s">
        <v>75</v>
      </c>
      <c r="V341" t="s">
        <v>75</v>
      </c>
      <c r="W341" t="s">
        <v>37</v>
      </c>
      <c r="X341" t="s">
        <v>111</v>
      </c>
      <c r="Y341" s="9">
        <f t="shared" si="16"/>
        <v>4.4999999999999998E-2</v>
      </c>
      <c r="Z341" t="str">
        <f t="shared" si="17"/>
        <v>สแกนต่าง Cost</v>
      </c>
    </row>
    <row r="342" spans="1:26" x14ac:dyDescent="0.45">
      <c r="A342">
        <v>27048</v>
      </c>
      <c r="B342" t="s">
        <v>53</v>
      </c>
      <c r="C342">
        <v>20344552</v>
      </c>
      <c r="D342" t="s">
        <v>112</v>
      </c>
      <c r="E342" s="8">
        <v>46138.333333333336</v>
      </c>
      <c r="F342" s="8">
        <v>46138.729166666664</v>
      </c>
      <c r="G342" s="9">
        <v>8.5</v>
      </c>
      <c r="H342" s="9">
        <f t="shared" si="15"/>
        <v>4.4999999999999998E-2</v>
      </c>
      <c r="I342" s="9"/>
      <c r="J342" s="9">
        <v>4.4999999999999998E-2</v>
      </c>
      <c r="K342" s="9"/>
      <c r="L342" s="9"/>
      <c r="M342" t="s">
        <v>77</v>
      </c>
      <c r="N342" t="s">
        <v>40</v>
      </c>
      <c r="O342" t="s">
        <v>78</v>
      </c>
      <c r="P342" t="s">
        <v>30</v>
      </c>
      <c r="Q342" t="s">
        <v>31</v>
      </c>
      <c r="R342">
        <v>82655</v>
      </c>
      <c r="S342" t="s">
        <v>59</v>
      </c>
      <c r="T342">
        <v>82664</v>
      </c>
      <c r="U342" t="s">
        <v>75</v>
      </c>
      <c r="V342" t="s">
        <v>75</v>
      </c>
      <c r="W342" t="s">
        <v>37</v>
      </c>
      <c r="X342" t="s">
        <v>111</v>
      </c>
      <c r="Y342" s="9">
        <f t="shared" si="16"/>
        <v>4.4999999999999998E-2</v>
      </c>
      <c r="Z342" t="str">
        <f t="shared" si="17"/>
        <v>สแกนต่าง Cost</v>
      </c>
    </row>
    <row r="343" spans="1:26" x14ac:dyDescent="0.45">
      <c r="A343">
        <v>27046</v>
      </c>
      <c r="B343" t="s">
        <v>53</v>
      </c>
      <c r="C343">
        <v>20372709</v>
      </c>
      <c r="D343" t="s">
        <v>130</v>
      </c>
      <c r="E343" s="8">
        <v>46138.333333333336</v>
      </c>
      <c r="F343" s="8">
        <v>46138.729166666664</v>
      </c>
      <c r="G343" s="9">
        <v>8.5</v>
      </c>
      <c r="H343" s="9">
        <f t="shared" si="15"/>
        <v>4.4999999999999998E-2</v>
      </c>
      <c r="I343" s="9"/>
      <c r="J343" s="9">
        <v>4.4999999999999998E-2</v>
      </c>
      <c r="K343" s="9"/>
      <c r="L343" s="9"/>
      <c r="M343" t="s">
        <v>77</v>
      </c>
      <c r="N343" t="s">
        <v>40</v>
      </c>
      <c r="O343" t="s">
        <v>78</v>
      </c>
      <c r="P343" t="s">
        <v>30</v>
      </c>
      <c r="Q343" t="s">
        <v>31</v>
      </c>
      <c r="R343">
        <v>82658</v>
      </c>
      <c r="S343" t="s">
        <v>33</v>
      </c>
      <c r="T343">
        <v>82664</v>
      </c>
      <c r="U343" t="s">
        <v>75</v>
      </c>
      <c r="V343" t="s">
        <v>75</v>
      </c>
      <c r="W343" t="s">
        <v>37</v>
      </c>
      <c r="X343" t="s">
        <v>111</v>
      </c>
      <c r="Y343" s="9">
        <f t="shared" si="16"/>
        <v>4.4999999999999998E-2</v>
      </c>
      <c r="Z343" t="str">
        <f t="shared" si="17"/>
        <v>สแกนต่าง Cost</v>
      </c>
    </row>
    <row r="344" spans="1:26" x14ac:dyDescent="0.45">
      <c r="B344" t="s">
        <v>26</v>
      </c>
      <c r="C344">
        <v>20273451</v>
      </c>
      <c r="D344" t="s">
        <v>248</v>
      </c>
      <c r="E344" s="8">
        <v>46138.332638888889</v>
      </c>
      <c r="F344" s="8">
        <v>46138.729166666664</v>
      </c>
      <c r="G344" s="9">
        <v>8.5166666666666675</v>
      </c>
      <c r="H344" s="9">
        <f t="shared" si="15"/>
        <v>4.5999999999999999E-2</v>
      </c>
      <c r="I344" s="9"/>
      <c r="J344" s="9">
        <v>4.5999999999999999E-2</v>
      </c>
      <c r="K344" s="9"/>
      <c r="L344" s="9"/>
      <c r="M344" t="s">
        <v>77</v>
      </c>
      <c r="N344" t="s">
        <v>40</v>
      </c>
      <c r="O344" t="s">
        <v>78</v>
      </c>
      <c r="P344" t="s">
        <v>30</v>
      </c>
      <c r="Q344" t="s">
        <v>31</v>
      </c>
      <c r="R344">
        <v>82640</v>
      </c>
      <c r="S344" t="s">
        <v>42</v>
      </c>
      <c r="T344">
        <v>82611</v>
      </c>
      <c r="U344" t="s">
        <v>43</v>
      </c>
      <c r="V344" t="s">
        <v>43</v>
      </c>
      <c r="W344" t="s">
        <v>42</v>
      </c>
      <c r="X344" t="s">
        <v>38</v>
      </c>
      <c r="Y344" s="9">
        <f t="shared" si="16"/>
        <v>4.5999999999999999E-2</v>
      </c>
      <c r="Z344" t="str">
        <f t="shared" si="17"/>
        <v>สแกนต่าง Cost</v>
      </c>
    </row>
    <row r="345" spans="1:26" x14ac:dyDescent="0.45">
      <c r="B345" t="s">
        <v>26</v>
      </c>
      <c r="C345">
        <v>20284710</v>
      </c>
      <c r="D345" t="s">
        <v>182</v>
      </c>
      <c r="E345" s="8">
        <v>46138.332638888889</v>
      </c>
      <c r="F345" s="8">
        <v>46138.703472222223</v>
      </c>
      <c r="G345" s="9">
        <v>7.9</v>
      </c>
      <c r="H345" s="9">
        <f t="shared" si="15"/>
        <v>4.2000000000000003E-2</v>
      </c>
      <c r="I345" s="9"/>
      <c r="J345" s="9">
        <v>4.2000000000000003E-2</v>
      </c>
      <c r="K345" s="9"/>
      <c r="L345" s="9"/>
      <c r="M345" t="s">
        <v>77</v>
      </c>
      <c r="N345" t="s">
        <v>40</v>
      </c>
      <c r="O345" t="s">
        <v>247</v>
      </c>
      <c r="P345" t="s">
        <v>30</v>
      </c>
      <c r="Q345" t="s">
        <v>31</v>
      </c>
      <c r="R345">
        <v>82210</v>
      </c>
      <c r="S345" t="s">
        <v>184</v>
      </c>
      <c r="T345">
        <v>82611</v>
      </c>
      <c r="U345" t="s">
        <v>43</v>
      </c>
      <c r="V345" t="s">
        <v>43</v>
      </c>
      <c r="W345" t="s">
        <v>42</v>
      </c>
      <c r="X345" t="s">
        <v>38</v>
      </c>
      <c r="Y345" s="9">
        <f t="shared" si="16"/>
        <v>4.2000000000000003E-2</v>
      </c>
      <c r="Z345" t="str">
        <f t="shared" si="17"/>
        <v>สแกนต่าง Cost</v>
      </c>
    </row>
    <row r="346" spans="1:26" x14ac:dyDescent="0.45">
      <c r="B346" t="s">
        <v>26</v>
      </c>
      <c r="C346">
        <v>20054234</v>
      </c>
      <c r="D346" t="s">
        <v>249</v>
      </c>
      <c r="E346" s="8">
        <v>46138.331250000003</v>
      </c>
      <c r="F346" s="8">
        <v>46138.623611111114</v>
      </c>
      <c r="G346" s="9">
        <v>6.0166666666666666</v>
      </c>
      <c r="H346" s="9">
        <f t="shared" si="15"/>
        <v>3.2000000000000001E-2</v>
      </c>
      <c r="I346" s="9"/>
      <c r="J346" s="9">
        <v>3.2000000000000001E-2</v>
      </c>
      <c r="K346" s="9"/>
      <c r="L346" s="9"/>
      <c r="M346" t="s">
        <v>77</v>
      </c>
      <c r="N346" t="s">
        <v>40</v>
      </c>
      <c r="O346" t="s">
        <v>245</v>
      </c>
      <c r="P346" t="s">
        <v>30</v>
      </c>
      <c r="Q346" t="s">
        <v>31</v>
      </c>
      <c r="R346">
        <v>82640</v>
      </c>
      <c r="S346" t="s">
        <v>42</v>
      </c>
      <c r="T346">
        <v>82611</v>
      </c>
      <c r="U346" t="s">
        <v>43</v>
      </c>
      <c r="V346" t="s">
        <v>43</v>
      </c>
      <c r="W346" t="s">
        <v>42</v>
      </c>
      <c r="X346" t="s">
        <v>38</v>
      </c>
      <c r="Y346" s="9">
        <f t="shared" si="16"/>
        <v>3.2000000000000001E-2</v>
      </c>
      <c r="Z346" t="str">
        <f t="shared" si="17"/>
        <v>สแกนต่าง Cost</v>
      </c>
    </row>
    <row r="347" spans="1:26" x14ac:dyDescent="0.45">
      <c r="B347" t="s">
        <v>26</v>
      </c>
      <c r="C347">
        <v>20278786</v>
      </c>
      <c r="D347" t="s">
        <v>250</v>
      </c>
      <c r="E347" s="8">
        <v>46138.331250000003</v>
      </c>
      <c r="F347" s="8">
        <v>46138.624305555553</v>
      </c>
      <c r="G347" s="9">
        <v>6.0333333333333332</v>
      </c>
      <c r="H347" s="9">
        <f t="shared" si="15"/>
        <v>3.2000000000000001E-2</v>
      </c>
      <c r="I347" s="9"/>
      <c r="J347" s="9">
        <v>3.2000000000000001E-2</v>
      </c>
      <c r="K347" s="9"/>
      <c r="L347" s="9"/>
      <c r="M347" t="s">
        <v>77</v>
      </c>
      <c r="N347" t="s">
        <v>40</v>
      </c>
      <c r="O347" t="s">
        <v>245</v>
      </c>
      <c r="P347" t="s">
        <v>30</v>
      </c>
      <c r="Q347" t="s">
        <v>31</v>
      </c>
      <c r="R347">
        <v>82640</v>
      </c>
      <c r="S347" t="s">
        <v>42</v>
      </c>
      <c r="T347">
        <v>82611</v>
      </c>
      <c r="U347" t="s">
        <v>43</v>
      </c>
      <c r="V347" t="s">
        <v>43</v>
      </c>
      <c r="W347" t="s">
        <v>42</v>
      </c>
      <c r="X347" t="s">
        <v>38</v>
      </c>
      <c r="Y347" s="9">
        <f t="shared" si="16"/>
        <v>3.2000000000000001E-2</v>
      </c>
      <c r="Z347" t="str">
        <f t="shared" si="17"/>
        <v>สแกนต่าง Cost</v>
      </c>
    </row>
    <row r="348" spans="1:26" x14ac:dyDescent="0.45">
      <c r="B348" t="s">
        <v>26</v>
      </c>
      <c r="C348">
        <v>20198836</v>
      </c>
      <c r="D348" t="s">
        <v>212</v>
      </c>
      <c r="E348" s="8">
        <v>46138.330555555556</v>
      </c>
      <c r="F348" s="8">
        <v>46138.729166666664</v>
      </c>
      <c r="G348" s="9">
        <v>8.5666666666666664</v>
      </c>
      <c r="H348" s="9">
        <f t="shared" si="15"/>
        <v>4.5999999999999999E-2</v>
      </c>
      <c r="I348" s="9"/>
      <c r="J348" s="9">
        <v>4.5999999999999999E-2</v>
      </c>
      <c r="K348" s="9"/>
      <c r="L348" s="9"/>
      <c r="M348" t="s">
        <v>77</v>
      </c>
      <c r="N348" t="s">
        <v>40</v>
      </c>
      <c r="O348" t="s">
        <v>78</v>
      </c>
      <c r="P348" t="s">
        <v>30</v>
      </c>
      <c r="Q348" t="s">
        <v>31</v>
      </c>
      <c r="R348">
        <v>82640</v>
      </c>
      <c r="S348" t="s">
        <v>42</v>
      </c>
      <c r="T348">
        <v>82611</v>
      </c>
      <c r="U348" t="s">
        <v>43</v>
      </c>
      <c r="V348" t="s">
        <v>43</v>
      </c>
      <c r="W348" t="s">
        <v>42</v>
      </c>
      <c r="X348" t="s">
        <v>38</v>
      </c>
      <c r="Y348" s="9">
        <f t="shared" si="16"/>
        <v>4.5999999999999999E-2</v>
      </c>
      <c r="Z348" t="str">
        <f t="shared" si="17"/>
        <v>สแกนต่าง Cost</v>
      </c>
    </row>
    <row r="349" spans="1:26" x14ac:dyDescent="0.45">
      <c r="B349" t="s">
        <v>26</v>
      </c>
      <c r="C349">
        <v>20198853</v>
      </c>
      <c r="D349" t="s">
        <v>213</v>
      </c>
      <c r="E349" s="8">
        <v>46138.330555555556</v>
      </c>
      <c r="F349" s="8">
        <v>46138.729166666664</v>
      </c>
      <c r="G349" s="9">
        <v>8.5666666666666664</v>
      </c>
      <c r="H349" s="9">
        <f t="shared" si="15"/>
        <v>4.5999999999999999E-2</v>
      </c>
      <c r="I349" s="9"/>
      <c r="J349" s="9">
        <v>4.5999999999999999E-2</v>
      </c>
      <c r="K349" s="9"/>
      <c r="L349" s="9"/>
      <c r="M349" t="s">
        <v>77</v>
      </c>
      <c r="N349" t="s">
        <v>40</v>
      </c>
      <c r="O349" t="s">
        <v>78</v>
      </c>
      <c r="P349" t="s">
        <v>30</v>
      </c>
      <c r="Q349" t="s">
        <v>31</v>
      </c>
      <c r="R349">
        <v>82640</v>
      </c>
      <c r="S349" t="s">
        <v>42</v>
      </c>
      <c r="T349">
        <v>82611</v>
      </c>
      <c r="U349" t="s">
        <v>43</v>
      </c>
      <c r="V349" t="s">
        <v>43</v>
      </c>
      <c r="W349" t="s">
        <v>42</v>
      </c>
      <c r="X349" t="s">
        <v>38</v>
      </c>
      <c r="Y349" s="9">
        <f t="shared" si="16"/>
        <v>4.5999999999999999E-2</v>
      </c>
      <c r="Z349" t="str">
        <f t="shared" si="17"/>
        <v>สแกนต่าง Cost</v>
      </c>
    </row>
    <row r="350" spans="1:26" x14ac:dyDescent="0.45">
      <c r="B350" t="s">
        <v>26</v>
      </c>
      <c r="C350">
        <v>20220651</v>
      </c>
      <c r="D350" t="s">
        <v>216</v>
      </c>
      <c r="E350" s="8">
        <v>46138.330555555556</v>
      </c>
      <c r="F350" s="8">
        <v>46138.663888888892</v>
      </c>
      <c r="G350" s="9">
        <v>7</v>
      </c>
      <c r="H350" s="9">
        <f t="shared" si="15"/>
        <v>3.6999999999999998E-2</v>
      </c>
      <c r="I350" s="9"/>
      <c r="J350" s="9">
        <v>3.6999999999999998E-2</v>
      </c>
      <c r="K350" s="9"/>
      <c r="L350" s="9"/>
      <c r="M350" t="s">
        <v>77</v>
      </c>
      <c r="N350" t="s">
        <v>40</v>
      </c>
      <c r="O350" t="s">
        <v>251</v>
      </c>
      <c r="P350" t="s">
        <v>30</v>
      </c>
      <c r="Q350" t="s">
        <v>31</v>
      </c>
      <c r="R350">
        <v>82640</v>
      </c>
      <c r="S350" t="s">
        <v>42</v>
      </c>
      <c r="T350">
        <v>82611</v>
      </c>
      <c r="U350" t="s">
        <v>43</v>
      </c>
      <c r="V350" t="s">
        <v>43</v>
      </c>
      <c r="W350" t="s">
        <v>42</v>
      </c>
      <c r="X350" t="s">
        <v>38</v>
      </c>
      <c r="Y350" s="9">
        <f t="shared" si="16"/>
        <v>3.6999999999999998E-2</v>
      </c>
      <c r="Z350" t="str">
        <f t="shared" si="17"/>
        <v>สแกนต่าง Cost</v>
      </c>
    </row>
    <row r="351" spans="1:26" x14ac:dyDescent="0.45">
      <c r="B351" t="s">
        <v>26</v>
      </c>
      <c r="C351">
        <v>20054825</v>
      </c>
      <c r="D351" t="s">
        <v>215</v>
      </c>
      <c r="E351" s="8">
        <v>46138.329861111109</v>
      </c>
      <c r="F351" s="8">
        <v>46138.663888888892</v>
      </c>
      <c r="G351" s="9">
        <v>7.0166666666666675</v>
      </c>
      <c r="H351" s="9">
        <f t="shared" si="15"/>
        <v>3.7999999999999999E-2</v>
      </c>
      <c r="I351" s="9"/>
      <c r="J351" s="9">
        <v>3.7999999999999999E-2</v>
      </c>
      <c r="K351" s="9"/>
      <c r="L351" s="9"/>
      <c r="M351" t="s">
        <v>77</v>
      </c>
      <c r="N351" t="s">
        <v>29</v>
      </c>
      <c r="P351" t="s">
        <v>30</v>
      </c>
      <c r="Q351" t="s">
        <v>31</v>
      </c>
      <c r="R351">
        <v>82640</v>
      </c>
      <c r="S351" t="s">
        <v>42</v>
      </c>
      <c r="T351">
        <v>82611</v>
      </c>
      <c r="U351" t="s">
        <v>43</v>
      </c>
      <c r="V351" t="s">
        <v>43</v>
      </c>
      <c r="W351" t="s">
        <v>42</v>
      </c>
      <c r="X351" t="s">
        <v>38</v>
      </c>
      <c r="Y351" s="9">
        <f t="shared" si="16"/>
        <v>3.7999999999999999E-2</v>
      </c>
      <c r="Z351" t="str">
        <f t="shared" si="17"/>
        <v>สแกนต่าง Cost</v>
      </c>
    </row>
    <row r="352" spans="1:26" x14ac:dyDescent="0.45">
      <c r="B352" t="s">
        <v>26</v>
      </c>
      <c r="C352">
        <v>20075019</v>
      </c>
      <c r="D352" t="s">
        <v>252</v>
      </c>
      <c r="E352" s="8">
        <v>46138.329861111109</v>
      </c>
      <c r="F352" s="8">
        <v>46138.702777777777</v>
      </c>
      <c r="G352" s="9">
        <v>7.9499999999999993</v>
      </c>
      <c r="H352" s="9">
        <f t="shared" si="15"/>
        <v>4.2999999999999997E-2</v>
      </c>
      <c r="I352" s="9"/>
      <c r="J352" s="9">
        <v>4.2999999999999997E-2</v>
      </c>
      <c r="K352" s="9"/>
      <c r="L352" s="9"/>
      <c r="M352" t="s">
        <v>77</v>
      </c>
      <c r="N352" t="s">
        <v>40</v>
      </c>
      <c r="O352" t="s">
        <v>247</v>
      </c>
      <c r="P352" t="s">
        <v>30</v>
      </c>
      <c r="Q352" t="s">
        <v>31</v>
      </c>
      <c r="R352">
        <v>82640</v>
      </c>
      <c r="S352" t="s">
        <v>42</v>
      </c>
      <c r="T352">
        <v>82611</v>
      </c>
      <c r="U352" t="s">
        <v>43</v>
      </c>
      <c r="V352" t="s">
        <v>43</v>
      </c>
      <c r="W352" t="s">
        <v>42</v>
      </c>
      <c r="X352" t="s">
        <v>38</v>
      </c>
      <c r="Y352" s="9">
        <f t="shared" si="16"/>
        <v>4.2999999999999997E-2</v>
      </c>
      <c r="Z352" t="str">
        <f t="shared" si="17"/>
        <v>สแกนต่าง Cost</v>
      </c>
    </row>
    <row r="353" spans="1:26" x14ac:dyDescent="0.45">
      <c r="B353" t="s">
        <v>53</v>
      </c>
      <c r="C353">
        <v>20076991</v>
      </c>
      <c r="D353" t="s">
        <v>76</v>
      </c>
      <c r="E353" s="8">
        <v>46138.329861111109</v>
      </c>
      <c r="F353" s="8">
        <v>46138.631249999999</v>
      </c>
      <c r="G353" s="9">
        <v>6.2333333333333334</v>
      </c>
      <c r="H353" s="9">
        <f t="shared" si="15"/>
        <v>3.3000000000000002E-2</v>
      </c>
      <c r="I353" s="9"/>
      <c r="J353" s="9">
        <v>3.3000000000000002E-2</v>
      </c>
      <c r="K353" s="9"/>
      <c r="L353" s="9"/>
      <c r="M353" t="s">
        <v>77</v>
      </c>
      <c r="N353" t="s">
        <v>40</v>
      </c>
      <c r="O353" t="s">
        <v>245</v>
      </c>
      <c r="P353" t="s">
        <v>30</v>
      </c>
      <c r="Q353" t="s">
        <v>31</v>
      </c>
      <c r="R353">
        <v>82308</v>
      </c>
      <c r="S353" t="s">
        <v>69</v>
      </c>
      <c r="T353">
        <v>82611</v>
      </c>
      <c r="U353" t="s">
        <v>43</v>
      </c>
      <c r="V353" t="s">
        <v>43</v>
      </c>
      <c r="W353" t="s">
        <v>42</v>
      </c>
      <c r="X353" t="s">
        <v>38</v>
      </c>
      <c r="Y353" s="9">
        <f t="shared" si="16"/>
        <v>3.3000000000000002E-2</v>
      </c>
      <c r="Z353" t="str">
        <f t="shared" si="17"/>
        <v>สแกนต่าง Cost</v>
      </c>
    </row>
    <row r="354" spans="1:26" x14ac:dyDescent="0.45">
      <c r="B354" t="s">
        <v>26</v>
      </c>
      <c r="C354">
        <v>20287440</v>
      </c>
      <c r="D354" t="s">
        <v>253</v>
      </c>
      <c r="E354" s="8">
        <v>46138.329861111109</v>
      </c>
      <c r="F354" s="8">
        <v>46138.628472222219</v>
      </c>
      <c r="G354" s="9">
        <v>6.166666666666667</v>
      </c>
      <c r="H354" s="9">
        <f t="shared" si="15"/>
        <v>3.3000000000000002E-2</v>
      </c>
      <c r="I354" s="9"/>
      <c r="J354" s="9">
        <v>3.3000000000000002E-2</v>
      </c>
      <c r="K354" s="9"/>
      <c r="L354" s="9"/>
      <c r="M354" t="s">
        <v>77</v>
      </c>
      <c r="N354" t="s">
        <v>40</v>
      </c>
      <c r="O354" t="s">
        <v>245</v>
      </c>
      <c r="P354" t="s">
        <v>30</v>
      </c>
      <c r="Q354" t="s">
        <v>31</v>
      </c>
      <c r="R354">
        <v>82640</v>
      </c>
      <c r="S354" t="s">
        <v>42</v>
      </c>
      <c r="T354">
        <v>82611</v>
      </c>
      <c r="U354" t="s">
        <v>43</v>
      </c>
      <c r="V354" t="s">
        <v>43</v>
      </c>
      <c r="W354" t="s">
        <v>42</v>
      </c>
      <c r="X354" t="s">
        <v>38</v>
      </c>
      <c r="Y354" s="9">
        <f t="shared" si="16"/>
        <v>3.3000000000000002E-2</v>
      </c>
      <c r="Z354" t="str">
        <f t="shared" si="17"/>
        <v>สแกนต่าง Cost</v>
      </c>
    </row>
    <row r="355" spans="1:26" x14ac:dyDescent="0.45">
      <c r="B355" t="s">
        <v>26</v>
      </c>
      <c r="C355">
        <v>20403198</v>
      </c>
      <c r="E355" s="8">
        <v>46138.329861111109</v>
      </c>
      <c r="F355" s="8">
        <v>46138.708333333336</v>
      </c>
      <c r="G355" s="9">
        <v>8.0833333333333339</v>
      </c>
      <c r="H355" s="9">
        <f t="shared" si="15"/>
        <v>4.2999999999999997E-2</v>
      </c>
      <c r="I355" s="9">
        <v>4.2999999999999997E-2</v>
      </c>
      <c r="J355" s="9"/>
      <c r="K355" s="9"/>
      <c r="L355" s="9"/>
      <c r="M355" t="s">
        <v>48</v>
      </c>
      <c r="N355" t="s">
        <v>48</v>
      </c>
      <c r="P355" t="s">
        <v>30</v>
      </c>
      <c r="R355">
        <v>82640</v>
      </c>
      <c r="T355">
        <v>82611</v>
      </c>
      <c r="U355" t="s">
        <v>43</v>
      </c>
      <c r="V355" t="s">
        <v>43</v>
      </c>
      <c r="W355" t="s">
        <v>42</v>
      </c>
      <c r="X355" t="s">
        <v>38</v>
      </c>
      <c r="Y355" s="9">
        <f t="shared" si="16"/>
        <v>0</v>
      </c>
      <c r="Z355" t="str">
        <f t="shared" si="17"/>
        <v>สแกนต่าง Cost</v>
      </c>
    </row>
    <row r="356" spans="1:26" x14ac:dyDescent="0.45">
      <c r="B356" t="s">
        <v>26</v>
      </c>
      <c r="C356">
        <v>20039227</v>
      </c>
      <c r="D356" t="s">
        <v>58</v>
      </c>
      <c r="E356" s="8">
        <v>46138.327777777777</v>
      </c>
      <c r="F356" s="8">
        <v>46138.729166666664</v>
      </c>
      <c r="G356" s="9">
        <v>8.6333333333333329</v>
      </c>
      <c r="H356" s="9">
        <f t="shared" si="15"/>
        <v>4.5999999999999999E-2</v>
      </c>
      <c r="I356" s="9"/>
      <c r="J356" s="9">
        <v>4.5999999999999999E-2</v>
      </c>
      <c r="K356" s="9"/>
      <c r="L356" s="9"/>
      <c r="M356" t="s">
        <v>77</v>
      </c>
      <c r="N356" t="s">
        <v>40</v>
      </c>
      <c r="O356" t="s">
        <v>78</v>
      </c>
      <c r="P356" t="s">
        <v>30</v>
      </c>
      <c r="Q356" t="s">
        <v>31</v>
      </c>
      <c r="R356">
        <v>82652</v>
      </c>
      <c r="S356" t="s">
        <v>46</v>
      </c>
      <c r="T356">
        <v>82655</v>
      </c>
      <c r="U356" t="s">
        <v>59</v>
      </c>
      <c r="V356" t="s">
        <v>59</v>
      </c>
      <c r="W356" t="s">
        <v>37</v>
      </c>
      <c r="X356" t="s">
        <v>60</v>
      </c>
      <c r="Y356" s="9">
        <f t="shared" si="16"/>
        <v>4.5999999999999999E-2</v>
      </c>
      <c r="Z356" t="str">
        <f t="shared" si="17"/>
        <v>สแกนต่าง Cost</v>
      </c>
    </row>
    <row r="357" spans="1:26" x14ac:dyDescent="0.45">
      <c r="A357">
        <v>27042</v>
      </c>
      <c r="B357" t="s">
        <v>53</v>
      </c>
      <c r="C357">
        <v>20056407</v>
      </c>
      <c r="D357" t="s">
        <v>254</v>
      </c>
      <c r="E357" s="8">
        <v>46138.327777777777</v>
      </c>
      <c r="F357" s="8">
        <v>46138.729166666664</v>
      </c>
      <c r="G357" s="9">
        <v>9.6333333333333329</v>
      </c>
      <c r="H357" s="9">
        <f t="shared" si="15"/>
        <v>6.0000000000000001E-3</v>
      </c>
      <c r="I357" s="9"/>
      <c r="J357" s="9"/>
      <c r="K357" s="9"/>
      <c r="L357" s="9">
        <v>6.0000000000000001E-3</v>
      </c>
      <c r="M357" t="s">
        <v>255</v>
      </c>
      <c r="N357" t="s">
        <v>29</v>
      </c>
      <c r="P357" t="s">
        <v>30</v>
      </c>
      <c r="Q357" t="s">
        <v>31</v>
      </c>
      <c r="R357">
        <v>82409</v>
      </c>
      <c r="S357" t="s">
        <v>74</v>
      </c>
      <c r="T357">
        <v>82664</v>
      </c>
      <c r="U357" t="s">
        <v>75</v>
      </c>
      <c r="V357" t="s">
        <v>75</v>
      </c>
      <c r="W357" t="s">
        <v>74</v>
      </c>
      <c r="X357" t="s">
        <v>74</v>
      </c>
      <c r="Y357" s="9">
        <f t="shared" si="16"/>
        <v>6.0000000000000001E-3</v>
      </c>
      <c r="Z357" t="str">
        <f t="shared" si="17"/>
        <v>สแกนต่าง Cost</v>
      </c>
    </row>
    <row r="358" spans="1:26" x14ac:dyDescent="0.45">
      <c r="B358" t="s">
        <v>26</v>
      </c>
      <c r="C358">
        <v>20027956</v>
      </c>
      <c r="D358" t="s">
        <v>214</v>
      </c>
      <c r="E358" s="8">
        <v>46138.320138888892</v>
      </c>
      <c r="F358" s="8">
        <v>46138.70208333333</v>
      </c>
      <c r="G358" s="9">
        <v>8.1666666666666661</v>
      </c>
      <c r="H358" s="9">
        <f t="shared" si="15"/>
        <v>4.3999999999999997E-2</v>
      </c>
      <c r="I358" s="9"/>
      <c r="J358" s="9">
        <v>4.3999999999999997E-2</v>
      </c>
      <c r="K358" s="9"/>
      <c r="L358" s="9"/>
      <c r="M358" t="s">
        <v>77</v>
      </c>
      <c r="N358" t="s">
        <v>40</v>
      </c>
      <c r="O358" t="s">
        <v>247</v>
      </c>
      <c r="P358" t="s">
        <v>30</v>
      </c>
      <c r="Q358" t="s">
        <v>31</v>
      </c>
      <c r="R358">
        <v>82640</v>
      </c>
      <c r="S358" t="s">
        <v>42</v>
      </c>
      <c r="T358">
        <v>82611</v>
      </c>
      <c r="U358" t="s">
        <v>43</v>
      </c>
      <c r="V358" t="s">
        <v>43</v>
      </c>
      <c r="W358" t="s">
        <v>44</v>
      </c>
      <c r="X358" t="s">
        <v>44</v>
      </c>
      <c r="Y358" s="9">
        <f t="shared" si="16"/>
        <v>4.3999999999999997E-2</v>
      </c>
      <c r="Z358" t="str">
        <f t="shared" si="17"/>
        <v>สแกนต่าง Cost</v>
      </c>
    </row>
    <row r="359" spans="1:26" x14ac:dyDescent="0.45">
      <c r="B359" t="s">
        <v>53</v>
      </c>
      <c r="C359">
        <v>20280718</v>
      </c>
      <c r="D359" t="s">
        <v>256</v>
      </c>
      <c r="E359" s="8">
        <v>46137.708333333336</v>
      </c>
      <c r="F359" s="8">
        <v>46137.729166666664</v>
      </c>
      <c r="G359" s="9">
        <v>0.5</v>
      </c>
      <c r="H359" s="9">
        <f t="shared" si="15"/>
        <v>3.0000000000000001E-3</v>
      </c>
      <c r="I359" s="9">
        <v>3.0000000000000001E-3</v>
      </c>
      <c r="J359" s="9"/>
      <c r="K359" s="9"/>
      <c r="L359" s="9"/>
      <c r="M359" t="s">
        <v>65</v>
      </c>
      <c r="N359" t="s">
        <v>29</v>
      </c>
      <c r="P359" t="s">
        <v>30</v>
      </c>
      <c r="Q359" t="s">
        <v>31</v>
      </c>
      <c r="R359">
        <v>82640</v>
      </c>
      <c r="S359" t="s">
        <v>42</v>
      </c>
      <c r="T359">
        <v>82622</v>
      </c>
      <c r="U359" t="s">
        <v>147</v>
      </c>
      <c r="V359" t="s">
        <v>66</v>
      </c>
      <c r="W359" t="s">
        <v>44</v>
      </c>
      <c r="X359" t="s">
        <v>44</v>
      </c>
      <c r="Y359" s="9">
        <f t="shared" si="16"/>
        <v>0</v>
      </c>
      <c r="Z359" t="str">
        <f t="shared" si="17"/>
        <v>สแกนต่าง Cost</v>
      </c>
    </row>
    <row r="360" spans="1:26" x14ac:dyDescent="0.45">
      <c r="B360" t="s">
        <v>53</v>
      </c>
      <c r="C360">
        <v>20198842</v>
      </c>
      <c r="D360" t="s">
        <v>257</v>
      </c>
      <c r="E360" s="8">
        <v>46137.6875</v>
      </c>
      <c r="F360" s="8">
        <v>46137.729166666664</v>
      </c>
      <c r="G360" s="9">
        <v>1</v>
      </c>
      <c r="H360" s="9">
        <f t="shared" si="15"/>
        <v>5.0000000000000001E-3</v>
      </c>
      <c r="I360" s="9">
        <v>5.0000000000000001E-3</v>
      </c>
      <c r="J360" s="9"/>
      <c r="K360" s="9"/>
      <c r="L360" s="9"/>
      <c r="M360" t="s">
        <v>65</v>
      </c>
      <c r="N360" t="s">
        <v>29</v>
      </c>
      <c r="P360" t="s">
        <v>30</v>
      </c>
      <c r="Q360" t="s">
        <v>31</v>
      </c>
      <c r="R360">
        <v>82640</v>
      </c>
      <c r="S360" t="s">
        <v>42</v>
      </c>
      <c r="T360">
        <v>82630</v>
      </c>
      <c r="U360" t="s">
        <v>32</v>
      </c>
      <c r="V360" t="s">
        <v>66</v>
      </c>
      <c r="W360" t="s">
        <v>44</v>
      </c>
      <c r="X360" t="s">
        <v>44</v>
      </c>
      <c r="Y360" s="9">
        <f t="shared" si="16"/>
        <v>0</v>
      </c>
      <c r="Z360" t="str">
        <f t="shared" si="17"/>
        <v>สแกนต่าง Cost</v>
      </c>
    </row>
    <row r="361" spans="1:26" x14ac:dyDescent="0.45">
      <c r="B361" t="s">
        <v>53</v>
      </c>
      <c r="C361">
        <v>20198842</v>
      </c>
      <c r="D361" t="s">
        <v>257</v>
      </c>
      <c r="E361" s="8">
        <v>46137.666666666664</v>
      </c>
      <c r="F361" s="8">
        <v>46137.6875</v>
      </c>
      <c r="G361" s="9">
        <v>0.5</v>
      </c>
      <c r="H361" s="9">
        <f t="shared" si="15"/>
        <v>3.0000000000000001E-3</v>
      </c>
      <c r="I361" s="9">
        <v>3.0000000000000001E-3</v>
      </c>
      <c r="J361" s="9"/>
      <c r="K361" s="9"/>
      <c r="L361" s="9"/>
      <c r="M361" t="s">
        <v>65</v>
      </c>
      <c r="N361" t="s">
        <v>29</v>
      </c>
      <c r="P361" t="s">
        <v>30</v>
      </c>
      <c r="Q361" t="s">
        <v>31</v>
      </c>
      <c r="R361">
        <v>82640</v>
      </c>
      <c r="S361" t="s">
        <v>42</v>
      </c>
      <c r="T361">
        <v>82611</v>
      </c>
      <c r="U361" t="s">
        <v>43</v>
      </c>
      <c r="V361" t="s">
        <v>66</v>
      </c>
      <c r="W361" t="s">
        <v>44</v>
      </c>
      <c r="X361" t="s">
        <v>44</v>
      </c>
      <c r="Y361" s="9">
        <f t="shared" si="16"/>
        <v>0</v>
      </c>
      <c r="Z361" t="str">
        <f t="shared" si="17"/>
        <v>สแกนต่าง Cost</v>
      </c>
    </row>
    <row r="362" spans="1:26" x14ac:dyDescent="0.45">
      <c r="B362" t="s">
        <v>53</v>
      </c>
      <c r="C362">
        <v>20403225</v>
      </c>
      <c r="E362" s="8">
        <v>46137.65902777778</v>
      </c>
      <c r="F362" s="8">
        <v>46137.729166666664</v>
      </c>
      <c r="G362" s="9">
        <v>1.6833333333333333</v>
      </c>
      <c r="H362" s="9">
        <f t="shared" si="15"/>
        <v>8.9999999999999993E-3</v>
      </c>
      <c r="I362" s="9">
        <v>8.9999999999999993E-3</v>
      </c>
      <c r="J362" s="9"/>
      <c r="K362" s="9"/>
      <c r="L362" s="9"/>
      <c r="M362" t="s">
        <v>48</v>
      </c>
      <c r="N362" t="s">
        <v>48</v>
      </c>
      <c r="P362" t="s">
        <v>30</v>
      </c>
      <c r="R362">
        <v>82612</v>
      </c>
      <c r="T362">
        <v>82630</v>
      </c>
      <c r="U362" t="s">
        <v>32</v>
      </c>
      <c r="V362" t="s">
        <v>62</v>
      </c>
      <c r="W362" t="s">
        <v>148</v>
      </c>
      <c r="X362" t="s">
        <v>149</v>
      </c>
      <c r="Y362" s="9">
        <f t="shared" si="16"/>
        <v>0</v>
      </c>
      <c r="Z362" t="str">
        <f t="shared" si="17"/>
        <v>สแกนต่าง Cost</v>
      </c>
    </row>
    <row r="363" spans="1:26" x14ac:dyDescent="0.45">
      <c r="B363" t="s">
        <v>53</v>
      </c>
      <c r="C363">
        <v>20060579</v>
      </c>
      <c r="D363" t="s">
        <v>39</v>
      </c>
      <c r="E363" s="8">
        <v>46137.645833333336</v>
      </c>
      <c r="F363" s="8">
        <v>46137.729166666664</v>
      </c>
      <c r="G363" s="9">
        <v>2</v>
      </c>
      <c r="H363" s="9">
        <f t="shared" si="15"/>
        <v>1.0999999999999999E-2</v>
      </c>
      <c r="I363" s="9">
        <v>1.0999999999999999E-2</v>
      </c>
      <c r="J363" s="9"/>
      <c r="K363" s="9"/>
      <c r="L363" s="9"/>
      <c r="M363" t="s">
        <v>65</v>
      </c>
      <c r="N363" t="s">
        <v>29</v>
      </c>
      <c r="P363" t="s">
        <v>30</v>
      </c>
      <c r="Q363" t="s">
        <v>31</v>
      </c>
      <c r="R363">
        <v>82640</v>
      </c>
      <c r="S363" t="s">
        <v>42</v>
      </c>
      <c r="T363">
        <v>82630</v>
      </c>
      <c r="U363" t="s">
        <v>32</v>
      </c>
      <c r="V363" t="s">
        <v>66</v>
      </c>
      <c r="W363" t="s">
        <v>44</v>
      </c>
      <c r="X363" t="s">
        <v>44</v>
      </c>
      <c r="Y363" s="9">
        <f t="shared" si="16"/>
        <v>0</v>
      </c>
      <c r="Z363" t="str">
        <f t="shared" si="17"/>
        <v>สแกนต่าง Cost</v>
      </c>
    </row>
    <row r="364" spans="1:26" x14ac:dyDescent="0.45">
      <c r="B364" t="s">
        <v>53</v>
      </c>
      <c r="C364">
        <v>20060579</v>
      </c>
      <c r="D364" t="s">
        <v>39</v>
      </c>
      <c r="E364" s="8">
        <v>46137.625</v>
      </c>
      <c r="F364" s="8">
        <v>46137.645833333336</v>
      </c>
      <c r="G364" s="9">
        <v>0.5</v>
      </c>
      <c r="H364" s="9">
        <f t="shared" si="15"/>
        <v>3.0000000000000001E-3</v>
      </c>
      <c r="I364" s="9">
        <v>3.0000000000000001E-3</v>
      </c>
      <c r="J364" s="9"/>
      <c r="K364" s="9"/>
      <c r="L364" s="9"/>
      <c r="M364" t="s">
        <v>65</v>
      </c>
      <c r="N364" t="s">
        <v>29</v>
      </c>
      <c r="P364" t="s">
        <v>30</v>
      </c>
      <c r="Q364" t="s">
        <v>31</v>
      </c>
      <c r="R364">
        <v>82640</v>
      </c>
      <c r="S364" t="s">
        <v>42</v>
      </c>
      <c r="T364">
        <v>82622</v>
      </c>
      <c r="U364" t="s">
        <v>147</v>
      </c>
      <c r="V364" t="s">
        <v>66</v>
      </c>
      <c r="W364" t="s">
        <v>44</v>
      </c>
      <c r="X364" t="s">
        <v>44</v>
      </c>
      <c r="Y364" s="9">
        <f t="shared" si="16"/>
        <v>0</v>
      </c>
      <c r="Z364" t="str">
        <f t="shared" si="17"/>
        <v>สแกนต่าง Cost</v>
      </c>
    </row>
    <row r="365" spans="1:26" x14ac:dyDescent="0.45">
      <c r="B365" t="s">
        <v>53</v>
      </c>
      <c r="C365">
        <v>20280718</v>
      </c>
      <c r="D365" t="s">
        <v>256</v>
      </c>
      <c r="E365" s="8">
        <v>46137.625</v>
      </c>
      <c r="F365" s="8">
        <v>46137.708333333336</v>
      </c>
      <c r="G365" s="9">
        <v>2</v>
      </c>
      <c r="H365" s="9">
        <f t="shared" si="15"/>
        <v>1.0999999999999999E-2</v>
      </c>
      <c r="I365" s="9">
        <v>1.0999999999999999E-2</v>
      </c>
      <c r="J365" s="9"/>
      <c r="K365" s="9"/>
      <c r="L365" s="9"/>
      <c r="M365" t="s">
        <v>65</v>
      </c>
      <c r="N365" t="s">
        <v>29</v>
      </c>
      <c r="P365" t="s">
        <v>30</v>
      </c>
      <c r="Q365" t="s">
        <v>31</v>
      </c>
      <c r="R365">
        <v>82640</v>
      </c>
      <c r="S365" t="s">
        <v>42</v>
      </c>
      <c r="T365">
        <v>82630</v>
      </c>
      <c r="U365" t="s">
        <v>32</v>
      </c>
      <c r="V365" t="s">
        <v>66</v>
      </c>
      <c r="W365" t="s">
        <v>44</v>
      </c>
      <c r="X365" t="s">
        <v>44</v>
      </c>
      <c r="Y365" s="9">
        <f t="shared" si="16"/>
        <v>0</v>
      </c>
      <c r="Z365" t="str">
        <f t="shared" si="17"/>
        <v>สแกนต่าง Cost</v>
      </c>
    </row>
    <row r="366" spans="1:26" x14ac:dyDescent="0.45">
      <c r="B366" t="s">
        <v>53</v>
      </c>
      <c r="C366">
        <v>20280718</v>
      </c>
      <c r="D366" t="s">
        <v>256</v>
      </c>
      <c r="E366" s="8">
        <v>46137.604166666664</v>
      </c>
      <c r="F366" s="8">
        <v>46137.625</v>
      </c>
      <c r="G366" s="9">
        <v>0.5</v>
      </c>
      <c r="H366" s="9">
        <f t="shared" si="15"/>
        <v>3.0000000000000001E-3</v>
      </c>
      <c r="I366" s="9">
        <v>3.0000000000000001E-3</v>
      </c>
      <c r="J366" s="9"/>
      <c r="K366" s="9"/>
      <c r="L366" s="9"/>
      <c r="M366" t="s">
        <v>65</v>
      </c>
      <c r="N366" t="s">
        <v>29</v>
      </c>
      <c r="P366" t="s">
        <v>30</v>
      </c>
      <c r="Q366" t="s">
        <v>31</v>
      </c>
      <c r="R366">
        <v>82640</v>
      </c>
      <c r="S366" t="s">
        <v>42</v>
      </c>
      <c r="T366">
        <v>82611</v>
      </c>
      <c r="U366" t="s">
        <v>43</v>
      </c>
      <c r="V366" t="s">
        <v>66</v>
      </c>
      <c r="W366" t="s">
        <v>44</v>
      </c>
      <c r="X366" t="s">
        <v>44</v>
      </c>
      <c r="Y366" s="9">
        <f t="shared" si="16"/>
        <v>0</v>
      </c>
      <c r="Z366" t="str">
        <f t="shared" si="17"/>
        <v>สแกนต่าง Cost</v>
      </c>
    </row>
    <row r="367" spans="1:26" x14ac:dyDescent="0.45">
      <c r="A367">
        <v>27041</v>
      </c>
      <c r="B367" t="s">
        <v>53</v>
      </c>
      <c r="C367">
        <v>20048905</v>
      </c>
      <c r="D367" t="s">
        <v>73</v>
      </c>
      <c r="E367" s="8">
        <v>46137.588194444441</v>
      </c>
      <c r="F367" s="8">
        <v>46137.970138888886</v>
      </c>
      <c r="G367" s="9">
        <v>8.1666666666666661</v>
      </c>
      <c r="H367" s="9">
        <f t="shared" si="15"/>
        <v>4.3999999999999997E-2</v>
      </c>
      <c r="I367" s="9">
        <v>4.3999999999999997E-2</v>
      </c>
      <c r="J367" s="9"/>
      <c r="K367" s="9"/>
      <c r="L367" s="9"/>
      <c r="M367" t="s">
        <v>65</v>
      </c>
      <c r="N367" t="s">
        <v>29</v>
      </c>
      <c r="P367" t="s">
        <v>30</v>
      </c>
      <c r="Q367" t="s">
        <v>31</v>
      </c>
      <c r="R367">
        <v>82409</v>
      </c>
      <c r="S367" t="s">
        <v>74</v>
      </c>
      <c r="T367">
        <v>82664</v>
      </c>
      <c r="U367" t="s">
        <v>75</v>
      </c>
      <c r="V367" t="s">
        <v>75</v>
      </c>
      <c r="W367" t="s">
        <v>74</v>
      </c>
      <c r="X367" t="s">
        <v>74</v>
      </c>
      <c r="Y367" s="9">
        <f t="shared" si="16"/>
        <v>0</v>
      </c>
      <c r="Z367" t="str">
        <f t="shared" si="17"/>
        <v>สแกนต่าง Cost</v>
      </c>
    </row>
    <row r="368" spans="1:26" x14ac:dyDescent="0.45">
      <c r="B368" t="s">
        <v>53</v>
      </c>
      <c r="C368">
        <v>20027956</v>
      </c>
      <c r="D368" t="s">
        <v>214</v>
      </c>
      <c r="E368" s="8">
        <v>46137.583333333336</v>
      </c>
      <c r="F368" s="8">
        <v>46137.729166666664</v>
      </c>
      <c r="G368" s="9">
        <v>3.5</v>
      </c>
      <c r="H368" s="9">
        <f t="shared" si="15"/>
        <v>1.9E-2</v>
      </c>
      <c r="I368" s="9"/>
      <c r="J368" s="9">
        <v>1.9E-2</v>
      </c>
      <c r="K368" s="9"/>
      <c r="L368" s="9"/>
      <c r="M368" t="s">
        <v>77</v>
      </c>
      <c r="N368" t="s">
        <v>40</v>
      </c>
      <c r="O368" t="s">
        <v>78</v>
      </c>
      <c r="P368" t="s">
        <v>30</v>
      </c>
      <c r="Q368" t="s">
        <v>31</v>
      </c>
      <c r="R368">
        <v>82640</v>
      </c>
      <c r="S368" t="s">
        <v>42</v>
      </c>
      <c r="T368">
        <v>82612</v>
      </c>
      <c r="U368" t="s">
        <v>153</v>
      </c>
      <c r="V368" t="s">
        <v>66</v>
      </c>
      <c r="W368" t="s">
        <v>44</v>
      </c>
      <c r="X368" t="s">
        <v>44</v>
      </c>
      <c r="Y368" s="9">
        <f t="shared" si="16"/>
        <v>1.9E-2</v>
      </c>
      <c r="Z368" t="str">
        <f t="shared" si="17"/>
        <v>สแกนต่าง Cost</v>
      </c>
    </row>
    <row r="369" spans="2:26" x14ac:dyDescent="0.45">
      <c r="B369" t="s">
        <v>53</v>
      </c>
      <c r="C369">
        <v>20198839</v>
      </c>
      <c r="D369" t="s">
        <v>258</v>
      </c>
      <c r="E369" s="8">
        <v>46137.583333333336</v>
      </c>
      <c r="F369" s="8">
        <v>46137.6875</v>
      </c>
      <c r="G369" s="9">
        <v>2.5</v>
      </c>
      <c r="H369" s="9">
        <f t="shared" si="15"/>
        <v>1.2999999999999999E-2</v>
      </c>
      <c r="I369" s="9">
        <v>1.2999999999999999E-2</v>
      </c>
      <c r="J369" s="9"/>
      <c r="K369" s="9"/>
      <c r="L369" s="9"/>
      <c r="M369" t="s">
        <v>65</v>
      </c>
      <c r="N369" t="s">
        <v>29</v>
      </c>
      <c r="P369" t="s">
        <v>30</v>
      </c>
      <c r="Q369" t="s">
        <v>31</v>
      </c>
      <c r="R369">
        <v>82640</v>
      </c>
      <c r="S369" t="s">
        <v>42</v>
      </c>
      <c r="T369">
        <v>82612</v>
      </c>
      <c r="U369" t="s">
        <v>153</v>
      </c>
      <c r="V369" t="s">
        <v>66</v>
      </c>
      <c r="W369" t="s">
        <v>44</v>
      </c>
      <c r="X369" t="s">
        <v>44</v>
      </c>
      <c r="Y369" s="9">
        <f t="shared" si="16"/>
        <v>0</v>
      </c>
      <c r="Z369" t="str">
        <f t="shared" si="17"/>
        <v>สแกนต่าง Cost</v>
      </c>
    </row>
    <row r="370" spans="2:26" x14ac:dyDescent="0.45">
      <c r="B370" t="s">
        <v>53</v>
      </c>
      <c r="C370">
        <v>20022740</v>
      </c>
      <c r="D370" t="s">
        <v>259</v>
      </c>
      <c r="E370" s="8">
        <v>46137.541666666664</v>
      </c>
      <c r="F370" s="8">
        <v>46137.625</v>
      </c>
      <c r="G370" s="9">
        <v>2</v>
      </c>
      <c r="H370" s="9">
        <f t="shared" si="15"/>
        <v>1.0999999999999999E-2</v>
      </c>
      <c r="I370" s="9"/>
      <c r="J370" s="9">
        <v>1.0999999999999999E-2</v>
      </c>
      <c r="K370" s="9"/>
      <c r="L370" s="9"/>
      <c r="M370" t="s">
        <v>77</v>
      </c>
      <c r="N370" t="s">
        <v>40</v>
      </c>
      <c r="O370" t="s">
        <v>78</v>
      </c>
      <c r="P370" t="s">
        <v>30</v>
      </c>
      <c r="Q370" t="s">
        <v>31</v>
      </c>
      <c r="R370">
        <v>82640</v>
      </c>
      <c r="S370" t="s">
        <v>42</v>
      </c>
      <c r="T370">
        <v>82611</v>
      </c>
      <c r="U370" t="s">
        <v>43</v>
      </c>
      <c r="V370" t="s">
        <v>66</v>
      </c>
      <c r="W370" t="s">
        <v>44</v>
      </c>
      <c r="X370" t="s">
        <v>44</v>
      </c>
      <c r="Y370" s="9">
        <f t="shared" si="16"/>
        <v>1.0999999999999999E-2</v>
      </c>
      <c r="Z370" t="str">
        <f t="shared" si="17"/>
        <v>สแกนต่าง Cost</v>
      </c>
    </row>
    <row r="371" spans="2:26" x14ac:dyDescent="0.45">
      <c r="B371" t="s">
        <v>53</v>
      </c>
      <c r="C371">
        <v>20060579</v>
      </c>
      <c r="D371" t="s">
        <v>39</v>
      </c>
      <c r="E371" s="8">
        <v>46137.541666666664</v>
      </c>
      <c r="F371" s="8">
        <v>46137.625</v>
      </c>
      <c r="G371" s="9">
        <v>2</v>
      </c>
      <c r="H371" s="9">
        <f t="shared" si="15"/>
        <v>1.0999999999999999E-2</v>
      </c>
      <c r="I371" s="9">
        <v>1.0999999999999999E-2</v>
      </c>
      <c r="J371" s="9"/>
      <c r="K371" s="9"/>
      <c r="L371" s="9"/>
      <c r="M371" t="s">
        <v>65</v>
      </c>
      <c r="N371" t="s">
        <v>29</v>
      </c>
      <c r="P371" t="s">
        <v>30</v>
      </c>
      <c r="Q371" t="s">
        <v>31</v>
      </c>
      <c r="R371">
        <v>82640</v>
      </c>
      <c r="S371" t="s">
        <v>42</v>
      </c>
      <c r="T371">
        <v>82630</v>
      </c>
      <c r="U371" t="s">
        <v>32</v>
      </c>
      <c r="V371" t="s">
        <v>66</v>
      </c>
      <c r="W371" t="s">
        <v>44</v>
      </c>
      <c r="X371" t="s">
        <v>44</v>
      </c>
      <c r="Y371" s="9">
        <f t="shared" si="16"/>
        <v>0</v>
      </c>
      <c r="Z371" t="str">
        <f t="shared" si="17"/>
        <v>สแกนต่าง Cost</v>
      </c>
    </row>
    <row r="372" spans="2:26" x14ac:dyDescent="0.45">
      <c r="B372" t="s">
        <v>53</v>
      </c>
      <c r="C372">
        <v>20198842</v>
      </c>
      <c r="D372" t="s">
        <v>257</v>
      </c>
      <c r="E372" s="8">
        <v>46137.541666666664</v>
      </c>
      <c r="F372" s="8">
        <v>46137.729166666664</v>
      </c>
      <c r="G372" s="9">
        <v>4.5</v>
      </c>
      <c r="H372" s="9">
        <f t="shared" si="15"/>
        <v>2.4E-2</v>
      </c>
      <c r="I372" s="9">
        <v>2.4E-2</v>
      </c>
      <c r="J372" s="9"/>
      <c r="K372" s="9"/>
      <c r="L372" s="9"/>
      <c r="M372" t="s">
        <v>65</v>
      </c>
      <c r="N372" t="s">
        <v>29</v>
      </c>
      <c r="P372" t="s">
        <v>30</v>
      </c>
      <c r="Q372" t="s">
        <v>31</v>
      </c>
      <c r="R372">
        <v>82640</v>
      </c>
      <c r="S372" t="s">
        <v>42</v>
      </c>
      <c r="T372">
        <v>82612</v>
      </c>
      <c r="U372" t="s">
        <v>153</v>
      </c>
      <c r="V372" t="s">
        <v>66</v>
      </c>
      <c r="W372" t="s">
        <v>44</v>
      </c>
      <c r="X372" t="s">
        <v>44</v>
      </c>
      <c r="Y372" s="9">
        <f t="shared" si="16"/>
        <v>0</v>
      </c>
      <c r="Z372" t="str">
        <f t="shared" si="17"/>
        <v>สแกนต่าง Cost</v>
      </c>
    </row>
    <row r="373" spans="2:26" x14ac:dyDescent="0.45">
      <c r="B373" t="s">
        <v>53</v>
      </c>
      <c r="C373">
        <v>20198842</v>
      </c>
      <c r="D373" t="s">
        <v>257</v>
      </c>
      <c r="E373" s="8">
        <v>46137.541666666664</v>
      </c>
      <c r="F373" s="8">
        <v>46137.604166666664</v>
      </c>
      <c r="G373" s="9">
        <v>1.5</v>
      </c>
      <c r="H373" s="9">
        <f t="shared" si="15"/>
        <v>8.0000000000000002E-3</v>
      </c>
      <c r="I373" s="9">
        <v>8.0000000000000002E-3</v>
      </c>
      <c r="J373" s="9"/>
      <c r="K373" s="9"/>
      <c r="L373" s="9"/>
      <c r="M373" t="s">
        <v>65</v>
      </c>
      <c r="N373" t="s">
        <v>29</v>
      </c>
      <c r="P373" t="s">
        <v>30</v>
      </c>
      <c r="Q373" t="s">
        <v>31</v>
      </c>
      <c r="R373">
        <v>82640</v>
      </c>
      <c r="S373" t="s">
        <v>42</v>
      </c>
      <c r="T373">
        <v>82630</v>
      </c>
      <c r="U373" t="s">
        <v>32</v>
      </c>
      <c r="V373" t="s">
        <v>66</v>
      </c>
      <c r="W373" t="s">
        <v>44</v>
      </c>
      <c r="X373" t="s">
        <v>44</v>
      </c>
      <c r="Y373" s="9">
        <f t="shared" si="16"/>
        <v>0</v>
      </c>
      <c r="Z373" t="str">
        <f t="shared" si="17"/>
        <v>สแกนต่าง Cost</v>
      </c>
    </row>
    <row r="374" spans="2:26" x14ac:dyDescent="0.45">
      <c r="B374" t="s">
        <v>53</v>
      </c>
      <c r="C374">
        <v>20280718</v>
      </c>
      <c r="D374" t="s">
        <v>256</v>
      </c>
      <c r="E374" s="8">
        <v>46137.541666666664</v>
      </c>
      <c r="F374" s="8">
        <v>46137.583333333336</v>
      </c>
      <c r="G374" s="9">
        <v>1</v>
      </c>
      <c r="H374" s="9">
        <f t="shared" si="15"/>
        <v>5.0000000000000001E-3</v>
      </c>
      <c r="I374" s="9">
        <v>5.0000000000000001E-3</v>
      </c>
      <c r="J374" s="9"/>
      <c r="K374" s="9"/>
      <c r="L374" s="9"/>
      <c r="M374" t="s">
        <v>65</v>
      </c>
      <c r="N374" t="s">
        <v>29</v>
      </c>
      <c r="P374" t="s">
        <v>30</v>
      </c>
      <c r="Q374" t="s">
        <v>31</v>
      </c>
      <c r="R374">
        <v>82640</v>
      </c>
      <c r="S374" t="s">
        <v>42</v>
      </c>
      <c r="T374">
        <v>82630</v>
      </c>
      <c r="U374" t="s">
        <v>32</v>
      </c>
      <c r="V374" t="s">
        <v>66</v>
      </c>
      <c r="W374" t="s">
        <v>44</v>
      </c>
      <c r="X374" t="s">
        <v>44</v>
      </c>
      <c r="Y374" s="9">
        <f t="shared" si="16"/>
        <v>0</v>
      </c>
      <c r="Z374" t="str">
        <f t="shared" si="17"/>
        <v>สแกนต่าง Cost</v>
      </c>
    </row>
    <row r="375" spans="2:26" x14ac:dyDescent="0.45">
      <c r="B375" t="s">
        <v>53</v>
      </c>
      <c r="C375">
        <v>20310530</v>
      </c>
      <c r="D375" t="s">
        <v>220</v>
      </c>
      <c r="E375" s="8">
        <v>46137.541666666664</v>
      </c>
      <c r="F375" s="8">
        <v>46137.729166666664</v>
      </c>
      <c r="G375" s="9">
        <v>4.5</v>
      </c>
      <c r="H375" s="9">
        <f t="shared" si="15"/>
        <v>2.4E-2</v>
      </c>
      <c r="I375" s="9"/>
      <c r="J375" s="9">
        <v>2.4E-2</v>
      </c>
      <c r="K375" s="9"/>
      <c r="L375" s="9"/>
      <c r="M375" t="s">
        <v>77</v>
      </c>
      <c r="N375" t="s">
        <v>40</v>
      </c>
      <c r="O375" t="s">
        <v>78</v>
      </c>
      <c r="P375" t="s">
        <v>30</v>
      </c>
      <c r="Q375" t="s">
        <v>31</v>
      </c>
      <c r="R375">
        <v>82640</v>
      </c>
      <c r="S375" t="s">
        <v>42</v>
      </c>
      <c r="T375">
        <v>82630</v>
      </c>
      <c r="U375" t="s">
        <v>32</v>
      </c>
      <c r="V375" t="s">
        <v>66</v>
      </c>
      <c r="W375" t="s">
        <v>44</v>
      </c>
      <c r="X375" t="s">
        <v>44</v>
      </c>
      <c r="Y375" s="9">
        <f t="shared" si="16"/>
        <v>2.4E-2</v>
      </c>
      <c r="Z375" t="str">
        <f t="shared" si="17"/>
        <v>สแกนต่าง Cost</v>
      </c>
    </row>
    <row r="376" spans="2:26" x14ac:dyDescent="0.45">
      <c r="B376" t="s">
        <v>53</v>
      </c>
      <c r="C376">
        <v>20332134</v>
      </c>
      <c r="D376" t="s">
        <v>156</v>
      </c>
      <c r="E376" s="8">
        <v>46137.541666666664</v>
      </c>
      <c r="F376" s="8">
        <v>46137.666666666664</v>
      </c>
      <c r="G376" s="9">
        <v>3</v>
      </c>
      <c r="H376" s="9">
        <f t="shared" si="15"/>
        <v>1.6E-2</v>
      </c>
      <c r="I376" s="9"/>
      <c r="J376" s="9">
        <v>1.6E-2</v>
      </c>
      <c r="K376" s="9"/>
      <c r="L376" s="9"/>
      <c r="M376" t="s">
        <v>77</v>
      </c>
      <c r="N376" t="s">
        <v>40</v>
      </c>
      <c r="O376" t="s">
        <v>251</v>
      </c>
      <c r="P376" t="s">
        <v>30</v>
      </c>
      <c r="Q376" t="s">
        <v>31</v>
      </c>
      <c r="R376">
        <v>82640</v>
      </c>
      <c r="S376" t="s">
        <v>42</v>
      </c>
      <c r="T376">
        <v>82630</v>
      </c>
      <c r="U376" t="s">
        <v>32</v>
      </c>
      <c r="V376" t="s">
        <v>66</v>
      </c>
      <c r="W376" t="s">
        <v>44</v>
      </c>
      <c r="X376" t="s">
        <v>44</v>
      </c>
      <c r="Y376" s="9">
        <f t="shared" si="16"/>
        <v>1.6E-2</v>
      </c>
      <c r="Z376" t="str">
        <f t="shared" si="17"/>
        <v>สแกนต่าง Cost</v>
      </c>
    </row>
    <row r="377" spans="2:26" x14ac:dyDescent="0.45">
      <c r="B377" t="s">
        <v>53</v>
      </c>
      <c r="C377">
        <v>20342012</v>
      </c>
      <c r="D377" t="s">
        <v>230</v>
      </c>
      <c r="E377" s="8">
        <v>46137.541666666664</v>
      </c>
      <c r="F377" s="8">
        <v>46137.729166666664</v>
      </c>
      <c r="G377" s="9">
        <v>4.5</v>
      </c>
      <c r="H377" s="9">
        <f t="shared" si="15"/>
        <v>2.4E-2</v>
      </c>
      <c r="I377" s="9">
        <v>2.4E-2</v>
      </c>
      <c r="J377" s="9"/>
      <c r="K377" s="9"/>
      <c r="L377" s="9"/>
      <c r="M377" t="s">
        <v>65</v>
      </c>
      <c r="N377" t="s">
        <v>29</v>
      </c>
      <c r="P377" t="s">
        <v>30</v>
      </c>
      <c r="Q377" t="s">
        <v>31</v>
      </c>
      <c r="R377">
        <v>82611</v>
      </c>
      <c r="S377" t="s">
        <v>43</v>
      </c>
      <c r="T377">
        <v>82640</v>
      </c>
      <c r="U377" t="s">
        <v>42</v>
      </c>
      <c r="V377" t="s">
        <v>70</v>
      </c>
      <c r="W377" t="s">
        <v>47</v>
      </c>
      <c r="X377" t="s">
        <v>95</v>
      </c>
      <c r="Y377" s="9">
        <f t="shared" si="16"/>
        <v>0</v>
      </c>
      <c r="Z377" t="str">
        <f t="shared" si="17"/>
        <v>สแกนต่าง Cost</v>
      </c>
    </row>
    <row r="378" spans="2:26" x14ac:dyDescent="0.45">
      <c r="B378" t="s">
        <v>53</v>
      </c>
      <c r="C378">
        <v>20368087</v>
      </c>
      <c r="D378" t="s">
        <v>260</v>
      </c>
      <c r="E378" s="8">
        <v>46137.541666666664</v>
      </c>
      <c r="F378" s="8">
        <v>46137.645833333336</v>
      </c>
      <c r="G378" s="9">
        <v>2.5</v>
      </c>
      <c r="H378" s="9">
        <f t="shared" si="15"/>
        <v>1.2999999999999999E-2</v>
      </c>
      <c r="I378" s="9">
        <v>1.2999999999999999E-2</v>
      </c>
      <c r="J378" s="9"/>
      <c r="K378" s="9"/>
      <c r="L378" s="9"/>
      <c r="M378" t="s">
        <v>65</v>
      </c>
      <c r="N378" t="s">
        <v>29</v>
      </c>
      <c r="P378" t="s">
        <v>30</v>
      </c>
      <c r="Q378" t="s">
        <v>31</v>
      </c>
      <c r="R378">
        <v>82640</v>
      </c>
      <c r="S378" t="s">
        <v>42</v>
      </c>
      <c r="T378">
        <v>82612</v>
      </c>
      <c r="U378" t="s">
        <v>153</v>
      </c>
      <c r="V378" t="s">
        <v>66</v>
      </c>
      <c r="W378" t="s">
        <v>44</v>
      </c>
      <c r="X378" t="s">
        <v>44</v>
      </c>
      <c r="Y378" s="9">
        <f t="shared" si="16"/>
        <v>0</v>
      </c>
      <c r="Z378" t="str">
        <f t="shared" si="17"/>
        <v>สแกนต่าง Cost</v>
      </c>
    </row>
    <row r="379" spans="2:26" x14ac:dyDescent="0.45">
      <c r="B379" t="s">
        <v>53</v>
      </c>
      <c r="C379">
        <v>20060579</v>
      </c>
      <c r="D379" t="s">
        <v>39</v>
      </c>
      <c r="E379" s="8">
        <v>46137.458333333336</v>
      </c>
      <c r="F379" s="8">
        <v>46137.5</v>
      </c>
      <c r="G379" s="9">
        <v>1</v>
      </c>
      <c r="H379" s="9">
        <f t="shared" si="15"/>
        <v>5.0000000000000001E-3</v>
      </c>
      <c r="I379" s="9">
        <v>5.0000000000000001E-3</v>
      </c>
      <c r="J379" s="9"/>
      <c r="K379" s="9"/>
      <c r="L379" s="9"/>
      <c r="M379" t="s">
        <v>65</v>
      </c>
      <c r="N379" t="s">
        <v>29</v>
      </c>
      <c r="P379" t="s">
        <v>30</v>
      </c>
      <c r="Q379" t="s">
        <v>31</v>
      </c>
      <c r="R379">
        <v>82640</v>
      </c>
      <c r="S379" t="s">
        <v>42</v>
      </c>
      <c r="T379">
        <v>82630</v>
      </c>
      <c r="U379" t="s">
        <v>32</v>
      </c>
      <c r="V379" t="s">
        <v>66</v>
      </c>
      <c r="W379" t="s">
        <v>44</v>
      </c>
      <c r="X379" t="s">
        <v>44</v>
      </c>
      <c r="Y379" s="9">
        <f t="shared" si="16"/>
        <v>0</v>
      </c>
      <c r="Z379" t="str">
        <f t="shared" si="17"/>
        <v>สแกนต่าง Cost</v>
      </c>
    </row>
    <row r="380" spans="2:26" x14ac:dyDescent="0.45">
      <c r="B380" t="s">
        <v>53</v>
      </c>
      <c r="C380">
        <v>20332134</v>
      </c>
      <c r="D380" t="s">
        <v>156</v>
      </c>
      <c r="E380" s="8">
        <v>46137.458333333336</v>
      </c>
      <c r="F380" s="8">
        <v>46137.5</v>
      </c>
      <c r="G380" s="9">
        <v>1</v>
      </c>
      <c r="H380" s="9">
        <f t="shared" si="15"/>
        <v>5.0000000000000001E-3</v>
      </c>
      <c r="I380" s="9"/>
      <c r="J380" s="9">
        <v>5.0000000000000001E-3</v>
      </c>
      <c r="K380" s="9"/>
      <c r="L380" s="9"/>
      <c r="M380" t="s">
        <v>77</v>
      </c>
      <c r="N380" t="s">
        <v>40</v>
      </c>
      <c r="O380" t="s">
        <v>251</v>
      </c>
      <c r="P380" t="s">
        <v>30</v>
      </c>
      <c r="Q380" t="s">
        <v>31</v>
      </c>
      <c r="R380">
        <v>82640</v>
      </c>
      <c r="S380" t="s">
        <v>42</v>
      </c>
      <c r="T380">
        <v>82630</v>
      </c>
      <c r="U380" t="s">
        <v>32</v>
      </c>
      <c r="V380" t="s">
        <v>66</v>
      </c>
      <c r="W380" t="s">
        <v>44</v>
      </c>
      <c r="X380" t="s">
        <v>44</v>
      </c>
      <c r="Y380" s="9">
        <f t="shared" si="16"/>
        <v>5.0000000000000001E-3</v>
      </c>
      <c r="Z380" t="str">
        <f t="shared" si="17"/>
        <v>สแกนต่าง Cost</v>
      </c>
    </row>
    <row r="381" spans="2:26" x14ac:dyDescent="0.45">
      <c r="B381" t="s">
        <v>53</v>
      </c>
      <c r="C381">
        <v>20198839</v>
      </c>
      <c r="D381" t="s">
        <v>258</v>
      </c>
      <c r="E381" s="8">
        <v>46137.4375</v>
      </c>
      <c r="F381" s="8">
        <v>46137.479166666664</v>
      </c>
      <c r="G381" s="9">
        <v>1</v>
      </c>
      <c r="H381" s="9">
        <f t="shared" si="15"/>
        <v>5.0000000000000001E-3</v>
      </c>
      <c r="I381" s="9">
        <v>5.0000000000000001E-3</v>
      </c>
      <c r="J381" s="9"/>
      <c r="K381" s="9"/>
      <c r="L381" s="9"/>
      <c r="M381" t="s">
        <v>65</v>
      </c>
      <c r="N381" t="s">
        <v>29</v>
      </c>
      <c r="P381" t="s">
        <v>30</v>
      </c>
      <c r="Q381" t="s">
        <v>31</v>
      </c>
      <c r="R381">
        <v>82640</v>
      </c>
      <c r="S381" t="s">
        <v>42</v>
      </c>
      <c r="T381">
        <v>82611</v>
      </c>
      <c r="U381" t="s">
        <v>43</v>
      </c>
      <c r="V381" t="s">
        <v>66</v>
      </c>
      <c r="W381" t="s">
        <v>44</v>
      </c>
      <c r="X381" t="s">
        <v>44</v>
      </c>
      <c r="Y381" s="9">
        <f t="shared" si="16"/>
        <v>0</v>
      </c>
      <c r="Z381" t="str">
        <f t="shared" si="17"/>
        <v>สแกนต่าง Cost</v>
      </c>
    </row>
    <row r="382" spans="2:26" x14ac:dyDescent="0.45">
      <c r="B382" t="s">
        <v>53</v>
      </c>
      <c r="C382">
        <v>20198842</v>
      </c>
      <c r="D382" t="s">
        <v>257</v>
      </c>
      <c r="E382" s="8">
        <v>46137.4375</v>
      </c>
      <c r="F382" s="8">
        <v>46137.5</v>
      </c>
      <c r="G382" s="9">
        <v>1.5</v>
      </c>
      <c r="H382" s="9">
        <f t="shared" si="15"/>
        <v>8.0000000000000002E-3</v>
      </c>
      <c r="I382" s="9">
        <v>8.0000000000000002E-3</v>
      </c>
      <c r="J382" s="9"/>
      <c r="K382" s="9"/>
      <c r="L382" s="9"/>
      <c r="M382" t="s">
        <v>65</v>
      </c>
      <c r="N382" t="s">
        <v>29</v>
      </c>
      <c r="P382" t="s">
        <v>30</v>
      </c>
      <c r="Q382" t="s">
        <v>31</v>
      </c>
      <c r="R382">
        <v>82640</v>
      </c>
      <c r="S382" t="s">
        <v>42</v>
      </c>
      <c r="T382">
        <v>82630</v>
      </c>
      <c r="U382" t="s">
        <v>32</v>
      </c>
      <c r="V382" t="s">
        <v>66</v>
      </c>
      <c r="W382" t="s">
        <v>44</v>
      </c>
      <c r="X382" t="s">
        <v>44</v>
      </c>
      <c r="Y382" s="9">
        <f t="shared" si="16"/>
        <v>0</v>
      </c>
      <c r="Z382" t="str">
        <f t="shared" si="17"/>
        <v>สแกนต่าง Cost</v>
      </c>
    </row>
    <row r="383" spans="2:26" x14ac:dyDescent="0.45">
      <c r="B383" t="s">
        <v>53</v>
      </c>
      <c r="C383">
        <v>20280718</v>
      </c>
      <c r="D383" t="s">
        <v>256</v>
      </c>
      <c r="E383" s="8">
        <v>46137.4375</v>
      </c>
      <c r="F383" s="8">
        <v>46137.5</v>
      </c>
      <c r="G383" s="9">
        <v>1.5</v>
      </c>
      <c r="H383" s="9">
        <f t="shared" si="15"/>
        <v>8.0000000000000002E-3</v>
      </c>
      <c r="I383" s="9">
        <v>8.0000000000000002E-3</v>
      </c>
      <c r="J383" s="9"/>
      <c r="K383" s="9"/>
      <c r="L383" s="9"/>
      <c r="M383" t="s">
        <v>65</v>
      </c>
      <c r="N383" t="s">
        <v>29</v>
      </c>
      <c r="P383" t="s">
        <v>30</v>
      </c>
      <c r="Q383" t="s">
        <v>31</v>
      </c>
      <c r="R383">
        <v>82640</v>
      </c>
      <c r="S383" t="s">
        <v>42</v>
      </c>
      <c r="T383">
        <v>82630</v>
      </c>
      <c r="U383" t="s">
        <v>32</v>
      </c>
      <c r="V383" t="s">
        <v>66</v>
      </c>
      <c r="W383" t="s">
        <v>44</v>
      </c>
      <c r="X383" t="s">
        <v>44</v>
      </c>
      <c r="Y383" s="9">
        <f t="shared" si="16"/>
        <v>0</v>
      </c>
      <c r="Z383" t="str">
        <f t="shared" si="17"/>
        <v>สแกนต่าง Cost</v>
      </c>
    </row>
    <row r="384" spans="2:26" x14ac:dyDescent="0.45">
      <c r="B384" t="s">
        <v>53</v>
      </c>
      <c r="C384">
        <v>20078229</v>
      </c>
      <c r="D384" t="s">
        <v>197</v>
      </c>
      <c r="E384" s="8">
        <v>46137.421527777777</v>
      </c>
      <c r="F384" s="8">
        <v>46137.423611111109</v>
      </c>
      <c r="G384" s="9">
        <v>0.05</v>
      </c>
      <c r="H384" s="9">
        <f t="shared" si="15"/>
        <v>0</v>
      </c>
      <c r="I384" s="9"/>
      <c r="J384" s="9">
        <v>0</v>
      </c>
      <c r="K384" s="9"/>
      <c r="L384" s="9"/>
      <c r="M384" t="s">
        <v>77</v>
      </c>
      <c r="N384" t="s">
        <v>29</v>
      </c>
      <c r="P384" t="s">
        <v>133</v>
      </c>
      <c r="Q384" t="s">
        <v>31</v>
      </c>
      <c r="R384">
        <v>82612</v>
      </c>
      <c r="S384" t="s">
        <v>153</v>
      </c>
      <c r="T384">
        <v>82630</v>
      </c>
      <c r="U384" t="s">
        <v>32</v>
      </c>
      <c r="V384" t="s">
        <v>62</v>
      </c>
      <c r="W384" t="s">
        <v>148</v>
      </c>
      <c r="X384" t="s">
        <v>149</v>
      </c>
      <c r="Y384" s="9">
        <f t="shared" si="16"/>
        <v>0</v>
      </c>
      <c r="Z384" t="str">
        <f t="shared" si="17"/>
        <v>สแกนต่าง Cost</v>
      </c>
    </row>
    <row r="385" spans="1:26" x14ac:dyDescent="0.45">
      <c r="B385" t="s">
        <v>53</v>
      </c>
      <c r="C385">
        <v>20127808</v>
      </c>
      <c r="D385" t="s">
        <v>261</v>
      </c>
      <c r="E385" s="8">
        <v>46137.421527777777</v>
      </c>
      <c r="F385" s="8">
        <v>46137.561111111114</v>
      </c>
      <c r="G385" s="9">
        <v>3.35</v>
      </c>
      <c r="H385" s="9">
        <f t="shared" si="15"/>
        <v>1.7999999999999999E-2</v>
      </c>
      <c r="I385" s="9">
        <v>1.7999999999999999E-2</v>
      </c>
      <c r="J385" s="9"/>
      <c r="K385" s="9"/>
      <c r="L385" s="9"/>
      <c r="M385" t="s">
        <v>65</v>
      </c>
      <c r="N385" t="s">
        <v>29</v>
      </c>
      <c r="P385" t="s">
        <v>133</v>
      </c>
      <c r="Q385" t="s">
        <v>31</v>
      </c>
      <c r="R385">
        <v>82612</v>
      </c>
      <c r="S385" t="s">
        <v>153</v>
      </c>
      <c r="T385">
        <v>82630</v>
      </c>
      <c r="U385" t="s">
        <v>32</v>
      </c>
      <c r="V385" t="s">
        <v>62</v>
      </c>
      <c r="W385" t="s">
        <v>148</v>
      </c>
      <c r="X385" t="s">
        <v>149</v>
      </c>
      <c r="Y385" s="9">
        <f t="shared" si="16"/>
        <v>0</v>
      </c>
      <c r="Z385" t="str">
        <f t="shared" si="17"/>
        <v>สแกนต่าง Cost</v>
      </c>
    </row>
    <row r="386" spans="1:26" x14ac:dyDescent="0.45">
      <c r="B386" t="s">
        <v>53</v>
      </c>
      <c r="C386">
        <v>20280718</v>
      </c>
      <c r="D386" t="s">
        <v>256</v>
      </c>
      <c r="E386" s="8">
        <v>46137.416666666664</v>
      </c>
      <c r="F386" s="8">
        <v>46137.4375</v>
      </c>
      <c r="G386" s="9">
        <v>0.5</v>
      </c>
      <c r="H386" s="9">
        <f t="shared" si="15"/>
        <v>3.0000000000000001E-3</v>
      </c>
      <c r="I386" s="9">
        <v>3.0000000000000001E-3</v>
      </c>
      <c r="J386" s="9"/>
      <c r="K386" s="9"/>
      <c r="L386" s="9"/>
      <c r="M386" t="s">
        <v>65</v>
      </c>
      <c r="N386" t="s">
        <v>29</v>
      </c>
      <c r="P386" t="s">
        <v>30</v>
      </c>
      <c r="Q386" t="s">
        <v>31</v>
      </c>
      <c r="R386">
        <v>82640</v>
      </c>
      <c r="S386" t="s">
        <v>42</v>
      </c>
      <c r="T386">
        <v>82622</v>
      </c>
      <c r="U386" t="s">
        <v>147</v>
      </c>
      <c r="V386" t="s">
        <v>66</v>
      </c>
      <c r="W386" t="s">
        <v>44</v>
      </c>
      <c r="X386" t="s">
        <v>44</v>
      </c>
      <c r="Y386" s="9">
        <f t="shared" si="16"/>
        <v>0</v>
      </c>
      <c r="Z386" t="str">
        <f t="shared" si="17"/>
        <v>สแกนต่าง Cost</v>
      </c>
    </row>
    <row r="387" spans="1:26" x14ac:dyDescent="0.45">
      <c r="B387" t="s">
        <v>53</v>
      </c>
      <c r="C387">
        <v>20332134</v>
      </c>
      <c r="D387" t="s">
        <v>156</v>
      </c>
      <c r="E387" s="8">
        <v>46137.416666666664</v>
      </c>
      <c r="F387" s="8">
        <v>46137.458333333336</v>
      </c>
      <c r="G387" s="9">
        <v>1</v>
      </c>
      <c r="H387" s="9">
        <f t="shared" ref="H387:H450" si="18">SUM(I387:L387)</f>
        <v>5.0000000000000001E-3</v>
      </c>
      <c r="I387" s="9"/>
      <c r="J387" s="9">
        <v>5.0000000000000001E-3</v>
      </c>
      <c r="K387" s="9"/>
      <c r="L387" s="9"/>
      <c r="M387" t="s">
        <v>77</v>
      </c>
      <c r="N387" t="s">
        <v>40</v>
      </c>
      <c r="O387" t="s">
        <v>251</v>
      </c>
      <c r="P387" t="s">
        <v>30</v>
      </c>
      <c r="Q387" t="s">
        <v>31</v>
      </c>
      <c r="R387">
        <v>82640</v>
      </c>
      <c r="S387" t="s">
        <v>42</v>
      </c>
      <c r="T387">
        <v>82611</v>
      </c>
      <c r="U387" t="s">
        <v>43</v>
      </c>
      <c r="V387" t="s">
        <v>66</v>
      </c>
      <c r="W387" t="s">
        <v>44</v>
      </c>
      <c r="X387" t="s">
        <v>44</v>
      </c>
      <c r="Y387" s="9">
        <f t="shared" ref="Y387:Y450" si="19">SUM(J387:L387)</f>
        <v>5.0000000000000001E-3</v>
      </c>
      <c r="Z387" t="str">
        <f t="shared" ref="Z387:Z450" si="20">IF(R387=T387,"สแกน Cost ตัวเอง","สแกนต่าง Cost")</f>
        <v>สแกนต่าง Cost</v>
      </c>
    </row>
    <row r="388" spans="1:26" x14ac:dyDescent="0.45">
      <c r="B388" t="s">
        <v>53</v>
      </c>
      <c r="C388">
        <v>20280718</v>
      </c>
      <c r="D388" t="s">
        <v>256</v>
      </c>
      <c r="E388" s="8">
        <v>46137.395833333336</v>
      </c>
      <c r="F388" s="8">
        <v>46137.416666666664</v>
      </c>
      <c r="G388" s="9">
        <v>0.5</v>
      </c>
      <c r="H388" s="9">
        <f t="shared" si="18"/>
        <v>3.0000000000000001E-3</v>
      </c>
      <c r="I388" s="9">
        <v>3.0000000000000001E-3</v>
      </c>
      <c r="J388" s="9"/>
      <c r="K388" s="9"/>
      <c r="L388" s="9"/>
      <c r="M388" t="s">
        <v>65</v>
      </c>
      <c r="N388" t="s">
        <v>29</v>
      </c>
      <c r="P388" t="s">
        <v>30</v>
      </c>
      <c r="Q388" t="s">
        <v>31</v>
      </c>
      <c r="R388">
        <v>82640</v>
      </c>
      <c r="S388" t="s">
        <v>42</v>
      </c>
      <c r="T388">
        <v>82611</v>
      </c>
      <c r="U388" t="s">
        <v>43</v>
      </c>
      <c r="V388" t="s">
        <v>66</v>
      </c>
      <c r="W388" t="s">
        <v>44</v>
      </c>
      <c r="X388" t="s">
        <v>44</v>
      </c>
      <c r="Y388" s="9">
        <f t="shared" si="19"/>
        <v>0</v>
      </c>
      <c r="Z388" t="str">
        <f t="shared" si="20"/>
        <v>สแกนต่าง Cost</v>
      </c>
    </row>
    <row r="389" spans="1:26" x14ac:dyDescent="0.45">
      <c r="B389" t="s">
        <v>53</v>
      </c>
      <c r="C389">
        <v>20060579</v>
      </c>
      <c r="D389" t="s">
        <v>39</v>
      </c>
      <c r="E389" s="8">
        <v>46137.375</v>
      </c>
      <c r="F389" s="8">
        <v>46137.458333333336</v>
      </c>
      <c r="G389" s="9">
        <v>2</v>
      </c>
      <c r="H389" s="9">
        <f t="shared" si="18"/>
        <v>1.0999999999999999E-2</v>
      </c>
      <c r="I389" s="9">
        <v>1.0999999999999999E-2</v>
      </c>
      <c r="J389" s="9"/>
      <c r="K389" s="9"/>
      <c r="L389" s="9"/>
      <c r="M389" t="s">
        <v>65</v>
      </c>
      <c r="N389" t="s">
        <v>29</v>
      </c>
      <c r="P389" t="s">
        <v>30</v>
      </c>
      <c r="Q389" t="s">
        <v>31</v>
      </c>
      <c r="R389">
        <v>82640</v>
      </c>
      <c r="S389" t="s">
        <v>42</v>
      </c>
      <c r="T389">
        <v>82611</v>
      </c>
      <c r="U389" t="s">
        <v>43</v>
      </c>
      <c r="V389" t="s">
        <v>66</v>
      </c>
      <c r="W389" t="s">
        <v>44</v>
      </c>
      <c r="X389" t="s">
        <v>44</v>
      </c>
      <c r="Y389" s="9">
        <f t="shared" si="19"/>
        <v>0</v>
      </c>
      <c r="Z389" t="str">
        <f t="shared" si="20"/>
        <v>สแกนต่าง Cost</v>
      </c>
    </row>
    <row r="390" spans="1:26" x14ac:dyDescent="0.45">
      <c r="B390" t="s">
        <v>26</v>
      </c>
      <c r="C390">
        <v>20031838</v>
      </c>
      <c r="D390" t="s">
        <v>143</v>
      </c>
      <c r="E390" s="8">
        <v>46137.363194444442</v>
      </c>
      <c r="F390" s="8">
        <v>46137.729166666664</v>
      </c>
      <c r="G390" s="9">
        <v>7.7833333333333332</v>
      </c>
      <c r="H390" s="9">
        <f t="shared" si="18"/>
        <v>4.2000000000000003E-2</v>
      </c>
      <c r="I390" s="9"/>
      <c r="J390" s="9">
        <v>4.2000000000000003E-2</v>
      </c>
      <c r="K390" s="9"/>
      <c r="L390" s="9"/>
      <c r="M390" t="s">
        <v>77</v>
      </c>
      <c r="N390" t="s">
        <v>40</v>
      </c>
      <c r="O390" t="s">
        <v>78</v>
      </c>
      <c r="P390" t="s">
        <v>30</v>
      </c>
      <c r="Q390" t="s">
        <v>31</v>
      </c>
      <c r="R390">
        <v>82652</v>
      </c>
      <c r="S390" t="s">
        <v>46</v>
      </c>
      <c r="T390">
        <v>82658</v>
      </c>
      <c r="U390" t="s">
        <v>33</v>
      </c>
      <c r="V390" t="s">
        <v>33</v>
      </c>
      <c r="W390" t="s">
        <v>37</v>
      </c>
      <c r="X390" t="s">
        <v>38</v>
      </c>
      <c r="Y390" s="9">
        <f t="shared" si="19"/>
        <v>4.2000000000000003E-2</v>
      </c>
      <c r="Z390" t="str">
        <f t="shared" si="20"/>
        <v>สแกนต่าง Cost</v>
      </c>
    </row>
    <row r="391" spans="1:26" x14ac:dyDescent="0.45">
      <c r="B391" t="s">
        <v>26</v>
      </c>
      <c r="C391">
        <v>20045685</v>
      </c>
      <c r="D391" t="s">
        <v>262</v>
      </c>
      <c r="E391" s="8">
        <v>46137.356944444444</v>
      </c>
      <c r="F391" s="8">
        <v>46137.729166666664</v>
      </c>
      <c r="G391" s="9">
        <v>7.9333333333333336</v>
      </c>
      <c r="H391" s="9">
        <f t="shared" si="18"/>
        <v>4.2000000000000003E-2</v>
      </c>
      <c r="I391" s="9"/>
      <c r="J391" s="9">
        <v>4.2000000000000003E-2</v>
      </c>
      <c r="K391" s="9"/>
      <c r="L391" s="9"/>
      <c r="M391" t="s">
        <v>77</v>
      </c>
      <c r="N391" t="s">
        <v>29</v>
      </c>
      <c r="P391" t="s">
        <v>30</v>
      </c>
      <c r="Q391" t="s">
        <v>31</v>
      </c>
      <c r="R391">
        <v>82652</v>
      </c>
      <c r="S391" t="s">
        <v>46</v>
      </c>
      <c r="T391">
        <v>82658</v>
      </c>
      <c r="U391" t="s">
        <v>33</v>
      </c>
      <c r="V391" t="s">
        <v>33</v>
      </c>
      <c r="W391" t="s">
        <v>37</v>
      </c>
      <c r="X391" t="s">
        <v>38</v>
      </c>
      <c r="Y391" s="9">
        <f t="shared" si="19"/>
        <v>4.2000000000000003E-2</v>
      </c>
      <c r="Z391" t="str">
        <f t="shared" si="20"/>
        <v>สแกนต่าง Cost</v>
      </c>
    </row>
    <row r="392" spans="1:26" x14ac:dyDescent="0.45">
      <c r="B392" t="s">
        <v>53</v>
      </c>
      <c r="C392">
        <v>20198842</v>
      </c>
      <c r="D392" t="s">
        <v>257</v>
      </c>
      <c r="E392" s="8">
        <v>46137.354166666664</v>
      </c>
      <c r="F392" s="8">
        <v>46137.5</v>
      </c>
      <c r="G392" s="9">
        <v>3.5</v>
      </c>
      <c r="H392" s="9">
        <f t="shared" si="18"/>
        <v>1.9E-2</v>
      </c>
      <c r="I392" s="9">
        <v>1.9E-2</v>
      </c>
      <c r="J392" s="9"/>
      <c r="K392" s="9"/>
      <c r="L392" s="9"/>
      <c r="M392" t="s">
        <v>65</v>
      </c>
      <c r="N392" t="s">
        <v>29</v>
      </c>
      <c r="P392" t="s">
        <v>30</v>
      </c>
      <c r="Q392" t="s">
        <v>31</v>
      </c>
      <c r="R392">
        <v>82640</v>
      </c>
      <c r="S392" t="s">
        <v>42</v>
      </c>
      <c r="T392">
        <v>82612</v>
      </c>
      <c r="U392" t="s">
        <v>153</v>
      </c>
      <c r="V392" t="s">
        <v>66</v>
      </c>
      <c r="W392" t="s">
        <v>44</v>
      </c>
      <c r="X392" t="s">
        <v>44</v>
      </c>
      <c r="Y392" s="9">
        <f t="shared" si="19"/>
        <v>0</v>
      </c>
      <c r="Z392" t="str">
        <f t="shared" si="20"/>
        <v>สแกนต่าง Cost</v>
      </c>
    </row>
    <row r="393" spans="1:26" x14ac:dyDescent="0.45">
      <c r="B393" t="s">
        <v>53</v>
      </c>
      <c r="C393">
        <v>20198842</v>
      </c>
      <c r="D393" t="s">
        <v>257</v>
      </c>
      <c r="E393" s="8">
        <v>46137.354166666664</v>
      </c>
      <c r="F393" s="8">
        <v>46137.416666666664</v>
      </c>
      <c r="G393" s="9">
        <v>1.5</v>
      </c>
      <c r="H393" s="9">
        <f t="shared" si="18"/>
        <v>8.0000000000000002E-3</v>
      </c>
      <c r="I393" s="9">
        <v>8.0000000000000002E-3</v>
      </c>
      <c r="J393" s="9"/>
      <c r="K393" s="9"/>
      <c r="L393" s="9"/>
      <c r="M393" t="s">
        <v>65</v>
      </c>
      <c r="N393" t="s">
        <v>29</v>
      </c>
      <c r="P393" t="s">
        <v>30</v>
      </c>
      <c r="Q393" t="s">
        <v>31</v>
      </c>
      <c r="R393">
        <v>82640</v>
      </c>
      <c r="S393" t="s">
        <v>42</v>
      </c>
      <c r="T393">
        <v>82630</v>
      </c>
      <c r="U393" t="s">
        <v>32</v>
      </c>
      <c r="V393" t="s">
        <v>66</v>
      </c>
      <c r="W393" t="s">
        <v>44</v>
      </c>
      <c r="X393" t="s">
        <v>44</v>
      </c>
      <c r="Y393" s="9">
        <f t="shared" si="19"/>
        <v>0</v>
      </c>
      <c r="Z393" t="str">
        <f t="shared" si="20"/>
        <v>สแกนต่าง Cost</v>
      </c>
    </row>
    <row r="394" spans="1:26" x14ac:dyDescent="0.45">
      <c r="B394" t="s">
        <v>53</v>
      </c>
      <c r="C394">
        <v>20280718</v>
      </c>
      <c r="D394" t="s">
        <v>256</v>
      </c>
      <c r="E394" s="8">
        <v>46137.354166666664</v>
      </c>
      <c r="F394" s="8">
        <v>46137.375</v>
      </c>
      <c r="G394" s="9">
        <v>0.5</v>
      </c>
      <c r="H394" s="9">
        <f t="shared" si="18"/>
        <v>3.0000000000000001E-3</v>
      </c>
      <c r="I394" s="9">
        <v>3.0000000000000001E-3</v>
      </c>
      <c r="J394" s="9"/>
      <c r="K394" s="9"/>
      <c r="L394" s="9"/>
      <c r="M394" t="s">
        <v>65</v>
      </c>
      <c r="N394" t="s">
        <v>29</v>
      </c>
      <c r="P394" t="s">
        <v>30</v>
      </c>
      <c r="Q394" t="s">
        <v>31</v>
      </c>
      <c r="R394">
        <v>82640</v>
      </c>
      <c r="S394" t="s">
        <v>42</v>
      </c>
      <c r="T394">
        <v>82630</v>
      </c>
      <c r="U394" t="s">
        <v>32</v>
      </c>
      <c r="V394" t="s">
        <v>66</v>
      </c>
      <c r="W394" t="s">
        <v>44</v>
      </c>
      <c r="X394" t="s">
        <v>44</v>
      </c>
      <c r="Y394" s="9">
        <f t="shared" si="19"/>
        <v>0</v>
      </c>
      <c r="Z394" t="str">
        <f t="shared" si="20"/>
        <v>สแกนต่าง Cost</v>
      </c>
    </row>
    <row r="395" spans="1:26" x14ac:dyDescent="0.45">
      <c r="B395" t="s">
        <v>53</v>
      </c>
      <c r="C395">
        <v>20310530</v>
      </c>
      <c r="D395" t="s">
        <v>220</v>
      </c>
      <c r="E395" s="8">
        <v>46137.354166666664</v>
      </c>
      <c r="F395" s="8">
        <v>46137.5</v>
      </c>
      <c r="G395" s="9">
        <v>3.5</v>
      </c>
      <c r="H395" s="9">
        <f t="shared" si="18"/>
        <v>1.9E-2</v>
      </c>
      <c r="I395" s="9"/>
      <c r="J395" s="9">
        <v>1.9E-2</v>
      </c>
      <c r="K395" s="9"/>
      <c r="L395" s="9"/>
      <c r="M395" t="s">
        <v>77</v>
      </c>
      <c r="N395" t="s">
        <v>40</v>
      </c>
      <c r="O395" t="s">
        <v>78</v>
      </c>
      <c r="P395" t="s">
        <v>30</v>
      </c>
      <c r="Q395" t="s">
        <v>31</v>
      </c>
      <c r="R395">
        <v>82640</v>
      </c>
      <c r="S395" t="s">
        <v>42</v>
      </c>
      <c r="T395">
        <v>82630</v>
      </c>
      <c r="U395" t="s">
        <v>32</v>
      </c>
      <c r="V395" t="s">
        <v>66</v>
      </c>
      <c r="W395" t="s">
        <v>44</v>
      </c>
      <c r="X395" t="s">
        <v>44</v>
      </c>
      <c r="Y395" s="9">
        <f t="shared" si="19"/>
        <v>1.9E-2</v>
      </c>
      <c r="Z395" t="str">
        <f t="shared" si="20"/>
        <v>สแกนต่าง Cost</v>
      </c>
    </row>
    <row r="396" spans="1:26" x14ac:dyDescent="0.45">
      <c r="A396">
        <v>26945</v>
      </c>
      <c r="B396" t="s">
        <v>53</v>
      </c>
      <c r="C396">
        <v>20017430</v>
      </c>
      <c r="D396" t="s">
        <v>94</v>
      </c>
      <c r="E396" s="8">
        <v>46137.352777777778</v>
      </c>
      <c r="F396" s="8">
        <v>46137.729166666664</v>
      </c>
      <c r="G396" s="9">
        <v>8.0333333333333332</v>
      </c>
      <c r="H396" s="9">
        <f t="shared" si="18"/>
        <v>4.2999999999999997E-2</v>
      </c>
      <c r="I396" s="9"/>
      <c r="J396" s="9">
        <v>4.2999999999999997E-2</v>
      </c>
      <c r="K396" s="9"/>
      <c r="L396" s="9"/>
      <c r="M396" t="s">
        <v>77</v>
      </c>
      <c r="N396" t="s">
        <v>29</v>
      </c>
      <c r="P396" t="s">
        <v>30</v>
      </c>
      <c r="Q396" t="s">
        <v>31</v>
      </c>
      <c r="R396">
        <v>82301</v>
      </c>
      <c r="S396" t="s">
        <v>79</v>
      </c>
      <c r="T396">
        <v>82308</v>
      </c>
      <c r="U396" t="s">
        <v>69</v>
      </c>
      <c r="V396" t="s">
        <v>69</v>
      </c>
      <c r="W396" t="s">
        <v>69</v>
      </c>
      <c r="X396" t="s">
        <v>196</v>
      </c>
      <c r="Y396" s="9">
        <f t="shared" si="19"/>
        <v>4.2999999999999997E-2</v>
      </c>
      <c r="Z396" t="str">
        <f t="shared" si="20"/>
        <v>สแกนต่าง Cost</v>
      </c>
    </row>
    <row r="397" spans="1:26" x14ac:dyDescent="0.45">
      <c r="A397">
        <v>27039</v>
      </c>
      <c r="B397" t="s">
        <v>53</v>
      </c>
      <c r="C397">
        <v>20240123</v>
      </c>
      <c r="D397" t="s">
        <v>263</v>
      </c>
      <c r="E397" s="8">
        <v>46137.344444444447</v>
      </c>
      <c r="F397" s="8">
        <v>46137.715277777781</v>
      </c>
      <c r="G397" s="9">
        <v>7.9</v>
      </c>
      <c r="H397" s="9">
        <f t="shared" si="18"/>
        <v>4.2000000000000003E-2</v>
      </c>
      <c r="I397" s="9"/>
      <c r="J397" s="9">
        <v>4.2000000000000003E-2</v>
      </c>
      <c r="K397" s="9"/>
      <c r="L397" s="9"/>
      <c r="M397" t="s">
        <v>77</v>
      </c>
      <c r="N397" t="s">
        <v>40</v>
      </c>
      <c r="O397" t="s">
        <v>78</v>
      </c>
      <c r="P397" t="s">
        <v>30</v>
      </c>
      <c r="Q397" t="s">
        <v>31</v>
      </c>
      <c r="R397">
        <v>82306</v>
      </c>
      <c r="S397" t="s">
        <v>55</v>
      </c>
      <c r="T397">
        <v>82920</v>
      </c>
      <c r="U397" t="s">
        <v>158</v>
      </c>
      <c r="V397" t="s">
        <v>158</v>
      </c>
      <c r="W397" t="s">
        <v>159</v>
      </c>
      <c r="X397" t="s">
        <v>160</v>
      </c>
      <c r="Y397" s="9">
        <f t="shared" si="19"/>
        <v>4.2000000000000003E-2</v>
      </c>
      <c r="Z397" t="str">
        <f t="shared" si="20"/>
        <v>สแกนต่าง Cost</v>
      </c>
    </row>
    <row r="398" spans="1:26" x14ac:dyDescent="0.45">
      <c r="B398" t="s">
        <v>26</v>
      </c>
      <c r="C398">
        <v>20403191</v>
      </c>
      <c r="D398" t="s">
        <v>122</v>
      </c>
      <c r="E398" s="8">
        <v>46137.344444444447</v>
      </c>
      <c r="F398" s="8">
        <v>46137.709722222222</v>
      </c>
      <c r="G398" s="9">
        <v>7.7666666666666675</v>
      </c>
      <c r="H398" s="9">
        <f t="shared" si="18"/>
        <v>4.2000000000000003E-2</v>
      </c>
      <c r="I398" s="9">
        <v>4.2000000000000003E-2</v>
      </c>
      <c r="J398" s="9"/>
      <c r="K398" s="9"/>
      <c r="L398" s="9"/>
      <c r="M398" t="s">
        <v>48</v>
      </c>
      <c r="N398" t="s">
        <v>48</v>
      </c>
      <c r="P398" t="s">
        <v>30</v>
      </c>
      <c r="Q398" t="s">
        <v>31</v>
      </c>
      <c r="R398">
        <v>82400</v>
      </c>
      <c r="S398" t="s">
        <v>83</v>
      </c>
      <c r="T398">
        <v>82658</v>
      </c>
      <c r="U398" t="s">
        <v>33</v>
      </c>
      <c r="V398" t="s">
        <v>33</v>
      </c>
      <c r="W398" t="s">
        <v>37</v>
      </c>
      <c r="X398" t="s">
        <v>38</v>
      </c>
      <c r="Y398" s="9">
        <f t="shared" si="19"/>
        <v>0</v>
      </c>
      <c r="Z398" t="str">
        <f t="shared" si="20"/>
        <v>สแกนต่าง Cost</v>
      </c>
    </row>
    <row r="399" spans="1:26" x14ac:dyDescent="0.45">
      <c r="B399" t="s">
        <v>26</v>
      </c>
      <c r="C399">
        <v>20403192</v>
      </c>
      <c r="D399" t="s">
        <v>123</v>
      </c>
      <c r="E399" s="8">
        <v>46137.344444444447</v>
      </c>
      <c r="F399" s="8">
        <v>46137.709722222222</v>
      </c>
      <c r="G399" s="9">
        <v>7.7666666666666675</v>
      </c>
      <c r="H399" s="9">
        <f t="shared" si="18"/>
        <v>4.2000000000000003E-2</v>
      </c>
      <c r="I399" s="9">
        <v>4.2000000000000003E-2</v>
      </c>
      <c r="J399" s="9"/>
      <c r="K399" s="9"/>
      <c r="L399" s="9"/>
      <c r="M399" t="s">
        <v>48</v>
      </c>
      <c r="N399" t="s">
        <v>48</v>
      </c>
      <c r="P399" t="s">
        <v>30</v>
      </c>
      <c r="Q399" t="s">
        <v>31</v>
      </c>
      <c r="R399">
        <v>82400</v>
      </c>
      <c r="S399" t="s">
        <v>83</v>
      </c>
      <c r="T399">
        <v>82658</v>
      </c>
      <c r="U399" t="s">
        <v>33</v>
      </c>
      <c r="V399" t="s">
        <v>33</v>
      </c>
      <c r="W399" t="s">
        <v>37</v>
      </c>
      <c r="X399" t="s">
        <v>38</v>
      </c>
      <c r="Y399" s="9">
        <f t="shared" si="19"/>
        <v>0</v>
      </c>
      <c r="Z399" t="str">
        <f t="shared" si="20"/>
        <v>สแกนต่าง Cost</v>
      </c>
    </row>
    <row r="400" spans="1:26" x14ac:dyDescent="0.45">
      <c r="B400" t="s">
        <v>26</v>
      </c>
      <c r="C400">
        <v>20403254</v>
      </c>
      <c r="D400" t="s">
        <v>126</v>
      </c>
      <c r="E400" s="8">
        <v>46137.344444444447</v>
      </c>
      <c r="F400" s="8">
        <v>46137.704861111109</v>
      </c>
      <c r="G400" s="9">
        <v>7.65</v>
      </c>
      <c r="H400" s="9">
        <f t="shared" si="18"/>
        <v>4.1000000000000002E-2</v>
      </c>
      <c r="I400" s="9">
        <v>4.1000000000000002E-2</v>
      </c>
      <c r="J400" s="9"/>
      <c r="K400" s="9"/>
      <c r="L400" s="9"/>
      <c r="M400" t="s">
        <v>48</v>
      </c>
      <c r="N400" t="s">
        <v>48</v>
      </c>
      <c r="P400" t="s">
        <v>30</v>
      </c>
      <c r="Q400" t="s">
        <v>31</v>
      </c>
      <c r="R400">
        <v>82400</v>
      </c>
      <c r="S400" t="s">
        <v>83</v>
      </c>
      <c r="T400">
        <v>82658</v>
      </c>
      <c r="U400" t="s">
        <v>33</v>
      </c>
      <c r="V400" t="s">
        <v>33</v>
      </c>
      <c r="W400" t="s">
        <v>37</v>
      </c>
      <c r="X400" t="s">
        <v>38</v>
      </c>
      <c r="Y400" s="9">
        <f t="shared" si="19"/>
        <v>0</v>
      </c>
      <c r="Z400" t="str">
        <f t="shared" si="20"/>
        <v>สแกนต่าง Cost</v>
      </c>
    </row>
    <row r="401" spans="1:26" x14ac:dyDescent="0.45">
      <c r="A401">
        <v>26927</v>
      </c>
      <c r="B401" t="s">
        <v>53</v>
      </c>
      <c r="C401">
        <v>20004913</v>
      </c>
      <c r="D401" t="s">
        <v>87</v>
      </c>
      <c r="E401" s="8">
        <v>46137.333333333336</v>
      </c>
      <c r="F401" s="8">
        <v>46137.729166666664</v>
      </c>
      <c r="G401" s="9">
        <v>8.5</v>
      </c>
      <c r="H401" s="9">
        <f t="shared" si="18"/>
        <v>4.4999999999999998E-2</v>
      </c>
      <c r="I401" s="9">
        <v>4.4999999999999998E-2</v>
      </c>
      <c r="J401" s="9"/>
      <c r="K401" s="9"/>
      <c r="L401" s="9"/>
      <c r="M401" t="s">
        <v>65</v>
      </c>
      <c r="N401" t="s">
        <v>29</v>
      </c>
      <c r="P401" t="s">
        <v>30</v>
      </c>
      <c r="Q401" t="s">
        <v>31</v>
      </c>
      <c r="R401">
        <v>82301</v>
      </c>
      <c r="S401" t="s">
        <v>79</v>
      </c>
      <c r="T401">
        <v>82308</v>
      </c>
      <c r="U401" t="s">
        <v>69</v>
      </c>
      <c r="V401" t="s">
        <v>69</v>
      </c>
      <c r="W401" t="s">
        <v>69</v>
      </c>
      <c r="X401" t="s">
        <v>88</v>
      </c>
      <c r="Y401" s="9">
        <f t="shared" si="19"/>
        <v>0</v>
      </c>
      <c r="Z401" t="str">
        <f t="shared" si="20"/>
        <v>สแกนต่าง Cost</v>
      </c>
    </row>
    <row r="402" spans="1:26" x14ac:dyDescent="0.45">
      <c r="A402">
        <v>26943</v>
      </c>
      <c r="B402" t="s">
        <v>53</v>
      </c>
      <c r="C402">
        <v>20014917</v>
      </c>
      <c r="D402" t="s">
        <v>232</v>
      </c>
      <c r="E402" s="8">
        <v>46137.333333333336</v>
      </c>
      <c r="F402" s="8">
        <v>46137.495833333334</v>
      </c>
      <c r="G402" s="9">
        <v>3.9</v>
      </c>
      <c r="H402" s="9">
        <f t="shared" si="18"/>
        <v>2.1000000000000001E-2</v>
      </c>
      <c r="I402" s="9">
        <v>2.1000000000000001E-2</v>
      </c>
      <c r="J402" s="9"/>
      <c r="K402" s="9"/>
      <c r="L402" s="9"/>
      <c r="M402" t="s">
        <v>65</v>
      </c>
      <c r="N402" t="s">
        <v>29</v>
      </c>
      <c r="P402" t="s">
        <v>30</v>
      </c>
      <c r="Q402" t="s">
        <v>31</v>
      </c>
      <c r="R402">
        <v>82301</v>
      </c>
      <c r="S402" t="s">
        <v>79</v>
      </c>
      <c r="T402">
        <v>82308</v>
      </c>
      <c r="U402" t="s">
        <v>69</v>
      </c>
      <c r="V402" t="s">
        <v>69</v>
      </c>
      <c r="W402" t="s">
        <v>69</v>
      </c>
      <c r="X402" t="s">
        <v>196</v>
      </c>
      <c r="Y402" s="9">
        <f t="shared" si="19"/>
        <v>0</v>
      </c>
      <c r="Z402" t="str">
        <f t="shared" si="20"/>
        <v>สแกนต่าง Cost</v>
      </c>
    </row>
    <row r="403" spans="1:26" x14ac:dyDescent="0.45">
      <c r="B403" t="s">
        <v>53</v>
      </c>
      <c r="C403">
        <v>20023163</v>
      </c>
      <c r="D403" t="s">
        <v>169</v>
      </c>
      <c r="E403" s="8">
        <v>46137.333333333336</v>
      </c>
      <c r="F403" s="8">
        <v>46137.729166666664</v>
      </c>
      <c r="G403" s="9">
        <v>8.5</v>
      </c>
      <c r="H403" s="9">
        <f t="shared" si="18"/>
        <v>4.4999999999999998E-2</v>
      </c>
      <c r="I403" s="9"/>
      <c r="J403" s="9">
        <v>4.4999999999999998E-2</v>
      </c>
      <c r="K403" s="9"/>
      <c r="L403" s="9"/>
      <c r="M403" t="s">
        <v>77</v>
      </c>
      <c r="N403" t="s">
        <v>29</v>
      </c>
      <c r="P403" t="s">
        <v>30</v>
      </c>
      <c r="Q403" t="s">
        <v>31</v>
      </c>
      <c r="R403">
        <v>82630</v>
      </c>
      <c r="S403" t="s">
        <v>32</v>
      </c>
      <c r="T403">
        <v>82640</v>
      </c>
      <c r="U403" t="s">
        <v>42</v>
      </c>
      <c r="V403" t="s">
        <v>70</v>
      </c>
      <c r="W403" t="s">
        <v>170</v>
      </c>
      <c r="X403" t="s">
        <v>171</v>
      </c>
      <c r="Y403" s="9">
        <f t="shared" si="19"/>
        <v>4.4999999999999998E-2</v>
      </c>
      <c r="Z403" t="str">
        <f t="shared" si="20"/>
        <v>สแกนต่าง Cost</v>
      </c>
    </row>
    <row r="404" spans="1:26" x14ac:dyDescent="0.45">
      <c r="B404" t="s">
        <v>26</v>
      </c>
      <c r="C404">
        <v>20025986</v>
      </c>
      <c r="D404" t="s">
        <v>200</v>
      </c>
      <c r="E404" s="8">
        <v>46137.333333333336</v>
      </c>
      <c r="F404" s="8">
        <v>46137.729166666664</v>
      </c>
      <c r="G404" s="9">
        <v>8.5</v>
      </c>
      <c r="H404" s="9">
        <f t="shared" si="18"/>
        <v>4.4999999999999998E-2</v>
      </c>
      <c r="I404" s="9">
        <v>4.4999999999999998E-2</v>
      </c>
      <c r="J404" s="9"/>
      <c r="K404" s="9"/>
      <c r="L404" s="9"/>
      <c r="M404" t="s">
        <v>65</v>
      </c>
      <c r="N404" t="s">
        <v>29</v>
      </c>
      <c r="P404" t="s">
        <v>30</v>
      </c>
      <c r="Q404" t="s">
        <v>31</v>
      </c>
      <c r="R404">
        <v>82910</v>
      </c>
      <c r="S404" t="s">
        <v>201</v>
      </c>
      <c r="T404">
        <v>82605</v>
      </c>
      <c r="U404" t="s">
        <v>202</v>
      </c>
      <c r="V404" t="s">
        <v>202</v>
      </c>
      <c r="W404" t="s">
        <v>37</v>
      </c>
      <c r="X404" t="s">
        <v>47</v>
      </c>
      <c r="Y404" s="9">
        <f t="shared" si="19"/>
        <v>0</v>
      </c>
      <c r="Z404" t="str">
        <f t="shared" si="20"/>
        <v>สแกนต่าง Cost</v>
      </c>
    </row>
    <row r="405" spans="1:26" x14ac:dyDescent="0.45">
      <c r="B405" t="s">
        <v>53</v>
      </c>
      <c r="C405">
        <v>20034535</v>
      </c>
      <c r="D405" t="s">
        <v>99</v>
      </c>
      <c r="E405" s="8">
        <v>46137.333333333336</v>
      </c>
      <c r="F405" s="8">
        <v>46137.729166666664</v>
      </c>
      <c r="G405" s="9">
        <v>8.5</v>
      </c>
      <c r="H405" s="9">
        <f t="shared" si="18"/>
        <v>4.4999999999999998E-2</v>
      </c>
      <c r="I405" s="9"/>
      <c r="J405" s="9">
        <v>4.4999999999999998E-2</v>
      </c>
      <c r="K405" s="9"/>
      <c r="L405" s="9"/>
      <c r="M405" t="s">
        <v>77</v>
      </c>
      <c r="N405" t="s">
        <v>40</v>
      </c>
      <c r="O405" t="s">
        <v>78</v>
      </c>
      <c r="P405" t="s">
        <v>30</v>
      </c>
      <c r="Q405" t="s">
        <v>31</v>
      </c>
      <c r="R405">
        <v>82630</v>
      </c>
      <c r="S405" t="s">
        <v>32</v>
      </c>
      <c r="T405">
        <v>82611</v>
      </c>
      <c r="U405" t="s">
        <v>43</v>
      </c>
      <c r="V405" t="s">
        <v>43</v>
      </c>
      <c r="W405" t="s">
        <v>170</v>
      </c>
      <c r="X405" t="s">
        <v>171</v>
      </c>
      <c r="Y405" s="9">
        <f t="shared" si="19"/>
        <v>4.4999999999999998E-2</v>
      </c>
      <c r="Z405" t="str">
        <f t="shared" si="20"/>
        <v>สแกนต่าง Cost</v>
      </c>
    </row>
    <row r="406" spans="1:26" x14ac:dyDescent="0.45">
      <c r="B406" t="s">
        <v>53</v>
      </c>
      <c r="C406">
        <v>20037938</v>
      </c>
      <c r="D406" t="s">
        <v>172</v>
      </c>
      <c r="E406" s="8">
        <v>46137.333333333336</v>
      </c>
      <c r="F406" s="8">
        <v>46137.729166666664</v>
      </c>
      <c r="G406" s="9">
        <v>8.5</v>
      </c>
      <c r="H406" s="9">
        <f t="shared" si="18"/>
        <v>4.4999999999999998E-2</v>
      </c>
      <c r="I406" s="9"/>
      <c r="J406" s="9">
        <v>4.4999999999999998E-2</v>
      </c>
      <c r="K406" s="9"/>
      <c r="L406" s="9"/>
      <c r="M406" t="s">
        <v>77</v>
      </c>
      <c r="N406" t="s">
        <v>29</v>
      </c>
      <c r="P406" t="s">
        <v>30</v>
      </c>
      <c r="Q406" t="s">
        <v>31</v>
      </c>
      <c r="R406">
        <v>82630</v>
      </c>
      <c r="S406" t="s">
        <v>32</v>
      </c>
      <c r="T406">
        <v>82611</v>
      </c>
      <c r="U406" t="s">
        <v>43</v>
      </c>
      <c r="V406" t="s">
        <v>43</v>
      </c>
      <c r="W406" t="s">
        <v>170</v>
      </c>
      <c r="X406" t="s">
        <v>171</v>
      </c>
      <c r="Y406" s="9">
        <f t="shared" si="19"/>
        <v>4.4999999999999998E-2</v>
      </c>
      <c r="Z406" t="str">
        <f t="shared" si="20"/>
        <v>สแกนต่าง Cost</v>
      </c>
    </row>
    <row r="407" spans="1:26" x14ac:dyDescent="0.45">
      <c r="A407">
        <v>27036</v>
      </c>
      <c r="B407" t="s">
        <v>53</v>
      </c>
      <c r="C407">
        <v>20039821</v>
      </c>
      <c r="D407" t="s">
        <v>264</v>
      </c>
      <c r="E407" s="8">
        <v>46137.333333333336</v>
      </c>
      <c r="F407" s="8">
        <v>46137.715277777781</v>
      </c>
      <c r="G407" s="9">
        <v>8.1666666666666661</v>
      </c>
      <c r="H407" s="9">
        <f t="shared" si="18"/>
        <v>4.3999999999999997E-2</v>
      </c>
      <c r="I407" s="9">
        <v>4.3999999999999997E-2</v>
      </c>
      <c r="J407" s="9"/>
      <c r="K407" s="9"/>
      <c r="L407" s="9"/>
      <c r="M407" t="s">
        <v>65</v>
      </c>
      <c r="N407" t="s">
        <v>29</v>
      </c>
      <c r="P407" t="s">
        <v>133</v>
      </c>
      <c r="Q407" t="s">
        <v>31</v>
      </c>
      <c r="R407">
        <v>82306</v>
      </c>
      <c r="S407" t="s">
        <v>55</v>
      </c>
      <c r="T407">
        <v>82920</v>
      </c>
      <c r="U407" t="s">
        <v>158</v>
      </c>
      <c r="V407" t="s">
        <v>158</v>
      </c>
      <c r="W407" t="s">
        <v>159</v>
      </c>
      <c r="X407" t="s">
        <v>160</v>
      </c>
      <c r="Y407" s="9">
        <f t="shared" si="19"/>
        <v>0</v>
      </c>
      <c r="Z407" t="str">
        <f t="shared" si="20"/>
        <v>สแกนต่าง Cost</v>
      </c>
    </row>
    <row r="408" spans="1:26" x14ac:dyDescent="0.45">
      <c r="B408" t="s">
        <v>53</v>
      </c>
      <c r="C408">
        <v>20041131</v>
      </c>
      <c r="D408" t="s">
        <v>173</v>
      </c>
      <c r="E408" s="8">
        <v>46137.333333333336</v>
      </c>
      <c r="F408" s="8">
        <v>46137.729166666664</v>
      </c>
      <c r="G408" s="9">
        <v>8.5</v>
      </c>
      <c r="H408" s="9">
        <f t="shared" si="18"/>
        <v>4.4999999999999998E-2</v>
      </c>
      <c r="I408" s="9">
        <v>4.4999999999999998E-2</v>
      </c>
      <c r="J408" s="9"/>
      <c r="K408" s="9"/>
      <c r="L408" s="9"/>
      <c r="M408" t="s">
        <v>65</v>
      </c>
      <c r="N408" t="s">
        <v>29</v>
      </c>
      <c r="P408" t="s">
        <v>30</v>
      </c>
      <c r="Q408" t="s">
        <v>31</v>
      </c>
      <c r="R408">
        <v>82630</v>
      </c>
      <c r="S408" t="s">
        <v>32</v>
      </c>
      <c r="T408">
        <v>82611</v>
      </c>
      <c r="U408" t="s">
        <v>43</v>
      </c>
      <c r="V408" t="s">
        <v>43</v>
      </c>
      <c r="W408" t="s">
        <v>170</v>
      </c>
      <c r="X408" t="s">
        <v>171</v>
      </c>
      <c r="Y408" s="9">
        <f t="shared" si="19"/>
        <v>0</v>
      </c>
      <c r="Z408" t="str">
        <f t="shared" si="20"/>
        <v>สแกนต่าง Cost</v>
      </c>
    </row>
    <row r="409" spans="1:26" x14ac:dyDescent="0.45">
      <c r="B409" t="s">
        <v>26</v>
      </c>
      <c r="C409">
        <v>20066762</v>
      </c>
      <c r="D409" t="s">
        <v>203</v>
      </c>
      <c r="E409" s="8">
        <v>46137.333333333336</v>
      </c>
      <c r="F409" s="8">
        <v>46137.729166666664</v>
      </c>
      <c r="G409" s="9">
        <v>8.5</v>
      </c>
      <c r="H409" s="9">
        <f t="shared" si="18"/>
        <v>4.4999999999999998E-2</v>
      </c>
      <c r="I409" s="9">
        <v>4.4999999999999998E-2</v>
      </c>
      <c r="J409" s="9"/>
      <c r="K409" s="9"/>
      <c r="L409" s="9"/>
      <c r="M409" t="s">
        <v>65</v>
      </c>
      <c r="N409" t="s">
        <v>29</v>
      </c>
      <c r="P409" t="s">
        <v>30</v>
      </c>
      <c r="Q409" t="s">
        <v>31</v>
      </c>
      <c r="R409">
        <v>82910</v>
      </c>
      <c r="S409" t="s">
        <v>201</v>
      </c>
      <c r="T409">
        <v>82605</v>
      </c>
      <c r="U409" t="s">
        <v>202</v>
      </c>
      <c r="V409" t="s">
        <v>202</v>
      </c>
      <c r="W409" t="s">
        <v>37</v>
      </c>
      <c r="X409" t="s">
        <v>47</v>
      </c>
      <c r="Y409" s="9">
        <f t="shared" si="19"/>
        <v>0</v>
      </c>
      <c r="Z409" t="str">
        <f t="shared" si="20"/>
        <v>สแกนต่าง Cost</v>
      </c>
    </row>
    <row r="410" spans="1:26" x14ac:dyDescent="0.45">
      <c r="A410">
        <v>27038</v>
      </c>
      <c r="B410" t="s">
        <v>53</v>
      </c>
      <c r="C410">
        <v>20074796</v>
      </c>
      <c r="D410" t="s">
        <v>189</v>
      </c>
      <c r="E410" s="8">
        <v>46137.333333333336</v>
      </c>
      <c r="F410" s="8">
        <v>46137.715277777781</v>
      </c>
      <c r="G410" s="9">
        <v>8.1666666666666661</v>
      </c>
      <c r="H410" s="9">
        <f t="shared" si="18"/>
        <v>4.3999999999999997E-2</v>
      </c>
      <c r="I410" s="9"/>
      <c r="J410" s="9">
        <v>4.3999999999999997E-2</v>
      </c>
      <c r="K410" s="9"/>
      <c r="L410" s="9"/>
      <c r="M410" t="s">
        <v>77</v>
      </c>
      <c r="N410" t="s">
        <v>40</v>
      </c>
      <c r="O410" t="s">
        <v>78</v>
      </c>
      <c r="P410" t="s">
        <v>30</v>
      </c>
      <c r="Q410" t="s">
        <v>31</v>
      </c>
      <c r="R410">
        <v>82306</v>
      </c>
      <c r="S410" t="s">
        <v>55</v>
      </c>
      <c r="T410">
        <v>82920</v>
      </c>
      <c r="U410" t="s">
        <v>158</v>
      </c>
      <c r="V410" t="s">
        <v>158</v>
      </c>
      <c r="W410" t="s">
        <v>159</v>
      </c>
      <c r="X410" t="s">
        <v>160</v>
      </c>
      <c r="Y410" s="9">
        <f t="shared" si="19"/>
        <v>4.3999999999999997E-2</v>
      </c>
      <c r="Z410" t="str">
        <f t="shared" si="20"/>
        <v>สแกนต่าง Cost</v>
      </c>
    </row>
    <row r="411" spans="1:26" x14ac:dyDescent="0.45">
      <c r="B411" t="s">
        <v>53</v>
      </c>
      <c r="C411">
        <v>20075871</v>
      </c>
      <c r="D411" t="s">
        <v>174</v>
      </c>
      <c r="E411" s="8">
        <v>46137.333333333336</v>
      </c>
      <c r="F411" s="8">
        <v>46137.729166666664</v>
      </c>
      <c r="G411" s="9">
        <v>8.5</v>
      </c>
      <c r="H411" s="9">
        <f t="shared" si="18"/>
        <v>4.4999999999999998E-2</v>
      </c>
      <c r="I411" s="9">
        <v>4.4999999999999998E-2</v>
      </c>
      <c r="J411" s="9"/>
      <c r="K411" s="9"/>
      <c r="L411" s="9"/>
      <c r="M411" t="s">
        <v>65</v>
      </c>
      <c r="N411" t="s">
        <v>29</v>
      </c>
      <c r="P411" t="s">
        <v>133</v>
      </c>
      <c r="Q411" t="s">
        <v>31</v>
      </c>
      <c r="R411">
        <v>82301</v>
      </c>
      <c r="S411" t="s">
        <v>79</v>
      </c>
      <c r="T411">
        <v>82308</v>
      </c>
      <c r="U411" t="s">
        <v>69</v>
      </c>
      <c r="V411" t="s">
        <v>69</v>
      </c>
      <c r="W411" t="s">
        <v>69</v>
      </c>
      <c r="X411" t="s">
        <v>95</v>
      </c>
      <c r="Y411" s="9">
        <f t="shared" si="19"/>
        <v>0</v>
      </c>
      <c r="Z411" t="str">
        <f t="shared" si="20"/>
        <v>สแกนต่าง Cost</v>
      </c>
    </row>
    <row r="412" spans="1:26" x14ac:dyDescent="0.45">
      <c r="A412">
        <v>26922</v>
      </c>
      <c r="B412" t="s">
        <v>53</v>
      </c>
      <c r="C412">
        <v>20076436</v>
      </c>
      <c r="D412" t="s">
        <v>131</v>
      </c>
      <c r="E412" s="8">
        <v>46137.333333333336</v>
      </c>
      <c r="F412" s="8">
        <v>46137.729166666664</v>
      </c>
      <c r="G412" s="9">
        <v>8.5</v>
      </c>
      <c r="H412" s="9">
        <f t="shared" si="18"/>
        <v>4.4999999999999998E-2</v>
      </c>
      <c r="I412" s="9">
        <v>4.4999999999999998E-2</v>
      </c>
      <c r="J412" s="9"/>
      <c r="K412" s="9"/>
      <c r="L412" s="9"/>
      <c r="M412" t="s">
        <v>65</v>
      </c>
      <c r="N412" t="s">
        <v>29</v>
      </c>
      <c r="P412" t="s">
        <v>30</v>
      </c>
      <c r="Q412" t="s">
        <v>31</v>
      </c>
      <c r="R412">
        <v>82301</v>
      </c>
      <c r="S412" t="s">
        <v>79</v>
      </c>
      <c r="T412">
        <v>82308</v>
      </c>
      <c r="U412" t="s">
        <v>69</v>
      </c>
      <c r="V412" t="s">
        <v>69</v>
      </c>
      <c r="W412" t="s">
        <v>69</v>
      </c>
      <c r="X412" t="s">
        <v>95</v>
      </c>
      <c r="Y412" s="9">
        <f t="shared" si="19"/>
        <v>0</v>
      </c>
      <c r="Z412" t="str">
        <f t="shared" si="20"/>
        <v>สแกนต่าง Cost</v>
      </c>
    </row>
    <row r="413" spans="1:26" x14ac:dyDescent="0.45">
      <c r="A413">
        <v>27037</v>
      </c>
      <c r="B413" t="s">
        <v>53</v>
      </c>
      <c r="C413">
        <v>20076492</v>
      </c>
      <c r="D413" t="s">
        <v>193</v>
      </c>
      <c r="E413" s="8">
        <v>46137.333333333336</v>
      </c>
      <c r="F413" s="8">
        <v>46137.715277777781</v>
      </c>
      <c r="G413" s="9">
        <v>8.1666666666666661</v>
      </c>
      <c r="H413" s="9">
        <f t="shared" si="18"/>
        <v>4.3999999999999997E-2</v>
      </c>
      <c r="I413" s="9"/>
      <c r="J413" s="9">
        <v>4.3999999999999997E-2</v>
      </c>
      <c r="K413" s="9"/>
      <c r="L413" s="9"/>
      <c r="M413" t="s">
        <v>77</v>
      </c>
      <c r="N413" t="s">
        <v>40</v>
      </c>
      <c r="O413" t="s">
        <v>78</v>
      </c>
      <c r="P413" t="s">
        <v>30</v>
      </c>
      <c r="Q413" t="s">
        <v>31</v>
      </c>
      <c r="R413">
        <v>82306</v>
      </c>
      <c r="S413" t="s">
        <v>55</v>
      </c>
      <c r="T413">
        <v>82920</v>
      </c>
      <c r="U413" t="s">
        <v>158</v>
      </c>
      <c r="V413" t="s">
        <v>158</v>
      </c>
      <c r="W413" t="s">
        <v>159</v>
      </c>
      <c r="X413" t="s">
        <v>160</v>
      </c>
      <c r="Y413" s="9">
        <f t="shared" si="19"/>
        <v>4.3999999999999997E-2</v>
      </c>
      <c r="Z413" t="str">
        <f t="shared" si="20"/>
        <v>สแกนต่าง Cost</v>
      </c>
    </row>
    <row r="414" spans="1:26" x14ac:dyDescent="0.45">
      <c r="B414" t="s">
        <v>53</v>
      </c>
      <c r="C414">
        <v>20198711</v>
      </c>
      <c r="D414" t="s">
        <v>178</v>
      </c>
      <c r="E414" s="8">
        <v>46137.333333333336</v>
      </c>
      <c r="F414" s="8">
        <v>46137.729166666664</v>
      </c>
      <c r="G414" s="9">
        <v>8.5</v>
      </c>
      <c r="H414" s="9">
        <f t="shared" si="18"/>
        <v>4.4999999999999998E-2</v>
      </c>
      <c r="I414" s="9">
        <v>4.4999999999999998E-2</v>
      </c>
      <c r="J414" s="9"/>
      <c r="K414" s="9"/>
      <c r="L414" s="9"/>
      <c r="M414" t="s">
        <v>65</v>
      </c>
      <c r="N414" t="s">
        <v>29</v>
      </c>
      <c r="P414" t="s">
        <v>30</v>
      </c>
      <c r="Q414" t="s">
        <v>31</v>
      </c>
      <c r="R414">
        <v>82630</v>
      </c>
      <c r="S414" t="s">
        <v>32</v>
      </c>
      <c r="T414">
        <v>82611</v>
      </c>
      <c r="U414" t="s">
        <v>43</v>
      </c>
      <c r="V414" t="s">
        <v>43</v>
      </c>
      <c r="W414" t="s">
        <v>170</v>
      </c>
      <c r="X414" t="s">
        <v>171</v>
      </c>
      <c r="Y414" s="9">
        <f t="shared" si="19"/>
        <v>0</v>
      </c>
      <c r="Z414" t="str">
        <f t="shared" si="20"/>
        <v>สแกนต่าง Cost</v>
      </c>
    </row>
    <row r="415" spans="1:26" x14ac:dyDescent="0.45">
      <c r="B415" t="s">
        <v>53</v>
      </c>
      <c r="C415">
        <v>20198715</v>
      </c>
      <c r="D415" t="s">
        <v>179</v>
      </c>
      <c r="E415" s="8">
        <v>46137.333333333336</v>
      </c>
      <c r="F415" s="8">
        <v>46137.729166666664</v>
      </c>
      <c r="G415" s="9">
        <v>8.5</v>
      </c>
      <c r="H415" s="9">
        <f t="shared" si="18"/>
        <v>4.4999999999999998E-2</v>
      </c>
      <c r="I415" s="9"/>
      <c r="J415" s="9">
        <v>4.4999999999999998E-2</v>
      </c>
      <c r="K415" s="9"/>
      <c r="L415" s="9"/>
      <c r="M415" t="s">
        <v>77</v>
      </c>
      <c r="N415" t="s">
        <v>29</v>
      </c>
      <c r="P415" t="s">
        <v>30</v>
      </c>
      <c r="Q415" t="s">
        <v>31</v>
      </c>
      <c r="R415">
        <v>82630</v>
      </c>
      <c r="S415" t="s">
        <v>32</v>
      </c>
      <c r="T415">
        <v>82611</v>
      </c>
      <c r="U415" t="s">
        <v>43</v>
      </c>
      <c r="V415" t="s">
        <v>43</v>
      </c>
      <c r="W415" t="s">
        <v>170</v>
      </c>
      <c r="X415" t="s">
        <v>171</v>
      </c>
      <c r="Y415" s="9">
        <f t="shared" si="19"/>
        <v>4.4999999999999998E-2</v>
      </c>
      <c r="Z415" t="str">
        <f t="shared" si="20"/>
        <v>สแกนต่าง Cost</v>
      </c>
    </row>
    <row r="416" spans="1:26" x14ac:dyDescent="0.45">
      <c r="B416" t="s">
        <v>53</v>
      </c>
      <c r="C416">
        <v>20198747</v>
      </c>
      <c r="D416" t="s">
        <v>180</v>
      </c>
      <c r="E416" s="8">
        <v>46137.333333333336</v>
      </c>
      <c r="F416" s="8">
        <v>46137.729166666664</v>
      </c>
      <c r="G416" s="9">
        <v>8.5</v>
      </c>
      <c r="H416" s="9">
        <f t="shared" si="18"/>
        <v>4.4999999999999998E-2</v>
      </c>
      <c r="I416" s="9"/>
      <c r="J416" s="9">
        <v>4.4999999999999998E-2</v>
      </c>
      <c r="K416" s="9"/>
      <c r="L416" s="9"/>
      <c r="M416" t="s">
        <v>77</v>
      </c>
      <c r="N416" t="s">
        <v>40</v>
      </c>
      <c r="O416" t="s">
        <v>78</v>
      </c>
      <c r="P416" t="s">
        <v>30</v>
      </c>
      <c r="Q416" t="s">
        <v>31</v>
      </c>
      <c r="R416">
        <v>82630</v>
      </c>
      <c r="S416" t="s">
        <v>32</v>
      </c>
      <c r="T416">
        <v>82640</v>
      </c>
      <c r="U416" t="s">
        <v>42</v>
      </c>
      <c r="V416" t="s">
        <v>70</v>
      </c>
      <c r="W416" t="s">
        <v>170</v>
      </c>
      <c r="X416" t="s">
        <v>171</v>
      </c>
      <c r="Y416" s="9">
        <f t="shared" si="19"/>
        <v>4.4999999999999998E-2</v>
      </c>
      <c r="Z416" t="str">
        <f t="shared" si="20"/>
        <v>สแกนต่าง Cost</v>
      </c>
    </row>
    <row r="417" spans="1:26" x14ac:dyDescent="0.45">
      <c r="A417">
        <v>27031</v>
      </c>
      <c r="B417" t="s">
        <v>53</v>
      </c>
      <c r="C417">
        <v>20198835</v>
      </c>
      <c r="D417" t="s">
        <v>129</v>
      </c>
      <c r="E417" s="8">
        <v>46137.333333333336</v>
      </c>
      <c r="F417" s="8">
        <v>46137.953472222223</v>
      </c>
      <c r="G417" s="9">
        <v>14.883333333333333</v>
      </c>
      <c r="H417" s="9">
        <f t="shared" si="18"/>
        <v>7.9000000000000001E-2</v>
      </c>
      <c r="I417" s="9">
        <v>4.4999999999999998E-2</v>
      </c>
      <c r="J417" s="9"/>
      <c r="K417" s="9">
        <v>3.4000000000000002E-2</v>
      </c>
      <c r="L417" s="9"/>
      <c r="M417" t="s">
        <v>28</v>
      </c>
      <c r="N417" t="s">
        <v>40</v>
      </c>
      <c r="O417" t="s">
        <v>265</v>
      </c>
      <c r="P417" t="s">
        <v>30</v>
      </c>
      <c r="Q417" t="s">
        <v>31</v>
      </c>
      <c r="R417">
        <v>82658</v>
      </c>
      <c r="S417" t="s">
        <v>33</v>
      </c>
      <c r="T417">
        <v>82664</v>
      </c>
      <c r="U417" t="s">
        <v>75</v>
      </c>
      <c r="V417" t="s">
        <v>75</v>
      </c>
      <c r="W417" t="s">
        <v>37</v>
      </c>
      <c r="X417" t="s">
        <v>111</v>
      </c>
      <c r="Y417" s="9">
        <f t="shared" si="19"/>
        <v>3.4000000000000002E-2</v>
      </c>
      <c r="Z417" t="str">
        <f t="shared" si="20"/>
        <v>สแกนต่าง Cost</v>
      </c>
    </row>
    <row r="418" spans="1:26" x14ac:dyDescent="0.45">
      <c r="B418" t="s">
        <v>53</v>
      </c>
      <c r="C418">
        <v>20198839</v>
      </c>
      <c r="D418" t="s">
        <v>258</v>
      </c>
      <c r="E418" s="8">
        <v>46137.333333333336</v>
      </c>
      <c r="F418" s="8">
        <v>46137.375</v>
      </c>
      <c r="G418" s="9">
        <v>1</v>
      </c>
      <c r="H418" s="9">
        <f t="shared" si="18"/>
        <v>5.0000000000000001E-3</v>
      </c>
      <c r="I418" s="9">
        <v>5.0000000000000001E-3</v>
      </c>
      <c r="J418" s="9"/>
      <c r="K418" s="9"/>
      <c r="L418" s="9"/>
      <c r="M418" t="s">
        <v>65</v>
      </c>
      <c r="N418" t="s">
        <v>29</v>
      </c>
      <c r="P418" t="s">
        <v>30</v>
      </c>
      <c r="Q418" t="s">
        <v>31</v>
      </c>
      <c r="R418">
        <v>82640</v>
      </c>
      <c r="S418" t="s">
        <v>42</v>
      </c>
      <c r="T418">
        <v>82612</v>
      </c>
      <c r="U418" t="s">
        <v>153</v>
      </c>
      <c r="V418" t="s">
        <v>66</v>
      </c>
      <c r="W418" t="s">
        <v>44</v>
      </c>
      <c r="X418" t="s">
        <v>44</v>
      </c>
      <c r="Y418" s="9">
        <f t="shared" si="19"/>
        <v>0</v>
      </c>
      <c r="Z418" t="str">
        <f t="shared" si="20"/>
        <v>สแกนต่าง Cost</v>
      </c>
    </row>
    <row r="419" spans="1:26" x14ac:dyDescent="0.45">
      <c r="A419">
        <v>27035</v>
      </c>
      <c r="B419" t="s">
        <v>53</v>
      </c>
      <c r="C419">
        <v>20238364</v>
      </c>
      <c r="D419" t="s">
        <v>198</v>
      </c>
      <c r="E419" s="8">
        <v>46137.333333333336</v>
      </c>
      <c r="F419" s="8">
        <v>46137.715277777781</v>
      </c>
      <c r="G419" s="9">
        <v>8.1666666666666661</v>
      </c>
      <c r="H419" s="9">
        <f t="shared" si="18"/>
        <v>4.3999999999999997E-2</v>
      </c>
      <c r="I419" s="9"/>
      <c r="J419" s="9">
        <v>4.3999999999999997E-2</v>
      </c>
      <c r="K419" s="9"/>
      <c r="L419" s="9"/>
      <c r="M419" t="s">
        <v>77</v>
      </c>
      <c r="N419" t="s">
        <v>40</v>
      </c>
      <c r="O419" t="s">
        <v>78</v>
      </c>
      <c r="P419" t="s">
        <v>30</v>
      </c>
      <c r="Q419" t="s">
        <v>31</v>
      </c>
      <c r="R419">
        <v>82306</v>
      </c>
      <c r="S419" t="s">
        <v>55</v>
      </c>
      <c r="T419">
        <v>82920</v>
      </c>
      <c r="U419" t="s">
        <v>158</v>
      </c>
      <c r="V419" t="s">
        <v>158</v>
      </c>
      <c r="W419" t="s">
        <v>159</v>
      </c>
      <c r="X419" t="s">
        <v>160</v>
      </c>
      <c r="Y419" s="9">
        <f t="shared" si="19"/>
        <v>4.3999999999999997E-2</v>
      </c>
      <c r="Z419" t="str">
        <f t="shared" si="20"/>
        <v>สแกนต่าง Cost</v>
      </c>
    </row>
    <row r="420" spans="1:26" x14ac:dyDescent="0.45">
      <c r="B420" t="s">
        <v>53</v>
      </c>
      <c r="C420">
        <v>20319535</v>
      </c>
      <c r="D420" t="s">
        <v>36</v>
      </c>
      <c r="E420" s="8">
        <v>46137.333333333336</v>
      </c>
      <c r="F420" s="8">
        <v>46137.729166666664</v>
      </c>
      <c r="G420" s="9">
        <v>9.5</v>
      </c>
      <c r="H420" s="9">
        <f t="shared" si="18"/>
        <v>4.9999999999999996E-2</v>
      </c>
      <c r="I420" s="9">
        <v>4.4999999999999998E-2</v>
      </c>
      <c r="J420" s="9"/>
      <c r="K420" s="9">
        <v>5.0000000000000001E-3</v>
      </c>
      <c r="L420" s="9"/>
      <c r="M420" t="s">
        <v>28</v>
      </c>
      <c r="N420" t="s">
        <v>29</v>
      </c>
      <c r="P420" t="s">
        <v>30</v>
      </c>
      <c r="Q420" t="s">
        <v>31</v>
      </c>
      <c r="R420">
        <v>82630</v>
      </c>
      <c r="S420" t="s">
        <v>32</v>
      </c>
      <c r="T420">
        <v>82611</v>
      </c>
      <c r="U420" t="s">
        <v>43</v>
      </c>
      <c r="V420" t="s">
        <v>43</v>
      </c>
      <c r="W420" t="s">
        <v>170</v>
      </c>
      <c r="X420" t="s">
        <v>171</v>
      </c>
      <c r="Y420" s="9">
        <f t="shared" si="19"/>
        <v>5.0000000000000001E-3</v>
      </c>
      <c r="Z420" t="str">
        <f t="shared" si="20"/>
        <v>สแกนต่าง Cost</v>
      </c>
    </row>
    <row r="421" spans="1:26" x14ac:dyDescent="0.45">
      <c r="B421" t="s">
        <v>26</v>
      </c>
      <c r="C421">
        <v>20330032</v>
      </c>
      <c r="D421" t="s">
        <v>204</v>
      </c>
      <c r="E421" s="8">
        <v>46137.333333333336</v>
      </c>
      <c r="F421" s="8">
        <v>46137.729166666664</v>
      </c>
      <c r="G421" s="9">
        <v>8.5</v>
      </c>
      <c r="H421" s="9">
        <f t="shared" si="18"/>
        <v>4.4999999999999998E-2</v>
      </c>
      <c r="I421" s="9">
        <v>4.4999999999999998E-2</v>
      </c>
      <c r="J421" s="9"/>
      <c r="K421" s="9"/>
      <c r="L421" s="9"/>
      <c r="M421" t="s">
        <v>65</v>
      </c>
      <c r="N421" t="s">
        <v>29</v>
      </c>
      <c r="P421" t="s">
        <v>30</v>
      </c>
      <c r="Q421" t="s">
        <v>31</v>
      </c>
      <c r="R421">
        <v>82910</v>
      </c>
      <c r="S421" t="s">
        <v>201</v>
      </c>
      <c r="T421">
        <v>82605</v>
      </c>
      <c r="U421" t="s">
        <v>202</v>
      </c>
      <c r="V421" t="s">
        <v>202</v>
      </c>
      <c r="W421" t="s">
        <v>37</v>
      </c>
      <c r="X421" t="s">
        <v>47</v>
      </c>
      <c r="Y421" s="9">
        <f t="shared" si="19"/>
        <v>0</v>
      </c>
      <c r="Z421" t="str">
        <f t="shared" si="20"/>
        <v>สแกนต่าง Cost</v>
      </c>
    </row>
    <row r="422" spans="1:26" x14ac:dyDescent="0.45">
      <c r="B422" t="s">
        <v>53</v>
      </c>
      <c r="C422">
        <v>20332134</v>
      </c>
      <c r="D422" t="s">
        <v>156</v>
      </c>
      <c r="E422" s="8">
        <v>46137.333333333336</v>
      </c>
      <c r="F422" s="8">
        <v>46137.416666666664</v>
      </c>
      <c r="G422" s="9">
        <v>2</v>
      </c>
      <c r="H422" s="9">
        <f t="shared" si="18"/>
        <v>1.0999999999999999E-2</v>
      </c>
      <c r="I422" s="9"/>
      <c r="J422" s="9">
        <v>1.0999999999999999E-2</v>
      </c>
      <c r="K422" s="9"/>
      <c r="L422" s="9"/>
      <c r="M422" t="s">
        <v>77</v>
      </c>
      <c r="N422" t="s">
        <v>40</v>
      </c>
      <c r="O422" t="s">
        <v>251</v>
      </c>
      <c r="P422" t="s">
        <v>30</v>
      </c>
      <c r="Q422" t="s">
        <v>31</v>
      </c>
      <c r="R422">
        <v>82640</v>
      </c>
      <c r="S422" t="s">
        <v>42</v>
      </c>
      <c r="T422">
        <v>82630</v>
      </c>
      <c r="U422" t="s">
        <v>32</v>
      </c>
      <c r="V422" t="s">
        <v>66</v>
      </c>
      <c r="W422" t="s">
        <v>44</v>
      </c>
      <c r="X422" t="s">
        <v>44</v>
      </c>
      <c r="Y422" s="9">
        <f t="shared" si="19"/>
        <v>1.0999999999999999E-2</v>
      </c>
      <c r="Z422" t="str">
        <f t="shared" si="20"/>
        <v>สแกนต่าง Cost</v>
      </c>
    </row>
    <row r="423" spans="1:26" x14ac:dyDescent="0.45">
      <c r="B423" t="s">
        <v>53</v>
      </c>
      <c r="C423">
        <v>20344532</v>
      </c>
      <c r="D423" t="s">
        <v>186</v>
      </c>
      <c r="E423" s="8">
        <v>46137.333333333336</v>
      </c>
      <c r="F423" s="8">
        <v>46137.729166666664</v>
      </c>
      <c r="G423" s="9">
        <v>9.5</v>
      </c>
      <c r="H423" s="9">
        <f t="shared" si="18"/>
        <v>4.9999999999999996E-2</v>
      </c>
      <c r="I423" s="9">
        <v>4.4999999999999998E-2</v>
      </c>
      <c r="J423" s="9"/>
      <c r="K423" s="9">
        <v>5.0000000000000001E-3</v>
      </c>
      <c r="L423" s="9"/>
      <c r="M423" t="s">
        <v>28</v>
      </c>
      <c r="N423" t="s">
        <v>29</v>
      </c>
      <c r="P423" t="s">
        <v>30</v>
      </c>
      <c r="Q423" t="s">
        <v>31</v>
      </c>
      <c r="R423">
        <v>82630</v>
      </c>
      <c r="S423" t="s">
        <v>32</v>
      </c>
      <c r="T423">
        <v>82611</v>
      </c>
      <c r="U423" t="s">
        <v>43</v>
      </c>
      <c r="V423" t="s">
        <v>43</v>
      </c>
      <c r="W423" t="s">
        <v>170</v>
      </c>
      <c r="X423" t="s">
        <v>171</v>
      </c>
      <c r="Y423" s="9">
        <f t="shared" si="19"/>
        <v>5.0000000000000001E-3</v>
      </c>
      <c r="Z423" t="str">
        <f t="shared" si="20"/>
        <v>สแกนต่าง Cost</v>
      </c>
    </row>
    <row r="424" spans="1:26" x14ac:dyDescent="0.45">
      <c r="A424">
        <v>27033</v>
      </c>
      <c r="B424" t="s">
        <v>53</v>
      </c>
      <c r="C424">
        <v>20344551</v>
      </c>
      <c r="D424" t="s">
        <v>110</v>
      </c>
      <c r="E424" s="8">
        <v>46137.333333333336</v>
      </c>
      <c r="F424" s="8">
        <v>46137.95416666667</v>
      </c>
      <c r="G424" s="9">
        <v>14.9</v>
      </c>
      <c r="H424" s="9">
        <f t="shared" si="18"/>
        <v>7.9000000000000001E-2</v>
      </c>
      <c r="I424" s="9">
        <v>4.4999999999999998E-2</v>
      </c>
      <c r="J424" s="9"/>
      <c r="K424" s="9">
        <v>3.4000000000000002E-2</v>
      </c>
      <c r="L424" s="9"/>
      <c r="M424" t="s">
        <v>28</v>
      </c>
      <c r="N424" t="s">
        <v>40</v>
      </c>
      <c r="O424" t="s">
        <v>265</v>
      </c>
      <c r="P424" t="s">
        <v>30</v>
      </c>
      <c r="Q424" t="s">
        <v>31</v>
      </c>
      <c r="R424">
        <v>82655</v>
      </c>
      <c r="S424" t="s">
        <v>59</v>
      </c>
      <c r="T424">
        <v>82664</v>
      </c>
      <c r="U424" t="s">
        <v>75</v>
      </c>
      <c r="V424" t="s">
        <v>75</v>
      </c>
      <c r="W424" t="s">
        <v>37</v>
      </c>
      <c r="X424" t="s">
        <v>111</v>
      </c>
      <c r="Y424" s="9">
        <f t="shared" si="19"/>
        <v>3.4000000000000002E-2</v>
      </c>
      <c r="Z424" t="str">
        <f t="shared" si="20"/>
        <v>สแกนต่าง Cost</v>
      </c>
    </row>
    <row r="425" spans="1:26" x14ac:dyDescent="0.45">
      <c r="A425">
        <v>27034</v>
      </c>
      <c r="B425" t="s">
        <v>53</v>
      </c>
      <c r="C425">
        <v>20344552</v>
      </c>
      <c r="D425" t="s">
        <v>112</v>
      </c>
      <c r="E425" s="8">
        <v>46137.333333333336</v>
      </c>
      <c r="F425" s="8">
        <v>46137.95416666667</v>
      </c>
      <c r="G425" s="9">
        <v>14.9</v>
      </c>
      <c r="H425" s="9">
        <f t="shared" si="18"/>
        <v>7.9000000000000001E-2</v>
      </c>
      <c r="I425" s="9">
        <v>4.4999999999999998E-2</v>
      </c>
      <c r="J425" s="9"/>
      <c r="K425" s="9">
        <v>3.4000000000000002E-2</v>
      </c>
      <c r="L425" s="9"/>
      <c r="M425" t="s">
        <v>28</v>
      </c>
      <c r="N425" t="s">
        <v>40</v>
      </c>
      <c r="O425" t="s">
        <v>265</v>
      </c>
      <c r="P425" t="s">
        <v>30</v>
      </c>
      <c r="Q425" t="s">
        <v>31</v>
      </c>
      <c r="R425">
        <v>82655</v>
      </c>
      <c r="S425" t="s">
        <v>59</v>
      </c>
      <c r="T425">
        <v>82664</v>
      </c>
      <c r="U425" t="s">
        <v>75</v>
      </c>
      <c r="V425" t="s">
        <v>75</v>
      </c>
      <c r="W425" t="s">
        <v>37</v>
      </c>
      <c r="X425" t="s">
        <v>111</v>
      </c>
      <c r="Y425" s="9">
        <f t="shared" si="19"/>
        <v>3.4000000000000002E-2</v>
      </c>
      <c r="Z425" t="str">
        <f t="shared" si="20"/>
        <v>สแกนต่าง Cost</v>
      </c>
    </row>
    <row r="426" spans="1:26" x14ac:dyDescent="0.45">
      <c r="B426" t="s">
        <v>53</v>
      </c>
      <c r="C426">
        <v>20352276</v>
      </c>
      <c r="D426" t="s">
        <v>187</v>
      </c>
      <c r="E426" s="8">
        <v>46137.333333333336</v>
      </c>
      <c r="F426" s="8">
        <v>46137.729166666664</v>
      </c>
      <c r="G426" s="9">
        <v>8.5</v>
      </c>
      <c r="H426" s="9">
        <f t="shared" si="18"/>
        <v>4.4999999999999998E-2</v>
      </c>
      <c r="I426" s="9"/>
      <c r="J426" s="9">
        <v>4.4999999999999998E-2</v>
      </c>
      <c r="K426" s="9"/>
      <c r="L426" s="9"/>
      <c r="M426" t="s">
        <v>77</v>
      </c>
      <c r="N426" t="s">
        <v>29</v>
      </c>
      <c r="P426" t="s">
        <v>30</v>
      </c>
      <c r="Q426" t="s">
        <v>31</v>
      </c>
      <c r="R426">
        <v>82630</v>
      </c>
      <c r="S426" t="s">
        <v>32</v>
      </c>
      <c r="T426">
        <v>82611</v>
      </c>
      <c r="U426" t="s">
        <v>43</v>
      </c>
      <c r="V426" t="s">
        <v>43</v>
      </c>
      <c r="W426" t="s">
        <v>170</v>
      </c>
      <c r="X426" t="s">
        <v>171</v>
      </c>
      <c r="Y426" s="9">
        <f t="shared" si="19"/>
        <v>4.4999999999999998E-2</v>
      </c>
      <c r="Z426" t="str">
        <f t="shared" si="20"/>
        <v>สแกนต่าง Cost</v>
      </c>
    </row>
    <row r="427" spans="1:26" x14ac:dyDescent="0.45">
      <c r="B427" t="s">
        <v>53</v>
      </c>
      <c r="C427">
        <v>20368087</v>
      </c>
      <c r="D427" t="s">
        <v>260</v>
      </c>
      <c r="E427" s="8">
        <v>46137.333333333336</v>
      </c>
      <c r="F427" s="8">
        <v>46137.5</v>
      </c>
      <c r="G427" s="9">
        <v>4</v>
      </c>
      <c r="H427" s="9">
        <f t="shared" si="18"/>
        <v>2.1000000000000001E-2</v>
      </c>
      <c r="I427" s="9">
        <v>2.1000000000000001E-2</v>
      </c>
      <c r="J427" s="9"/>
      <c r="K427" s="9"/>
      <c r="L427" s="9"/>
      <c r="M427" t="s">
        <v>65</v>
      </c>
      <c r="N427" t="s">
        <v>29</v>
      </c>
      <c r="P427" t="s">
        <v>30</v>
      </c>
      <c r="Q427" t="s">
        <v>31</v>
      </c>
      <c r="R427">
        <v>82640</v>
      </c>
      <c r="S427" t="s">
        <v>42</v>
      </c>
      <c r="T427">
        <v>82630</v>
      </c>
      <c r="U427" t="s">
        <v>32</v>
      </c>
      <c r="V427" t="s">
        <v>66</v>
      </c>
      <c r="W427" t="s">
        <v>44</v>
      </c>
      <c r="X427" t="s">
        <v>44</v>
      </c>
      <c r="Y427" s="9">
        <f t="shared" si="19"/>
        <v>0</v>
      </c>
      <c r="Z427" t="str">
        <f t="shared" si="20"/>
        <v>สแกนต่าง Cost</v>
      </c>
    </row>
    <row r="428" spans="1:26" x14ac:dyDescent="0.45">
      <c r="A428">
        <v>27032</v>
      </c>
      <c r="B428" t="s">
        <v>53</v>
      </c>
      <c r="C428">
        <v>20372709</v>
      </c>
      <c r="D428" t="s">
        <v>130</v>
      </c>
      <c r="E428" s="8">
        <v>46137.333333333336</v>
      </c>
      <c r="F428" s="8">
        <v>46137.95416666667</v>
      </c>
      <c r="G428" s="9">
        <v>14.9</v>
      </c>
      <c r="H428" s="9">
        <f t="shared" si="18"/>
        <v>7.9000000000000001E-2</v>
      </c>
      <c r="I428" s="9">
        <v>4.4999999999999998E-2</v>
      </c>
      <c r="J428" s="9"/>
      <c r="K428" s="9">
        <v>3.4000000000000002E-2</v>
      </c>
      <c r="L428" s="9"/>
      <c r="M428" t="s">
        <v>28</v>
      </c>
      <c r="N428" t="s">
        <v>40</v>
      </c>
      <c r="O428" t="s">
        <v>265</v>
      </c>
      <c r="P428" t="s">
        <v>30</v>
      </c>
      <c r="Q428" t="s">
        <v>31</v>
      </c>
      <c r="R428">
        <v>82658</v>
      </c>
      <c r="S428" t="s">
        <v>33</v>
      </c>
      <c r="T428">
        <v>82664</v>
      </c>
      <c r="U428" t="s">
        <v>75</v>
      </c>
      <c r="V428" t="s">
        <v>75</v>
      </c>
      <c r="W428" t="s">
        <v>37</v>
      </c>
      <c r="X428" t="s">
        <v>111</v>
      </c>
      <c r="Y428" s="9">
        <f t="shared" si="19"/>
        <v>3.4000000000000002E-2</v>
      </c>
      <c r="Z428" t="str">
        <f t="shared" si="20"/>
        <v>สแกนต่าง Cost</v>
      </c>
    </row>
    <row r="429" spans="1:26" x14ac:dyDescent="0.45">
      <c r="B429" t="s">
        <v>26</v>
      </c>
      <c r="C429">
        <v>20373210</v>
      </c>
      <c r="D429" t="s">
        <v>206</v>
      </c>
      <c r="E429" s="8">
        <v>46137.333333333336</v>
      </c>
      <c r="F429" s="8">
        <v>46137.729166666664</v>
      </c>
      <c r="G429" s="9">
        <v>8.5</v>
      </c>
      <c r="H429" s="9">
        <f t="shared" si="18"/>
        <v>4.4999999999999998E-2</v>
      </c>
      <c r="I429" s="9">
        <v>4.4999999999999998E-2</v>
      </c>
      <c r="J429" s="9"/>
      <c r="K429" s="9"/>
      <c r="L429" s="9"/>
      <c r="M429" t="s">
        <v>65</v>
      </c>
      <c r="N429" t="s">
        <v>29</v>
      </c>
      <c r="P429" t="s">
        <v>30</v>
      </c>
      <c r="Q429" t="s">
        <v>31</v>
      </c>
      <c r="R429">
        <v>82910</v>
      </c>
      <c r="S429" t="s">
        <v>201</v>
      </c>
      <c r="T429">
        <v>82605</v>
      </c>
      <c r="U429" t="s">
        <v>202</v>
      </c>
      <c r="V429" t="s">
        <v>202</v>
      </c>
      <c r="W429" t="s">
        <v>37</v>
      </c>
      <c r="X429" t="s">
        <v>47</v>
      </c>
      <c r="Y429" s="9">
        <f t="shared" si="19"/>
        <v>0</v>
      </c>
      <c r="Z429" t="str">
        <f t="shared" si="20"/>
        <v>สแกนต่าง Cost</v>
      </c>
    </row>
    <row r="430" spans="1:26" x14ac:dyDescent="0.45">
      <c r="A430">
        <v>26944</v>
      </c>
      <c r="B430" t="s">
        <v>53</v>
      </c>
      <c r="C430">
        <v>20374943</v>
      </c>
      <c r="D430" t="s">
        <v>207</v>
      </c>
      <c r="E430" s="8">
        <v>46137.333333333336</v>
      </c>
      <c r="F430" s="8">
        <v>46137.729166666664</v>
      </c>
      <c r="G430" s="9">
        <v>8.5</v>
      </c>
      <c r="H430" s="9">
        <f t="shared" si="18"/>
        <v>4.4999999999999998E-2</v>
      </c>
      <c r="I430" s="9">
        <v>4.4999999999999998E-2</v>
      </c>
      <c r="J430" s="9"/>
      <c r="K430" s="9"/>
      <c r="L430" s="9"/>
      <c r="M430" t="s">
        <v>65</v>
      </c>
      <c r="N430" t="s">
        <v>29</v>
      </c>
      <c r="P430" t="s">
        <v>30</v>
      </c>
      <c r="Q430" t="s">
        <v>31</v>
      </c>
      <c r="R430">
        <v>82301</v>
      </c>
      <c r="S430" t="s">
        <v>79</v>
      </c>
      <c r="T430">
        <v>82308</v>
      </c>
      <c r="U430" t="s">
        <v>69</v>
      </c>
      <c r="V430" t="s">
        <v>69</v>
      </c>
      <c r="W430" t="s">
        <v>69</v>
      </c>
      <c r="X430" t="s">
        <v>196</v>
      </c>
      <c r="Y430" s="9">
        <f t="shared" si="19"/>
        <v>0</v>
      </c>
      <c r="Z430" t="str">
        <f t="shared" si="20"/>
        <v>สแกนต่าง Cost</v>
      </c>
    </row>
    <row r="431" spans="1:26" x14ac:dyDescent="0.45">
      <c r="B431" t="s">
        <v>26</v>
      </c>
      <c r="C431">
        <v>20403252</v>
      </c>
      <c r="D431" t="s">
        <v>124</v>
      </c>
      <c r="E431" s="8">
        <v>46137.333333333336</v>
      </c>
      <c r="F431" s="8">
        <v>46137.704861111109</v>
      </c>
      <c r="G431" s="9">
        <v>7.9166666666666661</v>
      </c>
      <c r="H431" s="9">
        <f t="shared" si="18"/>
        <v>4.2000000000000003E-2</v>
      </c>
      <c r="I431" s="9">
        <v>4.2000000000000003E-2</v>
      </c>
      <c r="J431" s="9"/>
      <c r="K431" s="9"/>
      <c r="L431" s="9"/>
      <c r="M431" t="s">
        <v>48</v>
      </c>
      <c r="N431" t="s">
        <v>48</v>
      </c>
      <c r="P431" t="s">
        <v>30</v>
      </c>
      <c r="Q431" t="s">
        <v>31</v>
      </c>
      <c r="R431">
        <v>82400</v>
      </c>
      <c r="S431" t="s">
        <v>83</v>
      </c>
      <c r="T431">
        <v>82658</v>
      </c>
      <c r="U431" t="s">
        <v>33</v>
      </c>
      <c r="V431" t="s">
        <v>33</v>
      </c>
      <c r="W431" t="s">
        <v>37</v>
      </c>
      <c r="X431" t="s">
        <v>38</v>
      </c>
      <c r="Y431" s="9">
        <f t="shared" si="19"/>
        <v>0</v>
      </c>
      <c r="Z431" t="str">
        <f t="shared" si="20"/>
        <v>สแกนต่าง Cost</v>
      </c>
    </row>
    <row r="432" spans="1:26" x14ac:dyDescent="0.45">
      <c r="B432" t="s">
        <v>26</v>
      </c>
      <c r="C432">
        <v>20403253</v>
      </c>
      <c r="D432" t="s">
        <v>125</v>
      </c>
      <c r="E432" s="8">
        <v>46137.333333333336</v>
      </c>
      <c r="F432" s="8">
        <v>46137.704861111109</v>
      </c>
      <c r="G432" s="9">
        <v>7.9166666666666661</v>
      </c>
      <c r="H432" s="9">
        <f t="shared" si="18"/>
        <v>4.2000000000000003E-2</v>
      </c>
      <c r="I432" s="9">
        <v>4.2000000000000003E-2</v>
      </c>
      <c r="J432" s="9"/>
      <c r="K432" s="9"/>
      <c r="L432" s="9"/>
      <c r="M432" t="s">
        <v>48</v>
      </c>
      <c r="N432" t="s">
        <v>48</v>
      </c>
      <c r="P432" t="s">
        <v>30</v>
      </c>
      <c r="Q432" t="s">
        <v>31</v>
      </c>
      <c r="R432">
        <v>82400</v>
      </c>
      <c r="S432" t="s">
        <v>83</v>
      </c>
      <c r="T432">
        <v>82658</v>
      </c>
      <c r="U432" t="s">
        <v>33</v>
      </c>
      <c r="V432" t="s">
        <v>33</v>
      </c>
      <c r="W432" t="s">
        <v>37</v>
      </c>
      <c r="X432" t="s">
        <v>38</v>
      </c>
      <c r="Y432" s="9">
        <f t="shared" si="19"/>
        <v>0</v>
      </c>
      <c r="Z432" t="str">
        <f t="shared" si="20"/>
        <v>สแกนต่าง Cost</v>
      </c>
    </row>
    <row r="433" spans="1:26" x14ac:dyDescent="0.45">
      <c r="A433">
        <v>27030</v>
      </c>
      <c r="B433" t="s">
        <v>53</v>
      </c>
      <c r="C433">
        <v>20029099</v>
      </c>
      <c r="D433" t="s">
        <v>163</v>
      </c>
      <c r="E433" s="8">
        <v>46137.329861111109</v>
      </c>
      <c r="F433" s="8">
        <v>46137.714583333334</v>
      </c>
      <c r="G433" s="9">
        <v>8.2333333333333325</v>
      </c>
      <c r="H433" s="9">
        <f t="shared" si="18"/>
        <v>4.3999999999999997E-2</v>
      </c>
      <c r="I433" s="9">
        <v>4.3999999999999997E-2</v>
      </c>
      <c r="J433" s="9"/>
      <c r="K433" s="9"/>
      <c r="L433" s="9"/>
      <c r="M433" t="s">
        <v>65</v>
      </c>
      <c r="N433" t="s">
        <v>29</v>
      </c>
      <c r="P433" t="s">
        <v>30</v>
      </c>
      <c r="Q433" t="s">
        <v>31</v>
      </c>
      <c r="R433">
        <v>82630</v>
      </c>
      <c r="S433" t="s">
        <v>32</v>
      </c>
      <c r="T433">
        <v>82664</v>
      </c>
      <c r="U433" t="s">
        <v>75</v>
      </c>
      <c r="V433" t="s">
        <v>75</v>
      </c>
      <c r="W433" t="s">
        <v>37</v>
      </c>
      <c r="X433" t="s">
        <v>86</v>
      </c>
      <c r="Y433" s="9">
        <f t="shared" si="19"/>
        <v>0</v>
      </c>
      <c r="Z433" t="str">
        <f t="shared" si="20"/>
        <v>สแกนต่าง Cost</v>
      </c>
    </row>
    <row r="434" spans="1:26" x14ac:dyDescent="0.45">
      <c r="A434">
        <v>27025</v>
      </c>
      <c r="B434" t="s">
        <v>53</v>
      </c>
      <c r="C434">
        <v>20041131</v>
      </c>
      <c r="D434" t="s">
        <v>173</v>
      </c>
      <c r="E434" s="8">
        <v>46137.32916666667</v>
      </c>
      <c r="F434" s="8">
        <v>46137.713888888888</v>
      </c>
      <c r="G434" s="9">
        <v>8.2333333333333325</v>
      </c>
      <c r="H434" s="9">
        <f t="shared" si="18"/>
        <v>4.3999999999999997E-2</v>
      </c>
      <c r="I434" s="9">
        <v>4.3999999999999997E-2</v>
      </c>
      <c r="J434" s="9"/>
      <c r="K434" s="9"/>
      <c r="L434" s="9"/>
      <c r="M434" t="s">
        <v>65</v>
      </c>
      <c r="N434" t="s">
        <v>29</v>
      </c>
      <c r="P434" t="s">
        <v>30</v>
      </c>
      <c r="Q434" t="s">
        <v>31</v>
      </c>
      <c r="R434">
        <v>82630</v>
      </c>
      <c r="S434" t="s">
        <v>32</v>
      </c>
      <c r="T434">
        <v>82664</v>
      </c>
      <c r="U434" t="s">
        <v>75</v>
      </c>
      <c r="V434" t="s">
        <v>75</v>
      </c>
      <c r="W434" t="s">
        <v>37</v>
      </c>
      <c r="X434" t="s">
        <v>86</v>
      </c>
      <c r="Y434" s="9">
        <f t="shared" si="19"/>
        <v>0</v>
      </c>
      <c r="Z434" t="str">
        <f t="shared" si="20"/>
        <v>สแกนต่าง Cost</v>
      </c>
    </row>
    <row r="435" spans="1:26" x14ac:dyDescent="0.45">
      <c r="A435">
        <v>27028</v>
      </c>
      <c r="B435" t="s">
        <v>53</v>
      </c>
      <c r="C435">
        <v>20056406</v>
      </c>
      <c r="D435" t="s">
        <v>85</v>
      </c>
      <c r="E435" s="8">
        <v>46137.32916666667</v>
      </c>
      <c r="F435" s="8">
        <v>46137.714583333334</v>
      </c>
      <c r="G435" s="9">
        <v>8.25</v>
      </c>
      <c r="H435" s="9">
        <f t="shared" si="18"/>
        <v>4.3999999999999997E-2</v>
      </c>
      <c r="I435" s="9">
        <v>4.3999999999999997E-2</v>
      </c>
      <c r="J435" s="9"/>
      <c r="K435" s="9"/>
      <c r="L435" s="9"/>
      <c r="M435" t="s">
        <v>65</v>
      </c>
      <c r="N435" t="s">
        <v>29</v>
      </c>
      <c r="P435" t="s">
        <v>30</v>
      </c>
      <c r="Q435" t="s">
        <v>31</v>
      </c>
      <c r="R435">
        <v>82630</v>
      </c>
      <c r="S435" t="s">
        <v>32</v>
      </c>
      <c r="T435">
        <v>82664</v>
      </c>
      <c r="U435" t="s">
        <v>75</v>
      </c>
      <c r="V435" t="s">
        <v>75</v>
      </c>
      <c r="W435" t="s">
        <v>37</v>
      </c>
      <c r="X435" t="s">
        <v>86</v>
      </c>
      <c r="Y435" s="9">
        <f t="shared" si="19"/>
        <v>0</v>
      </c>
      <c r="Z435" t="str">
        <f t="shared" si="20"/>
        <v>สแกนต่าง Cost</v>
      </c>
    </row>
    <row r="436" spans="1:26" x14ac:dyDescent="0.45">
      <c r="A436">
        <v>27026</v>
      </c>
      <c r="B436" t="s">
        <v>53</v>
      </c>
      <c r="C436">
        <v>20198722</v>
      </c>
      <c r="D436" t="s">
        <v>104</v>
      </c>
      <c r="E436" s="8">
        <v>46137.32916666667</v>
      </c>
      <c r="F436" s="8">
        <v>46137.714583333334</v>
      </c>
      <c r="G436" s="9">
        <v>8.25</v>
      </c>
      <c r="H436" s="9">
        <f t="shared" si="18"/>
        <v>4.3999999999999997E-2</v>
      </c>
      <c r="I436" s="9">
        <v>4.3999999999999997E-2</v>
      </c>
      <c r="J436" s="9"/>
      <c r="K436" s="9"/>
      <c r="L436" s="9"/>
      <c r="M436" t="s">
        <v>65</v>
      </c>
      <c r="N436" t="s">
        <v>29</v>
      </c>
      <c r="P436" t="s">
        <v>30</v>
      </c>
      <c r="Q436" t="s">
        <v>31</v>
      </c>
      <c r="R436">
        <v>82630</v>
      </c>
      <c r="S436" t="s">
        <v>32</v>
      </c>
      <c r="T436">
        <v>82664</v>
      </c>
      <c r="U436" t="s">
        <v>75</v>
      </c>
      <c r="V436" t="s">
        <v>75</v>
      </c>
      <c r="W436" t="s">
        <v>37</v>
      </c>
      <c r="X436" t="s">
        <v>86</v>
      </c>
      <c r="Y436" s="9">
        <f t="shared" si="19"/>
        <v>0</v>
      </c>
      <c r="Z436" t="str">
        <f t="shared" si="20"/>
        <v>สแกนต่าง Cost</v>
      </c>
    </row>
    <row r="437" spans="1:26" x14ac:dyDescent="0.45">
      <c r="A437">
        <v>26921</v>
      </c>
      <c r="B437" t="s">
        <v>53</v>
      </c>
      <c r="C437">
        <v>20284710</v>
      </c>
      <c r="D437" t="s">
        <v>182</v>
      </c>
      <c r="E437" s="8">
        <v>46137.32916666667</v>
      </c>
      <c r="F437" s="8">
        <v>46137.546527777777</v>
      </c>
      <c r="G437" s="9">
        <v>5.2166666666666668</v>
      </c>
      <c r="H437" s="9">
        <f t="shared" si="18"/>
        <v>2.8000000000000001E-2</v>
      </c>
      <c r="I437" s="9"/>
      <c r="J437" s="9"/>
      <c r="K437" s="9">
        <v>2.8000000000000001E-2</v>
      </c>
      <c r="L437" s="9"/>
      <c r="M437" t="s">
        <v>28</v>
      </c>
      <c r="N437" t="s">
        <v>40</v>
      </c>
      <c r="O437" t="s">
        <v>41</v>
      </c>
      <c r="P437" t="s">
        <v>30</v>
      </c>
      <c r="Q437" t="s">
        <v>31</v>
      </c>
      <c r="R437">
        <v>82210</v>
      </c>
      <c r="S437" t="s">
        <v>184</v>
      </c>
      <c r="T437">
        <v>82308</v>
      </c>
      <c r="U437" t="s">
        <v>69</v>
      </c>
      <c r="V437" t="s">
        <v>69</v>
      </c>
      <c r="W437" t="s">
        <v>69</v>
      </c>
      <c r="X437" t="s">
        <v>57</v>
      </c>
      <c r="Y437" s="9">
        <f t="shared" si="19"/>
        <v>2.8000000000000001E-2</v>
      </c>
      <c r="Z437" t="str">
        <f t="shared" si="20"/>
        <v>สแกนต่าง Cost</v>
      </c>
    </row>
    <row r="438" spans="1:26" x14ac:dyDescent="0.45">
      <c r="A438">
        <v>27027</v>
      </c>
      <c r="B438" t="s">
        <v>53</v>
      </c>
      <c r="C438">
        <v>20391063</v>
      </c>
      <c r="D438" t="s">
        <v>120</v>
      </c>
      <c r="E438" s="8">
        <v>46137.32916666667</v>
      </c>
      <c r="F438" s="8">
        <v>46137.714583333334</v>
      </c>
      <c r="G438" s="9">
        <v>8.25</v>
      </c>
      <c r="H438" s="9">
        <f t="shared" si="18"/>
        <v>4.3999999999999997E-2</v>
      </c>
      <c r="I438" s="9"/>
      <c r="J438" s="9">
        <v>4.3999999999999997E-2</v>
      </c>
      <c r="K438" s="9"/>
      <c r="L438" s="9"/>
      <c r="M438" t="s">
        <v>77</v>
      </c>
      <c r="N438" t="s">
        <v>29</v>
      </c>
      <c r="P438" t="s">
        <v>30</v>
      </c>
      <c r="Q438" t="s">
        <v>31</v>
      </c>
      <c r="R438">
        <v>82630</v>
      </c>
      <c r="S438" t="s">
        <v>32</v>
      </c>
      <c r="T438">
        <v>82664</v>
      </c>
      <c r="U438" t="s">
        <v>75</v>
      </c>
      <c r="V438" t="s">
        <v>75</v>
      </c>
      <c r="W438" t="s">
        <v>37</v>
      </c>
      <c r="X438" t="s">
        <v>86</v>
      </c>
      <c r="Y438" s="9">
        <f t="shared" si="19"/>
        <v>4.3999999999999997E-2</v>
      </c>
      <c r="Z438" t="str">
        <f t="shared" si="20"/>
        <v>สแกนต่าง Cost</v>
      </c>
    </row>
    <row r="439" spans="1:26" x14ac:dyDescent="0.45">
      <c r="A439">
        <v>27029</v>
      </c>
      <c r="B439" t="s">
        <v>53</v>
      </c>
      <c r="C439">
        <v>20391064</v>
      </c>
      <c r="D439" t="s">
        <v>121</v>
      </c>
      <c r="E439" s="8">
        <v>46137.32916666667</v>
      </c>
      <c r="F439" s="8">
        <v>46137.714583333334</v>
      </c>
      <c r="G439" s="9">
        <v>8.25</v>
      </c>
      <c r="H439" s="9">
        <f t="shared" si="18"/>
        <v>4.3999999999999997E-2</v>
      </c>
      <c r="I439" s="9"/>
      <c r="J439" s="9">
        <v>4.3999999999999997E-2</v>
      </c>
      <c r="K439" s="9"/>
      <c r="L439" s="9"/>
      <c r="M439" t="s">
        <v>77</v>
      </c>
      <c r="N439" t="s">
        <v>29</v>
      </c>
      <c r="P439" t="s">
        <v>30</v>
      </c>
      <c r="Q439" t="s">
        <v>31</v>
      </c>
      <c r="R439">
        <v>82630</v>
      </c>
      <c r="S439" t="s">
        <v>32</v>
      </c>
      <c r="T439">
        <v>82664</v>
      </c>
      <c r="U439" t="s">
        <v>75</v>
      </c>
      <c r="V439" t="s">
        <v>75</v>
      </c>
      <c r="W439" t="s">
        <v>37</v>
      </c>
      <c r="X439" t="s">
        <v>86</v>
      </c>
      <c r="Y439" s="9">
        <f t="shared" si="19"/>
        <v>4.3999999999999997E-2</v>
      </c>
      <c r="Z439" t="str">
        <f t="shared" si="20"/>
        <v>สแกนต่าง Cost</v>
      </c>
    </row>
    <row r="440" spans="1:26" x14ac:dyDescent="0.45">
      <c r="A440">
        <v>27022</v>
      </c>
      <c r="B440" t="s">
        <v>53</v>
      </c>
      <c r="C440">
        <v>20156338</v>
      </c>
      <c r="D440" t="s">
        <v>102</v>
      </c>
      <c r="E440" s="8">
        <v>46137.328472222223</v>
      </c>
      <c r="F440" s="8">
        <v>46137.713888888888</v>
      </c>
      <c r="G440" s="9">
        <v>8.25</v>
      </c>
      <c r="H440" s="9">
        <f t="shared" si="18"/>
        <v>4.3999999999999997E-2</v>
      </c>
      <c r="I440" s="9">
        <v>4.3999999999999997E-2</v>
      </c>
      <c r="J440" s="9"/>
      <c r="K440" s="9"/>
      <c r="L440" s="9"/>
      <c r="M440" t="s">
        <v>65</v>
      </c>
      <c r="N440" t="s">
        <v>29</v>
      </c>
      <c r="P440" t="s">
        <v>30</v>
      </c>
      <c r="Q440" t="s">
        <v>31</v>
      </c>
      <c r="R440">
        <v>82630</v>
      </c>
      <c r="S440" t="s">
        <v>32</v>
      </c>
      <c r="T440">
        <v>82664</v>
      </c>
      <c r="U440" t="s">
        <v>75</v>
      </c>
      <c r="V440" t="s">
        <v>75</v>
      </c>
      <c r="W440" t="s">
        <v>37</v>
      </c>
      <c r="X440" t="s">
        <v>86</v>
      </c>
      <c r="Y440" s="9">
        <f t="shared" si="19"/>
        <v>0</v>
      </c>
      <c r="Z440" t="str">
        <f t="shared" si="20"/>
        <v>สแกนต่าง Cost</v>
      </c>
    </row>
    <row r="441" spans="1:26" x14ac:dyDescent="0.45">
      <c r="A441">
        <v>27021</v>
      </c>
      <c r="B441" t="s">
        <v>53</v>
      </c>
      <c r="C441">
        <v>20198717</v>
      </c>
      <c r="D441" t="s">
        <v>238</v>
      </c>
      <c r="E441" s="8">
        <v>46137.328472222223</v>
      </c>
      <c r="F441" s="8">
        <v>46137.713888888888</v>
      </c>
      <c r="G441" s="9">
        <v>8.25</v>
      </c>
      <c r="H441" s="9">
        <f t="shared" si="18"/>
        <v>4.3999999999999997E-2</v>
      </c>
      <c r="I441" s="9">
        <v>4.3999999999999997E-2</v>
      </c>
      <c r="J441" s="9"/>
      <c r="K441" s="9"/>
      <c r="L441" s="9"/>
      <c r="M441" t="s">
        <v>65</v>
      </c>
      <c r="N441" t="s">
        <v>29</v>
      </c>
      <c r="P441" t="s">
        <v>30</v>
      </c>
      <c r="Q441" t="s">
        <v>31</v>
      </c>
      <c r="R441">
        <v>82630</v>
      </c>
      <c r="S441" t="s">
        <v>32</v>
      </c>
      <c r="T441">
        <v>82664</v>
      </c>
      <c r="U441" t="s">
        <v>75</v>
      </c>
      <c r="V441" t="s">
        <v>75</v>
      </c>
      <c r="W441" t="s">
        <v>37</v>
      </c>
      <c r="X441" t="s">
        <v>86</v>
      </c>
      <c r="Y441" s="9">
        <f t="shared" si="19"/>
        <v>0</v>
      </c>
      <c r="Z441" t="str">
        <f t="shared" si="20"/>
        <v>สแกนต่าง Cost</v>
      </c>
    </row>
    <row r="442" spans="1:26" x14ac:dyDescent="0.45">
      <c r="A442">
        <v>27019</v>
      </c>
      <c r="B442" t="s">
        <v>53</v>
      </c>
      <c r="C442">
        <v>20240959</v>
      </c>
      <c r="D442" t="s">
        <v>105</v>
      </c>
      <c r="E442" s="8">
        <v>46137.328472222223</v>
      </c>
      <c r="F442" s="8">
        <v>46137.713888888888</v>
      </c>
      <c r="G442" s="9">
        <v>8.25</v>
      </c>
      <c r="H442" s="9">
        <f t="shared" si="18"/>
        <v>4.3999999999999997E-2</v>
      </c>
      <c r="I442" s="9">
        <v>4.3999999999999997E-2</v>
      </c>
      <c r="J442" s="9"/>
      <c r="K442" s="9"/>
      <c r="L442" s="9"/>
      <c r="M442" t="s">
        <v>65</v>
      </c>
      <c r="N442" t="s">
        <v>29</v>
      </c>
      <c r="P442" t="s">
        <v>30</v>
      </c>
      <c r="Q442" t="s">
        <v>31</v>
      </c>
      <c r="R442">
        <v>82630</v>
      </c>
      <c r="S442" t="s">
        <v>32</v>
      </c>
      <c r="T442">
        <v>82664</v>
      </c>
      <c r="U442" t="s">
        <v>75</v>
      </c>
      <c r="V442" t="s">
        <v>75</v>
      </c>
      <c r="W442" t="s">
        <v>37</v>
      </c>
      <c r="X442" t="s">
        <v>86</v>
      </c>
      <c r="Y442" s="9">
        <f t="shared" si="19"/>
        <v>0</v>
      </c>
      <c r="Z442" t="str">
        <f t="shared" si="20"/>
        <v>สแกนต่าง Cost</v>
      </c>
    </row>
    <row r="443" spans="1:26" x14ac:dyDescent="0.45">
      <c r="A443">
        <v>27023</v>
      </c>
      <c r="B443" t="s">
        <v>53</v>
      </c>
      <c r="C443">
        <v>20240961</v>
      </c>
      <c r="D443" t="s">
        <v>239</v>
      </c>
      <c r="E443" s="8">
        <v>46137.328472222223</v>
      </c>
      <c r="F443" s="8">
        <v>46137.713888888888</v>
      </c>
      <c r="G443" s="9">
        <v>8.25</v>
      </c>
      <c r="H443" s="9">
        <f t="shared" si="18"/>
        <v>4.3999999999999997E-2</v>
      </c>
      <c r="I443" s="9">
        <v>4.3999999999999997E-2</v>
      </c>
      <c r="J443" s="9"/>
      <c r="K443" s="9"/>
      <c r="L443" s="9"/>
      <c r="M443" t="s">
        <v>65</v>
      </c>
      <c r="N443" t="s">
        <v>29</v>
      </c>
      <c r="P443" t="s">
        <v>30</v>
      </c>
      <c r="Q443" t="s">
        <v>31</v>
      </c>
      <c r="R443">
        <v>82630</v>
      </c>
      <c r="S443" t="s">
        <v>32</v>
      </c>
      <c r="T443">
        <v>82664</v>
      </c>
      <c r="U443" t="s">
        <v>75</v>
      </c>
      <c r="V443" t="s">
        <v>75</v>
      </c>
      <c r="W443" t="s">
        <v>37</v>
      </c>
      <c r="X443" t="s">
        <v>86</v>
      </c>
      <c r="Y443" s="9">
        <f t="shared" si="19"/>
        <v>0</v>
      </c>
      <c r="Z443" t="str">
        <f t="shared" si="20"/>
        <v>สแกนต่าง Cost</v>
      </c>
    </row>
    <row r="444" spans="1:26" x14ac:dyDescent="0.45">
      <c r="A444">
        <v>27020</v>
      </c>
      <c r="B444" t="s">
        <v>53</v>
      </c>
      <c r="C444">
        <v>20278787</v>
      </c>
      <c r="D444" t="s">
        <v>161</v>
      </c>
      <c r="E444" s="8">
        <v>46137.328472222223</v>
      </c>
      <c r="F444" s="8">
        <v>46137.713888888888</v>
      </c>
      <c r="G444" s="9">
        <v>8.25</v>
      </c>
      <c r="H444" s="9">
        <f t="shared" si="18"/>
        <v>4.3999999999999997E-2</v>
      </c>
      <c r="I444" s="9"/>
      <c r="J444" s="9">
        <v>4.3999999999999997E-2</v>
      </c>
      <c r="K444" s="9"/>
      <c r="L444" s="9"/>
      <c r="M444" t="s">
        <v>77</v>
      </c>
      <c r="N444" t="s">
        <v>40</v>
      </c>
      <c r="O444" t="s">
        <v>78</v>
      </c>
      <c r="P444" t="s">
        <v>30</v>
      </c>
      <c r="Q444" t="s">
        <v>31</v>
      </c>
      <c r="R444">
        <v>82630</v>
      </c>
      <c r="S444" t="s">
        <v>32</v>
      </c>
      <c r="T444">
        <v>82664</v>
      </c>
      <c r="U444" t="s">
        <v>75</v>
      </c>
      <c r="V444" t="s">
        <v>75</v>
      </c>
      <c r="W444" t="s">
        <v>37</v>
      </c>
      <c r="X444" t="s">
        <v>86</v>
      </c>
      <c r="Y444" s="9">
        <f t="shared" si="19"/>
        <v>4.3999999999999997E-2</v>
      </c>
      <c r="Z444" t="str">
        <f t="shared" si="20"/>
        <v>สแกนต่าง Cost</v>
      </c>
    </row>
    <row r="445" spans="1:26" x14ac:dyDescent="0.45">
      <c r="A445">
        <v>27018</v>
      </c>
      <c r="B445" t="s">
        <v>53</v>
      </c>
      <c r="C445">
        <v>20343361</v>
      </c>
      <c r="D445" t="s">
        <v>109</v>
      </c>
      <c r="E445" s="8">
        <v>46137.328472222223</v>
      </c>
      <c r="F445" s="8">
        <v>46137.713888888888</v>
      </c>
      <c r="G445" s="9">
        <v>8.25</v>
      </c>
      <c r="H445" s="9">
        <f t="shared" si="18"/>
        <v>4.3999999999999997E-2</v>
      </c>
      <c r="I445" s="9">
        <v>4.3999999999999997E-2</v>
      </c>
      <c r="J445" s="9"/>
      <c r="K445" s="9"/>
      <c r="L445" s="9"/>
      <c r="M445" t="s">
        <v>65</v>
      </c>
      <c r="N445" t="s">
        <v>29</v>
      </c>
      <c r="P445" t="s">
        <v>30</v>
      </c>
      <c r="Q445" t="s">
        <v>31</v>
      </c>
      <c r="R445">
        <v>82630</v>
      </c>
      <c r="S445" t="s">
        <v>32</v>
      </c>
      <c r="T445">
        <v>82664</v>
      </c>
      <c r="U445" t="s">
        <v>75</v>
      </c>
      <c r="V445" t="s">
        <v>75</v>
      </c>
      <c r="W445" t="s">
        <v>37</v>
      </c>
      <c r="X445" t="s">
        <v>86</v>
      </c>
      <c r="Y445" s="9">
        <f t="shared" si="19"/>
        <v>0</v>
      </c>
      <c r="Z445" t="str">
        <f t="shared" si="20"/>
        <v>สแกนต่าง Cost</v>
      </c>
    </row>
    <row r="446" spans="1:26" x14ac:dyDescent="0.45">
      <c r="A446">
        <v>27024</v>
      </c>
      <c r="B446" t="s">
        <v>53</v>
      </c>
      <c r="C446">
        <v>20370709</v>
      </c>
      <c r="D446" t="s">
        <v>115</v>
      </c>
      <c r="E446" s="8">
        <v>46137.328472222223</v>
      </c>
      <c r="F446" s="8">
        <v>46137.713888888888</v>
      </c>
      <c r="G446" s="9">
        <v>8.25</v>
      </c>
      <c r="H446" s="9">
        <f t="shared" si="18"/>
        <v>4.3999999999999997E-2</v>
      </c>
      <c r="I446" s="9">
        <v>4.3999999999999997E-2</v>
      </c>
      <c r="J446" s="9"/>
      <c r="K446" s="9"/>
      <c r="L446" s="9"/>
      <c r="M446" t="s">
        <v>65</v>
      </c>
      <c r="N446" t="s">
        <v>29</v>
      </c>
      <c r="P446" t="s">
        <v>30</v>
      </c>
      <c r="Q446" t="s">
        <v>31</v>
      </c>
      <c r="R446">
        <v>82630</v>
      </c>
      <c r="S446" t="s">
        <v>32</v>
      </c>
      <c r="T446">
        <v>82664</v>
      </c>
      <c r="U446" t="s">
        <v>75</v>
      </c>
      <c r="V446" t="s">
        <v>75</v>
      </c>
      <c r="W446" t="s">
        <v>37</v>
      </c>
      <c r="X446" t="s">
        <v>86</v>
      </c>
      <c r="Y446" s="9">
        <f t="shared" si="19"/>
        <v>0</v>
      </c>
      <c r="Z446" t="str">
        <f t="shared" si="20"/>
        <v>สแกนต่าง Cost</v>
      </c>
    </row>
    <row r="447" spans="1:26" x14ac:dyDescent="0.45">
      <c r="A447">
        <v>27017</v>
      </c>
      <c r="B447" t="s">
        <v>53</v>
      </c>
      <c r="C447">
        <v>20074652</v>
      </c>
      <c r="D447" t="s">
        <v>162</v>
      </c>
      <c r="E447" s="8">
        <v>46137.327777777777</v>
      </c>
      <c r="F447" s="8">
        <v>46137.713888888888</v>
      </c>
      <c r="G447" s="9">
        <v>8.2666666666666675</v>
      </c>
      <c r="H447" s="9">
        <f t="shared" si="18"/>
        <v>4.3999999999999997E-2</v>
      </c>
      <c r="I447" s="9">
        <v>4.3999999999999997E-2</v>
      </c>
      <c r="J447" s="9"/>
      <c r="K447" s="9"/>
      <c r="L447" s="9"/>
      <c r="M447" t="s">
        <v>65</v>
      </c>
      <c r="N447" t="s">
        <v>29</v>
      </c>
      <c r="P447" t="s">
        <v>30</v>
      </c>
      <c r="Q447" t="s">
        <v>31</v>
      </c>
      <c r="R447">
        <v>82630</v>
      </c>
      <c r="S447" t="s">
        <v>32</v>
      </c>
      <c r="T447">
        <v>82664</v>
      </c>
      <c r="U447" t="s">
        <v>75</v>
      </c>
      <c r="V447" t="s">
        <v>75</v>
      </c>
      <c r="W447" t="s">
        <v>37</v>
      </c>
      <c r="X447" t="s">
        <v>86</v>
      </c>
      <c r="Y447" s="9">
        <f t="shared" si="19"/>
        <v>0</v>
      </c>
      <c r="Z447" t="str">
        <f t="shared" si="20"/>
        <v>สแกนต่าง Cost</v>
      </c>
    </row>
    <row r="448" spans="1:26" x14ac:dyDescent="0.45">
      <c r="A448">
        <v>26923</v>
      </c>
      <c r="B448" t="s">
        <v>53</v>
      </c>
      <c r="C448">
        <v>20276269</v>
      </c>
      <c r="D448" t="s">
        <v>134</v>
      </c>
      <c r="E448" s="8">
        <v>46137.291666666664</v>
      </c>
      <c r="F448" s="8">
        <v>46137.6875</v>
      </c>
      <c r="G448" s="9">
        <v>8.5</v>
      </c>
      <c r="H448" s="9">
        <f t="shared" si="18"/>
        <v>4.4999999999999998E-2</v>
      </c>
      <c r="I448" s="9">
        <v>4.4999999999999998E-2</v>
      </c>
      <c r="J448" s="9"/>
      <c r="K448" s="9"/>
      <c r="L448" s="9"/>
      <c r="M448" t="s">
        <v>65</v>
      </c>
      <c r="N448" t="s">
        <v>29</v>
      </c>
      <c r="P448" t="s">
        <v>30</v>
      </c>
      <c r="Q448" t="s">
        <v>31</v>
      </c>
      <c r="R448">
        <v>82308</v>
      </c>
      <c r="S448" t="s">
        <v>69</v>
      </c>
      <c r="T448">
        <v>82301</v>
      </c>
      <c r="U448" t="s">
        <v>79</v>
      </c>
      <c r="V448" t="s">
        <v>79</v>
      </c>
      <c r="W448" t="s">
        <v>80</v>
      </c>
      <c r="X448" t="s">
        <v>135</v>
      </c>
      <c r="Y448" s="9">
        <f t="shared" si="19"/>
        <v>0</v>
      </c>
      <c r="Z448" t="str">
        <f t="shared" si="20"/>
        <v>สแกนต่าง Cost</v>
      </c>
    </row>
    <row r="449" spans="1:26" x14ac:dyDescent="0.45">
      <c r="A449">
        <v>27015</v>
      </c>
      <c r="B449" t="s">
        <v>53</v>
      </c>
      <c r="C449">
        <v>20214280</v>
      </c>
      <c r="D449" t="s">
        <v>136</v>
      </c>
      <c r="E449" s="8">
        <v>46137.247916666667</v>
      </c>
      <c r="F449" s="8">
        <v>46137.681250000001</v>
      </c>
      <c r="G449" s="9">
        <v>10.4</v>
      </c>
      <c r="H449" s="9">
        <f t="shared" si="18"/>
        <v>5.5E-2</v>
      </c>
      <c r="I449" s="9">
        <v>4.4999999999999998E-2</v>
      </c>
      <c r="J449" s="9"/>
      <c r="K449" s="9">
        <v>0.01</v>
      </c>
      <c r="L449" s="9"/>
      <c r="M449" t="s">
        <v>28</v>
      </c>
      <c r="N449" t="s">
        <v>40</v>
      </c>
      <c r="O449" t="s">
        <v>241</v>
      </c>
      <c r="P449" t="s">
        <v>30</v>
      </c>
      <c r="Q449" t="s">
        <v>31</v>
      </c>
      <c r="R449">
        <v>82415</v>
      </c>
      <c r="S449" t="s">
        <v>137</v>
      </c>
      <c r="T449">
        <v>82664</v>
      </c>
      <c r="U449" t="s">
        <v>75</v>
      </c>
      <c r="V449" t="s">
        <v>75</v>
      </c>
      <c r="W449" t="s">
        <v>74</v>
      </c>
      <c r="X449" t="s">
        <v>74</v>
      </c>
      <c r="Y449" s="9">
        <f t="shared" si="19"/>
        <v>0.01</v>
      </c>
      <c r="Z449" t="str">
        <f t="shared" si="20"/>
        <v>สแกนต่าง Cost</v>
      </c>
    </row>
    <row r="450" spans="1:26" x14ac:dyDescent="0.45">
      <c r="B450" t="s">
        <v>53</v>
      </c>
      <c r="C450">
        <v>20018899</v>
      </c>
      <c r="D450" t="s">
        <v>64</v>
      </c>
      <c r="E450" s="8">
        <v>46136.729166666664</v>
      </c>
      <c r="F450" s="8">
        <v>46136.833333333336</v>
      </c>
      <c r="G450" s="9">
        <v>2.5</v>
      </c>
      <c r="H450" s="9">
        <f t="shared" si="18"/>
        <v>1.2999999999999999E-2</v>
      </c>
      <c r="I450" s="9"/>
      <c r="J450" s="9"/>
      <c r="K450" s="9">
        <v>1.2999999999999999E-2</v>
      </c>
      <c r="L450" s="9"/>
      <c r="M450" t="s">
        <v>28</v>
      </c>
      <c r="N450" t="s">
        <v>40</v>
      </c>
      <c r="O450" t="s">
        <v>41</v>
      </c>
      <c r="P450" t="s">
        <v>30</v>
      </c>
      <c r="Q450" t="s">
        <v>31</v>
      </c>
      <c r="R450">
        <v>82640</v>
      </c>
      <c r="S450" t="s">
        <v>42</v>
      </c>
      <c r="T450">
        <v>82652</v>
      </c>
      <c r="U450" t="s">
        <v>46</v>
      </c>
      <c r="V450" t="s">
        <v>66</v>
      </c>
      <c r="W450" t="s">
        <v>37</v>
      </c>
      <c r="X450" t="s">
        <v>34</v>
      </c>
      <c r="Y450" s="9">
        <f t="shared" si="19"/>
        <v>1.2999999999999999E-2</v>
      </c>
      <c r="Z450" t="str">
        <f t="shared" si="20"/>
        <v>สแกนต่าง Cost</v>
      </c>
    </row>
    <row r="451" spans="1:26" x14ac:dyDescent="0.45">
      <c r="B451" t="s">
        <v>53</v>
      </c>
      <c r="C451">
        <v>20027956</v>
      </c>
      <c r="D451" t="s">
        <v>214</v>
      </c>
      <c r="E451" s="8">
        <v>46136.729166666664</v>
      </c>
      <c r="F451" s="8">
        <v>46136.833333333336</v>
      </c>
      <c r="G451" s="9">
        <v>2.5</v>
      </c>
      <c r="H451" s="9">
        <f t="shared" ref="H451:H514" si="21">SUM(I451:L451)</f>
        <v>1.2999999999999999E-2</v>
      </c>
      <c r="I451" s="9"/>
      <c r="J451" s="9"/>
      <c r="K451" s="9">
        <v>1.2999999999999999E-2</v>
      </c>
      <c r="L451" s="9"/>
      <c r="M451" t="s">
        <v>28</v>
      </c>
      <c r="N451" t="s">
        <v>40</v>
      </c>
      <c r="O451" t="s">
        <v>41</v>
      </c>
      <c r="P451" t="s">
        <v>30</v>
      </c>
      <c r="Q451" t="s">
        <v>31</v>
      </c>
      <c r="R451">
        <v>82640</v>
      </c>
      <c r="S451" t="s">
        <v>42</v>
      </c>
      <c r="T451">
        <v>82611</v>
      </c>
      <c r="U451" t="s">
        <v>43</v>
      </c>
      <c r="V451" t="s">
        <v>66</v>
      </c>
      <c r="W451" t="s">
        <v>44</v>
      </c>
      <c r="X451" t="s">
        <v>44</v>
      </c>
      <c r="Y451" s="9">
        <f t="shared" ref="Y451:Y514" si="22">SUM(J451:L451)</f>
        <v>1.2999999999999999E-2</v>
      </c>
      <c r="Z451" t="str">
        <f t="shared" ref="Z451:Z514" si="23">IF(R451=T451,"สแกน Cost ตัวเอง","สแกนต่าง Cost")</f>
        <v>สแกนต่าง Cost</v>
      </c>
    </row>
    <row r="452" spans="1:26" x14ac:dyDescent="0.45">
      <c r="B452" t="s">
        <v>53</v>
      </c>
      <c r="C452">
        <v>20060579</v>
      </c>
      <c r="D452" t="s">
        <v>39</v>
      </c>
      <c r="E452" s="8">
        <v>46136.729166666664</v>
      </c>
      <c r="F452" s="8">
        <v>46136.833333333336</v>
      </c>
      <c r="G452" s="9">
        <v>2.5</v>
      </c>
      <c r="H452" s="9">
        <f t="shared" si="21"/>
        <v>1.2999999999999999E-2</v>
      </c>
      <c r="I452" s="9"/>
      <c r="J452" s="9"/>
      <c r="K452" s="9">
        <v>1.2999999999999999E-2</v>
      </c>
      <c r="L452" s="9"/>
      <c r="M452" t="s">
        <v>28</v>
      </c>
      <c r="N452" t="s">
        <v>40</v>
      </c>
      <c r="O452" t="s">
        <v>41</v>
      </c>
      <c r="P452" t="s">
        <v>30</v>
      </c>
      <c r="Q452" t="s">
        <v>31</v>
      </c>
      <c r="R452">
        <v>82640</v>
      </c>
      <c r="S452" t="s">
        <v>42</v>
      </c>
      <c r="T452">
        <v>82630</v>
      </c>
      <c r="U452" t="s">
        <v>32</v>
      </c>
      <c r="V452" t="s">
        <v>66</v>
      </c>
      <c r="W452" t="s">
        <v>44</v>
      </c>
      <c r="X452" t="s">
        <v>44</v>
      </c>
      <c r="Y452" s="9">
        <f t="shared" si="22"/>
        <v>1.2999999999999999E-2</v>
      </c>
      <c r="Z452" t="str">
        <f t="shared" si="23"/>
        <v>สแกนต่าง Cost</v>
      </c>
    </row>
    <row r="453" spans="1:26" x14ac:dyDescent="0.45">
      <c r="B453" t="s">
        <v>53</v>
      </c>
      <c r="C453">
        <v>20198842</v>
      </c>
      <c r="D453" t="s">
        <v>257</v>
      </c>
      <c r="E453" s="8">
        <v>46136.729166666664</v>
      </c>
      <c r="F453" s="8">
        <v>46136.833333333336</v>
      </c>
      <c r="G453" s="9">
        <v>2.5</v>
      </c>
      <c r="H453" s="9">
        <f t="shared" si="21"/>
        <v>1.2999999999999999E-2</v>
      </c>
      <c r="I453" s="9"/>
      <c r="J453" s="9"/>
      <c r="K453" s="9">
        <v>1.2999999999999999E-2</v>
      </c>
      <c r="L453" s="9"/>
      <c r="M453" t="s">
        <v>28</v>
      </c>
      <c r="N453" t="s">
        <v>29</v>
      </c>
      <c r="P453" t="s">
        <v>30</v>
      </c>
      <c r="Q453" t="s">
        <v>31</v>
      </c>
      <c r="R453">
        <v>82640</v>
      </c>
      <c r="S453" t="s">
        <v>42</v>
      </c>
      <c r="T453">
        <v>82611</v>
      </c>
      <c r="U453" t="s">
        <v>43</v>
      </c>
      <c r="V453" t="s">
        <v>66</v>
      </c>
      <c r="W453" t="s">
        <v>44</v>
      </c>
      <c r="X453" t="s">
        <v>44</v>
      </c>
      <c r="Y453" s="9">
        <f t="shared" si="22"/>
        <v>1.2999999999999999E-2</v>
      </c>
      <c r="Z453" t="str">
        <f t="shared" si="23"/>
        <v>สแกนต่าง Cost</v>
      </c>
    </row>
    <row r="454" spans="1:26" x14ac:dyDescent="0.45">
      <c r="B454" t="s">
        <v>53</v>
      </c>
      <c r="C454">
        <v>20220646</v>
      </c>
      <c r="D454" t="s">
        <v>67</v>
      </c>
      <c r="E454" s="8">
        <v>46136.729166666664</v>
      </c>
      <c r="F454" s="8">
        <v>46136.833333333336</v>
      </c>
      <c r="G454" s="9">
        <v>2.5</v>
      </c>
      <c r="H454" s="9">
        <f t="shared" si="21"/>
        <v>1.2999999999999999E-2</v>
      </c>
      <c r="I454" s="9"/>
      <c r="J454" s="9"/>
      <c r="K454" s="9">
        <v>1.2999999999999999E-2</v>
      </c>
      <c r="L454" s="9"/>
      <c r="M454" t="s">
        <v>28</v>
      </c>
      <c r="N454" t="s">
        <v>40</v>
      </c>
      <c r="O454" t="s">
        <v>41</v>
      </c>
      <c r="P454" t="s">
        <v>30</v>
      </c>
      <c r="Q454" t="s">
        <v>31</v>
      </c>
      <c r="R454">
        <v>82640</v>
      </c>
      <c r="S454" t="s">
        <v>42</v>
      </c>
      <c r="T454">
        <v>82652</v>
      </c>
      <c r="U454" t="s">
        <v>46</v>
      </c>
      <c r="V454" t="s">
        <v>66</v>
      </c>
      <c r="W454" t="s">
        <v>37</v>
      </c>
      <c r="X454" t="s">
        <v>34</v>
      </c>
      <c r="Y454" s="9">
        <f t="shared" si="22"/>
        <v>1.2999999999999999E-2</v>
      </c>
      <c r="Z454" t="str">
        <f t="shared" si="23"/>
        <v>สแกนต่าง Cost</v>
      </c>
    </row>
    <row r="455" spans="1:26" x14ac:dyDescent="0.45">
      <c r="B455" t="s">
        <v>53</v>
      </c>
      <c r="C455">
        <v>20244923</v>
      </c>
      <c r="D455" t="s">
        <v>246</v>
      </c>
      <c r="E455" s="8">
        <v>46136.729166666664</v>
      </c>
      <c r="F455" s="8">
        <v>46136.833333333336</v>
      </c>
      <c r="G455" s="9">
        <v>2.5</v>
      </c>
      <c r="H455" s="9">
        <f t="shared" si="21"/>
        <v>1.2999999999999999E-2</v>
      </c>
      <c r="I455" s="9"/>
      <c r="J455" s="9"/>
      <c r="K455" s="9">
        <v>1.2999999999999999E-2</v>
      </c>
      <c r="L455" s="9"/>
      <c r="M455" t="s">
        <v>28</v>
      </c>
      <c r="N455" t="s">
        <v>40</v>
      </c>
      <c r="O455" t="s">
        <v>41</v>
      </c>
      <c r="P455" t="s">
        <v>30</v>
      </c>
      <c r="Q455" t="s">
        <v>31</v>
      </c>
      <c r="R455">
        <v>82640</v>
      </c>
      <c r="S455" t="s">
        <v>42</v>
      </c>
      <c r="T455">
        <v>82611</v>
      </c>
      <c r="U455" t="s">
        <v>43</v>
      </c>
      <c r="V455" t="s">
        <v>66</v>
      </c>
      <c r="W455" t="s">
        <v>44</v>
      </c>
      <c r="X455" t="s">
        <v>44</v>
      </c>
      <c r="Y455" s="9">
        <f t="shared" si="22"/>
        <v>1.2999999999999999E-2</v>
      </c>
      <c r="Z455" t="str">
        <f t="shared" si="23"/>
        <v>สแกนต่าง Cost</v>
      </c>
    </row>
    <row r="456" spans="1:26" x14ac:dyDescent="0.45">
      <c r="B456" t="s">
        <v>53</v>
      </c>
      <c r="C456">
        <v>20310530</v>
      </c>
      <c r="D456" t="s">
        <v>220</v>
      </c>
      <c r="E456" s="8">
        <v>46136.729166666664</v>
      </c>
      <c r="F456" s="8">
        <v>46136.833333333336</v>
      </c>
      <c r="G456" s="9">
        <v>2.5</v>
      </c>
      <c r="H456" s="9">
        <f t="shared" si="21"/>
        <v>1.2999999999999999E-2</v>
      </c>
      <c r="I456" s="9"/>
      <c r="J456" s="9"/>
      <c r="K456" s="9">
        <v>1.2999999999999999E-2</v>
      </c>
      <c r="L456" s="9"/>
      <c r="M456" t="s">
        <v>28</v>
      </c>
      <c r="N456" t="s">
        <v>40</v>
      </c>
      <c r="O456" t="s">
        <v>41</v>
      </c>
      <c r="P456" t="s">
        <v>30</v>
      </c>
      <c r="Q456" t="s">
        <v>31</v>
      </c>
      <c r="R456">
        <v>82640</v>
      </c>
      <c r="S456" t="s">
        <v>42</v>
      </c>
      <c r="T456">
        <v>82630</v>
      </c>
      <c r="U456" t="s">
        <v>32</v>
      </c>
      <c r="V456" t="s">
        <v>66</v>
      </c>
      <c r="W456" t="s">
        <v>44</v>
      </c>
      <c r="X456" t="s">
        <v>44</v>
      </c>
      <c r="Y456" s="9">
        <f t="shared" si="22"/>
        <v>1.2999999999999999E-2</v>
      </c>
      <c r="Z456" t="str">
        <f t="shared" si="23"/>
        <v>สแกนต่าง Cost</v>
      </c>
    </row>
    <row r="457" spans="1:26" x14ac:dyDescent="0.45">
      <c r="B457" t="s">
        <v>53</v>
      </c>
      <c r="C457">
        <v>20342012</v>
      </c>
      <c r="D457" t="s">
        <v>230</v>
      </c>
      <c r="E457" s="8">
        <v>46136.729166666664</v>
      </c>
      <c r="F457" s="8">
        <v>46136.833333333336</v>
      </c>
      <c r="G457" s="9">
        <v>2.5</v>
      </c>
      <c r="H457" s="9">
        <f t="shared" si="21"/>
        <v>1.2999999999999999E-2</v>
      </c>
      <c r="I457" s="9"/>
      <c r="J457" s="9"/>
      <c r="K457" s="9">
        <v>1.2999999999999999E-2</v>
      </c>
      <c r="L457" s="9"/>
      <c r="M457" t="s">
        <v>28</v>
      </c>
      <c r="N457" t="s">
        <v>29</v>
      </c>
      <c r="P457" t="s">
        <v>30</v>
      </c>
      <c r="Q457" t="s">
        <v>31</v>
      </c>
      <c r="R457">
        <v>82611</v>
      </c>
      <c r="S457" t="s">
        <v>43</v>
      </c>
      <c r="T457">
        <v>82640</v>
      </c>
      <c r="U457" t="s">
        <v>42</v>
      </c>
      <c r="V457" t="s">
        <v>155</v>
      </c>
      <c r="W457" t="s">
        <v>47</v>
      </c>
      <c r="X457" t="s">
        <v>95</v>
      </c>
      <c r="Y457" s="9">
        <f t="shared" si="22"/>
        <v>1.2999999999999999E-2</v>
      </c>
      <c r="Z457" t="str">
        <f t="shared" si="23"/>
        <v>สแกนต่าง Cost</v>
      </c>
    </row>
    <row r="458" spans="1:26" x14ac:dyDescent="0.45">
      <c r="B458" t="s">
        <v>53</v>
      </c>
      <c r="C458">
        <v>20310532</v>
      </c>
      <c r="D458" t="s">
        <v>61</v>
      </c>
      <c r="E458" s="8">
        <v>46136.723611111112</v>
      </c>
      <c r="F458" s="8">
        <v>46136.804166666669</v>
      </c>
      <c r="G458" s="9">
        <v>1.9333333333333333</v>
      </c>
      <c r="H458" s="9">
        <f t="shared" si="21"/>
        <v>0.01</v>
      </c>
      <c r="I458" s="9"/>
      <c r="J458" s="9"/>
      <c r="K458" s="9">
        <v>0.01</v>
      </c>
      <c r="L458" s="9"/>
      <c r="M458" t="s">
        <v>28</v>
      </c>
      <c r="N458" t="s">
        <v>40</v>
      </c>
      <c r="O458" t="s">
        <v>181</v>
      </c>
      <c r="P458" t="s">
        <v>30</v>
      </c>
      <c r="Q458" t="s">
        <v>31</v>
      </c>
      <c r="R458">
        <v>82640</v>
      </c>
      <c r="S458" t="s">
        <v>42</v>
      </c>
      <c r="T458">
        <v>82630</v>
      </c>
      <c r="U458" t="s">
        <v>32</v>
      </c>
      <c r="V458" t="s">
        <v>62</v>
      </c>
      <c r="W458" t="s">
        <v>44</v>
      </c>
      <c r="X458" t="s">
        <v>44</v>
      </c>
      <c r="Y458" s="9">
        <f t="shared" si="22"/>
        <v>0.01</v>
      </c>
      <c r="Z458" t="str">
        <f t="shared" si="23"/>
        <v>สแกนต่าง Cost</v>
      </c>
    </row>
    <row r="459" spans="1:26" x14ac:dyDescent="0.45">
      <c r="B459" t="s">
        <v>53</v>
      </c>
      <c r="C459">
        <v>20332134</v>
      </c>
      <c r="D459" t="s">
        <v>156</v>
      </c>
      <c r="E459" s="8">
        <v>46136.723611111112</v>
      </c>
      <c r="F459" s="8">
        <v>46136.831250000003</v>
      </c>
      <c r="G459" s="9">
        <v>2.5833333333333335</v>
      </c>
      <c r="H459" s="9">
        <f t="shared" si="21"/>
        <v>1.4E-2</v>
      </c>
      <c r="I459" s="9"/>
      <c r="J459" s="9"/>
      <c r="K459" s="9">
        <v>1.4E-2</v>
      </c>
      <c r="L459" s="9"/>
      <c r="M459" t="s">
        <v>28</v>
      </c>
      <c r="N459" t="s">
        <v>40</v>
      </c>
      <c r="O459" t="s">
        <v>41</v>
      </c>
      <c r="P459" t="s">
        <v>30</v>
      </c>
      <c r="Q459" t="s">
        <v>31</v>
      </c>
      <c r="R459">
        <v>82640</v>
      </c>
      <c r="S459" t="s">
        <v>42</v>
      </c>
      <c r="T459">
        <v>82630</v>
      </c>
      <c r="U459" t="s">
        <v>32</v>
      </c>
      <c r="V459" t="s">
        <v>62</v>
      </c>
      <c r="W459" t="s">
        <v>44</v>
      </c>
      <c r="X459" t="s">
        <v>44</v>
      </c>
      <c r="Y459" s="9">
        <f t="shared" si="22"/>
        <v>1.4E-2</v>
      </c>
      <c r="Z459" t="str">
        <f t="shared" si="23"/>
        <v>สแกนต่าง Cost</v>
      </c>
    </row>
    <row r="460" spans="1:26" x14ac:dyDescent="0.45">
      <c r="B460" t="s">
        <v>26</v>
      </c>
      <c r="C460">
        <v>20027956</v>
      </c>
      <c r="D460" t="s">
        <v>214</v>
      </c>
      <c r="E460" s="8">
        <v>46136.722916666666</v>
      </c>
      <c r="F460" s="8">
        <v>46136.82708333333</v>
      </c>
      <c r="G460" s="9">
        <v>2.5</v>
      </c>
      <c r="H460" s="9">
        <f t="shared" si="21"/>
        <v>1.2999999999999999E-2</v>
      </c>
      <c r="I460" s="9"/>
      <c r="J460" s="9"/>
      <c r="K460" s="9">
        <v>1.2999999999999999E-2</v>
      </c>
      <c r="L460" s="9"/>
      <c r="M460" t="s">
        <v>28</v>
      </c>
      <c r="N460" t="s">
        <v>40</v>
      </c>
      <c r="O460" t="s">
        <v>41</v>
      </c>
      <c r="P460" t="s">
        <v>30</v>
      </c>
      <c r="Q460" t="s">
        <v>31</v>
      </c>
      <c r="R460">
        <v>82640</v>
      </c>
      <c r="S460" t="s">
        <v>42</v>
      </c>
      <c r="T460">
        <v>82611</v>
      </c>
      <c r="U460" t="s">
        <v>43</v>
      </c>
      <c r="V460" t="s">
        <v>43</v>
      </c>
      <c r="W460" t="s">
        <v>44</v>
      </c>
      <c r="X460" t="s">
        <v>44</v>
      </c>
      <c r="Y460" s="9">
        <f t="shared" si="22"/>
        <v>1.2999999999999999E-2</v>
      </c>
      <c r="Z460" t="str">
        <f t="shared" si="23"/>
        <v>สแกนต่าง Cost</v>
      </c>
    </row>
    <row r="461" spans="1:26" x14ac:dyDescent="0.45">
      <c r="B461" t="s">
        <v>26</v>
      </c>
      <c r="C461">
        <v>20244923</v>
      </c>
      <c r="D461" t="s">
        <v>246</v>
      </c>
      <c r="E461" s="8">
        <v>46136.722916666666</v>
      </c>
      <c r="F461" s="8">
        <v>46136.82708333333</v>
      </c>
      <c r="G461" s="9">
        <v>2.5</v>
      </c>
      <c r="H461" s="9">
        <f t="shared" si="21"/>
        <v>1.2999999999999999E-2</v>
      </c>
      <c r="I461" s="9"/>
      <c r="J461" s="9"/>
      <c r="K461" s="9">
        <v>1.2999999999999999E-2</v>
      </c>
      <c r="L461" s="9"/>
      <c r="M461" t="s">
        <v>28</v>
      </c>
      <c r="N461" t="s">
        <v>40</v>
      </c>
      <c r="O461" t="s">
        <v>41</v>
      </c>
      <c r="P461" t="s">
        <v>30</v>
      </c>
      <c r="Q461" t="s">
        <v>31</v>
      </c>
      <c r="R461">
        <v>82640</v>
      </c>
      <c r="S461" t="s">
        <v>42</v>
      </c>
      <c r="T461">
        <v>82611</v>
      </c>
      <c r="U461" t="s">
        <v>43</v>
      </c>
      <c r="V461" t="s">
        <v>43</v>
      </c>
      <c r="W461" t="s">
        <v>44</v>
      </c>
      <c r="X461" t="s">
        <v>44</v>
      </c>
      <c r="Y461" s="9">
        <f t="shared" si="22"/>
        <v>1.2999999999999999E-2</v>
      </c>
      <c r="Z461" t="str">
        <f t="shared" si="23"/>
        <v>สแกนต่าง Cost</v>
      </c>
    </row>
    <row r="462" spans="1:26" x14ac:dyDescent="0.45">
      <c r="B462" t="s">
        <v>53</v>
      </c>
      <c r="C462">
        <v>20198842</v>
      </c>
      <c r="D462" t="s">
        <v>257</v>
      </c>
      <c r="E462" s="8">
        <v>46136.708333333336</v>
      </c>
      <c r="F462" s="8">
        <v>46136.729166666664</v>
      </c>
      <c r="G462" s="9">
        <v>0.5</v>
      </c>
      <c r="H462" s="9">
        <f t="shared" si="21"/>
        <v>3.0000000000000001E-3</v>
      </c>
      <c r="I462" s="9">
        <v>3.0000000000000001E-3</v>
      </c>
      <c r="J462" s="9"/>
      <c r="K462" s="9"/>
      <c r="L462" s="9"/>
      <c r="M462" t="s">
        <v>65</v>
      </c>
      <c r="N462" t="s">
        <v>29</v>
      </c>
      <c r="P462" t="s">
        <v>30</v>
      </c>
      <c r="Q462" t="s">
        <v>31</v>
      </c>
      <c r="R462">
        <v>82640</v>
      </c>
      <c r="S462" t="s">
        <v>42</v>
      </c>
      <c r="T462">
        <v>82630</v>
      </c>
      <c r="U462" t="s">
        <v>32</v>
      </c>
      <c r="V462" t="s">
        <v>66</v>
      </c>
      <c r="W462" t="s">
        <v>44</v>
      </c>
      <c r="X462" t="s">
        <v>44</v>
      </c>
      <c r="Y462" s="9">
        <f t="shared" si="22"/>
        <v>0</v>
      </c>
      <c r="Z462" t="str">
        <f t="shared" si="23"/>
        <v>สแกนต่าง Cost</v>
      </c>
    </row>
    <row r="463" spans="1:26" x14ac:dyDescent="0.45">
      <c r="B463" t="s">
        <v>53</v>
      </c>
      <c r="C463">
        <v>20280718</v>
      </c>
      <c r="D463" t="s">
        <v>256</v>
      </c>
      <c r="E463" s="8">
        <v>46136.708333333336</v>
      </c>
      <c r="F463" s="8">
        <v>46136.729166666664</v>
      </c>
      <c r="G463" s="9">
        <v>0.5</v>
      </c>
      <c r="H463" s="9">
        <f t="shared" si="21"/>
        <v>3.0000000000000001E-3</v>
      </c>
      <c r="I463" s="9">
        <v>3.0000000000000001E-3</v>
      </c>
      <c r="J463" s="9"/>
      <c r="K463" s="9"/>
      <c r="L463" s="9"/>
      <c r="M463" t="s">
        <v>65</v>
      </c>
      <c r="N463" t="s">
        <v>29</v>
      </c>
      <c r="P463" t="s">
        <v>30</v>
      </c>
      <c r="Q463" t="s">
        <v>31</v>
      </c>
      <c r="R463">
        <v>82640</v>
      </c>
      <c r="S463" t="s">
        <v>42</v>
      </c>
      <c r="T463">
        <v>82630</v>
      </c>
      <c r="U463" t="s">
        <v>32</v>
      </c>
      <c r="V463" t="s">
        <v>66</v>
      </c>
      <c r="W463" t="s">
        <v>44</v>
      </c>
      <c r="X463" t="s">
        <v>44</v>
      </c>
      <c r="Y463" s="9">
        <f t="shared" si="22"/>
        <v>0</v>
      </c>
      <c r="Z463" t="str">
        <f t="shared" si="23"/>
        <v>สแกนต่าง Cost</v>
      </c>
    </row>
    <row r="464" spans="1:26" x14ac:dyDescent="0.45">
      <c r="B464" t="s">
        <v>53</v>
      </c>
      <c r="C464">
        <v>20060579</v>
      </c>
      <c r="D464" t="s">
        <v>39</v>
      </c>
      <c r="E464" s="8">
        <v>46136.6875</v>
      </c>
      <c r="F464" s="8">
        <v>46136.729166666664</v>
      </c>
      <c r="G464" s="9">
        <v>1</v>
      </c>
      <c r="H464" s="9">
        <f t="shared" si="21"/>
        <v>5.0000000000000001E-3</v>
      </c>
      <c r="I464" s="9">
        <v>5.0000000000000001E-3</v>
      </c>
      <c r="J464" s="9"/>
      <c r="K464" s="9"/>
      <c r="L464" s="9"/>
      <c r="M464" t="s">
        <v>65</v>
      </c>
      <c r="N464" t="s">
        <v>29</v>
      </c>
      <c r="P464" t="s">
        <v>30</v>
      </c>
      <c r="Q464" t="s">
        <v>31</v>
      </c>
      <c r="R464">
        <v>82640</v>
      </c>
      <c r="S464" t="s">
        <v>42</v>
      </c>
      <c r="T464">
        <v>82630</v>
      </c>
      <c r="U464" t="s">
        <v>32</v>
      </c>
      <c r="V464" t="s">
        <v>66</v>
      </c>
      <c r="W464" t="s">
        <v>44</v>
      </c>
      <c r="X464" t="s">
        <v>44</v>
      </c>
      <c r="Y464" s="9">
        <f t="shared" si="22"/>
        <v>0</v>
      </c>
      <c r="Z464" t="str">
        <f t="shared" si="23"/>
        <v>สแกนต่าง Cost</v>
      </c>
    </row>
    <row r="465" spans="2:26" x14ac:dyDescent="0.45">
      <c r="B465" t="s">
        <v>53</v>
      </c>
      <c r="C465">
        <v>20280718</v>
      </c>
      <c r="D465" t="s">
        <v>256</v>
      </c>
      <c r="E465" s="8">
        <v>46136.6875</v>
      </c>
      <c r="F465" s="8">
        <v>46136.708333333336</v>
      </c>
      <c r="G465" s="9">
        <v>0.5</v>
      </c>
      <c r="H465" s="9">
        <f t="shared" si="21"/>
        <v>3.0000000000000001E-3</v>
      </c>
      <c r="I465" s="9">
        <v>3.0000000000000001E-3</v>
      </c>
      <c r="J465" s="9"/>
      <c r="K465" s="9"/>
      <c r="L465" s="9"/>
      <c r="M465" t="s">
        <v>65</v>
      </c>
      <c r="N465" t="s">
        <v>29</v>
      </c>
      <c r="P465" t="s">
        <v>30</v>
      </c>
      <c r="Q465" t="s">
        <v>31</v>
      </c>
      <c r="R465">
        <v>82640</v>
      </c>
      <c r="S465" t="s">
        <v>42</v>
      </c>
      <c r="T465">
        <v>82612</v>
      </c>
      <c r="U465" t="s">
        <v>153</v>
      </c>
      <c r="V465" t="s">
        <v>66</v>
      </c>
      <c r="W465" t="s">
        <v>44</v>
      </c>
      <c r="X465" t="s">
        <v>44</v>
      </c>
      <c r="Y465" s="9">
        <f t="shared" si="22"/>
        <v>0</v>
      </c>
      <c r="Z465" t="str">
        <f t="shared" si="23"/>
        <v>สแกนต่าง Cost</v>
      </c>
    </row>
    <row r="466" spans="2:26" x14ac:dyDescent="0.45">
      <c r="B466" t="s">
        <v>53</v>
      </c>
      <c r="C466">
        <v>20310530</v>
      </c>
      <c r="D466" t="s">
        <v>220</v>
      </c>
      <c r="E466" s="8">
        <v>46136.6875</v>
      </c>
      <c r="F466" s="8">
        <v>46136.729166666664</v>
      </c>
      <c r="G466" s="9">
        <v>1</v>
      </c>
      <c r="H466" s="9">
        <f t="shared" si="21"/>
        <v>5.0000000000000001E-3</v>
      </c>
      <c r="I466" s="9">
        <v>5.0000000000000001E-3</v>
      </c>
      <c r="J466" s="9"/>
      <c r="K466" s="9"/>
      <c r="L466" s="9"/>
      <c r="M466" t="s">
        <v>65</v>
      </c>
      <c r="N466" t="s">
        <v>29</v>
      </c>
      <c r="P466" t="s">
        <v>30</v>
      </c>
      <c r="Q466" t="s">
        <v>31</v>
      </c>
      <c r="R466">
        <v>82640</v>
      </c>
      <c r="S466" t="s">
        <v>42</v>
      </c>
      <c r="T466">
        <v>82630</v>
      </c>
      <c r="U466" t="s">
        <v>32</v>
      </c>
      <c r="V466" t="s">
        <v>66</v>
      </c>
      <c r="W466" t="s">
        <v>44</v>
      </c>
      <c r="X466" t="s">
        <v>44</v>
      </c>
      <c r="Y466" s="9">
        <f t="shared" si="22"/>
        <v>0</v>
      </c>
      <c r="Z466" t="str">
        <f t="shared" si="23"/>
        <v>สแกนต่าง Cost</v>
      </c>
    </row>
    <row r="467" spans="2:26" x14ac:dyDescent="0.45">
      <c r="B467" t="s">
        <v>53</v>
      </c>
      <c r="C467">
        <v>20022740</v>
      </c>
      <c r="D467" t="s">
        <v>259</v>
      </c>
      <c r="E467" s="8">
        <v>46136.666666666664</v>
      </c>
      <c r="F467" s="8">
        <v>46136.729166666664</v>
      </c>
      <c r="G467" s="9">
        <v>1.5</v>
      </c>
      <c r="H467" s="9">
        <f t="shared" si="21"/>
        <v>8.0000000000000002E-3</v>
      </c>
      <c r="I467" s="9">
        <v>8.0000000000000002E-3</v>
      </c>
      <c r="J467" s="9"/>
      <c r="K467" s="9"/>
      <c r="L467" s="9"/>
      <c r="M467" t="s">
        <v>65</v>
      </c>
      <c r="N467" t="s">
        <v>29</v>
      </c>
      <c r="P467" t="s">
        <v>30</v>
      </c>
      <c r="Q467" t="s">
        <v>31</v>
      </c>
      <c r="R467">
        <v>82640</v>
      </c>
      <c r="S467" t="s">
        <v>42</v>
      </c>
      <c r="T467">
        <v>82611</v>
      </c>
      <c r="U467" t="s">
        <v>43</v>
      </c>
      <c r="V467" t="s">
        <v>66</v>
      </c>
      <c r="W467" t="s">
        <v>44</v>
      </c>
      <c r="X467" t="s">
        <v>44</v>
      </c>
      <c r="Y467" s="9">
        <f t="shared" si="22"/>
        <v>0</v>
      </c>
      <c r="Z467" t="str">
        <f t="shared" si="23"/>
        <v>สแกนต่าง Cost</v>
      </c>
    </row>
    <row r="468" spans="2:26" x14ac:dyDescent="0.45">
      <c r="B468" t="s">
        <v>53</v>
      </c>
      <c r="C468">
        <v>20310530</v>
      </c>
      <c r="D468" t="s">
        <v>220</v>
      </c>
      <c r="E468" s="8">
        <v>46136.666666666664</v>
      </c>
      <c r="F468" s="8">
        <v>46136.6875</v>
      </c>
      <c r="G468" s="9">
        <v>0.5</v>
      </c>
      <c r="H468" s="9">
        <f t="shared" si="21"/>
        <v>3.0000000000000001E-3</v>
      </c>
      <c r="I468" s="9">
        <v>3.0000000000000001E-3</v>
      </c>
      <c r="J468" s="9"/>
      <c r="K468" s="9"/>
      <c r="L468" s="9"/>
      <c r="M468" t="s">
        <v>65</v>
      </c>
      <c r="N468" t="s">
        <v>29</v>
      </c>
      <c r="P468" t="s">
        <v>30</v>
      </c>
      <c r="Q468" t="s">
        <v>31</v>
      </c>
      <c r="R468">
        <v>82640</v>
      </c>
      <c r="S468" t="s">
        <v>42</v>
      </c>
      <c r="T468">
        <v>82612</v>
      </c>
      <c r="U468" t="s">
        <v>153</v>
      </c>
      <c r="V468" t="s">
        <v>66</v>
      </c>
      <c r="W468" t="s">
        <v>44</v>
      </c>
      <c r="X468" t="s">
        <v>44</v>
      </c>
      <c r="Y468" s="9">
        <f t="shared" si="22"/>
        <v>0</v>
      </c>
      <c r="Z468" t="str">
        <f t="shared" si="23"/>
        <v>สแกนต่าง Cost</v>
      </c>
    </row>
    <row r="469" spans="2:26" x14ac:dyDescent="0.45">
      <c r="B469" t="s">
        <v>53</v>
      </c>
      <c r="C469">
        <v>20198842</v>
      </c>
      <c r="D469" t="s">
        <v>257</v>
      </c>
      <c r="E469" s="8">
        <v>46136.645833333336</v>
      </c>
      <c r="F469" s="8">
        <v>46136.6875</v>
      </c>
      <c r="G469" s="9">
        <v>1</v>
      </c>
      <c r="H469" s="9">
        <f t="shared" si="21"/>
        <v>5.0000000000000001E-3</v>
      </c>
      <c r="I469" s="9">
        <v>5.0000000000000001E-3</v>
      </c>
      <c r="J469" s="9"/>
      <c r="K469" s="9"/>
      <c r="L469" s="9"/>
      <c r="M469" t="s">
        <v>65</v>
      </c>
      <c r="N469" t="s">
        <v>29</v>
      </c>
      <c r="P469" t="s">
        <v>30</v>
      </c>
      <c r="Q469" t="s">
        <v>31</v>
      </c>
      <c r="R469">
        <v>82640</v>
      </c>
      <c r="S469" t="s">
        <v>42</v>
      </c>
      <c r="T469">
        <v>82630</v>
      </c>
      <c r="U469" t="s">
        <v>32</v>
      </c>
      <c r="V469" t="s">
        <v>66</v>
      </c>
      <c r="W469" t="s">
        <v>44</v>
      </c>
      <c r="X469" t="s">
        <v>44</v>
      </c>
      <c r="Y469" s="9">
        <f t="shared" si="22"/>
        <v>0</v>
      </c>
      <c r="Z469" t="str">
        <f t="shared" si="23"/>
        <v>สแกนต่าง Cost</v>
      </c>
    </row>
    <row r="470" spans="2:26" x14ac:dyDescent="0.45">
      <c r="B470" t="s">
        <v>53</v>
      </c>
      <c r="C470">
        <v>20310530</v>
      </c>
      <c r="D470" t="s">
        <v>220</v>
      </c>
      <c r="E470" s="8">
        <v>46136.645833333336</v>
      </c>
      <c r="F470" s="8">
        <v>46136.666666666664</v>
      </c>
      <c r="G470" s="9">
        <v>0.5</v>
      </c>
      <c r="H470" s="9">
        <f t="shared" si="21"/>
        <v>3.0000000000000001E-3</v>
      </c>
      <c r="I470" s="9">
        <v>3.0000000000000001E-3</v>
      </c>
      <c r="J470" s="9"/>
      <c r="K470" s="9"/>
      <c r="L470" s="9"/>
      <c r="M470" t="s">
        <v>65</v>
      </c>
      <c r="N470" t="s">
        <v>29</v>
      </c>
      <c r="P470" t="s">
        <v>30</v>
      </c>
      <c r="Q470" t="s">
        <v>31</v>
      </c>
      <c r="R470">
        <v>82640</v>
      </c>
      <c r="S470" t="s">
        <v>42</v>
      </c>
      <c r="T470">
        <v>82611</v>
      </c>
      <c r="U470" t="s">
        <v>43</v>
      </c>
      <c r="V470" t="s">
        <v>66</v>
      </c>
      <c r="W470" t="s">
        <v>44</v>
      </c>
      <c r="X470" t="s">
        <v>44</v>
      </c>
      <c r="Y470" s="9">
        <f t="shared" si="22"/>
        <v>0</v>
      </c>
      <c r="Z470" t="str">
        <f t="shared" si="23"/>
        <v>สแกนต่าง Cost</v>
      </c>
    </row>
    <row r="471" spans="2:26" x14ac:dyDescent="0.45">
      <c r="B471" t="s">
        <v>53</v>
      </c>
      <c r="C471">
        <v>20332134</v>
      </c>
      <c r="D471" t="s">
        <v>156</v>
      </c>
      <c r="E471" s="8">
        <v>46136.645833333336</v>
      </c>
      <c r="F471" s="8">
        <v>46136.729166666664</v>
      </c>
      <c r="G471" s="9">
        <v>2</v>
      </c>
      <c r="H471" s="9">
        <f t="shared" si="21"/>
        <v>1.0999999999999999E-2</v>
      </c>
      <c r="I471" s="9">
        <v>1.0999999999999999E-2</v>
      </c>
      <c r="J471" s="9"/>
      <c r="K471" s="9"/>
      <c r="L471" s="9"/>
      <c r="M471" t="s">
        <v>65</v>
      </c>
      <c r="N471" t="s">
        <v>29</v>
      </c>
      <c r="P471" t="s">
        <v>30</v>
      </c>
      <c r="Q471" t="s">
        <v>31</v>
      </c>
      <c r="R471">
        <v>82640</v>
      </c>
      <c r="S471" t="s">
        <v>42</v>
      </c>
      <c r="T471">
        <v>82630</v>
      </c>
      <c r="U471" t="s">
        <v>32</v>
      </c>
      <c r="V471" t="s">
        <v>66</v>
      </c>
      <c r="W471" t="s">
        <v>44</v>
      </c>
      <c r="X471" t="s">
        <v>44</v>
      </c>
      <c r="Y471" s="9">
        <f t="shared" si="22"/>
        <v>0</v>
      </c>
      <c r="Z471" t="str">
        <f t="shared" si="23"/>
        <v>สแกนต่าง Cost</v>
      </c>
    </row>
    <row r="472" spans="2:26" x14ac:dyDescent="0.45">
      <c r="B472" t="s">
        <v>53</v>
      </c>
      <c r="C472">
        <v>20027956</v>
      </c>
      <c r="D472" t="s">
        <v>214</v>
      </c>
      <c r="E472" s="8">
        <v>46136.625</v>
      </c>
      <c r="F472" s="8">
        <v>46136.729166666664</v>
      </c>
      <c r="G472" s="9">
        <v>2.5</v>
      </c>
      <c r="H472" s="9">
        <f t="shared" si="21"/>
        <v>1.2999999999999999E-2</v>
      </c>
      <c r="I472" s="9">
        <v>1.2999999999999999E-2</v>
      </c>
      <c r="J472" s="9"/>
      <c r="K472" s="9"/>
      <c r="L472" s="9"/>
      <c r="M472" t="s">
        <v>65</v>
      </c>
      <c r="N472" t="s">
        <v>29</v>
      </c>
      <c r="P472" t="s">
        <v>30</v>
      </c>
      <c r="Q472" t="s">
        <v>31</v>
      </c>
      <c r="R472">
        <v>82640</v>
      </c>
      <c r="S472" t="s">
        <v>42</v>
      </c>
      <c r="T472">
        <v>82611</v>
      </c>
      <c r="U472" t="s">
        <v>43</v>
      </c>
      <c r="V472" t="s">
        <v>66</v>
      </c>
      <c r="W472" t="s">
        <v>44</v>
      </c>
      <c r="X472" t="s">
        <v>44</v>
      </c>
      <c r="Y472" s="9">
        <f t="shared" si="22"/>
        <v>0</v>
      </c>
      <c r="Z472" t="str">
        <f t="shared" si="23"/>
        <v>สแกนต่าง Cost</v>
      </c>
    </row>
    <row r="473" spans="2:26" x14ac:dyDescent="0.45">
      <c r="B473" t="s">
        <v>53</v>
      </c>
      <c r="C473">
        <v>20060579</v>
      </c>
      <c r="D473" t="s">
        <v>39</v>
      </c>
      <c r="E473" s="8">
        <v>46136.625</v>
      </c>
      <c r="F473" s="8">
        <v>46136.666666666664</v>
      </c>
      <c r="G473" s="9">
        <v>1</v>
      </c>
      <c r="H473" s="9">
        <f t="shared" si="21"/>
        <v>5.0000000000000001E-3</v>
      </c>
      <c r="I473" s="9">
        <v>5.0000000000000001E-3</v>
      </c>
      <c r="J473" s="9"/>
      <c r="K473" s="9"/>
      <c r="L473" s="9"/>
      <c r="M473" t="s">
        <v>65</v>
      </c>
      <c r="N473" t="s">
        <v>29</v>
      </c>
      <c r="P473" t="s">
        <v>30</v>
      </c>
      <c r="Q473" t="s">
        <v>31</v>
      </c>
      <c r="R473">
        <v>82640</v>
      </c>
      <c r="S473" t="s">
        <v>42</v>
      </c>
      <c r="T473">
        <v>82630</v>
      </c>
      <c r="U473" t="s">
        <v>32</v>
      </c>
      <c r="V473" t="s">
        <v>66</v>
      </c>
      <c r="W473" t="s">
        <v>44</v>
      </c>
      <c r="X473" t="s">
        <v>44</v>
      </c>
      <c r="Y473" s="9">
        <f t="shared" si="22"/>
        <v>0</v>
      </c>
      <c r="Z473" t="str">
        <f t="shared" si="23"/>
        <v>สแกนต่าง Cost</v>
      </c>
    </row>
    <row r="474" spans="2:26" x14ac:dyDescent="0.45">
      <c r="B474" t="s">
        <v>53</v>
      </c>
      <c r="C474">
        <v>20198839</v>
      </c>
      <c r="D474" t="s">
        <v>258</v>
      </c>
      <c r="E474" s="8">
        <v>46136.625</v>
      </c>
      <c r="F474" s="8">
        <v>46136.6875</v>
      </c>
      <c r="G474" s="9">
        <v>1.5</v>
      </c>
      <c r="H474" s="9">
        <f t="shared" si="21"/>
        <v>8.0000000000000002E-3</v>
      </c>
      <c r="I474" s="9">
        <v>8.0000000000000002E-3</v>
      </c>
      <c r="J474" s="9"/>
      <c r="K474" s="9"/>
      <c r="L474" s="9"/>
      <c r="M474" t="s">
        <v>65</v>
      </c>
      <c r="N474" t="s">
        <v>29</v>
      </c>
      <c r="P474" t="s">
        <v>30</v>
      </c>
      <c r="Q474" t="s">
        <v>31</v>
      </c>
      <c r="R474">
        <v>82640</v>
      </c>
      <c r="S474" t="s">
        <v>42</v>
      </c>
      <c r="T474">
        <v>82612</v>
      </c>
      <c r="U474" t="s">
        <v>153</v>
      </c>
      <c r="V474" t="s">
        <v>66</v>
      </c>
      <c r="W474" t="s">
        <v>44</v>
      </c>
      <c r="X474" t="s">
        <v>44</v>
      </c>
      <c r="Y474" s="9">
        <f t="shared" si="22"/>
        <v>0</v>
      </c>
      <c r="Z474" t="str">
        <f t="shared" si="23"/>
        <v>สแกนต่าง Cost</v>
      </c>
    </row>
    <row r="475" spans="2:26" x14ac:dyDescent="0.45">
      <c r="B475" t="s">
        <v>53</v>
      </c>
      <c r="C475">
        <v>20244923</v>
      </c>
      <c r="D475" t="s">
        <v>246</v>
      </c>
      <c r="E475" s="8">
        <v>46136.625</v>
      </c>
      <c r="F475" s="8">
        <v>46136.729166666664</v>
      </c>
      <c r="G475" s="9">
        <v>2.5</v>
      </c>
      <c r="H475" s="9">
        <f t="shared" si="21"/>
        <v>1.2999999999999999E-2</v>
      </c>
      <c r="I475" s="9">
        <v>1.2999999999999999E-2</v>
      </c>
      <c r="J475" s="9"/>
      <c r="K475" s="9"/>
      <c r="L475" s="9"/>
      <c r="M475" t="s">
        <v>65</v>
      </c>
      <c r="N475" t="s">
        <v>29</v>
      </c>
      <c r="P475" t="s">
        <v>30</v>
      </c>
      <c r="Q475" t="s">
        <v>31</v>
      </c>
      <c r="R475">
        <v>82640</v>
      </c>
      <c r="S475" t="s">
        <v>42</v>
      </c>
      <c r="T475">
        <v>82630</v>
      </c>
      <c r="U475" t="s">
        <v>32</v>
      </c>
      <c r="V475" t="s">
        <v>66</v>
      </c>
      <c r="W475" t="s">
        <v>44</v>
      </c>
      <c r="X475" t="s">
        <v>44</v>
      </c>
      <c r="Y475" s="9">
        <f t="shared" si="22"/>
        <v>0</v>
      </c>
      <c r="Z475" t="str">
        <f t="shared" si="23"/>
        <v>สแกนต่าง Cost</v>
      </c>
    </row>
    <row r="476" spans="2:26" x14ac:dyDescent="0.45">
      <c r="B476" t="s">
        <v>53</v>
      </c>
      <c r="C476">
        <v>20280718</v>
      </c>
      <c r="D476" t="s">
        <v>256</v>
      </c>
      <c r="E476" s="8">
        <v>46136.625</v>
      </c>
      <c r="F476" s="8">
        <v>46136.6875</v>
      </c>
      <c r="G476" s="9">
        <v>1.5</v>
      </c>
      <c r="H476" s="9">
        <f t="shared" si="21"/>
        <v>8.0000000000000002E-3</v>
      </c>
      <c r="I476" s="9">
        <v>8.0000000000000002E-3</v>
      </c>
      <c r="J476" s="9"/>
      <c r="K476" s="9"/>
      <c r="L476" s="9"/>
      <c r="M476" t="s">
        <v>65</v>
      </c>
      <c r="N476" t="s">
        <v>29</v>
      </c>
      <c r="P476" t="s">
        <v>30</v>
      </c>
      <c r="Q476" t="s">
        <v>31</v>
      </c>
      <c r="R476">
        <v>82640</v>
      </c>
      <c r="S476" t="s">
        <v>42</v>
      </c>
      <c r="T476">
        <v>82630</v>
      </c>
      <c r="U476" t="s">
        <v>32</v>
      </c>
      <c r="V476" t="s">
        <v>66</v>
      </c>
      <c r="W476" t="s">
        <v>44</v>
      </c>
      <c r="X476" t="s">
        <v>44</v>
      </c>
      <c r="Y476" s="9">
        <f t="shared" si="22"/>
        <v>0</v>
      </c>
      <c r="Z476" t="str">
        <f t="shared" si="23"/>
        <v>สแกนต่าง Cost</v>
      </c>
    </row>
    <row r="477" spans="2:26" x14ac:dyDescent="0.45">
      <c r="B477" t="s">
        <v>53</v>
      </c>
      <c r="C477">
        <v>20198842</v>
      </c>
      <c r="D477" t="s">
        <v>257</v>
      </c>
      <c r="E477" s="8">
        <v>46136.604166666664</v>
      </c>
      <c r="F477" s="8">
        <v>46136.645833333336</v>
      </c>
      <c r="G477" s="9">
        <v>1</v>
      </c>
      <c r="H477" s="9">
        <f t="shared" si="21"/>
        <v>5.0000000000000001E-3</v>
      </c>
      <c r="I477" s="9">
        <v>5.0000000000000001E-3</v>
      </c>
      <c r="J477" s="9"/>
      <c r="K477" s="9"/>
      <c r="L477" s="9"/>
      <c r="M477" t="s">
        <v>65</v>
      </c>
      <c r="N477" t="s">
        <v>29</v>
      </c>
      <c r="P477" t="s">
        <v>30</v>
      </c>
      <c r="Q477" t="s">
        <v>31</v>
      </c>
      <c r="R477">
        <v>82640</v>
      </c>
      <c r="S477" t="s">
        <v>42</v>
      </c>
      <c r="T477">
        <v>82611</v>
      </c>
      <c r="U477" t="s">
        <v>43</v>
      </c>
      <c r="V477" t="s">
        <v>66</v>
      </c>
      <c r="W477" t="s">
        <v>44</v>
      </c>
      <c r="X477" t="s">
        <v>44</v>
      </c>
      <c r="Y477" s="9">
        <f t="shared" si="22"/>
        <v>0</v>
      </c>
      <c r="Z477" t="str">
        <f t="shared" si="23"/>
        <v>สแกนต่าง Cost</v>
      </c>
    </row>
    <row r="478" spans="2:26" x14ac:dyDescent="0.45">
      <c r="B478" t="s">
        <v>53</v>
      </c>
      <c r="C478">
        <v>20244923</v>
      </c>
      <c r="D478" t="s">
        <v>246</v>
      </c>
      <c r="E478" s="8">
        <v>46136.604166666664</v>
      </c>
      <c r="F478" s="8">
        <v>46136.625</v>
      </c>
      <c r="G478" s="9">
        <v>0.5</v>
      </c>
      <c r="H478" s="9">
        <f t="shared" si="21"/>
        <v>3.0000000000000001E-3</v>
      </c>
      <c r="I478" s="9">
        <v>3.0000000000000001E-3</v>
      </c>
      <c r="J478" s="9"/>
      <c r="K478" s="9"/>
      <c r="L478" s="9"/>
      <c r="M478" t="s">
        <v>65</v>
      </c>
      <c r="N478" t="s">
        <v>29</v>
      </c>
      <c r="P478" t="s">
        <v>30</v>
      </c>
      <c r="Q478" t="s">
        <v>31</v>
      </c>
      <c r="R478">
        <v>82640</v>
      </c>
      <c r="S478" t="s">
        <v>42</v>
      </c>
      <c r="T478">
        <v>82612</v>
      </c>
      <c r="U478" t="s">
        <v>153</v>
      </c>
      <c r="V478" t="s">
        <v>66</v>
      </c>
      <c r="W478" t="s">
        <v>44</v>
      </c>
      <c r="X478" t="s">
        <v>44</v>
      </c>
      <c r="Y478" s="9">
        <f t="shared" si="22"/>
        <v>0</v>
      </c>
      <c r="Z478" t="str">
        <f t="shared" si="23"/>
        <v>สแกนต่าง Cost</v>
      </c>
    </row>
    <row r="479" spans="2:26" x14ac:dyDescent="0.45">
      <c r="B479" t="s">
        <v>53</v>
      </c>
      <c r="C479">
        <v>20310530</v>
      </c>
      <c r="D479" t="s">
        <v>220</v>
      </c>
      <c r="E479" s="8">
        <v>46136.604166666664</v>
      </c>
      <c r="F479" s="8">
        <v>46136.645833333336</v>
      </c>
      <c r="G479" s="9">
        <v>1</v>
      </c>
      <c r="H479" s="9">
        <f t="shared" si="21"/>
        <v>5.0000000000000001E-3</v>
      </c>
      <c r="I479" s="9">
        <v>5.0000000000000001E-3</v>
      </c>
      <c r="J479" s="9"/>
      <c r="K479" s="9"/>
      <c r="L479" s="9"/>
      <c r="M479" t="s">
        <v>65</v>
      </c>
      <c r="N479" t="s">
        <v>29</v>
      </c>
      <c r="P479" t="s">
        <v>30</v>
      </c>
      <c r="Q479" t="s">
        <v>31</v>
      </c>
      <c r="R479">
        <v>82640</v>
      </c>
      <c r="S479" t="s">
        <v>42</v>
      </c>
      <c r="T479">
        <v>82630</v>
      </c>
      <c r="U479" t="s">
        <v>32</v>
      </c>
      <c r="V479" t="s">
        <v>66</v>
      </c>
      <c r="W479" t="s">
        <v>44</v>
      </c>
      <c r="X479" t="s">
        <v>44</v>
      </c>
      <c r="Y479" s="9">
        <f t="shared" si="22"/>
        <v>0</v>
      </c>
      <c r="Z479" t="str">
        <f t="shared" si="23"/>
        <v>สแกนต่าง Cost</v>
      </c>
    </row>
    <row r="480" spans="2:26" x14ac:dyDescent="0.45">
      <c r="B480" t="s">
        <v>53</v>
      </c>
      <c r="C480">
        <v>20332134</v>
      </c>
      <c r="D480" t="s">
        <v>156</v>
      </c>
      <c r="E480" s="8">
        <v>46136.604166666664</v>
      </c>
      <c r="F480" s="8">
        <v>46136.645833333336</v>
      </c>
      <c r="G480" s="9">
        <v>1</v>
      </c>
      <c r="H480" s="9">
        <f t="shared" si="21"/>
        <v>5.0000000000000001E-3</v>
      </c>
      <c r="I480" s="9">
        <v>5.0000000000000001E-3</v>
      </c>
      <c r="J480" s="9"/>
      <c r="K480" s="9"/>
      <c r="L480" s="9"/>
      <c r="M480" t="s">
        <v>65</v>
      </c>
      <c r="N480" t="s">
        <v>29</v>
      </c>
      <c r="P480" t="s">
        <v>30</v>
      </c>
      <c r="Q480" t="s">
        <v>31</v>
      </c>
      <c r="R480">
        <v>82640</v>
      </c>
      <c r="S480" t="s">
        <v>42</v>
      </c>
      <c r="T480">
        <v>82612</v>
      </c>
      <c r="U480" t="s">
        <v>153</v>
      </c>
      <c r="V480" t="s">
        <v>66</v>
      </c>
      <c r="W480" t="s">
        <v>44</v>
      </c>
      <c r="X480" t="s">
        <v>44</v>
      </c>
      <c r="Y480" s="9">
        <f t="shared" si="22"/>
        <v>0</v>
      </c>
      <c r="Z480" t="str">
        <f t="shared" si="23"/>
        <v>สแกนต่าง Cost</v>
      </c>
    </row>
    <row r="481" spans="1:26" x14ac:dyDescent="0.45">
      <c r="B481" t="s">
        <v>53</v>
      </c>
      <c r="C481">
        <v>20060579</v>
      </c>
      <c r="D481" t="s">
        <v>39</v>
      </c>
      <c r="E481" s="8">
        <v>46136.583333333336</v>
      </c>
      <c r="F481" s="8">
        <v>46136.604166666664</v>
      </c>
      <c r="G481" s="9">
        <v>0.5</v>
      </c>
      <c r="H481" s="9">
        <f t="shared" si="21"/>
        <v>3.0000000000000001E-3</v>
      </c>
      <c r="I481" s="9">
        <v>3.0000000000000001E-3</v>
      </c>
      <c r="J481" s="9"/>
      <c r="K481" s="9"/>
      <c r="L481" s="9"/>
      <c r="M481" t="s">
        <v>65</v>
      </c>
      <c r="N481" t="s">
        <v>29</v>
      </c>
      <c r="P481" t="s">
        <v>30</v>
      </c>
      <c r="Q481" t="s">
        <v>31</v>
      </c>
      <c r="R481">
        <v>82640</v>
      </c>
      <c r="S481" t="s">
        <v>42</v>
      </c>
      <c r="T481">
        <v>82630</v>
      </c>
      <c r="U481" t="s">
        <v>32</v>
      </c>
      <c r="V481" t="s">
        <v>66</v>
      </c>
      <c r="W481" t="s">
        <v>44</v>
      </c>
      <c r="X481" t="s">
        <v>44</v>
      </c>
      <c r="Y481" s="9">
        <f t="shared" si="22"/>
        <v>0</v>
      </c>
      <c r="Z481" t="str">
        <f t="shared" si="23"/>
        <v>สแกนต่าง Cost</v>
      </c>
    </row>
    <row r="482" spans="1:26" x14ac:dyDescent="0.45">
      <c r="B482" t="s">
        <v>53</v>
      </c>
      <c r="C482">
        <v>20198842</v>
      </c>
      <c r="D482" t="s">
        <v>257</v>
      </c>
      <c r="E482" s="8">
        <v>46136.5625</v>
      </c>
      <c r="F482" s="8">
        <v>46136.604166666664</v>
      </c>
      <c r="G482" s="9">
        <v>1</v>
      </c>
      <c r="H482" s="9">
        <f t="shared" si="21"/>
        <v>5.0000000000000001E-3</v>
      </c>
      <c r="I482" s="9">
        <v>5.0000000000000001E-3</v>
      </c>
      <c r="J482" s="9"/>
      <c r="K482" s="9"/>
      <c r="L482" s="9"/>
      <c r="M482" t="s">
        <v>65</v>
      </c>
      <c r="N482" t="s">
        <v>29</v>
      </c>
      <c r="P482" t="s">
        <v>30</v>
      </c>
      <c r="Q482" t="s">
        <v>31</v>
      </c>
      <c r="R482">
        <v>82640</v>
      </c>
      <c r="S482" t="s">
        <v>42</v>
      </c>
      <c r="T482">
        <v>82630</v>
      </c>
      <c r="U482" t="s">
        <v>32</v>
      </c>
      <c r="V482" t="s">
        <v>66</v>
      </c>
      <c r="W482" t="s">
        <v>44</v>
      </c>
      <c r="X482" t="s">
        <v>44</v>
      </c>
      <c r="Y482" s="9">
        <f t="shared" si="22"/>
        <v>0</v>
      </c>
      <c r="Z482" t="str">
        <f t="shared" si="23"/>
        <v>สแกนต่าง Cost</v>
      </c>
    </row>
    <row r="483" spans="1:26" x14ac:dyDescent="0.45">
      <c r="B483" t="s">
        <v>53</v>
      </c>
      <c r="C483">
        <v>20244923</v>
      </c>
      <c r="D483" t="s">
        <v>246</v>
      </c>
      <c r="E483" s="8">
        <v>46136.5625</v>
      </c>
      <c r="F483" s="8">
        <v>46136.604166666664</v>
      </c>
      <c r="G483" s="9">
        <v>1</v>
      </c>
      <c r="H483" s="9">
        <f t="shared" si="21"/>
        <v>5.0000000000000001E-3</v>
      </c>
      <c r="I483" s="9">
        <v>5.0000000000000001E-3</v>
      </c>
      <c r="J483" s="9"/>
      <c r="K483" s="9"/>
      <c r="L483" s="9"/>
      <c r="M483" t="s">
        <v>65</v>
      </c>
      <c r="N483" t="s">
        <v>29</v>
      </c>
      <c r="P483" t="s">
        <v>30</v>
      </c>
      <c r="Q483" t="s">
        <v>31</v>
      </c>
      <c r="R483">
        <v>82640</v>
      </c>
      <c r="S483" t="s">
        <v>42</v>
      </c>
      <c r="T483">
        <v>82630</v>
      </c>
      <c r="U483" t="s">
        <v>32</v>
      </c>
      <c r="V483" t="s">
        <v>66</v>
      </c>
      <c r="W483" t="s">
        <v>44</v>
      </c>
      <c r="X483" t="s">
        <v>44</v>
      </c>
      <c r="Y483" s="9">
        <f t="shared" si="22"/>
        <v>0</v>
      </c>
      <c r="Z483" t="str">
        <f t="shared" si="23"/>
        <v>สแกนต่าง Cost</v>
      </c>
    </row>
    <row r="484" spans="1:26" x14ac:dyDescent="0.45">
      <c r="B484" t="s">
        <v>53</v>
      </c>
      <c r="C484">
        <v>20018899</v>
      </c>
      <c r="D484" t="s">
        <v>64</v>
      </c>
      <c r="E484" s="8">
        <v>46136.541666666664</v>
      </c>
      <c r="F484" s="8">
        <v>46136.729166666664</v>
      </c>
      <c r="G484" s="9">
        <v>4.5</v>
      </c>
      <c r="H484" s="9">
        <f t="shared" si="21"/>
        <v>2.4E-2</v>
      </c>
      <c r="I484" s="9">
        <v>2.4E-2</v>
      </c>
      <c r="J484" s="9"/>
      <c r="K484" s="9"/>
      <c r="L484" s="9"/>
      <c r="M484" t="s">
        <v>65</v>
      </c>
      <c r="N484" t="s">
        <v>29</v>
      </c>
      <c r="P484" t="s">
        <v>30</v>
      </c>
      <c r="Q484" t="s">
        <v>31</v>
      </c>
      <c r="R484">
        <v>82640</v>
      </c>
      <c r="S484" t="s">
        <v>42</v>
      </c>
      <c r="T484">
        <v>82652</v>
      </c>
      <c r="U484" t="s">
        <v>46</v>
      </c>
      <c r="V484" t="s">
        <v>66</v>
      </c>
      <c r="W484" t="s">
        <v>37</v>
      </c>
      <c r="X484" t="s">
        <v>34</v>
      </c>
      <c r="Y484" s="9">
        <f t="shared" si="22"/>
        <v>0</v>
      </c>
      <c r="Z484" t="str">
        <f t="shared" si="23"/>
        <v>สแกนต่าง Cost</v>
      </c>
    </row>
    <row r="485" spans="1:26" x14ac:dyDescent="0.45">
      <c r="B485" t="s">
        <v>53</v>
      </c>
      <c r="C485">
        <v>20060579</v>
      </c>
      <c r="D485" t="s">
        <v>39</v>
      </c>
      <c r="E485" s="8">
        <v>46136.541666666664</v>
      </c>
      <c r="F485" s="8">
        <v>46136.583333333336</v>
      </c>
      <c r="G485" s="9">
        <v>1</v>
      </c>
      <c r="H485" s="9">
        <f t="shared" si="21"/>
        <v>5.0000000000000001E-3</v>
      </c>
      <c r="I485" s="9">
        <v>5.0000000000000001E-3</v>
      </c>
      <c r="J485" s="9"/>
      <c r="K485" s="9"/>
      <c r="L485" s="9"/>
      <c r="M485" t="s">
        <v>65</v>
      </c>
      <c r="N485" t="s">
        <v>29</v>
      </c>
      <c r="P485" t="s">
        <v>30</v>
      </c>
      <c r="Q485" t="s">
        <v>31</v>
      </c>
      <c r="R485">
        <v>82640</v>
      </c>
      <c r="S485" t="s">
        <v>42</v>
      </c>
      <c r="T485">
        <v>82611</v>
      </c>
      <c r="U485" t="s">
        <v>43</v>
      </c>
      <c r="V485" t="s">
        <v>66</v>
      </c>
      <c r="W485" t="s">
        <v>44</v>
      </c>
      <c r="X485" t="s">
        <v>44</v>
      </c>
      <c r="Y485" s="9">
        <f t="shared" si="22"/>
        <v>0</v>
      </c>
      <c r="Z485" t="str">
        <f t="shared" si="23"/>
        <v>สแกนต่าง Cost</v>
      </c>
    </row>
    <row r="486" spans="1:26" x14ac:dyDescent="0.45">
      <c r="B486" t="s">
        <v>53</v>
      </c>
      <c r="C486">
        <v>20198842</v>
      </c>
      <c r="D486" t="s">
        <v>257</v>
      </c>
      <c r="E486" s="8">
        <v>46136.541666666664</v>
      </c>
      <c r="F486" s="8">
        <v>46136.729166666664</v>
      </c>
      <c r="G486" s="9">
        <v>4.5</v>
      </c>
      <c r="H486" s="9">
        <f t="shared" si="21"/>
        <v>2.4E-2</v>
      </c>
      <c r="I486" s="9">
        <v>2.4E-2</v>
      </c>
      <c r="J486" s="9"/>
      <c r="K486" s="9"/>
      <c r="L486" s="9"/>
      <c r="M486" t="s">
        <v>65</v>
      </c>
      <c r="N486" t="s">
        <v>29</v>
      </c>
      <c r="P486" t="s">
        <v>30</v>
      </c>
      <c r="Q486" t="s">
        <v>31</v>
      </c>
      <c r="R486">
        <v>82640</v>
      </c>
      <c r="S486" t="s">
        <v>42</v>
      </c>
      <c r="T486">
        <v>82612</v>
      </c>
      <c r="U486" t="s">
        <v>153</v>
      </c>
      <c r="V486" t="s">
        <v>66</v>
      </c>
      <c r="W486" t="s">
        <v>44</v>
      </c>
      <c r="X486" t="s">
        <v>44</v>
      </c>
      <c r="Y486" s="9">
        <f t="shared" si="22"/>
        <v>0</v>
      </c>
      <c r="Z486" t="str">
        <f t="shared" si="23"/>
        <v>สแกนต่าง Cost</v>
      </c>
    </row>
    <row r="487" spans="1:26" x14ac:dyDescent="0.45">
      <c r="B487" t="s">
        <v>53</v>
      </c>
      <c r="C487">
        <v>20220646</v>
      </c>
      <c r="D487" t="s">
        <v>67</v>
      </c>
      <c r="E487" s="8">
        <v>46136.541666666664</v>
      </c>
      <c r="F487" s="8">
        <v>46136.729166666664</v>
      </c>
      <c r="G487" s="9">
        <v>4.5</v>
      </c>
      <c r="H487" s="9">
        <f t="shared" si="21"/>
        <v>2.4E-2</v>
      </c>
      <c r="I487" s="9">
        <v>2.4E-2</v>
      </c>
      <c r="J487" s="9"/>
      <c r="K487" s="9"/>
      <c r="L487" s="9"/>
      <c r="M487" t="s">
        <v>65</v>
      </c>
      <c r="N487" t="s">
        <v>29</v>
      </c>
      <c r="P487" t="s">
        <v>30</v>
      </c>
      <c r="Q487" t="s">
        <v>31</v>
      </c>
      <c r="R487">
        <v>82640</v>
      </c>
      <c r="S487" t="s">
        <v>42</v>
      </c>
      <c r="T487">
        <v>82652</v>
      </c>
      <c r="U487" t="s">
        <v>46</v>
      </c>
      <c r="V487" t="s">
        <v>66</v>
      </c>
      <c r="W487" t="s">
        <v>37</v>
      </c>
      <c r="X487" t="s">
        <v>34</v>
      </c>
      <c r="Y487" s="9">
        <f t="shared" si="22"/>
        <v>0</v>
      </c>
      <c r="Z487" t="str">
        <f t="shared" si="23"/>
        <v>สแกนต่าง Cost</v>
      </c>
    </row>
    <row r="488" spans="1:26" x14ac:dyDescent="0.45">
      <c r="B488" t="s">
        <v>53</v>
      </c>
      <c r="C488">
        <v>20244923</v>
      </c>
      <c r="D488" t="s">
        <v>246</v>
      </c>
      <c r="E488" s="8">
        <v>46136.541666666664</v>
      </c>
      <c r="F488" s="8">
        <v>46136.5625</v>
      </c>
      <c r="G488" s="9">
        <v>0.5</v>
      </c>
      <c r="H488" s="9">
        <f t="shared" si="21"/>
        <v>3.0000000000000001E-3</v>
      </c>
      <c r="I488" s="9">
        <v>3.0000000000000001E-3</v>
      </c>
      <c r="J488" s="9"/>
      <c r="K488" s="9"/>
      <c r="L488" s="9"/>
      <c r="M488" t="s">
        <v>65</v>
      </c>
      <c r="N488" t="s">
        <v>29</v>
      </c>
      <c r="P488" t="s">
        <v>30</v>
      </c>
      <c r="Q488" t="s">
        <v>31</v>
      </c>
      <c r="R488">
        <v>82640</v>
      </c>
      <c r="S488" t="s">
        <v>42</v>
      </c>
      <c r="T488">
        <v>82611</v>
      </c>
      <c r="U488" t="s">
        <v>43</v>
      </c>
      <c r="V488" t="s">
        <v>66</v>
      </c>
      <c r="W488" t="s">
        <v>44</v>
      </c>
      <c r="X488" t="s">
        <v>44</v>
      </c>
      <c r="Y488" s="9">
        <f t="shared" si="22"/>
        <v>0</v>
      </c>
      <c r="Z488" t="str">
        <f t="shared" si="23"/>
        <v>สแกนต่าง Cost</v>
      </c>
    </row>
    <row r="489" spans="1:26" x14ac:dyDescent="0.45">
      <c r="B489" t="s">
        <v>53</v>
      </c>
      <c r="C489">
        <v>20280718</v>
      </c>
      <c r="D489" t="s">
        <v>256</v>
      </c>
      <c r="E489" s="8">
        <v>46136.541666666664</v>
      </c>
      <c r="F489" s="8">
        <v>46136.583333333336</v>
      </c>
      <c r="G489" s="9">
        <v>1</v>
      </c>
      <c r="H489" s="9">
        <f t="shared" si="21"/>
        <v>5.0000000000000001E-3</v>
      </c>
      <c r="I489" s="9">
        <v>5.0000000000000001E-3</v>
      </c>
      <c r="J489" s="9"/>
      <c r="K489" s="9"/>
      <c r="L489" s="9"/>
      <c r="M489" t="s">
        <v>65</v>
      </c>
      <c r="N489" t="s">
        <v>29</v>
      </c>
      <c r="P489" t="s">
        <v>30</v>
      </c>
      <c r="Q489" t="s">
        <v>31</v>
      </c>
      <c r="R489">
        <v>82640</v>
      </c>
      <c r="S489" t="s">
        <v>42</v>
      </c>
      <c r="T489">
        <v>82630</v>
      </c>
      <c r="U489" t="s">
        <v>32</v>
      </c>
      <c r="V489" t="s">
        <v>66</v>
      </c>
      <c r="W489" t="s">
        <v>44</v>
      </c>
      <c r="X489" t="s">
        <v>44</v>
      </c>
      <c r="Y489" s="9">
        <f t="shared" si="22"/>
        <v>0</v>
      </c>
      <c r="Z489" t="str">
        <f t="shared" si="23"/>
        <v>สแกนต่าง Cost</v>
      </c>
    </row>
    <row r="490" spans="1:26" x14ac:dyDescent="0.45">
      <c r="B490" t="s">
        <v>53</v>
      </c>
      <c r="C490">
        <v>20310530</v>
      </c>
      <c r="D490" t="s">
        <v>220</v>
      </c>
      <c r="E490" s="8">
        <v>46136.541666666664</v>
      </c>
      <c r="F490" s="8">
        <v>46136.583333333336</v>
      </c>
      <c r="G490" s="9">
        <v>1</v>
      </c>
      <c r="H490" s="9">
        <f t="shared" si="21"/>
        <v>5.0000000000000001E-3</v>
      </c>
      <c r="I490" s="9">
        <v>5.0000000000000001E-3</v>
      </c>
      <c r="J490" s="9"/>
      <c r="K490" s="9"/>
      <c r="L490" s="9"/>
      <c r="M490" t="s">
        <v>65</v>
      </c>
      <c r="N490" t="s">
        <v>29</v>
      </c>
      <c r="P490" t="s">
        <v>30</v>
      </c>
      <c r="Q490" t="s">
        <v>31</v>
      </c>
      <c r="R490">
        <v>82640</v>
      </c>
      <c r="S490" t="s">
        <v>42</v>
      </c>
      <c r="T490">
        <v>82630</v>
      </c>
      <c r="U490" t="s">
        <v>32</v>
      </c>
      <c r="V490" t="s">
        <v>66</v>
      </c>
      <c r="W490" t="s">
        <v>44</v>
      </c>
      <c r="X490" t="s">
        <v>44</v>
      </c>
      <c r="Y490" s="9">
        <f t="shared" si="22"/>
        <v>0</v>
      </c>
      <c r="Z490" t="str">
        <f t="shared" si="23"/>
        <v>สแกนต่าง Cost</v>
      </c>
    </row>
    <row r="491" spans="1:26" x14ac:dyDescent="0.45">
      <c r="B491" t="s">
        <v>53</v>
      </c>
      <c r="C491">
        <v>20310532</v>
      </c>
      <c r="D491" t="s">
        <v>61</v>
      </c>
      <c r="E491" s="8">
        <v>46136.541666666664</v>
      </c>
      <c r="F491" s="8">
        <v>46136.729166666664</v>
      </c>
      <c r="G491" s="9">
        <v>4.5</v>
      </c>
      <c r="H491" s="9">
        <f t="shared" si="21"/>
        <v>2.4E-2</v>
      </c>
      <c r="I491" s="9">
        <v>2.4E-2</v>
      </c>
      <c r="J491" s="9"/>
      <c r="K491" s="9"/>
      <c r="L491" s="9"/>
      <c r="M491" t="s">
        <v>65</v>
      </c>
      <c r="N491" t="s">
        <v>29</v>
      </c>
      <c r="P491" t="s">
        <v>30</v>
      </c>
      <c r="Q491" t="s">
        <v>31</v>
      </c>
      <c r="R491">
        <v>82640</v>
      </c>
      <c r="S491" t="s">
        <v>42</v>
      </c>
      <c r="T491">
        <v>82630</v>
      </c>
      <c r="U491" t="s">
        <v>32</v>
      </c>
      <c r="V491" t="s">
        <v>66</v>
      </c>
      <c r="W491" t="s">
        <v>44</v>
      </c>
      <c r="X491" t="s">
        <v>44</v>
      </c>
      <c r="Y491" s="9">
        <f t="shared" si="22"/>
        <v>0</v>
      </c>
      <c r="Z491" t="str">
        <f t="shared" si="23"/>
        <v>สแกนต่าง Cost</v>
      </c>
    </row>
    <row r="492" spans="1:26" x14ac:dyDescent="0.45">
      <c r="B492" t="s">
        <v>53</v>
      </c>
      <c r="C492">
        <v>20332134</v>
      </c>
      <c r="D492" t="s">
        <v>156</v>
      </c>
      <c r="E492" s="8">
        <v>46136.541666666664</v>
      </c>
      <c r="F492" s="8">
        <v>46136.604166666664</v>
      </c>
      <c r="G492" s="9">
        <v>1.5</v>
      </c>
      <c r="H492" s="9">
        <f t="shared" si="21"/>
        <v>8.0000000000000002E-3</v>
      </c>
      <c r="I492" s="9">
        <v>8.0000000000000002E-3</v>
      </c>
      <c r="J492" s="9"/>
      <c r="K492" s="9"/>
      <c r="L492" s="9"/>
      <c r="M492" t="s">
        <v>65</v>
      </c>
      <c r="N492" t="s">
        <v>29</v>
      </c>
      <c r="P492" t="s">
        <v>30</v>
      </c>
      <c r="Q492" t="s">
        <v>31</v>
      </c>
      <c r="R492">
        <v>82640</v>
      </c>
      <c r="S492" t="s">
        <v>42</v>
      </c>
      <c r="T492">
        <v>82630</v>
      </c>
      <c r="U492" t="s">
        <v>32</v>
      </c>
      <c r="V492" t="s">
        <v>66</v>
      </c>
      <c r="W492" t="s">
        <v>44</v>
      </c>
      <c r="X492" t="s">
        <v>44</v>
      </c>
      <c r="Y492" s="9">
        <f t="shared" si="22"/>
        <v>0</v>
      </c>
      <c r="Z492" t="str">
        <f t="shared" si="23"/>
        <v>สแกนต่าง Cost</v>
      </c>
    </row>
    <row r="493" spans="1:26" x14ac:dyDescent="0.45">
      <c r="A493">
        <v>26857</v>
      </c>
      <c r="B493" t="s">
        <v>53</v>
      </c>
      <c r="C493">
        <v>20048905</v>
      </c>
      <c r="D493" t="s">
        <v>73</v>
      </c>
      <c r="E493" s="8">
        <v>46136.529861111114</v>
      </c>
      <c r="F493" s="8">
        <v>46136.977777777778</v>
      </c>
      <c r="G493" s="9">
        <v>10.75</v>
      </c>
      <c r="H493" s="9">
        <f t="shared" si="21"/>
        <v>5.6999999999999995E-2</v>
      </c>
      <c r="I493" s="9">
        <v>4.4999999999999998E-2</v>
      </c>
      <c r="J493" s="9"/>
      <c r="K493" s="9">
        <v>1.2E-2</v>
      </c>
      <c r="L493" s="9"/>
      <c r="M493" t="s">
        <v>28</v>
      </c>
      <c r="N493" t="s">
        <v>29</v>
      </c>
      <c r="P493" t="s">
        <v>30</v>
      </c>
      <c r="Q493" t="s">
        <v>31</v>
      </c>
      <c r="R493">
        <v>82409</v>
      </c>
      <c r="S493" t="s">
        <v>74</v>
      </c>
      <c r="T493">
        <v>82664</v>
      </c>
      <c r="U493" t="s">
        <v>75</v>
      </c>
      <c r="V493" t="s">
        <v>75</v>
      </c>
      <c r="W493" t="s">
        <v>74</v>
      </c>
      <c r="X493" t="s">
        <v>74</v>
      </c>
      <c r="Y493" s="9">
        <f t="shared" si="22"/>
        <v>1.2E-2</v>
      </c>
      <c r="Z493" t="str">
        <f t="shared" si="23"/>
        <v>สแกนต่าง Cost</v>
      </c>
    </row>
    <row r="494" spans="1:26" x14ac:dyDescent="0.45">
      <c r="B494" t="s">
        <v>53</v>
      </c>
      <c r="C494">
        <v>20280718</v>
      </c>
      <c r="D494" t="s">
        <v>256</v>
      </c>
      <c r="E494" s="8">
        <v>46136.479166666664</v>
      </c>
      <c r="F494" s="8">
        <v>46136.5</v>
      </c>
      <c r="G494" s="9">
        <v>0.5</v>
      </c>
      <c r="H494" s="9">
        <f t="shared" si="21"/>
        <v>3.0000000000000001E-3</v>
      </c>
      <c r="I494" s="9">
        <v>3.0000000000000001E-3</v>
      </c>
      <c r="J494" s="9"/>
      <c r="K494" s="9"/>
      <c r="L494" s="9"/>
      <c r="M494" t="s">
        <v>65</v>
      </c>
      <c r="N494" t="s">
        <v>29</v>
      </c>
      <c r="P494" t="s">
        <v>30</v>
      </c>
      <c r="Q494" t="s">
        <v>31</v>
      </c>
      <c r="R494">
        <v>82640</v>
      </c>
      <c r="S494" t="s">
        <v>42</v>
      </c>
      <c r="T494">
        <v>82630</v>
      </c>
      <c r="U494" t="s">
        <v>32</v>
      </c>
      <c r="V494" t="s">
        <v>66</v>
      </c>
      <c r="W494" t="s">
        <v>44</v>
      </c>
      <c r="X494" t="s">
        <v>44</v>
      </c>
      <c r="Y494" s="9">
        <f t="shared" si="22"/>
        <v>0</v>
      </c>
      <c r="Z494" t="str">
        <f t="shared" si="23"/>
        <v>สแกนต่าง Cost</v>
      </c>
    </row>
    <row r="495" spans="1:26" x14ac:dyDescent="0.45">
      <c r="B495" t="s">
        <v>53</v>
      </c>
      <c r="C495">
        <v>20332134</v>
      </c>
      <c r="D495" t="s">
        <v>156</v>
      </c>
      <c r="E495" s="8">
        <v>46136.479166666664</v>
      </c>
      <c r="F495" s="8">
        <v>46136.5</v>
      </c>
      <c r="G495" s="9">
        <v>0.5</v>
      </c>
      <c r="H495" s="9">
        <f t="shared" si="21"/>
        <v>3.0000000000000001E-3</v>
      </c>
      <c r="I495" s="9">
        <v>3.0000000000000001E-3</v>
      </c>
      <c r="J495" s="9"/>
      <c r="K495" s="9"/>
      <c r="L495" s="9"/>
      <c r="M495" t="s">
        <v>65</v>
      </c>
      <c r="N495" t="s">
        <v>29</v>
      </c>
      <c r="P495" t="s">
        <v>30</v>
      </c>
      <c r="Q495" t="s">
        <v>31</v>
      </c>
      <c r="R495">
        <v>82640</v>
      </c>
      <c r="S495" t="s">
        <v>42</v>
      </c>
      <c r="T495">
        <v>82630</v>
      </c>
      <c r="U495" t="s">
        <v>32</v>
      </c>
      <c r="V495" t="s">
        <v>66</v>
      </c>
      <c r="W495" t="s">
        <v>44</v>
      </c>
      <c r="X495" t="s">
        <v>44</v>
      </c>
      <c r="Y495" s="9">
        <f t="shared" si="22"/>
        <v>0</v>
      </c>
      <c r="Z495" t="str">
        <f t="shared" si="23"/>
        <v>สแกนต่าง Cost</v>
      </c>
    </row>
    <row r="496" spans="1:26" x14ac:dyDescent="0.45">
      <c r="A496">
        <v>26892</v>
      </c>
      <c r="B496" t="s">
        <v>53</v>
      </c>
      <c r="C496">
        <v>20190548</v>
      </c>
      <c r="D496" t="s">
        <v>266</v>
      </c>
      <c r="E496" s="8">
        <v>46136.438888888886</v>
      </c>
      <c r="F496" s="8">
        <v>46136.484722222223</v>
      </c>
      <c r="G496" s="9">
        <v>1.1000000000000001</v>
      </c>
      <c r="H496" s="9">
        <f t="shared" si="21"/>
        <v>6.0000000000000001E-3</v>
      </c>
      <c r="I496" s="9">
        <v>6.0000000000000001E-3</v>
      </c>
      <c r="J496" s="9"/>
      <c r="K496" s="9"/>
      <c r="L496" s="9"/>
      <c r="M496" t="s">
        <v>65</v>
      </c>
      <c r="N496" t="s">
        <v>29</v>
      </c>
      <c r="P496" t="s">
        <v>30</v>
      </c>
      <c r="Q496" t="s">
        <v>31</v>
      </c>
      <c r="R496">
        <v>82308</v>
      </c>
      <c r="S496" t="s">
        <v>69</v>
      </c>
      <c r="T496">
        <v>82640</v>
      </c>
      <c r="U496" t="s">
        <v>42</v>
      </c>
      <c r="V496" t="s">
        <v>70</v>
      </c>
      <c r="W496" t="s">
        <v>71</v>
      </c>
      <c r="X496" t="s">
        <v>72</v>
      </c>
      <c r="Y496" s="9">
        <f t="shared" si="22"/>
        <v>0</v>
      </c>
      <c r="Z496" t="str">
        <f t="shared" si="23"/>
        <v>สแกนต่าง Cost</v>
      </c>
    </row>
    <row r="497" spans="2:26" x14ac:dyDescent="0.45">
      <c r="B497" t="s">
        <v>53</v>
      </c>
      <c r="C497">
        <v>20198839</v>
      </c>
      <c r="D497" t="s">
        <v>258</v>
      </c>
      <c r="E497" s="8">
        <v>46136.4375</v>
      </c>
      <c r="F497" s="8">
        <v>46136.458333333336</v>
      </c>
      <c r="G497" s="9">
        <v>0.5</v>
      </c>
      <c r="H497" s="9">
        <f t="shared" si="21"/>
        <v>3.0000000000000001E-3</v>
      </c>
      <c r="I497" s="9">
        <v>3.0000000000000001E-3</v>
      </c>
      <c r="J497" s="9"/>
      <c r="K497" s="9"/>
      <c r="L497" s="9"/>
      <c r="M497" t="s">
        <v>65</v>
      </c>
      <c r="N497" t="s">
        <v>29</v>
      </c>
      <c r="P497" t="s">
        <v>30</v>
      </c>
      <c r="Q497" t="s">
        <v>31</v>
      </c>
      <c r="R497">
        <v>82640</v>
      </c>
      <c r="S497" t="s">
        <v>42</v>
      </c>
      <c r="T497">
        <v>82611</v>
      </c>
      <c r="U497" t="s">
        <v>43</v>
      </c>
      <c r="V497" t="s">
        <v>66</v>
      </c>
      <c r="W497" t="s">
        <v>44</v>
      </c>
      <c r="X497" t="s">
        <v>44</v>
      </c>
      <c r="Y497" s="9">
        <f t="shared" si="22"/>
        <v>0</v>
      </c>
      <c r="Z497" t="str">
        <f t="shared" si="23"/>
        <v>สแกนต่าง Cost</v>
      </c>
    </row>
    <row r="498" spans="2:26" x14ac:dyDescent="0.45">
      <c r="B498" t="s">
        <v>53</v>
      </c>
      <c r="C498">
        <v>20198842</v>
      </c>
      <c r="D498" t="s">
        <v>257</v>
      </c>
      <c r="E498" s="8">
        <v>46136.4375</v>
      </c>
      <c r="F498" s="8">
        <v>46136.5</v>
      </c>
      <c r="G498" s="9">
        <v>1.5</v>
      </c>
      <c r="H498" s="9">
        <f t="shared" si="21"/>
        <v>8.0000000000000002E-3</v>
      </c>
      <c r="I498" s="9">
        <v>8.0000000000000002E-3</v>
      </c>
      <c r="J498" s="9"/>
      <c r="K498" s="9"/>
      <c r="L498" s="9"/>
      <c r="M498" t="s">
        <v>65</v>
      </c>
      <c r="N498" t="s">
        <v>29</v>
      </c>
      <c r="P498" t="s">
        <v>30</v>
      </c>
      <c r="Q498" t="s">
        <v>31</v>
      </c>
      <c r="R498">
        <v>82640</v>
      </c>
      <c r="S498" t="s">
        <v>42</v>
      </c>
      <c r="T498">
        <v>82630</v>
      </c>
      <c r="U498" t="s">
        <v>32</v>
      </c>
      <c r="V498" t="s">
        <v>66</v>
      </c>
      <c r="W498" t="s">
        <v>44</v>
      </c>
      <c r="X498" t="s">
        <v>44</v>
      </c>
      <c r="Y498" s="9">
        <f t="shared" si="22"/>
        <v>0</v>
      </c>
      <c r="Z498" t="str">
        <f t="shared" si="23"/>
        <v>สแกนต่าง Cost</v>
      </c>
    </row>
    <row r="499" spans="2:26" x14ac:dyDescent="0.45">
      <c r="B499" t="s">
        <v>53</v>
      </c>
      <c r="C499">
        <v>20280718</v>
      </c>
      <c r="D499" t="s">
        <v>256</v>
      </c>
      <c r="E499" s="8">
        <v>46136.4375</v>
      </c>
      <c r="F499" s="8">
        <v>46136.479166666664</v>
      </c>
      <c r="G499" s="9">
        <v>1</v>
      </c>
      <c r="H499" s="9">
        <f t="shared" si="21"/>
        <v>5.0000000000000001E-3</v>
      </c>
      <c r="I499" s="9">
        <v>5.0000000000000001E-3</v>
      </c>
      <c r="J499" s="9"/>
      <c r="K499" s="9"/>
      <c r="L499" s="9"/>
      <c r="M499" t="s">
        <v>65</v>
      </c>
      <c r="N499" t="s">
        <v>29</v>
      </c>
      <c r="P499" t="s">
        <v>30</v>
      </c>
      <c r="Q499" t="s">
        <v>31</v>
      </c>
      <c r="R499">
        <v>82640</v>
      </c>
      <c r="S499" t="s">
        <v>42</v>
      </c>
      <c r="T499">
        <v>82612</v>
      </c>
      <c r="U499" t="s">
        <v>153</v>
      </c>
      <c r="V499" t="s">
        <v>66</v>
      </c>
      <c r="W499" t="s">
        <v>44</v>
      </c>
      <c r="X499" t="s">
        <v>44</v>
      </c>
      <c r="Y499" s="9">
        <f t="shared" si="22"/>
        <v>0</v>
      </c>
      <c r="Z499" t="str">
        <f t="shared" si="23"/>
        <v>สแกนต่าง Cost</v>
      </c>
    </row>
    <row r="500" spans="2:26" x14ac:dyDescent="0.45">
      <c r="B500" t="s">
        <v>53</v>
      </c>
      <c r="C500">
        <v>20310530</v>
      </c>
      <c r="D500" t="s">
        <v>220</v>
      </c>
      <c r="E500" s="8">
        <v>46136.4375</v>
      </c>
      <c r="F500" s="8">
        <v>46136.5</v>
      </c>
      <c r="G500" s="9">
        <v>1.5</v>
      </c>
      <c r="H500" s="9">
        <f t="shared" si="21"/>
        <v>8.0000000000000002E-3</v>
      </c>
      <c r="I500" s="9">
        <v>8.0000000000000002E-3</v>
      </c>
      <c r="J500" s="9"/>
      <c r="K500" s="9"/>
      <c r="L500" s="9"/>
      <c r="M500" t="s">
        <v>65</v>
      </c>
      <c r="N500" t="s">
        <v>29</v>
      </c>
      <c r="P500" t="s">
        <v>30</v>
      </c>
      <c r="Q500" t="s">
        <v>31</v>
      </c>
      <c r="R500">
        <v>82640</v>
      </c>
      <c r="S500" t="s">
        <v>42</v>
      </c>
      <c r="T500">
        <v>82630</v>
      </c>
      <c r="U500" t="s">
        <v>32</v>
      </c>
      <c r="V500" t="s">
        <v>66</v>
      </c>
      <c r="W500" t="s">
        <v>44</v>
      </c>
      <c r="X500" t="s">
        <v>44</v>
      </c>
      <c r="Y500" s="9">
        <f t="shared" si="22"/>
        <v>0</v>
      </c>
      <c r="Z500" t="str">
        <f t="shared" si="23"/>
        <v>สแกนต่าง Cost</v>
      </c>
    </row>
    <row r="501" spans="2:26" x14ac:dyDescent="0.45">
      <c r="B501" t="s">
        <v>53</v>
      </c>
      <c r="C501">
        <v>20332134</v>
      </c>
      <c r="D501" t="s">
        <v>156</v>
      </c>
      <c r="E501" s="8">
        <v>46136.4375</v>
      </c>
      <c r="F501" s="8">
        <v>46136.479166666664</v>
      </c>
      <c r="G501" s="9">
        <v>1</v>
      </c>
      <c r="H501" s="9">
        <f t="shared" si="21"/>
        <v>5.0000000000000001E-3</v>
      </c>
      <c r="I501" s="9">
        <v>5.0000000000000001E-3</v>
      </c>
      <c r="J501" s="9"/>
      <c r="K501" s="9"/>
      <c r="L501" s="9"/>
      <c r="M501" t="s">
        <v>65</v>
      </c>
      <c r="N501" t="s">
        <v>29</v>
      </c>
      <c r="P501" t="s">
        <v>30</v>
      </c>
      <c r="Q501" t="s">
        <v>31</v>
      </c>
      <c r="R501">
        <v>82640</v>
      </c>
      <c r="S501" t="s">
        <v>42</v>
      </c>
      <c r="T501">
        <v>82611</v>
      </c>
      <c r="U501" t="s">
        <v>43</v>
      </c>
      <c r="V501" t="s">
        <v>66</v>
      </c>
      <c r="W501" t="s">
        <v>44</v>
      </c>
      <c r="X501" t="s">
        <v>44</v>
      </c>
      <c r="Y501" s="9">
        <f t="shared" si="22"/>
        <v>0</v>
      </c>
      <c r="Z501" t="str">
        <f t="shared" si="23"/>
        <v>สแกนต่าง Cost</v>
      </c>
    </row>
    <row r="502" spans="2:26" x14ac:dyDescent="0.45">
      <c r="B502" t="s">
        <v>53</v>
      </c>
      <c r="C502">
        <v>20198842</v>
      </c>
      <c r="D502" t="s">
        <v>257</v>
      </c>
      <c r="E502" s="8">
        <v>46136.395833333336</v>
      </c>
      <c r="F502" s="8">
        <v>46136.416666666664</v>
      </c>
      <c r="G502" s="9">
        <v>0.5</v>
      </c>
      <c r="H502" s="9">
        <f t="shared" si="21"/>
        <v>3.0000000000000001E-3</v>
      </c>
      <c r="I502" s="9">
        <v>3.0000000000000001E-3</v>
      </c>
      <c r="J502" s="9"/>
      <c r="K502" s="9"/>
      <c r="L502" s="9"/>
      <c r="M502" t="s">
        <v>65</v>
      </c>
      <c r="N502" t="s">
        <v>29</v>
      </c>
      <c r="P502" t="s">
        <v>30</v>
      </c>
      <c r="Q502" t="s">
        <v>31</v>
      </c>
      <c r="R502">
        <v>82640</v>
      </c>
      <c r="S502" t="s">
        <v>42</v>
      </c>
      <c r="T502">
        <v>82611</v>
      </c>
      <c r="U502" t="s">
        <v>43</v>
      </c>
      <c r="V502" t="s">
        <v>66</v>
      </c>
      <c r="W502" t="s">
        <v>44</v>
      </c>
      <c r="X502" t="s">
        <v>44</v>
      </c>
      <c r="Y502" s="9">
        <f t="shared" si="22"/>
        <v>0</v>
      </c>
      <c r="Z502" t="str">
        <f t="shared" si="23"/>
        <v>สแกนต่าง Cost</v>
      </c>
    </row>
    <row r="503" spans="2:26" x14ac:dyDescent="0.45">
      <c r="B503" t="s">
        <v>53</v>
      </c>
      <c r="C503">
        <v>20280718</v>
      </c>
      <c r="D503" t="s">
        <v>256</v>
      </c>
      <c r="E503" s="8">
        <v>46136.395833333336</v>
      </c>
      <c r="F503" s="8">
        <v>46136.4375</v>
      </c>
      <c r="G503" s="9">
        <v>1</v>
      </c>
      <c r="H503" s="9">
        <f t="shared" si="21"/>
        <v>5.0000000000000001E-3</v>
      </c>
      <c r="I503" s="9">
        <v>5.0000000000000001E-3</v>
      </c>
      <c r="J503" s="9"/>
      <c r="K503" s="9"/>
      <c r="L503" s="9"/>
      <c r="M503" t="s">
        <v>65</v>
      </c>
      <c r="N503" t="s">
        <v>29</v>
      </c>
      <c r="P503" t="s">
        <v>30</v>
      </c>
      <c r="Q503" t="s">
        <v>31</v>
      </c>
      <c r="R503">
        <v>82640</v>
      </c>
      <c r="S503" t="s">
        <v>42</v>
      </c>
      <c r="T503">
        <v>82611</v>
      </c>
      <c r="U503" t="s">
        <v>43</v>
      </c>
      <c r="V503" t="s">
        <v>66</v>
      </c>
      <c r="W503" t="s">
        <v>44</v>
      </c>
      <c r="X503" t="s">
        <v>44</v>
      </c>
      <c r="Y503" s="9">
        <f t="shared" si="22"/>
        <v>0</v>
      </c>
      <c r="Z503" t="str">
        <f t="shared" si="23"/>
        <v>สแกนต่าง Cost</v>
      </c>
    </row>
    <row r="504" spans="2:26" x14ac:dyDescent="0.45">
      <c r="B504" t="s">
        <v>53</v>
      </c>
      <c r="C504">
        <v>20310530</v>
      </c>
      <c r="D504" t="s">
        <v>220</v>
      </c>
      <c r="E504" s="8">
        <v>46136.395833333336</v>
      </c>
      <c r="F504" s="8">
        <v>46136.4375</v>
      </c>
      <c r="G504" s="9">
        <v>1</v>
      </c>
      <c r="H504" s="9">
        <f t="shared" si="21"/>
        <v>5.0000000000000001E-3</v>
      </c>
      <c r="I504" s="9">
        <v>5.0000000000000001E-3</v>
      </c>
      <c r="J504" s="9"/>
      <c r="K504" s="9"/>
      <c r="L504" s="9"/>
      <c r="M504" t="s">
        <v>65</v>
      </c>
      <c r="N504" t="s">
        <v>29</v>
      </c>
      <c r="P504" t="s">
        <v>30</v>
      </c>
      <c r="Q504" t="s">
        <v>31</v>
      </c>
      <c r="R504">
        <v>82640</v>
      </c>
      <c r="S504" t="s">
        <v>42</v>
      </c>
      <c r="T504">
        <v>82611</v>
      </c>
      <c r="U504" t="s">
        <v>43</v>
      </c>
      <c r="V504" t="s">
        <v>66</v>
      </c>
      <c r="W504" t="s">
        <v>44</v>
      </c>
      <c r="X504" t="s">
        <v>44</v>
      </c>
      <c r="Y504" s="9">
        <f t="shared" si="22"/>
        <v>0</v>
      </c>
      <c r="Z504" t="str">
        <f t="shared" si="23"/>
        <v>สแกนต่าง Cost</v>
      </c>
    </row>
    <row r="505" spans="2:26" x14ac:dyDescent="0.45">
      <c r="B505" t="s">
        <v>53</v>
      </c>
      <c r="C505">
        <v>20060579</v>
      </c>
      <c r="D505" t="s">
        <v>39</v>
      </c>
      <c r="E505" s="8">
        <v>46136.375</v>
      </c>
      <c r="F505" s="8">
        <v>46136.5</v>
      </c>
      <c r="G505" s="9">
        <v>3</v>
      </c>
      <c r="H505" s="9">
        <f t="shared" si="21"/>
        <v>1.6E-2</v>
      </c>
      <c r="I505" s="9">
        <v>1.6E-2</v>
      </c>
      <c r="J505" s="9"/>
      <c r="K505" s="9"/>
      <c r="L505" s="9"/>
      <c r="M505" t="s">
        <v>65</v>
      </c>
      <c r="N505" t="s">
        <v>29</v>
      </c>
      <c r="P505" t="s">
        <v>30</v>
      </c>
      <c r="Q505" t="s">
        <v>31</v>
      </c>
      <c r="R505">
        <v>82640</v>
      </c>
      <c r="S505" t="s">
        <v>42</v>
      </c>
      <c r="T505">
        <v>82611</v>
      </c>
      <c r="U505" t="s">
        <v>43</v>
      </c>
      <c r="V505" t="s">
        <v>66</v>
      </c>
      <c r="W505" t="s">
        <v>44</v>
      </c>
      <c r="X505" t="s">
        <v>44</v>
      </c>
      <c r="Y505" s="9">
        <f t="shared" si="22"/>
        <v>0</v>
      </c>
      <c r="Z505" t="str">
        <f t="shared" si="23"/>
        <v>สแกนต่าง Cost</v>
      </c>
    </row>
    <row r="506" spans="2:26" x14ac:dyDescent="0.45">
      <c r="B506" t="s">
        <v>53</v>
      </c>
      <c r="C506">
        <v>20198839</v>
      </c>
      <c r="D506" t="s">
        <v>258</v>
      </c>
      <c r="E506" s="8">
        <v>46136.375</v>
      </c>
      <c r="F506" s="8">
        <v>46136.4375</v>
      </c>
      <c r="G506" s="9">
        <v>1.5</v>
      </c>
      <c r="H506" s="9">
        <f t="shared" si="21"/>
        <v>8.0000000000000002E-3</v>
      </c>
      <c r="I506" s="9">
        <v>8.0000000000000002E-3</v>
      </c>
      <c r="J506" s="9"/>
      <c r="K506" s="9"/>
      <c r="L506" s="9"/>
      <c r="M506" t="s">
        <v>65</v>
      </c>
      <c r="N506" t="s">
        <v>29</v>
      </c>
      <c r="P506" t="s">
        <v>30</v>
      </c>
      <c r="Q506" t="s">
        <v>31</v>
      </c>
      <c r="R506">
        <v>82640</v>
      </c>
      <c r="S506" t="s">
        <v>42</v>
      </c>
      <c r="T506">
        <v>82612</v>
      </c>
      <c r="U506" t="s">
        <v>153</v>
      </c>
      <c r="V506" t="s">
        <v>66</v>
      </c>
      <c r="W506" t="s">
        <v>44</v>
      </c>
      <c r="X506" t="s">
        <v>44</v>
      </c>
      <c r="Y506" s="9">
        <f t="shared" si="22"/>
        <v>0</v>
      </c>
      <c r="Z506" t="str">
        <f t="shared" si="23"/>
        <v>สแกนต่าง Cost</v>
      </c>
    </row>
    <row r="507" spans="2:26" x14ac:dyDescent="0.45">
      <c r="B507" t="s">
        <v>53</v>
      </c>
      <c r="C507">
        <v>20244923</v>
      </c>
      <c r="D507" t="s">
        <v>246</v>
      </c>
      <c r="E507" s="8">
        <v>46136.375</v>
      </c>
      <c r="F507" s="8">
        <v>46136.5</v>
      </c>
      <c r="G507" s="9">
        <v>3</v>
      </c>
      <c r="H507" s="9">
        <f t="shared" si="21"/>
        <v>1.6E-2</v>
      </c>
      <c r="I507" s="9">
        <v>1.6E-2</v>
      </c>
      <c r="J507" s="9"/>
      <c r="K507" s="9"/>
      <c r="L507" s="9"/>
      <c r="M507" t="s">
        <v>65</v>
      </c>
      <c r="N507" t="s">
        <v>29</v>
      </c>
      <c r="P507" t="s">
        <v>30</v>
      </c>
      <c r="Q507" t="s">
        <v>31</v>
      </c>
      <c r="R507">
        <v>82640</v>
      </c>
      <c r="S507" t="s">
        <v>42</v>
      </c>
      <c r="T507">
        <v>82630</v>
      </c>
      <c r="U507" t="s">
        <v>32</v>
      </c>
      <c r="V507" t="s">
        <v>66</v>
      </c>
      <c r="W507" t="s">
        <v>44</v>
      </c>
      <c r="X507" t="s">
        <v>44</v>
      </c>
      <c r="Y507" s="9">
        <f t="shared" si="22"/>
        <v>0</v>
      </c>
      <c r="Z507" t="str">
        <f t="shared" si="23"/>
        <v>สแกนต่าง Cost</v>
      </c>
    </row>
    <row r="508" spans="2:26" x14ac:dyDescent="0.45">
      <c r="B508" t="s">
        <v>53</v>
      </c>
      <c r="C508">
        <v>20310530</v>
      </c>
      <c r="D508" t="s">
        <v>220</v>
      </c>
      <c r="E508" s="8">
        <v>46136.375</v>
      </c>
      <c r="F508" s="8">
        <v>46136.395833333336</v>
      </c>
      <c r="G508" s="9">
        <v>0.5</v>
      </c>
      <c r="H508" s="9">
        <f t="shared" si="21"/>
        <v>3.0000000000000001E-3</v>
      </c>
      <c r="I508" s="9">
        <v>3.0000000000000001E-3</v>
      </c>
      <c r="J508" s="9"/>
      <c r="K508" s="9"/>
      <c r="L508" s="9"/>
      <c r="M508" t="s">
        <v>65</v>
      </c>
      <c r="N508" t="s">
        <v>29</v>
      </c>
      <c r="P508" t="s">
        <v>30</v>
      </c>
      <c r="Q508" t="s">
        <v>31</v>
      </c>
      <c r="R508">
        <v>82640</v>
      </c>
      <c r="S508" t="s">
        <v>42</v>
      </c>
      <c r="T508">
        <v>82622</v>
      </c>
      <c r="U508" t="s">
        <v>147</v>
      </c>
      <c r="V508" t="s">
        <v>66</v>
      </c>
      <c r="W508" t="s">
        <v>44</v>
      </c>
      <c r="X508" t="s">
        <v>44</v>
      </c>
      <c r="Y508" s="9">
        <f t="shared" si="22"/>
        <v>0</v>
      </c>
      <c r="Z508" t="str">
        <f t="shared" si="23"/>
        <v>สแกนต่าง Cost</v>
      </c>
    </row>
    <row r="509" spans="2:26" x14ac:dyDescent="0.45">
      <c r="B509" t="s">
        <v>53</v>
      </c>
      <c r="C509">
        <v>20310532</v>
      </c>
      <c r="D509" t="s">
        <v>61</v>
      </c>
      <c r="E509" s="8">
        <v>46136.375</v>
      </c>
      <c r="F509" s="8">
        <v>46136.5</v>
      </c>
      <c r="G509" s="9">
        <v>3</v>
      </c>
      <c r="H509" s="9">
        <f t="shared" si="21"/>
        <v>1.6E-2</v>
      </c>
      <c r="I509" s="9">
        <v>1.6E-2</v>
      </c>
      <c r="J509" s="9"/>
      <c r="K509" s="9"/>
      <c r="L509" s="9"/>
      <c r="M509" t="s">
        <v>65</v>
      </c>
      <c r="N509" t="s">
        <v>29</v>
      </c>
      <c r="P509" t="s">
        <v>30</v>
      </c>
      <c r="Q509" t="s">
        <v>31</v>
      </c>
      <c r="R509">
        <v>82640</v>
      </c>
      <c r="S509" t="s">
        <v>42</v>
      </c>
      <c r="T509">
        <v>82630</v>
      </c>
      <c r="U509" t="s">
        <v>32</v>
      </c>
      <c r="V509" t="s">
        <v>66</v>
      </c>
      <c r="W509" t="s">
        <v>44</v>
      </c>
      <c r="X509" t="s">
        <v>44</v>
      </c>
      <c r="Y509" s="9">
        <f t="shared" si="22"/>
        <v>0</v>
      </c>
      <c r="Z509" t="str">
        <f t="shared" si="23"/>
        <v>สแกนต่าง Cost</v>
      </c>
    </row>
    <row r="510" spans="2:26" x14ac:dyDescent="0.45">
      <c r="B510" t="s">
        <v>53</v>
      </c>
      <c r="C510">
        <v>20060579</v>
      </c>
      <c r="D510" t="s">
        <v>39</v>
      </c>
      <c r="E510" s="8">
        <v>46136.354166666664</v>
      </c>
      <c r="F510" s="8">
        <v>46136.375</v>
      </c>
      <c r="G510" s="9">
        <v>0.5</v>
      </c>
      <c r="H510" s="9">
        <f t="shared" si="21"/>
        <v>3.0000000000000001E-3</v>
      </c>
      <c r="I510" s="9">
        <v>3.0000000000000001E-3</v>
      </c>
      <c r="J510" s="9"/>
      <c r="K510" s="9"/>
      <c r="L510" s="9"/>
      <c r="M510" t="s">
        <v>65</v>
      </c>
      <c r="N510" t="s">
        <v>29</v>
      </c>
      <c r="P510" t="s">
        <v>30</v>
      </c>
      <c r="Q510" t="s">
        <v>31</v>
      </c>
      <c r="R510">
        <v>82640</v>
      </c>
      <c r="S510" t="s">
        <v>42</v>
      </c>
      <c r="T510">
        <v>82630</v>
      </c>
      <c r="U510" t="s">
        <v>32</v>
      </c>
      <c r="V510" t="s">
        <v>66</v>
      </c>
      <c r="W510" t="s">
        <v>44</v>
      </c>
      <c r="X510" t="s">
        <v>44</v>
      </c>
      <c r="Y510" s="9">
        <f t="shared" si="22"/>
        <v>0</v>
      </c>
      <c r="Z510" t="str">
        <f t="shared" si="23"/>
        <v>สแกนต่าง Cost</v>
      </c>
    </row>
    <row r="511" spans="2:26" x14ac:dyDescent="0.45">
      <c r="B511" t="s">
        <v>53</v>
      </c>
      <c r="C511">
        <v>20198842</v>
      </c>
      <c r="D511" t="s">
        <v>257</v>
      </c>
      <c r="E511" s="8">
        <v>46136.354166666664</v>
      </c>
      <c r="F511" s="8">
        <v>46136.5</v>
      </c>
      <c r="G511" s="9">
        <v>3.5</v>
      </c>
      <c r="H511" s="9">
        <f t="shared" si="21"/>
        <v>1.9E-2</v>
      </c>
      <c r="I511" s="9">
        <v>1.9E-2</v>
      </c>
      <c r="J511" s="9"/>
      <c r="K511" s="9"/>
      <c r="L511" s="9"/>
      <c r="M511" t="s">
        <v>65</v>
      </c>
      <c r="N511" t="s">
        <v>29</v>
      </c>
      <c r="P511" t="s">
        <v>30</v>
      </c>
      <c r="Q511" t="s">
        <v>31</v>
      </c>
      <c r="R511">
        <v>82640</v>
      </c>
      <c r="S511" t="s">
        <v>42</v>
      </c>
      <c r="T511">
        <v>82612</v>
      </c>
      <c r="U511" t="s">
        <v>153</v>
      </c>
      <c r="V511" t="s">
        <v>66</v>
      </c>
      <c r="W511" t="s">
        <v>44</v>
      </c>
      <c r="X511" t="s">
        <v>44</v>
      </c>
      <c r="Y511" s="9">
        <f t="shared" si="22"/>
        <v>0</v>
      </c>
      <c r="Z511" t="str">
        <f t="shared" si="23"/>
        <v>สแกนต่าง Cost</v>
      </c>
    </row>
    <row r="512" spans="2:26" x14ac:dyDescent="0.45">
      <c r="B512" t="s">
        <v>53</v>
      </c>
      <c r="C512">
        <v>20198842</v>
      </c>
      <c r="D512" t="s">
        <v>257</v>
      </c>
      <c r="E512" s="8">
        <v>46136.354166666664</v>
      </c>
      <c r="F512" s="8">
        <v>46136.395833333336</v>
      </c>
      <c r="G512" s="9">
        <v>1</v>
      </c>
      <c r="H512" s="9">
        <f t="shared" si="21"/>
        <v>5.0000000000000001E-3</v>
      </c>
      <c r="I512" s="9">
        <v>5.0000000000000001E-3</v>
      </c>
      <c r="J512" s="9"/>
      <c r="K512" s="9"/>
      <c r="L512" s="9"/>
      <c r="M512" t="s">
        <v>65</v>
      </c>
      <c r="N512" t="s">
        <v>29</v>
      </c>
      <c r="P512" t="s">
        <v>30</v>
      </c>
      <c r="Q512" t="s">
        <v>31</v>
      </c>
      <c r="R512">
        <v>82640</v>
      </c>
      <c r="S512" t="s">
        <v>42</v>
      </c>
      <c r="T512">
        <v>82630</v>
      </c>
      <c r="U512" t="s">
        <v>32</v>
      </c>
      <c r="V512" t="s">
        <v>66</v>
      </c>
      <c r="W512" t="s">
        <v>44</v>
      </c>
      <c r="X512" t="s">
        <v>44</v>
      </c>
      <c r="Y512" s="9">
        <f t="shared" si="22"/>
        <v>0</v>
      </c>
      <c r="Z512" t="str">
        <f t="shared" si="23"/>
        <v>สแกนต่าง Cost</v>
      </c>
    </row>
    <row r="513" spans="1:26" x14ac:dyDescent="0.45">
      <c r="B513" t="s">
        <v>53</v>
      </c>
      <c r="C513">
        <v>20280718</v>
      </c>
      <c r="D513" t="s">
        <v>256</v>
      </c>
      <c r="E513" s="8">
        <v>46136.354166666664</v>
      </c>
      <c r="F513" s="8">
        <v>46136.395833333336</v>
      </c>
      <c r="G513" s="9">
        <v>1</v>
      </c>
      <c r="H513" s="9">
        <f t="shared" si="21"/>
        <v>5.0000000000000001E-3</v>
      </c>
      <c r="I513" s="9">
        <v>5.0000000000000001E-3</v>
      </c>
      <c r="J513" s="9"/>
      <c r="K513" s="9"/>
      <c r="L513" s="9"/>
      <c r="M513" t="s">
        <v>65</v>
      </c>
      <c r="N513" t="s">
        <v>29</v>
      </c>
      <c r="P513" t="s">
        <v>30</v>
      </c>
      <c r="Q513" t="s">
        <v>31</v>
      </c>
      <c r="R513">
        <v>82640</v>
      </c>
      <c r="S513" t="s">
        <v>42</v>
      </c>
      <c r="T513">
        <v>82630</v>
      </c>
      <c r="U513" t="s">
        <v>32</v>
      </c>
      <c r="V513" t="s">
        <v>66</v>
      </c>
      <c r="W513" t="s">
        <v>44</v>
      </c>
      <c r="X513" t="s">
        <v>44</v>
      </c>
      <c r="Y513" s="9">
        <f t="shared" si="22"/>
        <v>0</v>
      </c>
      <c r="Z513" t="str">
        <f t="shared" si="23"/>
        <v>สแกนต่าง Cost</v>
      </c>
    </row>
    <row r="514" spans="1:26" x14ac:dyDescent="0.45">
      <c r="B514" t="s">
        <v>53</v>
      </c>
      <c r="C514">
        <v>20310530</v>
      </c>
      <c r="D514" t="s">
        <v>220</v>
      </c>
      <c r="E514" s="8">
        <v>46136.354166666664</v>
      </c>
      <c r="F514" s="8">
        <v>46136.354166666664</v>
      </c>
      <c r="G514" s="9">
        <v>0</v>
      </c>
      <c r="H514" s="9">
        <f t="shared" si="21"/>
        <v>0</v>
      </c>
      <c r="I514" s="9">
        <v>0</v>
      </c>
      <c r="J514" s="9"/>
      <c r="K514" s="9"/>
      <c r="L514" s="9"/>
      <c r="M514" t="s">
        <v>65</v>
      </c>
      <c r="N514" t="s">
        <v>29</v>
      </c>
      <c r="P514" t="s">
        <v>30</v>
      </c>
      <c r="Q514" t="s">
        <v>31</v>
      </c>
      <c r="R514">
        <v>82640</v>
      </c>
      <c r="S514" t="s">
        <v>42</v>
      </c>
      <c r="T514">
        <v>82630</v>
      </c>
      <c r="U514" t="s">
        <v>32</v>
      </c>
      <c r="V514" t="s">
        <v>66</v>
      </c>
      <c r="W514" t="s">
        <v>44</v>
      </c>
      <c r="X514" t="s">
        <v>44</v>
      </c>
      <c r="Y514" s="9">
        <f t="shared" si="22"/>
        <v>0</v>
      </c>
      <c r="Z514" t="str">
        <f t="shared" si="23"/>
        <v>สแกนต่าง Cost</v>
      </c>
    </row>
    <row r="515" spans="1:26" x14ac:dyDescent="0.45">
      <c r="A515">
        <v>26986</v>
      </c>
      <c r="B515" t="s">
        <v>53</v>
      </c>
      <c r="C515">
        <v>20403252</v>
      </c>
      <c r="D515" t="s">
        <v>124</v>
      </c>
      <c r="E515" s="8">
        <v>46136.352777777778</v>
      </c>
      <c r="F515" s="8">
        <v>46136.704861111109</v>
      </c>
      <c r="G515" s="9">
        <v>7.4499999999999993</v>
      </c>
      <c r="H515" s="9">
        <f t="shared" ref="H515:H578" si="24">SUM(I515:L515)</f>
        <v>0.04</v>
      </c>
      <c r="I515" s="9">
        <v>0.04</v>
      </c>
      <c r="J515" s="9"/>
      <c r="K515" s="9"/>
      <c r="L515" s="9"/>
      <c r="M515" t="s">
        <v>48</v>
      </c>
      <c r="N515" t="s">
        <v>48</v>
      </c>
      <c r="P515" t="s">
        <v>30</v>
      </c>
      <c r="Q515" t="s">
        <v>31</v>
      </c>
      <c r="R515">
        <v>82400</v>
      </c>
      <c r="S515" t="s">
        <v>83</v>
      </c>
      <c r="T515">
        <v>82658</v>
      </c>
      <c r="U515" t="s">
        <v>33</v>
      </c>
      <c r="V515" t="s">
        <v>33</v>
      </c>
      <c r="W515" t="s">
        <v>37</v>
      </c>
      <c r="X515" t="s">
        <v>267</v>
      </c>
      <c r="Y515" s="9">
        <f t="shared" ref="Y515:Y578" si="25">SUM(J515:L515)</f>
        <v>0</v>
      </c>
      <c r="Z515" t="str">
        <f t="shared" ref="Z515:Z578" si="26">IF(R515=T515,"สแกน Cost ตัวเอง","สแกนต่าง Cost")</f>
        <v>สแกนต่าง Cost</v>
      </c>
    </row>
    <row r="516" spans="1:26" x14ac:dyDescent="0.45">
      <c r="A516">
        <v>26985</v>
      </c>
      <c r="B516" t="s">
        <v>53</v>
      </c>
      <c r="C516">
        <v>20403253</v>
      </c>
      <c r="D516" t="s">
        <v>125</v>
      </c>
      <c r="E516" s="8">
        <v>46136.352777777778</v>
      </c>
      <c r="F516" s="8">
        <v>46136.704861111109</v>
      </c>
      <c r="G516" s="9">
        <v>7.4499999999999993</v>
      </c>
      <c r="H516" s="9">
        <f t="shared" si="24"/>
        <v>0.04</v>
      </c>
      <c r="I516" s="9">
        <v>0.04</v>
      </c>
      <c r="J516" s="9"/>
      <c r="K516" s="9"/>
      <c r="L516" s="9"/>
      <c r="M516" t="s">
        <v>48</v>
      </c>
      <c r="N516" t="s">
        <v>48</v>
      </c>
      <c r="P516" t="s">
        <v>30</v>
      </c>
      <c r="Q516" t="s">
        <v>31</v>
      </c>
      <c r="R516">
        <v>82400</v>
      </c>
      <c r="S516" t="s">
        <v>83</v>
      </c>
      <c r="T516">
        <v>82658</v>
      </c>
      <c r="U516" t="s">
        <v>33</v>
      </c>
      <c r="V516" t="s">
        <v>33</v>
      </c>
      <c r="W516" t="s">
        <v>37</v>
      </c>
      <c r="X516" t="s">
        <v>267</v>
      </c>
      <c r="Y516" s="9">
        <f t="shared" si="25"/>
        <v>0</v>
      </c>
      <c r="Z516" t="str">
        <f t="shared" si="26"/>
        <v>สแกนต่าง Cost</v>
      </c>
    </row>
    <row r="517" spans="1:26" x14ac:dyDescent="0.45">
      <c r="B517" t="s">
        <v>26</v>
      </c>
      <c r="C517">
        <v>20328003</v>
      </c>
      <c r="D517" t="s">
        <v>107</v>
      </c>
      <c r="E517" s="8">
        <v>46136.352083333331</v>
      </c>
      <c r="F517" s="8">
        <v>46136.729166666664</v>
      </c>
      <c r="G517" s="9">
        <v>8.0500000000000007</v>
      </c>
      <c r="H517" s="9">
        <f t="shared" si="24"/>
        <v>4.2999999999999997E-2</v>
      </c>
      <c r="I517" s="9">
        <v>4.2999999999999997E-2</v>
      </c>
      <c r="J517" s="9"/>
      <c r="K517" s="9"/>
      <c r="L517" s="9"/>
      <c r="M517" t="s">
        <v>65</v>
      </c>
      <c r="N517" t="s">
        <v>29</v>
      </c>
      <c r="P517" t="s">
        <v>30</v>
      </c>
      <c r="Q517" t="s">
        <v>31</v>
      </c>
      <c r="R517">
        <v>82400</v>
      </c>
      <c r="S517" t="s">
        <v>83</v>
      </c>
      <c r="T517">
        <v>82658</v>
      </c>
      <c r="U517" t="s">
        <v>33</v>
      </c>
      <c r="V517" t="s">
        <v>33</v>
      </c>
      <c r="W517" t="s">
        <v>37</v>
      </c>
      <c r="X517" t="s">
        <v>267</v>
      </c>
      <c r="Y517" s="9">
        <f t="shared" si="25"/>
        <v>0</v>
      </c>
      <c r="Z517" t="str">
        <f t="shared" si="26"/>
        <v>สแกนต่าง Cost</v>
      </c>
    </row>
    <row r="518" spans="1:26" x14ac:dyDescent="0.45">
      <c r="B518" t="s">
        <v>26</v>
      </c>
      <c r="C518">
        <v>20331986</v>
      </c>
      <c r="D518" t="s">
        <v>108</v>
      </c>
      <c r="E518" s="8">
        <v>46136.352083333331</v>
      </c>
      <c r="F518" s="8">
        <v>46136.729166666664</v>
      </c>
      <c r="G518" s="9">
        <v>8.0500000000000007</v>
      </c>
      <c r="H518" s="9">
        <f t="shared" si="24"/>
        <v>4.2999999999999997E-2</v>
      </c>
      <c r="I518" s="9">
        <v>4.2999999999999997E-2</v>
      </c>
      <c r="J518" s="9"/>
      <c r="K518" s="9"/>
      <c r="L518" s="9"/>
      <c r="M518" t="s">
        <v>65</v>
      </c>
      <c r="N518" t="s">
        <v>29</v>
      </c>
      <c r="P518" t="s">
        <v>30</v>
      </c>
      <c r="Q518" t="s">
        <v>31</v>
      </c>
      <c r="R518">
        <v>82400</v>
      </c>
      <c r="S518" t="s">
        <v>83</v>
      </c>
      <c r="T518">
        <v>82658</v>
      </c>
      <c r="U518" t="s">
        <v>33</v>
      </c>
      <c r="V518" t="s">
        <v>33</v>
      </c>
      <c r="W518" t="s">
        <v>37</v>
      </c>
      <c r="X518" t="s">
        <v>267</v>
      </c>
      <c r="Y518" s="9">
        <f t="shared" si="25"/>
        <v>0</v>
      </c>
      <c r="Z518" t="str">
        <f t="shared" si="26"/>
        <v>สแกนต่าง Cost</v>
      </c>
    </row>
    <row r="519" spans="1:26" x14ac:dyDescent="0.45">
      <c r="B519" t="s">
        <v>26</v>
      </c>
      <c r="C519">
        <v>20352282</v>
      </c>
      <c r="D519" t="s">
        <v>84</v>
      </c>
      <c r="E519" s="8">
        <v>46136.352083333331</v>
      </c>
      <c r="F519" s="8">
        <v>46136.729166666664</v>
      </c>
      <c r="G519" s="9">
        <v>8.0500000000000007</v>
      </c>
      <c r="H519" s="9">
        <f t="shared" si="24"/>
        <v>4.2999999999999997E-2</v>
      </c>
      <c r="I519" s="9">
        <v>4.2999999999999997E-2</v>
      </c>
      <c r="J519" s="9"/>
      <c r="K519" s="9"/>
      <c r="L519" s="9"/>
      <c r="M519" t="s">
        <v>65</v>
      </c>
      <c r="N519" t="s">
        <v>29</v>
      </c>
      <c r="P519" t="s">
        <v>30</v>
      </c>
      <c r="Q519" t="s">
        <v>31</v>
      </c>
      <c r="R519">
        <v>82400</v>
      </c>
      <c r="S519" t="s">
        <v>83</v>
      </c>
      <c r="T519">
        <v>82658</v>
      </c>
      <c r="U519" t="s">
        <v>33</v>
      </c>
      <c r="V519" t="s">
        <v>33</v>
      </c>
      <c r="W519" t="s">
        <v>37</v>
      </c>
      <c r="X519" t="s">
        <v>267</v>
      </c>
      <c r="Y519" s="9">
        <f t="shared" si="25"/>
        <v>0</v>
      </c>
      <c r="Z519" t="str">
        <f t="shared" si="26"/>
        <v>สแกนต่าง Cost</v>
      </c>
    </row>
    <row r="520" spans="1:26" x14ac:dyDescent="0.45">
      <c r="B520" t="s">
        <v>26</v>
      </c>
      <c r="C520">
        <v>20352284</v>
      </c>
      <c r="D520" t="s">
        <v>113</v>
      </c>
      <c r="E520" s="8">
        <v>46136.352083333331</v>
      </c>
      <c r="F520" s="8">
        <v>46136.729166666664</v>
      </c>
      <c r="G520" s="9">
        <v>8.0500000000000007</v>
      </c>
      <c r="H520" s="9">
        <f t="shared" si="24"/>
        <v>4.2999999999999997E-2</v>
      </c>
      <c r="I520" s="9">
        <v>4.2999999999999997E-2</v>
      </c>
      <c r="J520" s="9"/>
      <c r="K520" s="9"/>
      <c r="L520" s="9"/>
      <c r="M520" t="s">
        <v>65</v>
      </c>
      <c r="N520" t="s">
        <v>29</v>
      </c>
      <c r="P520" t="s">
        <v>30</v>
      </c>
      <c r="Q520" t="s">
        <v>31</v>
      </c>
      <c r="R520">
        <v>82400</v>
      </c>
      <c r="S520" t="s">
        <v>83</v>
      </c>
      <c r="T520">
        <v>82658</v>
      </c>
      <c r="U520" t="s">
        <v>33</v>
      </c>
      <c r="V520" t="s">
        <v>33</v>
      </c>
      <c r="W520" t="s">
        <v>37</v>
      </c>
      <c r="X520" t="s">
        <v>267</v>
      </c>
      <c r="Y520" s="9">
        <f t="shared" si="25"/>
        <v>0</v>
      </c>
      <c r="Z520" t="str">
        <f t="shared" si="26"/>
        <v>สแกนต่าง Cost</v>
      </c>
    </row>
    <row r="521" spans="1:26" x14ac:dyDescent="0.45">
      <c r="B521" t="s">
        <v>26</v>
      </c>
      <c r="C521">
        <v>20352338</v>
      </c>
      <c r="D521" t="s">
        <v>114</v>
      </c>
      <c r="E521" s="8">
        <v>46136.352083333331</v>
      </c>
      <c r="F521" s="8">
        <v>46136.729166666664</v>
      </c>
      <c r="G521" s="9">
        <v>8.0500000000000007</v>
      </c>
      <c r="H521" s="9">
        <f t="shared" si="24"/>
        <v>4.2999999999999997E-2</v>
      </c>
      <c r="I521" s="9">
        <v>4.2999999999999997E-2</v>
      </c>
      <c r="J521" s="9"/>
      <c r="K521" s="9"/>
      <c r="L521" s="9"/>
      <c r="M521" t="s">
        <v>65</v>
      </c>
      <c r="N521" t="s">
        <v>29</v>
      </c>
      <c r="P521" t="s">
        <v>30</v>
      </c>
      <c r="Q521" t="s">
        <v>31</v>
      </c>
      <c r="R521">
        <v>82400</v>
      </c>
      <c r="S521" t="s">
        <v>83</v>
      </c>
      <c r="T521">
        <v>82658</v>
      </c>
      <c r="U521" t="s">
        <v>33</v>
      </c>
      <c r="V521" t="s">
        <v>33</v>
      </c>
      <c r="W521" t="s">
        <v>37</v>
      </c>
      <c r="X521" t="s">
        <v>267</v>
      </c>
      <c r="Y521" s="9">
        <f t="shared" si="25"/>
        <v>0</v>
      </c>
      <c r="Z521" t="str">
        <f t="shared" si="26"/>
        <v>สแกนต่าง Cost</v>
      </c>
    </row>
    <row r="522" spans="1:26" x14ac:dyDescent="0.45">
      <c r="B522" t="s">
        <v>26</v>
      </c>
      <c r="C522">
        <v>20372080</v>
      </c>
      <c r="D522" t="s">
        <v>117</v>
      </c>
      <c r="E522" s="8">
        <v>46136.352083333331</v>
      </c>
      <c r="F522" s="8">
        <v>46136.729166666664</v>
      </c>
      <c r="G522" s="9">
        <v>8.0500000000000007</v>
      </c>
      <c r="H522" s="9">
        <f t="shared" si="24"/>
        <v>4.2999999999999997E-2</v>
      </c>
      <c r="I522" s="9">
        <v>4.2999999999999997E-2</v>
      </c>
      <c r="J522" s="9"/>
      <c r="K522" s="9"/>
      <c r="L522" s="9"/>
      <c r="M522" t="s">
        <v>65</v>
      </c>
      <c r="N522" t="s">
        <v>29</v>
      </c>
      <c r="P522" t="s">
        <v>30</v>
      </c>
      <c r="Q522" t="s">
        <v>31</v>
      </c>
      <c r="R522">
        <v>82400</v>
      </c>
      <c r="S522" t="s">
        <v>83</v>
      </c>
      <c r="T522">
        <v>82658</v>
      </c>
      <c r="U522" t="s">
        <v>33</v>
      </c>
      <c r="V522" t="s">
        <v>33</v>
      </c>
      <c r="W522" t="s">
        <v>37</v>
      </c>
      <c r="X522" t="s">
        <v>267</v>
      </c>
      <c r="Y522" s="9">
        <f t="shared" si="25"/>
        <v>0</v>
      </c>
      <c r="Z522" t="str">
        <f t="shared" si="26"/>
        <v>สแกนต่าง Cost</v>
      </c>
    </row>
    <row r="523" spans="1:26" x14ac:dyDescent="0.45">
      <c r="B523" t="s">
        <v>26</v>
      </c>
      <c r="C523">
        <v>20403191</v>
      </c>
      <c r="D523" t="s">
        <v>122</v>
      </c>
      <c r="E523" s="8">
        <v>46136.352083333331</v>
      </c>
      <c r="F523" s="8">
        <v>46136.70416666667</v>
      </c>
      <c r="G523" s="9">
        <v>7.4499999999999993</v>
      </c>
      <c r="H523" s="9">
        <f t="shared" si="24"/>
        <v>0.04</v>
      </c>
      <c r="I523" s="9">
        <v>0.04</v>
      </c>
      <c r="J523" s="9"/>
      <c r="K523" s="9"/>
      <c r="L523" s="9"/>
      <c r="M523" t="s">
        <v>48</v>
      </c>
      <c r="N523" t="s">
        <v>48</v>
      </c>
      <c r="P523" t="s">
        <v>30</v>
      </c>
      <c r="Q523" t="s">
        <v>31</v>
      </c>
      <c r="R523">
        <v>82400</v>
      </c>
      <c r="S523" t="s">
        <v>83</v>
      </c>
      <c r="T523">
        <v>82658</v>
      </c>
      <c r="U523" t="s">
        <v>33</v>
      </c>
      <c r="V523" t="s">
        <v>33</v>
      </c>
      <c r="W523" t="s">
        <v>37</v>
      </c>
      <c r="X523" t="s">
        <v>267</v>
      </c>
      <c r="Y523" s="9">
        <f t="shared" si="25"/>
        <v>0</v>
      </c>
      <c r="Z523" t="str">
        <f t="shared" si="26"/>
        <v>สแกนต่าง Cost</v>
      </c>
    </row>
    <row r="524" spans="1:26" x14ac:dyDescent="0.45">
      <c r="B524" t="s">
        <v>26</v>
      </c>
      <c r="C524">
        <v>20403192</v>
      </c>
      <c r="D524" t="s">
        <v>123</v>
      </c>
      <c r="E524" s="8">
        <v>46136.352083333331</v>
      </c>
      <c r="F524" s="8">
        <v>46136.70416666667</v>
      </c>
      <c r="G524" s="9">
        <v>7.4499999999999993</v>
      </c>
      <c r="H524" s="9">
        <f t="shared" si="24"/>
        <v>0.04</v>
      </c>
      <c r="I524" s="9">
        <v>0.04</v>
      </c>
      <c r="J524" s="9"/>
      <c r="K524" s="9"/>
      <c r="L524" s="9"/>
      <c r="M524" t="s">
        <v>48</v>
      </c>
      <c r="N524" t="s">
        <v>48</v>
      </c>
      <c r="P524" t="s">
        <v>30</v>
      </c>
      <c r="Q524" t="s">
        <v>31</v>
      </c>
      <c r="R524">
        <v>82400</v>
      </c>
      <c r="S524" t="s">
        <v>83</v>
      </c>
      <c r="T524">
        <v>82658</v>
      </c>
      <c r="U524" t="s">
        <v>33</v>
      </c>
      <c r="V524" t="s">
        <v>33</v>
      </c>
      <c r="W524" t="s">
        <v>37</v>
      </c>
      <c r="X524" t="s">
        <v>267</v>
      </c>
      <c r="Y524" s="9">
        <f t="shared" si="25"/>
        <v>0</v>
      </c>
      <c r="Z524" t="str">
        <f t="shared" si="26"/>
        <v>สแกนต่าง Cost</v>
      </c>
    </row>
    <row r="525" spans="1:26" x14ac:dyDescent="0.45">
      <c r="B525" t="s">
        <v>26</v>
      </c>
      <c r="C525">
        <v>20403254</v>
      </c>
      <c r="D525" t="s">
        <v>126</v>
      </c>
      <c r="E525" s="8">
        <v>46136.352083333331</v>
      </c>
      <c r="F525" s="8">
        <v>46136.70416666667</v>
      </c>
      <c r="G525" s="9">
        <v>7.4499999999999993</v>
      </c>
      <c r="H525" s="9">
        <f t="shared" si="24"/>
        <v>0.04</v>
      </c>
      <c r="I525" s="9">
        <v>0.04</v>
      </c>
      <c r="J525" s="9"/>
      <c r="K525" s="9"/>
      <c r="L525" s="9"/>
      <c r="M525" t="s">
        <v>48</v>
      </c>
      <c r="N525" t="s">
        <v>48</v>
      </c>
      <c r="P525" t="s">
        <v>30</v>
      </c>
      <c r="Q525" t="s">
        <v>31</v>
      </c>
      <c r="R525">
        <v>82400</v>
      </c>
      <c r="S525" t="s">
        <v>83</v>
      </c>
      <c r="T525">
        <v>82658</v>
      </c>
      <c r="U525" t="s">
        <v>33</v>
      </c>
      <c r="V525" t="s">
        <v>33</v>
      </c>
      <c r="W525" t="s">
        <v>37</v>
      </c>
      <c r="X525" t="s">
        <v>267</v>
      </c>
      <c r="Y525" s="9">
        <f t="shared" si="25"/>
        <v>0</v>
      </c>
      <c r="Z525" t="str">
        <f t="shared" si="26"/>
        <v>สแกนต่าง Cost</v>
      </c>
    </row>
    <row r="526" spans="1:26" x14ac:dyDescent="0.45">
      <c r="B526" t="s">
        <v>26</v>
      </c>
      <c r="C526">
        <v>20014598</v>
      </c>
      <c r="D526" t="s">
        <v>89</v>
      </c>
      <c r="E526" s="8">
        <v>46136.351388888892</v>
      </c>
      <c r="F526" s="8">
        <v>46136.704861111109</v>
      </c>
      <c r="G526" s="9">
        <v>7.4833333333333325</v>
      </c>
      <c r="H526" s="9">
        <f t="shared" si="24"/>
        <v>0.04</v>
      </c>
      <c r="I526" s="9">
        <v>0.04</v>
      </c>
      <c r="J526" s="9"/>
      <c r="K526" s="9"/>
      <c r="L526" s="9"/>
      <c r="M526" t="s">
        <v>65</v>
      </c>
      <c r="N526" t="s">
        <v>29</v>
      </c>
      <c r="P526" t="s">
        <v>30</v>
      </c>
      <c r="Q526" t="s">
        <v>31</v>
      </c>
      <c r="R526">
        <v>82400</v>
      </c>
      <c r="S526" t="s">
        <v>83</v>
      </c>
      <c r="T526">
        <v>82658</v>
      </c>
      <c r="U526" t="s">
        <v>33</v>
      </c>
      <c r="V526" t="s">
        <v>33</v>
      </c>
      <c r="W526" t="s">
        <v>37</v>
      </c>
      <c r="X526" t="s">
        <v>267</v>
      </c>
      <c r="Y526" s="9">
        <f t="shared" si="25"/>
        <v>0</v>
      </c>
      <c r="Z526" t="str">
        <f t="shared" si="26"/>
        <v>สแกนต่าง Cost</v>
      </c>
    </row>
    <row r="527" spans="1:26" x14ac:dyDescent="0.45">
      <c r="B527" t="s">
        <v>26</v>
      </c>
      <c r="C527">
        <v>20045685</v>
      </c>
      <c r="D527" t="s">
        <v>262</v>
      </c>
      <c r="E527" s="8">
        <v>46136.351388888892</v>
      </c>
      <c r="F527" s="8">
        <v>46136.729166666664</v>
      </c>
      <c r="G527" s="9">
        <v>8.0666666666666664</v>
      </c>
      <c r="H527" s="9">
        <f t="shared" si="24"/>
        <v>4.2999999999999997E-2</v>
      </c>
      <c r="I527" s="9">
        <v>4.2999999999999997E-2</v>
      </c>
      <c r="J527" s="9"/>
      <c r="K527" s="9"/>
      <c r="L527" s="9"/>
      <c r="M527" t="s">
        <v>65</v>
      </c>
      <c r="N527" t="s">
        <v>29</v>
      </c>
      <c r="P527" t="s">
        <v>30</v>
      </c>
      <c r="Q527" t="s">
        <v>31</v>
      </c>
      <c r="R527">
        <v>82652</v>
      </c>
      <c r="S527" t="s">
        <v>46</v>
      </c>
      <c r="T527">
        <v>82658</v>
      </c>
      <c r="U527" t="s">
        <v>33</v>
      </c>
      <c r="V527" t="s">
        <v>33</v>
      </c>
      <c r="W527" t="s">
        <v>37</v>
      </c>
      <c r="X527" t="s">
        <v>267</v>
      </c>
      <c r="Y527" s="9">
        <f t="shared" si="25"/>
        <v>0</v>
      </c>
      <c r="Z527" t="str">
        <f t="shared" si="26"/>
        <v>สแกนต่าง Cost</v>
      </c>
    </row>
    <row r="528" spans="1:26" x14ac:dyDescent="0.45">
      <c r="B528" t="s">
        <v>26</v>
      </c>
      <c r="C528">
        <v>20197492</v>
      </c>
      <c r="D528" t="s">
        <v>268</v>
      </c>
      <c r="E528" s="8">
        <v>46136.351388888892</v>
      </c>
      <c r="F528" s="8">
        <v>46136.729166666664</v>
      </c>
      <c r="G528" s="9">
        <v>8.0666666666666664</v>
      </c>
      <c r="H528" s="9">
        <f t="shared" si="24"/>
        <v>4.2999999999999997E-2</v>
      </c>
      <c r="I528" s="9">
        <v>4.2999999999999997E-2</v>
      </c>
      <c r="J528" s="9"/>
      <c r="K528" s="9"/>
      <c r="L528" s="9"/>
      <c r="M528" t="s">
        <v>65</v>
      </c>
      <c r="N528" t="s">
        <v>29</v>
      </c>
      <c r="P528" t="s">
        <v>30</v>
      </c>
      <c r="Q528" t="s">
        <v>31</v>
      </c>
      <c r="R528">
        <v>82652</v>
      </c>
      <c r="S528" t="s">
        <v>46</v>
      </c>
      <c r="T528">
        <v>82658</v>
      </c>
      <c r="U528" t="s">
        <v>33</v>
      </c>
      <c r="V528" t="s">
        <v>33</v>
      </c>
      <c r="W528" t="s">
        <v>37</v>
      </c>
      <c r="X528" t="s">
        <v>267</v>
      </c>
      <c r="Y528" s="9">
        <f t="shared" si="25"/>
        <v>0</v>
      </c>
      <c r="Z528" t="str">
        <f t="shared" si="26"/>
        <v>สแกนต่าง Cost</v>
      </c>
    </row>
    <row r="529" spans="1:26" x14ac:dyDescent="0.45">
      <c r="B529" t="s">
        <v>26</v>
      </c>
      <c r="C529">
        <v>20372078</v>
      </c>
      <c r="D529" t="s">
        <v>82</v>
      </c>
      <c r="E529" s="8">
        <v>46136.351388888892</v>
      </c>
      <c r="F529" s="8">
        <v>46136.729166666664</v>
      </c>
      <c r="G529" s="9">
        <v>8.0666666666666664</v>
      </c>
      <c r="H529" s="9">
        <f t="shared" si="24"/>
        <v>4.2999999999999997E-2</v>
      </c>
      <c r="I529" s="9">
        <v>4.2999999999999997E-2</v>
      </c>
      <c r="J529" s="9"/>
      <c r="K529" s="9"/>
      <c r="L529" s="9"/>
      <c r="M529" t="s">
        <v>65</v>
      </c>
      <c r="N529" t="s">
        <v>29</v>
      </c>
      <c r="P529" t="s">
        <v>30</v>
      </c>
      <c r="Q529" t="s">
        <v>31</v>
      </c>
      <c r="R529">
        <v>82400</v>
      </c>
      <c r="S529" t="s">
        <v>83</v>
      </c>
      <c r="T529">
        <v>82658</v>
      </c>
      <c r="U529" t="s">
        <v>33</v>
      </c>
      <c r="V529" t="s">
        <v>33</v>
      </c>
      <c r="W529" t="s">
        <v>37</v>
      </c>
      <c r="X529" t="s">
        <v>267</v>
      </c>
      <c r="Y529" s="9">
        <f t="shared" si="25"/>
        <v>0</v>
      </c>
      <c r="Z529" t="str">
        <f t="shared" si="26"/>
        <v>สแกนต่าง Cost</v>
      </c>
    </row>
    <row r="530" spans="1:26" x14ac:dyDescent="0.45">
      <c r="B530" t="s">
        <v>26</v>
      </c>
      <c r="C530">
        <v>20382170</v>
      </c>
      <c r="D530" t="s">
        <v>118</v>
      </c>
      <c r="E530" s="8">
        <v>46136.351388888892</v>
      </c>
      <c r="F530" s="8">
        <v>46136.729166666664</v>
      </c>
      <c r="G530" s="9">
        <v>8.0666666666666664</v>
      </c>
      <c r="H530" s="9">
        <f t="shared" si="24"/>
        <v>4.2999999999999997E-2</v>
      </c>
      <c r="I530" s="9">
        <v>4.2999999999999997E-2</v>
      </c>
      <c r="J530" s="9"/>
      <c r="K530" s="9"/>
      <c r="L530" s="9"/>
      <c r="M530" t="s">
        <v>65</v>
      </c>
      <c r="N530" t="s">
        <v>29</v>
      </c>
      <c r="P530" t="s">
        <v>30</v>
      </c>
      <c r="Q530" t="s">
        <v>31</v>
      </c>
      <c r="R530">
        <v>82400</v>
      </c>
      <c r="S530" t="s">
        <v>83</v>
      </c>
      <c r="T530">
        <v>82658</v>
      </c>
      <c r="U530" t="s">
        <v>33</v>
      </c>
      <c r="V530" t="s">
        <v>33</v>
      </c>
      <c r="W530" t="s">
        <v>37</v>
      </c>
      <c r="X530" t="s">
        <v>267</v>
      </c>
      <c r="Y530" s="9">
        <f t="shared" si="25"/>
        <v>0</v>
      </c>
      <c r="Z530" t="str">
        <f t="shared" si="26"/>
        <v>สแกนต่าง Cost</v>
      </c>
    </row>
    <row r="531" spans="1:26" x14ac:dyDescent="0.45">
      <c r="B531" t="s">
        <v>26</v>
      </c>
      <c r="C531">
        <v>20382171</v>
      </c>
      <c r="D531" t="s">
        <v>119</v>
      </c>
      <c r="E531" s="8">
        <v>46136.351388888892</v>
      </c>
      <c r="F531" s="8">
        <v>46136.729166666664</v>
      </c>
      <c r="G531" s="9">
        <v>8.0666666666666664</v>
      </c>
      <c r="H531" s="9">
        <f t="shared" si="24"/>
        <v>4.2999999999999997E-2</v>
      </c>
      <c r="I531" s="9">
        <v>4.2999999999999997E-2</v>
      </c>
      <c r="J531" s="9"/>
      <c r="K531" s="9"/>
      <c r="L531" s="9"/>
      <c r="M531" t="s">
        <v>65</v>
      </c>
      <c r="N531" t="s">
        <v>29</v>
      </c>
      <c r="P531" t="s">
        <v>30</v>
      </c>
      <c r="Q531" t="s">
        <v>31</v>
      </c>
      <c r="R531">
        <v>82400</v>
      </c>
      <c r="S531" t="s">
        <v>83</v>
      </c>
      <c r="T531">
        <v>82658</v>
      </c>
      <c r="U531" t="s">
        <v>33</v>
      </c>
      <c r="V531" t="s">
        <v>33</v>
      </c>
      <c r="W531" t="s">
        <v>37</v>
      </c>
      <c r="X531" t="s">
        <v>267</v>
      </c>
      <c r="Y531" s="9">
        <f t="shared" si="25"/>
        <v>0</v>
      </c>
      <c r="Z531" t="str">
        <f t="shared" si="26"/>
        <v>สแกนต่าง Cost</v>
      </c>
    </row>
    <row r="532" spans="1:26" x14ac:dyDescent="0.45">
      <c r="A532">
        <v>26893</v>
      </c>
      <c r="B532" t="s">
        <v>53</v>
      </c>
      <c r="C532">
        <v>20004913</v>
      </c>
      <c r="D532" t="s">
        <v>87</v>
      </c>
      <c r="E532" s="8">
        <v>46136.333333333336</v>
      </c>
      <c r="F532" s="8">
        <v>46136.729166666664</v>
      </c>
      <c r="G532" s="9">
        <v>8.5</v>
      </c>
      <c r="H532" s="9">
        <f t="shared" si="24"/>
        <v>4.4999999999999998E-2</v>
      </c>
      <c r="I532" s="9">
        <v>4.4999999999999998E-2</v>
      </c>
      <c r="J532" s="9"/>
      <c r="K532" s="9"/>
      <c r="L532" s="9"/>
      <c r="M532" t="s">
        <v>65</v>
      </c>
      <c r="N532" t="s">
        <v>29</v>
      </c>
      <c r="P532" t="s">
        <v>30</v>
      </c>
      <c r="Q532" t="s">
        <v>31</v>
      </c>
      <c r="R532">
        <v>82301</v>
      </c>
      <c r="S532" t="s">
        <v>79</v>
      </c>
      <c r="T532">
        <v>82308</v>
      </c>
      <c r="U532" t="s">
        <v>69</v>
      </c>
      <c r="V532" t="s">
        <v>69</v>
      </c>
      <c r="W532" t="s">
        <v>69</v>
      </c>
      <c r="X532" t="s">
        <v>88</v>
      </c>
      <c r="Y532" s="9">
        <f t="shared" si="25"/>
        <v>0</v>
      </c>
      <c r="Z532" t="str">
        <f t="shared" si="26"/>
        <v>สแกนต่าง Cost</v>
      </c>
    </row>
    <row r="533" spans="1:26" x14ac:dyDescent="0.45">
      <c r="B533" t="s">
        <v>53</v>
      </c>
      <c r="C533">
        <v>20014916</v>
      </c>
      <c r="D533" t="s">
        <v>167</v>
      </c>
      <c r="E533" s="8">
        <v>46136.333333333336</v>
      </c>
      <c r="F533" s="8">
        <v>46136.729166666664</v>
      </c>
      <c r="G533" s="9">
        <v>8.5</v>
      </c>
      <c r="H533" s="9">
        <f t="shared" si="24"/>
        <v>4.4999999999999998E-2</v>
      </c>
      <c r="I533" s="9">
        <v>4.4999999999999998E-2</v>
      </c>
      <c r="J533" s="9"/>
      <c r="K533" s="9"/>
      <c r="L533" s="9"/>
      <c r="M533" t="s">
        <v>65</v>
      </c>
      <c r="N533" t="s">
        <v>29</v>
      </c>
      <c r="P533" t="s">
        <v>133</v>
      </c>
      <c r="Q533" t="s">
        <v>31</v>
      </c>
      <c r="R533">
        <v>82607</v>
      </c>
      <c r="S533" t="s">
        <v>168</v>
      </c>
      <c r="T533">
        <v>82640</v>
      </c>
      <c r="U533" t="s">
        <v>42</v>
      </c>
      <c r="V533" t="s">
        <v>155</v>
      </c>
      <c r="W533" t="s">
        <v>47</v>
      </c>
      <c r="X533" t="s">
        <v>95</v>
      </c>
      <c r="Y533" s="9">
        <f t="shared" si="25"/>
        <v>0</v>
      </c>
      <c r="Z533" t="str">
        <f t="shared" si="26"/>
        <v>สแกนต่าง Cost</v>
      </c>
    </row>
    <row r="534" spans="1:26" x14ac:dyDescent="0.45">
      <c r="A534">
        <v>26888</v>
      </c>
      <c r="B534" t="s">
        <v>53</v>
      </c>
      <c r="C534">
        <v>20017430</v>
      </c>
      <c r="D534" t="s">
        <v>94</v>
      </c>
      <c r="E534" s="8">
        <v>46136.333333333336</v>
      </c>
      <c r="F534" s="8">
        <v>46136.729166666664</v>
      </c>
      <c r="G534" s="9">
        <v>8.5</v>
      </c>
      <c r="H534" s="9">
        <f t="shared" si="24"/>
        <v>4.4999999999999998E-2</v>
      </c>
      <c r="I534" s="9">
        <v>4.4999999999999998E-2</v>
      </c>
      <c r="J534" s="9"/>
      <c r="K534" s="9"/>
      <c r="L534" s="9"/>
      <c r="M534" t="s">
        <v>65</v>
      </c>
      <c r="N534" t="s">
        <v>29</v>
      </c>
      <c r="P534" t="s">
        <v>30</v>
      </c>
      <c r="Q534" t="s">
        <v>31</v>
      </c>
      <c r="R534">
        <v>82301</v>
      </c>
      <c r="S534" t="s">
        <v>79</v>
      </c>
      <c r="T534">
        <v>82308</v>
      </c>
      <c r="U534" t="s">
        <v>69</v>
      </c>
      <c r="V534" t="s">
        <v>69</v>
      </c>
      <c r="W534" t="s">
        <v>69</v>
      </c>
      <c r="X534" t="s">
        <v>95</v>
      </c>
      <c r="Y534" s="9">
        <f t="shared" si="25"/>
        <v>0</v>
      </c>
      <c r="Z534" t="str">
        <f t="shared" si="26"/>
        <v>สแกนต่าง Cost</v>
      </c>
    </row>
    <row r="535" spans="1:26" x14ac:dyDescent="0.45">
      <c r="A535">
        <v>26920</v>
      </c>
      <c r="B535" t="s">
        <v>53</v>
      </c>
      <c r="C535">
        <v>20018611</v>
      </c>
      <c r="D535" t="s">
        <v>132</v>
      </c>
      <c r="E535" s="8">
        <v>46136.333333333336</v>
      </c>
      <c r="F535" s="8">
        <v>46136.729166666664</v>
      </c>
      <c r="G535" s="9">
        <v>8.5</v>
      </c>
      <c r="H535" s="9">
        <f t="shared" si="24"/>
        <v>4.4999999999999998E-2</v>
      </c>
      <c r="I535" s="9">
        <v>4.4999999999999998E-2</v>
      </c>
      <c r="J535" s="9"/>
      <c r="K535" s="9"/>
      <c r="L535" s="9"/>
      <c r="M535" t="s">
        <v>65</v>
      </c>
      <c r="N535" t="s">
        <v>29</v>
      </c>
      <c r="P535" t="s">
        <v>133</v>
      </c>
      <c r="Q535" t="s">
        <v>31</v>
      </c>
      <c r="R535">
        <v>82301</v>
      </c>
      <c r="S535" t="s">
        <v>79</v>
      </c>
      <c r="T535">
        <v>82308</v>
      </c>
      <c r="U535" t="s">
        <v>69</v>
      </c>
      <c r="V535" t="s">
        <v>69</v>
      </c>
      <c r="W535" t="s">
        <v>69</v>
      </c>
      <c r="X535" t="s">
        <v>95</v>
      </c>
      <c r="Y535" s="9">
        <f t="shared" si="25"/>
        <v>0</v>
      </c>
      <c r="Z535" t="str">
        <f t="shared" si="26"/>
        <v>สแกนต่าง Cost</v>
      </c>
    </row>
    <row r="536" spans="1:26" x14ac:dyDescent="0.45">
      <c r="B536" t="s">
        <v>53</v>
      </c>
      <c r="C536">
        <v>20018899</v>
      </c>
      <c r="D536" t="s">
        <v>64</v>
      </c>
      <c r="E536" s="8">
        <v>46136.333333333336</v>
      </c>
      <c r="F536" s="8">
        <v>46136.5</v>
      </c>
      <c r="G536" s="9">
        <v>4</v>
      </c>
      <c r="H536" s="9">
        <f t="shared" si="24"/>
        <v>2.1000000000000001E-2</v>
      </c>
      <c r="I536" s="9">
        <v>2.1000000000000001E-2</v>
      </c>
      <c r="J536" s="9"/>
      <c r="K536" s="9"/>
      <c r="L536" s="9"/>
      <c r="M536" t="s">
        <v>65</v>
      </c>
      <c r="N536" t="s">
        <v>29</v>
      </c>
      <c r="P536" t="s">
        <v>30</v>
      </c>
      <c r="Q536" t="s">
        <v>31</v>
      </c>
      <c r="R536">
        <v>82640</v>
      </c>
      <c r="S536" t="s">
        <v>42</v>
      </c>
      <c r="T536">
        <v>82652</v>
      </c>
      <c r="U536" t="s">
        <v>46</v>
      </c>
      <c r="V536" t="s">
        <v>66</v>
      </c>
      <c r="W536" t="s">
        <v>37</v>
      </c>
      <c r="X536" t="s">
        <v>34</v>
      </c>
      <c r="Y536" s="9">
        <f t="shared" si="25"/>
        <v>0</v>
      </c>
      <c r="Z536" t="str">
        <f t="shared" si="26"/>
        <v>สแกนต่าง Cost</v>
      </c>
    </row>
    <row r="537" spans="1:26" x14ac:dyDescent="0.45">
      <c r="B537" t="s">
        <v>53</v>
      </c>
      <c r="C537">
        <v>20023163</v>
      </c>
      <c r="D537" t="s">
        <v>169</v>
      </c>
      <c r="E537" s="8">
        <v>46136.333333333336</v>
      </c>
      <c r="F537" s="8">
        <v>46136.729166666664</v>
      </c>
      <c r="G537" s="9">
        <v>8.5</v>
      </c>
      <c r="H537" s="9">
        <f t="shared" si="24"/>
        <v>4.4999999999999998E-2</v>
      </c>
      <c r="I537" s="9">
        <v>4.4999999999999998E-2</v>
      </c>
      <c r="J537" s="9"/>
      <c r="K537" s="9"/>
      <c r="L537" s="9"/>
      <c r="M537" t="s">
        <v>65</v>
      </c>
      <c r="N537" t="s">
        <v>29</v>
      </c>
      <c r="P537" t="s">
        <v>30</v>
      </c>
      <c r="Q537" t="s">
        <v>31</v>
      </c>
      <c r="R537">
        <v>82630</v>
      </c>
      <c r="S537" t="s">
        <v>32</v>
      </c>
      <c r="T537">
        <v>82640</v>
      </c>
      <c r="U537" t="s">
        <v>42</v>
      </c>
      <c r="V537" t="s">
        <v>70</v>
      </c>
      <c r="W537" t="s">
        <v>170</v>
      </c>
      <c r="X537" t="s">
        <v>171</v>
      </c>
      <c r="Y537" s="9">
        <f t="shared" si="25"/>
        <v>0</v>
      </c>
      <c r="Z537" t="str">
        <f t="shared" si="26"/>
        <v>สแกนต่าง Cost</v>
      </c>
    </row>
    <row r="538" spans="1:26" x14ac:dyDescent="0.45">
      <c r="B538" t="s">
        <v>26</v>
      </c>
      <c r="C538">
        <v>20024254</v>
      </c>
      <c r="D538" t="s">
        <v>233</v>
      </c>
      <c r="E538" s="8">
        <v>46136.333333333336</v>
      </c>
      <c r="F538" s="8">
        <v>46136.729166666664</v>
      </c>
      <c r="G538" s="9">
        <v>8.5</v>
      </c>
      <c r="H538" s="9">
        <f t="shared" si="24"/>
        <v>4.4999999999999998E-2</v>
      </c>
      <c r="I538" s="9">
        <v>4.4999999999999998E-2</v>
      </c>
      <c r="J538" s="9"/>
      <c r="K538" s="9"/>
      <c r="L538" s="9"/>
      <c r="M538" t="s">
        <v>65</v>
      </c>
      <c r="N538" t="s">
        <v>29</v>
      </c>
      <c r="P538" t="s">
        <v>30</v>
      </c>
      <c r="Q538" t="s">
        <v>31</v>
      </c>
      <c r="R538">
        <v>82910</v>
      </c>
      <c r="S538" t="s">
        <v>201</v>
      </c>
      <c r="T538">
        <v>82605</v>
      </c>
      <c r="U538" t="s">
        <v>202</v>
      </c>
      <c r="V538" t="s">
        <v>202</v>
      </c>
      <c r="W538" t="s">
        <v>37</v>
      </c>
      <c r="X538" t="s">
        <v>47</v>
      </c>
      <c r="Y538" s="9">
        <f t="shared" si="25"/>
        <v>0</v>
      </c>
      <c r="Z538" t="str">
        <f t="shared" si="26"/>
        <v>สแกนต่าง Cost</v>
      </c>
    </row>
    <row r="539" spans="1:26" x14ac:dyDescent="0.45">
      <c r="B539" t="s">
        <v>53</v>
      </c>
      <c r="C539">
        <v>20034535</v>
      </c>
      <c r="D539" t="s">
        <v>99</v>
      </c>
      <c r="E539" s="8">
        <v>46136.333333333336</v>
      </c>
      <c r="F539" s="8">
        <v>46136.729166666664</v>
      </c>
      <c r="G539" s="9">
        <v>8.5</v>
      </c>
      <c r="H539" s="9">
        <f t="shared" si="24"/>
        <v>4.4999999999999998E-2</v>
      </c>
      <c r="I539" s="9">
        <v>4.4999999999999998E-2</v>
      </c>
      <c r="J539" s="9"/>
      <c r="K539" s="9"/>
      <c r="L539" s="9"/>
      <c r="M539" t="s">
        <v>65</v>
      </c>
      <c r="N539" t="s">
        <v>29</v>
      </c>
      <c r="P539" t="s">
        <v>30</v>
      </c>
      <c r="Q539" t="s">
        <v>31</v>
      </c>
      <c r="R539">
        <v>82630</v>
      </c>
      <c r="S539" t="s">
        <v>32</v>
      </c>
      <c r="T539">
        <v>82611</v>
      </c>
      <c r="U539" t="s">
        <v>43</v>
      </c>
      <c r="V539" t="s">
        <v>43</v>
      </c>
      <c r="W539" t="s">
        <v>170</v>
      </c>
      <c r="X539" t="s">
        <v>171</v>
      </c>
      <c r="Y539" s="9">
        <f t="shared" si="25"/>
        <v>0</v>
      </c>
      <c r="Z539" t="str">
        <f t="shared" si="26"/>
        <v>สแกนต่าง Cost</v>
      </c>
    </row>
    <row r="540" spans="1:26" x14ac:dyDescent="0.45">
      <c r="B540" t="s">
        <v>53</v>
      </c>
      <c r="C540">
        <v>20037938</v>
      </c>
      <c r="D540" t="s">
        <v>172</v>
      </c>
      <c r="E540" s="8">
        <v>46136.333333333336</v>
      </c>
      <c r="F540" s="8">
        <v>46136.729166666664</v>
      </c>
      <c r="G540" s="9">
        <v>8.5</v>
      </c>
      <c r="H540" s="9">
        <f t="shared" si="24"/>
        <v>4.4999999999999998E-2</v>
      </c>
      <c r="I540" s="9">
        <v>4.4999999999999998E-2</v>
      </c>
      <c r="J540" s="9"/>
      <c r="K540" s="9"/>
      <c r="L540" s="9"/>
      <c r="M540" t="s">
        <v>65</v>
      </c>
      <c r="N540" t="s">
        <v>29</v>
      </c>
      <c r="P540" t="s">
        <v>30</v>
      </c>
      <c r="Q540" t="s">
        <v>31</v>
      </c>
      <c r="R540">
        <v>82630</v>
      </c>
      <c r="S540" t="s">
        <v>32</v>
      </c>
      <c r="T540">
        <v>82611</v>
      </c>
      <c r="U540" t="s">
        <v>43</v>
      </c>
      <c r="V540" t="s">
        <v>43</v>
      </c>
      <c r="W540" t="s">
        <v>170</v>
      </c>
      <c r="X540" t="s">
        <v>171</v>
      </c>
      <c r="Y540" s="9">
        <f t="shared" si="25"/>
        <v>0</v>
      </c>
      <c r="Z540" t="str">
        <f t="shared" si="26"/>
        <v>สแกนต่าง Cost</v>
      </c>
    </row>
    <row r="541" spans="1:26" x14ac:dyDescent="0.45">
      <c r="B541" t="s">
        <v>53</v>
      </c>
      <c r="C541">
        <v>20041131</v>
      </c>
      <c r="D541" t="s">
        <v>173</v>
      </c>
      <c r="E541" s="8">
        <v>46136.333333333336</v>
      </c>
      <c r="F541" s="8">
        <v>46136.729166666664</v>
      </c>
      <c r="G541" s="9">
        <v>8.5</v>
      </c>
      <c r="H541" s="9">
        <f t="shared" si="24"/>
        <v>4.4999999999999998E-2</v>
      </c>
      <c r="I541" s="9"/>
      <c r="J541" s="9">
        <v>4.4999999999999998E-2</v>
      </c>
      <c r="K541" s="9"/>
      <c r="L541" s="9"/>
      <c r="M541" t="s">
        <v>77</v>
      </c>
      <c r="N541" t="s">
        <v>29</v>
      </c>
      <c r="P541" t="s">
        <v>30</v>
      </c>
      <c r="Q541" t="s">
        <v>31</v>
      </c>
      <c r="R541">
        <v>82630</v>
      </c>
      <c r="S541" t="s">
        <v>32</v>
      </c>
      <c r="T541">
        <v>82611</v>
      </c>
      <c r="U541" t="s">
        <v>43</v>
      </c>
      <c r="V541" t="s">
        <v>43</v>
      </c>
      <c r="W541" t="s">
        <v>170</v>
      </c>
      <c r="X541" t="s">
        <v>171</v>
      </c>
      <c r="Y541" s="9">
        <f t="shared" si="25"/>
        <v>4.4999999999999998E-2</v>
      </c>
      <c r="Z541" t="str">
        <f t="shared" si="26"/>
        <v>สแกนต่าง Cost</v>
      </c>
    </row>
    <row r="542" spans="1:26" x14ac:dyDescent="0.45">
      <c r="A542">
        <v>26887</v>
      </c>
      <c r="B542" t="s">
        <v>53</v>
      </c>
      <c r="C542">
        <v>20058891</v>
      </c>
      <c r="D542" t="s">
        <v>269</v>
      </c>
      <c r="E542" s="8">
        <v>46136.333333333336</v>
      </c>
      <c r="F542" s="8">
        <v>46136.729166666664</v>
      </c>
      <c r="G542" s="9">
        <v>8.5</v>
      </c>
      <c r="H542" s="9">
        <f t="shared" si="24"/>
        <v>4.4999999999999998E-2</v>
      </c>
      <c r="I542" s="9">
        <v>4.4999999999999998E-2</v>
      </c>
      <c r="J542" s="9"/>
      <c r="K542" s="9"/>
      <c r="L542" s="9"/>
      <c r="M542" t="s">
        <v>65</v>
      </c>
      <c r="N542" t="s">
        <v>29</v>
      </c>
      <c r="P542" t="s">
        <v>30</v>
      </c>
      <c r="Q542" t="s">
        <v>31</v>
      </c>
      <c r="R542">
        <v>82301</v>
      </c>
      <c r="S542" t="s">
        <v>79</v>
      </c>
      <c r="T542">
        <v>82308</v>
      </c>
      <c r="U542" t="s">
        <v>69</v>
      </c>
      <c r="V542" t="s">
        <v>69</v>
      </c>
      <c r="W542" t="s">
        <v>69</v>
      </c>
      <c r="X542" t="s">
        <v>95</v>
      </c>
      <c r="Y542" s="9">
        <f t="shared" si="25"/>
        <v>0</v>
      </c>
      <c r="Z542" t="str">
        <f t="shared" si="26"/>
        <v>สแกนต่าง Cost</v>
      </c>
    </row>
    <row r="543" spans="1:26" x14ac:dyDescent="0.45">
      <c r="B543" t="s">
        <v>26</v>
      </c>
      <c r="C543">
        <v>20066762</v>
      </c>
      <c r="D543" t="s">
        <v>203</v>
      </c>
      <c r="E543" s="8">
        <v>46136.333333333336</v>
      </c>
      <c r="F543" s="8">
        <v>46136.729166666664</v>
      </c>
      <c r="G543" s="9">
        <v>8.5</v>
      </c>
      <c r="H543" s="9">
        <f t="shared" si="24"/>
        <v>4.4999999999999998E-2</v>
      </c>
      <c r="I543" s="9">
        <v>4.4999999999999998E-2</v>
      </c>
      <c r="J543" s="9"/>
      <c r="K543" s="9"/>
      <c r="L543" s="9"/>
      <c r="M543" t="s">
        <v>65</v>
      </c>
      <c r="N543" t="s">
        <v>29</v>
      </c>
      <c r="P543" t="s">
        <v>30</v>
      </c>
      <c r="Q543" t="s">
        <v>31</v>
      </c>
      <c r="R543">
        <v>82910</v>
      </c>
      <c r="S543" t="s">
        <v>201</v>
      </c>
      <c r="T543">
        <v>82605</v>
      </c>
      <c r="U543" t="s">
        <v>202</v>
      </c>
      <c r="V543" t="s">
        <v>202</v>
      </c>
      <c r="W543" t="s">
        <v>37</v>
      </c>
      <c r="X543" t="s">
        <v>47</v>
      </c>
      <c r="Y543" s="9">
        <f t="shared" si="25"/>
        <v>0</v>
      </c>
      <c r="Z543" t="str">
        <f t="shared" si="26"/>
        <v>สแกนต่าง Cost</v>
      </c>
    </row>
    <row r="544" spans="1:26" x14ac:dyDescent="0.45">
      <c r="B544" t="s">
        <v>53</v>
      </c>
      <c r="C544">
        <v>20075871</v>
      </c>
      <c r="D544" t="s">
        <v>174</v>
      </c>
      <c r="E544" s="8">
        <v>46136.333333333336</v>
      </c>
      <c r="F544" s="8">
        <v>46136.729166666664</v>
      </c>
      <c r="G544" s="9">
        <v>8.5</v>
      </c>
      <c r="H544" s="9">
        <f t="shared" si="24"/>
        <v>4.4999999999999998E-2</v>
      </c>
      <c r="I544" s="9">
        <v>4.4999999999999998E-2</v>
      </c>
      <c r="J544" s="9"/>
      <c r="K544" s="9"/>
      <c r="L544" s="9"/>
      <c r="M544" t="s">
        <v>65</v>
      </c>
      <c r="N544" t="s">
        <v>29</v>
      </c>
      <c r="P544" t="s">
        <v>133</v>
      </c>
      <c r="Q544" t="s">
        <v>31</v>
      </c>
      <c r="R544">
        <v>82301</v>
      </c>
      <c r="S544" t="s">
        <v>79</v>
      </c>
      <c r="T544">
        <v>82308</v>
      </c>
      <c r="U544" t="s">
        <v>69</v>
      </c>
      <c r="V544" t="s">
        <v>69</v>
      </c>
      <c r="W544" t="s">
        <v>69</v>
      </c>
      <c r="X544" t="s">
        <v>95</v>
      </c>
      <c r="Y544" s="9">
        <f t="shared" si="25"/>
        <v>0</v>
      </c>
      <c r="Z544" t="str">
        <f t="shared" si="26"/>
        <v>สแกนต่าง Cost</v>
      </c>
    </row>
    <row r="545" spans="1:26" x14ac:dyDescent="0.45">
      <c r="A545">
        <v>26919</v>
      </c>
      <c r="B545" t="s">
        <v>53</v>
      </c>
      <c r="C545">
        <v>20076436</v>
      </c>
      <c r="D545" t="s">
        <v>131</v>
      </c>
      <c r="E545" s="8">
        <v>46136.333333333336</v>
      </c>
      <c r="F545" s="8">
        <v>46136.729166666664</v>
      </c>
      <c r="G545" s="9">
        <v>8.5</v>
      </c>
      <c r="H545" s="9">
        <f t="shared" si="24"/>
        <v>4.4999999999999998E-2</v>
      </c>
      <c r="I545" s="9">
        <v>4.4999999999999998E-2</v>
      </c>
      <c r="J545" s="9"/>
      <c r="K545" s="9"/>
      <c r="L545" s="9"/>
      <c r="M545" t="s">
        <v>65</v>
      </c>
      <c r="N545" t="s">
        <v>29</v>
      </c>
      <c r="P545" t="s">
        <v>30</v>
      </c>
      <c r="Q545" t="s">
        <v>31</v>
      </c>
      <c r="R545">
        <v>82301</v>
      </c>
      <c r="S545" t="s">
        <v>79</v>
      </c>
      <c r="T545">
        <v>82308</v>
      </c>
      <c r="U545" t="s">
        <v>69</v>
      </c>
      <c r="V545" t="s">
        <v>69</v>
      </c>
      <c r="W545" t="s">
        <v>69</v>
      </c>
      <c r="X545" t="s">
        <v>95</v>
      </c>
      <c r="Y545" s="9">
        <f t="shared" si="25"/>
        <v>0</v>
      </c>
      <c r="Z545" t="str">
        <f t="shared" si="26"/>
        <v>สแกนต่าง Cost</v>
      </c>
    </row>
    <row r="546" spans="1:26" x14ac:dyDescent="0.45">
      <c r="B546" t="s">
        <v>53</v>
      </c>
      <c r="C546">
        <v>20198711</v>
      </c>
      <c r="D546" t="s">
        <v>178</v>
      </c>
      <c r="E546" s="8">
        <v>46136.333333333336</v>
      </c>
      <c r="F546" s="8">
        <v>46136.729166666664</v>
      </c>
      <c r="G546" s="9">
        <v>8.5</v>
      </c>
      <c r="H546" s="9">
        <f t="shared" si="24"/>
        <v>4.4999999999999998E-2</v>
      </c>
      <c r="I546" s="9">
        <v>4.4999999999999998E-2</v>
      </c>
      <c r="J546" s="9"/>
      <c r="K546" s="9"/>
      <c r="L546" s="9"/>
      <c r="M546" t="s">
        <v>65</v>
      </c>
      <c r="N546" t="s">
        <v>29</v>
      </c>
      <c r="P546" t="s">
        <v>30</v>
      </c>
      <c r="Q546" t="s">
        <v>31</v>
      </c>
      <c r="R546">
        <v>82630</v>
      </c>
      <c r="S546" t="s">
        <v>32</v>
      </c>
      <c r="T546">
        <v>82611</v>
      </c>
      <c r="U546" t="s">
        <v>43</v>
      </c>
      <c r="V546" t="s">
        <v>43</v>
      </c>
      <c r="W546" t="s">
        <v>170</v>
      </c>
      <c r="X546" t="s">
        <v>171</v>
      </c>
      <c r="Y546" s="9">
        <f t="shared" si="25"/>
        <v>0</v>
      </c>
      <c r="Z546" t="str">
        <f t="shared" si="26"/>
        <v>สแกนต่าง Cost</v>
      </c>
    </row>
    <row r="547" spans="1:26" x14ac:dyDescent="0.45">
      <c r="B547" t="s">
        <v>53</v>
      </c>
      <c r="C547">
        <v>20198715</v>
      </c>
      <c r="D547" t="s">
        <v>179</v>
      </c>
      <c r="E547" s="8">
        <v>46136.333333333336</v>
      </c>
      <c r="F547" s="8">
        <v>46136.729166666664</v>
      </c>
      <c r="G547" s="9">
        <v>8.5</v>
      </c>
      <c r="H547" s="9">
        <f t="shared" si="24"/>
        <v>4.4999999999999998E-2</v>
      </c>
      <c r="I547" s="9">
        <v>4.4999999999999998E-2</v>
      </c>
      <c r="J547" s="9"/>
      <c r="K547" s="9"/>
      <c r="L547" s="9"/>
      <c r="M547" t="s">
        <v>65</v>
      </c>
      <c r="N547" t="s">
        <v>29</v>
      </c>
      <c r="P547" t="s">
        <v>30</v>
      </c>
      <c r="Q547" t="s">
        <v>31</v>
      </c>
      <c r="R547">
        <v>82630</v>
      </c>
      <c r="S547" t="s">
        <v>32</v>
      </c>
      <c r="T547">
        <v>82611</v>
      </c>
      <c r="U547" t="s">
        <v>43</v>
      </c>
      <c r="V547" t="s">
        <v>43</v>
      </c>
      <c r="W547" t="s">
        <v>170</v>
      </c>
      <c r="X547" t="s">
        <v>171</v>
      </c>
      <c r="Y547" s="9">
        <f t="shared" si="25"/>
        <v>0</v>
      </c>
      <c r="Z547" t="str">
        <f t="shared" si="26"/>
        <v>สแกนต่าง Cost</v>
      </c>
    </row>
    <row r="548" spans="1:26" x14ac:dyDescent="0.45">
      <c r="B548" t="s">
        <v>53</v>
      </c>
      <c r="C548">
        <v>20198747</v>
      </c>
      <c r="D548" t="s">
        <v>180</v>
      </c>
      <c r="E548" s="8">
        <v>46136.333333333336</v>
      </c>
      <c r="F548" s="8">
        <v>46136.729166666664</v>
      </c>
      <c r="G548" s="9">
        <v>8.5</v>
      </c>
      <c r="H548" s="9">
        <f t="shared" si="24"/>
        <v>4.4999999999999998E-2</v>
      </c>
      <c r="I548" s="9">
        <v>4.4999999999999998E-2</v>
      </c>
      <c r="J548" s="9"/>
      <c r="K548" s="9"/>
      <c r="L548" s="9"/>
      <c r="M548" t="s">
        <v>65</v>
      </c>
      <c r="N548" t="s">
        <v>29</v>
      </c>
      <c r="P548" t="s">
        <v>30</v>
      </c>
      <c r="Q548" t="s">
        <v>31</v>
      </c>
      <c r="R548">
        <v>82630</v>
      </c>
      <c r="S548" t="s">
        <v>32</v>
      </c>
      <c r="T548">
        <v>82640</v>
      </c>
      <c r="U548" t="s">
        <v>42</v>
      </c>
      <c r="V548" t="s">
        <v>70</v>
      </c>
      <c r="W548" t="s">
        <v>170</v>
      </c>
      <c r="X548" t="s">
        <v>171</v>
      </c>
      <c r="Y548" s="9">
        <f t="shared" si="25"/>
        <v>0</v>
      </c>
      <c r="Z548" t="str">
        <f t="shared" si="26"/>
        <v>สแกนต่าง Cost</v>
      </c>
    </row>
    <row r="549" spans="1:26" x14ac:dyDescent="0.45">
      <c r="B549" t="s">
        <v>53</v>
      </c>
      <c r="C549">
        <v>20220646</v>
      </c>
      <c r="D549" t="s">
        <v>67</v>
      </c>
      <c r="E549" s="8">
        <v>46136.333333333336</v>
      </c>
      <c r="F549" s="8">
        <v>46136.5</v>
      </c>
      <c r="G549" s="9">
        <v>4</v>
      </c>
      <c r="H549" s="9">
        <f t="shared" si="24"/>
        <v>2.1000000000000001E-2</v>
      </c>
      <c r="I549" s="9">
        <v>2.1000000000000001E-2</v>
      </c>
      <c r="J549" s="9"/>
      <c r="K549" s="9"/>
      <c r="L549" s="9"/>
      <c r="M549" t="s">
        <v>65</v>
      </c>
      <c r="N549" t="s">
        <v>29</v>
      </c>
      <c r="P549" t="s">
        <v>30</v>
      </c>
      <c r="Q549" t="s">
        <v>31</v>
      </c>
      <c r="R549">
        <v>82640</v>
      </c>
      <c r="S549" t="s">
        <v>42</v>
      </c>
      <c r="T549">
        <v>82652</v>
      </c>
      <c r="U549" t="s">
        <v>46</v>
      </c>
      <c r="V549" t="s">
        <v>66</v>
      </c>
      <c r="W549" t="s">
        <v>37</v>
      </c>
      <c r="X549" t="s">
        <v>34</v>
      </c>
      <c r="Y549" s="9">
        <f t="shared" si="25"/>
        <v>0</v>
      </c>
      <c r="Z549" t="str">
        <f t="shared" si="26"/>
        <v>สแกนต่าง Cost</v>
      </c>
    </row>
    <row r="550" spans="1:26" x14ac:dyDescent="0.45">
      <c r="B550" t="s">
        <v>53</v>
      </c>
      <c r="C550">
        <v>20244923</v>
      </c>
      <c r="D550" t="s">
        <v>246</v>
      </c>
      <c r="E550" s="8">
        <v>46136.333333333336</v>
      </c>
      <c r="F550" s="8">
        <v>46136.354166666664</v>
      </c>
      <c r="G550" s="9">
        <v>0.5</v>
      </c>
      <c r="H550" s="9">
        <f t="shared" si="24"/>
        <v>3.0000000000000001E-3</v>
      </c>
      <c r="I550" s="9">
        <v>3.0000000000000001E-3</v>
      </c>
      <c r="J550" s="9"/>
      <c r="K550" s="9"/>
      <c r="L550" s="9"/>
      <c r="M550" t="s">
        <v>65</v>
      </c>
      <c r="N550" t="s">
        <v>29</v>
      </c>
      <c r="P550" t="s">
        <v>30</v>
      </c>
      <c r="Q550" t="s">
        <v>31</v>
      </c>
      <c r="R550">
        <v>82640</v>
      </c>
      <c r="S550" t="s">
        <v>42</v>
      </c>
      <c r="T550">
        <v>82630</v>
      </c>
      <c r="U550" t="s">
        <v>32</v>
      </c>
      <c r="V550" t="s">
        <v>66</v>
      </c>
      <c r="W550" t="s">
        <v>44</v>
      </c>
      <c r="X550" t="s">
        <v>44</v>
      </c>
      <c r="Y550" s="9">
        <f t="shared" si="25"/>
        <v>0</v>
      </c>
      <c r="Z550" t="str">
        <f t="shared" si="26"/>
        <v>สแกนต่าง Cost</v>
      </c>
    </row>
    <row r="551" spans="1:26" x14ac:dyDescent="0.45">
      <c r="A551">
        <v>27014</v>
      </c>
      <c r="B551" t="s">
        <v>53</v>
      </c>
      <c r="C551">
        <v>20267288</v>
      </c>
      <c r="D551" t="s">
        <v>127</v>
      </c>
      <c r="E551" s="8">
        <v>46136.333333333336</v>
      </c>
      <c r="F551" s="8">
        <v>46136.729166666664</v>
      </c>
      <c r="G551" s="9">
        <v>8.5</v>
      </c>
      <c r="H551" s="9">
        <f t="shared" si="24"/>
        <v>4.4999999999999998E-2</v>
      </c>
      <c r="I551" s="9">
        <v>4.4999999999999998E-2</v>
      </c>
      <c r="J551" s="9"/>
      <c r="K551" s="9"/>
      <c r="L551" s="9"/>
      <c r="M551" t="s">
        <v>65</v>
      </c>
      <c r="N551" t="s">
        <v>29</v>
      </c>
      <c r="P551" t="s">
        <v>30</v>
      </c>
      <c r="Q551" t="s">
        <v>31</v>
      </c>
      <c r="R551">
        <v>82409</v>
      </c>
      <c r="S551" t="s">
        <v>74</v>
      </c>
      <c r="T551">
        <v>82664</v>
      </c>
      <c r="U551" t="s">
        <v>75</v>
      </c>
      <c r="V551" t="s">
        <v>75</v>
      </c>
      <c r="W551" t="s">
        <v>74</v>
      </c>
      <c r="X551" t="s">
        <v>74</v>
      </c>
      <c r="Y551" s="9">
        <f t="shared" si="25"/>
        <v>0</v>
      </c>
      <c r="Z551" t="str">
        <f t="shared" si="26"/>
        <v>สแกนต่าง Cost</v>
      </c>
    </row>
    <row r="552" spans="1:26" x14ac:dyDescent="0.45">
      <c r="A552">
        <v>26890</v>
      </c>
      <c r="B552" t="s">
        <v>53</v>
      </c>
      <c r="C552">
        <v>20276264</v>
      </c>
      <c r="D552" t="s">
        <v>236</v>
      </c>
      <c r="E552" s="8">
        <v>46136.333333333336</v>
      </c>
      <c r="F552" s="8">
        <v>46136.729166666664</v>
      </c>
      <c r="G552" s="9">
        <v>8.5</v>
      </c>
      <c r="H552" s="9">
        <f t="shared" si="24"/>
        <v>4.4999999999999998E-2</v>
      </c>
      <c r="I552" s="9">
        <v>4.4999999999999998E-2</v>
      </c>
      <c r="J552" s="9"/>
      <c r="K552" s="9"/>
      <c r="L552" s="9"/>
      <c r="M552" t="s">
        <v>65</v>
      </c>
      <c r="N552" t="s">
        <v>29</v>
      </c>
      <c r="P552" t="s">
        <v>30</v>
      </c>
      <c r="Q552" t="s">
        <v>31</v>
      </c>
      <c r="R552">
        <v>82301</v>
      </c>
      <c r="S552" t="s">
        <v>79</v>
      </c>
      <c r="T552">
        <v>82308</v>
      </c>
      <c r="U552" t="s">
        <v>69</v>
      </c>
      <c r="V552" t="s">
        <v>69</v>
      </c>
      <c r="W552" t="s">
        <v>69</v>
      </c>
      <c r="X552" t="s">
        <v>95</v>
      </c>
      <c r="Y552" s="9">
        <f t="shared" si="25"/>
        <v>0</v>
      </c>
      <c r="Z552" t="str">
        <f t="shared" si="26"/>
        <v>สแกนต่าง Cost</v>
      </c>
    </row>
    <row r="553" spans="1:26" x14ac:dyDescent="0.45">
      <c r="B553" t="s">
        <v>53</v>
      </c>
      <c r="C553">
        <v>20310532</v>
      </c>
      <c r="D553" t="s">
        <v>61</v>
      </c>
      <c r="E553" s="8">
        <v>46136.333333333336</v>
      </c>
      <c r="F553" s="8">
        <v>46136.375</v>
      </c>
      <c r="G553" s="9">
        <v>1</v>
      </c>
      <c r="H553" s="9">
        <f t="shared" si="24"/>
        <v>5.0000000000000001E-3</v>
      </c>
      <c r="I553" s="9">
        <v>5.0000000000000001E-3</v>
      </c>
      <c r="J553" s="9"/>
      <c r="K553" s="9"/>
      <c r="L553" s="9"/>
      <c r="M553" t="s">
        <v>65</v>
      </c>
      <c r="N553" t="s">
        <v>29</v>
      </c>
      <c r="P553" t="s">
        <v>30</v>
      </c>
      <c r="Q553" t="s">
        <v>31</v>
      </c>
      <c r="R553">
        <v>82640</v>
      </c>
      <c r="S553" t="s">
        <v>42</v>
      </c>
      <c r="T553">
        <v>82612</v>
      </c>
      <c r="U553" t="s">
        <v>153</v>
      </c>
      <c r="V553" t="s">
        <v>66</v>
      </c>
      <c r="W553" t="s">
        <v>44</v>
      </c>
      <c r="X553" t="s">
        <v>44</v>
      </c>
      <c r="Y553" s="9">
        <f t="shared" si="25"/>
        <v>0</v>
      </c>
      <c r="Z553" t="str">
        <f t="shared" si="26"/>
        <v>สแกนต่าง Cost</v>
      </c>
    </row>
    <row r="554" spans="1:26" x14ac:dyDescent="0.45">
      <c r="B554" t="s">
        <v>53</v>
      </c>
      <c r="C554">
        <v>20319535</v>
      </c>
      <c r="D554" t="s">
        <v>36</v>
      </c>
      <c r="E554" s="8">
        <v>46136.333333333336</v>
      </c>
      <c r="F554" s="8">
        <v>46136.729166666664</v>
      </c>
      <c r="G554" s="9">
        <v>9.5</v>
      </c>
      <c r="H554" s="9">
        <f t="shared" si="24"/>
        <v>5.0000000000000001E-3</v>
      </c>
      <c r="I554" s="9"/>
      <c r="J554" s="9"/>
      <c r="K554" s="9"/>
      <c r="L554" s="9">
        <v>5.0000000000000001E-3</v>
      </c>
      <c r="M554" t="s">
        <v>255</v>
      </c>
      <c r="N554" t="s">
        <v>29</v>
      </c>
      <c r="P554" t="s">
        <v>30</v>
      </c>
      <c r="Q554" t="s">
        <v>31</v>
      </c>
      <c r="R554">
        <v>82630</v>
      </c>
      <c r="S554" t="s">
        <v>32</v>
      </c>
      <c r="T554">
        <v>82611</v>
      </c>
      <c r="U554" t="s">
        <v>43</v>
      </c>
      <c r="V554" t="s">
        <v>43</v>
      </c>
      <c r="W554" t="s">
        <v>170</v>
      </c>
      <c r="X554" t="s">
        <v>171</v>
      </c>
      <c r="Y554" s="9">
        <f t="shared" si="25"/>
        <v>5.0000000000000001E-3</v>
      </c>
      <c r="Z554" t="str">
        <f t="shared" si="26"/>
        <v>สแกนต่าง Cost</v>
      </c>
    </row>
    <row r="555" spans="1:26" x14ac:dyDescent="0.45">
      <c r="B555" t="s">
        <v>26</v>
      </c>
      <c r="C555">
        <v>20330032</v>
      </c>
      <c r="D555" t="s">
        <v>204</v>
      </c>
      <c r="E555" s="8">
        <v>46136.333333333336</v>
      </c>
      <c r="F555" s="8">
        <v>46136.729166666664</v>
      </c>
      <c r="G555" s="9">
        <v>8.5</v>
      </c>
      <c r="H555" s="9">
        <f t="shared" si="24"/>
        <v>4.4999999999999998E-2</v>
      </c>
      <c r="I555" s="9">
        <v>4.4999999999999998E-2</v>
      </c>
      <c r="J555" s="9"/>
      <c r="K555" s="9"/>
      <c r="L555" s="9"/>
      <c r="M555" t="s">
        <v>65</v>
      </c>
      <c r="N555" t="s">
        <v>29</v>
      </c>
      <c r="P555" t="s">
        <v>30</v>
      </c>
      <c r="Q555" t="s">
        <v>31</v>
      </c>
      <c r="R555">
        <v>82910</v>
      </c>
      <c r="S555" t="s">
        <v>201</v>
      </c>
      <c r="T555">
        <v>82605</v>
      </c>
      <c r="U555" t="s">
        <v>202</v>
      </c>
      <c r="V555" t="s">
        <v>202</v>
      </c>
      <c r="W555" t="s">
        <v>37</v>
      </c>
      <c r="X555" t="s">
        <v>47</v>
      </c>
      <c r="Y555" s="9">
        <f t="shared" si="25"/>
        <v>0</v>
      </c>
      <c r="Z555" t="str">
        <f t="shared" si="26"/>
        <v>สแกนต่าง Cost</v>
      </c>
    </row>
    <row r="556" spans="1:26" x14ac:dyDescent="0.45">
      <c r="B556" t="s">
        <v>53</v>
      </c>
      <c r="C556">
        <v>20332134</v>
      </c>
      <c r="D556" t="s">
        <v>156</v>
      </c>
      <c r="E556" s="8">
        <v>46136.333333333336</v>
      </c>
      <c r="F556" s="8">
        <v>46136.4375</v>
      </c>
      <c r="G556" s="9">
        <v>2.5</v>
      </c>
      <c r="H556" s="9">
        <f t="shared" si="24"/>
        <v>1.2999999999999999E-2</v>
      </c>
      <c r="I556" s="9">
        <v>1.2999999999999999E-2</v>
      </c>
      <c r="J556" s="9"/>
      <c r="K556" s="9"/>
      <c r="L556" s="9"/>
      <c r="M556" t="s">
        <v>65</v>
      </c>
      <c r="N556" t="s">
        <v>29</v>
      </c>
      <c r="P556" t="s">
        <v>30</v>
      </c>
      <c r="Q556" t="s">
        <v>31</v>
      </c>
      <c r="R556">
        <v>82640</v>
      </c>
      <c r="S556" t="s">
        <v>42</v>
      </c>
      <c r="T556">
        <v>82630</v>
      </c>
      <c r="U556" t="s">
        <v>32</v>
      </c>
      <c r="V556" t="s">
        <v>66</v>
      </c>
      <c r="W556" t="s">
        <v>44</v>
      </c>
      <c r="X556" t="s">
        <v>44</v>
      </c>
      <c r="Y556" s="9">
        <f t="shared" si="25"/>
        <v>0</v>
      </c>
      <c r="Z556" t="str">
        <f t="shared" si="26"/>
        <v>สแกนต่าง Cost</v>
      </c>
    </row>
    <row r="557" spans="1:26" x14ac:dyDescent="0.45">
      <c r="A557">
        <v>27171</v>
      </c>
      <c r="B557" t="s">
        <v>53</v>
      </c>
      <c r="C557">
        <v>20341099</v>
      </c>
      <c r="D557" t="s">
        <v>270</v>
      </c>
      <c r="E557" s="8">
        <v>46136.333333333336</v>
      </c>
      <c r="F557" s="8">
        <v>46136.729166666664</v>
      </c>
      <c r="G557" s="9">
        <v>8.5</v>
      </c>
      <c r="H557" s="9">
        <f t="shared" si="24"/>
        <v>4.4999999999999998E-2</v>
      </c>
      <c r="I557" s="9">
        <v>4.4999999999999998E-2</v>
      </c>
      <c r="J557" s="9"/>
      <c r="K557" s="9"/>
      <c r="L557" s="9"/>
      <c r="M557" t="s">
        <v>65</v>
      </c>
      <c r="N557" t="s">
        <v>29</v>
      </c>
      <c r="P557" t="s">
        <v>30</v>
      </c>
      <c r="Q557" t="s">
        <v>31</v>
      </c>
      <c r="R557">
        <v>82622</v>
      </c>
      <c r="S557" t="s">
        <v>147</v>
      </c>
      <c r="T557">
        <v>82640</v>
      </c>
      <c r="U557" t="s">
        <v>42</v>
      </c>
      <c r="V557" t="s">
        <v>70</v>
      </c>
      <c r="W557" t="s">
        <v>42</v>
      </c>
      <c r="X557" t="s">
        <v>34</v>
      </c>
      <c r="Y557" s="9">
        <f t="shared" si="25"/>
        <v>0</v>
      </c>
      <c r="Z557" t="str">
        <f t="shared" si="26"/>
        <v>สแกนต่าง Cost</v>
      </c>
    </row>
    <row r="558" spans="1:26" x14ac:dyDescent="0.45">
      <c r="B558" t="s">
        <v>53</v>
      </c>
      <c r="C558">
        <v>20344532</v>
      </c>
      <c r="D558" t="s">
        <v>186</v>
      </c>
      <c r="E558" s="8">
        <v>46136.333333333336</v>
      </c>
      <c r="F558" s="8">
        <v>46136.729166666664</v>
      </c>
      <c r="G558" s="9">
        <v>9.5</v>
      </c>
      <c r="H558" s="9">
        <f t="shared" si="24"/>
        <v>4.9999999999999996E-2</v>
      </c>
      <c r="I558" s="9">
        <v>4.4999999999999998E-2</v>
      </c>
      <c r="J558" s="9"/>
      <c r="K558" s="9">
        <v>5.0000000000000001E-3</v>
      </c>
      <c r="L558" s="9"/>
      <c r="M558" t="s">
        <v>28</v>
      </c>
      <c r="N558" t="s">
        <v>29</v>
      </c>
      <c r="P558" t="s">
        <v>30</v>
      </c>
      <c r="Q558" t="s">
        <v>31</v>
      </c>
      <c r="R558">
        <v>82630</v>
      </c>
      <c r="S558" t="s">
        <v>32</v>
      </c>
      <c r="T558">
        <v>82611</v>
      </c>
      <c r="U558" t="s">
        <v>43</v>
      </c>
      <c r="V558" t="s">
        <v>43</v>
      </c>
      <c r="W558" t="s">
        <v>170</v>
      </c>
      <c r="X558" t="s">
        <v>171</v>
      </c>
      <c r="Y558" s="9">
        <f t="shared" si="25"/>
        <v>5.0000000000000001E-3</v>
      </c>
      <c r="Z558" t="str">
        <f t="shared" si="26"/>
        <v>สแกนต่าง Cost</v>
      </c>
    </row>
    <row r="559" spans="1:26" x14ac:dyDescent="0.45">
      <c r="B559" t="s">
        <v>53</v>
      </c>
      <c r="C559">
        <v>20352276</v>
      </c>
      <c r="D559" t="s">
        <v>187</v>
      </c>
      <c r="E559" s="8">
        <v>46136.333333333336</v>
      </c>
      <c r="F559" s="8">
        <v>46136.729166666664</v>
      </c>
      <c r="G559" s="9">
        <v>8.5</v>
      </c>
      <c r="H559" s="9">
        <f t="shared" si="24"/>
        <v>4.4999999999999998E-2</v>
      </c>
      <c r="I559" s="9">
        <v>4.4999999999999998E-2</v>
      </c>
      <c r="J559" s="9"/>
      <c r="K559" s="9"/>
      <c r="L559" s="9"/>
      <c r="M559" t="s">
        <v>65</v>
      </c>
      <c r="N559" t="s">
        <v>29</v>
      </c>
      <c r="P559" t="s">
        <v>30</v>
      </c>
      <c r="Q559" t="s">
        <v>31</v>
      </c>
      <c r="R559">
        <v>82630</v>
      </c>
      <c r="S559" t="s">
        <v>32</v>
      </c>
      <c r="T559">
        <v>82611</v>
      </c>
      <c r="U559" t="s">
        <v>43</v>
      </c>
      <c r="V559" t="s">
        <v>43</v>
      </c>
      <c r="W559" t="s">
        <v>170</v>
      </c>
      <c r="X559" t="s">
        <v>171</v>
      </c>
      <c r="Y559" s="9">
        <f t="shared" si="25"/>
        <v>0</v>
      </c>
      <c r="Z559" t="str">
        <f t="shared" si="26"/>
        <v>สแกนต่าง Cost</v>
      </c>
    </row>
    <row r="560" spans="1:26" x14ac:dyDescent="0.45">
      <c r="B560" t="s">
        <v>26</v>
      </c>
      <c r="C560">
        <v>20373210</v>
      </c>
      <c r="D560" t="s">
        <v>206</v>
      </c>
      <c r="E560" s="8">
        <v>46136.333333333336</v>
      </c>
      <c r="F560" s="8">
        <v>46136.729166666664</v>
      </c>
      <c r="G560" s="9">
        <v>8.5</v>
      </c>
      <c r="H560" s="9">
        <f t="shared" si="24"/>
        <v>4.4999999999999998E-2</v>
      </c>
      <c r="I560" s="9">
        <v>4.4999999999999998E-2</v>
      </c>
      <c r="J560" s="9"/>
      <c r="K560" s="9"/>
      <c r="L560" s="9"/>
      <c r="M560" t="s">
        <v>65</v>
      </c>
      <c r="N560" t="s">
        <v>29</v>
      </c>
      <c r="P560" t="s">
        <v>30</v>
      </c>
      <c r="Q560" t="s">
        <v>31</v>
      </c>
      <c r="R560">
        <v>82910</v>
      </c>
      <c r="S560" t="s">
        <v>201</v>
      </c>
      <c r="T560">
        <v>82605</v>
      </c>
      <c r="U560" t="s">
        <v>202</v>
      </c>
      <c r="V560" t="s">
        <v>202</v>
      </c>
      <c r="W560" t="s">
        <v>37</v>
      </c>
      <c r="X560" t="s">
        <v>47</v>
      </c>
      <c r="Y560" s="9">
        <f t="shared" si="25"/>
        <v>0</v>
      </c>
      <c r="Z560" t="str">
        <f t="shared" si="26"/>
        <v>สแกนต่าง Cost</v>
      </c>
    </row>
    <row r="561" spans="1:26" x14ac:dyDescent="0.45">
      <c r="A561">
        <v>26889</v>
      </c>
      <c r="B561" t="s">
        <v>53</v>
      </c>
      <c r="C561">
        <v>20374943</v>
      </c>
      <c r="D561" t="s">
        <v>207</v>
      </c>
      <c r="E561" s="8">
        <v>46136.333333333336</v>
      </c>
      <c r="F561" s="8">
        <v>46136.729166666664</v>
      </c>
      <c r="G561" s="9">
        <v>8.5</v>
      </c>
      <c r="H561" s="9">
        <f t="shared" si="24"/>
        <v>4.4999999999999998E-2</v>
      </c>
      <c r="I561" s="9">
        <v>4.4999999999999998E-2</v>
      </c>
      <c r="J561" s="9"/>
      <c r="K561" s="9"/>
      <c r="L561" s="9"/>
      <c r="M561" t="s">
        <v>65</v>
      </c>
      <c r="N561" t="s">
        <v>29</v>
      </c>
      <c r="P561" t="s">
        <v>30</v>
      </c>
      <c r="Q561" t="s">
        <v>31</v>
      </c>
      <c r="R561">
        <v>82301</v>
      </c>
      <c r="S561" t="s">
        <v>79</v>
      </c>
      <c r="T561">
        <v>82308</v>
      </c>
      <c r="U561" t="s">
        <v>69</v>
      </c>
      <c r="V561" t="s">
        <v>69</v>
      </c>
      <c r="W561" t="s">
        <v>69</v>
      </c>
      <c r="X561" t="s">
        <v>95</v>
      </c>
      <c r="Y561" s="9">
        <f t="shared" si="25"/>
        <v>0</v>
      </c>
      <c r="Z561" t="str">
        <f t="shared" si="26"/>
        <v>สแกนต่าง Cost</v>
      </c>
    </row>
    <row r="562" spans="1:26" x14ac:dyDescent="0.45">
      <c r="A562">
        <v>26891</v>
      </c>
      <c r="B562" t="s">
        <v>53</v>
      </c>
      <c r="C562">
        <v>20377125</v>
      </c>
      <c r="D562" t="s">
        <v>194</v>
      </c>
      <c r="E562" s="8">
        <v>46136.333333333336</v>
      </c>
      <c r="F562" s="8">
        <v>46136.729166666664</v>
      </c>
      <c r="G562" s="9">
        <v>8.5</v>
      </c>
      <c r="H562" s="9">
        <f t="shared" si="24"/>
        <v>4.4999999999999998E-2</v>
      </c>
      <c r="I562" s="9">
        <v>4.4999999999999998E-2</v>
      </c>
      <c r="J562" s="9"/>
      <c r="K562" s="9"/>
      <c r="L562" s="9"/>
      <c r="M562" t="s">
        <v>65</v>
      </c>
      <c r="N562" t="s">
        <v>29</v>
      </c>
      <c r="P562" t="s">
        <v>30</v>
      </c>
      <c r="Q562" t="s">
        <v>31</v>
      </c>
      <c r="R562">
        <v>82301</v>
      </c>
      <c r="S562" t="s">
        <v>79</v>
      </c>
      <c r="T562">
        <v>82308</v>
      </c>
      <c r="U562" t="s">
        <v>69</v>
      </c>
      <c r="V562" t="s">
        <v>69</v>
      </c>
      <c r="W562" t="s">
        <v>69</v>
      </c>
      <c r="X562" t="s">
        <v>95</v>
      </c>
      <c r="Y562" s="9">
        <f t="shared" si="25"/>
        <v>0</v>
      </c>
      <c r="Z562" t="str">
        <f t="shared" si="26"/>
        <v>สแกนต่าง Cost</v>
      </c>
    </row>
    <row r="563" spans="1:26" x14ac:dyDescent="0.45">
      <c r="A563">
        <v>26852</v>
      </c>
      <c r="B563" t="s">
        <v>53</v>
      </c>
      <c r="C563">
        <v>20344551</v>
      </c>
      <c r="D563" t="s">
        <v>110</v>
      </c>
      <c r="E563" s="8">
        <v>46136.332638888889</v>
      </c>
      <c r="F563" s="8">
        <v>46136.854166666664</v>
      </c>
      <c r="G563" s="9">
        <v>12.516666666666667</v>
      </c>
      <c r="H563" s="9">
        <f t="shared" si="24"/>
        <v>6.6000000000000003E-2</v>
      </c>
      <c r="I563" s="9">
        <v>4.4999999999999998E-2</v>
      </c>
      <c r="J563" s="9"/>
      <c r="K563" s="9">
        <v>2.1000000000000001E-2</v>
      </c>
      <c r="L563" s="9"/>
      <c r="M563" t="s">
        <v>28</v>
      </c>
      <c r="N563" t="s">
        <v>40</v>
      </c>
      <c r="O563" t="s">
        <v>190</v>
      </c>
      <c r="P563" t="s">
        <v>30</v>
      </c>
      <c r="Q563" t="s">
        <v>31</v>
      </c>
      <c r="R563">
        <v>82655</v>
      </c>
      <c r="S563" t="s">
        <v>59</v>
      </c>
      <c r="T563">
        <v>82664</v>
      </c>
      <c r="U563" t="s">
        <v>75</v>
      </c>
      <c r="V563" t="s">
        <v>75</v>
      </c>
      <c r="W563" t="s">
        <v>37</v>
      </c>
      <c r="X563" t="s">
        <v>111</v>
      </c>
      <c r="Y563" s="9">
        <f t="shared" si="25"/>
        <v>2.1000000000000001E-2</v>
      </c>
      <c r="Z563" t="str">
        <f t="shared" si="26"/>
        <v>สแกนต่าง Cost</v>
      </c>
    </row>
    <row r="564" spans="1:26" x14ac:dyDescent="0.45">
      <c r="A564">
        <v>26853</v>
      </c>
      <c r="B564" t="s">
        <v>53</v>
      </c>
      <c r="C564">
        <v>20344552</v>
      </c>
      <c r="D564" t="s">
        <v>112</v>
      </c>
      <c r="E564" s="8">
        <v>46136.332638888889</v>
      </c>
      <c r="F564" s="8">
        <v>46136.854166666664</v>
      </c>
      <c r="G564" s="9">
        <v>12.516666666666667</v>
      </c>
      <c r="H564" s="9">
        <f t="shared" si="24"/>
        <v>6.6000000000000003E-2</v>
      </c>
      <c r="I564" s="9">
        <v>4.4999999999999998E-2</v>
      </c>
      <c r="J564" s="9"/>
      <c r="K564" s="9">
        <v>2.1000000000000001E-2</v>
      </c>
      <c r="L564" s="9"/>
      <c r="M564" t="s">
        <v>28</v>
      </c>
      <c r="N564" t="s">
        <v>40</v>
      </c>
      <c r="O564" t="s">
        <v>190</v>
      </c>
      <c r="P564" t="s">
        <v>30</v>
      </c>
      <c r="Q564" t="s">
        <v>31</v>
      </c>
      <c r="R564">
        <v>82655</v>
      </c>
      <c r="S564" t="s">
        <v>59</v>
      </c>
      <c r="T564">
        <v>82664</v>
      </c>
      <c r="U564" t="s">
        <v>75</v>
      </c>
      <c r="V564" t="s">
        <v>75</v>
      </c>
      <c r="W564" t="s">
        <v>37</v>
      </c>
      <c r="X564" t="s">
        <v>111</v>
      </c>
      <c r="Y564" s="9">
        <f t="shared" si="25"/>
        <v>2.1000000000000001E-2</v>
      </c>
      <c r="Z564" t="str">
        <f t="shared" si="26"/>
        <v>สแกนต่าง Cost</v>
      </c>
    </row>
    <row r="565" spans="1:26" x14ac:dyDescent="0.45">
      <c r="A565">
        <v>26849</v>
      </c>
      <c r="B565" t="s">
        <v>53</v>
      </c>
      <c r="C565">
        <v>20056406</v>
      </c>
      <c r="D565" t="s">
        <v>85</v>
      </c>
      <c r="E565" s="8">
        <v>46136.331250000003</v>
      </c>
      <c r="F565" s="8">
        <v>46136.710416666669</v>
      </c>
      <c r="G565" s="9">
        <v>8.1</v>
      </c>
      <c r="H565" s="9">
        <f t="shared" si="24"/>
        <v>4.2999999999999997E-2</v>
      </c>
      <c r="I565" s="9">
        <v>4.2999999999999997E-2</v>
      </c>
      <c r="J565" s="9"/>
      <c r="K565" s="9"/>
      <c r="L565" s="9"/>
      <c r="M565" t="s">
        <v>65</v>
      </c>
      <c r="N565" t="s">
        <v>29</v>
      </c>
      <c r="P565" t="s">
        <v>30</v>
      </c>
      <c r="Q565" t="s">
        <v>31</v>
      </c>
      <c r="R565">
        <v>82630</v>
      </c>
      <c r="S565" t="s">
        <v>32</v>
      </c>
      <c r="T565">
        <v>82664</v>
      </c>
      <c r="U565" t="s">
        <v>75</v>
      </c>
      <c r="V565" t="s">
        <v>75</v>
      </c>
      <c r="W565" t="s">
        <v>37</v>
      </c>
      <c r="X565" t="s">
        <v>86</v>
      </c>
      <c r="Y565" s="9">
        <f t="shared" si="25"/>
        <v>0</v>
      </c>
      <c r="Z565" t="str">
        <f t="shared" si="26"/>
        <v>สแกนต่าง Cost</v>
      </c>
    </row>
    <row r="566" spans="1:26" x14ac:dyDescent="0.45">
      <c r="A566">
        <v>26850</v>
      </c>
      <c r="B566" t="s">
        <v>53</v>
      </c>
      <c r="C566">
        <v>20156338</v>
      </c>
      <c r="D566" t="s">
        <v>102</v>
      </c>
      <c r="E566" s="8">
        <v>46136.331250000003</v>
      </c>
      <c r="F566" s="8">
        <v>46136.710416666669</v>
      </c>
      <c r="G566" s="9">
        <v>8.1</v>
      </c>
      <c r="H566" s="9">
        <f t="shared" si="24"/>
        <v>4.2999999999999997E-2</v>
      </c>
      <c r="I566" s="9">
        <v>4.2999999999999997E-2</v>
      </c>
      <c r="J566" s="9"/>
      <c r="K566" s="9"/>
      <c r="L566" s="9"/>
      <c r="M566" t="s">
        <v>65</v>
      </c>
      <c r="N566" t="s">
        <v>29</v>
      </c>
      <c r="P566" t="s">
        <v>30</v>
      </c>
      <c r="Q566" t="s">
        <v>31</v>
      </c>
      <c r="R566">
        <v>82630</v>
      </c>
      <c r="S566" t="s">
        <v>32</v>
      </c>
      <c r="T566">
        <v>82664</v>
      </c>
      <c r="U566" t="s">
        <v>75</v>
      </c>
      <c r="V566" t="s">
        <v>75</v>
      </c>
      <c r="W566" t="s">
        <v>37</v>
      </c>
      <c r="X566" t="s">
        <v>86</v>
      </c>
      <c r="Y566" s="9">
        <f t="shared" si="25"/>
        <v>0</v>
      </c>
      <c r="Z566" t="str">
        <f t="shared" si="26"/>
        <v>สแกนต่าง Cost</v>
      </c>
    </row>
    <row r="567" spans="1:26" x14ac:dyDescent="0.45">
      <c r="A567">
        <v>26851</v>
      </c>
      <c r="B567" t="s">
        <v>53</v>
      </c>
      <c r="C567">
        <v>20240959</v>
      </c>
      <c r="D567" t="s">
        <v>105</v>
      </c>
      <c r="E567" s="8">
        <v>46136.331250000003</v>
      </c>
      <c r="F567" s="8">
        <v>46136.710416666669</v>
      </c>
      <c r="G567" s="9">
        <v>8.1</v>
      </c>
      <c r="H567" s="9">
        <f t="shared" si="24"/>
        <v>4.2999999999999997E-2</v>
      </c>
      <c r="I567" s="9">
        <v>4.2999999999999997E-2</v>
      </c>
      <c r="J567" s="9"/>
      <c r="K567" s="9"/>
      <c r="L567" s="9"/>
      <c r="M567" t="s">
        <v>65</v>
      </c>
      <c r="N567" t="s">
        <v>29</v>
      </c>
      <c r="P567" t="s">
        <v>30</v>
      </c>
      <c r="Q567" t="s">
        <v>31</v>
      </c>
      <c r="R567">
        <v>82630</v>
      </c>
      <c r="S567" t="s">
        <v>32</v>
      </c>
      <c r="T567">
        <v>82664</v>
      </c>
      <c r="U567" t="s">
        <v>75</v>
      </c>
      <c r="V567" t="s">
        <v>75</v>
      </c>
      <c r="W567" t="s">
        <v>37</v>
      </c>
      <c r="X567" t="s">
        <v>86</v>
      </c>
      <c r="Y567" s="9">
        <f t="shared" si="25"/>
        <v>0</v>
      </c>
      <c r="Z567" t="str">
        <f t="shared" si="26"/>
        <v>สแกนต่าง Cost</v>
      </c>
    </row>
    <row r="568" spans="1:26" x14ac:dyDescent="0.45">
      <c r="A568">
        <v>26915</v>
      </c>
      <c r="B568" t="s">
        <v>53</v>
      </c>
      <c r="C568">
        <v>20284710</v>
      </c>
      <c r="D568" t="s">
        <v>182</v>
      </c>
      <c r="E568" s="8">
        <v>46136.331250000003</v>
      </c>
      <c r="F568" s="8">
        <v>46136.439583333333</v>
      </c>
      <c r="G568" s="9">
        <v>2.6</v>
      </c>
      <c r="H568" s="9">
        <f t="shared" si="24"/>
        <v>1.4E-2</v>
      </c>
      <c r="I568" s="9"/>
      <c r="J568" s="9"/>
      <c r="K568" s="9">
        <v>1.4E-2</v>
      </c>
      <c r="L568" s="9"/>
      <c r="M568" t="s">
        <v>28</v>
      </c>
      <c r="N568" t="s">
        <v>40</v>
      </c>
      <c r="O568" t="s">
        <v>242</v>
      </c>
      <c r="P568" t="s">
        <v>30</v>
      </c>
      <c r="Q568" t="s">
        <v>31</v>
      </c>
      <c r="R568">
        <v>82210</v>
      </c>
      <c r="S568" t="s">
        <v>184</v>
      </c>
      <c r="T568">
        <v>82308</v>
      </c>
      <c r="U568" t="s">
        <v>69</v>
      </c>
      <c r="V568" t="s">
        <v>69</v>
      </c>
      <c r="W568" t="s">
        <v>69</v>
      </c>
      <c r="X568" t="s">
        <v>57</v>
      </c>
      <c r="Y568" s="9">
        <f t="shared" si="25"/>
        <v>1.4E-2</v>
      </c>
      <c r="Z568" t="str">
        <f t="shared" si="26"/>
        <v>สแกนต่าง Cost</v>
      </c>
    </row>
    <row r="569" spans="1:26" x14ac:dyDescent="0.45">
      <c r="A569">
        <v>26848</v>
      </c>
      <c r="B569" t="s">
        <v>53</v>
      </c>
      <c r="C569">
        <v>20029099</v>
      </c>
      <c r="D569" t="s">
        <v>163</v>
      </c>
      <c r="E569" s="8">
        <v>46136.330555555556</v>
      </c>
      <c r="F569" s="8">
        <v>46136.710416666669</v>
      </c>
      <c r="G569" s="9">
        <v>8.1166666666666671</v>
      </c>
      <c r="H569" s="9">
        <f t="shared" si="24"/>
        <v>4.2999999999999997E-2</v>
      </c>
      <c r="I569" s="9">
        <v>4.2999999999999997E-2</v>
      </c>
      <c r="J569" s="9"/>
      <c r="K569" s="9"/>
      <c r="L569" s="9"/>
      <c r="M569" t="s">
        <v>65</v>
      </c>
      <c r="N569" t="s">
        <v>29</v>
      </c>
      <c r="P569" t="s">
        <v>30</v>
      </c>
      <c r="Q569" t="s">
        <v>31</v>
      </c>
      <c r="R569">
        <v>82630</v>
      </c>
      <c r="S569" t="s">
        <v>32</v>
      </c>
      <c r="T569">
        <v>82664</v>
      </c>
      <c r="U569" t="s">
        <v>75</v>
      </c>
      <c r="V569" t="s">
        <v>75</v>
      </c>
      <c r="W569" t="s">
        <v>37</v>
      </c>
      <c r="X569" t="s">
        <v>86</v>
      </c>
      <c r="Y569" s="9">
        <f t="shared" si="25"/>
        <v>0</v>
      </c>
      <c r="Z569" t="str">
        <f t="shared" si="26"/>
        <v>สแกนต่าง Cost</v>
      </c>
    </row>
    <row r="570" spans="1:26" x14ac:dyDescent="0.45">
      <c r="A570">
        <v>26845</v>
      </c>
      <c r="B570" t="s">
        <v>53</v>
      </c>
      <c r="C570">
        <v>20030839</v>
      </c>
      <c r="D570" t="s">
        <v>235</v>
      </c>
      <c r="E570" s="8">
        <v>46136.32916666667</v>
      </c>
      <c r="F570" s="8">
        <v>46136.854166666664</v>
      </c>
      <c r="G570" s="9">
        <v>12.6</v>
      </c>
      <c r="H570" s="9">
        <f t="shared" si="24"/>
        <v>6.7000000000000004E-2</v>
      </c>
      <c r="I570" s="9">
        <v>4.4999999999999998E-2</v>
      </c>
      <c r="J570" s="9"/>
      <c r="K570" s="9">
        <v>2.1999999999999999E-2</v>
      </c>
      <c r="L570" s="9"/>
      <c r="M570" t="s">
        <v>28</v>
      </c>
      <c r="N570" t="s">
        <v>40</v>
      </c>
      <c r="O570" t="s">
        <v>190</v>
      </c>
      <c r="P570" t="s">
        <v>30</v>
      </c>
      <c r="Q570" t="s">
        <v>31</v>
      </c>
      <c r="R570">
        <v>82658</v>
      </c>
      <c r="S570" t="s">
        <v>33</v>
      </c>
      <c r="T570">
        <v>82664</v>
      </c>
      <c r="U570" t="s">
        <v>75</v>
      </c>
      <c r="V570" t="s">
        <v>75</v>
      </c>
      <c r="W570" t="s">
        <v>37</v>
      </c>
      <c r="X570" t="s">
        <v>111</v>
      </c>
      <c r="Y570" s="9">
        <f t="shared" si="25"/>
        <v>2.1999999999999999E-2</v>
      </c>
      <c r="Z570" t="str">
        <f t="shared" si="26"/>
        <v>สแกนต่าง Cost</v>
      </c>
    </row>
    <row r="571" spans="1:26" x14ac:dyDescent="0.45">
      <c r="A571">
        <v>26844</v>
      </c>
      <c r="B571" t="s">
        <v>53</v>
      </c>
      <c r="C571">
        <v>20162724</v>
      </c>
      <c r="D571" t="s">
        <v>128</v>
      </c>
      <c r="E571" s="8">
        <v>46136.32916666667</v>
      </c>
      <c r="F571" s="8">
        <v>46136.854166666664</v>
      </c>
      <c r="G571" s="9">
        <v>12.6</v>
      </c>
      <c r="H571" s="9">
        <f t="shared" si="24"/>
        <v>6.7000000000000004E-2</v>
      </c>
      <c r="I571" s="9">
        <v>4.4999999999999998E-2</v>
      </c>
      <c r="J571" s="9"/>
      <c r="K571" s="9">
        <v>2.1999999999999999E-2</v>
      </c>
      <c r="L571" s="9"/>
      <c r="M571" t="s">
        <v>28</v>
      </c>
      <c r="N571" t="s">
        <v>29</v>
      </c>
      <c r="P571" t="s">
        <v>30</v>
      </c>
      <c r="Q571" t="s">
        <v>31</v>
      </c>
      <c r="R571">
        <v>82658</v>
      </c>
      <c r="S571" t="s">
        <v>33</v>
      </c>
      <c r="T571">
        <v>82664</v>
      </c>
      <c r="U571" t="s">
        <v>75</v>
      </c>
      <c r="V571" t="s">
        <v>75</v>
      </c>
      <c r="W571" t="s">
        <v>37</v>
      </c>
      <c r="X571" t="s">
        <v>111</v>
      </c>
      <c r="Y571" s="9">
        <f t="shared" si="25"/>
        <v>2.1999999999999999E-2</v>
      </c>
      <c r="Z571" t="str">
        <f t="shared" si="26"/>
        <v>สแกนต่าง Cost</v>
      </c>
    </row>
    <row r="572" spans="1:26" x14ac:dyDescent="0.45">
      <c r="A572">
        <v>26846</v>
      </c>
      <c r="B572" t="s">
        <v>53</v>
      </c>
      <c r="C572">
        <v>20198835</v>
      </c>
      <c r="D572" t="s">
        <v>129</v>
      </c>
      <c r="E572" s="8">
        <v>46136.32916666667</v>
      </c>
      <c r="F572" s="8">
        <v>46136.912499999999</v>
      </c>
      <c r="G572" s="9">
        <v>14</v>
      </c>
      <c r="H572" s="9">
        <f t="shared" si="24"/>
        <v>7.3999999999999996E-2</v>
      </c>
      <c r="I572" s="9">
        <v>4.4999999999999998E-2</v>
      </c>
      <c r="J572" s="9"/>
      <c r="K572" s="9">
        <v>2.9000000000000001E-2</v>
      </c>
      <c r="L572" s="9"/>
      <c r="M572" t="s">
        <v>28</v>
      </c>
      <c r="N572" t="s">
        <v>40</v>
      </c>
      <c r="O572" t="s">
        <v>140</v>
      </c>
      <c r="P572" t="s">
        <v>30</v>
      </c>
      <c r="Q572" t="s">
        <v>31</v>
      </c>
      <c r="R572">
        <v>82658</v>
      </c>
      <c r="S572" t="s">
        <v>33</v>
      </c>
      <c r="T572">
        <v>82664</v>
      </c>
      <c r="U572" t="s">
        <v>75</v>
      </c>
      <c r="V572" t="s">
        <v>75</v>
      </c>
      <c r="W572" t="s">
        <v>37</v>
      </c>
      <c r="X572" t="s">
        <v>111</v>
      </c>
      <c r="Y572" s="9">
        <f t="shared" si="25"/>
        <v>2.9000000000000001E-2</v>
      </c>
      <c r="Z572" t="str">
        <f t="shared" si="26"/>
        <v>สแกนต่าง Cost</v>
      </c>
    </row>
    <row r="573" spans="1:26" x14ac:dyDescent="0.45">
      <c r="A573">
        <v>26847</v>
      </c>
      <c r="B573" t="s">
        <v>53</v>
      </c>
      <c r="C573">
        <v>20372709</v>
      </c>
      <c r="D573" t="s">
        <v>130</v>
      </c>
      <c r="E573" s="8">
        <v>46136.32916666667</v>
      </c>
      <c r="F573" s="8">
        <v>46136.912499999999</v>
      </c>
      <c r="G573" s="9">
        <v>14</v>
      </c>
      <c r="H573" s="9">
        <f t="shared" si="24"/>
        <v>7.3999999999999996E-2</v>
      </c>
      <c r="I573" s="9">
        <v>4.4999999999999998E-2</v>
      </c>
      <c r="J573" s="9"/>
      <c r="K573" s="9">
        <v>2.9000000000000001E-2</v>
      </c>
      <c r="L573" s="9"/>
      <c r="M573" t="s">
        <v>28</v>
      </c>
      <c r="N573" t="s">
        <v>40</v>
      </c>
      <c r="O573" t="s">
        <v>140</v>
      </c>
      <c r="P573" t="s">
        <v>30</v>
      </c>
      <c r="Q573" t="s">
        <v>31</v>
      </c>
      <c r="R573">
        <v>82658</v>
      </c>
      <c r="S573" t="s">
        <v>33</v>
      </c>
      <c r="T573">
        <v>82664</v>
      </c>
      <c r="U573" t="s">
        <v>75</v>
      </c>
      <c r="V573" t="s">
        <v>75</v>
      </c>
      <c r="W573" t="s">
        <v>37</v>
      </c>
      <c r="X573" t="s">
        <v>111</v>
      </c>
      <c r="Y573" s="9">
        <f t="shared" si="25"/>
        <v>2.9000000000000001E-2</v>
      </c>
      <c r="Z573" t="str">
        <f t="shared" si="26"/>
        <v>สแกนต่าง Cost</v>
      </c>
    </row>
    <row r="574" spans="1:26" x14ac:dyDescent="0.45">
      <c r="A574">
        <v>26843</v>
      </c>
      <c r="B574" t="s">
        <v>53</v>
      </c>
      <c r="C574">
        <v>20214280</v>
      </c>
      <c r="D574" t="s">
        <v>136</v>
      </c>
      <c r="E574" s="8">
        <v>46136.246527777781</v>
      </c>
      <c r="F574" s="8">
        <v>46136.729166666664</v>
      </c>
      <c r="G574" s="9">
        <v>11.583333333333334</v>
      </c>
      <c r="H574" s="9">
        <f t="shared" si="24"/>
        <v>6.0999999999999999E-2</v>
      </c>
      <c r="I574" s="9">
        <v>4.4999999999999998E-2</v>
      </c>
      <c r="J574" s="9"/>
      <c r="K574" s="9">
        <v>1.6E-2</v>
      </c>
      <c r="L574" s="9"/>
      <c r="M574" t="s">
        <v>28</v>
      </c>
      <c r="N574" t="s">
        <v>40</v>
      </c>
      <c r="O574" t="s">
        <v>41</v>
      </c>
      <c r="P574" t="s">
        <v>30</v>
      </c>
      <c r="Q574" t="s">
        <v>31</v>
      </c>
      <c r="R574">
        <v>82415</v>
      </c>
      <c r="S574" t="s">
        <v>137</v>
      </c>
      <c r="T574">
        <v>82664</v>
      </c>
      <c r="U574" t="s">
        <v>75</v>
      </c>
      <c r="V574" t="s">
        <v>75</v>
      </c>
      <c r="W574" t="s">
        <v>74</v>
      </c>
      <c r="X574" t="s">
        <v>74</v>
      </c>
      <c r="Y574" s="9">
        <f t="shared" si="25"/>
        <v>1.6E-2</v>
      </c>
      <c r="Z574" t="str">
        <f t="shared" si="26"/>
        <v>สแกนต่าง Cost</v>
      </c>
    </row>
    <row r="575" spans="1:26" x14ac:dyDescent="0.45">
      <c r="B575" t="s">
        <v>53</v>
      </c>
      <c r="C575">
        <v>20023373</v>
      </c>
      <c r="D575" t="s">
        <v>97</v>
      </c>
      <c r="E575" s="8">
        <v>46135.729861111111</v>
      </c>
      <c r="F575" s="8">
        <v>46135.826388888891</v>
      </c>
      <c r="G575" s="9">
        <v>2.3166666666666669</v>
      </c>
      <c r="H575" s="9">
        <f t="shared" si="24"/>
        <v>1.2E-2</v>
      </c>
      <c r="I575" s="9"/>
      <c r="J575" s="9"/>
      <c r="K575" s="9">
        <v>1.2E-2</v>
      </c>
      <c r="L575" s="9"/>
      <c r="M575" t="s">
        <v>28</v>
      </c>
      <c r="N575" t="s">
        <v>40</v>
      </c>
      <c r="O575" t="s">
        <v>41</v>
      </c>
      <c r="P575" t="s">
        <v>30</v>
      </c>
      <c r="Q575" t="s">
        <v>31</v>
      </c>
      <c r="R575">
        <v>82630</v>
      </c>
      <c r="S575" t="s">
        <v>32</v>
      </c>
      <c r="T575">
        <v>82611</v>
      </c>
      <c r="U575" t="s">
        <v>43</v>
      </c>
      <c r="V575" t="s">
        <v>43</v>
      </c>
      <c r="W575" t="s">
        <v>148</v>
      </c>
      <c r="X575" t="s">
        <v>171</v>
      </c>
      <c r="Y575" s="9">
        <f t="shared" si="25"/>
        <v>1.2E-2</v>
      </c>
      <c r="Z575" t="str">
        <f t="shared" si="26"/>
        <v>สแกนต่าง Cost</v>
      </c>
    </row>
    <row r="576" spans="1:26" x14ac:dyDescent="0.45">
      <c r="B576" t="s">
        <v>26</v>
      </c>
      <c r="C576">
        <v>20047023</v>
      </c>
      <c r="D576" t="s">
        <v>271</v>
      </c>
      <c r="E576" s="8">
        <v>46135.729861111111</v>
      </c>
      <c r="F576" s="8">
        <v>46135.82708333333</v>
      </c>
      <c r="G576" s="9">
        <v>2.3333333333333335</v>
      </c>
      <c r="H576" s="9">
        <f t="shared" si="24"/>
        <v>1.2E-2</v>
      </c>
      <c r="I576" s="9">
        <v>1.2E-2</v>
      </c>
      <c r="J576" s="9"/>
      <c r="K576" s="9"/>
      <c r="L576" s="9"/>
      <c r="M576" t="s">
        <v>28</v>
      </c>
      <c r="N576" t="s">
        <v>40</v>
      </c>
      <c r="O576" t="s">
        <v>41</v>
      </c>
      <c r="P576" t="s">
        <v>30</v>
      </c>
      <c r="Q576" t="s">
        <v>31</v>
      </c>
      <c r="R576">
        <v>82607</v>
      </c>
      <c r="S576" t="s">
        <v>168</v>
      </c>
      <c r="T576">
        <v>82611</v>
      </c>
      <c r="U576" t="s">
        <v>43</v>
      </c>
      <c r="V576" t="s">
        <v>43</v>
      </c>
      <c r="W576" t="s">
        <v>148</v>
      </c>
      <c r="X576" t="s">
        <v>171</v>
      </c>
      <c r="Y576" s="9">
        <f t="shared" si="25"/>
        <v>0</v>
      </c>
      <c r="Z576" t="str">
        <f t="shared" si="26"/>
        <v>สแกนต่าง Cost</v>
      </c>
    </row>
    <row r="577" spans="2:26" x14ac:dyDescent="0.45">
      <c r="B577" t="s">
        <v>53</v>
      </c>
      <c r="C577">
        <v>20163802</v>
      </c>
      <c r="D577" t="s">
        <v>272</v>
      </c>
      <c r="E577" s="8">
        <v>46135.729861111111</v>
      </c>
      <c r="F577" s="8">
        <v>46135.826388888891</v>
      </c>
      <c r="G577" s="9">
        <v>2.3166666666666669</v>
      </c>
      <c r="H577" s="9">
        <f t="shared" si="24"/>
        <v>1.2E-2</v>
      </c>
      <c r="I577" s="9"/>
      <c r="J577" s="9"/>
      <c r="K577" s="9">
        <v>1.2E-2</v>
      </c>
      <c r="L577" s="9"/>
      <c r="M577" t="s">
        <v>28</v>
      </c>
      <c r="N577" t="s">
        <v>40</v>
      </c>
      <c r="O577" t="s">
        <v>41</v>
      </c>
      <c r="P577" t="s">
        <v>30</v>
      </c>
      <c r="Q577" t="s">
        <v>31</v>
      </c>
      <c r="R577">
        <v>82630</v>
      </c>
      <c r="S577" t="s">
        <v>32</v>
      </c>
      <c r="T577">
        <v>82611</v>
      </c>
      <c r="U577" t="s">
        <v>43</v>
      </c>
      <c r="V577" t="s">
        <v>43</v>
      </c>
      <c r="W577" t="s">
        <v>148</v>
      </c>
      <c r="X577" t="s">
        <v>171</v>
      </c>
      <c r="Y577" s="9">
        <f t="shared" si="25"/>
        <v>1.2E-2</v>
      </c>
      <c r="Z577" t="str">
        <f t="shared" si="26"/>
        <v>สแกนต่าง Cost</v>
      </c>
    </row>
    <row r="578" spans="2:26" x14ac:dyDescent="0.45">
      <c r="B578" t="s">
        <v>53</v>
      </c>
      <c r="C578">
        <v>20169714</v>
      </c>
      <c r="D578" t="s">
        <v>103</v>
      </c>
      <c r="E578" s="8">
        <v>46135.729861111111</v>
      </c>
      <c r="F578" s="8">
        <v>46135.82708333333</v>
      </c>
      <c r="G578" s="9">
        <v>2.3333333333333335</v>
      </c>
      <c r="H578" s="9">
        <f t="shared" si="24"/>
        <v>1.2E-2</v>
      </c>
      <c r="I578" s="9"/>
      <c r="J578" s="9"/>
      <c r="K578" s="9">
        <v>1.2E-2</v>
      </c>
      <c r="L578" s="9"/>
      <c r="M578" t="s">
        <v>28</v>
      </c>
      <c r="N578" t="s">
        <v>40</v>
      </c>
      <c r="O578" t="s">
        <v>41</v>
      </c>
      <c r="P578" t="s">
        <v>30</v>
      </c>
      <c r="Q578" t="s">
        <v>31</v>
      </c>
      <c r="R578">
        <v>82630</v>
      </c>
      <c r="S578" t="s">
        <v>32</v>
      </c>
      <c r="T578">
        <v>82611</v>
      </c>
      <c r="U578" t="s">
        <v>43</v>
      </c>
      <c r="V578" t="s">
        <v>43</v>
      </c>
      <c r="W578" t="s">
        <v>148</v>
      </c>
      <c r="X578" t="s">
        <v>171</v>
      </c>
      <c r="Y578" s="9">
        <f t="shared" si="25"/>
        <v>1.2E-2</v>
      </c>
      <c r="Z578" t="str">
        <f t="shared" si="26"/>
        <v>สแกนต่าง Cost</v>
      </c>
    </row>
    <row r="579" spans="2:26" x14ac:dyDescent="0.45">
      <c r="B579" t="s">
        <v>53</v>
      </c>
      <c r="C579">
        <v>20306847</v>
      </c>
      <c r="D579" t="s">
        <v>106</v>
      </c>
      <c r="E579" s="8">
        <v>46135.729861111111</v>
      </c>
      <c r="F579" s="8">
        <v>46135.82708333333</v>
      </c>
      <c r="G579" s="9">
        <v>2.3333333333333335</v>
      </c>
      <c r="H579" s="9">
        <f t="shared" ref="H579:H642" si="27">SUM(I579:L579)</f>
        <v>1.2E-2</v>
      </c>
      <c r="I579" s="9"/>
      <c r="J579" s="9"/>
      <c r="K579" s="9">
        <v>1.2E-2</v>
      </c>
      <c r="L579" s="9"/>
      <c r="M579" t="s">
        <v>28</v>
      </c>
      <c r="N579" t="s">
        <v>40</v>
      </c>
      <c r="O579" t="s">
        <v>41</v>
      </c>
      <c r="P579" t="s">
        <v>30</v>
      </c>
      <c r="Q579" t="s">
        <v>31</v>
      </c>
      <c r="R579">
        <v>82630</v>
      </c>
      <c r="S579" t="s">
        <v>32</v>
      </c>
      <c r="T579">
        <v>82611</v>
      </c>
      <c r="U579" t="s">
        <v>43</v>
      </c>
      <c r="V579" t="s">
        <v>43</v>
      </c>
      <c r="W579" t="s">
        <v>148</v>
      </c>
      <c r="X579" t="s">
        <v>171</v>
      </c>
      <c r="Y579" s="9">
        <f t="shared" ref="Y579:Y642" si="28">SUM(J579:L579)</f>
        <v>1.2E-2</v>
      </c>
      <c r="Z579" t="str">
        <f t="shared" ref="Z579:Z642" si="29">IF(R579=T579,"สแกน Cost ตัวเอง","สแกนต่าง Cost")</f>
        <v>สแกนต่าง Cost</v>
      </c>
    </row>
    <row r="580" spans="2:26" x14ac:dyDescent="0.45">
      <c r="B580" t="s">
        <v>53</v>
      </c>
      <c r="C580">
        <v>20338047</v>
      </c>
      <c r="D580" t="s">
        <v>273</v>
      </c>
      <c r="E580" s="8">
        <v>46135.729861111111</v>
      </c>
      <c r="F580" s="8">
        <v>46135.82708333333</v>
      </c>
      <c r="G580" s="9">
        <v>2.3333333333333335</v>
      </c>
      <c r="H580" s="9">
        <f t="shared" si="27"/>
        <v>1.2E-2</v>
      </c>
      <c r="I580" s="9"/>
      <c r="J580" s="9"/>
      <c r="K580" s="9">
        <v>1.2E-2</v>
      </c>
      <c r="L580" s="9"/>
      <c r="M580" t="s">
        <v>28</v>
      </c>
      <c r="N580" t="s">
        <v>40</v>
      </c>
      <c r="O580" t="s">
        <v>41</v>
      </c>
      <c r="P580" t="s">
        <v>30</v>
      </c>
      <c r="Q580" t="s">
        <v>31</v>
      </c>
      <c r="R580">
        <v>82630</v>
      </c>
      <c r="S580" t="s">
        <v>32</v>
      </c>
      <c r="T580">
        <v>82611</v>
      </c>
      <c r="U580" t="s">
        <v>43</v>
      </c>
      <c r="V580" t="s">
        <v>43</v>
      </c>
      <c r="W580" t="s">
        <v>148</v>
      </c>
      <c r="X580" t="s">
        <v>171</v>
      </c>
      <c r="Y580" s="9">
        <f t="shared" si="28"/>
        <v>1.2E-2</v>
      </c>
      <c r="Z580" t="str">
        <f t="shared" si="29"/>
        <v>สแกนต่าง Cost</v>
      </c>
    </row>
    <row r="581" spans="2:26" x14ac:dyDescent="0.45">
      <c r="B581" t="s">
        <v>53</v>
      </c>
      <c r="C581">
        <v>20363688</v>
      </c>
      <c r="D581" t="s">
        <v>274</v>
      </c>
      <c r="E581" s="8">
        <v>46135.729861111111</v>
      </c>
      <c r="F581" s="8">
        <v>46135.82708333333</v>
      </c>
      <c r="G581" s="9">
        <v>2.3333333333333335</v>
      </c>
      <c r="H581" s="9">
        <f t="shared" si="27"/>
        <v>1.2E-2</v>
      </c>
      <c r="I581" s="9"/>
      <c r="J581" s="9"/>
      <c r="K581" s="9">
        <v>1.2E-2</v>
      </c>
      <c r="L581" s="9"/>
      <c r="M581" t="s">
        <v>28</v>
      </c>
      <c r="N581" t="s">
        <v>40</v>
      </c>
      <c r="O581" t="s">
        <v>41</v>
      </c>
      <c r="P581" t="s">
        <v>30</v>
      </c>
      <c r="Q581" t="s">
        <v>31</v>
      </c>
      <c r="R581">
        <v>82630</v>
      </c>
      <c r="S581" t="s">
        <v>32</v>
      </c>
      <c r="T581">
        <v>82611</v>
      </c>
      <c r="U581" t="s">
        <v>43</v>
      </c>
      <c r="V581" t="s">
        <v>43</v>
      </c>
      <c r="W581" t="s">
        <v>148</v>
      </c>
      <c r="X581" t="s">
        <v>171</v>
      </c>
      <c r="Y581" s="9">
        <f t="shared" si="28"/>
        <v>1.2E-2</v>
      </c>
      <c r="Z581" t="str">
        <f t="shared" si="29"/>
        <v>สแกนต่าง Cost</v>
      </c>
    </row>
    <row r="582" spans="2:26" x14ac:dyDescent="0.45">
      <c r="B582" t="s">
        <v>53</v>
      </c>
      <c r="C582">
        <v>20018899</v>
      </c>
      <c r="D582" t="s">
        <v>64</v>
      </c>
      <c r="E582" s="8">
        <v>46135.729166666664</v>
      </c>
      <c r="F582" s="8">
        <v>46135.833333333336</v>
      </c>
      <c r="G582" s="9">
        <v>2.5</v>
      </c>
      <c r="H582" s="9">
        <f t="shared" si="27"/>
        <v>1.2999999999999999E-2</v>
      </c>
      <c r="I582" s="9"/>
      <c r="J582" s="9"/>
      <c r="K582" s="9">
        <v>1.2999999999999999E-2</v>
      </c>
      <c r="L582" s="9"/>
      <c r="M582" t="s">
        <v>28</v>
      </c>
      <c r="N582" t="s">
        <v>40</v>
      </c>
      <c r="O582" t="s">
        <v>41</v>
      </c>
      <c r="P582" t="s">
        <v>30</v>
      </c>
      <c r="Q582" t="s">
        <v>31</v>
      </c>
      <c r="R582">
        <v>82640</v>
      </c>
      <c r="S582" t="s">
        <v>42</v>
      </c>
      <c r="T582">
        <v>82652</v>
      </c>
      <c r="U582" t="s">
        <v>46</v>
      </c>
      <c r="V582" t="s">
        <v>66</v>
      </c>
      <c r="W582" t="s">
        <v>37</v>
      </c>
      <c r="X582" t="s">
        <v>34</v>
      </c>
      <c r="Y582" s="9">
        <f t="shared" si="28"/>
        <v>1.2999999999999999E-2</v>
      </c>
      <c r="Z582" t="str">
        <f t="shared" si="29"/>
        <v>สแกนต่าง Cost</v>
      </c>
    </row>
    <row r="583" spans="2:26" x14ac:dyDescent="0.45">
      <c r="B583" t="s">
        <v>53</v>
      </c>
      <c r="C583">
        <v>20027956</v>
      </c>
      <c r="D583" t="s">
        <v>214</v>
      </c>
      <c r="E583" s="8">
        <v>46135.729166666664</v>
      </c>
      <c r="F583" s="8">
        <v>46135.833333333336</v>
      </c>
      <c r="G583" s="9">
        <v>2.5</v>
      </c>
      <c r="H583" s="9">
        <f t="shared" si="27"/>
        <v>1.2999999999999999E-2</v>
      </c>
      <c r="I583" s="9"/>
      <c r="J583" s="9"/>
      <c r="K583" s="9">
        <v>1.2999999999999999E-2</v>
      </c>
      <c r="L583" s="9"/>
      <c r="M583" t="s">
        <v>28</v>
      </c>
      <c r="N583" t="s">
        <v>40</v>
      </c>
      <c r="O583" t="s">
        <v>41</v>
      </c>
      <c r="P583" t="s">
        <v>30</v>
      </c>
      <c r="Q583" t="s">
        <v>31</v>
      </c>
      <c r="R583">
        <v>82640</v>
      </c>
      <c r="S583" t="s">
        <v>42</v>
      </c>
      <c r="T583">
        <v>82611</v>
      </c>
      <c r="U583" t="s">
        <v>43</v>
      </c>
      <c r="V583" t="s">
        <v>66</v>
      </c>
      <c r="W583" t="s">
        <v>44</v>
      </c>
      <c r="X583" t="s">
        <v>44</v>
      </c>
      <c r="Y583" s="9">
        <f t="shared" si="28"/>
        <v>1.2999999999999999E-2</v>
      </c>
      <c r="Z583" t="str">
        <f t="shared" si="29"/>
        <v>สแกนต่าง Cost</v>
      </c>
    </row>
    <row r="584" spans="2:26" x14ac:dyDescent="0.45">
      <c r="B584" t="s">
        <v>53</v>
      </c>
      <c r="C584">
        <v>20057079</v>
      </c>
      <c r="D584" t="s">
        <v>275</v>
      </c>
      <c r="E584" s="8">
        <v>46135.729166666664</v>
      </c>
      <c r="F584" s="8">
        <v>46135.833333333336</v>
      </c>
      <c r="G584" s="9">
        <v>2.5</v>
      </c>
      <c r="H584" s="9">
        <f t="shared" si="27"/>
        <v>1.2999999999999999E-2</v>
      </c>
      <c r="I584" s="9"/>
      <c r="J584" s="9"/>
      <c r="K584" s="9">
        <v>1.2999999999999999E-2</v>
      </c>
      <c r="L584" s="9"/>
      <c r="M584" t="s">
        <v>28</v>
      </c>
      <c r="N584" t="s">
        <v>29</v>
      </c>
      <c r="P584" t="s">
        <v>30</v>
      </c>
      <c r="Q584" t="s">
        <v>31</v>
      </c>
      <c r="R584">
        <v>82611</v>
      </c>
      <c r="S584" t="s">
        <v>43</v>
      </c>
      <c r="T584">
        <v>82640</v>
      </c>
      <c r="U584" t="s">
        <v>42</v>
      </c>
      <c r="V584" t="s">
        <v>70</v>
      </c>
      <c r="W584" t="s">
        <v>47</v>
      </c>
      <c r="X584" t="s">
        <v>95</v>
      </c>
      <c r="Y584" s="9">
        <f t="shared" si="28"/>
        <v>1.2999999999999999E-2</v>
      </c>
      <c r="Z584" t="str">
        <f t="shared" si="29"/>
        <v>สแกนต่าง Cost</v>
      </c>
    </row>
    <row r="585" spans="2:26" x14ac:dyDescent="0.45">
      <c r="B585" t="s">
        <v>53</v>
      </c>
      <c r="C585">
        <v>20198842</v>
      </c>
      <c r="D585" t="s">
        <v>257</v>
      </c>
      <c r="E585" s="8">
        <v>46135.729166666664</v>
      </c>
      <c r="F585" s="8">
        <v>46135.833333333336</v>
      </c>
      <c r="G585" s="9">
        <v>2.5</v>
      </c>
      <c r="H585" s="9">
        <f t="shared" si="27"/>
        <v>1.2999999999999999E-2</v>
      </c>
      <c r="I585" s="9"/>
      <c r="J585" s="9"/>
      <c r="K585" s="9">
        <v>1.2999999999999999E-2</v>
      </c>
      <c r="L585" s="9"/>
      <c r="M585" t="s">
        <v>28</v>
      </c>
      <c r="N585" t="s">
        <v>29</v>
      </c>
      <c r="P585" t="s">
        <v>30</v>
      </c>
      <c r="Q585" t="s">
        <v>31</v>
      </c>
      <c r="R585">
        <v>82640</v>
      </c>
      <c r="S585" t="s">
        <v>42</v>
      </c>
      <c r="T585">
        <v>82611</v>
      </c>
      <c r="U585" t="s">
        <v>43</v>
      </c>
      <c r="V585" t="s">
        <v>66</v>
      </c>
      <c r="W585" t="s">
        <v>44</v>
      </c>
      <c r="X585" t="s">
        <v>44</v>
      </c>
      <c r="Y585" s="9">
        <f t="shared" si="28"/>
        <v>1.2999999999999999E-2</v>
      </c>
      <c r="Z585" t="str">
        <f t="shared" si="29"/>
        <v>สแกนต่าง Cost</v>
      </c>
    </row>
    <row r="586" spans="2:26" x14ac:dyDescent="0.45">
      <c r="B586" t="s">
        <v>53</v>
      </c>
      <c r="C586">
        <v>20220646</v>
      </c>
      <c r="D586" t="s">
        <v>67</v>
      </c>
      <c r="E586" s="8">
        <v>46135.729166666664</v>
      </c>
      <c r="F586" s="8">
        <v>46135.833333333336</v>
      </c>
      <c r="G586" s="9">
        <v>2.5</v>
      </c>
      <c r="H586" s="9">
        <f t="shared" si="27"/>
        <v>1.2999999999999999E-2</v>
      </c>
      <c r="I586" s="9"/>
      <c r="J586" s="9"/>
      <c r="K586" s="9">
        <v>1.2999999999999999E-2</v>
      </c>
      <c r="L586" s="9"/>
      <c r="M586" t="s">
        <v>28</v>
      </c>
      <c r="N586" t="s">
        <v>40</v>
      </c>
      <c r="O586" t="s">
        <v>41</v>
      </c>
      <c r="P586" t="s">
        <v>30</v>
      </c>
      <c r="Q586" t="s">
        <v>31</v>
      </c>
      <c r="R586">
        <v>82640</v>
      </c>
      <c r="S586" t="s">
        <v>42</v>
      </c>
      <c r="T586">
        <v>82652</v>
      </c>
      <c r="U586" t="s">
        <v>46</v>
      </c>
      <c r="V586" t="s">
        <v>66</v>
      </c>
      <c r="W586" t="s">
        <v>37</v>
      </c>
      <c r="X586" t="s">
        <v>34</v>
      </c>
      <c r="Y586" s="9">
        <f t="shared" si="28"/>
        <v>1.2999999999999999E-2</v>
      </c>
      <c r="Z586" t="str">
        <f t="shared" si="29"/>
        <v>สแกนต่าง Cost</v>
      </c>
    </row>
    <row r="587" spans="2:26" x14ac:dyDescent="0.45">
      <c r="B587" t="s">
        <v>53</v>
      </c>
      <c r="C587">
        <v>20244923</v>
      </c>
      <c r="D587" t="s">
        <v>246</v>
      </c>
      <c r="E587" s="8">
        <v>46135.729166666664</v>
      </c>
      <c r="F587" s="8">
        <v>46135.833333333336</v>
      </c>
      <c r="G587" s="9">
        <v>2.5</v>
      </c>
      <c r="H587" s="9">
        <f t="shared" si="27"/>
        <v>1.2999999999999999E-2</v>
      </c>
      <c r="I587" s="9"/>
      <c r="J587" s="9"/>
      <c r="K587" s="9">
        <v>1.2999999999999999E-2</v>
      </c>
      <c r="L587" s="9"/>
      <c r="M587" t="s">
        <v>28</v>
      </c>
      <c r="N587" t="s">
        <v>40</v>
      </c>
      <c r="O587" t="s">
        <v>41</v>
      </c>
      <c r="P587" t="s">
        <v>30</v>
      </c>
      <c r="Q587" t="s">
        <v>31</v>
      </c>
      <c r="R587">
        <v>82640</v>
      </c>
      <c r="S587" t="s">
        <v>42</v>
      </c>
      <c r="T587">
        <v>82611</v>
      </c>
      <c r="U587" t="s">
        <v>43</v>
      </c>
      <c r="V587" t="s">
        <v>66</v>
      </c>
      <c r="W587" t="s">
        <v>44</v>
      </c>
      <c r="X587" t="s">
        <v>44</v>
      </c>
      <c r="Y587" s="9">
        <f t="shared" si="28"/>
        <v>1.2999999999999999E-2</v>
      </c>
      <c r="Z587" t="str">
        <f t="shared" si="29"/>
        <v>สแกนต่าง Cost</v>
      </c>
    </row>
    <row r="588" spans="2:26" x14ac:dyDescent="0.45">
      <c r="B588" t="s">
        <v>53</v>
      </c>
      <c r="C588">
        <v>20399661</v>
      </c>
      <c r="D588" t="s">
        <v>229</v>
      </c>
      <c r="E588" s="8">
        <v>46135.729166666664</v>
      </c>
      <c r="F588" s="8">
        <v>46135.833333333336</v>
      </c>
      <c r="G588" s="9">
        <v>2.5</v>
      </c>
      <c r="H588" s="9">
        <f t="shared" si="27"/>
        <v>1.2999999999999999E-2</v>
      </c>
      <c r="I588" s="9"/>
      <c r="J588" s="9"/>
      <c r="K588" s="9">
        <v>1.2999999999999999E-2</v>
      </c>
      <c r="L588" s="9"/>
      <c r="M588" t="s">
        <v>28</v>
      </c>
      <c r="N588" t="s">
        <v>29</v>
      </c>
      <c r="P588" t="s">
        <v>30</v>
      </c>
      <c r="Q588" t="s">
        <v>31</v>
      </c>
      <c r="R588">
        <v>82611</v>
      </c>
      <c r="S588" t="s">
        <v>43</v>
      </c>
      <c r="T588">
        <v>82640</v>
      </c>
      <c r="U588" t="s">
        <v>42</v>
      </c>
      <c r="V588" t="s">
        <v>70</v>
      </c>
      <c r="W588" t="s">
        <v>47</v>
      </c>
      <c r="X588" t="s">
        <v>95</v>
      </c>
      <c r="Y588" s="9">
        <f t="shared" si="28"/>
        <v>1.2999999999999999E-2</v>
      </c>
      <c r="Z588" t="str">
        <f t="shared" si="29"/>
        <v>สแกนต่าง Cost</v>
      </c>
    </row>
    <row r="589" spans="2:26" x14ac:dyDescent="0.45">
      <c r="B589" t="s">
        <v>53</v>
      </c>
      <c r="C589">
        <v>20074473</v>
      </c>
      <c r="D589" t="s">
        <v>276</v>
      </c>
      <c r="E589" s="8">
        <v>46135.725694444445</v>
      </c>
      <c r="F589" s="8">
        <v>46135.826388888891</v>
      </c>
      <c r="G589" s="9">
        <v>2.4166666666666665</v>
      </c>
      <c r="H589" s="9">
        <f t="shared" si="27"/>
        <v>1.2999999999999999E-2</v>
      </c>
      <c r="I589" s="9"/>
      <c r="J589" s="9"/>
      <c r="K589" s="9">
        <v>1.2999999999999999E-2</v>
      </c>
      <c r="L589" s="9"/>
      <c r="M589" t="s">
        <v>28</v>
      </c>
      <c r="N589" t="s">
        <v>40</v>
      </c>
      <c r="O589" t="s">
        <v>41</v>
      </c>
      <c r="P589" t="s">
        <v>30</v>
      </c>
      <c r="Q589" t="s">
        <v>31</v>
      </c>
      <c r="R589">
        <v>82630</v>
      </c>
      <c r="S589" t="s">
        <v>32</v>
      </c>
      <c r="T589">
        <v>82611</v>
      </c>
      <c r="U589" t="s">
        <v>43</v>
      </c>
      <c r="V589" t="s">
        <v>43</v>
      </c>
      <c r="W589" t="s">
        <v>148</v>
      </c>
      <c r="X589" t="s">
        <v>171</v>
      </c>
      <c r="Y589" s="9">
        <f t="shared" si="28"/>
        <v>1.2999999999999999E-2</v>
      </c>
      <c r="Z589" t="str">
        <f t="shared" si="29"/>
        <v>สแกนต่าง Cost</v>
      </c>
    </row>
    <row r="590" spans="2:26" x14ac:dyDescent="0.45">
      <c r="B590" t="s">
        <v>53</v>
      </c>
      <c r="C590">
        <v>20163812</v>
      </c>
      <c r="D590" t="s">
        <v>277</v>
      </c>
      <c r="E590" s="8">
        <v>46135.725694444445</v>
      </c>
      <c r="F590" s="8">
        <v>46135.82708333333</v>
      </c>
      <c r="G590" s="9">
        <v>2.4333333333333331</v>
      </c>
      <c r="H590" s="9">
        <f t="shared" si="27"/>
        <v>1.2999999999999999E-2</v>
      </c>
      <c r="I590" s="9"/>
      <c r="J590" s="9"/>
      <c r="K590" s="9">
        <v>1.2999999999999999E-2</v>
      </c>
      <c r="L590" s="9"/>
      <c r="M590" t="s">
        <v>28</v>
      </c>
      <c r="N590" t="s">
        <v>40</v>
      </c>
      <c r="O590" t="s">
        <v>41</v>
      </c>
      <c r="P590" t="s">
        <v>30</v>
      </c>
      <c r="Q590" t="s">
        <v>31</v>
      </c>
      <c r="R590">
        <v>82630</v>
      </c>
      <c r="S590" t="s">
        <v>32</v>
      </c>
      <c r="T590">
        <v>82611</v>
      </c>
      <c r="U590" t="s">
        <v>43</v>
      </c>
      <c r="V590" t="s">
        <v>43</v>
      </c>
      <c r="W590" t="s">
        <v>148</v>
      </c>
      <c r="X590" t="s">
        <v>171</v>
      </c>
      <c r="Y590" s="9">
        <f t="shared" si="28"/>
        <v>1.2999999999999999E-2</v>
      </c>
      <c r="Z590" t="str">
        <f t="shared" si="29"/>
        <v>สแกนต่าง Cost</v>
      </c>
    </row>
    <row r="591" spans="2:26" x14ac:dyDescent="0.45">
      <c r="B591" t="s">
        <v>53</v>
      </c>
      <c r="C591">
        <v>20037938</v>
      </c>
      <c r="D591" t="s">
        <v>172</v>
      </c>
      <c r="E591" s="8">
        <v>46135.724999999999</v>
      </c>
      <c r="F591" s="8">
        <v>46135.826388888891</v>
      </c>
      <c r="G591" s="9">
        <v>2.4333333333333331</v>
      </c>
      <c r="H591" s="9">
        <f t="shared" si="27"/>
        <v>1.2999999999999999E-2</v>
      </c>
      <c r="I591" s="9"/>
      <c r="J591" s="9"/>
      <c r="K591" s="9">
        <v>1.2999999999999999E-2</v>
      </c>
      <c r="L591" s="9"/>
      <c r="M591" t="s">
        <v>28</v>
      </c>
      <c r="N591" t="s">
        <v>29</v>
      </c>
      <c r="P591" t="s">
        <v>30</v>
      </c>
      <c r="Q591" t="s">
        <v>31</v>
      </c>
      <c r="R591">
        <v>82630</v>
      </c>
      <c r="S591" t="s">
        <v>32</v>
      </c>
      <c r="T591">
        <v>82611</v>
      </c>
      <c r="U591" t="s">
        <v>43</v>
      </c>
      <c r="V591" t="s">
        <v>43</v>
      </c>
      <c r="W591" t="s">
        <v>148</v>
      </c>
      <c r="X591" t="s">
        <v>171</v>
      </c>
      <c r="Y591" s="9">
        <f t="shared" si="28"/>
        <v>1.2999999999999999E-2</v>
      </c>
      <c r="Z591" t="str">
        <f t="shared" si="29"/>
        <v>สแกนต่าง Cost</v>
      </c>
    </row>
    <row r="592" spans="2:26" x14ac:dyDescent="0.45">
      <c r="B592" t="s">
        <v>53</v>
      </c>
      <c r="C592">
        <v>20352276</v>
      </c>
      <c r="D592" t="s">
        <v>187</v>
      </c>
      <c r="E592" s="8">
        <v>46135.724999999999</v>
      </c>
      <c r="F592" s="8">
        <v>46135.82708333333</v>
      </c>
      <c r="G592" s="9">
        <v>2.4500000000000002</v>
      </c>
      <c r="H592" s="9">
        <f t="shared" si="27"/>
        <v>1.2999999999999999E-2</v>
      </c>
      <c r="I592" s="9"/>
      <c r="J592" s="9"/>
      <c r="K592" s="9">
        <v>1.2999999999999999E-2</v>
      </c>
      <c r="L592" s="9"/>
      <c r="M592" t="s">
        <v>28</v>
      </c>
      <c r="N592" t="s">
        <v>29</v>
      </c>
      <c r="P592" t="s">
        <v>30</v>
      </c>
      <c r="Q592" t="s">
        <v>31</v>
      </c>
      <c r="R592">
        <v>82630</v>
      </c>
      <c r="S592" t="s">
        <v>32</v>
      </c>
      <c r="T592">
        <v>82611</v>
      </c>
      <c r="U592" t="s">
        <v>43</v>
      </c>
      <c r="V592" t="s">
        <v>43</v>
      </c>
      <c r="W592" t="s">
        <v>148</v>
      </c>
      <c r="X592" t="s">
        <v>171</v>
      </c>
      <c r="Y592" s="9">
        <f t="shared" si="28"/>
        <v>1.2999999999999999E-2</v>
      </c>
      <c r="Z592" t="str">
        <f t="shared" si="29"/>
        <v>สแกนต่าง Cost</v>
      </c>
    </row>
    <row r="593" spans="2:26" x14ac:dyDescent="0.45">
      <c r="B593" t="s">
        <v>53</v>
      </c>
      <c r="C593">
        <v>20019647</v>
      </c>
      <c r="D593" t="s">
        <v>152</v>
      </c>
      <c r="E593" s="8">
        <v>46135.722916666666</v>
      </c>
      <c r="F593" s="8">
        <v>46135.82708333333</v>
      </c>
      <c r="G593" s="9">
        <v>2.5</v>
      </c>
      <c r="H593" s="9">
        <f t="shared" si="27"/>
        <v>1.2999999999999999E-2</v>
      </c>
      <c r="I593" s="9"/>
      <c r="J593" s="9"/>
      <c r="K593" s="9">
        <v>1.2999999999999999E-2</v>
      </c>
      <c r="L593" s="9"/>
      <c r="M593" t="s">
        <v>28</v>
      </c>
      <c r="N593" t="s">
        <v>40</v>
      </c>
      <c r="O593" t="s">
        <v>41</v>
      </c>
      <c r="P593" t="s">
        <v>30</v>
      </c>
      <c r="Q593" t="s">
        <v>31</v>
      </c>
      <c r="R593">
        <v>82630</v>
      </c>
      <c r="S593" t="s">
        <v>32</v>
      </c>
      <c r="T593">
        <v>82611</v>
      </c>
      <c r="U593" t="s">
        <v>43</v>
      </c>
      <c r="V593" t="s">
        <v>43</v>
      </c>
      <c r="W593" t="s">
        <v>148</v>
      </c>
      <c r="X593" t="s">
        <v>171</v>
      </c>
      <c r="Y593" s="9">
        <f t="shared" si="28"/>
        <v>1.2999999999999999E-2</v>
      </c>
      <c r="Z593" t="str">
        <f t="shared" si="29"/>
        <v>สแกนต่าง Cost</v>
      </c>
    </row>
    <row r="594" spans="2:26" x14ac:dyDescent="0.45">
      <c r="B594" t="s">
        <v>26</v>
      </c>
      <c r="C594">
        <v>20027956</v>
      </c>
      <c r="D594" t="s">
        <v>214</v>
      </c>
      <c r="E594" s="8">
        <v>46135.722916666666</v>
      </c>
      <c r="F594" s="8">
        <v>46135.827777777777</v>
      </c>
      <c r="G594" s="9">
        <v>2.5166666666666666</v>
      </c>
      <c r="H594" s="9">
        <f t="shared" si="27"/>
        <v>1.2999999999999999E-2</v>
      </c>
      <c r="I594" s="9"/>
      <c r="J594" s="9"/>
      <c r="K594" s="9">
        <v>1.2999999999999999E-2</v>
      </c>
      <c r="L594" s="9"/>
      <c r="M594" t="s">
        <v>28</v>
      </c>
      <c r="N594" t="s">
        <v>40</v>
      </c>
      <c r="O594" t="s">
        <v>41</v>
      </c>
      <c r="P594" t="s">
        <v>30</v>
      </c>
      <c r="Q594" t="s">
        <v>31</v>
      </c>
      <c r="R594">
        <v>82640</v>
      </c>
      <c r="S594" t="s">
        <v>42</v>
      </c>
      <c r="T594">
        <v>82611</v>
      </c>
      <c r="U594" t="s">
        <v>43</v>
      </c>
      <c r="V594" t="s">
        <v>43</v>
      </c>
      <c r="W594" t="s">
        <v>44</v>
      </c>
      <c r="X594" t="s">
        <v>44</v>
      </c>
      <c r="Y594" s="9">
        <f t="shared" si="28"/>
        <v>1.2999999999999999E-2</v>
      </c>
      <c r="Z594" t="str">
        <f t="shared" si="29"/>
        <v>สแกนต่าง Cost</v>
      </c>
    </row>
    <row r="595" spans="2:26" x14ac:dyDescent="0.45">
      <c r="B595" t="s">
        <v>53</v>
      </c>
      <c r="C595">
        <v>20034535</v>
      </c>
      <c r="D595" t="s">
        <v>99</v>
      </c>
      <c r="E595" s="8">
        <v>46135.722916666666</v>
      </c>
      <c r="F595" s="8">
        <v>46135.82708333333</v>
      </c>
      <c r="G595" s="9">
        <v>2.5</v>
      </c>
      <c r="H595" s="9">
        <f t="shared" si="27"/>
        <v>1.2999999999999999E-2</v>
      </c>
      <c r="I595" s="9"/>
      <c r="J595" s="9"/>
      <c r="K595" s="9">
        <v>1.2999999999999999E-2</v>
      </c>
      <c r="L595" s="9"/>
      <c r="M595" t="s">
        <v>28</v>
      </c>
      <c r="N595" t="s">
        <v>40</v>
      </c>
      <c r="O595" t="s">
        <v>41</v>
      </c>
      <c r="P595" t="s">
        <v>30</v>
      </c>
      <c r="Q595" t="s">
        <v>31</v>
      </c>
      <c r="R595">
        <v>82630</v>
      </c>
      <c r="S595" t="s">
        <v>32</v>
      </c>
      <c r="T595">
        <v>82611</v>
      </c>
      <c r="U595" t="s">
        <v>43</v>
      </c>
      <c r="V595" t="s">
        <v>43</v>
      </c>
      <c r="W595" t="s">
        <v>148</v>
      </c>
      <c r="X595" t="s">
        <v>171</v>
      </c>
      <c r="Y595" s="9">
        <f t="shared" si="28"/>
        <v>1.2999999999999999E-2</v>
      </c>
      <c r="Z595" t="str">
        <f t="shared" si="29"/>
        <v>สแกนต่าง Cost</v>
      </c>
    </row>
    <row r="596" spans="2:26" x14ac:dyDescent="0.45">
      <c r="B596" t="s">
        <v>26</v>
      </c>
      <c r="C596">
        <v>20038749</v>
      </c>
      <c r="D596" t="s">
        <v>218</v>
      </c>
      <c r="E596" s="8">
        <v>46135.722916666666</v>
      </c>
      <c r="F596" s="8">
        <v>46135.827777777777</v>
      </c>
      <c r="G596" s="9">
        <v>2.5166666666666666</v>
      </c>
      <c r="H596" s="9">
        <f t="shared" si="27"/>
        <v>1.2999999999999999E-2</v>
      </c>
      <c r="I596" s="9"/>
      <c r="J596" s="9"/>
      <c r="K596" s="9">
        <v>1.2999999999999999E-2</v>
      </c>
      <c r="L596" s="9"/>
      <c r="M596" t="s">
        <v>28</v>
      </c>
      <c r="N596" t="s">
        <v>40</v>
      </c>
      <c r="O596" t="s">
        <v>41</v>
      </c>
      <c r="P596" t="s">
        <v>30</v>
      </c>
      <c r="Q596" t="s">
        <v>31</v>
      </c>
      <c r="R596">
        <v>82680</v>
      </c>
      <c r="S596" t="s">
        <v>50</v>
      </c>
      <c r="T596">
        <v>82655</v>
      </c>
      <c r="U596" t="s">
        <v>59</v>
      </c>
      <c r="V596" t="s">
        <v>59</v>
      </c>
      <c r="W596" t="s">
        <v>51</v>
      </c>
      <c r="X596" t="s">
        <v>52</v>
      </c>
      <c r="Y596" s="9">
        <f t="shared" si="28"/>
        <v>1.2999999999999999E-2</v>
      </c>
      <c r="Z596" t="str">
        <f t="shared" si="29"/>
        <v>สแกนต่าง Cost</v>
      </c>
    </row>
    <row r="597" spans="2:26" x14ac:dyDescent="0.45">
      <c r="B597" t="s">
        <v>53</v>
      </c>
      <c r="C597">
        <v>20074652</v>
      </c>
      <c r="D597" t="s">
        <v>162</v>
      </c>
      <c r="E597" s="8">
        <v>46135.722916666666</v>
      </c>
      <c r="F597" s="8">
        <v>46135.82708333333</v>
      </c>
      <c r="G597" s="9">
        <v>2.5</v>
      </c>
      <c r="H597" s="9">
        <f t="shared" si="27"/>
        <v>1.2999999999999999E-2</v>
      </c>
      <c r="I597" s="9"/>
      <c r="J597" s="9"/>
      <c r="K597" s="9">
        <v>1.2999999999999999E-2</v>
      </c>
      <c r="L597" s="9"/>
      <c r="M597" t="s">
        <v>28</v>
      </c>
      <c r="N597" t="s">
        <v>40</v>
      </c>
      <c r="O597" t="s">
        <v>41</v>
      </c>
      <c r="P597" t="s">
        <v>30</v>
      </c>
      <c r="Q597" t="s">
        <v>31</v>
      </c>
      <c r="R597">
        <v>82630</v>
      </c>
      <c r="S597" t="s">
        <v>32</v>
      </c>
      <c r="T597">
        <v>82611</v>
      </c>
      <c r="U597" t="s">
        <v>43</v>
      </c>
      <c r="V597" t="s">
        <v>43</v>
      </c>
      <c r="W597" t="s">
        <v>148</v>
      </c>
      <c r="X597" t="s">
        <v>171</v>
      </c>
      <c r="Y597" s="9">
        <f t="shared" si="28"/>
        <v>1.2999999999999999E-2</v>
      </c>
      <c r="Z597" t="str">
        <f t="shared" si="29"/>
        <v>สแกนต่าง Cost</v>
      </c>
    </row>
    <row r="598" spans="2:26" x14ac:dyDescent="0.45">
      <c r="B598" t="s">
        <v>26</v>
      </c>
      <c r="C598">
        <v>20244923</v>
      </c>
      <c r="D598" t="s">
        <v>246</v>
      </c>
      <c r="E598" s="8">
        <v>46135.722916666666</v>
      </c>
      <c r="F598" s="8">
        <v>46135.827777777777</v>
      </c>
      <c r="G598" s="9">
        <v>2.5166666666666666</v>
      </c>
      <c r="H598" s="9">
        <f t="shared" si="27"/>
        <v>1.2999999999999999E-2</v>
      </c>
      <c r="I598" s="9"/>
      <c r="J598" s="9"/>
      <c r="K598" s="9">
        <v>1.2999999999999999E-2</v>
      </c>
      <c r="L598" s="9"/>
      <c r="M598" t="s">
        <v>28</v>
      </c>
      <c r="N598" t="s">
        <v>40</v>
      </c>
      <c r="O598" t="s">
        <v>41</v>
      </c>
      <c r="P598" t="s">
        <v>30</v>
      </c>
      <c r="Q598" t="s">
        <v>31</v>
      </c>
      <c r="R598">
        <v>82640</v>
      </c>
      <c r="S598" t="s">
        <v>42</v>
      </c>
      <c r="T598">
        <v>82611</v>
      </c>
      <c r="U598" t="s">
        <v>43</v>
      </c>
      <c r="V598" t="s">
        <v>43</v>
      </c>
      <c r="W598" t="s">
        <v>44</v>
      </c>
      <c r="X598" t="s">
        <v>44</v>
      </c>
      <c r="Y598" s="9">
        <f t="shared" si="28"/>
        <v>1.2999999999999999E-2</v>
      </c>
      <c r="Z598" t="str">
        <f t="shared" si="29"/>
        <v>สแกนต่าง Cost</v>
      </c>
    </row>
    <row r="599" spans="2:26" x14ac:dyDescent="0.45">
      <c r="B599" t="s">
        <v>26</v>
      </c>
      <c r="C599">
        <v>20344534</v>
      </c>
      <c r="D599" t="s">
        <v>278</v>
      </c>
      <c r="E599" s="8">
        <v>46135.722916666666</v>
      </c>
      <c r="F599" s="8">
        <v>46135.827777777777</v>
      </c>
      <c r="G599" s="9">
        <v>2.5166666666666666</v>
      </c>
      <c r="H599" s="9">
        <f t="shared" si="27"/>
        <v>1.2999999999999999E-2</v>
      </c>
      <c r="I599" s="9"/>
      <c r="J599" s="9"/>
      <c r="K599" s="9">
        <v>1.2999999999999999E-2</v>
      </c>
      <c r="L599" s="9"/>
      <c r="M599" t="s">
        <v>28</v>
      </c>
      <c r="N599" t="s">
        <v>40</v>
      </c>
      <c r="O599" t="s">
        <v>41</v>
      </c>
      <c r="P599" t="s">
        <v>30</v>
      </c>
      <c r="Q599" t="s">
        <v>31</v>
      </c>
      <c r="R599">
        <v>82680</v>
      </c>
      <c r="S599" t="s">
        <v>50</v>
      </c>
      <c r="T599">
        <v>82655</v>
      </c>
      <c r="U599" t="s">
        <v>59</v>
      </c>
      <c r="V599" t="s">
        <v>59</v>
      </c>
      <c r="W599" t="s">
        <v>51</v>
      </c>
      <c r="X599" t="s">
        <v>52</v>
      </c>
      <c r="Y599" s="9">
        <f t="shared" si="28"/>
        <v>1.2999999999999999E-2</v>
      </c>
      <c r="Z599" t="str">
        <f t="shared" si="29"/>
        <v>สแกนต่าง Cost</v>
      </c>
    </row>
    <row r="600" spans="2:26" x14ac:dyDescent="0.45">
      <c r="B600" t="s">
        <v>53</v>
      </c>
      <c r="C600">
        <v>20029099</v>
      </c>
      <c r="D600" t="s">
        <v>163</v>
      </c>
      <c r="E600" s="8">
        <v>46135.722222222219</v>
      </c>
      <c r="F600" s="8">
        <v>46135.826388888891</v>
      </c>
      <c r="G600" s="9">
        <v>2.5</v>
      </c>
      <c r="H600" s="9">
        <f t="shared" si="27"/>
        <v>1.2999999999999999E-2</v>
      </c>
      <c r="I600" s="9"/>
      <c r="J600" s="9"/>
      <c r="K600" s="9"/>
      <c r="L600" s="9">
        <v>1.2999999999999999E-2</v>
      </c>
      <c r="M600" t="s">
        <v>255</v>
      </c>
      <c r="N600" t="s">
        <v>29</v>
      </c>
      <c r="P600" t="s">
        <v>30</v>
      </c>
      <c r="Q600" t="s">
        <v>31</v>
      </c>
      <c r="R600">
        <v>82630</v>
      </c>
      <c r="S600" t="s">
        <v>32</v>
      </c>
      <c r="T600">
        <v>82611</v>
      </c>
      <c r="U600" t="s">
        <v>43</v>
      </c>
      <c r="V600" t="s">
        <v>43</v>
      </c>
      <c r="W600" t="s">
        <v>148</v>
      </c>
      <c r="X600" t="s">
        <v>171</v>
      </c>
      <c r="Y600" s="9">
        <f t="shared" si="28"/>
        <v>1.2999999999999999E-2</v>
      </c>
      <c r="Z600" t="str">
        <f t="shared" si="29"/>
        <v>สแกนต่าง Cost</v>
      </c>
    </row>
    <row r="601" spans="2:26" x14ac:dyDescent="0.45">
      <c r="B601" t="s">
        <v>53</v>
      </c>
      <c r="C601">
        <v>20056406</v>
      </c>
      <c r="D601" t="s">
        <v>85</v>
      </c>
      <c r="E601" s="8">
        <v>46135.722222222219</v>
      </c>
      <c r="F601" s="8">
        <v>46135.826388888891</v>
      </c>
      <c r="G601" s="9">
        <v>2.5</v>
      </c>
      <c r="H601" s="9">
        <f t="shared" si="27"/>
        <v>1.2999999999999999E-2</v>
      </c>
      <c r="I601" s="9"/>
      <c r="J601" s="9"/>
      <c r="K601" s="9">
        <v>1.2999999999999999E-2</v>
      </c>
      <c r="L601" s="9"/>
      <c r="M601" t="s">
        <v>28</v>
      </c>
      <c r="N601" t="s">
        <v>29</v>
      </c>
      <c r="P601" t="s">
        <v>30</v>
      </c>
      <c r="Q601" t="s">
        <v>31</v>
      </c>
      <c r="R601">
        <v>82630</v>
      </c>
      <c r="S601" t="s">
        <v>32</v>
      </c>
      <c r="T601">
        <v>82611</v>
      </c>
      <c r="U601" t="s">
        <v>43</v>
      </c>
      <c r="V601" t="s">
        <v>43</v>
      </c>
      <c r="W601" t="s">
        <v>148</v>
      </c>
      <c r="X601" t="s">
        <v>171</v>
      </c>
      <c r="Y601" s="9">
        <f t="shared" si="28"/>
        <v>1.2999999999999999E-2</v>
      </c>
      <c r="Z601" t="str">
        <f t="shared" si="29"/>
        <v>สแกนต่าง Cost</v>
      </c>
    </row>
    <row r="602" spans="2:26" x14ac:dyDescent="0.45">
      <c r="B602" t="s">
        <v>53</v>
      </c>
      <c r="C602">
        <v>20156338</v>
      </c>
      <c r="D602" t="s">
        <v>102</v>
      </c>
      <c r="E602" s="8">
        <v>46135.722222222219</v>
      </c>
      <c r="F602" s="8">
        <v>46135.826388888891</v>
      </c>
      <c r="G602" s="9">
        <v>2.5</v>
      </c>
      <c r="H602" s="9">
        <f t="shared" si="27"/>
        <v>1.2999999999999999E-2</v>
      </c>
      <c r="I602" s="9"/>
      <c r="J602" s="9"/>
      <c r="K602" s="9">
        <v>1.2999999999999999E-2</v>
      </c>
      <c r="L602" s="9"/>
      <c r="M602" t="s">
        <v>28</v>
      </c>
      <c r="N602" t="s">
        <v>29</v>
      </c>
      <c r="P602" t="s">
        <v>30</v>
      </c>
      <c r="Q602" t="s">
        <v>31</v>
      </c>
      <c r="R602">
        <v>82630</v>
      </c>
      <c r="S602" t="s">
        <v>32</v>
      </c>
      <c r="T602">
        <v>82611</v>
      </c>
      <c r="U602" t="s">
        <v>43</v>
      </c>
      <c r="V602" t="s">
        <v>43</v>
      </c>
      <c r="W602" t="s">
        <v>148</v>
      </c>
      <c r="X602" t="s">
        <v>171</v>
      </c>
      <c r="Y602" s="9">
        <f t="shared" si="28"/>
        <v>1.2999999999999999E-2</v>
      </c>
      <c r="Z602" t="str">
        <f t="shared" si="29"/>
        <v>สแกนต่าง Cost</v>
      </c>
    </row>
    <row r="603" spans="2:26" x14ac:dyDescent="0.45">
      <c r="B603" t="s">
        <v>26</v>
      </c>
      <c r="C603">
        <v>20233956</v>
      </c>
      <c r="D603" t="s">
        <v>219</v>
      </c>
      <c r="E603" s="8">
        <v>46135.722222222219</v>
      </c>
      <c r="F603" s="8">
        <v>46135.827777777777</v>
      </c>
      <c r="G603" s="9">
        <v>2.5333333333333332</v>
      </c>
      <c r="H603" s="9">
        <f t="shared" si="27"/>
        <v>1.4E-2</v>
      </c>
      <c r="I603" s="9"/>
      <c r="J603" s="9"/>
      <c r="K603" s="9">
        <v>1.4E-2</v>
      </c>
      <c r="L603" s="9"/>
      <c r="M603" t="s">
        <v>28</v>
      </c>
      <c r="N603" t="s">
        <v>29</v>
      </c>
      <c r="P603" t="s">
        <v>30</v>
      </c>
      <c r="Q603" t="s">
        <v>31</v>
      </c>
      <c r="R603">
        <v>82680</v>
      </c>
      <c r="S603" t="s">
        <v>50</v>
      </c>
      <c r="T603">
        <v>82655</v>
      </c>
      <c r="U603" t="s">
        <v>59</v>
      </c>
      <c r="V603" t="s">
        <v>59</v>
      </c>
      <c r="W603" t="s">
        <v>51</v>
      </c>
      <c r="X603" t="s">
        <v>52</v>
      </c>
      <c r="Y603" s="9">
        <f t="shared" si="28"/>
        <v>1.4E-2</v>
      </c>
      <c r="Z603" t="str">
        <f t="shared" si="29"/>
        <v>สแกนต่าง Cost</v>
      </c>
    </row>
    <row r="604" spans="2:26" x14ac:dyDescent="0.45">
      <c r="B604" t="s">
        <v>53</v>
      </c>
      <c r="C604">
        <v>20240959</v>
      </c>
      <c r="D604" t="s">
        <v>105</v>
      </c>
      <c r="E604" s="8">
        <v>46135.722222222219</v>
      </c>
      <c r="F604" s="8">
        <v>46135.826388888891</v>
      </c>
      <c r="G604" s="9">
        <v>2.5</v>
      </c>
      <c r="H604" s="9">
        <f t="shared" si="27"/>
        <v>1.2999999999999999E-2</v>
      </c>
      <c r="I604" s="9"/>
      <c r="J604" s="9"/>
      <c r="K604" s="9">
        <v>1.2999999999999999E-2</v>
      </c>
      <c r="L604" s="9"/>
      <c r="M604" t="s">
        <v>28</v>
      </c>
      <c r="N604" t="s">
        <v>40</v>
      </c>
      <c r="O604" t="s">
        <v>41</v>
      </c>
      <c r="P604" t="s">
        <v>30</v>
      </c>
      <c r="Q604" t="s">
        <v>31</v>
      </c>
      <c r="R604">
        <v>82630</v>
      </c>
      <c r="S604" t="s">
        <v>32</v>
      </c>
      <c r="T604">
        <v>82611</v>
      </c>
      <c r="U604" t="s">
        <v>43</v>
      </c>
      <c r="V604" t="s">
        <v>43</v>
      </c>
      <c r="W604" t="s">
        <v>148</v>
      </c>
      <c r="X604" t="s">
        <v>171</v>
      </c>
      <c r="Y604" s="9">
        <f t="shared" si="28"/>
        <v>1.2999999999999999E-2</v>
      </c>
      <c r="Z604" t="str">
        <f t="shared" si="29"/>
        <v>สแกนต่าง Cost</v>
      </c>
    </row>
    <row r="605" spans="2:26" x14ac:dyDescent="0.45">
      <c r="B605" t="s">
        <v>53</v>
      </c>
      <c r="C605">
        <v>20240961</v>
      </c>
      <c r="D605" t="s">
        <v>239</v>
      </c>
      <c r="E605" s="8">
        <v>46135.722222222219</v>
      </c>
      <c r="F605" s="8">
        <v>46135.826388888891</v>
      </c>
      <c r="G605" s="9">
        <v>2.5</v>
      </c>
      <c r="H605" s="9">
        <f t="shared" si="27"/>
        <v>1.2999999999999999E-2</v>
      </c>
      <c r="I605" s="9"/>
      <c r="J605" s="9"/>
      <c r="K605" s="9">
        <v>1.2999999999999999E-2</v>
      </c>
      <c r="L605" s="9"/>
      <c r="M605" t="s">
        <v>28</v>
      </c>
      <c r="N605" t="s">
        <v>40</v>
      </c>
      <c r="O605" t="s">
        <v>41</v>
      </c>
      <c r="P605" t="s">
        <v>30</v>
      </c>
      <c r="Q605" t="s">
        <v>31</v>
      </c>
      <c r="R605">
        <v>82630</v>
      </c>
      <c r="S605" t="s">
        <v>32</v>
      </c>
      <c r="T605">
        <v>82611</v>
      </c>
      <c r="U605" t="s">
        <v>43</v>
      </c>
      <c r="V605" t="s">
        <v>43</v>
      </c>
      <c r="W605" t="s">
        <v>148</v>
      </c>
      <c r="X605" t="s">
        <v>171</v>
      </c>
      <c r="Y605" s="9">
        <f t="shared" si="28"/>
        <v>1.2999999999999999E-2</v>
      </c>
      <c r="Z605" t="str">
        <f t="shared" si="29"/>
        <v>สแกนต่าง Cost</v>
      </c>
    </row>
    <row r="606" spans="2:26" x14ac:dyDescent="0.45">
      <c r="B606" t="s">
        <v>26</v>
      </c>
      <c r="C606">
        <v>20403261</v>
      </c>
      <c r="E606" s="8">
        <v>46135.722222222219</v>
      </c>
      <c r="F606" s="8">
        <v>46135.827777777777</v>
      </c>
      <c r="G606" s="9">
        <v>2.5333333333333332</v>
      </c>
      <c r="H606" s="9">
        <f t="shared" si="27"/>
        <v>1.4E-2</v>
      </c>
      <c r="I606" s="9">
        <v>1.4E-2</v>
      </c>
      <c r="J606" s="9"/>
      <c r="K606" s="9"/>
      <c r="L606" s="9"/>
      <c r="M606" t="s">
        <v>48</v>
      </c>
      <c r="N606" t="s">
        <v>48</v>
      </c>
      <c r="P606" t="s">
        <v>30</v>
      </c>
      <c r="R606">
        <v>82680</v>
      </c>
      <c r="T606">
        <v>82655</v>
      </c>
      <c r="U606" t="s">
        <v>59</v>
      </c>
      <c r="V606" t="s">
        <v>59</v>
      </c>
      <c r="W606" t="s">
        <v>51</v>
      </c>
      <c r="X606" t="s">
        <v>52</v>
      </c>
      <c r="Y606" s="9">
        <f t="shared" si="28"/>
        <v>0</v>
      </c>
      <c r="Z606" t="str">
        <f t="shared" si="29"/>
        <v>สแกนต่าง Cost</v>
      </c>
    </row>
    <row r="607" spans="2:26" x14ac:dyDescent="0.45">
      <c r="B607" t="s">
        <v>26</v>
      </c>
      <c r="C607">
        <v>20198826</v>
      </c>
      <c r="D607" t="s">
        <v>49</v>
      </c>
      <c r="E607" s="8">
        <v>46135.720833333333</v>
      </c>
      <c r="F607" s="8">
        <v>46135.827777777777</v>
      </c>
      <c r="G607" s="9">
        <v>2.5666666666666669</v>
      </c>
      <c r="H607" s="9">
        <f t="shared" si="27"/>
        <v>1.4E-2</v>
      </c>
      <c r="I607" s="9"/>
      <c r="J607" s="9"/>
      <c r="K607" s="9">
        <v>1.4E-2</v>
      </c>
      <c r="L607" s="9"/>
      <c r="M607" t="s">
        <v>28</v>
      </c>
      <c r="N607" t="s">
        <v>29</v>
      </c>
      <c r="P607" t="s">
        <v>30</v>
      </c>
      <c r="Q607" t="s">
        <v>31</v>
      </c>
      <c r="R607">
        <v>82680</v>
      </c>
      <c r="S607" t="s">
        <v>50</v>
      </c>
      <c r="T607">
        <v>82655</v>
      </c>
      <c r="U607" t="s">
        <v>59</v>
      </c>
      <c r="V607" t="s">
        <v>59</v>
      </c>
      <c r="W607" t="s">
        <v>51</v>
      </c>
      <c r="X607" t="s">
        <v>52</v>
      </c>
      <c r="Y607" s="9">
        <f t="shared" si="28"/>
        <v>1.4E-2</v>
      </c>
      <c r="Z607" t="str">
        <f t="shared" si="29"/>
        <v>สแกนต่าง Cost</v>
      </c>
    </row>
    <row r="608" spans="2:26" x14ac:dyDescent="0.45">
      <c r="B608" t="s">
        <v>53</v>
      </c>
      <c r="C608">
        <v>20026534</v>
      </c>
      <c r="D608" t="s">
        <v>279</v>
      </c>
      <c r="E608" s="8">
        <v>46135.708333333336</v>
      </c>
      <c r="F608" s="8">
        <v>46135.729166666664</v>
      </c>
      <c r="G608" s="9">
        <v>0.5</v>
      </c>
      <c r="H608" s="9">
        <f t="shared" si="27"/>
        <v>3.0000000000000001E-3</v>
      </c>
      <c r="I608" s="9">
        <v>3.0000000000000001E-3</v>
      </c>
      <c r="J608" s="9"/>
      <c r="K608" s="9"/>
      <c r="L608" s="9"/>
      <c r="M608" t="s">
        <v>65</v>
      </c>
      <c r="N608" t="s">
        <v>29</v>
      </c>
      <c r="P608" t="s">
        <v>30</v>
      </c>
      <c r="Q608" t="s">
        <v>31</v>
      </c>
      <c r="R608">
        <v>82640</v>
      </c>
      <c r="S608" t="s">
        <v>42</v>
      </c>
      <c r="T608">
        <v>82611</v>
      </c>
      <c r="U608" t="s">
        <v>43</v>
      </c>
      <c r="V608" t="s">
        <v>66</v>
      </c>
      <c r="W608" t="s">
        <v>44</v>
      </c>
      <c r="X608" t="s">
        <v>44</v>
      </c>
      <c r="Y608" s="9">
        <f t="shared" si="28"/>
        <v>0</v>
      </c>
      <c r="Z608" t="str">
        <f t="shared" si="29"/>
        <v>สแกนต่าง Cost</v>
      </c>
    </row>
    <row r="609" spans="2:26" x14ac:dyDescent="0.45">
      <c r="B609" t="s">
        <v>53</v>
      </c>
      <c r="C609">
        <v>20167851</v>
      </c>
      <c r="D609" t="s">
        <v>63</v>
      </c>
      <c r="E609" s="8">
        <v>46135.708333333336</v>
      </c>
      <c r="F609" s="8">
        <v>46135.729166666664</v>
      </c>
      <c r="G609" s="9">
        <v>0.5</v>
      </c>
      <c r="H609" s="9">
        <f t="shared" si="27"/>
        <v>3.0000000000000001E-3</v>
      </c>
      <c r="I609" s="9">
        <v>3.0000000000000001E-3</v>
      </c>
      <c r="J609" s="9"/>
      <c r="K609" s="9"/>
      <c r="L609" s="9"/>
      <c r="M609" t="s">
        <v>65</v>
      </c>
      <c r="N609" t="s">
        <v>29</v>
      </c>
      <c r="P609" t="s">
        <v>30</v>
      </c>
      <c r="Q609" t="s">
        <v>31</v>
      </c>
      <c r="R609">
        <v>82640</v>
      </c>
      <c r="S609" t="s">
        <v>42</v>
      </c>
      <c r="T609">
        <v>82611</v>
      </c>
      <c r="U609" t="s">
        <v>43</v>
      </c>
      <c r="V609" t="s">
        <v>66</v>
      </c>
      <c r="W609" t="s">
        <v>44</v>
      </c>
      <c r="X609" t="s">
        <v>44</v>
      </c>
      <c r="Y609" s="9">
        <f t="shared" si="28"/>
        <v>0</v>
      </c>
      <c r="Z609" t="str">
        <f t="shared" si="29"/>
        <v>สแกนต่าง Cost</v>
      </c>
    </row>
    <row r="610" spans="2:26" x14ac:dyDescent="0.45">
      <c r="B610" t="s">
        <v>53</v>
      </c>
      <c r="C610">
        <v>20060579</v>
      </c>
      <c r="D610" t="s">
        <v>39</v>
      </c>
      <c r="E610" s="8">
        <v>46135.6875</v>
      </c>
      <c r="F610" s="8">
        <v>46135.729166666664</v>
      </c>
      <c r="G610" s="9">
        <v>1</v>
      </c>
      <c r="H610" s="9">
        <f t="shared" si="27"/>
        <v>5.0000000000000001E-3</v>
      </c>
      <c r="I610" s="9">
        <v>5.0000000000000001E-3</v>
      </c>
      <c r="J610" s="9"/>
      <c r="K610" s="9"/>
      <c r="L610" s="9"/>
      <c r="M610" t="s">
        <v>65</v>
      </c>
      <c r="N610" t="s">
        <v>29</v>
      </c>
      <c r="P610" t="s">
        <v>30</v>
      </c>
      <c r="Q610" t="s">
        <v>31</v>
      </c>
      <c r="R610">
        <v>82640</v>
      </c>
      <c r="S610" t="s">
        <v>42</v>
      </c>
      <c r="T610">
        <v>82630</v>
      </c>
      <c r="U610" t="s">
        <v>32</v>
      </c>
      <c r="V610" t="s">
        <v>66</v>
      </c>
      <c r="W610" t="s">
        <v>44</v>
      </c>
      <c r="X610" t="s">
        <v>44</v>
      </c>
      <c r="Y610" s="9">
        <f t="shared" si="28"/>
        <v>0</v>
      </c>
      <c r="Z610" t="str">
        <f t="shared" si="29"/>
        <v>สแกนต่าง Cost</v>
      </c>
    </row>
    <row r="611" spans="2:26" x14ac:dyDescent="0.45">
      <c r="B611" t="s">
        <v>53</v>
      </c>
      <c r="C611">
        <v>20310530</v>
      </c>
      <c r="D611" t="s">
        <v>220</v>
      </c>
      <c r="E611" s="8">
        <v>46135.6875</v>
      </c>
      <c r="F611" s="8">
        <v>46135.708333333336</v>
      </c>
      <c r="G611" s="9">
        <v>0.5</v>
      </c>
      <c r="H611" s="9">
        <f t="shared" si="27"/>
        <v>3.0000000000000001E-3</v>
      </c>
      <c r="I611" s="9">
        <v>3.0000000000000001E-3</v>
      </c>
      <c r="J611" s="9"/>
      <c r="K611" s="9"/>
      <c r="L611" s="9"/>
      <c r="M611" t="s">
        <v>65</v>
      </c>
      <c r="N611" t="s">
        <v>29</v>
      </c>
      <c r="P611" t="s">
        <v>30</v>
      </c>
      <c r="Q611" t="s">
        <v>31</v>
      </c>
      <c r="R611">
        <v>82640</v>
      </c>
      <c r="S611" t="s">
        <v>42</v>
      </c>
      <c r="T611">
        <v>82622</v>
      </c>
      <c r="U611" t="s">
        <v>147</v>
      </c>
      <c r="V611" t="s">
        <v>66</v>
      </c>
      <c r="W611" t="s">
        <v>44</v>
      </c>
      <c r="X611" t="s">
        <v>44</v>
      </c>
      <c r="Y611" s="9">
        <f t="shared" si="28"/>
        <v>0</v>
      </c>
      <c r="Z611" t="str">
        <f t="shared" si="29"/>
        <v>สแกนต่าง Cost</v>
      </c>
    </row>
    <row r="612" spans="2:26" x14ac:dyDescent="0.45">
      <c r="B612" t="s">
        <v>53</v>
      </c>
      <c r="C612">
        <v>20060579</v>
      </c>
      <c r="D612" t="s">
        <v>39</v>
      </c>
      <c r="E612" s="8">
        <v>46135.666666666664</v>
      </c>
      <c r="F612" s="8">
        <v>46135.6875</v>
      </c>
      <c r="G612" s="9">
        <v>0.5</v>
      </c>
      <c r="H612" s="9">
        <f t="shared" si="27"/>
        <v>3.0000000000000001E-3</v>
      </c>
      <c r="I612" s="9">
        <v>3.0000000000000001E-3</v>
      </c>
      <c r="J612" s="9"/>
      <c r="K612" s="9"/>
      <c r="L612" s="9"/>
      <c r="M612" t="s">
        <v>65</v>
      </c>
      <c r="N612" t="s">
        <v>29</v>
      </c>
      <c r="P612" t="s">
        <v>30</v>
      </c>
      <c r="Q612" t="s">
        <v>31</v>
      </c>
      <c r="R612">
        <v>82640</v>
      </c>
      <c r="S612" t="s">
        <v>42</v>
      </c>
      <c r="T612">
        <v>82622</v>
      </c>
      <c r="U612" t="s">
        <v>147</v>
      </c>
      <c r="V612" t="s">
        <v>66</v>
      </c>
      <c r="W612" t="s">
        <v>44</v>
      </c>
      <c r="X612" t="s">
        <v>44</v>
      </c>
      <c r="Y612" s="9">
        <f t="shared" si="28"/>
        <v>0</v>
      </c>
      <c r="Z612" t="str">
        <f t="shared" si="29"/>
        <v>สแกนต่าง Cost</v>
      </c>
    </row>
    <row r="613" spans="2:26" x14ac:dyDescent="0.45">
      <c r="B613" t="s">
        <v>53</v>
      </c>
      <c r="C613">
        <v>20198842</v>
      </c>
      <c r="D613" t="s">
        <v>257</v>
      </c>
      <c r="E613" s="8">
        <v>46135.666666666664</v>
      </c>
      <c r="F613" s="8">
        <v>46135.729166666664</v>
      </c>
      <c r="G613" s="9">
        <v>1.5</v>
      </c>
      <c r="H613" s="9">
        <f t="shared" si="27"/>
        <v>8.0000000000000002E-3</v>
      </c>
      <c r="I613" s="9">
        <v>8.0000000000000002E-3</v>
      </c>
      <c r="J613" s="9"/>
      <c r="K613" s="9"/>
      <c r="L613" s="9"/>
      <c r="M613" t="s">
        <v>65</v>
      </c>
      <c r="N613" t="s">
        <v>29</v>
      </c>
      <c r="P613" t="s">
        <v>30</v>
      </c>
      <c r="Q613" t="s">
        <v>31</v>
      </c>
      <c r="R613">
        <v>82640</v>
      </c>
      <c r="S613" t="s">
        <v>42</v>
      </c>
      <c r="T613">
        <v>82630</v>
      </c>
      <c r="U613" t="s">
        <v>32</v>
      </c>
      <c r="V613" t="s">
        <v>66</v>
      </c>
      <c r="W613" t="s">
        <v>44</v>
      </c>
      <c r="X613" t="s">
        <v>44</v>
      </c>
      <c r="Y613" s="9">
        <f t="shared" si="28"/>
        <v>0</v>
      </c>
      <c r="Z613" t="str">
        <f t="shared" si="29"/>
        <v>สแกนต่าง Cost</v>
      </c>
    </row>
    <row r="614" spans="2:26" x14ac:dyDescent="0.45">
      <c r="B614" t="s">
        <v>53</v>
      </c>
      <c r="C614">
        <v>20310530</v>
      </c>
      <c r="D614" t="s">
        <v>220</v>
      </c>
      <c r="E614" s="8">
        <v>46135.666666666664</v>
      </c>
      <c r="F614" s="8">
        <v>46135.6875</v>
      </c>
      <c r="G614" s="9">
        <v>0.5</v>
      </c>
      <c r="H614" s="9">
        <f t="shared" si="27"/>
        <v>3.0000000000000001E-3</v>
      </c>
      <c r="I614" s="9">
        <v>3.0000000000000001E-3</v>
      </c>
      <c r="J614" s="9"/>
      <c r="K614" s="9"/>
      <c r="L614" s="9"/>
      <c r="M614" t="s">
        <v>65</v>
      </c>
      <c r="N614" t="s">
        <v>29</v>
      </c>
      <c r="P614" t="s">
        <v>30</v>
      </c>
      <c r="Q614" t="s">
        <v>31</v>
      </c>
      <c r="R614">
        <v>82640</v>
      </c>
      <c r="S614" t="s">
        <v>42</v>
      </c>
      <c r="T614">
        <v>82611</v>
      </c>
      <c r="U614" t="s">
        <v>43</v>
      </c>
      <c r="V614" t="s">
        <v>66</v>
      </c>
      <c r="W614" t="s">
        <v>44</v>
      </c>
      <c r="X614" t="s">
        <v>44</v>
      </c>
      <c r="Y614" s="9">
        <f t="shared" si="28"/>
        <v>0</v>
      </c>
      <c r="Z614" t="str">
        <f t="shared" si="29"/>
        <v>สแกนต่าง Cost</v>
      </c>
    </row>
    <row r="615" spans="2:26" x14ac:dyDescent="0.45">
      <c r="B615" t="s">
        <v>53</v>
      </c>
      <c r="C615">
        <v>20332134</v>
      </c>
      <c r="D615" t="s">
        <v>156</v>
      </c>
      <c r="E615" s="8">
        <v>46135.666666666664</v>
      </c>
      <c r="F615" s="8">
        <v>46135.729166666664</v>
      </c>
      <c r="G615" s="9">
        <v>1.5</v>
      </c>
      <c r="H615" s="9">
        <f t="shared" si="27"/>
        <v>8.0000000000000002E-3</v>
      </c>
      <c r="I615" s="9">
        <v>8.0000000000000002E-3</v>
      </c>
      <c r="J615" s="9"/>
      <c r="K615" s="9"/>
      <c r="L615" s="9"/>
      <c r="M615" t="s">
        <v>65</v>
      </c>
      <c r="N615" t="s">
        <v>29</v>
      </c>
      <c r="P615" t="s">
        <v>30</v>
      </c>
      <c r="Q615" t="s">
        <v>31</v>
      </c>
      <c r="R615">
        <v>82640</v>
      </c>
      <c r="S615" t="s">
        <v>42</v>
      </c>
      <c r="T615">
        <v>82630</v>
      </c>
      <c r="U615" t="s">
        <v>32</v>
      </c>
      <c r="V615" t="s">
        <v>66</v>
      </c>
      <c r="W615" t="s">
        <v>44</v>
      </c>
      <c r="X615" t="s">
        <v>44</v>
      </c>
      <c r="Y615" s="9">
        <f t="shared" si="28"/>
        <v>0</v>
      </c>
      <c r="Z615" t="str">
        <f t="shared" si="29"/>
        <v>สแกนต่าง Cost</v>
      </c>
    </row>
    <row r="616" spans="2:26" x14ac:dyDescent="0.45">
      <c r="B616" t="s">
        <v>53</v>
      </c>
      <c r="C616">
        <v>20280718</v>
      </c>
      <c r="D616" t="s">
        <v>256</v>
      </c>
      <c r="E616" s="8">
        <v>46135.645833333336</v>
      </c>
      <c r="F616" s="8">
        <v>46135.729166666664</v>
      </c>
      <c r="G616" s="9">
        <v>2</v>
      </c>
      <c r="H616" s="9">
        <f t="shared" si="27"/>
        <v>1.0999999999999999E-2</v>
      </c>
      <c r="I616" s="9">
        <v>1.0999999999999999E-2</v>
      </c>
      <c r="J616" s="9"/>
      <c r="K616" s="9"/>
      <c r="L616" s="9"/>
      <c r="M616" t="s">
        <v>65</v>
      </c>
      <c r="N616" t="s">
        <v>29</v>
      </c>
      <c r="P616" t="s">
        <v>30</v>
      </c>
      <c r="Q616" t="s">
        <v>31</v>
      </c>
      <c r="R616">
        <v>82640</v>
      </c>
      <c r="S616" t="s">
        <v>42</v>
      </c>
      <c r="T616">
        <v>82630</v>
      </c>
      <c r="U616" t="s">
        <v>32</v>
      </c>
      <c r="V616" t="s">
        <v>66</v>
      </c>
      <c r="W616" t="s">
        <v>44</v>
      </c>
      <c r="X616" t="s">
        <v>44</v>
      </c>
      <c r="Y616" s="9">
        <f t="shared" si="28"/>
        <v>0</v>
      </c>
      <c r="Z616" t="str">
        <f t="shared" si="29"/>
        <v>สแกนต่าง Cost</v>
      </c>
    </row>
    <row r="617" spans="2:26" x14ac:dyDescent="0.45">
      <c r="B617" t="s">
        <v>53</v>
      </c>
      <c r="C617">
        <v>20310530</v>
      </c>
      <c r="D617" t="s">
        <v>220</v>
      </c>
      <c r="E617" s="8">
        <v>46135.645833333336</v>
      </c>
      <c r="F617" s="8">
        <v>46135.666666666664</v>
      </c>
      <c r="G617" s="9">
        <v>0.5</v>
      </c>
      <c r="H617" s="9">
        <f t="shared" si="27"/>
        <v>3.0000000000000001E-3</v>
      </c>
      <c r="I617" s="9">
        <v>3.0000000000000001E-3</v>
      </c>
      <c r="J617" s="9"/>
      <c r="K617" s="9"/>
      <c r="L617" s="9"/>
      <c r="M617" t="s">
        <v>65</v>
      </c>
      <c r="N617" t="s">
        <v>29</v>
      </c>
      <c r="P617" t="s">
        <v>30</v>
      </c>
      <c r="Q617" t="s">
        <v>31</v>
      </c>
      <c r="R617">
        <v>82640</v>
      </c>
      <c r="S617" t="s">
        <v>42</v>
      </c>
      <c r="T617">
        <v>82612</v>
      </c>
      <c r="U617" t="s">
        <v>153</v>
      </c>
      <c r="V617" t="s">
        <v>66</v>
      </c>
      <c r="W617" t="s">
        <v>44</v>
      </c>
      <c r="X617" t="s">
        <v>44</v>
      </c>
      <c r="Y617" s="9">
        <f t="shared" si="28"/>
        <v>0</v>
      </c>
      <c r="Z617" t="str">
        <f t="shared" si="29"/>
        <v>สแกนต่าง Cost</v>
      </c>
    </row>
    <row r="618" spans="2:26" x14ac:dyDescent="0.45">
      <c r="B618" t="s">
        <v>53</v>
      </c>
      <c r="C618">
        <v>20060579</v>
      </c>
      <c r="D618" t="s">
        <v>39</v>
      </c>
      <c r="E618" s="8">
        <v>46135.625</v>
      </c>
      <c r="F618" s="8">
        <v>46135.666666666664</v>
      </c>
      <c r="G618" s="9">
        <v>1</v>
      </c>
      <c r="H618" s="9">
        <f t="shared" si="27"/>
        <v>5.0000000000000001E-3</v>
      </c>
      <c r="I618" s="9">
        <v>5.0000000000000001E-3</v>
      </c>
      <c r="J618" s="9"/>
      <c r="K618" s="9"/>
      <c r="L618" s="9"/>
      <c r="M618" t="s">
        <v>65</v>
      </c>
      <c r="N618" t="s">
        <v>29</v>
      </c>
      <c r="P618" t="s">
        <v>30</v>
      </c>
      <c r="Q618" t="s">
        <v>31</v>
      </c>
      <c r="R618">
        <v>82640</v>
      </c>
      <c r="S618" t="s">
        <v>42</v>
      </c>
      <c r="T618">
        <v>82630</v>
      </c>
      <c r="U618" t="s">
        <v>32</v>
      </c>
      <c r="V618" t="s">
        <v>66</v>
      </c>
      <c r="W618" t="s">
        <v>44</v>
      </c>
      <c r="X618" t="s">
        <v>44</v>
      </c>
      <c r="Y618" s="9">
        <f t="shared" si="28"/>
        <v>0</v>
      </c>
      <c r="Z618" t="str">
        <f t="shared" si="29"/>
        <v>สแกนต่าง Cost</v>
      </c>
    </row>
    <row r="619" spans="2:26" x14ac:dyDescent="0.45">
      <c r="B619" t="s">
        <v>53</v>
      </c>
      <c r="C619">
        <v>20167851</v>
      </c>
      <c r="D619" t="s">
        <v>63</v>
      </c>
      <c r="E619" s="8">
        <v>46135.625</v>
      </c>
      <c r="F619" s="8">
        <v>46135.708333333336</v>
      </c>
      <c r="G619" s="9">
        <v>2</v>
      </c>
      <c r="H619" s="9">
        <f t="shared" si="27"/>
        <v>1.0999999999999999E-2</v>
      </c>
      <c r="I619" s="9">
        <v>1.0999999999999999E-2</v>
      </c>
      <c r="J619" s="9"/>
      <c r="K619" s="9"/>
      <c r="L619" s="9"/>
      <c r="M619" t="s">
        <v>65</v>
      </c>
      <c r="N619" t="s">
        <v>29</v>
      </c>
      <c r="P619" t="s">
        <v>30</v>
      </c>
      <c r="Q619" t="s">
        <v>31</v>
      </c>
      <c r="R619">
        <v>82640</v>
      </c>
      <c r="S619" t="s">
        <v>42</v>
      </c>
      <c r="T619">
        <v>82612</v>
      </c>
      <c r="U619" t="s">
        <v>153</v>
      </c>
      <c r="V619" t="s">
        <v>66</v>
      </c>
      <c r="W619" t="s">
        <v>44</v>
      </c>
      <c r="X619" t="s">
        <v>44</v>
      </c>
      <c r="Y619" s="9">
        <f t="shared" si="28"/>
        <v>0</v>
      </c>
      <c r="Z619" t="str">
        <f t="shared" si="29"/>
        <v>สแกนต่าง Cost</v>
      </c>
    </row>
    <row r="620" spans="2:26" x14ac:dyDescent="0.45">
      <c r="B620" t="s">
        <v>53</v>
      </c>
      <c r="C620">
        <v>20198842</v>
      </c>
      <c r="D620" t="s">
        <v>257</v>
      </c>
      <c r="E620" s="8">
        <v>46135.625</v>
      </c>
      <c r="F620" s="8">
        <v>46135.645833333336</v>
      </c>
      <c r="G620" s="9">
        <v>0.5</v>
      </c>
      <c r="H620" s="9">
        <f t="shared" si="27"/>
        <v>3.0000000000000001E-3</v>
      </c>
      <c r="I620" s="9">
        <v>3.0000000000000001E-3</v>
      </c>
      <c r="J620" s="9"/>
      <c r="K620" s="9"/>
      <c r="L620" s="9"/>
      <c r="M620" t="s">
        <v>65</v>
      </c>
      <c r="N620" t="s">
        <v>29</v>
      </c>
      <c r="P620" t="s">
        <v>30</v>
      </c>
      <c r="Q620" t="s">
        <v>31</v>
      </c>
      <c r="R620">
        <v>82640</v>
      </c>
      <c r="S620" t="s">
        <v>42</v>
      </c>
      <c r="T620">
        <v>82630</v>
      </c>
      <c r="U620" t="s">
        <v>32</v>
      </c>
      <c r="V620" t="s">
        <v>66</v>
      </c>
      <c r="W620" t="s">
        <v>44</v>
      </c>
      <c r="X620" t="s">
        <v>44</v>
      </c>
      <c r="Y620" s="9">
        <f t="shared" si="28"/>
        <v>0</v>
      </c>
      <c r="Z620" t="str">
        <f t="shared" si="29"/>
        <v>สแกนต่าง Cost</v>
      </c>
    </row>
    <row r="621" spans="2:26" x14ac:dyDescent="0.45">
      <c r="B621" t="s">
        <v>53</v>
      </c>
      <c r="C621">
        <v>20280718</v>
      </c>
      <c r="D621" t="s">
        <v>256</v>
      </c>
      <c r="E621" s="8">
        <v>46135.625</v>
      </c>
      <c r="F621" s="8">
        <v>46135.645833333336</v>
      </c>
      <c r="G621" s="9">
        <v>0.5</v>
      </c>
      <c r="H621" s="9">
        <f t="shared" si="27"/>
        <v>3.0000000000000001E-3</v>
      </c>
      <c r="I621" s="9">
        <v>3.0000000000000001E-3</v>
      </c>
      <c r="J621" s="9"/>
      <c r="K621" s="9"/>
      <c r="L621" s="9"/>
      <c r="M621" t="s">
        <v>65</v>
      </c>
      <c r="N621" t="s">
        <v>29</v>
      </c>
      <c r="P621" t="s">
        <v>30</v>
      </c>
      <c r="Q621" t="s">
        <v>31</v>
      </c>
      <c r="R621">
        <v>82640</v>
      </c>
      <c r="S621" t="s">
        <v>42</v>
      </c>
      <c r="T621">
        <v>82611</v>
      </c>
      <c r="U621" t="s">
        <v>43</v>
      </c>
      <c r="V621" t="s">
        <v>66</v>
      </c>
      <c r="W621" t="s">
        <v>44</v>
      </c>
      <c r="X621" t="s">
        <v>44</v>
      </c>
      <c r="Y621" s="9">
        <f t="shared" si="28"/>
        <v>0</v>
      </c>
      <c r="Z621" t="str">
        <f t="shared" si="29"/>
        <v>สแกนต่าง Cost</v>
      </c>
    </row>
    <row r="622" spans="2:26" x14ac:dyDescent="0.45">
      <c r="B622" t="s">
        <v>53</v>
      </c>
      <c r="C622">
        <v>20332134</v>
      </c>
      <c r="D622" t="s">
        <v>156</v>
      </c>
      <c r="E622" s="8">
        <v>46135.625</v>
      </c>
      <c r="F622" s="8">
        <v>46135.666666666664</v>
      </c>
      <c r="G622" s="9">
        <v>1</v>
      </c>
      <c r="H622" s="9">
        <f t="shared" si="27"/>
        <v>5.0000000000000001E-3</v>
      </c>
      <c r="I622" s="9">
        <v>5.0000000000000001E-3</v>
      </c>
      <c r="J622" s="9"/>
      <c r="K622" s="9"/>
      <c r="L622" s="9"/>
      <c r="M622" t="s">
        <v>65</v>
      </c>
      <c r="N622" t="s">
        <v>29</v>
      </c>
      <c r="P622" t="s">
        <v>30</v>
      </c>
      <c r="Q622" t="s">
        <v>31</v>
      </c>
      <c r="R622">
        <v>82640</v>
      </c>
      <c r="S622" t="s">
        <v>42</v>
      </c>
      <c r="T622">
        <v>82612</v>
      </c>
      <c r="U622" t="s">
        <v>153</v>
      </c>
      <c r="V622" t="s">
        <v>66</v>
      </c>
      <c r="W622" t="s">
        <v>44</v>
      </c>
      <c r="X622" t="s">
        <v>44</v>
      </c>
      <c r="Y622" s="9">
        <f t="shared" si="28"/>
        <v>0</v>
      </c>
      <c r="Z622" t="str">
        <f t="shared" si="29"/>
        <v>สแกนต่าง Cost</v>
      </c>
    </row>
    <row r="623" spans="2:26" x14ac:dyDescent="0.45">
      <c r="B623" t="s">
        <v>53</v>
      </c>
      <c r="C623">
        <v>20026534</v>
      </c>
      <c r="D623" t="s">
        <v>279</v>
      </c>
      <c r="E623" s="8">
        <v>46135.604166666664</v>
      </c>
      <c r="F623" s="8">
        <v>46135.708333333336</v>
      </c>
      <c r="G623" s="9">
        <v>2.5</v>
      </c>
      <c r="H623" s="9">
        <f t="shared" si="27"/>
        <v>1.2999999999999999E-2</v>
      </c>
      <c r="I623" s="9">
        <v>1.2999999999999999E-2</v>
      </c>
      <c r="J623" s="9"/>
      <c r="K623" s="9"/>
      <c r="L623" s="9"/>
      <c r="M623" t="s">
        <v>65</v>
      </c>
      <c r="N623" t="s">
        <v>29</v>
      </c>
      <c r="P623" t="s">
        <v>30</v>
      </c>
      <c r="Q623" t="s">
        <v>31</v>
      </c>
      <c r="R623">
        <v>82640</v>
      </c>
      <c r="S623" t="s">
        <v>42</v>
      </c>
      <c r="T623">
        <v>82630</v>
      </c>
      <c r="U623" t="s">
        <v>32</v>
      </c>
      <c r="V623" t="s">
        <v>66</v>
      </c>
      <c r="W623" t="s">
        <v>44</v>
      </c>
      <c r="X623" t="s">
        <v>44</v>
      </c>
      <c r="Y623" s="9">
        <f t="shared" si="28"/>
        <v>0</v>
      </c>
      <c r="Z623" t="str">
        <f t="shared" si="29"/>
        <v>สแกนต่าง Cost</v>
      </c>
    </row>
    <row r="624" spans="2:26" x14ac:dyDescent="0.45">
      <c r="B624" t="s">
        <v>53</v>
      </c>
      <c r="C624">
        <v>20198842</v>
      </c>
      <c r="D624" t="s">
        <v>257</v>
      </c>
      <c r="E624" s="8">
        <v>46135.604166666664</v>
      </c>
      <c r="F624" s="8">
        <v>46135.625</v>
      </c>
      <c r="G624" s="9">
        <v>0.5</v>
      </c>
      <c r="H624" s="9">
        <f t="shared" si="27"/>
        <v>3.0000000000000001E-3</v>
      </c>
      <c r="I624" s="9">
        <v>3.0000000000000001E-3</v>
      </c>
      <c r="J624" s="9"/>
      <c r="K624" s="9"/>
      <c r="L624" s="9"/>
      <c r="M624" t="s">
        <v>65</v>
      </c>
      <c r="N624" t="s">
        <v>29</v>
      </c>
      <c r="P624" t="s">
        <v>30</v>
      </c>
      <c r="Q624" t="s">
        <v>31</v>
      </c>
      <c r="R624">
        <v>82640</v>
      </c>
      <c r="S624" t="s">
        <v>42</v>
      </c>
      <c r="T624">
        <v>82611</v>
      </c>
      <c r="U624" t="s">
        <v>43</v>
      </c>
      <c r="V624" t="s">
        <v>66</v>
      </c>
      <c r="W624" t="s">
        <v>44</v>
      </c>
      <c r="X624" t="s">
        <v>44</v>
      </c>
      <c r="Y624" s="9">
        <f t="shared" si="28"/>
        <v>0</v>
      </c>
      <c r="Z624" t="str">
        <f t="shared" si="29"/>
        <v>สแกนต่าง Cost</v>
      </c>
    </row>
    <row r="625" spans="2:26" x14ac:dyDescent="0.45">
      <c r="B625" t="s">
        <v>53</v>
      </c>
      <c r="C625">
        <v>20310530</v>
      </c>
      <c r="D625" t="s">
        <v>220</v>
      </c>
      <c r="E625" s="8">
        <v>46135.604166666664</v>
      </c>
      <c r="F625" s="8">
        <v>46135.645833333336</v>
      </c>
      <c r="G625" s="9">
        <v>1</v>
      </c>
      <c r="H625" s="9">
        <f t="shared" si="27"/>
        <v>5.0000000000000001E-3</v>
      </c>
      <c r="I625" s="9">
        <v>5.0000000000000001E-3</v>
      </c>
      <c r="J625" s="9"/>
      <c r="K625" s="9"/>
      <c r="L625" s="9"/>
      <c r="M625" t="s">
        <v>65</v>
      </c>
      <c r="N625" t="s">
        <v>29</v>
      </c>
      <c r="P625" t="s">
        <v>30</v>
      </c>
      <c r="Q625" t="s">
        <v>31</v>
      </c>
      <c r="R625">
        <v>82640</v>
      </c>
      <c r="S625" t="s">
        <v>42</v>
      </c>
      <c r="T625">
        <v>82611</v>
      </c>
      <c r="U625" t="s">
        <v>43</v>
      </c>
      <c r="V625" t="s">
        <v>66</v>
      </c>
      <c r="W625" t="s">
        <v>44</v>
      </c>
      <c r="X625" t="s">
        <v>44</v>
      </c>
      <c r="Y625" s="9">
        <f t="shared" si="28"/>
        <v>0</v>
      </c>
      <c r="Z625" t="str">
        <f t="shared" si="29"/>
        <v>สแกนต่าง Cost</v>
      </c>
    </row>
    <row r="626" spans="2:26" x14ac:dyDescent="0.45">
      <c r="B626" t="s">
        <v>53</v>
      </c>
      <c r="C626">
        <v>20027956</v>
      </c>
      <c r="D626" t="s">
        <v>214</v>
      </c>
      <c r="E626" s="8">
        <v>46135.583333333336</v>
      </c>
      <c r="F626" s="8">
        <v>46135.729166666664</v>
      </c>
      <c r="G626" s="9">
        <v>3.5</v>
      </c>
      <c r="H626" s="9">
        <f t="shared" si="27"/>
        <v>1.9E-2</v>
      </c>
      <c r="I626" s="9">
        <v>1.9E-2</v>
      </c>
      <c r="J626" s="9"/>
      <c r="K626" s="9"/>
      <c r="L626" s="9"/>
      <c r="M626" t="s">
        <v>65</v>
      </c>
      <c r="N626" t="s">
        <v>29</v>
      </c>
      <c r="P626" t="s">
        <v>30</v>
      </c>
      <c r="Q626" t="s">
        <v>31</v>
      </c>
      <c r="R626">
        <v>82640</v>
      </c>
      <c r="S626" t="s">
        <v>42</v>
      </c>
      <c r="T626">
        <v>82611</v>
      </c>
      <c r="U626" t="s">
        <v>43</v>
      </c>
      <c r="V626" t="s">
        <v>66</v>
      </c>
      <c r="W626" t="s">
        <v>44</v>
      </c>
      <c r="X626" t="s">
        <v>44</v>
      </c>
      <c r="Y626" s="9">
        <f t="shared" si="28"/>
        <v>0</v>
      </c>
      <c r="Z626" t="str">
        <f t="shared" si="29"/>
        <v>สแกนต่าง Cost</v>
      </c>
    </row>
    <row r="627" spans="2:26" x14ac:dyDescent="0.45">
      <c r="B627" t="s">
        <v>53</v>
      </c>
      <c r="C627">
        <v>20167851</v>
      </c>
      <c r="D627" t="s">
        <v>63</v>
      </c>
      <c r="E627" s="8">
        <v>46135.583333333336</v>
      </c>
      <c r="F627" s="8">
        <v>46135.625</v>
      </c>
      <c r="G627" s="9">
        <v>1</v>
      </c>
      <c r="H627" s="9">
        <f t="shared" si="27"/>
        <v>5.0000000000000001E-3</v>
      </c>
      <c r="I627" s="9">
        <v>5.0000000000000001E-3</v>
      </c>
      <c r="J627" s="9"/>
      <c r="K627" s="9"/>
      <c r="L627" s="9"/>
      <c r="M627" t="s">
        <v>65</v>
      </c>
      <c r="N627" t="s">
        <v>29</v>
      </c>
      <c r="P627" t="s">
        <v>30</v>
      </c>
      <c r="Q627" t="s">
        <v>31</v>
      </c>
      <c r="R627">
        <v>82640</v>
      </c>
      <c r="S627" t="s">
        <v>42</v>
      </c>
      <c r="T627">
        <v>82630</v>
      </c>
      <c r="U627" t="s">
        <v>32</v>
      </c>
      <c r="V627" t="s">
        <v>66</v>
      </c>
      <c r="W627" t="s">
        <v>44</v>
      </c>
      <c r="X627" t="s">
        <v>44</v>
      </c>
      <c r="Y627" s="9">
        <f t="shared" si="28"/>
        <v>0</v>
      </c>
      <c r="Z627" t="str">
        <f t="shared" si="29"/>
        <v>สแกนต่าง Cost</v>
      </c>
    </row>
    <row r="628" spans="2:26" x14ac:dyDescent="0.45">
      <c r="B628" t="s">
        <v>53</v>
      </c>
      <c r="C628">
        <v>20198839</v>
      </c>
      <c r="D628" t="s">
        <v>258</v>
      </c>
      <c r="E628" s="8">
        <v>46135.583333333336</v>
      </c>
      <c r="F628" s="8">
        <v>46135.708333333336</v>
      </c>
      <c r="G628" s="9">
        <v>3</v>
      </c>
      <c r="H628" s="9">
        <f t="shared" si="27"/>
        <v>1.6E-2</v>
      </c>
      <c r="I628" s="9"/>
      <c r="J628" s="9">
        <v>1.6E-2</v>
      </c>
      <c r="K628" s="9"/>
      <c r="L628" s="9"/>
      <c r="M628" t="s">
        <v>77</v>
      </c>
      <c r="N628" t="s">
        <v>40</v>
      </c>
      <c r="O628" t="s">
        <v>78</v>
      </c>
      <c r="P628" t="s">
        <v>30</v>
      </c>
      <c r="Q628" t="s">
        <v>31</v>
      </c>
      <c r="R628">
        <v>82640</v>
      </c>
      <c r="S628" t="s">
        <v>42</v>
      </c>
      <c r="T628">
        <v>82611</v>
      </c>
      <c r="U628" t="s">
        <v>43</v>
      </c>
      <c r="V628" t="s">
        <v>66</v>
      </c>
      <c r="W628" t="s">
        <v>44</v>
      </c>
      <c r="X628" t="s">
        <v>44</v>
      </c>
      <c r="Y628" s="9">
        <f t="shared" si="28"/>
        <v>1.6E-2</v>
      </c>
      <c r="Z628" t="str">
        <f t="shared" si="29"/>
        <v>สแกนต่าง Cost</v>
      </c>
    </row>
    <row r="629" spans="2:26" x14ac:dyDescent="0.45">
      <c r="B629" t="s">
        <v>53</v>
      </c>
      <c r="C629">
        <v>20280718</v>
      </c>
      <c r="D629" t="s">
        <v>256</v>
      </c>
      <c r="E629" s="8">
        <v>46135.583333333336</v>
      </c>
      <c r="F629" s="8">
        <v>46135.625</v>
      </c>
      <c r="G629" s="9">
        <v>1</v>
      </c>
      <c r="H629" s="9">
        <f t="shared" si="27"/>
        <v>5.0000000000000001E-3</v>
      </c>
      <c r="I629" s="9">
        <v>5.0000000000000001E-3</v>
      </c>
      <c r="J629" s="9"/>
      <c r="K629" s="9"/>
      <c r="L629" s="9"/>
      <c r="M629" t="s">
        <v>65</v>
      </c>
      <c r="N629" t="s">
        <v>29</v>
      </c>
      <c r="P629" t="s">
        <v>30</v>
      </c>
      <c r="Q629" t="s">
        <v>31</v>
      </c>
      <c r="R629">
        <v>82640</v>
      </c>
      <c r="S629" t="s">
        <v>42</v>
      </c>
      <c r="T629">
        <v>82630</v>
      </c>
      <c r="U629" t="s">
        <v>32</v>
      </c>
      <c r="V629" t="s">
        <v>66</v>
      </c>
      <c r="W629" t="s">
        <v>44</v>
      </c>
      <c r="X629" t="s">
        <v>44</v>
      </c>
      <c r="Y629" s="9">
        <f t="shared" si="28"/>
        <v>0</v>
      </c>
      <c r="Z629" t="str">
        <f t="shared" si="29"/>
        <v>สแกนต่าง Cost</v>
      </c>
    </row>
    <row r="630" spans="2:26" x14ac:dyDescent="0.45">
      <c r="B630" t="s">
        <v>53</v>
      </c>
      <c r="C630">
        <v>20310530</v>
      </c>
      <c r="D630" t="s">
        <v>220</v>
      </c>
      <c r="E630" s="8">
        <v>46135.583333333336</v>
      </c>
      <c r="F630" s="8">
        <v>46135.604166666664</v>
      </c>
      <c r="G630" s="9">
        <v>0.5</v>
      </c>
      <c r="H630" s="9">
        <f t="shared" si="27"/>
        <v>3.0000000000000001E-3</v>
      </c>
      <c r="I630" s="9">
        <v>3.0000000000000001E-3</v>
      </c>
      <c r="J630" s="9"/>
      <c r="K630" s="9"/>
      <c r="L630" s="9"/>
      <c r="M630" t="s">
        <v>65</v>
      </c>
      <c r="N630" t="s">
        <v>29</v>
      </c>
      <c r="P630" t="s">
        <v>30</v>
      </c>
      <c r="Q630" t="s">
        <v>31</v>
      </c>
      <c r="R630">
        <v>82640</v>
      </c>
      <c r="S630" t="s">
        <v>42</v>
      </c>
      <c r="T630">
        <v>82622</v>
      </c>
      <c r="U630" t="s">
        <v>147</v>
      </c>
      <c r="V630" t="s">
        <v>66</v>
      </c>
      <c r="W630" t="s">
        <v>44</v>
      </c>
      <c r="X630" t="s">
        <v>44</v>
      </c>
      <c r="Y630" s="9">
        <f t="shared" si="28"/>
        <v>0</v>
      </c>
      <c r="Z630" t="str">
        <f t="shared" si="29"/>
        <v>สแกนต่าง Cost</v>
      </c>
    </row>
    <row r="631" spans="2:26" x14ac:dyDescent="0.45">
      <c r="B631" t="s">
        <v>53</v>
      </c>
      <c r="C631">
        <v>20244923</v>
      </c>
      <c r="D631" t="s">
        <v>246</v>
      </c>
      <c r="E631" s="8">
        <v>46135.5625</v>
      </c>
      <c r="F631" s="8">
        <v>46135.729166666664</v>
      </c>
      <c r="G631" s="9">
        <v>4</v>
      </c>
      <c r="H631" s="9">
        <f t="shared" si="27"/>
        <v>2.1000000000000001E-2</v>
      </c>
      <c r="I631" s="9">
        <v>2.1000000000000001E-2</v>
      </c>
      <c r="J631" s="9"/>
      <c r="K631" s="9"/>
      <c r="L631" s="9"/>
      <c r="M631" t="s">
        <v>65</v>
      </c>
      <c r="N631" t="s">
        <v>29</v>
      </c>
      <c r="P631" t="s">
        <v>30</v>
      </c>
      <c r="Q631" t="s">
        <v>31</v>
      </c>
      <c r="R631">
        <v>82640</v>
      </c>
      <c r="S631" t="s">
        <v>42</v>
      </c>
      <c r="T631">
        <v>82630</v>
      </c>
      <c r="U631" t="s">
        <v>32</v>
      </c>
      <c r="V631" t="s">
        <v>66</v>
      </c>
      <c r="W631" t="s">
        <v>44</v>
      </c>
      <c r="X631" t="s">
        <v>44</v>
      </c>
      <c r="Y631" s="9">
        <f t="shared" si="28"/>
        <v>0</v>
      </c>
      <c r="Z631" t="str">
        <f t="shared" si="29"/>
        <v>สแกนต่าง Cost</v>
      </c>
    </row>
    <row r="632" spans="2:26" x14ac:dyDescent="0.45">
      <c r="B632" t="s">
        <v>53</v>
      </c>
      <c r="C632">
        <v>20332134</v>
      </c>
      <c r="D632" t="s">
        <v>156</v>
      </c>
      <c r="E632" s="8">
        <v>46135.5625</v>
      </c>
      <c r="F632" s="8">
        <v>46135.625</v>
      </c>
      <c r="G632" s="9">
        <v>1.5</v>
      </c>
      <c r="H632" s="9">
        <f t="shared" si="27"/>
        <v>8.0000000000000002E-3</v>
      </c>
      <c r="I632" s="9">
        <v>8.0000000000000002E-3</v>
      </c>
      <c r="J632" s="9"/>
      <c r="K632" s="9"/>
      <c r="L632" s="9"/>
      <c r="M632" t="s">
        <v>65</v>
      </c>
      <c r="N632" t="s">
        <v>29</v>
      </c>
      <c r="P632" t="s">
        <v>30</v>
      </c>
      <c r="Q632" t="s">
        <v>31</v>
      </c>
      <c r="R632">
        <v>82640</v>
      </c>
      <c r="S632" t="s">
        <v>42</v>
      </c>
      <c r="T632">
        <v>82630</v>
      </c>
      <c r="U632" t="s">
        <v>32</v>
      </c>
      <c r="V632" t="s">
        <v>66</v>
      </c>
      <c r="W632" t="s">
        <v>44</v>
      </c>
      <c r="X632" t="s">
        <v>44</v>
      </c>
      <c r="Y632" s="9">
        <f t="shared" si="28"/>
        <v>0</v>
      </c>
      <c r="Z632" t="str">
        <f t="shared" si="29"/>
        <v>สแกนต่าง Cost</v>
      </c>
    </row>
    <row r="633" spans="2:26" x14ac:dyDescent="0.45">
      <c r="B633" t="s">
        <v>53</v>
      </c>
      <c r="C633">
        <v>20018899</v>
      </c>
      <c r="D633" t="s">
        <v>64</v>
      </c>
      <c r="E633" s="8">
        <v>46135.541666666664</v>
      </c>
      <c r="F633" s="8">
        <v>46135.729166666664</v>
      </c>
      <c r="G633" s="9">
        <v>4.5</v>
      </c>
      <c r="H633" s="9">
        <f t="shared" si="27"/>
        <v>2.4E-2</v>
      </c>
      <c r="I633" s="9">
        <v>2.4E-2</v>
      </c>
      <c r="J633" s="9"/>
      <c r="K633" s="9"/>
      <c r="L633" s="9"/>
      <c r="M633" t="s">
        <v>65</v>
      </c>
      <c r="N633" t="s">
        <v>29</v>
      </c>
      <c r="P633" t="s">
        <v>30</v>
      </c>
      <c r="Q633" t="s">
        <v>31</v>
      </c>
      <c r="R633">
        <v>82640</v>
      </c>
      <c r="S633" t="s">
        <v>42</v>
      </c>
      <c r="T633">
        <v>82652</v>
      </c>
      <c r="U633" t="s">
        <v>46</v>
      </c>
      <c r="V633" t="s">
        <v>66</v>
      </c>
      <c r="W633" t="s">
        <v>37</v>
      </c>
      <c r="X633" t="s">
        <v>34</v>
      </c>
      <c r="Y633" s="9">
        <f t="shared" si="28"/>
        <v>0</v>
      </c>
      <c r="Z633" t="str">
        <f t="shared" si="29"/>
        <v>สแกนต่าง Cost</v>
      </c>
    </row>
    <row r="634" spans="2:26" x14ac:dyDescent="0.45">
      <c r="B634" t="s">
        <v>53</v>
      </c>
      <c r="C634">
        <v>20026534</v>
      </c>
      <c r="D634" t="s">
        <v>279</v>
      </c>
      <c r="E634" s="8">
        <v>46135.541666666664</v>
      </c>
      <c r="F634" s="8">
        <v>46135.604166666664</v>
      </c>
      <c r="G634" s="9">
        <v>1.5</v>
      </c>
      <c r="H634" s="9">
        <f t="shared" si="27"/>
        <v>8.0000000000000002E-3</v>
      </c>
      <c r="I634" s="9">
        <v>8.0000000000000002E-3</v>
      </c>
      <c r="J634" s="9"/>
      <c r="K634" s="9"/>
      <c r="L634" s="9"/>
      <c r="M634" t="s">
        <v>65</v>
      </c>
      <c r="N634" t="s">
        <v>29</v>
      </c>
      <c r="P634" t="s">
        <v>30</v>
      </c>
      <c r="Q634" t="s">
        <v>31</v>
      </c>
      <c r="R634">
        <v>82640</v>
      </c>
      <c r="S634" t="s">
        <v>42</v>
      </c>
      <c r="T634">
        <v>82611</v>
      </c>
      <c r="U634" t="s">
        <v>43</v>
      </c>
      <c r="V634" t="s">
        <v>66</v>
      </c>
      <c r="W634" t="s">
        <v>44</v>
      </c>
      <c r="X634" t="s">
        <v>44</v>
      </c>
      <c r="Y634" s="9">
        <f t="shared" si="28"/>
        <v>0</v>
      </c>
      <c r="Z634" t="str">
        <f t="shared" si="29"/>
        <v>สแกนต่าง Cost</v>
      </c>
    </row>
    <row r="635" spans="2:26" x14ac:dyDescent="0.45">
      <c r="B635" t="s">
        <v>53</v>
      </c>
      <c r="C635">
        <v>20060579</v>
      </c>
      <c r="D635" t="s">
        <v>39</v>
      </c>
      <c r="E635" s="8">
        <v>46135.541666666664</v>
      </c>
      <c r="F635" s="8">
        <v>46135.604166666664</v>
      </c>
      <c r="G635" s="9">
        <v>1.5</v>
      </c>
      <c r="H635" s="9">
        <f t="shared" si="27"/>
        <v>8.0000000000000002E-3</v>
      </c>
      <c r="I635" s="9">
        <v>8.0000000000000002E-3</v>
      </c>
      <c r="J635" s="9"/>
      <c r="K635" s="9"/>
      <c r="L635" s="9"/>
      <c r="M635" t="s">
        <v>65</v>
      </c>
      <c r="N635" t="s">
        <v>29</v>
      </c>
      <c r="P635" t="s">
        <v>30</v>
      </c>
      <c r="Q635" t="s">
        <v>31</v>
      </c>
      <c r="R635">
        <v>82640</v>
      </c>
      <c r="S635" t="s">
        <v>42</v>
      </c>
      <c r="T635">
        <v>82630</v>
      </c>
      <c r="U635" t="s">
        <v>32</v>
      </c>
      <c r="V635" t="s">
        <v>66</v>
      </c>
      <c r="W635" t="s">
        <v>44</v>
      </c>
      <c r="X635" t="s">
        <v>44</v>
      </c>
      <c r="Y635" s="9">
        <f t="shared" si="28"/>
        <v>0</v>
      </c>
      <c r="Z635" t="str">
        <f t="shared" si="29"/>
        <v>สแกนต่าง Cost</v>
      </c>
    </row>
    <row r="636" spans="2:26" x14ac:dyDescent="0.45">
      <c r="B636" t="s">
        <v>53</v>
      </c>
      <c r="C636">
        <v>20198842</v>
      </c>
      <c r="D636" t="s">
        <v>257</v>
      </c>
      <c r="E636" s="8">
        <v>46135.541666666664</v>
      </c>
      <c r="F636" s="8">
        <v>46135.729166666664</v>
      </c>
      <c r="G636" s="9">
        <v>4.5</v>
      </c>
      <c r="H636" s="9">
        <f t="shared" si="27"/>
        <v>2.4E-2</v>
      </c>
      <c r="I636" s="9">
        <v>2.4E-2</v>
      </c>
      <c r="J636" s="9"/>
      <c r="K636" s="9"/>
      <c r="L636" s="9"/>
      <c r="M636" t="s">
        <v>65</v>
      </c>
      <c r="N636" t="s">
        <v>29</v>
      </c>
      <c r="P636" t="s">
        <v>30</v>
      </c>
      <c r="Q636" t="s">
        <v>31</v>
      </c>
      <c r="R636">
        <v>82640</v>
      </c>
      <c r="S636" t="s">
        <v>42</v>
      </c>
      <c r="T636">
        <v>82612</v>
      </c>
      <c r="U636" t="s">
        <v>153</v>
      </c>
      <c r="V636" t="s">
        <v>66</v>
      </c>
      <c r="W636" t="s">
        <v>44</v>
      </c>
      <c r="X636" t="s">
        <v>44</v>
      </c>
      <c r="Y636" s="9">
        <f t="shared" si="28"/>
        <v>0</v>
      </c>
      <c r="Z636" t="str">
        <f t="shared" si="29"/>
        <v>สแกนต่าง Cost</v>
      </c>
    </row>
    <row r="637" spans="2:26" x14ac:dyDescent="0.45">
      <c r="B637" t="s">
        <v>53</v>
      </c>
      <c r="C637">
        <v>20198842</v>
      </c>
      <c r="D637" t="s">
        <v>257</v>
      </c>
      <c r="E637" s="8">
        <v>46135.541666666664</v>
      </c>
      <c r="F637" s="8">
        <v>46135.583333333336</v>
      </c>
      <c r="G637" s="9">
        <v>1</v>
      </c>
      <c r="H637" s="9">
        <f t="shared" si="27"/>
        <v>5.0000000000000001E-3</v>
      </c>
      <c r="I637" s="9">
        <v>5.0000000000000001E-3</v>
      </c>
      <c r="J637" s="9"/>
      <c r="K637" s="9"/>
      <c r="L637" s="9"/>
      <c r="M637" t="s">
        <v>65</v>
      </c>
      <c r="N637" t="s">
        <v>29</v>
      </c>
      <c r="P637" t="s">
        <v>30</v>
      </c>
      <c r="Q637" t="s">
        <v>31</v>
      </c>
      <c r="R637">
        <v>82640</v>
      </c>
      <c r="S637" t="s">
        <v>42</v>
      </c>
      <c r="T637">
        <v>82630</v>
      </c>
      <c r="U637" t="s">
        <v>32</v>
      </c>
      <c r="V637" t="s">
        <v>66</v>
      </c>
      <c r="W637" t="s">
        <v>44</v>
      </c>
      <c r="X637" t="s">
        <v>44</v>
      </c>
      <c r="Y637" s="9">
        <f t="shared" si="28"/>
        <v>0</v>
      </c>
      <c r="Z637" t="str">
        <f t="shared" si="29"/>
        <v>สแกนต่าง Cost</v>
      </c>
    </row>
    <row r="638" spans="2:26" x14ac:dyDescent="0.45">
      <c r="B638" t="s">
        <v>53</v>
      </c>
      <c r="C638">
        <v>20220646</v>
      </c>
      <c r="D638" t="s">
        <v>67</v>
      </c>
      <c r="E638" s="8">
        <v>46135.541666666664</v>
      </c>
      <c r="F638" s="8">
        <v>46135.729166666664</v>
      </c>
      <c r="G638" s="9">
        <v>4.5</v>
      </c>
      <c r="H638" s="9">
        <f t="shared" si="27"/>
        <v>2.4E-2</v>
      </c>
      <c r="I638" s="9">
        <v>2.4E-2</v>
      </c>
      <c r="J638" s="9"/>
      <c r="K638" s="9"/>
      <c r="L638" s="9"/>
      <c r="M638" t="s">
        <v>65</v>
      </c>
      <c r="N638" t="s">
        <v>29</v>
      </c>
      <c r="P638" t="s">
        <v>30</v>
      </c>
      <c r="Q638" t="s">
        <v>31</v>
      </c>
      <c r="R638">
        <v>82640</v>
      </c>
      <c r="S638" t="s">
        <v>42</v>
      </c>
      <c r="T638">
        <v>82652</v>
      </c>
      <c r="U638" t="s">
        <v>46</v>
      </c>
      <c r="V638" t="s">
        <v>66</v>
      </c>
      <c r="W638" t="s">
        <v>37</v>
      </c>
      <c r="X638" t="s">
        <v>34</v>
      </c>
      <c r="Y638" s="9">
        <f t="shared" si="28"/>
        <v>0</v>
      </c>
      <c r="Z638" t="str">
        <f t="shared" si="29"/>
        <v>สแกนต่าง Cost</v>
      </c>
    </row>
    <row r="639" spans="2:26" x14ac:dyDescent="0.45">
      <c r="B639" t="s">
        <v>53</v>
      </c>
      <c r="C639">
        <v>20244923</v>
      </c>
      <c r="D639" t="s">
        <v>246</v>
      </c>
      <c r="E639" s="8">
        <v>46135.541666666664</v>
      </c>
      <c r="F639" s="8">
        <v>46135.5625</v>
      </c>
      <c r="G639" s="9">
        <v>0.5</v>
      </c>
      <c r="H639" s="9">
        <f t="shared" si="27"/>
        <v>3.0000000000000001E-3</v>
      </c>
      <c r="I639" s="9">
        <v>3.0000000000000001E-3</v>
      </c>
      <c r="J639" s="9"/>
      <c r="K639" s="9"/>
      <c r="L639" s="9"/>
      <c r="M639" t="s">
        <v>65</v>
      </c>
      <c r="N639" t="s">
        <v>29</v>
      </c>
      <c r="P639" t="s">
        <v>30</v>
      </c>
      <c r="Q639" t="s">
        <v>31</v>
      </c>
      <c r="R639">
        <v>82640</v>
      </c>
      <c r="S639" t="s">
        <v>42</v>
      </c>
      <c r="T639">
        <v>82611</v>
      </c>
      <c r="U639" t="s">
        <v>43</v>
      </c>
      <c r="V639" t="s">
        <v>66</v>
      </c>
      <c r="W639" t="s">
        <v>44</v>
      </c>
      <c r="X639" t="s">
        <v>44</v>
      </c>
      <c r="Y639" s="9">
        <f t="shared" si="28"/>
        <v>0</v>
      </c>
      <c r="Z639" t="str">
        <f t="shared" si="29"/>
        <v>สแกนต่าง Cost</v>
      </c>
    </row>
    <row r="640" spans="2:26" x14ac:dyDescent="0.45">
      <c r="B640" t="s">
        <v>53</v>
      </c>
      <c r="C640">
        <v>20280718</v>
      </c>
      <c r="D640" t="s">
        <v>256</v>
      </c>
      <c r="E640" s="8">
        <v>46135.541666666664</v>
      </c>
      <c r="F640" s="8">
        <v>46135.5625</v>
      </c>
      <c r="G640" s="9">
        <v>0.5</v>
      </c>
      <c r="H640" s="9">
        <f t="shared" si="27"/>
        <v>3.0000000000000001E-3</v>
      </c>
      <c r="I640" s="9">
        <v>3.0000000000000001E-3</v>
      </c>
      <c r="J640" s="9"/>
      <c r="K640" s="9"/>
      <c r="L640" s="9"/>
      <c r="M640" t="s">
        <v>65</v>
      </c>
      <c r="N640" t="s">
        <v>29</v>
      </c>
      <c r="P640" t="s">
        <v>30</v>
      </c>
      <c r="Q640" t="s">
        <v>31</v>
      </c>
      <c r="R640">
        <v>82640</v>
      </c>
      <c r="S640" t="s">
        <v>42</v>
      </c>
      <c r="T640">
        <v>82630</v>
      </c>
      <c r="U640" t="s">
        <v>32</v>
      </c>
      <c r="V640" t="s">
        <v>66</v>
      </c>
      <c r="W640" t="s">
        <v>44</v>
      </c>
      <c r="X640" t="s">
        <v>44</v>
      </c>
      <c r="Y640" s="9">
        <f t="shared" si="28"/>
        <v>0</v>
      </c>
      <c r="Z640" t="str">
        <f t="shared" si="29"/>
        <v>สแกนต่าง Cost</v>
      </c>
    </row>
    <row r="641" spans="1:26" x14ac:dyDescent="0.45">
      <c r="B641" t="s">
        <v>53</v>
      </c>
      <c r="C641">
        <v>20310530</v>
      </c>
      <c r="D641" t="s">
        <v>220</v>
      </c>
      <c r="E641" s="8">
        <v>46135.541666666664</v>
      </c>
      <c r="F641" s="8">
        <v>46135.5625</v>
      </c>
      <c r="G641" s="9">
        <v>0.5</v>
      </c>
      <c r="H641" s="9">
        <f t="shared" si="27"/>
        <v>3.0000000000000001E-3</v>
      </c>
      <c r="I641" s="9">
        <v>3.0000000000000001E-3</v>
      </c>
      <c r="J641" s="9"/>
      <c r="K641" s="9"/>
      <c r="L641" s="9"/>
      <c r="M641" t="s">
        <v>65</v>
      </c>
      <c r="N641" t="s">
        <v>29</v>
      </c>
      <c r="P641" t="s">
        <v>30</v>
      </c>
      <c r="Q641" t="s">
        <v>31</v>
      </c>
      <c r="R641">
        <v>82640</v>
      </c>
      <c r="S641" t="s">
        <v>42</v>
      </c>
      <c r="T641">
        <v>82630</v>
      </c>
      <c r="U641" t="s">
        <v>32</v>
      </c>
      <c r="V641" t="s">
        <v>66</v>
      </c>
      <c r="W641" t="s">
        <v>44</v>
      </c>
      <c r="X641" t="s">
        <v>44</v>
      </c>
      <c r="Y641" s="9">
        <f t="shared" si="28"/>
        <v>0</v>
      </c>
      <c r="Z641" t="str">
        <f t="shared" si="29"/>
        <v>สแกนต่าง Cost</v>
      </c>
    </row>
    <row r="642" spans="1:26" x14ac:dyDescent="0.45">
      <c r="B642" t="s">
        <v>53</v>
      </c>
      <c r="C642">
        <v>20310532</v>
      </c>
      <c r="D642" t="s">
        <v>61</v>
      </c>
      <c r="E642" s="8">
        <v>46135.541666666664</v>
      </c>
      <c r="F642" s="8">
        <v>46135.729166666664</v>
      </c>
      <c r="G642" s="9">
        <v>4.5</v>
      </c>
      <c r="H642" s="9">
        <f t="shared" si="27"/>
        <v>2.4E-2</v>
      </c>
      <c r="I642" s="9">
        <v>2.4E-2</v>
      </c>
      <c r="J642" s="9"/>
      <c r="K642" s="9"/>
      <c r="L642" s="9"/>
      <c r="M642" t="s">
        <v>65</v>
      </c>
      <c r="N642" t="s">
        <v>29</v>
      </c>
      <c r="P642" t="s">
        <v>30</v>
      </c>
      <c r="Q642" t="s">
        <v>31</v>
      </c>
      <c r="R642">
        <v>82640</v>
      </c>
      <c r="S642" t="s">
        <v>42</v>
      </c>
      <c r="T642">
        <v>82630</v>
      </c>
      <c r="U642" t="s">
        <v>32</v>
      </c>
      <c r="V642" t="s">
        <v>66</v>
      </c>
      <c r="W642" t="s">
        <v>44</v>
      </c>
      <c r="X642" t="s">
        <v>44</v>
      </c>
      <c r="Y642" s="9">
        <f t="shared" si="28"/>
        <v>0</v>
      </c>
      <c r="Z642" t="str">
        <f t="shared" si="29"/>
        <v>สแกนต่าง Cost</v>
      </c>
    </row>
    <row r="643" spans="1:26" x14ac:dyDescent="0.45">
      <c r="B643" t="s">
        <v>53</v>
      </c>
      <c r="C643">
        <v>20332134</v>
      </c>
      <c r="D643" t="s">
        <v>156</v>
      </c>
      <c r="E643" s="8">
        <v>46135.541666666664</v>
      </c>
      <c r="F643" s="8">
        <v>46135.5625</v>
      </c>
      <c r="G643" s="9">
        <v>0.5</v>
      </c>
      <c r="H643" s="9">
        <f t="shared" ref="H643:H706" si="30">SUM(I643:L643)</f>
        <v>3.0000000000000001E-3</v>
      </c>
      <c r="I643" s="9">
        <v>3.0000000000000001E-3</v>
      </c>
      <c r="J643" s="9"/>
      <c r="K643" s="9"/>
      <c r="L643" s="9"/>
      <c r="M643" t="s">
        <v>65</v>
      </c>
      <c r="N643" t="s">
        <v>29</v>
      </c>
      <c r="P643" t="s">
        <v>30</v>
      </c>
      <c r="Q643" t="s">
        <v>31</v>
      </c>
      <c r="R643">
        <v>82640</v>
      </c>
      <c r="S643" t="s">
        <v>42</v>
      </c>
      <c r="T643">
        <v>82611</v>
      </c>
      <c r="U643" t="s">
        <v>43</v>
      </c>
      <c r="V643" t="s">
        <v>66</v>
      </c>
      <c r="W643" t="s">
        <v>44</v>
      </c>
      <c r="X643" t="s">
        <v>44</v>
      </c>
      <c r="Y643" s="9">
        <f t="shared" ref="Y643:Y706" si="31">SUM(J643:L643)</f>
        <v>0</v>
      </c>
      <c r="Z643" t="str">
        <f t="shared" ref="Z643:Z706" si="32">IF(R643=T643,"สแกน Cost ตัวเอง","สแกนต่าง Cost")</f>
        <v>สแกนต่าง Cost</v>
      </c>
    </row>
    <row r="644" spans="1:26" x14ac:dyDescent="0.45">
      <c r="A644">
        <v>26820</v>
      </c>
      <c r="B644" t="s">
        <v>53</v>
      </c>
      <c r="C644">
        <v>20048905</v>
      </c>
      <c r="D644" t="s">
        <v>73</v>
      </c>
      <c r="E644" s="8">
        <v>46135.513194444444</v>
      </c>
      <c r="F644" s="8">
        <v>46135.982638888891</v>
      </c>
      <c r="G644" s="9">
        <v>11.266666666666667</v>
      </c>
      <c r="H644" s="9">
        <f t="shared" si="30"/>
        <v>0.06</v>
      </c>
      <c r="I644" s="9">
        <v>4.4999999999999998E-2</v>
      </c>
      <c r="J644" s="9"/>
      <c r="K644" s="9">
        <v>1.4999999999999999E-2</v>
      </c>
      <c r="L644" s="9"/>
      <c r="M644" t="s">
        <v>28</v>
      </c>
      <c r="N644" t="s">
        <v>29</v>
      </c>
      <c r="P644" t="s">
        <v>30</v>
      </c>
      <c r="Q644" t="s">
        <v>31</v>
      </c>
      <c r="R644">
        <v>82409</v>
      </c>
      <c r="S644" t="s">
        <v>74</v>
      </c>
      <c r="T644">
        <v>82664</v>
      </c>
      <c r="U644" t="s">
        <v>75</v>
      </c>
      <c r="V644" t="s">
        <v>75</v>
      </c>
      <c r="W644" t="s">
        <v>74</v>
      </c>
      <c r="X644" t="s">
        <v>74</v>
      </c>
      <c r="Y644" s="9">
        <f t="shared" si="31"/>
        <v>1.4999999999999999E-2</v>
      </c>
      <c r="Z644" t="str">
        <f t="shared" si="32"/>
        <v>สแกนต่าง Cost</v>
      </c>
    </row>
    <row r="645" spans="1:26" x14ac:dyDescent="0.45">
      <c r="B645" t="s">
        <v>53</v>
      </c>
      <c r="C645">
        <v>20026534</v>
      </c>
      <c r="D645" t="s">
        <v>279</v>
      </c>
      <c r="E645" s="8">
        <v>46135.479166666664</v>
      </c>
      <c r="F645" s="8">
        <v>46135.5</v>
      </c>
      <c r="G645" s="9">
        <v>0.5</v>
      </c>
      <c r="H645" s="9">
        <f t="shared" si="30"/>
        <v>3.0000000000000001E-3</v>
      </c>
      <c r="I645" s="9">
        <v>3.0000000000000001E-3</v>
      </c>
      <c r="J645" s="9"/>
      <c r="K645" s="9"/>
      <c r="L645" s="9"/>
      <c r="M645" t="s">
        <v>65</v>
      </c>
      <c r="N645" t="s">
        <v>29</v>
      </c>
      <c r="P645" t="s">
        <v>30</v>
      </c>
      <c r="Q645" t="s">
        <v>31</v>
      </c>
      <c r="R645">
        <v>82640</v>
      </c>
      <c r="S645" t="s">
        <v>42</v>
      </c>
      <c r="T645">
        <v>82630</v>
      </c>
      <c r="U645" t="s">
        <v>32</v>
      </c>
      <c r="V645" t="s">
        <v>66</v>
      </c>
      <c r="W645" t="s">
        <v>44</v>
      </c>
      <c r="X645" t="s">
        <v>44</v>
      </c>
      <c r="Y645" s="9">
        <f t="shared" si="31"/>
        <v>0</v>
      </c>
      <c r="Z645" t="str">
        <f t="shared" si="32"/>
        <v>สแกนต่าง Cost</v>
      </c>
    </row>
    <row r="646" spans="1:26" x14ac:dyDescent="0.45">
      <c r="B646" t="s">
        <v>53</v>
      </c>
      <c r="C646">
        <v>20026534</v>
      </c>
      <c r="D646" t="s">
        <v>279</v>
      </c>
      <c r="E646" s="8">
        <v>46135.458333333336</v>
      </c>
      <c r="F646" s="8">
        <v>46135.479166666664</v>
      </c>
      <c r="G646" s="9">
        <v>0.5</v>
      </c>
      <c r="H646" s="9">
        <f t="shared" si="30"/>
        <v>3.0000000000000001E-3</v>
      </c>
      <c r="I646" s="9">
        <v>3.0000000000000001E-3</v>
      </c>
      <c r="J646" s="9"/>
      <c r="K646" s="9"/>
      <c r="L646" s="9"/>
      <c r="M646" t="s">
        <v>65</v>
      </c>
      <c r="N646" t="s">
        <v>29</v>
      </c>
      <c r="P646" t="s">
        <v>30</v>
      </c>
      <c r="Q646" t="s">
        <v>31</v>
      </c>
      <c r="R646">
        <v>82640</v>
      </c>
      <c r="S646" t="s">
        <v>42</v>
      </c>
      <c r="T646">
        <v>82611</v>
      </c>
      <c r="U646" t="s">
        <v>43</v>
      </c>
      <c r="V646" t="s">
        <v>66</v>
      </c>
      <c r="W646" t="s">
        <v>44</v>
      </c>
      <c r="X646" t="s">
        <v>44</v>
      </c>
      <c r="Y646" s="9">
        <f t="shared" si="31"/>
        <v>0</v>
      </c>
      <c r="Z646" t="str">
        <f t="shared" si="32"/>
        <v>สแกนต่าง Cost</v>
      </c>
    </row>
    <row r="647" spans="1:26" x14ac:dyDescent="0.45">
      <c r="B647" t="s">
        <v>53</v>
      </c>
      <c r="C647">
        <v>20167851</v>
      </c>
      <c r="D647" t="s">
        <v>63</v>
      </c>
      <c r="E647" s="8">
        <v>46135.458333333336</v>
      </c>
      <c r="F647" s="8">
        <v>46135.5</v>
      </c>
      <c r="G647" s="9">
        <v>1</v>
      </c>
      <c r="H647" s="9">
        <f t="shared" si="30"/>
        <v>5.0000000000000001E-3</v>
      </c>
      <c r="I647" s="9">
        <v>5.0000000000000001E-3</v>
      </c>
      <c r="J647" s="9"/>
      <c r="K647" s="9"/>
      <c r="L647" s="9"/>
      <c r="M647" t="s">
        <v>65</v>
      </c>
      <c r="N647" t="s">
        <v>29</v>
      </c>
      <c r="P647" t="s">
        <v>30</v>
      </c>
      <c r="Q647" t="s">
        <v>31</v>
      </c>
      <c r="R647">
        <v>82640</v>
      </c>
      <c r="S647" t="s">
        <v>42</v>
      </c>
      <c r="T647">
        <v>82630</v>
      </c>
      <c r="U647" t="s">
        <v>32</v>
      </c>
      <c r="V647" t="s">
        <v>66</v>
      </c>
      <c r="W647" t="s">
        <v>44</v>
      </c>
      <c r="X647" t="s">
        <v>44</v>
      </c>
      <c r="Y647" s="9">
        <f t="shared" si="31"/>
        <v>0</v>
      </c>
      <c r="Z647" t="str">
        <f t="shared" si="32"/>
        <v>สแกนต่าง Cost</v>
      </c>
    </row>
    <row r="648" spans="1:26" x14ac:dyDescent="0.45">
      <c r="B648" t="s">
        <v>53</v>
      </c>
      <c r="C648">
        <v>20198839</v>
      </c>
      <c r="D648" t="s">
        <v>258</v>
      </c>
      <c r="E648" s="8">
        <v>46135.458333333336</v>
      </c>
      <c r="F648" s="8">
        <v>46135.5</v>
      </c>
      <c r="G648" s="9">
        <v>1</v>
      </c>
      <c r="H648" s="9">
        <f t="shared" si="30"/>
        <v>5.0000000000000001E-3</v>
      </c>
      <c r="I648" s="9"/>
      <c r="J648" s="9">
        <v>5.0000000000000001E-3</v>
      </c>
      <c r="K648" s="9"/>
      <c r="L648" s="9"/>
      <c r="M648" t="s">
        <v>77</v>
      </c>
      <c r="N648" t="s">
        <v>40</v>
      </c>
      <c r="O648" t="s">
        <v>78</v>
      </c>
      <c r="P648" t="s">
        <v>30</v>
      </c>
      <c r="Q648" t="s">
        <v>31</v>
      </c>
      <c r="R648">
        <v>82640</v>
      </c>
      <c r="S648" t="s">
        <v>42</v>
      </c>
      <c r="T648">
        <v>82611</v>
      </c>
      <c r="U648" t="s">
        <v>43</v>
      </c>
      <c r="V648" t="s">
        <v>66</v>
      </c>
      <c r="W648" t="s">
        <v>44</v>
      </c>
      <c r="X648" t="s">
        <v>44</v>
      </c>
      <c r="Y648" s="9">
        <f t="shared" si="31"/>
        <v>5.0000000000000001E-3</v>
      </c>
      <c r="Z648" t="str">
        <f t="shared" si="32"/>
        <v>สแกนต่าง Cost</v>
      </c>
    </row>
    <row r="649" spans="1:26" x14ac:dyDescent="0.45">
      <c r="B649" t="s">
        <v>53</v>
      </c>
      <c r="C649">
        <v>20198842</v>
      </c>
      <c r="D649" t="s">
        <v>257</v>
      </c>
      <c r="E649" s="8">
        <v>46135.458333333336</v>
      </c>
      <c r="F649" s="8">
        <v>46135.5</v>
      </c>
      <c r="G649" s="9">
        <v>1</v>
      </c>
      <c r="H649" s="9">
        <f t="shared" si="30"/>
        <v>5.0000000000000001E-3</v>
      </c>
      <c r="I649" s="9">
        <v>5.0000000000000001E-3</v>
      </c>
      <c r="J649" s="9"/>
      <c r="K649" s="9"/>
      <c r="L649" s="9"/>
      <c r="M649" t="s">
        <v>65</v>
      </c>
      <c r="N649" t="s">
        <v>29</v>
      </c>
      <c r="P649" t="s">
        <v>30</v>
      </c>
      <c r="Q649" t="s">
        <v>31</v>
      </c>
      <c r="R649">
        <v>82640</v>
      </c>
      <c r="S649" t="s">
        <v>42</v>
      </c>
      <c r="T649">
        <v>82611</v>
      </c>
      <c r="U649" t="s">
        <v>43</v>
      </c>
      <c r="V649" t="s">
        <v>66</v>
      </c>
      <c r="W649" t="s">
        <v>44</v>
      </c>
      <c r="X649" t="s">
        <v>44</v>
      </c>
      <c r="Y649" s="9">
        <f t="shared" si="31"/>
        <v>0</v>
      </c>
      <c r="Z649" t="str">
        <f t="shared" si="32"/>
        <v>สแกนต่าง Cost</v>
      </c>
    </row>
    <row r="650" spans="1:26" x14ac:dyDescent="0.45">
      <c r="B650" t="s">
        <v>53</v>
      </c>
      <c r="C650">
        <v>20280718</v>
      </c>
      <c r="D650" t="s">
        <v>256</v>
      </c>
      <c r="E650" s="8">
        <v>46135.458333333336</v>
      </c>
      <c r="F650" s="8">
        <v>46135.479166666664</v>
      </c>
      <c r="G650" s="9">
        <v>0.5</v>
      </c>
      <c r="H650" s="9">
        <f t="shared" si="30"/>
        <v>3.0000000000000001E-3</v>
      </c>
      <c r="I650" s="9">
        <v>3.0000000000000001E-3</v>
      </c>
      <c r="J650" s="9"/>
      <c r="K650" s="9"/>
      <c r="L650" s="9"/>
      <c r="M650" t="s">
        <v>65</v>
      </c>
      <c r="N650" t="s">
        <v>29</v>
      </c>
      <c r="P650" t="s">
        <v>30</v>
      </c>
      <c r="Q650" t="s">
        <v>31</v>
      </c>
      <c r="R650">
        <v>82640</v>
      </c>
      <c r="S650" t="s">
        <v>42</v>
      </c>
      <c r="T650">
        <v>82630</v>
      </c>
      <c r="U650" t="s">
        <v>32</v>
      </c>
      <c r="V650" t="s">
        <v>66</v>
      </c>
      <c r="W650" t="s">
        <v>44</v>
      </c>
      <c r="X650" t="s">
        <v>44</v>
      </c>
      <c r="Y650" s="9">
        <f t="shared" si="31"/>
        <v>0</v>
      </c>
      <c r="Z650" t="str">
        <f t="shared" si="32"/>
        <v>สแกนต่าง Cost</v>
      </c>
    </row>
    <row r="651" spans="1:26" x14ac:dyDescent="0.45">
      <c r="B651" t="s">
        <v>53</v>
      </c>
      <c r="C651">
        <v>20310530</v>
      </c>
      <c r="D651" t="s">
        <v>220</v>
      </c>
      <c r="E651" s="8">
        <v>46135.458333333336</v>
      </c>
      <c r="F651" s="8">
        <v>46135.5</v>
      </c>
      <c r="G651" s="9">
        <v>1</v>
      </c>
      <c r="H651" s="9">
        <f t="shared" si="30"/>
        <v>5.0000000000000001E-3</v>
      </c>
      <c r="I651" s="9">
        <v>5.0000000000000001E-3</v>
      </c>
      <c r="J651" s="9"/>
      <c r="K651" s="9"/>
      <c r="L651" s="9"/>
      <c r="M651" t="s">
        <v>65</v>
      </c>
      <c r="N651" t="s">
        <v>29</v>
      </c>
      <c r="P651" t="s">
        <v>30</v>
      </c>
      <c r="Q651" t="s">
        <v>31</v>
      </c>
      <c r="R651">
        <v>82640</v>
      </c>
      <c r="S651" t="s">
        <v>42</v>
      </c>
      <c r="T651">
        <v>82630</v>
      </c>
      <c r="U651" t="s">
        <v>32</v>
      </c>
      <c r="V651" t="s">
        <v>66</v>
      </c>
      <c r="W651" t="s">
        <v>44</v>
      </c>
      <c r="X651" t="s">
        <v>44</v>
      </c>
      <c r="Y651" s="9">
        <f t="shared" si="31"/>
        <v>0</v>
      </c>
      <c r="Z651" t="str">
        <f t="shared" si="32"/>
        <v>สแกนต่าง Cost</v>
      </c>
    </row>
    <row r="652" spans="1:26" x14ac:dyDescent="0.45">
      <c r="B652" t="s">
        <v>53</v>
      </c>
      <c r="C652">
        <v>20244923</v>
      </c>
      <c r="D652" t="s">
        <v>246</v>
      </c>
      <c r="E652" s="8">
        <v>46135.4375</v>
      </c>
      <c r="F652" s="8">
        <v>46135.5</v>
      </c>
      <c r="G652" s="9">
        <v>1.5</v>
      </c>
      <c r="H652" s="9">
        <f t="shared" si="30"/>
        <v>8.0000000000000002E-3</v>
      </c>
      <c r="I652" s="9">
        <v>8.0000000000000002E-3</v>
      </c>
      <c r="J652" s="9"/>
      <c r="K652" s="9"/>
      <c r="L652" s="9"/>
      <c r="M652" t="s">
        <v>65</v>
      </c>
      <c r="N652" t="s">
        <v>29</v>
      </c>
      <c r="P652" t="s">
        <v>30</v>
      </c>
      <c r="Q652" t="s">
        <v>31</v>
      </c>
      <c r="R652">
        <v>82640</v>
      </c>
      <c r="S652" t="s">
        <v>42</v>
      </c>
      <c r="T652">
        <v>82630</v>
      </c>
      <c r="U652" t="s">
        <v>32</v>
      </c>
      <c r="V652" t="s">
        <v>66</v>
      </c>
      <c r="W652" t="s">
        <v>44</v>
      </c>
      <c r="X652" t="s">
        <v>44</v>
      </c>
      <c r="Y652" s="9">
        <f t="shared" si="31"/>
        <v>0</v>
      </c>
      <c r="Z652" t="str">
        <f t="shared" si="32"/>
        <v>สแกนต่าง Cost</v>
      </c>
    </row>
    <row r="653" spans="1:26" x14ac:dyDescent="0.45">
      <c r="B653" t="s">
        <v>53</v>
      </c>
      <c r="C653">
        <v>20332134</v>
      </c>
      <c r="D653" t="s">
        <v>156</v>
      </c>
      <c r="E653" s="8">
        <v>46135.4375</v>
      </c>
      <c r="F653" s="8">
        <v>46135.5</v>
      </c>
      <c r="G653" s="9">
        <v>1.5</v>
      </c>
      <c r="H653" s="9">
        <f t="shared" si="30"/>
        <v>8.0000000000000002E-3</v>
      </c>
      <c r="I653" s="9">
        <v>8.0000000000000002E-3</v>
      </c>
      <c r="J653" s="9"/>
      <c r="K653" s="9"/>
      <c r="L653" s="9"/>
      <c r="M653" t="s">
        <v>65</v>
      </c>
      <c r="N653" t="s">
        <v>29</v>
      </c>
      <c r="P653" t="s">
        <v>30</v>
      </c>
      <c r="Q653" t="s">
        <v>31</v>
      </c>
      <c r="R653">
        <v>82640</v>
      </c>
      <c r="S653" t="s">
        <v>42</v>
      </c>
      <c r="T653">
        <v>82630</v>
      </c>
      <c r="U653" t="s">
        <v>32</v>
      </c>
      <c r="V653" t="s">
        <v>66</v>
      </c>
      <c r="W653" t="s">
        <v>44</v>
      </c>
      <c r="X653" t="s">
        <v>44</v>
      </c>
      <c r="Y653" s="9">
        <f t="shared" si="31"/>
        <v>0</v>
      </c>
      <c r="Z653" t="str">
        <f t="shared" si="32"/>
        <v>สแกนต่าง Cost</v>
      </c>
    </row>
    <row r="654" spans="1:26" x14ac:dyDescent="0.45">
      <c r="B654" t="s">
        <v>53</v>
      </c>
      <c r="C654">
        <v>20244923</v>
      </c>
      <c r="D654" t="s">
        <v>246</v>
      </c>
      <c r="E654" s="8">
        <v>46135.416666666664</v>
      </c>
      <c r="F654" s="8">
        <v>46135.4375</v>
      </c>
      <c r="G654" s="9">
        <v>0.5</v>
      </c>
      <c r="H654" s="9">
        <f t="shared" si="30"/>
        <v>3.0000000000000001E-3</v>
      </c>
      <c r="I654" s="9">
        <v>3.0000000000000001E-3</v>
      </c>
      <c r="J654" s="9"/>
      <c r="K654" s="9"/>
      <c r="L654" s="9"/>
      <c r="M654" t="s">
        <v>65</v>
      </c>
      <c r="N654" t="s">
        <v>29</v>
      </c>
      <c r="P654" t="s">
        <v>30</v>
      </c>
      <c r="Q654" t="s">
        <v>31</v>
      </c>
      <c r="R654">
        <v>82640</v>
      </c>
      <c r="S654" t="s">
        <v>42</v>
      </c>
      <c r="T654">
        <v>82611</v>
      </c>
      <c r="U654" t="s">
        <v>43</v>
      </c>
      <c r="V654" t="s">
        <v>66</v>
      </c>
      <c r="W654" t="s">
        <v>44</v>
      </c>
      <c r="X654" t="s">
        <v>44</v>
      </c>
      <c r="Y654" s="9">
        <f t="shared" si="31"/>
        <v>0</v>
      </c>
      <c r="Z654" t="str">
        <f t="shared" si="32"/>
        <v>สแกนต่าง Cost</v>
      </c>
    </row>
    <row r="655" spans="1:26" x14ac:dyDescent="0.45">
      <c r="B655" t="s">
        <v>53</v>
      </c>
      <c r="C655">
        <v>20167851</v>
      </c>
      <c r="D655" t="s">
        <v>63</v>
      </c>
      <c r="E655" s="8">
        <v>46135.395833333336</v>
      </c>
      <c r="F655" s="8">
        <v>46135.458333333336</v>
      </c>
      <c r="G655" s="9">
        <v>1.5</v>
      </c>
      <c r="H655" s="9">
        <f t="shared" si="30"/>
        <v>8.0000000000000002E-3</v>
      </c>
      <c r="I655" s="9">
        <v>8.0000000000000002E-3</v>
      </c>
      <c r="J655" s="9"/>
      <c r="K655" s="9"/>
      <c r="L655" s="9"/>
      <c r="M655" t="s">
        <v>65</v>
      </c>
      <c r="N655" t="s">
        <v>29</v>
      </c>
      <c r="P655" t="s">
        <v>30</v>
      </c>
      <c r="Q655" t="s">
        <v>31</v>
      </c>
      <c r="R655">
        <v>82640</v>
      </c>
      <c r="S655" t="s">
        <v>42</v>
      </c>
      <c r="T655">
        <v>82612</v>
      </c>
      <c r="U655" t="s">
        <v>153</v>
      </c>
      <c r="V655" t="s">
        <v>66</v>
      </c>
      <c r="W655" t="s">
        <v>44</v>
      </c>
      <c r="X655" t="s">
        <v>44</v>
      </c>
      <c r="Y655" s="9">
        <f t="shared" si="31"/>
        <v>0</v>
      </c>
      <c r="Z655" t="str">
        <f t="shared" si="32"/>
        <v>สแกนต่าง Cost</v>
      </c>
    </row>
    <row r="656" spans="1:26" x14ac:dyDescent="0.45">
      <c r="B656" t="s">
        <v>53</v>
      </c>
      <c r="C656">
        <v>20280718</v>
      </c>
      <c r="D656" t="s">
        <v>256</v>
      </c>
      <c r="E656" s="8">
        <v>46135.395833333336</v>
      </c>
      <c r="F656" s="8">
        <v>46135.4375</v>
      </c>
      <c r="G656" s="9">
        <v>1</v>
      </c>
      <c r="H656" s="9">
        <f t="shared" si="30"/>
        <v>5.0000000000000001E-3</v>
      </c>
      <c r="I656" s="9">
        <v>5.0000000000000001E-3</v>
      </c>
      <c r="J656" s="9"/>
      <c r="K656" s="9"/>
      <c r="L656" s="9"/>
      <c r="M656" t="s">
        <v>65</v>
      </c>
      <c r="N656" t="s">
        <v>29</v>
      </c>
      <c r="P656" t="s">
        <v>30</v>
      </c>
      <c r="Q656" t="s">
        <v>31</v>
      </c>
      <c r="R656">
        <v>82640</v>
      </c>
      <c r="S656" t="s">
        <v>42</v>
      </c>
      <c r="T656">
        <v>82611</v>
      </c>
      <c r="U656" t="s">
        <v>43</v>
      </c>
      <c r="V656" t="s">
        <v>66</v>
      </c>
      <c r="W656" t="s">
        <v>44</v>
      </c>
      <c r="X656" t="s">
        <v>44</v>
      </c>
      <c r="Y656" s="9">
        <f t="shared" si="31"/>
        <v>0</v>
      </c>
      <c r="Z656" t="str">
        <f t="shared" si="32"/>
        <v>สแกนต่าง Cost</v>
      </c>
    </row>
    <row r="657" spans="1:26" x14ac:dyDescent="0.45">
      <c r="B657" t="s">
        <v>53</v>
      </c>
      <c r="C657">
        <v>20332134</v>
      </c>
      <c r="D657" t="s">
        <v>156</v>
      </c>
      <c r="E657" s="8">
        <v>46135.395833333336</v>
      </c>
      <c r="F657" s="8">
        <v>46135.4375</v>
      </c>
      <c r="G657" s="9">
        <v>1</v>
      </c>
      <c r="H657" s="9">
        <f t="shared" si="30"/>
        <v>5.0000000000000001E-3</v>
      </c>
      <c r="I657" s="9">
        <v>5.0000000000000001E-3</v>
      </c>
      <c r="J657" s="9"/>
      <c r="K657" s="9"/>
      <c r="L657" s="9"/>
      <c r="M657" t="s">
        <v>65</v>
      </c>
      <c r="N657" t="s">
        <v>29</v>
      </c>
      <c r="P657" t="s">
        <v>30</v>
      </c>
      <c r="Q657" t="s">
        <v>31</v>
      </c>
      <c r="R657">
        <v>82640</v>
      </c>
      <c r="S657" t="s">
        <v>42</v>
      </c>
      <c r="T657">
        <v>82611</v>
      </c>
      <c r="U657" t="s">
        <v>43</v>
      </c>
      <c r="V657" t="s">
        <v>66</v>
      </c>
      <c r="W657" t="s">
        <v>44</v>
      </c>
      <c r="X657" t="s">
        <v>44</v>
      </c>
      <c r="Y657" s="9">
        <f t="shared" si="31"/>
        <v>0</v>
      </c>
      <c r="Z657" t="str">
        <f t="shared" si="32"/>
        <v>สแกนต่าง Cost</v>
      </c>
    </row>
    <row r="658" spans="1:26" x14ac:dyDescent="0.45">
      <c r="B658" t="s">
        <v>53</v>
      </c>
      <c r="C658">
        <v>20198839</v>
      </c>
      <c r="D658" t="s">
        <v>258</v>
      </c>
      <c r="E658" s="8">
        <v>46135.375</v>
      </c>
      <c r="F658" s="8">
        <v>46135.395833333336</v>
      </c>
      <c r="G658" s="9">
        <v>0.5</v>
      </c>
      <c r="H658" s="9">
        <f t="shared" si="30"/>
        <v>3.0000000000000001E-3</v>
      </c>
      <c r="I658" s="9"/>
      <c r="J658" s="9">
        <v>3.0000000000000001E-3</v>
      </c>
      <c r="K658" s="9"/>
      <c r="L658" s="9"/>
      <c r="M658" t="s">
        <v>77</v>
      </c>
      <c r="N658" t="s">
        <v>40</v>
      </c>
      <c r="O658" t="s">
        <v>78</v>
      </c>
      <c r="P658" t="s">
        <v>30</v>
      </c>
      <c r="Q658" t="s">
        <v>31</v>
      </c>
      <c r="R658">
        <v>82640</v>
      </c>
      <c r="S658" t="s">
        <v>42</v>
      </c>
      <c r="T658">
        <v>82611</v>
      </c>
      <c r="U658" t="s">
        <v>43</v>
      </c>
      <c r="V658" t="s">
        <v>66</v>
      </c>
      <c r="W658" t="s">
        <v>44</v>
      </c>
      <c r="X658" t="s">
        <v>44</v>
      </c>
      <c r="Y658" s="9">
        <f t="shared" si="31"/>
        <v>3.0000000000000001E-3</v>
      </c>
      <c r="Z658" t="str">
        <f t="shared" si="32"/>
        <v>สแกนต่าง Cost</v>
      </c>
    </row>
    <row r="659" spans="1:26" x14ac:dyDescent="0.45">
      <c r="B659" t="s">
        <v>53</v>
      </c>
      <c r="C659">
        <v>20198842</v>
      </c>
      <c r="D659" t="s">
        <v>257</v>
      </c>
      <c r="E659" s="8">
        <v>46135.375</v>
      </c>
      <c r="F659" s="8">
        <v>46135.4375</v>
      </c>
      <c r="G659" s="9">
        <v>1.5</v>
      </c>
      <c r="H659" s="9">
        <f t="shared" si="30"/>
        <v>8.0000000000000002E-3</v>
      </c>
      <c r="I659" s="9">
        <v>8.0000000000000002E-3</v>
      </c>
      <c r="J659" s="9"/>
      <c r="K659" s="9"/>
      <c r="L659" s="9"/>
      <c r="M659" t="s">
        <v>65</v>
      </c>
      <c r="N659" t="s">
        <v>29</v>
      </c>
      <c r="P659" t="s">
        <v>30</v>
      </c>
      <c r="Q659" t="s">
        <v>31</v>
      </c>
      <c r="R659">
        <v>82640</v>
      </c>
      <c r="S659" t="s">
        <v>42</v>
      </c>
      <c r="T659">
        <v>82630</v>
      </c>
      <c r="U659" t="s">
        <v>32</v>
      </c>
      <c r="V659" t="s">
        <v>66</v>
      </c>
      <c r="W659" t="s">
        <v>44</v>
      </c>
      <c r="X659" t="s">
        <v>44</v>
      </c>
      <c r="Y659" s="9">
        <f t="shared" si="31"/>
        <v>0</v>
      </c>
      <c r="Z659" t="str">
        <f t="shared" si="32"/>
        <v>สแกนต่าง Cost</v>
      </c>
    </row>
    <row r="660" spans="1:26" x14ac:dyDescent="0.45">
      <c r="B660" t="s">
        <v>53</v>
      </c>
      <c r="C660">
        <v>20244923</v>
      </c>
      <c r="D660" t="s">
        <v>246</v>
      </c>
      <c r="E660" s="8">
        <v>46135.375</v>
      </c>
      <c r="F660" s="8">
        <v>46135.416666666664</v>
      </c>
      <c r="G660" s="9">
        <v>1</v>
      </c>
      <c r="H660" s="9">
        <f t="shared" si="30"/>
        <v>5.0000000000000001E-3</v>
      </c>
      <c r="I660" s="9">
        <v>5.0000000000000001E-3</v>
      </c>
      <c r="J660" s="9"/>
      <c r="K660" s="9"/>
      <c r="L660" s="9"/>
      <c r="M660" t="s">
        <v>65</v>
      </c>
      <c r="N660" t="s">
        <v>29</v>
      </c>
      <c r="P660" t="s">
        <v>30</v>
      </c>
      <c r="Q660" t="s">
        <v>31</v>
      </c>
      <c r="R660">
        <v>82640</v>
      </c>
      <c r="S660" t="s">
        <v>42</v>
      </c>
      <c r="T660">
        <v>82630</v>
      </c>
      <c r="U660" t="s">
        <v>32</v>
      </c>
      <c r="V660" t="s">
        <v>66</v>
      </c>
      <c r="W660" t="s">
        <v>44</v>
      </c>
      <c r="X660" t="s">
        <v>44</v>
      </c>
      <c r="Y660" s="9">
        <f t="shared" si="31"/>
        <v>0</v>
      </c>
      <c r="Z660" t="str">
        <f t="shared" si="32"/>
        <v>สแกนต่าง Cost</v>
      </c>
    </row>
    <row r="661" spans="1:26" x14ac:dyDescent="0.45">
      <c r="B661" t="s">
        <v>53</v>
      </c>
      <c r="C661">
        <v>20310530</v>
      </c>
      <c r="D661" t="s">
        <v>220</v>
      </c>
      <c r="E661" s="8">
        <v>46135.375</v>
      </c>
      <c r="F661" s="8">
        <v>46135.416666666664</v>
      </c>
      <c r="G661" s="9">
        <v>1</v>
      </c>
      <c r="H661" s="9">
        <f t="shared" si="30"/>
        <v>5.0000000000000001E-3</v>
      </c>
      <c r="I661" s="9">
        <v>5.0000000000000001E-3</v>
      </c>
      <c r="J661" s="9"/>
      <c r="K661" s="9"/>
      <c r="L661" s="9"/>
      <c r="M661" t="s">
        <v>65</v>
      </c>
      <c r="N661" t="s">
        <v>29</v>
      </c>
      <c r="P661" t="s">
        <v>30</v>
      </c>
      <c r="Q661" t="s">
        <v>31</v>
      </c>
      <c r="R661">
        <v>82640</v>
      </c>
      <c r="S661" t="s">
        <v>42</v>
      </c>
      <c r="T661">
        <v>82630</v>
      </c>
      <c r="U661" t="s">
        <v>32</v>
      </c>
      <c r="V661" t="s">
        <v>66</v>
      </c>
      <c r="W661" t="s">
        <v>44</v>
      </c>
      <c r="X661" t="s">
        <v>44</v>
      </c>
      <c r="Y661" s="9">
        <f t="shared" si="31"/>
        <v>0</v>
      </c>
      <c r="Z661" t="str">
        <f t="shared" si="32"/>
        <v>สแกนต่าง Cost</v>
      </c>
    </row>
    <row r="662" spans="1:26" x14ac:dyDescent="0.45">
      <c r="B662" t="s">
        <v>53</v>
      </c>
      <c r="C662">
        <v>20310532</v>
      </c>
      <c r="D662" t="s">
        <v>61</v>
      </c>
      <c r="E662" s="8">
        <v>46135.375</v>
      </c>
      <c r="F662" s="8">
        <v>46135.5</v>
      </c>
      <c r="G662" s="9">
        <v>3</v>
      </c>
      <c r="H662" s="9">
        <f t="shared" si="30"/>
        <v>1.6E-2</v>
      </c>
      <c r="I662" s="9">
        <v>1.6E-2</v>
      </c>
      <c r="J662" s="9"/>
      <c r="K662" s="9"/>
      <c r="L662" s="9"/>
      <c r="M662" t="s">
        <v>65</v>
      </c>
      <c r="N662" t="s">
        <v>29</v>
      </c>
      <c r="P662" t="s">
        <v>30</v>
      </c>
      <c r="Q662" t="s">
        <v>31</v>
      </c>
      <c r="R662">
        <v>82640</v>
      </c>
      <c r="S662" t="s">
        <v>42</v>
      </c>
      <c r="T662">
        <v>82630</v>
      </c>
      <c r="U662" t="s">
        <v>32</v>
      </c>
      <c r="V662" t="s">
        <v>66</v>
      </c>
      <c r="W662" t="s">
        <v>44</v>
      </c>
      <c r="X662" t="s">
        <v>44</v>
      </c>
      <c r="Y662" s="9">
        <f t="shared" si="31"/>
        <v>0</v>
      </c>
      <c r="Z662" t="str">
        <f t="shared" si="32"/>
        <v>สแกนต่าง Cost</v>
      </c>
    </row>
    <row r="663" spans="1:26" x14ac:dyDescent="0.45">
      <c r="B663" t="s">
        <v>53</v>
      </c>
      <c r="C663">
        <v>20026534</v>
      </c>
      <c r="D663" t="s">
        <v>279</v>
      </c>
      <c r="E663" s="8">
        <v>46135.354166666664</v>
      </c>
      <c r="F663" s="8">
        <v>46135.458333333336</v>
      </c>
      <c r="G663" s="9">
        <v>2.5</v>
      </c>
      <c r="H663" s="9">
        <f t="shared" si="30"/>
        <v>1.2999999999999999E-2</v>
      </c>
      <c r="I663" s="9">
        <v>1.2999999999999999E-2</v>
      </c>
      <c r="J663" s="9"/>
      <c r="K663" s="9"/>
      <c r="L663" s="9"/>
      <c r="M663" t="s">
        <v>65</v>
      </c>
      <c r="N663" t="s">
        <v>29</v>
      </c>
      <c r="P663" t="s">
        <v>30</v>
      </c>
      <c r="Q663" t="s">
        <v>31</v>
      </c>
      <c r="R663">
        <v>82640</v>
      </c>
      <c r="S663" t="s">
        <v>42</v>
      </c>
      <c r="T663">
        <v>82630</v>
      </c>
      <c r="U663" t="s">
        <v>32</v>
      </c>
      <c r="V663" t="s">
        <v>66</v>
      </c>
      <c r="W663" t="s">
        <v>44</v>
      </c>
      <c r="X663" t="s">
        <v>44</v>
      </c>
      <c r="Y663" s="9">
        <f t="shared" si="31"/>
        <v>0</v>
      </c>
      <c r="Z663" t="str">
        <f t="shared" si="32"/>
        <v>สแกนต่าง Cost</v>
      </c>
    </row>
    <row r="664" spans="1:26" x14ac:dyDescent="0.45">
      <c r="B664" t="s">
        <v>53</v>
      </c>
      <c r="C664">
        <v>20057079</v>
      </c>
      <c r="D664" t="s">
        <v>275</v>
      </c>
      <c r="E664" s="8">
        <v>46135.354166666664</v>
      </c>
      <c r="F664" s="8">
        <v>46135.729166666664</v>
      </c>
      <c r="G664" s="9">
        <v>8</v>
      </c>
      <c r="H664" s="9">
        <f t="shared" si="30"/>
        <v>4.2999999999999997E-2</v>
      </c>
      <c r="I664" s="9">
        <v>4.2999999999999997E-2</v>
      </c>
      <c r="J664" s="9"/>
      <c r="K664" s="9"/>
      <c r="L664" s="9"/>
      <c r="M664" t="s">
        <v>65</v>
      </c>
      <c r="N664" t="s">
        <v>29</v>
      </c>
      <c r="P664" t="s">
        <v>30</v>
      </c>
      <c r="Q664" t="s">
        <v>31</v>
      </c>
      <c r="R664">
        <v>82611</v>
      </c>
      <c r="S664" t="s">
        <v>43</v>
      </c>
      <c r="T664">
        <v>82640</v>
      </c>
      <c r="U664" t="s">
        <v>42</v>
      </c>
      <c r="V664" t="s">
        <v>70</v>
      </c>
      <c r="W664" t="s">
        <v>47</v>
      </c>
      <c r="X664" t="s">
        <v>95</v>
      </c>
      <c r="Y664" s="9">
        <f t="shared" si="31"/>
        <v>0</v>
      </c>
      <c r="Z664" t="str">
        <f t="shared" si="32"/>
        <v>สแกนต่าง Cost</v>
      </c>
    </row>
    <row r="665" spans="1:26" x14ac:dyDescent="0.45">
      <c r="B665" t="s">
        <v>53</v>
      </c>
      <c r="C665">
        <v>20280718</v>
      </c>
      <c r="D665" t="s">
        <v>256</v>
      </c>
      <c r="E665" s="8">
        <v>46135.354166666664</v>
      </c>
      <c r="F665" s="8">
        <v>46135.395833333336</v>
      </c>
      <c r="G665" s="9">
        <v>1</v>
      </c>
      <c r="H665" s="9">
        <f t="shared" si="30"/>
        <v>5.0000000000000001E-3</v>
      </c>
      <c r="I665" s="9">
        <v>5.0000000000000001E-3</v>
      </c>
      <c r="J665" s="9"/>
      <c r="K665" s="9"/>
      <c r="L665" s="9"/>
      <c r="M665" t="s">
        <v>65</v>
      </c>
      <c r="N665" t="s">
        <v>29</v>
      </c>
      <c r="P665" t="s">
        <v>30</v>
      </c>
      <c r="Q665" t="s">
        <v>31</v>
      </c>
      <c r="R665">
        <v>82640</v>
      </c>
      <c r="S665" t="s">
        <v>42</v>
      </c>
      <c r="T665">
        <v>82630</v>
      </c>
      <c r="U665" t="s">
        <v>32</v>
      </c>
      <c r="V665" t="s">
        <v>66</v>
      </c>
      <c r="W665" t="s">
        <v>44</v>
      </c>
      <c r="X665" t="s">
        <v>44</v>
      </c>
      <c r="Y665" s="9">
        <f t="shared" si="31"/>
        <v>0</v>
      </c>
      <c r="Z665" t="str">
        <f t="shared" si="32"/>
        <v>สแกนต่าง Cost</v>
      </c>
    </row>
    <row r="666" spans="1:26" x14ac:dyDescent="0.45">
      <c r="B666" t="s">
        <v>53</v>
      </c>
      <c r="C666">
        <v>20310530</v>
      </c>
      <c r="D666" t="s">
        <v>220</v>
      </c>
      <c r="E666" s="8">
        <v>46135.354166666664</v>
      </c>
      <c r="F666" s="8">
        <v>46135.354166666664</v>
      </c>
      <c r="G666" s="9">
        <v>0</v>
      </c>
      <c r="H666" s="9">
        <f t="shared" si="30"/>
        <v>0</v>
      </c>
      <c r="I666" s="9">
        <v>0</v>
      </c>
      <c r="J666" s="9"/>
      <c r="K666" s="9"/>
      <c r="L666" s="9"/>
      <c r="M666" t="s">
        <v>65</v>
      </c>
      <c r="N666" t="s">
        <v>29</v>
      </c>
      <c r="P666" t="s">
        <v>30</v>
      </c>
      <c r="Q666" t="s">
        <v>31</v>
      </c>
      <c r="R666">
        <v>82640</v>
      </c>
      <c r="S666" t="s">
        <v>42</v>
      </c>
      <c r="T666">
        <v>82630</v>
      </c>
      <c r="U666" t="s">
        <v>32</v>
      </c>
      <c r="V666" t="s">
        <v>66</v>
      </c>
      <c r="W666" t="s">
        <v>44</v>
      </c>
      <c r="X666" t="s">
        <v>44</v>
      </c>
      <c r="Y666" s="9">
        <f t="shared" si="31"/>
        <v>0</v>
      </c>
      <c r="Z666" t="str">
        <f t="shared" si="32"/>
        <v>สแกนต่าง Cost</v>
      </c>
    </row>
    <row r="667" spans="1:26" x14ac:dyDescent="0.45">
      <c r="B667" t="s">
        <v>53</v>
      </c>
      <c r="C667">
        <v>20310532</v>
      </c>
      <c r="D667" t="s">
        <v>61</v>
      </c>
      <c r="E667" s="8">
        <v>46135.354166666664</v>
      </c>
      <c r="F667" s="8">
        <v>46135.375</v>
      </c>
      <c r="G667" s="9">
        <v>0.5</v>
      </c>
      <c r="H667" s="9">
        <f t="shared" si="30"/>
        <v>3.0000000000000001E-3</v>
      </c>
      <c r="I667" s="9">
        <v>3.0000000000000001E-3</v>
      </c>
      <c r="J667" s="9"/>
      <c r="K667" s="9"/>
      <c r="L667" s="9"/>
      <c r="M667" t="s">
        <v>65</v>
      </c>
      <c r="N667" t="s">
        <v>29</v>
      </c>
      <c r="P667" t="s">
        <v>30</v>
      </c>
      <c r="Q667" t="s">
        <v>31</v>
      </c>
      <c r="R667">
        <v>82640</v>
      </c>
      <c r="S667" t="s">
        <v>42</v>
      </c>
      <c r="T667">
        <v>82652</v>
      </c>
      <c r="U667" t="s">
        <v>46</v>
      </c>
      <c r="V667" t="s">
        <v>66</v>
      </c>
      <c r="W667" t="s">
        <v>44</v>
      </c>
      <c r="X667" t="s">
        <v>44</v>
      </c>
      <c r="Y667" s="9">
        <f t="shared" si="31"/>
        <v>0</v>
      </c>
      <c r="Z667" t="str">
        <f t="shared" si="32"/>
        <v>สแกนต่าง Cost</v>
      </c>
    </row>
    <row r="668" spans="1:26" x14ac:dyDescent="0.45">
      <c r="B668" t="s">
        <v>53</v>
      </c>
      <c r="C668">
        <v>20399661</v>
      </c>
      <c r="D668" t="s">
        <v>229</v>
      </c>
      <c r="E668" s="8">
        <v>46135.354166666664</v>
      </c>
      <c r="F668" s="8">
        <v>46135.729166666664</v>
      </c>
      <c r="G668" s="9">
        <v>8</v>
      </c>
      <c r="H668" s="9">
        <f t="shared" si="30"/>
        <v>4.2999999999999997E-2</v>
      </c>
      <c r="I668" s="9">
        <v>4.2999999999999997E-2</v>
      </c>
      <c r="J668" s="9"/>
      <c r="K668" s="9"/>
      <c r="L668" s="9"/>
      <c r="M668" t="s">
        <v>65</v>
      </c>
      <c r="N668" t="s">
        <v>29</v>
      </c>
      <c r="P668" t="s">
        <v>30</v>
      </c>
      <c r="Q668" t="s">
        <v>31</v>
      </c>
      <c r="R668">
        <v>82611</v>
      </c>
      <c r="S668" t="s">
        <v>43</v>
      </c>
      <c r="T668">
        <v>82640</v>
      </c>
      <c r="U668" t="s">
        <v>42</v>
      </c>
      <c r="V668" t="s">
        <v>70</v>
      </c>
      <c r="W668" t="s">
        <v>47</v>
      </c>
      <c r="X668" t="s">
        <v>95</v>
      </c>
      <c r="Y668" s="9">
        <f t="shared" si="31"/>
        <v>0</v>
      </c>
      <c r="Z668" t="str">
        <f t="shared" si="32"/>
        <v>สแกนต่าง Cost</v>
      </c>
    </row>
    <row r="669" spans="1:26" x14ac:dyDescent="0.45">
      <c r="B669" t="s">
        <v>53</v>
      </c>
      <c r="C669">
        <v>20403255</v>
      </c>
      <c r="D669" t="s">
        <v>231</v>
      </c>
      <c r="E669" s="8">
        <v>46135.354166666664</v>
      </c>
      <c r="F669" s="8">
        <v>46135.729166666664</v>
      </c>
      <c r="G669" s="9">
        <v>8</v>
      </c>
      <c r="H669" s="9">
        <f t="shared" si="30"/>
        <v>4.2999999999999997E-2</v>
      </c>
      <c r="I669" s="9">
        <v>4.2999999999999997E-2</v>
      </c>
      <c r="J669" s="9"/>
      <c r="K669" s="9"/>
      <c r="L669" s="9"/>
      <c r="M669" t="s">
        <v>48</v>
      </c>
      <c r="N669" t="s">
        <v>48</v>
      </c>
      <c r="P669" t="s">
        <v>30</v>
      </c>
      <c r="Q669" t="s">
        <v>31</v>
      </c>
      <c r="R669">
        <v>82611</v>
      </c>
      <c r="S669" t="s">
        <v>43</v>
      </c>
      <c r="T669">
        <v>82640</v>
      </c>
      <c r="U669" t="s">
        <v>42</v>
      </c>
      <c r="V669" t="s">
        <v>70</v>
      </c>
      <c r="W669" t="s">
        <v>47</v>
      </c>
      <c r="X669" t="s">
        <v>95</v>
      </c>
      <c r="Y669" s="9">
        <f t="shared" si="31"/>
        <v>0</v>
      </c>
      <c r="Z669" t="str">
        <f t="shared" si="32"/>
        <v>สแกนต่าง Cost</v>
      </c>
    </row>
    <row r="670" spans="1:26" x14ac:dyDescent="0.45">
      <c r="B670" t="s">
        <v>26</v>
      </c>
      <c r="C670">
        <v>20372079</v>
      </c>
      <c r="D670" t="s">
        <v>116</v>
      </c>
      <c r="E670" s="8">
        <v>46135.349305555559</v>
      </c>
      <c r="F670" s="8">
        <v>46135.729166666664</v>
      </c>
      <c r="G670" s="9">
        <v>8.1166666666666671</v>
      </c>
      <c r="H670" s="9">
        <f t="shared" si="30"/>
        <v>4.2999999999999997E-2</v>
      </c>
      <c r="I670" s="9">
        <v>4.2999999999999997E-2</v>
      </c>
      <c r="J670" s="9"/>
      <c r="K670" s="9"/>
      <c r="L670" s="9"/>
      <c r="M670" t="s">
        <v>65</v>
      </c>
      <c r="N670" t="s">
        <v>29</v>
      </c>
      <c r="P670" t="s">
        <v>30</v>
      </c>
      <c r="Q670" t="s">
        <v>31</v>
      </c>
      <c r="R670">
        <v>82400</v>
      </c>
      <c r="S670" t="s">
        <v>83</v>
      </c>
      <c r="T670">
        <v>82658</v>
      </c>
      <c r="U670" t="s">
        <v>33</v>
      </c>
      <c r="V670" t="s">
        <v>33</v>
      </c>
      <c r="W670" t="s">
        <v>37</v>
      </c>
      <c r="X670" t="s">
        <v>280</v>
      </c>
      <c r="Y670" s="9">
        <f t="shared" si="31"/>
        <v>0</v>
      </c>
      <c r="Z670" t="str">
        <f t="shared" si="32"/>
        <v>สแกนต่าง Cost</v>
      </c>
    </row>
    <row r="671" spans="1:26" x14ac:dyDescent="0.45">
      <c r="B671" t="s">
        <v>26</v>
      </c>
      <c r="C671">
        <v>20343502</v>
      </c>
      <c r="D671" t="s">
        <v>281</v>
      </c>
      <c r="E671" s="8">
        <v>46135.345138888886</v>
      </c>
      <c r="F671" s="8">
        <v>46135.729166666664</v>
      </c>
      <c r="G671" s="9">
        <v>8.2166666666666668</v>
      </c>
      <c r="H671" s="9">
        <f t="shared" si="30"/>
        <v>4.3999999999999997E-2</v>
      </c>
      <c r="I671" s="9">
        <v>4.3999999999999997E-2</v>
      </c>
      <c r="J671" s="9"/>
      <c r="K671" s="9"/>
      <c r="L671" s="9"/>
      <c r="M671" t="s">
        <v>65</v>
      </c>
      <c r="N671" t="s">
        <v>29</v>
      </c>
      <c r="P671" t="s">
        <v>30</v>
      </c>
      <c r="Q671" t="s">
        <v>31</v>
      </c>
      <c r="R671">
        <v>82652</v>
      </c>
      <c r="S671" t="s">
        <v>46</v>
      </c>
      <c r="T671">
        <v>82658</v>
      </c>
      <c r="U671" t="s">
        <v>33</v>
      </c>
      <c r="V671" t="s">
        <v>33</v>
      </c>
      <c r="W671" t="s">
        <v>37</v>
      </c>
      <c r="X671" t="s">
        <v>280</v>
      </c>
      <c r="Y671" s="9">
        <f t="shared" si="31"/>
        <v>0</v>
      </c>
      <c r="Z671" t="str">
        <f t="shared" si="32"/>
        <v>สแกนต่าง Cost</v>
      </c>
    </row>
    <row r="672" spans="1:26" x14ac:dyDescent="0.45">
      <c r="A672">
        <v>26822</v>
      </c>
      <c r="B672" t="s">
        <v>53</v>
      </c>
      <c r="C672">
        <v>20004913</v>
      </c>
      <c r="D672" t="s">
        <v>87</v>
      </c>
      <c r="E672" s="8">
        <v>46135.333333333336</v>
      </c>
      <c r="F672" s="8">
        <v>46135.729166666664</v>
      </c>
      <c r="G672" s="9">
        <v>8.5</v>
      </c>
      <c r="H672" s="9">
        <f t="shared" si="30"/>
        <v>4.4999999999999998E-2</v>
      </c>
      <c r="I672" s="9">
        <v>4.4999999999999998E-2</v>
      </c>
      <c r="J672" s="9"/>
      <c r="K672" s="9"/>
      <c r="L672" s="9"/>
      <c r="M672" t="s">
        <v>65</v>
      </c>
      <c r="N672" t="s">
        <v>29</v>
      </c>
      <c r="P672" t="s">
        <v>30</v>
      </c>
      <c r="Q672" t="s">
        <v>31</v>
      </c>
      <c r="R672">
        <v>82301</v>
      </c>
      <c r="S672" t="s">
        <v>79</v>
      </c>
      <c r="T672">
        <v>82308</v>
      </c>
      <c r="U672" t="s">
        <v>69</v>
      </c>
      <c r="V672" t="s">
        <v>69</v>
      </c>
      <c r="W672" t="s">
        <v>69</v>
      </c>
      <c r="X672" t="s">
        <v>88</v>
      </c>
      <c r="Y672" s="9">
        <f t="shared" si="31"/>
        <v>0</v>
      </c>
      <c r="Z672" t="str">
        <f t="shared" si="32"/>
        <v>สแกนต่าง Cost</v>
      </c>
    </row>
    <row r="673" spans="1:26" x14ac:dyDescent="0.45">
      <c r="B673" t="s">
        <v>26</v>
      </c>
      <c r="C673">
        <v>20014598</v>
      </c>
      <c r="D673" t="s">
        <v>89</v>
      </c>
      <c r="E673" s="8">
        <v>46135.333333333336</v>
      </c>
      <c r="F673" s="8">
        <v>46135.729166666664</v>
      </c>
      <c r="G673" s="9">
        <v>8.5</v>
      </c>
      <c r="H673" s="9">
        <f t="shared" si="30"/>
        <v>4.4999999999999998E-2</v>
      </c>
      <c r="I673" s="9">
        <v>4.4999999999999998E-2</v>
      </c>
      <c r="J673" s="9"/>
      <c r="K673" s="9"/>
      <c r="L673" s="9"/>
      <c r="M673" t="s">
        <v>65</v>
      </c>
      <c r="N673" t="s">
        <v>29</v>
      </c>
      <c r="P673" t="s">
        <v>30</v>
      </c>
      <c r="Q673" t="s">
        <v>31</v>
      </c>
      <c r="R673">
        <v>82400</v>
      </c>
      <c r="S673" t="s">
        <v>83</v>
      </c>
      <c r="T673">
        <v>82658</v>
      </c>
      <c r="U673" t="s">
        <v>33</v>
      </c>
      <c r="V673" t="s">
        <v>33</v>
      </c>
      <c r="W673" t="s">
        <v>37</v>
      </c>
      <c r="X673" t="s">
        <v>280</v>
      </c>
      <c r="Y673" s="9">
        <f t="shared" si="31"/>
        <v>0</v>
      </c>
      <c r="Z673" t="str">
        <f t="shared" si="32"/>
        <v>สแกนต่าง Cost</v>
      </c>
    </row>
    <row r="674" spans="1:26" x14ac:dyDescent="0.45">
      <c r="A674">
        <v>26798</v>
      </c>
      <c r="B674" t="s">
        <v>53</v>
      </c>
      <c r="C674">
        <v>20017430</v>
      </c>
      <c r="D674" t="s">
        <v>94</v>
      </c>
      <c r="E674" s="8">
        <v>46135.333333333336</v>
      </c>
      <c r="F674" s="8">
        <v>46135.729166666664</v>
      </c>
      <c r="G674" s="9">
        <v>8.5</v>
      </c>
      <c r="H674" s="9">
        <f t="shared" si="30"/>
        <v>4.4999999999999998E-2</v>
      </c>
      <c r="I674" s="9">
        <v>4.4999999999999998E-2</v>
      </c>
      <c r="J674" s="9"/>
      <c r="K674" s="9"/>
      <c r="L674" s="9"/>
      <c r="M674" t="s">
        <v>65</v>
      </c>
      <c r="N674" t="s">
        <v>29</v>
      </c>
      <c r="P674" t="s">
        <v>30</v>
      </c>
      <c r="Q674" t="s">
        <v>31</v>
      </c>
      <c r="R674">
        <v>82301</v>
      </c>
      <c r="S674" t="s">
        <v>79</v>
      </c>
      <c r="T674">
        <v>82308</v>
      </c>
      <c r="U674" t="s">
        <v>69</v>
      </c>
      <c r="V674" t="s">
        <v>69</v>
      </c>
      <c r="W674" t="s">
        <v>69</v>
      </c>
      <c r="X674" t="s">
        <v>95</v>
      </c>
      <c r="Y674" s="9">
        <f t="shared" si="31"/>
        <v>0</v>
      </c>
      <c r="Z674" t="str">
        <f t="shared" si="32"/>
        <v>สแกนต่าง Cost</v>
      </c>
    </row>
    <row r="675" spans="1:26" x14ac:dyDescent="0.45">
      <c r="B675" t="s">
        <v>53</v>
      </c>
      <c r="C675">
        <v>20018899</v>
      </c>
      <c r="D675" t="s">
        <v>64</v>
      </c>
      <c r="E675" s="8">
        <v>46135.333333333336</v>
      </c>
      <c r="F675" s="8">
        <v>46135.5</v>
      </c>
      <c r="G675" s="9">
        <v>4</v>
      </c>
      <c r="H675" s="9">
        <f t="shared" si="30"/>
        <v>2.1000000000000001E-2</v>
      </c>
      <c r="I675" s="9">
        <v>2.1000000000000001E-2</v>
      </c>
      <c r="J675" s="9"/>
      <c r="K675" s="9"/>
      <c r="L675" s="9"/>
      <c r="M675" t="s">
        <v>65</v>
      </c>
      <c r="N675" t="s">
        <v>29</v>
      </c>
      <c r="P675" t="s">
        <v>30</v>
      </c>
      <c r="Q675" t="s">
        <v>31</v>
      </c>
      <c r="R675">
        <v>82640</v>
      </c>
      <c r="S675" t="s">
        <v>42</v>
      </c>
      <c r="T675">
        <v>82652</v>
      </c>
      <c r="U675" t="s">
        <v>46</v>
      </c>
      <c r="V675" t="s">
        <v>66</v>
      </c>
      <c r="W675" t="s">
        <v>37</v>
      </c>
      <c r="X675" t="s">
        <v>34</v>
      </c>
      <c r="Y675" s="9">
        <f t="shared" si="31"/>
        <v>0</v>
      </c>
      <c r="Z675" t="str">
        <f t="shared" si="32"/>
        <v>สแกนต่าง Cost</v>
      </c>
    </row>
    <row r="676" spans="1:26" x14ac:dyDescent="0.45">
      <c r="B676" t="s">
        <v>53</v>
      </c>
      <c r="C676">
        <v>20022740</v>
      </c>
      <c r="D676" t="s">
        <v>259</v>
      </c>
      <c r="E676" s="8">
        <v>46135.333333333336</v>
      </c>
      <c r="F676" s="8">
        <v>46135.416666666664</v>
      </c>
      <c r="G676" s="9">
        <v>2</v>
      </c>
      <c r="H676" s="9">
        <f t="shared" si="30"/>
        <v>1.0999999999999999E-2</v>
      </c>
      <c r="I676" s="9">
        <v>1.0999999999999999E-2</v>
      </c>
      <c r="J676" s="9"/>
      <c r="K676" s="9"/>
      <c r="L676" s="9"/>
      <c r="M676" t="s">
        <v>65</v>
      </c>
      <c r="N676" t="s">
        <v>29</v>
      </c>
      <c r="P676" t="s">
        <v>30</v>
      </c>
      <c r="Q676" t="s">
        <v>31</v>
      </c>
      <c r="R676">
        <v>82640</v>
      </c>
      <c r="S676" t="s">
        <v>42</v>
      </c>
      <c r="T676">
        <v>82611</v>
      </c>
      <c r="U676" t="s">
        <v>43</v>
      </c>
      <c r="V676" t="s">
        <v>66</v>
      </c>
      <c r="W676" t="s">
        <v>44</v>
      </c>
      <c r="X676" t="s">
        <v>44</v>
      </c>
      <c r="Y676" s="9">
        <f t="shared" si="31"/>
        <v>0</v>
      </c>
      <c r="Z676" t="str">
        <f t="shared" si="32"/>
        <v>สแกนต่าง Cost</v>
      </c>
    </row>
    <row r="677" spans="1:26" x14ac:dyDescent="0.45">
      <c r="B677" t="s">
        <v>53</v>
      </c>
      <c r="C677">
        <v>20023163</v>
      </c>
      <c r="D677" t="s">
        <v>169</v>
      </c>
      <c r="E677" s="8">
        <v>46135.333333333336</v>
      </c>
      <c r="F677" s="8">
        <v>46135.729166666664</v>
      </c>
      <c r="G677" s="9">
        <v>8.5</v>
      </c>
      <c r="H677" s="9">
        <f t="shared" si="30"/>
        <v>4.4999999999999998E-2</v>
      </c>
      <c r="I677" s="9">
        <v>4.4999999999999998E-2</v>
      </c>
      <c r="J677" s="9"/>
      <c r="K677" s="9"/>
      <c r="L677" s="9"/>
      <c r="M677" t="s">
        <v>65</v>
      </c>
      <c r="N677" t="s">
        <v>29</v>
      </c>
      <c r="P677" t="s">
        <v>30</v>
      </c>
      <c r="Q677" t="s">
        <v>31</v>
      </c>
      <c r="R677">
        <v>82630</v>
      </c>
      <c r="S677" t="s">
        <v>32</v>
      </c>
      <c r="T677">
        <v>82640</v>
      </c>
      <c r="U677" t="s">
        <v>42</v>
      </c>
      <c r="V677" t="s">
        <v>70</v>
      </c>
      <c r="W677" t="s">
        <v>170</v>
      </c>
      <c r="X677" t="s">
        <v>171</v>
      </c>
      <c r="Y677" s="9">
        <f t="shared" si="31"/>
        <v>0</v>
      </c>
      <c r="Z677" t="str">
        <f t="shared" si="32"/>
        <v>สแกนต่าง Cost</v>
      </c>
    </row>
    <row r="678" spans="1:26" x14ac:dyDescent="0.45">
      <c r="B678" t="s">
        <v>26</v>
      </c>
      <c r="C678">
        <v>20025986</v>
      </c>
      <c r="D678" t="s">
        <v>200</v>
      </c>
      <c r="E678" s="8">
        <v>46135.333333333336</v>
      </c>
      <c r="F678" s="8">
        <v>46135.729166666664</v>
      </c>
      <c r="G678" s="9">
        <v>8.5</v>
      </c>
      <c r="H678" s="9">
        <f t="shared" si="30"/>
        <v>4.4999999999999998E-2</v>
      </c>
      <c r="I678" s="9">
        <v>4.4999999999999998E-2</v>
      </c>
      <c r="J678" s="9"/>
      <c r="K678" s="9"/>
      <c r="L678" s="9"/>
      <c r="M678" t="s">
        <v>65</v>
      </c>
      <c r="N678" t="s">
        <v>29</v>
      </c>
      <c r="P678" t="s">
        <v>30</v>
      </c>
      <c r="Q678" t="s">
        <v>31</v>
      </c>
      <c r="R678">
        <v>82910</v>
      </c>
      <c r="S678" t="s">
        <v>201</v>
      </c>
      <c r="T678">
        <v>82605</v>
      </c>
      <c r="U678" t="s">
        <v>202</v>
      </c>
      <c r="V678" t="s">
        <v>202</v>
      </c>
      <c r="W678" t="s">
        <v>37</v>
      </c>
      <c r="X678" t="s">
        <v>47</v>
      </c>
      <c r="Y678" s="9">
        <f t="shared" si="31"/>
        <v>0</v>
      </c>
      <c r="Z678" t="str">
        <f t="shared" si="32"/>
        <v>สแกนต่าง Cost</v>
      </c>
    </row>
    <row r="679" spans="1:26" x14ac:dyDescent="0.45">
      <c r="B679" t="s">
        <v>26</v>
      </c>
      <c r="C679">
        <v>20028097</v>
      </c>
      <c r="D679" t="s">
        <v>139</v>
      </c>
      <c r="E679" s="8">
        <v>46135.333333333336</v>
      </c>
      <c r="F679" s="8">
        <v>46135.729166666664</v>
      </c>
      <c r="G679" s="9">
        <v>8.5</v>
      </c>
      <c r="H679" s="9">
        <f t="shared" si="30"/>
        <v>4.4999999999999998E-2</v>
      </c>
      <c r="I679" s="9">
        <v>4.4999999999999998E-2</v>
      </c>
      <c r="J679" s="9"/>
      <c r="K679" s="9"/>
      <c r="L679" s="9"/>
      <c r="M679" t="s">
        <v>65</v>
      </c>
      <c r="N679" t="s">
        <v>29</v>
      </c>
      <c r="P679" t="s">
        <v>30</v>
      </c>
      <c r="Q679" t="s">
        <v>31</v>
      </c>
      <c r="R679">
        <v>82652</v>
      </c>
      <c r="S679" t="s">
        <v>46</v>
      </c>
      <c r="T679">
        <v>82658</v>
      </c>
      <c r="U679" t="s">
        <v>33</v>
      </c>
      <c r="V679" t="s">
        <v>33</v>
      </c>
      <c r="W679" t="s">
        <v>37</v>
      </c>
      <c r="X679" t="s">
        <v>280</v>
      </c>
      <c r="Y679" s="9">
        <f t="shared" si="31"/>
        <v>0</v>
      </c>
      <c r="Z679" t="str">
        <f t="shared" si="32"/>
        <v>สแกนต่าง Cost</v>
      </c>
    </row>
    <row r="680" spans="1:26" x14ac:dyDescent="0.45">
      <c r="A680">
        <v>26806</v>
      </c>
      <c r="B680" t="s">
        <v>53</v>
      </c>
      <c r="C680">
        <v>20030839</v>
      </c>
      <c r="D680" t="s">
        <v>235</v>
      </c>
      <c r="E680" s="8">
        <v>46135.333333333336</v>
      </c>
      <c r="F680" s="8">
        <v>46135.729166666664</v>
      </c>
      <c r="G680" s="9">
        <v>8.5</v>
      </c>
      <c r="H680" s="9">
        <f t="shared" si="30"/>
        <v>4.4999999999999998E-2</v>
      </c>
      <c r="I680" s="9">
        <v>4.4999999999999998E-2</v>
      </c>
      <c r="J680" s="9"/>
      <c r="K680" s="9"/>
      <c r="L680" s="9"/>
      <c r="M680" t="s">
        <v>65</v>
      </c>
      <c r="N680" t="s">
        <v>29</v>
      </c>
      <c r="P680" t="s">
        <v>30</v>
      </c>
      <c r="Q680" t="s">
        <v>31</v>
      </c>
      <c r="R680">
        <v>82658</v>
      </c>
      <c r="S680" t="s">
        <v>33</v>
      </c>
      <c r="T680">
        <v>82664</v>
      </c>
      <c r="U680" t="s">
        <v>75</v>
      </c>
      <c r="V680" t="s">
        <v>75</v>
      </c>
      <c r="W680" t="s">
        <v>37</v>
      </c>
      <c r="X680" t="s">
        <v>111</v>
      </c>
      <c r="Y680" s="9">
        <f t="shared" si="31"/>
        <v>0</v>
      </c>
      <c r="Z680" t="str">
        <f t="shared" si="32"/>
        <v>สแกนต่าง Cost</v>
      </c>
    </row>
    <row r="681" spans="1:26" x14ac:dyDescent="0.45">
      <c r="B681" t="s">
        <v>26</v>
      </c>
      <c r="C681">
        <v>20031838</v>
      </c>
      <c r="D681" t="s">
        <v>143</v>
      </c>
      <c r="E681" s="8">
        <v>46135.333333333336</v>
      </c>
      <c r="F681" s="8">
        <v>46135.729166666664</v>
      </c>
      <c r="G681" s="9">
        <v>8.5</v>
      </c>
      <c r="H681" s="9">
        <f t="shared" si="30"/>
        <v>4.4999999999999998E-2</v>
      </c>
      <c r="I681" s="9">
        <v>4.4999999999999998E-2</v>
      </c>
      <c r="J681" s="9"/>
      <c r="K681" s="9"/>
      <c r="L681" s="9"/>
      <c r="M681" t="s">
        <v>65</v>
      </c>
      <c r="N681" t="s">
        <v>29</v>
      </c>
      <c r="P681" t="s">
        <v>30</v>
      </c>
      <c r="Q681" t="s">
        <v>31</v>
      </c>
      <c r="R681">
        <v>82652</v>
      </c>
      <c r="S681" t="s">
        <v>46</v>
      </c>
      <c r="T681">
        <v>82658</v>
      </c>
      <c r="U681" t="s">
        <v>33</v>
      </c>
      <c r="V681" t="s">
        <v>33</v>
      </c>
      <c r="W681" t="s">
        <v>37</v>
      </c>
      <c r="X681" t="s">
        <v>280</v>
      </c>
      <c r="Y681" s="9">
        <f t="shared" si="31"/>
        <v>0</v>
      </c>
      <c r="Z681" t="str">
        <f t="shared" si="32"/>
        <v>สแกนต่าง Cost</v>
      </c>
    </row>
    <row r="682" spans="1:26" x14ac:dyDescent="0.45">
      <c r="B682" t="s">
        <v>53</v>
      </c>
      <c r="C682">
        <v>20034535</v>
      </c>
      <c r="D682" t="s">
        <v>99</v>
      </c>
      <c r="E682" s="8">
        <v>46135.333333333336</v>
      </c>
      <c r="F682" s="8">
        <v>46135.729166666664</v>
      </c>
      <c r="G682" s="9">
        <v>8.5</v>
      </c>
      <c r="H682" s="9">
        <f t="shared" si="30"/>
        <v>4.4999999999999998E-2</v>
      </c>
      <c r="I682" s="9">
        <v>4.4999999999999998E-2</v>
      </c>
      <c r="J682" s="9"/>
      <c r="K682" s="9"/>
      <c r="L682" s="9"/>
      <c r="M682" t="s">
        <v>65</v>
      </c>
      <c r="N682" t="s">
        <v>29</v>
      </c>
      <c r="P682" t="s">
        <v>30</v>
      </c>
      <c r="Q682" t="s">
        <v>31</v>
      </c>
      <c r="R682">
        <v>82630</v>
      </c>
      <c r="S682" t="s">
        <v>32</v>
      </c>
      <c r="T682">
        <v>82611</v>
      </c>
      <c r="U682" t="s">
        <v>43</v>
      </c>
      <c r="V682" t="s">
        <v>43</v>
      </c>
      <c r="W682" t="s">
        <v>170</v>
      </c>
      <c r="X682" t="s">
        <v>171</v>
      </c>
      <c r="Y682" s="9">
        <f t="shared" si="31"/>
        <v>0</v>
      </c>
      <c r="Z682" t="str">
        <f t="shared" si="32"/>
        <v>สแกนต่าง Cost</v>
      </c>
    </row>
    <row r="683" spans="1:26" x14ac:dyDescent="0.45">
      <c r="B683" t="s">
        <v>53</v>
      </c>
      <c r="C683">
        <v>20037938</v>
      </c>
      <c r="D683" t="s">
        <v>172</v>
      </c>
      <c r="E683" s="8">
        <v>46135.333333333336</v>
      </c>
      <c r="F683" s="8">
        <v>46135.729166666664</v>
      </c>
      <c r="G683" s="9">
        <v>8.5</v>
      </c>
      <c r="H683" s="9">
        <f t="shared" si="30"/>
        <v>4.4999999999999998E-2</v>
      </c>
      <c r="I683" s="9">
        <v>4.4999999999999998E-2</v>
      </c>
      <c r="J683" s="9"/>
      <c r="K683" s="9"/>
      <c r="L683" s="9"/>
      <c r="M683" t="s">
        <v>65</v>
      </c>
      <c r="N683" t="s">
        <v>29</v>
      </c>
      <c r="P683" t="s">
        <v>30</v>
      </c>
      <c r="Q683" t="s">
        <v>31</v>
      </c>
      <c r="R683">
        <v>82630</v>
      </c>
      <c r="S683" t="s">
        <v>32</v>
      </c>
      <c r="T683">
        <v>82611</v>
      </c>
      <c r="U683" t="s">
        <v>43</v>
      </c>
      <c r="V683" t="s">
        <v>43</v>
      </c>
      <c r="W683" t="s">
        <v>170</v>
      </c>
      <c r="X683" t="s">
        <v>171</v>
      </c>
      <c r="Y683" s="9">
        <f t="shared" si="31"/>
        <v>0</v>
      </c>
      <c r="Z683" t="str">
        <f t="shared" si="32"/>
        <v>สแกนต่าง Cost</v>
      </c>
    </row>
    <row r="684" spans="1:26" x14ac:dyDescent="0.45">
      <c r="B684" t="s">
        <v>53</v>
      </c>
      <c r="C684">
        <v>20041131</v>
      </c>
      <c r="D684" t="s">
        <v>173</v>
      </c>
      <c r="E684" s="8">
        <v>46135.333333333336</v>
      </c>
      <c r="F684" s="8">
        <v>46135.729166666664</v>
      </c>
      <c r="G684" s="9">
        <v>8.5</v>
      </c>
      <c r="H684" s="9">
        <f t="shared" si="30"/>
        <v>4.4999999999999998E-2</v>
      </c>
      <c r="I684" s="9">
        <v>4.4999999999999998E-2</v>
      </c>
      <c r="J684" s="9"/>
      <c r="K684" s="9"/>
      <c r="L684" s="9"/>
      <c r="M684" t="s">
        <v>65</v>
      </c>
      <c r="N684" t="s">
        <v>29</v>
      </c>
      <c r="P684" t="s">
        <v>30</v>
      </c>
      <c r="Q684" t="s">
        <v>31</v>
      </c>
      <c r="R684">
        <v>82630</v>
      </c>
      <c r="S684" t="s">
        <v>32</v>
      </c>
      <c r="T684">
        <v>82611</v>
      </c>
      <c r="U684" t="s">
        <v>43</v>
      </c>
      <c r="V684" t="s">
        <v>43</v>
      </c>
      <c r="W684" t="s">
        <v>170</v>
      </c>
      <c r="X684" t="s">
        <v>171</v>
      </c>
      <c r="Y684" s="9">
        <f t="shared" si="31"/>
        <v>0</v>
      </c>
      <c r="Z684" t="str">
        <f t="shared" si="32"/>
        <v>สแกนต่าง Cost</v>
      </c>
    </row>
    <row r="685" spans="1:26" x14ac:dyDescent="0.45">
      <c r="B685" t="s">
        <v>26</v>
      </c>
      <c r="C685">
        <v>20045685</v>
      </c>
      <c r="D685" t="s">
        <v>262</v>
      </c>
      <c r="E685" s="8">
        <v>46135.333333333336</v>
      </c>
      <c r="F685" s="8">
        <v>46135.729166666664</v>
      </c>
      <c r="G685" s="9">
        <v>8.5</v>
      </c>
      <c r="H685" s="9">
        <f t="shared" si="30"/>
        <v>4.4999999999999998E-2</v>
      </c>
      <c r="I685" s="9">
        <v>4.4999999999999998E-2</v>
      </c>
      <c r="J685" s="9"/>
      <c r="K685" s="9"/>
      <c r="L685" s="9"/>
      <c r="M685" t="s">
        <v>65</v>
      </c>
      <c r="N685" t="s">
        <v>29</v>
      </c>
      <c r="P685" t="s">
        <v>30</v>
      </c>
      <c r="Q685" t="s">
        <v>31</v>
      </c>
      <c r="R685">
        <v>82652</v>
      </c>
      <c r="S685" t="s">
        <v>46</v>
      </c>
      <c r="T685">
        <v>82658</v>
      </c>
      <c r="U685" t="s">
        <v>33</v>
      </c>
      <c r="V685" t="s">
        <v>33</v>
      </c>
      <c r="W685" t="s">
        <v>37</v>
      </c>
      <c r="X685" t="s">
        <v>280</v>
      </c>
      <c r="Y685" s="9">
        <f t="shared" si="31"/>
        <v>0</v>
      </c>
      <c r="Z685" t="str">
        <f t="shared" si="32"/>
        <v>สแกนต่าง Cost</v>
      </c>
    </row>
    <row r="686" spans="1:26" x14ac:dyDescent="0.45">
      <c r="B686" t="s">
        <v>26</v>
      </c>
      <c r="C686">
        <v>20066762</v>
      </c>
      <c r="D686" t="s">
        <v>203</v>
      </c>
      <c r="E686" s="8">
        <v>46135.333333333336</v>
      </c>
      <c r="F686" s="8">
        <v>46135.729166666664</v>
      </c>
      <c r="G686" s="9">
        <v>8.5</v>
      </c>
      <c r="H686" s="9">
        <f t="shared" si="30"/>
        <v>4.4999999999999998E-2</v>
      </c>
      <c r="I686" s="9">
        <v>4.4999999999999998E-2</v>
      </c>
      <c r="J686" s="9"/>
      <c r="K686" s="9"/>
      <c r="L686" s="9"/>
      <c r="M686" t="s">
        <v>77</v>
      </c>
      <c r="N686" t="s">
        <v>29</v>
      </c>
      <c r="P686" t="s">
        <v>30</v>
      </c>
      <c r="Q686" t="s">
        <v>31</v>
      </c>
      <c r="R686">
        <v>82910</v>
      </c>
      <c r="S686" t="s">
        <v>201</v>
      </c>
      <c r="T686">
        <v>82605</v>
      </c>
      <c r="U686" t="s">
        <v>202</v>
      </c>
      <c r="V686" t="s">
        <v>202</v>
      </c>
      <c r="W686" t="s">
        <v>37</v>
      </c>
      <c r="X686" t="s">
        <v>47</v>
      </c>
      <c r="Y686" s="9">
        <f t="shared" si="31"/>
        <v>0</v>
      </c>
      <c r="Z686" t="str">
        <f t="shared" si="32"/>
        <v>สแกนต่าง Cost</v>
      </c>
    </row>
    <row r="687" spans="1:26" x14ac:dyDescent="0.45">
      <c r="B687" t="s">
        <v>53</v>
      </c>
      <c r="C687">
        <v>20075871</v>
      </c>
      <c r="D687" t="s">
        <v>174</v>
      </c>
      <c r="E687" s="8">
        <v>46135.333333333336</v>
      </c>
      <c r="F687" s="8">
        <v>46135.729166666664</v>
      </c>
      <c r="G687" s="9">
        <v>8.5</v>
      </c>
      <c r="H687" s="9">
        <f t="shared" si="30"/>
        <v>4.4999999999999998E-2</v>
      </c>
      <c r="I687" s="9">
        <v>4.4999999999999998E-2</v>
      </c>
      <c r="J687" s="9"/>
      <c r="K687" s="9"/>
      <c r="L687" s="9"/>
      <c r="M687" t="s">
        <v>65</v>
      </c>
      <c r="N687" t="s">
        <v>29</v>
      </c>
      <c r="P687" t="s">
        <v>133</v>
      </c>
      <c r="Q687" t="s">
        <v>31</v>
      </c>
      <c r="R687">
        <v>82301</v>
      </c>
      <c r="S687" t="s">
        <v>79</v>
      </c>
      <c r="T687">
        <v>82308</v>
      </c>
      <c r="U687" t="s">
        <v>69</v>
      </c>
      <c r="V687" t="s">
        <v>69</v>
      </c>
      <c r="W687" t="s">
        <v>69</v>
      </c>
      <c r="X687" t="s">
        <v>95</v>
      </c>
      <c r="Y687" s="9">
        <f t="shared" si="31"/>
        <v>0</v>
      </c>
      <c r="Z687" t="str">
        <f t="shared" si="32"/>
        <v>สแกนต่าง Cost</v>
      </c>
    </row>
    <row r="688" spans="1:26" x14ac:dyDescent="0.45">
      <c r="A688">
        <v>26886</v>
      </c>
      <c r="B688" t="s">
        <v>53</v>
      </c>
      <c r="C688">
        <v>20076433</v>
      </c>
      <c r="D688" t="s">
        <v>282</v>
      </c>
      <c r="E688" s="8">
        <v>46135.333333333336</v>
      </c>
      <c r="F688" s="8">
        <v>46135.729166666664</v>
      </c>
      <c r="G688" s="9">
        <v>8.5</v>
      </c>
      <c r="H688" s="9">
        <f t="shared" si="30"/>
        <v>4.4999999999999998E-2</v>
      </c>
      <c r="I688" s="9"/>
      <c r="J688" s="9">
        <v>4.4999999999999998E-2</v>
      </c>
      <c r="K688" s="9"/>
      <c r="L688" s="9"/>
      <c r="M688" t="s">
        <v>77</v>
      </c>
      <c r="N688" t="s">
        <v>40</v>
      </c>
      <c r="O688" t="s">
        <v>78</v>
      </c>
      <c r="P688" t="s">
        <v>30</v>
      </c>
      <c r="Q688" t="s">
        <v>31</v>
      </c>
      <c r="R688">
        <v>82301</v>
      </c>
      <c r="S688" t="s">
        <v>79</v>
      </c>
      <c r="T688">
        <v>82640</v>
      </c>
      <c r="U688" t="s">
        <v>42</v>
      </c>
      <c r="V688" t="s">
        <v>70</v>
      </c>
      <c r="W688" t="s">
        <v>71</v>
      </c>
      <c r="X688" t="s">
        <v>72</v>
      </c>
      <c r="Y688" s="9">
        <f t="shared" si="31"/>
        <v>4.4999999999999998E-2</v>
      </c>
      <c r="Z688" t="str">
        <f t="shared" si="32"/>
        <v>สแกนต่าง Cost</v>
      </c>
    </row>
    <row r="689" spans="1:26" x14ac:dyDescent="0.45">
      <c r="A689">
        <v>26812</v>
      </c>
      <c r="B689" t="s">
        <v>53</v>
      </c>
      <c r="C689">
        <v>20076436</v>
      </c>
      <c r="D689" t="s">
        <v>131</v>
      </c>
      <c r="E689" s="8">
        <v>46135.333333333336</v>
      </c>
      <c r="F689" s="8">
        <v>46135.729166666664</v>
      </c>
      <c r="G689" s="9">
        <v>8.5</v>
      </c>
      <c r="H689" s="9">
        <f t="shared" si="30"/>
        <v>4.4999999999999998E-2</v>
      </c>
      <c r="I689" s="9">
        <v>4.4999999999999998E-2</v>
      </c>
      <c r="J689" s="9"/>
      <c r="K689" s="9"/>
      <c r="L689" s="9"/>
      <c r="M689" t="s">
        <v>65</v>
      </c>
      <c r="N689" t="s">
        <v>29</v>
      </c>
      <c r="P689" t="s">
        <v>30</v>
      </c>
      <c r="Q689" t="s">
        <v>31</v>
      </c>
      <c r="R689">
        <v>82301</v>
      </c>
      <c r="S689" t="s">
        <v>79</v>
      </c>
      <c r="T689">
        <v>82308</v>
      </c>
      <c r="U689" t="s">
        <v>69</v>
      </c>
      <c r="V689" t="s">
        <v>69</v>
      </c>
      <c r="W689" t="s">
        <v>69</v>
      </c>
      <c r="X689" t="s">
        <v>95</v>
      </c>
      <c r="Y689" s="9">
        <f t="shared" si="31"/>
        <v>0</v>
      </c>
      <c r="Z689" t="str">
        <f t="shared" si="32"/>
        <v>สแกนต่าง Cost</v>
      </c>
    </row>
    <row r="690" spans="1:26" x14ac:dyDescent="0.45">
      <c r="A690">
        <v>26816</v>
      </c>
      <c r="B690" t="s">
        <v>53</v>
      </c>
      <c r="C690">
        <v>20078191</v>
      </c>
      <c r="D690" t="s">
        <v>283</v>
      </c>
      <c r="E690" s="8">
        <v>46135.333333333336</v>
      </c>
      <c r="F690" s="8">
        <v>46135.729166666664</v>
      </c>
      <c r="G690" s="9">
        <v>8.5</v>
      </c>
      <c r="H690" s="9">
        <f t="shared" si="30"/>
        <v>4.4999999999999998E-2</v>
      </c>
      <c r="I690" s="9">
        <v>4.4999999999999998E-2</v>
      </c>
      <c r="J690" s="9"/>
      <c r="K690" s="9"/>
      <c r="L690" s="9"/>
      <c r="M690" t="s">
        <v>65</v>
      </c>
      <c r="N690" t="s">
        <v>29</v>
      </c>
      <c r="P690" t="s">
        <v>133</v>
      </c>
      <c r="Q690" t="s">
        <v>31</v>
      </c>
      <c r="R690">
        <v>82301</v>
      </c>
      <c r="S690" t="s">
        <v>79</v>
      </c>
      <c r="T690">
        <v>82308</v>
      </c>
      <c r="U690" t="s">
        <v>69</v>
      </c>
      <c r="V690" t="s">
        <v>69</v>
      </c>
      <c r="W690" t="s">
        <v>69</v>
      </c>
      <c r="X690" t="s">
        <v>95</v>
      </c>
      <c r="Y690" s="9">
        <f t="shared" si="31"/>
        <v>0</v>
      </c>
      <c r="Z690" t="str">
        <f t="shared" si="32"/>
        <v>สแกนต่าง Cost</v>
      </c>
    </row>
    <row r="691" spans="1:26" x14ac:dyDescent="0.45">
      <c r="A691">
        <v>26807</v>
      </c>
      <c r="B691" t="s">
        <v>53</v>
      </c>
      <c r="C691">
        <v>20162724</v>
      </c>
      <c r="D691" t="s">
        <v>128</v>
      </c>
      <c r="E691" s="8">
        <v>46135.333333333336</v>
      </c>
      <c r="F691" s="8">
        <v>46135.729166666664</v>
      </c>
      <c r="G691" s="9">
        <v>8.5</v>
      </c>
      <c r="H691" s="9">
        <f t="shared" si="30"/>
        <v>4.4999999999999998E-2</v>
      </c>
      <c r="I691" s="9">
        <v>4.4999999999999998E-2</v>
      </c>
      <c r="J691" s="9"/>
      <c r="K691" s="9"/>
      <c r="L691" s="9"/>
      <c r="M691" t="s">
        <v>65</v>
      </c>
      <c r="N691" t="s">
        <v>29</v>
      </c>
      <c r="P691" t="s">
        <v>30</v>
      </c>
      <c r="Q691" t="s">
        <v>31</v>
      </c>
      <c r="R691">
        <v>82658</v>
      </c>
      <c r="S691" t="s">
        <v>33</v>
      </c>
      <c r="T691">
        <v>82664</v>
      </c>
      <c r="U691" t="s">
        <v>75</v>
      </c>
      <c r="V691" t="s">
        <v>75</v>
      </c>
      <c r="W691" t="s">
        <v>37</v>
      </c>
      <c r="X691" t="s">
        <v>111</v>
      </c>
      <c r="Y691" s="9">
        <f t="shared" si="31"/>
        <v>0</v>
      </c>
      <c r="Z691" t="str">
        <f t="shared" si="32"/>
        <v>สแกนต่าง Cost</v>
      </c>
    </row>
    <row r="692" spans="1:26" x14ac:dyDescent="0.45">
      <c r="B692" t="s">
        <v>26</v>
      </c>
      <c r="C692">
        <v>20197492</v>
      </c>
      <c r="D692" t="s">
        <v>268</v>
      </c>
      <c r="E692" s="8">
        <v>46135.333333333336</v>
      </c>
      <c r="F692" s="8">
        <v>46135.729166666664</v>
      </c>
      <c r="G692" s="9">
        <v>8.5</v>
      </c>
      <c r="H692" s="9">
        <f t="shared" si="30"/>
        <v>4.4999999999999998E-2</v>
      </c>
      <c r="I692" s="9">
        <v>4.4999999999999998E-2</v>
      </c>
      <c r="J692" s="9"/>
      <c r="K692" s="9"/>
      <c r="L692" s="9"/>
      <c r="M692" t="s">
        <v>65</v>
      </c>
      <c r="N692" t="s">
        <v>29</v>
      </c>
      <c r="P692" t="s">
        <v>30</v>
      </c>
      <c r="Q692" t="s">
        <v>31</v>
      </c>
      <c r="R692">
        <v>82652</v>
      </c>
      <c r="S692" t="s">
        <v>46</v>
      </c>
      <c r="T692">
        <v>82658</v>
      </c>
      <c r="U692" t="s">
        <v>33</v>
      </c>
      <c r="V692" t="s">
        <v>33</v>
      </c>
      <c r="W692" t="s">
        <v>37</v>
      </c>
      <c r="X692" t="s">
        <v>280</v>
      </c>
      <c r="Y692" s="9">
        <f t="shared" si="31"/>
        <v>0</v>
      </c>
      <c r="Z692" t="str">
        <f t="shared" si="32"/>
        <v>สแกนต่าง Cost</v>
      </c>
    </row>
    <row r="693" spans="1:26" x14ac:dyDescent="0.45">
      <c r="B693" t="s">
        <v>53</v>
      </c>
      <c r="C693">
        <v>20198711</v>
      </c>
      <c r="D693" t="s">
        <v>178</v>
      </c>
      <c r="E693" s="8">
        <v>46135.333333333336</v>
      </c>
      <c r="F693" s="8">
        <v>46135.729166666664</v>
      </c>
      <c r="G693" s="9">
        <v>8.5</v>
      </c>
      <c r="H693" s="9">
        <f t="shared" si="30"/>
        <v>4.4999999999999998E-2</v>
      </c>
      <c r="I693" s="9">
        <v>4.4999999999999998E-2</v>
      </c>
      <c r="J693" s="9"/>
      <c r="K693" s="9"/>
      <c r="L693" s="9"/>
      <c r="M693" t="s">
        <v>65</v>
      </c>
      <c r="N693" t="s">
        <v>29</v>
      </c>
      <c r="P693" t="s">
        <v>30</v>
      </c>
      <c r="Q693" t="s">
        <v>31</v>
      </c>
      <c r="R693">
        <v>82630</v>
      </c>
      <c r="S693" t="s">
        <v>32</v>
      </c>
      <c r="T693">
        <v>82611</v>
      </c>
      <c r="U693" t="s">
        <v>43</v>
      </c>
      <c r="V693" t="s">
        <v>43</v>
      </c>
      <c r="W693" t="s">
        <v>170</v>
      </c>
      <c r="X693" t="s">
        <v>171</v>
      </c>
      <c r="Y693" s="9">
        <f t="shared" si="31"/>
        <v>0</v>
      </c>
      <c r="Z693" t="str">
        <f t="shared" si="32"/>
        <v>สแกนต่าง Cost</v>
      </c>
    </row>
    <row r="694" spans="1:26" x14ac:dyDescent="0.45">
      <c r="B694" t="s">
        <v>53</v>
      </c>
      <c r="C694">
        <v>20198715</v>
      </c>
      <c r="D694" t="s">
        <v>179</v>
      </c>
      <c r="E694" s="8">
        <v>46135.333333333336</v>
      </c>
      <c r="F694" s="8">
        <v>46135.729166666664</v>
      </c>
      <c r="G694" s="9">
        <v>8.5</v>
      </c>
      <c r="H694" s="9">
        <f t="shared" si="30"/>
        <v>4.4999999999999998E-2</v>
      </c>
      <c r="I694" s="9">
        <v>4.4999999999999998E-2</v>
      </c>
      <c r="J694" s="9"/>
      <c r="K694" s="9"/>
      <c r="L694" s="9"/>
      <c r="M694" t="s">
        <v>65</v>
      </c>
      <c r="N694" t="s">
        <v>29</v>
      </c>
      <c r="P694" t="s">
        <v>30</v>
      </c>
      <c r="Q694" t="s">
        <v>31</v>
      </c>
      <c r="R694">
        <v>82630</v>
      </c>
      <c r="S694" t="s">
        <v>32</v>
      </c>
      <c r="T694">
        <v>82611</v>
      </c>
      <c r="U694" t="s">
        <v>43</v>
      </c>
      <c r="V694" t="s">
        <v>43</v>
      </c>
      <c r="W694" t="s">
        <v>170</v>
      </c>
      <c r="X694" t="s">
        <v>171</v>
      </c>
      <c r="Y694" s="9">
        <f t="shared" si="31"/>
        <v>0</v>
      </c>
      <c r="Z694" t="str">
        <f t="shared" si="32"/>
        <v>สแกนต่าง Cost</v>
      </c>
    </row>
    <row r="695" spans="1:26" x14ac:dyDescent="0.45">
      <c r="B695" t="s">
        <v>53</v>
      </c>
      <c r="C695">
        <v>20198747</v>
      </c>
      <c r="D695" t="s">
        <v>180</v>
      </c>
      <c r="E695" s="8">
        <v>46135.333333333336</v>
      </c>
      <c r="F695" s="8">
        <v>46135.729166666664</v>
      </c>
      <c r="G695" s="9">
        <v>8.5</v>
      </c>
      <c r="H695" s="9">
        <f t="shared" si="30"/>
        <v>4.4999999999999998E-2</v>
      </c>
      <c r="I695" s="9">
        <v>4.4999999999999998E-2</v>
      </c>
      <c r="J695" s="9"/>
      <c r="K695" s="9"/>
      <c r="L695" s="9"/>
      <c r="M695" t="s">
        <v>65</v>
      </c>
      <c r="N695" t="s">
        <v>29</v>
      </c>
      <c r="P695" t="s">
        <v>30</v>
      </c>
      <c r="Q695" t="s">
        <v>31</v>
      </c>
      <c r="R695">
        <v>82630</v>
      </c>
      <c r="S695" t="s">
        <v>32</v>
      </c>
      <c r="T695">
        <v>82640</v>
      </c>
      <c r="U695" t="s">
        <v>42</v>
      </c>
      <c r="V695" t="s">
        <v>70</v>
      </c>
      <c r="W695" t="s">
        <v>170</v>
      </c>
      <c r="X695" t="s">
        <v>171</v>
      </c>
      <c r="Y695" s="9">
        <f t="shared" si="31"/>
        <v>0</v>
      </c>
      <c r="Z695" t="str">
        <f t="shared" si="32"/>
        <v>สแกนต่าง Cost</v>
      </c>
    </row>
    <row r="696" spans="1:26" x14ac:dyDescent="0.45">
      <c r="A696">
        <v>26804</v>
      </c>
      <c r="B696" t="s">
        <v>53</v>
      </c>
      <c r="C696">
        <v>20198835</v>
      </c>
      <c r="D696" t="s">
        <v>129</v>
      </c>
      <c r="E696" s="8">
        <v>46135.333333333336</v>
      </c>
      <c r="F696" s="8">
        <v>46135.729166666664</v>
      </c>
      <c r="G696" s="9">
        <v>8.5</v>
      </c>
      <c r="H696" s="9">
        <f t="shared" si="30"/>
        <v>4.4999999999999998E-2</v>
      </c>
      <c r="I696" s="9"/>
      <c r="J696" s="9">
        <v>4.4999999999999998E-2</v>
      </c>
      <c r="K696" s="9"/>
      <c r="L696" s="9"/>
      <c r="M696" t="s">
        <v>77</v>
      </c>
      <c r="N696" t="s">
        <v>40</v>
      </c>
      <c r="O696" t="s">
        <v>78</v>
      </c>
      <c r="P696" t="s">
        <v>30</v>
      </c>
      <c r="Q696" t="s">
        <v>31</v>
      </c>
      <c r="R696">
        <v>82658</v>
      </c>
      <c r="S696" t="s">
        <v>33</v>
      </c>
      <c r="T696">
        <v>82664</v>
      </c>
      <c r="U696" t="s">
        <v>75</v>
      </c>
      <c r="V696" t="s">
        <v>75</v>
      </c>
      <c r="W696" t="s">
        <v>37</v>
      </c>
      <c r="X696" t="s">
        <v>111</v>
      </c>
      <c r="Y696" s="9">
        <f t="shared" si="31"/>
        <v>4.4999999999999998E-2</v>
      </c>
      <c r="Z696" t="str">
        <f t="shared" si="32"/>
        <v>สแกนต่าง Cost</v>
      </c>
    </row>
    <row r="697" spans="1:26" x14ac:dyDescent="0.45">
      <c r="B697" t="s">
        <v>53</v>
      </c>
      <c r="C697">
        <v>20220646</v>
      </c>
      <c r="D697" t="s">
        <v>67</v>
      </c>
      <c r="E697" s="8">
        <v>46135.333333333336</v>
      </c>
      <c r="F697" s="8">
        <v>46135.5</v>
      </c>
      <c r="G697" s="9">
        <v>4</v>
      </c>
      <c r="H697" s="9">
        <f t="shared" si="30"/>
        <v>2.1000000000000001E-2</v>
      </c>
      <c r="I697" s="9">
        <v>2.1000000000000001E-2</v>
      </c>
      <c r="J697" s="9"/>
      <c r="K697" s="9"/>
      <c r="L697" s="9"/>
      <c r="M697" t="s">
        <v>65</v>
      </c>
      <c r="N697" t="s">
        <v>29</v>
      </c>
      <c r="P697" t="s">
        <v>30</v>
      </c>
      <c r="Q697" t="s">
        <v>31</v>
      </c>
      <c r="R697">
        <v>82640</v>
      </c>
      <c r="S697" t="s">
        <v>42</v>
      </c>
      <c r="T697">
        <v>82652</v>
      </c>
      <c r="U697" t="s">
        <v>46</v>
      </c>
      <c r="V697" t="s">
        <v>66</v>
      </c>
      <c r="W697" t="s">
        <v>37</v>
      </c>
      <c r="X697" t="s">
        <v>34</v>
      </c>
      <c r="Y697" s="9">
        <f t="shared" si="31"/>
        <v>0</v>
      </c>
      <c r="Z697" t="str">
        <f t="shared" si="32"/>
        <v>สแกนต่าง Cost</v>
      </c>
    </row>
    <row r="698" spans="1:26" x14ac:dyDescent="0.45">
      <c r="B698" t="s">
        <v>53</v>
      </c>
      <c r="C698">
        <v>20244923</v>
      </c>
      <c r="D698" t="s">
        <v>246</v>
      </c>
      <c r="E698" s="8">
        <v>46135.333333333336</v>
      </c>
      <c r="F698" s="8">
        <v>46135.375</v>
      </c>
      <c r="G698" s="9">
        <v>1</v>
      </c>
      <c r="H698" s="9">
        <f t="shared" si="30"/>
        <v>5.0000000000000001E-3</v>
      </c>
      <c r="I698" s="9">
        <v>5.0000000000000001E-3</v>
      </c>
      <c r="J698" s="9"/>
      <c r="K698" s="9"/>
      <c r="L698" s="9"/>
      <c r="M698" t="s">
        <v>65</v>
      </c>
      <c r="N698" t="s">
        <v>29</v>
      </c>
      <c r="P698" t="s">
        <v>30</v>
      </c>
      <c r="Q698" t="s">
        <v>31</v>
      </c>
      <c r="R698">
        <v>82640</v>
      </c>
      <c r="S698" t="s">
        <v>42</v>
      </c>
      <c r="T698">
        <v>82611</v>
      </c>
      <c r="U698" t="s">
        <v>43</v>
      </c>
      <c r="V698" t="s">
        <v>66</v>
      </c>
      <c r="W698" t="s">
        <v>44</v>
      </c>
      <c r="X698" t="s">
        <v>44</v>
      </c>
      <c r="Y698" s="9">
        <f t="shared" si="31"/>
        <v>0</v>
      </c>
      <c r="Z698" t="str">
        <f t="shared" si="32"/>
        <v>สแกนต่าง Cost</v>
      </c>
    </row>
    <row r="699" spans="1:26" x14ac:dyDescent="0.45">
      <c r="A699">
        <v>26813</v>
      </c>
      <c r="B699" t="s">
        <v>53</v>
      </c>
      <c r="C699">
        <v>20276264</v>
      </c>
      <c r="D699" t="s">
        <v>236</v>
      </c>
      <c r="E699" s="8">
        <v>46135.333333333336</v>
      </c>
      <c r="F699" s="8">
        <v>46135.729166666664</v>
      </c>
      <c r="G699" s="9">
        <v>8.5</v>
      </c>
      <c r="H699" s="9">
        <f t="shared" si="30"/>
        <v>4.4999999999999998E-2</v>
      </c>
      <c r="I699" s="9">
        <v>4.4999999999999998E-2</v>
      </c>
      <c r="J699" s="9"/>
      <c r="K699" s="9"/>
      <c r="L699" s="9"/>
      <c r="M699" t="s">
        <v>65</v>
      </c>
      <c r="N699" t="s">
        <v>29</v>
      </c>
      <c r="P699" t="s">
        <v>30</v>
      </c>
      <c r="Q699" t="s">
        <v>31</v>
      </c>
      <c r="R699">
        <v>82301</v>
      </c>
      <c r="S699" t="s">
        <v>79</v>
      </c>
      <c r="T699">
        <v>82308</v>
      </c>
      <c r="U699" t="s">
        <v>69</v>
      </c>
      <c r="V699" t="s">
        <v>69</v>
      </c>
      <c r="W699" t="s">
        <v>69</v>
      </c>
      <c r="X699" t="s">
        <v>196</v>
      </c>
      <c r="Y699" s="9">
        <f t="shared" si="31"/>
        <v>0</v>
      </c>
      <c r="Z699" t="str">
        <f t="shared" si="32"/>
        <v>สแกนต่าง Cost</v>
      </c>
    </row>
    <row r="700" spans="1:26" x14ac:dyDescent="0.45">
      <c r="B700" t="s">
        <v>53</v>
      </c>
      <c r="C700">
        <v>20310532</v>
      </c>
      <c r="D700" t="s">
        <v>61</v>
      </c>
      <c r="E700" s="8">
        <v>46135.333333333336</v>
      </c>
      <c r="F700" s="8">
        <v>46135.354166666664</v>
      </c>
      <c r="G700" s="9">
        <v>0.5</v>
      </c>
      <c r="H700" s="9">
        <f t="shared" si="30"/>
        <v>3.0000000000000001E-3</v>
      </c>
      <c r="I700" s="9">
        <v>3.0000000000000001E-3</v>
      </c>
      <c r="J700" s="9"/>
      <c r="K700" s="9"/>
      <c r="L700" s="9"/>
      <c r="M700" t="s">
        <v>65</v>
      </c>
      <c r="N700" t="s">
        <v>29</v>
      </c>
      <c r="P700" t="s">
        <v>30</v>
      </c>
      <c r="Q700" t="s">
        <v>31</v>
      </c>
      <c r="R700">
        <v>82640</v>
      </c>
      <c r="S700" t="s">
        <v>42</v>
      </c>
      <c r="T700">
        <v>82630</v>
      </c>
      <c r="U700" t="s">
        <v>32</v>
      </c>
      <c r="V700" t="s">
        <v>66</v>
      </c>
      <c r="W700" t="s">
        <v>44</v>
      </c>
      <c r="X700" t="s">
        <v>44</v>
      </c>
      <c r="Y700" s="9">
        <f t="shared" si="31"/>
        <v>0</v>
      </c>
      <c r="Z700" t="str">
        <f t="shared" si="32"/>
        <v>สแกนต่าง Cost</v>
      </c>
    </row>
    <row r="701" spans="1:26" x14ac:dyDescent="0.45">
      <c r="B701" t="s">
        <v>53</v>
      </c>
      <c r="C701">
        <v>20319535</v>
      </c>
      <c r="D701" t="s">
        <v>36</v>
      </c>
      <c r="E701" s="8">
        <v>46135.333333333336</v>
      </c>
      <c r="F701" s="8">
        <v>46135.729166666664</v>
      </c>
      <c r="G701" s="9">
        <v>9.5</v>
      </c>
      <c r="H701" s="9">
        <f t="shared" si="30"/>
        <v>4.9999999999999996E-2</v>
      </c>
      <c r="I701" s="9">
        <v>4.4999999999999998E-2</v>
      </c>
      <c r="J701" s="9"/>
      <c r="K701" s="9">
        <v>5.0000000000000001E-3</v>
      </c>
      <c r="L701" s="9"/>
      <c r="M701" t="s">
        <v>28</v>
      </c>
      <c r="N701" t="s">
        <v>29</v>
      </c>
      <c r="P701" t="s">
        <v>30</v>
      </c>
      <c r="Q701" t="s">
        <v>31</v>
      </c>
      <c r="R701">
        <v>82630</v>
      </c>
      <c r="S701" t="s">
        <v>32</v>
      </c>
      <c r="T701">
        <v>82611</v>
      </c>
      <c r="U701" t="s">
        <v>43</v>
      </c>
      <c r="V701" t="s">
        <v>43</v>
      </c>
      <c r="W701" t="s">
        <v>170</v>
      </c>
      <c r="X701" t="s">
        <v>171</v>
      </c>
      <c r="Y701" s="9">
        <f t="shared" si="31"/>
        <v>5.0000000000000001E-3</v>
      </c>
      <c r="Z701" t="str">
        <f t="shared" si="32"/>
        <v>สแกนต่าง Cost</v>
      </c>
    </row>
    <row r="702" spans="1:26" x14ac:dyDescent="0.45">
      <c r="B702" t="s">
        <v>26</v>
      </c>
      <c r="C702">
        <v>20328003</v>
      </c>
      <c r="D702" t="s">
        <v>107</v>
      </c>
      <c r="E702" s="8">
        <v>46135.333333333336</v>
      </c>
      <c r="F702" s="8">
        <v>46135.729166666664</v>
      </c>
      <c r="G702" s="9">
        <v>8.5</v>
      </c>
      <c r="H702" s="9">
        <f t="shared" si="30"/>
        <v>4.4999999999999998E-2</v>
      </c>
      <c r="I702" s="9">
        <v>4.4999999999999998E-2</v>
      </c>
      <c r="J702" s="9"/>
      <c r="K702" s="9"/>
      <c r="L702" s="9"/>
      <c r="M702" t="s">
        <v>65</v>
      </c>
      <c r="N702" t="s">
        <v>29</v>
      </c>
      <c r="P702" t="s">
        <v>30</v>
      </c>
      <c r="Q702" t="s">
        <v>31</v>
      </c>
      <c r="R702">
        <v>82400</v>
      </c>
      <c r="S702" t="s">
        <v>83</v>
      </c>
      <c r="T702">
        <v>82658</v>
      </c>
      <c r="U702" t="s">
        <v>33</v>
      </c>
      <c r="V702" t="s">
        <v>33</v>
      </c>
      <c r="W702" t="s">
        <v>37</v>
      </c>
      <c r="X702" t="s">
        <v>280</v>
      </c>
      <c r="Y702" s="9">
        <f t="shared" si="31"/>
        <v>0</v>
      </c>
      <c r="Z702" t="str">
        <f t="shared" si="32"/>
        <v>สแกนต่าง Cost</v>
      </c>
    </row>
    <row r="703" spans="1:26" x14ac:dyDescent="0.45">
      <c r="B703" t="s">
        <v>26</v>
      </c>
      <c r="C703">
        <v>20330032</v>
      </c>
      <c r="D703" t="s">
        <v>204</v>
      </c>
      <c r="E703" s="8">
        <v>46135.333333333336</v>
      </c>
      <c r="F703" s="8">
        <v>46135.729166666664</v>
      </c>
      <c r="G703" s="9">
        <v>8.5</v>
      </c>
      <c r="H703" s="9">
        <f t="shared" si="30"/>
        <v>4.4999999999999998E-2</v>
      </c>
      <c r="I703" s="9">
        <v>4.4999999999999998E-2</v>
      </c>
      <c r="J703" s="9"/>
      <c r="K703" s="9"/>
      <c r="L703" s="9"/>
      <c r="M703" t="s">
        <v>65</v>
      </c>
      <c r="N703" t="s">
        <v>29</v>
      </c>
      <c r="P703" t="s">
        <v>30</v>
      </c>
      <c r="Q703" t="s">
        <v>31</v>
      </c>
      <c r="R703">
        <v>82910</v>
      </c>
      <c r="S703" t="s">
        <v>201</v>
      </c>
      <c r="T703">
        <v>82605</v>
      </c>
      <c r="U703" t="s">
        <v>202</v>
      </c>
      <c r="V703" t="s">
        <v>202</v>
      </c>
      <c r="W703" t="s">
        <v>37</v>
      </c>
      <c r="X703" t="s">
        <v>47</v>
      </c>
      <c r="Y703" s="9">
        <f t="shared" si="31"/>
        <v>0</v>
      </c>
      <c r="Z703" t="str">
        <f t="shared" si="32"/>
        <v>สแกนต่าง Cost</v>
      </c>
    </row>
    <row r="704" spans="1:26" x14ac:dyDescent="0.45">
      <c r="B704" t="s">
        <v>26</v>
      </c>
      <c r="C704">
        <v>20331986</v>
      </c>
      <c r="D704" t="s">
        <v>108</v>
      </c>
      <c r="E704" s="8">
        <v>46135.333333333336</v>
      </c>
      <c r="F704" s="8">
        <v>46135.729166666664</v>
      </c>
      <c r="G704" s="9">
        <v>8.5</v>
      </c>
      <c r="H704" s="9">
        <f t="shared" si="30"/>
        <v>4.4999999999999998E-2</v>
      </c>
      <c r="I704" s="9">
        <v>4.4999999999999998E-2</v>
      </c>
      <c r="J704" s="9"/>
      <c r="K704" s="9"/>
      <c r="L704" s="9"/>
      <c r="M704" t="s">
        <v>65</v>
      </c>
      <c r="N704" t="s">
        <v>29</v>
      </c>
      <c r="P704" t="s">
        <v>30</v>
      </c>
      <c r="Q704" t="s">
        <v>31</v>
      </c>
      <c r="R704">
        <v>82400</v>
      </c>
      <c r="S704" t="s">
        <v>83</v>
      </c>
      <c r="T704">
        <v>82658</v>
      </c>
      <c r="U704" t="s">
        <v>33</v>
      </c>
      <c r="V704" t="s">
        <v>33</v>
      </c>
      <c r="W704" t="s">
        <v>37</v>
      </c>
      <c r="X704" t="s">
        <v>280</v>
      </c>
      <c r="Y704" s="9">
        <f t="shared" si="31"/>
        <v>0</v>
      </c>
      <c r="Z704" t="str">
        <f t="shared" si="32"/>
        <v>สแกนต่าง Cost</v>
      </c>
    </row>
    <row r="705" spans="1:26" x14ac:dyDescent="0.45">
      <c r="B705" t="s">
        <v>53</v>
      </c>
      <c r="C705">
        <v>20332134</v>
      </c>
      <c r="D705" t="s">
        <v>156</v>
      </c>
      <c r="E705" s="8">
        <v>46135.333333333336</v>
      </c>
      <c r="F705" s="8">
        <v>46135.395833333336</v>
      </c>
      <c r="G705" s="9">
        <v>1.5</v>
      </c>
      <c r="H705" s="9">
        <f t="shared" si="30"/>
        <v>8.0000000000000002E-3</v>
      </c>
      <c r="I705" s="9">
        <v>8.0000000000000002E-3</v>
      </c>
      <c r="J705" s="9"/>
      <c r="K705" s="9"/>
      <c r="L705" s="9"/>
      <c r="M705" t="s">
        <v>65</v>
      </c>
      <c r="N705" t="s">
        <v>29</v>
      </c>
      <c r="P705" t="s">
        <v>30</v>
      </c>
      <c r="Q705" t="s">
        <v>31</v>
      </c>
      <c r="R705">
        <v>82640</v>
      </c>
      <c r="S705" t="s">
        <v>42</v>
      </c>
      <c r="T705">
        <v>82630</v>
      </c>
      <c r="U705" t="s">
        <v>32</v>
      </c>
      <c r="V705" t="s">
        <v>66</v>
      </c>
      <c r="W705" t="s">
        <v>44</v>
      </c>
      <c r="X705" t="s">
        <v>44</v>
      </c>
      <c r="Y705" s="9">
        <f t="shared" si="31"/>
        <v>0</v>
      </c>
      <c r="Z705" t="str">
        <f t="shared" si="32"/>
        <v>สแกนต่าง Cost</v>
      </c>
    </row>
    <row r="706" spans="1:26" x14ac:dyDescent="0.45">
      <c r="B706" t="s">
        <v>53</v>
      </c>
      <c r="C706">
        <v>20344532</v>
      </c>
      <c r="D706" t="s">
        <v>186</v>
      </c>
      <c r="E706" s="8">
        <v>46135.333333333336</v>
      </c>
      <c r="F706" s="8">
        <v>46135.729166666664</v>
      </c>
      <c r="G706" s="9">
        <v>9.5</v>
      </c>
      <c r="H706" s="9">
        <f t="shared" si="30"/>
        <v>5.0000000000000001E-3</v>
      </c>
      <c r="I706" s="9"/>
      <c r="J706" s="9"/>
      <c r="K706" s="9"/>
      <c r="L706" s="9">
        <v>5.0000000000000001E-3</v>
      </c>
      <c r="M706" t="s">
        <v>255</v>
      </c>
      <c r="N706" t="s">
        <v>29</v>
      </c>
      <c r="P706" t="s">
        <v>30</v>
      </c>
      <c r="Q706" t="s">
        <v>31</v>
      </c>
      <c r="R706">
        <v>82630</v>
      </c>
      <c r="S706" t="s">
        <v>32</v>
      </c>
      <c r="T706">
        <v>82611</v>
      </c>
      <c r="U706" t="s">
        <v>43</v>
      </c>
      <c r="V706" t="s">
        <v>43</v>
      </c>
      <c r="W706" t="s">
        <v>170</v>
      </c>
      <c r="X706" t="s">
        <v>171</v>
      </c>
      <c r="Y706" s="9">
        <f t="shared" si="31"/>
        <v>5.0000000000000001E-3</v>
      </c>
      <c r="Z706" t="str">
        <f t="shared" si="32"/>
        <v>สแกนต่าง Cost</v>
      </c>
    </row>
    <row r="707" spans="1:26" x14ac:dyDescent="0.45">
      <c r="A707">
        <v>26808</v>
      </c>
      <c r="B707" t="s">
        <v>53</v>
      </c>
      <c r="C707">
        <v>20344551</v>
      </c>
      <c r="D707" t="s">
        <v>110</v>
      </c>
      <c r="E707" s="8">
        <v>46135.333333333336</v>
      </c>
      <c r="F707" s="8">
        <v>46135.729166666664</v>
      </c>
      <c r="G707" s="9">
        <v>8.5</v>
      </c>
      <c r="H707" s="9">
        <f t="shared" ref="H707:H770" si="33">SUM(I707:L707)</f>
        <v>4.4999999999999998E-2</v>
      </c>
      <c r="I707" s="9"/>
      <c r="J707" s="9">
        <v>4.4999999999999998E-2</v>
      </c>
      <c r="K707" s="9"/>
      <c r="L707" s="9"/>
      <c r="M707" t="s">
        <v>77</v>
      </c>
      <c r="N707" t="s">
        <v>40</v>
      </c>
      <c r="O707" t="s">
        <v>78</v>
      </c>
      <c r="P707" t="s">
        <v>30</v>
      </c>
      <c r="Q707" t="s">
        <v>31</v>
      </c>
      <c r="R707">
        <v>82655</v>
      </c>
      <c r="S707" t="s">
        <v>59</v>
      </c>
      <c r="T707">
        <v>82664</v>
      </c>
      <c r="U707" t="s">
        <v>75</v>
      </c>
      <c r="V707" t="s">
        <v>75</v>
      </c>
      <c r="W707" t="s">
        <v>37</v>
      </c>
      <c r="X707" t="s">
        <v>111</v>
      </c>
      <c r="Y707" s="9">
        <f t="shared" ref="Y707:Y770" si="34">SUM(J707:L707)</f>
        <v>4.4999999999999998E-2</v>
      </c>
      <c r="Z707" t="str">
        <f t="shared" ref="Z707:Z770" si="35">IF(R707=T707,"สแกน Cost ตัวเอง","สแกนต่าง Cost")</f>
        <v>สแกนต่าง Cost</v>
      </c>
    </row>
    <row r="708" spans="1:26" x14ac:dyDescent="0.45">
      <c r="A708">
        <v>26809</v>
      </c>
      <c r="B708" t="s">
        <v>53</v>
      </c>
      <c r="C708">
        <v>20344552</v>
      </c>
      <c r="D708" t="s">
        <v>112</v>
      </c>
      <c r="E708" s="8">
        <v>46135.333333333336</v>
      </c>
      <c r="F708" s="8">
        <v>46135.729166666664</v>
      </c>
      <c r="G708" s="9">
        <v>8.5</v>
      </c>
      <c r="H708" s="9">
        <f t="shared" si="33"/>
        <v>4.4999999999999998E-2</v>
      </c>
      <c r="I708" s="9"/>
      <c r="J708" s="9">
        <v>4.4999999999999998E-2</v>
      </c>
      <c r="K708" s="9"/>
      <c r="L708" s="9"/>
      <c r="M708" t="s">
        <v>77</v>
      </c>
      <c r="N708" t="s">
        <v>40</v>
      </c>
      <c r="O708" t="s">
        <v>78</v>
      </c>
      <c r="P708" t="s">
        <v>30</v>
      </c>
      <c r="Q708" t="s">
        <v>31</v>
      </c>
      <c r="R708">
        <v>82655</v>
      </c>
      <c r="S708" t="s">
        <v>59</v>
      </c>
      <c r="T708">
        <v>82664</v>
      </c>
      <c r="U708" t="s">
        <v>75</v>
      </c>
      <c r="V708" t="s">
        <v>75</v>
      </c>
      <c r="W708" t="s">
        <v>37</v>
      </c>
      <c r="X708" t="s">
        <v>111</v>
      </c>
      <c r="Y708" s="9">
        <f t="shared" si="34"/>
        <v>4.4999999999999998E-2</v>
      </c>
      <c r="Z708" t="str">
        <f t="shared" si="35"/>
        <v>สแกนต่าง Cost</v>
      </c>
    </row>
    <row r="709" spans="1:26" x14ac:dyDescent="0.45">
      <c r="B709" t="s">
        <v>53</v>
      </c>
      <c r="C709">
        <v>20352276</v>
      </c>
      <c r="D709" t="s">
        <v>187</v>
      </c>
      <c r="E709" s="8">
        <v>46135.333333333336</v>
      </c>
      <c r="F709" s="8">
        <v>46135.729166666664</v>
      </c>
      <c r="G709" s="9">
        <v>8.5</v>
      </c>
      <c r="H709" s="9">
        <f t="shared" si="33"/>
        <v>4.4999999999999998E-2</v>
      </c>
      <c r="I709" s="9">
        <v>4.4999999999999998E-2</v>
      </c>
      <c r="J709" s="9"/>
      <c r="K709" s="9"/>
      <c r="L709" s="9"/>
      <c r="M709" t="s">
        <v>65</v>
      </c>
      <c r="N709" t="s">
        <v>29</v>
      </c>
      <c r="P709" t="s">
        <v>30</v>
      </c>
      <c r="Q709" t="s">
        <v>31</v>
      </c>
      <c r="R709">
        <v>82630</v>
      </c>
      <c r="S709" t="s">
        <v>32</v>
      </c>
      <c r="T709">
        <v>82611</v>
      </c>
      <c r="U709" t="s">
        <v>43</v>
      </c>
      <c r="V709" t="s">
        <v>43</v>
      </c>
      <c r="W709" t="s">
        <v>170</v>
      </c>
      <c r="X709" t="s">
        <v>171</v>
      </c>
      <c r="Y709" s="9">
        <f t="shared" si="34"/>
        <v>0</v>
      </c>
      <c r="Z709" t="str">
        <f t="shared" si="35"/>
        <v>สแกนต่าง Cost</v>
      </c>
    </row>
    <row r="710" spans="1:26" x14ac:dyDescent="0.45">
      <c r="B710" t="s">
        <v>26</v>
      </c>
      <c r="C710">
        <v>20352282</v>
      </c>
      <c r="D710" t="s">
        <v>84</v>
      </c>
      <c r="E710" s="8">
        <v>46135.333333333336</v>
      </c>
      <c r="F710" s="8">
        <v>46135.729166666664</v>
      </c>
      <c r="G710" s="9">
        <v>8.5</v>
      </c>
      <c r="H710" s="9">
        <f t="shared" si="33"/>
        <v>4.4999999999999998E-2</v>
      </c>
      <c r="I710" s="9">
        <v>4.4999999999999998E-2</v>
      </c>
      <c r="J710" s="9"/>
      <c r="K710" s="9"/>
      <c r="L710" s="9"/>
      <c r="M710" t="s">
        <v>65</v>
      </c>
      <c r="N710" t="s">
        <v>29</v>
      </c>
      <c r="P710" t="s">
        <v>30</v>
      </c>
      <c r="Q710" t="s">
        <v>31</v>
      </c>
      <c r="R710">
        <v>82400</v>
      </c>
      <c r="S710" t="s">
        <v>83</v>
      </c>
      <c r="T710">
        <v>82658</v>
      </c>
      <c r="U710" t="s">
        <v>33</v>
      </c>
      <c r="V710" t="s">
        <v>33</v>
      </c>
      <c r="W710" t="s">
        <v>37</v>
      </c>
      <c r="X710" t="s">
        <v>280</v>
      </c>
      <c r="Y710" s="9">
        <f t="shared" si="34"/>
        <v>0</v>
      </c>
      <c r="Z710" t="str">
        <f t="shared" si="35"/>
        <v>สแกนต่าง Cost</v>
      </c>
    </row>
    <row r="711" spans="1:26" x14ac:dyDescent="0.45">
      <c r="B711" t="s">
        <v>26</v>
      </c>
      <c r="C711">
        <v>20352284</v>
      </c>
      <c r="D711" t="s">
        <v>113</v>
      </c>
      <c r="E711" s="8">
        <v>46135.333333333336</v>
      </c>
      <c r="F711" s="8">
        <v>46135.729166666664</v>
      </c>
      <c r="G711" s="9">
        <v>8.5</v>
      </c>
      <c r="H711" s="9">
        <f t="shared" si="33"/>
        <v>4.4999999999999998E-2</v>
      </c>
      <c r="I711" s="9">
        <v>4.4999999999999998E-2</v>
      </c>
      <c r="J711" s="9"/>
      <c r="K711" s="9"/>
      <c r="L711" s="9"/>
      <c r="M711" t="s">
        <v>65</v>
      </c>
      <c r="N711" t="s">
        <v>29</v>
      </c>
      <c r="P711" t="s">
        <v>30</v>
      </c>
      <c r="Q711" t="s">
        <v>31</v>
      </c>
      <c r="R711">
        <v>82400</v>
      </c>
      <c r="S711" t="s">
        <v>83</v>
      </c>
      <c r="T711">
        <v>82658</v>
      </c>
      <c r="U711" t="s">
        <v>33</v>
      </c>
      <c r="V711" t="s">
        <v>33</v>
      </c>
      <c r="W711" t="s">
        <v>37</v>
      </c>
      <c r="X711" t="s">
        <v>280</v>
      </c>
      <c r="Y711" s="9">
        <f t="shared" si="34"/>
        <v>0</v>
      </c>
      <c r="Z711" t="str">
        <f t="shared" si="35"/>
        <v>สแกนต่าง Cost</v>
      </c>
    </row>
    <row r="712" spans="1:26" x14ac:dyDescent="0.45">
      <c r="B712" t="s">
        <v>26</v>
      </c>
      <c r="C712">
        <v>20352338</v>
      </c>
      <c r="D712" t="s">
        <v>114</v>
      </c>
      <c r="E712" s="8">
        <v>46135.333333333336</v>
      </c>
      <c r="F712" s="8">
        <v>46135.729166666664</v>
      </c>
      <c r="G712" s="9">
        <v>8.5</v>
      </c>
      <c r="H712" s="9">
        <f t="shared" si="33"/>
        <v>4.4999999999999998E-2</v>
      </c>
      <c r="I712" s="9">
        <v>4.4999999999999998E-2</v>
      </c>
      <c r="J712" s="9"/>
      <c r="K712" s="9"/>
      <c r="L712" s="9"/>
      <c r="M712" t="s">
        <v>65</v>
      </c>
      <c r="N712" t="s">
        <v>29</v>
      </c>
      <c r="P712" t="s">
        <v>30</v>
      </c>
      <c r="Q712" t="s">
        <v>31</v>
      </c>
      <c r="R712">
        <v>82400</v>
      </c>
      <c r="S712" t="s">
        <v>83</v>
      </c>
      <c r="T712">
        <v>82658</v>
      </c>
      <c r="U712" t="s">
        <v>33</v>
      </c>
      <c r="V712" t="s">
        <v>33</v>
      </c>
      <c r="W712" t="s">
        <v>37</v>
      </c>
      <c r="X712" t="s">
        <v>280</v>
      </c>
      <c r="Y712" s="9">
        <f t="shared" si="34"/>
        <v>0</v>
      </c>
      <c r="Z712" t="str">
        <f t="shared" si="35"/>
        <v>สแกนต่าง Cost</v>
      </c>
    </row>
    <row r="713" spans="1:26" x14ac:dyDescent="0.45">
      <c r="B713" t="s">
        <v>26</v>
      </c>
      <c r="C713">
        <v>20372078</v>
      </c>
      <c r="D713" t="s">
        <v>82</v>
      </c>
      <c r="E713" s="8">
        <v>46135.333333333336</v>
      </c>
      <c r="F713" s="8">
        <v>46135.729166666664</v>
      </c>
      <c r="G713" s="9">
        <v>8.5</v>
      </c>
      <c r="H713" s="9">
        <f t="shared" si="33"/>
        <v>4.4999999999999998E-2</v>
      </c>
      <c r="I713" s="9">
        <v>4.4999999999999998E-2</v>
      </c>
      <c r="J713" s="9"/>
      <c r="K713" s="9"/>
      <c r="L713" s="9"/>
      <c r="M713" t="s">
        <v>65</v>
      </c>
      <c r="N713" t="s">
        <v>29</v>
      </c>
      <c r="P713" t="s">
        <v>30</v>
      </c>
      <c r="Q713" t="s">
        <v>31</v>
      </c>
      <c r="R713">
        <v>82400</v>
      </c>
      <c r="S713" t="s">
        <v>83</v>
      </c>
      <c r="T713">
        <v>82658</v>
      </c>
      <c r="U713" t="s">
        <v>33</v>
      </c>
      <c r="V713" t="s">
        <v>33</v>
      </c>
      <c r="W713" t="s">
        <v>37</v>
      </c>
      <c r="X713" t="s">
        <v>280</v>
      </c>
      <c r="Y713" s="9">
        <f t="shared" si="34"/>
        <v>0</v>
      </c>
      <c r="Z713" t="str">
        <f t="shared" si="35"/>
        <v>สแกนต่าง Cost</v>
      </c>
    </row>
    <row r="714" spans="1:26" x14ac:dyDescent="0.45">
      <c r="B714" t="s">
        <v>26</v>
      </c>
      <c r="C714">
        <v>20372080</v>
      </c>
      <c r="D714" t="s">
        <v>117</v>
      </c>
      <c r="E714" s="8">
        <v>46135.333333333336</v>
      </c>
      <c r="F714" s="8">
        <v>46135.729166666664</v>
      </c>
      <c r="G714" s="9">
        <v>8.5</v>
      </c>
      <c r="H714" s="9">
        <f t="shared" si="33"/>
        <v>4.4999999999999998E-2</v>
      </c>
      <c r="I714" s="9">
        <v>4.4999999999999998E-2</v>
      </c>
      <c r="J714" s="9"/>
      <c r="K714" s="9"/>
      <c r="L714" s="9"/>
      <c r="M714" t="s">
        <v>65</v>
      </c>
      <c r="N714" t="s">
        <v>29</v>
      </c>
      <c r="P714" t="s">
        <v>30</v>
      </c>
      <c r="Q714" t="s">
        <v>31</v>
      </c>
      <c r="R714">
        <v>82400</v>
      </c>
      <c r="S714" t="s">
        <v>83</v>
      </c>
      <c r="T714">
        <v>82658</v>
      </c>
      <c r="U714" t="s">
        <v>33</v>
      </c>
      <c r="V714" t="s">
        <v>33</v>
      </c>
      <c r="W714" t="s">
        <v>37</v>
      </c>
      <c r="X714" t="s">
        <v>280</v>
      </c>
      <c r="Y714" s="9">
        <f t="shared" si="34"/>
        <v>0</v>
      </c>
      <c r="Z714" t="str">
        <f t="shared" si="35"/>
        <v>สแกนต่าง Cost</v>
      </c>
    </row>
    <row r="715" spans="1:26" x14ac:dyDescent="0.45">
      <c r="A715">
        <v>26805</v>
      </c>
      <c r="B715" t="s">
        <v>53</v>
      </c>
      <c r="C715">
        <v>20372709</v>
      </c>
      <c r="D715" t="s">
        <v>130</v>
      </c>
      <c r="E715" s="8">
        <v>46135.333333333336</v>
      </c>
      <c r="F715" s="8">
        <v>46135.729166666664</v>
      </c>
      <c r="G715" s="9">
        <v>8.5</v>
      </c>
      <c r="H715" s="9">
        <f t="shared" si="33"/>
        <v>4.4999999999999998E-2</v>
      </c>
      <c r="I715" s="9"/>
      <c r="J715" s="9">
        <v>4.4999999999999998E-2</v>
      </c>
      <c r="K715" s="9"/>
      <c r="L715" s="9"/>
      <c r="M715" t="s">
        <v>77</v>
      </c>
      <c r="N715" t="s">
        <v>40</v>
      </c>
      <c r="O715" t="s">
        <v>78</v>
      </c>
      <c r="P715" t="s">
        <v>30</v>
      </c>
      <c r="Q715" t="s">
        <v>31</v>
      </c>
      <c r="R715">
        <v>82658</v>
      </c>
      <c r="S715" t="s">
        <v>33</v>
      </c>
      <c r="T715">
        <v>82664</v>
      </c>
      <c r="U715" t="s">
        <v>75</v>
      </c>
      <c r="V715" t="s">
        <v>75</v>
      </c>
      <c r="W715" t="s">
        <v>37</v>
      </c>
      <c r="X715" t="s">
        <v>111</v>
      </c>
      <c r="Y715" s="9">
        <f t="shared" si="34"/>
        <v>4.4999999999999998E-2</v>
      </c>
      <c r="Z715" t="str">
        <f t="shared" si="35"/>
        <v>สแกนต่าง Cost</v>
      </c>
    </row>
    <row r="716" spans="1:26" x14ac:dyDescent="0.45">
      <c r="B716" t="s">
        <v>26</v>
      </c>
      <c r="C716">
        <v>20373210</v>
      </c>
      <c r="D716" t="s">
        <v>206</v>
      </c>
      <c r="E716" s="8">
        <v>46135.333333333336</v>
      </c>
      <c r="F716" s="8">
        <v>46135.729166666664</v>
      </c>
      <c r="G716" s="9">
        <v>8.5</v>
      </c>
      <c r="H716" s="9">
        <f t="shared" si="33"/>
        <v>4.4999999999999998E-2</v>
      </c>
      <c r="I716" s="9">
        <v>4.4999999999999998E-2</v>
      </c>
      <c r="J716" s="9"/>
      <c r="K716" s="9"/>
      <c r="L716" s="9"/>
      <c r="M716" t="s">
        <v>65</v>
      </c>
      <c r="N716" t="s">
        <v>29</v>
      </c>
      <c r="P716" t="s">
        <v>30</v>
      </c>
      <c r="Q716" t="s">
        <v>31</v>
      </c>
      <c r="R716">
        <v>82910</v>
      </c>
      <c r="S716" t="s">
        <v>201</v>
      </c>
      <c r="T716">
        <v>82605</v>
      </c>
      <c r="U716" t="s">
        <v>202</v>
      </c>
      <c r="V716" t="s">
        <v>202</v>
      </c>
      <c r="W716" t="s">
        <v>37</v>
      </c>
      <c r="X716" t="s">
        <v>47</v>
      </c>
      <c r="Y716" s="9">
        <f t="shared" si="34"/>
        <v>0</v>
      </c>
      <c r="Z716" t="str">
        <f t="shared" si="35"/>
        <v>สแกนต่าง Cost</v>
      </c>
    </row>
    <row r="717" spans="1:26" x14ac:dyDescent="0.45">
      <c r="A717">
        <v>26810</v>
      </c>
      <c r="B717" t="s">
        <v>53</v>
      </c>
      <c r="C717">
        <v>20374943</v>
      </c>
      <c r="D717" t="s">
        <v>207</v>
      </c>
      <c r="E717" s="8">
        <v>46135.333333333336</v>
      </c>
      <c r="F717" s="8">
        <v>46135.837500000001</v>
      </c>
      <c r="G717" s="9">
        <v>12.1</v>
      </c>
      <c r="H717" s="9">
        <f t="shared" si="33"/>
        <v>6.4000000000000001E-2</v>
      </c>
      <c r="I717" s="9">
        <v>4.4999999999999998E-2</v>
      </c>
      <c r="J717" s="9"/>
      <c r="K717" s="9">
        <v>1.9E-2</v>
      </c>
      <c r="L717" s="9"/>
      <c r="M717" t="s">
        <v>28</v>
      </c>
      <c r="N717" t="s">
        <v>40</v>
      </c>
      <c r="O717" t="s">
        <v>41</v>
      </c>
      <c r="P717" t="s">
        <v>30</v>
      </c>
      <c r="Q717" t="s">
        <v>31</v>
      </c>
      <c r="R717">
        <v>82301</v>
      </c>
      <c r="S717" t="s">
        <v>79</v>
      </c>
      <c r="T717">
        <v>82308</v>
      </c>
      <c r="U717" t="s">
        <v>69</v>
      </c>
      <c r="V717" t="s">
        <v>69</v>
      </c>
      <c r="W717" t="s">
        <v>69</v>
      </c>
      <c r="X717" t="s">
        <v>196</v>
      </c>
      <c r="Y717" s="9">
        <f t="shared" si="34"/>
        <v>1.9E-2</v>
      </c>
      <c r="Z717" t="str">
        <f t="shared" si="35"/>
        <v>สแกนต่าง Cost</v>
      </c>
    </row>
    <row r="718" spans="1:26" x14ac:dyDescent="0.45">
      <c r="A718">
        <v>26814</v>
      </c>
      <c r="B718" t="s">
        <v>53</v>
      </c>
      <c r="C718">
        <v>20377125</v>
      </c>
      <c r="D718" t="s">
        <v>194</v>
      </c>
      <c r="E718" s="8">
        <v>46135.333333333336</v>
      </c>
      <c r="F718" s="8">
        <v>46135.729166666664</v>
      </c>
      <c r="G718" s="9">
        <v>8.5</v>
      </c>
      <c r="H718" s="9">
        <f t="shared" si="33"/>
        <v>4.4999999999999998E-2</v>
      </c>
      <c r="I718" s="9">
        <v>4.4999999999999998E-2</v>
      </c>
      <c r="J718" s="9"/>
      <c r="K718" s="9"/>
      <c r="L718" s="9"/>
      <c r="M718" t="s">
        <v>65</v>
      </c>
      <c r="N718" t="s">
        <v>29</v>
      </c>
      <c r="P718" t="s">
        <v>30</v>
      </c>
      <c r="Q718" t="s">
        <v>31</v>
      </c>
      <c r="R718">
        <v>82301</v>
      </c>
      <c r="S718" t="s">
        <v>79</v>
      </c>
      <c r="T718">
        <v>82308</v>
      </c>
      <c r="U718" t="s">
        <v>69</v>
      </c>
      <c r="V718" t="s">
        <v>69</v>
      </c>
      <c r="W718" t="s">
        <v>69</v>
      </c>
      <c r="X718" t="s">
        <v>196</v>
      </c>
      <c r="Y718" s="9">
        <f t="shared" si="34"/>
        <v>0</v>
      </c>
      <c r="Z718" t="str">
        <f t="shared" si="35"/>
        <v>สแกนต่าง Cost</v>
      </c>
    </row>
    <row r="719" spans="1:26" x14ac:dyDescent="0.45">
      <c r="B719" t="s">
        <v>26</v>
      </c>
      <c r="C719">
        <v>20382170</v>
      </c>
      <c r="D719" t="s">
        <v>118</v>
      </c>
      <c r="E719" s="8">
        <v>46135.333333333336</v>
      </c>
      <c r="F719" s="8">
        <v>46135.729166666664</v>
      </c>
      <c r="G719" s="9">
        <v>8.5</v>
      </c>
      <c r="H719" s="9">
        <f t="shared" si="33"/>
        <v>4.4999999999999998E-2</v>
      </c>
      <c r="I719" s="9">
        <v>4.4999999999999998E-2</v>
      </c>
      <c r="J719" s="9"/>
      <c r="K719" s="9"/>
      <c r="L719" s="9"/>
      <c r="M719" t="s">
        <v>65</v>
      </c>
      <c r="N719" t="s">
        <v>29</v>
      </c>
      <c r="P719" t="s">
        <v>30</v>
      </c>
      <c r="Q719" t="s">
        <v>31</v>
      </c>
      <c r="R719">
        <v>82400</v>
      </c>
      <c r="S719" t="s">
        <v>83</v>
      </c>
      <c r="T719">
        <v>82658</v>
      </c>
      <c r="U719" t="s">
        <v>33</v>
      </c>
      <c r="V719" t="s">
        <v>33</v>
      </c>
      <c r="W719" t="s">
        <v>37</v>
      </c>
      <c r="X719" t="s">
        <v>280</v>
      </c>
      <c r="Y719" s="9">
        <f t="shared" si="34"/>
        <v>0</v>
      </c>
      <c r="Z719" t="str">
        <f t="shared" si="35"/>
        <v>สแกนต่าง Cost</v>
      </c>
    </row>
    <row r="720" spans="1:26" x14ac:dyDescent="0.45">
      <c r="B720" t="s">
        <v>26</v>
      </c>
      <c r="C720">
        <v>20382171</v>
      </c>
      <c r="D720" t="s">
        <v>119</v>
      </c>
      <c r="E720" s="8">
        <v>46135.333333333336</v>
      </c>
      <c r="F720" s="8">
        <v>46135.729166666664</v>
      </c>
      <c r="G720" s="9">
        <v>8.5</v>
      </c>
      <c r="H720" s="9">
        <f t="shared" si="33"/>
        <v>4.4999999999999998E-2</v>
      </c>
      <c r="I720" s="9">
        <v>4.4999999999999998E-2</v>
      </c>
      <c r="J720" s="9"/>
      <c r="K720" s="9"/>
      <c r="L720" s="9"/>
      <c r="M720" t="s">
        <v>65</v>
      </c>
      <c r="N720" t="s">
        <v>29</v>
      </c>
      <c r="P720" t="s">
        <v>30</v>
      </c>
      <c r="Q720" t="s">
        <v>31</v>
      </c>
      <c r="R720">
        <v>82400</v>
      </c>
      <c r="S720" t="s">
        <v>83</v>
      </c>
      <c r="T720">
        <v>82658</v>
      </c>
      <c r="U720" t="s">
        <v>33</v>
      </c>
      <c r="V720" t="s">
        <v>33</v>
      </c>
      <c r="W720" t="s">
        <v>37</v>
      </c>
      <c r="X720" t="s">
        <v>280</v>
      </c>
      <c r="Y720" s="9">
        <f t="shared" si="34"/>
        <v>0</v>
      </c>
      <c r="Z720" t="str">
        <f t="shared" si="35"/>
        <v>สแกนต่าง Cost</v>
      </c>
    </row>
    <row r="721" spans="1:26" x14ac:dyDescent="0.45">
      <c r="B721" t="s">
        <v>26</v>
      </c>
      <c r="C721">
        <v>20403191</v>
      </c>
      <c r="D721" t="s">
        <v>122</v>
      </c>
      <c r="E721" s="8">
        <v>46135.333333333336</v>
      </c>
      <c r="F721" s="8">
        <v>46135.729166666664</v>
      </c>
      <c r="G721" s="9">
        <v>8.5</v>
      </c>
      <c r="H721" s="9">
        <f t="shared" si="33"/>
        <v>4.4999999999999998E-2</v>
      </c>
      <c r="I721" s="9">
        <v>4.4999999999999998E-2</v>
      </c>
      <c r="J721" s="9"/>
      <c r="K721" s="9"/>
      <c r="L721" s="9"/>
      <c r="M721" t="s">
        <v>48</v>
      </c>
      <c r="N721" t="s">
        <v>48</v>
      </c>
      <c r="P721" t="s">
        <v>30</v>
      </c>
      <c r="Q721" t="s">
        <v>31</v>
      </c>
      <c r="R721">
        <v>82400</v>
      </c>
      <c r="S721" t="s">
        <v>83</v>
      </c>
      <c r="T721">
        <v>82658</v>
      </c>
      <c r="U721" t="s">
        <v>33</v>
      </c>
      <c r="V721" t="s">
        <v>33</v>
      </c>
      <c r="W721" t="s">
        <v>37</v>
      </c>
      <c r="X721" t="s">
        <v>280</v>
      </c>
      <c r="Y721" s="9">
        <f t="shared" si="34"/>
        <v>0</v>
      </c>
      <c r="Z721" t="str">
        <f t="shared" si="35"/>
        <v>สแกนต่าง Cost</v>
      </c>
    </row>
    <row r="722" spans="1:26" x14ac:dyDescent="0.45">
      <c r="B722" t="s">
        <v>26</v>
      </c>
      <c r="C722">
        <v>20403192</v>
      </c>
      <c r="D722" t="s">
        <v>123</v>
      </c>
      <c r="E722" s="8">
        <v>46135.333333333336</v>
      </c>
      <c r="F722" s="8">
        <v>46135.729166666664</v>
      </c>
      <c r="G722" s="9">
        <v>8.5</v>
      </c>
      <c r="H722" s="9">
        <f t="shared" si="33"/>
        <v>4.4999999999999998E-2</v>
      </c>
      <c r="I722" s="9">
        <v>4.4999999999999998E-2</v>
      </c>
      <c r="J722" s="9"/>
      <c r="K722" s="9"/>
      <c r="L722" s="9"/>
      <c r="M722" t="s">
        <v>48</v>
      </c>
      <c r="N722" t="s">
        <v>48</v>
      </c>
      <c r="P722" t="s">
        <v>30</v>
      </c>
      <c r="Q722" t="s">
        <v>31</v>
      </c>
      <c r="R722">
        <v>82400</v>
      </c>
      <c r="S722" t="s">
        <v>83</v>
      </c>
      <c r="T722">
        <v>82658</v>
      </c>
      <c r="U722" t="s">
        <v>33</v>
      </c>
      <c r="V722" t="s">
        <v>33</v>
      </c>
      <c r="W722" t="s">
        <v>37</v>
      </c>
      <c r="X722" t="s">
        <v>280</v>
      </c>
      <c r="Y722" s="9">
        <f t="shared" si="34"/>
        <v>0</v>
      </c>
      <c r="Z722" t="str">
        <f t="shared" si="35"/>
        <v>สแกนต่าง Cost</v>
      </c>
    </row>
    <row r="723" spans="1:26" x14ac:dyDescent="0.45">
      <c r="B723" t="s">
        <v>26</v>
      </c>
      <c r="C723">
        <v>20403252</v>
      </c>
      <c r="D723" t="s">
        <v>124</v>
      </c>
      <c r="E723" s="8">
        <v>46135.333333333336</v>
      </c>
      <c r="F723" s="8">
        <v>46135.729166666664</v>
      </c>
      <c r="G723" s="9">
        <v>8.5</v>
      </c>
      <c r="H723" s="9">
        <f t="shared" si="33"/>
        <v>4.4999999999999998E-2</v>
      </c>
      <c r="I723" s="9">
        <v>4.4999999999999998E-2</v>
      </c>
      <c r="J723" s="9"/>
      <c r="K723" s="9"/>
      <c r="L723" s="9"/>
      <c r="M723" t="s">
        <v>48</v>
      </c>
      <c r="N723" t="s">
        <v>48</v>
      </c>
      <c r="P723" t="s">
        <v>30</v>
      </c>
      <c r="Q723" t="s">
        <v>31</v>
      </c>
      <c r="R723">
        <v>82400</v>
      </c>
      <c r="S723" t="s">
        <v>83</v>
      </c>
      <c r="T723">
        <v>82658</v>
      </c>
      <c r="U723" t="s">
        <v>33</v>
      </c>
      <c r="V723" t="s">
        <v>33</v>
      </c>
      <c r="W723" t="s">
        <v>37</v>
      </c>
      <c r="X723" t="s">
        <v>280</v>
      </c>
      <c r="Y723" s="9">
        <f t="shared" si="34"/>
        <v>0</v>
      </c>
      <c r="Z723" t="str">
        <f t="shared" si="35"/>
        <v>สแกนต่าง Cost</v>
      </c>
    </row>
    <row r="724" spans="1:26" x14ac:dyDescent="0.45">
      <c r="B724" t="s">
        <v>26</v>
      </c>
      <c r="C724">
        <v>20403253</v>
      </c>
      <c r="D724" t="s">
        <v>125</v>
      </c>
      <c r="E724" s="8">
        <v>46135.333333333336</v>
      </c>
      <c r="F724" s="8">
        <v>46135.729166666664</v>
      </c>
      <c r="G724" s="9">
        <v>8.5</v>
      </c>
      <c r="H724" s="9">
        <f t="shared" si="33"/>
        <v>4.4999999999999998E-2</v>
      </c>
      <c r="I724" s="9">
        <v>4.4999999999999998E-2</v>
      </c>
      <c r="J724" s="9"/>
      <c r="K724" s="9"/>
      <c r="L724" s="9"/>
      <c r="M724" t="s">
        <v>48</v>
      </c>
      <c r="N724" t="s">
        <v>48</v>
      </c>
      <c r="P724" t="s">
        <v>30</v>
      </c>
      <c r="Q724" t="s">
        <v>31</v>
      </c>
      <c r="R724">
        <v>82400</v>
      </c>
      <c r="S724" t="s">
        <v>83</v>
      </c>
      <c r="T724">
        <v>82658</v>
      </c>
      <c r="U724" t="s">
        <v>33</v>
      </c>
      <c r="V724" t="s">
        <v>33</v>
      </c>
      <c r="W724" t="s">
        <v>37</v>
      </c>
      <c r="X724" t="s">
        <v>280</v>
      </c>
      <c r="Y724" s="9">
        <f t="shared" si="34"/>
        <v>0</v>
      </c>
      <c r="Z724" t="str">
        <f t="shared" si="35"/>
        <v>สแกนต่าง Cost</v>
      </c>
    </row>
    <row r="725" spans="1:26" x14ac:dyDescent="0.45">
      <c r="B725" t="s">
        <v>26</v>
      </c>
      <c r="C725">
        <v>20403254</v>
      </c>
      <c r="D725" t="s">
        <v>126</v>
      </c>
      <c r="E725" s="8">
        <v>46135.333333333336</v>
      </c>
      <c r="F725" s="8">
        <v>46135.729166666664</v>
      </c>
      <c r="G725" s="9">
        <v>8.5</v>
      </c>
      <c r="H725" s="9">
        <f t="shared" si="33"/>
        <v>4.4999999999999998E-2</v>
      </c>
      <c r="I725" s="9">
        <v>4.4999999999999998E-2</v>
      </c>
      <c r="J725" s="9"/>
      <c r="K725" s="9"/>
      <c r="L725" s="9"/>
      <c r="M725" t="s">
        <v>48</v>
      </c>
      <c r="N725" t="s">
        <v>48</v>
      </c>
      <c r="P725" t="s">
        <v>30</v>
      </c>
      <c r="Q725" t="s">
        <v>31</v>
      </c>
      <c r="R725">
        <v>82400</v>
      </c>
      <c r="S725" t="s">
        <v>83</v>
      </c>
      <c r="T725">
        <v>82658</v>
      </c>
      <c r="U725" t="s">
        <v>33</v>
      </c>
      <c r="V725" t="s">
        <v>33</v>
      </c>
      <c r="W725" t="s">
        <v>37</v>
      </c>
      <c r="X725" t="s">
        <v>280</v>
      </c>
      <c r="Y725" s="9">
        <f t="shared" si="34"/>
        <v>0</v>
      </c>
      <c r="Z725" t="str">
        <f t="shared" si="35"/>
        <v>สแกนต่าง Cost</v>
      </c>
    </row>
    <row r="726" spans="1:26" x14ac:dyDescent="0.45">
      <c r="A726">
        <v>26800</v>
      </c>
      <c r="B726" t="s">
        <v>53</v>
      </c>
      <c r="C726">
        <v>20019149</v>
      </c>
      <c r="D726" t="s">
        <v>284</v>
      </c>
      <c r="E726" s="8">
        <v>46135.332638888889</v>
      </c>
      <c r="F726" s="8">
        <v>46135.729166666664</v>
      </c>
      <c r="G726" s="9">
        <v>8.5166666666666675</v>
      </c>
      <c r="H726" s="9">
        <f t="shared" si="33"/>
        <v>4.5999999999999999E-2</v>
      </c>
      <c r="I726" s="9">
        <v>4.5999999999999999E-2</v>
      </c>
      <c r="J726" s="9"/>
      <c r="K726" s="9"/>
      <c r="L726" s="9"/>
      <c r="M726" t="s">
        <v>65</v>
      </c>
      <c r="N726" t="s">
        <v>29</v>
      </c>
      <c r="P726" t="s">
        <v>30</v>
      </c>
      <c r="Q726" t="s">
        <v>31</v>
      </c>
      <c r="R726">
        <v>82622</v>
      </c>
      <c r="S726" t="s">
        <v>147</v>
      </c>
      <c r="T726">
        <v>82640</v>
      </c>
      <c r="U726" t="s">
        <v>42</v>
      </c>
      <c r="V726" t="s">
        <v>155</v>
      </c>
      <c r="W726" t="s">
        <v>42</v>
      </c>
      <c r="X726" t="s">
        <v>38</v>
      </c>
      <c r="Y726" s="9">
        <f t="shared" si="34"/>
        <v>0</v>
      </c>
      <c r="Z726" t="str">
        <f t="shared" si="35"/>
        <v>สแกนต่าง Cost</v>
      </c>
    </row>
    <row r="727" spans="1:26" x14ac:dyDescent="0.45">
      <c r="A727">
        <v>26802</v>
      </c>
      <c r="B727" t="s">
        <v>53</v>
      </c>
      <c r="C727">
        <v>20077391</v>
      </c>
      <c r="D727" t="s">
        <v>285</v>
      </c>
      <c r="E727" s="8">
        <v>46135.332638888889</v>
      </c>
      <c r="F727" s="8">
        <v>46135.729166666664</v>
      </c>
      <c r="G727" s="9">
        <v>8.5166666666666675</v>
      </c>
      <c r="H727" s="9">
        <f t="shared" si="33"/>
        <v>4.5999999999999999E-2</v>
      </c>
      <c r="I727" s="9">
        <v>4.5999999999999999E-2</v>
      </c>
      <c r="J727" s="9"/>
      <c r="K727" s="9"/>
      <c r="L727" s="9"/>
      <c r="M727" t="s">
        <v>65</v>
      </c>
      <c r="N727" t="s">
        <v>29</v>
      </c>
      <c r="P727" t="s">
        <v>30</v>
      </c>
      <c r="Q727" t="s">
        <v>31</v>
      </c>
      <c r="R727">
        <v>82622</v>
      </c>
      <c r="S727" t="s">
        <v>147</v>
      </c>
      <c r="T727">
        <v>82640</v>
      </c>
      <c r="U727" t="s">
        <v>42</v>
      </c>
      <c r="V727" t="s">
        <v>155</v>
      </c>
      <c r="W727" t="s">
        <v>42</v>
      </c>
      <c r="X727" t="s">
        <v>38</v>
      </c>
      <c r="Y727" s="9">
        <f t="shared" si="34"/>
        <v>0</v>
      </c>
      <c r="Z727" t="str">
        <f t="shared" si="35"/>
        <v>สแกนต่าง Cost</v>
      </c>
    </row>
    <row r="728" spans="1:26" x14ac:dyDescent="0.45">
      <c r="A728">
        <v>26803</v>
      </c>
      <c r="B728" t="s">
        <v>53</v>
      </c>
      <c r="C728">
        <v>20267288</v>
      </c>
      <c r="D728" t="s">
        <v>127</v>
      </c>
      <c r="E728" s="8">
        <v>46135.332638888889</v>
      </c>
      <c r="F728" s="8">
        <v>46135.729166666664</v>
      </c>
      <c r="G728" s="9">
        <v>8.5166666666666675</v>
      </c>
      <c r="H728" s="9">
        <f t="shared" si="33"/>
        <v>4.5999999999999999E-2</v>
      </c>
      <c r="I728" s="9">
        <v>4.5999999999999999E-2</v>
      </c>
      <c r="J728" s="9"/>
      <c r="K728" s="9"/>
      <c r="L728" s="9"/>
      <c r="M728" t="s">
        <v>65</v>
      </c>
      <c r="N728" t="s">
        <v>29</v>
      </c>
      <c r="P728" t="s">
        <v>30</v>
      </c>
      <c r="Q728" t="s">
        <v>31</v>
      </c>
      <c r="R728">
        <v>82409</v>
      </c>
      <c r="S728" t="s">
        <v>74</v>
      </c>
      <c r="T728">
        <v>82664</v>
      </c>
      <c r="U728" t="s">
        <v>75</v>
      </c>
      <c r="V728" t="s">
        <v>75</v>
      </c>
      <c r="W728" t="s">
        <v>74</v>
      </c>
      <c r="X728" t="s">
        <v>74</v>
      </c>
      <c r="Y728" s="9">
        <f t="shared" si="34"/>
        <v>0</v>
      </c>
      <c r="Z728" t="str">
        <f t="shared" si="35"/>
        <v>สแกนต่าง Cost</v>
      </c>
    </row>
    <row r="729" spans="1:26" x14ac:dyDescent="0.45">
      <c r="A729">
        <v>26801</v>
      </c>
      <c r="B729" t="s">
        <v>53</v>
      </c>
      <c r="C729">
        <v>20334399</v>
      </c>
      <c r="D729" t="s">
        <v>237</v>
      </c>
      <c r="E729" s="8">
        <v>46135.332638888889</v>
      </c>
      <c r="F729" s="8">
        <v>46135.729166666664</v>
      </c>
      <c r="G729" s="9">
        <v>8.5166666666666675</v>
      </c>
      <c r="H729" s="9">
        <f t="shared" si="33"/>
        <v>4.5999999999999999E-2</v>
      </c>
      <c r="I729" s="9">
        <v>4.5999999999999999E-2</v>
      </c>
      <c r="J729" s="9"/>
      <c r="K729" s="9"/>
      <c r="L729" s="9"/>
      <c r="M729" t="s">
        <v>65</v>
      </c>
      <c r="N729" t="s">
        <v>29</v>
      </c>
      <c r="P729" t="s">
        <v>30</v>
      </c>
      <c r="Q729" t="s">
        <v>31</v>
      </c>
      <c r="R729">
        <v>82301</v>
      </c>
      <c r="S729" t="s">
        <v>79</v>
      </c>
      <c r="T729">
        <v>82308</v>
      </c>
      <c r="U729" t="s">
        <v>69</v>
      </c>
      <c r="V729" t="s">
        <v>69</v>
      </c>
      <c r="W729" t="s">
        <v>69</v>
      </c>
      <c r="X729" t="s">
        <v>196</v>
      </c>
      <c r="Y729" s="9">
        <f t="shared" si="34"/>
        <v>0</v>
      </c>
      <c r="Z729" t="str">
        <f t="shared" si="35"/>
        <v>สแกนต่าง Cost</v>
      </c>
    </row>
    <row r="730" spans="1:26" x14ac:dyDescent="0.45">
      <c r="A730">
        <v>26811</v>
      </c>
      <c r="B730" t="s">
        <v>53</v>
      </c>
      <c r="C730">
        <v>20276269</v>
      </c>
      <c r="D730" t="s">
        <v>134</v>
      </c>
      <c r="E730" s="8">
        <v>46135.291666666664</v>
      </c>
      <c r="F730" s="8">
        <v>46135.333333333336</v>
      </c>
      <c r="G730" s="9">
        <v>1</v>
      </c>
      <c r="H730" s="9">
        <f t="shared" si="33"/>
        <v>5.0000000000000001E-3</v>
      </c>
      <c r="I730" s="9">
        <v>5.0000000000000001E-3</v>
      </c>
      <c r="J730" s="9"/>
      <c r="K730" s="9"/>
      <c r="L730" s="9"/>
      <c r="M730" t="s">
        <v>65</v>
      </c>
      <c r="N730" t="s">
        <v>29</v>
      </c>
      <c r="P730" t="s">
        <v>30</v>
      </c>
      <c r="Q730" t="s">
        <v>31</v>
      </c>
      <c r="R730">
        <v>82308</v>
      </c>
      <c r="S730" t="s">
        <v>69</v>
      </c>
      <c r="T730">
        <v>82301</v>
      </c>
      <c r="U730" t="s">
        <v>79</v>
      </c>
      <c r="V730" t="s">
        <v>79</v>
      </c>
      <c r="W730" t="s">
        <v>80</v>
      </c>
      <c r="X730" t="s">
        <v>135</v>
      </c>
      <c r="Y730" s="9">
        <f t="shared" si="34"/>
        <v>0</v>
      </c>
      <c r="Z730" t="str">
        <f t="shared" si="35"/>
        <v>สแกนต่าง Cost</v>
      </c>
    </row>
    <row r="731" spans="1:26" x14ac:dyDescent="0.45">
      <c r="A731">
        <v>26799</v>
      </c>
      <c r="B731" t="s">
        <v>53</v>
      </c>
      <c r="C731">
        <v>20214280</v>
      </c>
      <c r="D731" t="s">
        <v>136</v>
      </c>
      <c r="E731" s="8">
        <v>46135.281944444447</v>
      </c>
      <c r="F731" s="8">
        <v>46135.729166666664</v>
      </c>
      <c r="G731" s="9">
        <v>10.733333333333333</v>
      </c>
      <c r="H731" s="9">
        <f t="shared" si="33"/>
        <v>5.6999999999999995E-2</v>
      </c>
      <c r="I731" s="9">
        <v>4.4999999999999998E-2</v>
      </c>
      <c r="J731" s="9"/>
      <c r="K731" s="9">
        <v>1.2E-2</v>
      </c>
      <c r="L731" s="9"/>
      <c r="M731" t="s">
        <v>28</v>
      </c>
      <c r="N731" t="s">
        <v>40</v>
      </c>
      <c r="O731" t="s">
        <v>181</v>
      </c>
      <c r="P731" t="s">
        <v>30</v>
      </c>
      <c r="Q731" t="s">
        <v>31</v>
      </c>
      <c r="R731">
        <v>82415</v>
      </c>
      <c r="S731" t="s">
        <v>137</v>
      </c>
      <c r="T731">
        <v>82664</v>
      </c>
      <c r="U731" t="s">
        <v>75</v>
      </c>
      <c r="V731" t="s">
        <v>75</v>
      </c>
      <c r="W731" t="s">
        <v>74</v>
      </c>
      <c r="X731" t="s">
        <v>74</v>
      </c>
      <c r="Y731" s="9">
        <f t="shared" si="34"/>
        <v>1.2E-2</v>
      </c>
      <c r="Z731" t="str">
        <f t="shared" si="35"/>
        <v>สแกนต่าง Cost</v>
      </c>
    </row>
    <row r="732" spans="1:26" x14ac:dyDescent="0.45">
      <c r="B732" t="s">
        <v>53</v>
      </c>
      <c r="C732">
        <v>20370709</v>
      </c>
      <c r="D732" t="s">
        <v>115</v>
      </c>
      <c r="E732" s="8">
        <v>46134.738194444442</v>
      </c>
      <c r="F732" s="8">
        <v>46134.826388888891</v>
      </c>
      <c r="G732" s="9">
        <v>2.1166666666666667</v>
      </c>
      <c r="H732" s="9">
        <f t="shared" si="33"/>
        <v>1.0999999999999999E-2</v>
      </c>
      <c r="I732" s="9"/>
      <c r="J732" s="9"/>
      <c r="K732" s="9">
        <v>1.0999999999999999E-2</v>
      </c>
      <c r="L732" s="9"/>
      <c r="M732" t="s">
        <v>28</v>
      </c>
      <c r="N732" t="s">
        <v>29</v>
      </c>
      <c r="P732" t="s">
        <v>30</v>
      </c>
      <c r="Q732" t="s">
        <v>31</v>
      </c>
      <c r="R732">
        <v>82630</v>
      </c>
      <c r="S732" t="s">
        <v>32</v>
      </c>
      <c r="T732">
        <v>82611</v>
      </c>
      <c r="U732" t="s">
        <v>43</v>
      </c>
      <c r="V732" t="s">
        <v>43</v>
      </c>
      <c r="W732" t="s">
        <v>148</v>
      </c>
      <c r="X732" t="s">
        <v>171</v>
      </c>
      <c r="Y732" s="9">
        <f t="shared" si="34"/>
        <v>1.0999999999999999E-2</v>
      </c>
      <c r="Z732" t="str">
        <f t="shared" si="35"/>
        <v>สแกนต่าง Cost</v>
      </c>
    </row>
    <row r="733" spans="1:26" x14ac:dyDescent="0.45">
      <c r="B733" t="s">
        <v>26</v>
      </c>
      <c r="C733">
        <v>20030026</v>
      </c>
      <c r="D733" t="s">
        <v>141</v>
      </c>
      <c r="E733" s="8">
        <v>46134.73333333333</v>
      </c>
      <c r="F733" s="8">
        <v>46134.768750000003</v>
      </c>
      <c r="G733" s="9">
        <v>0.85</v>
      </c>
      <c r="H733" s="9">
        <f t="shared" si="33"/>
        <v>5.0000000000000001E-3</v>
      </c>
      <c r="I733" s="9"/>
      <c r="J733" s="9"/>
      <c r="K733" s="9">
        <v>5.0000000000000001E-3</v>
      </c>
      <c r="L733" s="9"/>
      <c r="M733" t="s">
        <v>28</v>
      </c>
      <c r="N733" t="s">
        <v>40</v>
      </c>
      <c r="O733" t="s">
        <v>241</v>
      </c>
      <c r="P733" t="s">
        <v>30</v>
      </c>
      <c r="Q733" t="s">
        <v>31</v>
      </c>
      <c r="R733">
        <v>82652</v>
      </c>
      <c r="S733" t="s">
        <v>46</v>
      </c>
      <c r="T733">
        <v>82658</v>
      </c>
      <c r="U733" t="s">
        <v>33</v>
      </c>
      <c r="V733" t="s">
        <v>33</v>
      </c>
      <c r="W733" t="s">
        <v>37</v>
      </c>
      <c r="X733" t="s">
        <v>267</v>
      </c>
      <c r="Y733" s="9">
        <f t="shared" si="34"/>
        <v>5.0000000000000001E-3</v>
      </c>
      <c r="Z733" t="str">
        <f t="shared" si="35"/>
        <v>สแกนต่าง Cost</v>
      </c>
    </row>
    <row r="734" spans="1:26" x14ac:dyDescent="0.45">
      <c r="B734" t="s">
        <v>26</v>
      </c>
      <c r="C734">
        <v>20403195</v>
      </c>
      <c r="E734" s="8">
        <v>46134.73333333333</v>
      </c>
      <c r="F734" s="8">
        <v>46134.774305555555</v>
      </c>
      <c r="G734" s="9">
        <v>0.98333333333333328</v>
      </c>
      <c r="H734" s="9">
        <f t="shared" si="33"/>
        <v>5.0000000000000001E-3</v>
      </c>
      <c r="I734" s="9">
        <v>5.0000000000000001E-3</v>
      </c>
      <c r="J734" s="9"/>
      <c r="K734" s="9"/>
      <c r="L734" s="9"/>
      <c r="M734" t="s">
        <v>48</v>
      </c>
      <c r="N734" t="s">
        <v>48</v>
      </c>
      <c r="P734" t="s">
        <v>30</v>
      </c>
      <c r="R734">
        <v>82652</v>
      </c>
      <c r="T734">
        <v>82658</v>
      </c>
      <c r="U734" t="s">
        <v>33</v>
      </c>
      <c r="V734" t="s">
        <v>33</v>
      </c>
      <c r="W734" t="s">
        <v>37</v>
      </c>
      <c r="X734" t="s">
        <v>267</v>
      </c>
      <c r="Y734" s="9">
        <f t="shared" si="34"/>
        <v>0</v>
      </c>
      <c r="Z734" t="str">
        <f t="shared" si="35"/>
        <v>สแกนต่าง Cost</v>
      </c>
    </row>
    <row r="735" spans="1:26" x14ac:dyDescent="0.45">
      <c r="B735" t="s">
        <v>26</v>
      </c>
      <c r="C735">
        <v>20038749</v>
      </c>
      <c r="D735" t="s">
        <v>218</v>
      </c>
      <c r="E735" s="8">
        <v>46134.731944444444</v>
      </c>
      <c r="F735" s="8">
        <v>46134.826388888891</v>
      </c>
      <c r="G735" s="9">
        <v>2.2666666666666666</v>
      </c>
      <c r="H735" s="9">
        <f t="shared" si="33"/>
        <v>1.2E-2</v>
      </c>
      <c r="I735" s="9"/>
      <c r="J735" s="9"/>
      <c r="K735" s="9">
        <v>1.2E-2</v>
      </c>
      <c r="L735" s="9"/>
      <c r="M735" t="s">
        <v>28</v>
      </c>
      <c r="N735" t="s">
        <v>40</v>
      </c>
      <c r="O735" t="s">
        <v>41</v>
      </c>
      <c r="P735" t="s">
        <v>30</v>
      </c>
      <c r="Q735" t="s">
        <v>31</v>
      </c>
      <c r="R735">
        <v>82680</v>
      </c>
      <c r="S735" t="s">
        <v>50</v>
      </c>
      <c r="T735">
        <v>82655</v>
      </c>
      <c r="U735" t="s">
        <v>59</v>
      </c>
      <c r="V735" t="s">
        <v>59</v>
      </c>
      <c r="W735" t="s">
        <v>51</v>
      </c>
      <c r="X735" t="s">
        <v>52</v>
      </c>
      <c r="Y735" s="9">
        <f t="shared" si="34"/>
        <v>1.2E-2</v>
      </c>
      <c r="Z735" t="str">
        <f t="shared" si="35"/>
        <v>สแกนต่าง Cost</v>
      </c>
    </row>
    <row r="736" spans="1:26" x14ac:dyDescent="0.45">
      <c r="B736" t="s">
        <v>26</v>
      </c>
      <c r="C736">
        <v>20233956</v>
      </c>
      <c r="D736" t="s">
        <v>219</v>
      </c>
      <c r="E736" s="8">
        <v>46134.731944444444</v>
      </c>
      <c r="F736" s="8">
        <v>46134.82708333333</v>
      </c>
      <c r="G736" s="9">
        <v>2.2833333333333332</v>
      </c>
      <c r="H736" s="9">
        <f t="shared" si="33"/>
        <v>1.2E-2</v>
      </c>
      <c r="I736" s="9"/>
      <c r="J736" s="9"/>
      <c r="K736" s="9">
        <v>1.2E-2</v>
      </c>
      <c r="L736" s="9"/>
      <c r="M736" t="s">
        <v>28</v>
      </c>
      <c r="N736" t="s">
        <v>29</v>
      </c>
      <c r="P736" t="s">
        <v>30</v>
      </c>
      <c r="Q736" t="s">
        <v>31</v>
      </c>
      <c r="R736">
        <v>82680</v>
      </c>
      <c r="S736" t="s">
        <v>50</v>
      </c>
      <c r="T736">
        <v>82655</v>
      </c>
      <c r="U736" t="s">
        <v>59</v>
      </c>
      <c r="V736" t="s">
        <v>59</v>
      </c>
      <c r="W736" t="s">
        <v>51</v>
      </c>
      <c r="X736" t="s">
        <v>52</v>
      </c>
      <c r="Y736" s="9">
        <f t="shared" si="34"/>
        <v>1.2E-2</v>
      </c>
      <c r="Z736" t="str">
        <f t="shared" si="35"/>
        <v>สแกนต่าง Cost</v>
      </c>
    </row>
    <row r="737" spans="2:26" x14ac:dyDescent="0.45">
      <c r="B737" t="s">
        <v>26</v>
      </c>
      <c r="C737">
        <v>20403445</v>
      </c>
      <c r="E737" s="8">
        <v>46134.731944444444</v>
      </c>
      <c r="F737" s="8">
        <v>46134.82708333333</v>
      </c>
      <c r="G737" s="9">
        <v>2.2833333333333332</v>
      </c>
      <c r="H737" s="9">
        <f t="shared" si="33"/>
        <v>1.2E-2</v>
      </c>
      <c r="I737" s="9"/>
      <c r="J737" s="9"/>
      <c r="K737" s="9">
        <v>1.2E-2</v>
      </c>
      <c r="L737" s="9"/>
      <c r="M737" t="s">
        <v>28</v>
      </c>
      <c r="N737" t="s">
        <v>29</v>
      </c>
      <c r="P737" t="s">
        <v>30</v>
      </c>
      <c r="R737">
        <v>82680</v>
      </c>
      <c r="T737">
        <v>82655</v>
      </c>
      <c r="U737" t="s">
        <v>59</v>
      </c>
      <c r="V737" t="s">
        <v>59</v>
      </c>
      <c r="W737" t="s">
        <v>51</v>
      </c>
      <c r="X737" t="s">
        <v>52</v>
      </c>
      <c r="Y737" s="9">
        <f t="shared" si="34"/>
        <v>1.2E-2</v>
      </c>
      <c r="Z737" t="str">
        <f t="shared" si="35"/>
        <v>สแกนต่าง Cost</v>
      </c>
    </row>
    <row r="738" spans="2:26" x14ac:dyDescent="0.45">
      <c r="B738" t="s">
        <v>26</v>
      </c>
      <c r="C738">
        <v>20047023</v>
      </c>
      <c r="D738" t="s">
        <v>271</v>
      </c>
      <c r="E738" s="8">
        <v>46134.729861111111</v>
      </c>
      <c r="F738" s="8">
        <v>46134.82708333333</v>
      </c>
      <c r="G738" s="9">
        <v>2.3333333333333335</v>
      </c>
      <c r="H738" s="9">
        <f t="shared" si="33"/>
        <v>1.2E-2</v>
      </c>
      <c r="I738" s="9">
        <v>1.2E-2</v>
      </c>
      <c r="J738" s="9"/>
      <c r="K738" s="9"/>
      <c r="L738" s="9"/>
      <c r="M738" t="s">
        <v>28</v>
      </c>
      <c r="N738" t="s">
        <v>40</v>
      </c>
      <c r="O738" t="s">
        <v>41</v>
      </c>
      <c r="P738" t="s">
        <v>30</v>
      </c>
      <c r="Q738" t="s">
        <v>31</v>
      </c>
      <c r="R738">
        <v>82607</v>
      </c>
      <c r="S738" t="s">
        <v>168</v>
      </c>
      <c r="T738">
        <v>82611</v>
      </c>
      <c r="U738" t="s">
        <v>43</v>
      </c>
      <c r="V738" t="s">
        <v>43</v>
      </c>
      <c r="W738" t="s">
        <v>148</v>
      </c>
      <c r="X738" t="s">
        <v>171</v>
      </c>
      <c r="Y738" s="9">
        <f t="shared" si="34"/>
        <v>0</v>
      </c>
      <c r="Z738" t="str">
        <f t="shared" si="35"/>
        <v>สแกนต่าง Cost</v>
      </c>
    </row>
    <row r="739" spans="2:26" x14ac:dyDescent="0.45">
      <c r="B739" t="s">
        <v>53</v>
      </c>
      <c r="C739">
        <v>20169714</v>
      </c>
      <c r="D739" t="s">
        <v>103</v>
      </c>
      <c r="E739" s="8">
        <v>46134.729861111111</v>
      </c>
      <c r="F739" s="8">
        <v>46134.826388888891</v>
      </c>
      <c r="G739" s="9">
        <v>2.3166666666666669</v>
      </c>
      <c r="H739" s="9">
        <f t="shared" si="33"/>
        <v>1.2E-2</v>
      </c>
      <c r="I739" s="9"/>
      <c r="J739" s="9"/>
      <c r="K739" s="9">
        <v>1.2E-2</v>
      </c>
      <c r="L739" s="9"/>
      <c r="M739" t="s">
        <v>28</v>
      </c>
      <c r="N739" t="s">
        <v>40</v>
      </c>
      <c r="O739" t="s">
        <v>41</v>
      </c>
      <c r="P739" t="s">
        <v>30</v>
      </c>
      <c r="Q739" t="s">
        <v>31</v>
      </c>
      <c r="R739">
        <v>82630</v>
      </c>
      <c r="S739" t="s">
        <v>32</v>
      </c>
      <c r="T739">
        <v>82611</v>
      </c>
      <c r="U739" t="s">
        <v>43</v>
      </c>
      <c r="V739" t="s">
        <v>43</v>
      </c>
      <c r="W739" t="s">
        <v>148</v>
      </c>
      <c r="X739" t="s">
        <v>171</v>
      </c>
      <c r="Y739" s="9">
        <f t="shared" si="34"/>
        <v>1.2E-2</v>
      </c>
      <c r="Z739" t="str">
        <f t="shared" si="35"/>
        <v>สแกนต่าง Cost</v>
      </c>
    </row>
    <row r="740" spans="2:26" x14ac:dyDescent="0.45">
      <c r="B740" t="s">
        <v>53</v>
      </c>
      <c r="C740">
        <v>20338047</v>
      </c>
      <c r="D740" t="s">
        <v>273</v>
      </c>
      <c r="E740" s="8">
        <v>46134.729861111111</v>
      </c>
      <c r="F740" s="8">
        <v>46134.826388888891</v>
      </c>
      <c r="G740" s="9">
        <v>2.3166666666666669</v>
      </c>
      <c r="H740" s="9">
        <f t="shared" si="33"/>
        <v>1.2E-2</v>
      </c>
      <c r="I740" s="9"/>
      <c r="J740" s="9"/>
      <c r="K740" s="9">
        <v>1.2E-2</v>
      </c>
      <c r="L740" s="9"/>
      <c r="M740" t="s">
        <v>28</v>
      </c>
      <c r="N740" t="s">
        <v>40</v>
      </c>
      <c r="O740" t="s">
        <v>41</v>
      </c>
      <c r="P740" t="s">
        <v>30</v>
      </c>
      <c r="Q740" t="s">
        <v>31</v>
      </c>
      <c r="R740">
        <v>82630</v>
      </c>
      <c r="S740" t="s">
        <v>32</v>
      </c>
      <c r="T740">
        <v>82611</v>
      </c>
      <c r="U740" t="s">
        <v>43</v>
      </c>
      <c r="V740" t="s">
        <v>43</v>
      </c>
      <c r="W740" t="s">
        <v>148</v>
      </c>
      <c r="X740" t="s">
        <v>171</v>
      </c>
      <c r="Y740" s="9">
        <f t="shared" si="34"/>
        <v>1.2E-2</v>
      </c>
      <c r="Z740" t="str">
        <f t="shared" si="35"/>
        <v>สแกนต่าง Cost</v>
      </c>
    </row>
    <row r="741" spans="2:26" x14ac:dyDescent="0.45">
      <c r="B741" t="s">
        <v>53</v>
      </c>
      <c r="C741">
        <v>20363688</v>
      </c>
      <c r="D741" t="s">
        <v>274</v>
      </c>
      <c r="E741" s="8">
        <v>46134.729861111111</v>
      </c>
      <c r="F741" s="8">
        <v>46134.82708333333</v>
      </c>
      <c r="G741" s="9">
        <v>2.3333333333333335</v>
      </c>
      <c r="H741" s="9">
        <f t="shared" si="33"/>
        <v>1.2E-2</v>
      </c>
      <c r="I741" s="9"/>
      <c r="J741" s="9"/>
      <c r="K741" s="9">
        <v>1.2E-2</v>
      </c>
      <c r="L741" s="9"/>
      <c r="M741" t="s">
        <v>28</v>
      </c>
      <c r="N741" t="s">
        <v>40</v>
      </c>
      <c r="O741" t="s">
        <v>41</v>
      </c>
      <c r="P741" t="s">
        <v>30</v>
      </c>
      <c r="Q741" t="s">
        <v>31</v>
      </c>
      <c r="R741">
        <v>82630</v>
      </c>
      <c r="S741" t="s">
        <v>32</v>
      </c>
      <c r="T741">
        <v>82611</v>
      </c>
      <c r="U741" t="s">
        <v>43</v>
      </c>
      <c r="V741" t="s">
        <v>43</v>
      </c>
      <c r="W741" t="s">
        <v>148</v>
      </c>
      <c r="X741" t="s">
        <v>171</v>
      </c>
      <c r="Y741" s="9">
        <f t="shared" si="34"/>
        <v>1.2E-2</v>
      </c>
      <c r="Z741" t="str">
        <f t="shared" si="35"/>
        <v>สแกนต่าง Cost</v>
      </c>
    </row>
    <row r="742" spans="2:26" x14ac:dyDescent="0.45">
      <c r="B742" t="s">
        <v>53</v>
      </c>
      <c r="C742">
        <v>20018899</v>
      </c>
      <c r="D742" t="s">
        <v>64</v>
      </c>
      <c r="E742" s="8">
        <v>46134.729166666664</v>
      </c>
      <c r="F742" s="8">
        <v>46134.833333333336</v>
      </c>
      <c r="G742" s="9">
        <v>2.5</v>
      </c>
      <c r="H742" s="9">
        <f t="shared" si="33"/>
        <v>1.2999999999999999E-2</v>
      </c>
      <c r="I742" s="9"/>
      <c r="J742" s="9"/>
      <c r="K742" s="9">
        <v>1.2999999999999999E-2</v>
      </c>
      <c r="L742" s="9"/>
      <c r="M742" t="s">
        <v>28</v>
      </c>
      <c r="N742" t="s">
        <v>40</v>
      </c>
      <c r="O742" t="s">
        <v>41</v>
      </c>
      <c r="P742" t="s">
        <v>30</v>
      </c>
      <c r="Q742" t="s">
        <v>31</v>
      </c>
      <c r="R742">
        <v>82640</v>
      </c>
      <c r="S742" t="s">
        <v>42</v>
      </c>
      <c r="T742">
        <v>82652</v>
      </c>
      <c r="U742" t="s">
        <v>46</v>
      </c>
      <c r="V742" t="s">
        <v>66</v>
      </c>
      <c r="W742" t="s">
        <v>37</v>
      </c>
      <c r="X742" t="s">
        <v>34</v>
      </c>
      <c r="Y742" s="9">
        <f t="shared" si="34"/>
        <v>1.2999999999999999E-2</v>
      </c>
      <c r="Z742" t="str">
        <f t="shared" si="35"/>
        <v>สแกนต่าง Cost</v>
      </c>
    </row>
    <row r="743" spans="2:26" x14ac:dyDescent="0.45">
      <c r="B743" t="s">
        <v>53</v>
      </c>
      <c r="C743">
        <v>20023373</v>
      </c>
      <c r="D743" t="s">
        <v>97</v>
      </c>
      <c r="E743" s="8">
        <v>46134.729166666664</v>
      </c>
      <c r="F743" s="8">
        <v>46134.826388888891</v>
      </c>
      <c r="G743" s="9">
        <v>2.3333333333333335</v>
      </c>
      <c r="H743" s="9">
        <f t="shared" si="33"/>
        <v>1.2E-2</v>
      </c>
      <c r="I743" s="9"/>
      <c r="J743" s="9"/>
      <c r="K743" s="9">
        <v>1.2E-2</v>
      </c>
      <c r="L743" s="9"/>
      <c r="M743" t="s">
        <v>28</v>
      </c>
      <c r="N743" t="s">
        <v>40</v>
      </c>
      <c r="O743" t="s">
        <v>41</v>
      </c>
      <c r="P743" t="s">
        <v>30</v>
      </c>
      <c r="Q743" t="s">
        <v>31</v>
      </c>
      <c r="R743">
        <v>82630</v>
      </c>
      <c r="S743" t="s">
        <v>32</v>
      </c>
      <c r="T743">
        <v>82611</v>
      </c>
      <c r="U743" t="s">
        <v>43</v>
      </c>
      <c r="V743" t="s">
        <v>43</v>
      </c>
      <c r="W743" t="s">
        <v>148</v>
      </c>
      <c r="X743" t="s">
        <v>171</v>
      </c>
      <c r="Y743" s="9">
        <f t="shared" si="34"/>
        <v>1.2E-2</v>
      </c>
      <c r="Z743" t="str">
        <f t="shared" si="35"/>
        <v>สแกนต่าง Cost</v>
      </c>
    </row>
    <row r="744" spans="2:26" x14ac:dyDescent="0.45">
      <c r="B744" t="s">
        <v>53</v>
      </c>
      <c r="C744">
        <v>20041130</v>
      </c>
      <c r="D744" t="s">
        <v>100</v>
      </c>
      <c r="E744" s="8">
        <v>46134.729166666664</v>
      </c>
      <c r="F744" s="8">
        <v>46134.826388888891</v>
      </c>
      <c r="G744" s="9">
        <v>2.3333333333333335</v>
      </c>
      <c r="H744" s="9">
        <f t="shared" si="33"/>
        <v>1.2E-2</v>
      </c>
      <c r="I744" s="9"/>
      <c r="J744" s="9"/>
      <c r="K744" s="9">
        <v>1.2E-2</v>
      </c>
      <c r="L744" s="9"/>
      <c r="M744" t="s">
        <v>28</v>
      </c>
      <c r="N744" t="s">
        <v>40</v>
      </c>
      <c r="O744" t="s">
        <v>41</v>
      </c>
      <c r="P744" t="s">
        <v>30</v>
      </c>
      <c r="Q744" t="s">
        <v>31</v>
      </c>
      <c r="R744">
        <v>82630</v>
      </c>
      <c r="S744" t="s">
        <v>32</v>
      </c>
      <c r="T744">
        <v>82611</v>
      </c>
      <c r="U744" t="s">
        <v>43</v>
      </c>
      <c r="V744" t="s">
        <v>43</v>
      </c>
      <c r="W744" t="s">
        <v>148</v>
      </c>
      <c r="X744" t="s">
        <v>171</v>
      </c>
      <c r="Y744" s="9">
        <f t="shared" si="34"/>
        <v>1.2E-2</v>
      </c>
      <c r="Z744" t="str">
        <f t="shared" si="35"/>
        <v>สแกนต่าง Cost</v>
      </c>
    </row>
    <row r="745" spans="2:26" x14ac:dyDescent="0.45">
      <c r="B745" t="s">
        <v>53</v>
      </c>
      <c r="C745">
        <v>20057079</v>
      </c>
      <c r="D745" t="s">
        <v>275</v>
      </c>
      <c r="E745" s="8">
        <v>46134.729166666664</v>
      </c>
      <c r="F745" s="8">
        <v>46134.833333333336</v>
      </c>
      <c r="G745" s="9">
        <v>2.5</v>
      </c>
      <c r="H745" s="9">
        <f t="shared" si="33"/>
        <v>1.2999999999999999E-2</v>
      </c>
      <c r="I745" s="9"/>
      <c r="J745" s="9"/>
      <c r="K745" s="9">
        <v>1.2999999999999999E-2</v>
      </c>
      <c r="L745" s="9"/>
      <c r="M745" t="s">
        <v>28</v>
      </c>
      <c r="N745" t="s">
        <v>29</v>
      </c>
      <c r="P745" t="s">
        <v>30</v>
      </c>
      <c r="Q745" t="s">
        <v>31</v>
      </c>
      <c r="R745">
        <v>82611</v>
      </c>
      <c r="S745" t="s">
        <v>43</v>
      </c>
      <c r="T745">
        <v>82640</v>
      </c>
      <c r="U745" t="s">
        <v>42</v>
      </c>
      <c r="V745" t="s">
        <v>70</v>
      </c>
      <c r="W745" t="s">
        <v>47</v>
      </c>
      <c r="X745" t="s">
        <v>95</v>
      </c>
      <c r="Y745" s="9">
        <f t="shared" si="34"/>
        <v>1.2999999999999999E-2</v>
      </c>
      <c r="Z745" t="str">
        <f t="shared" si="35"/>
        <v>สแกนต่าง Cost</v>
      </c>
    </row>
    <row r="746" spans="2:26" x14ac:dyDescent="0.45">
      <c r="B746" t="s">
        <v>53</v>
      </c>
      <c r="C746">
        <v>20163802</v>
      </c>
      <c r="D746" t="s">
        <v>272</v>
      </c>
      <c r="E746" s="8">
        <v>46134.729166666664</v>
      </c>
      <c r="F746" s="8">
        <v>46134.826388888891</v>
      </c>
      <c r="G746" s="9">
        <v>2.3333333333333335</v>
      </c>
      <c r="H746" s="9">
        <f t="shared" si="33"/>
        <v>1.2E-2</v>
      </c>
      <c r="I746" s="9"/>
      <c r="J746" s="9"/>
      <c r="K746" s="9">
        <v>1.2E-2</v>
      </c>
      <c r="L746" s="9"/>
      <c r="M746" t="s">
        <v>28</v>
      </c>
      <c r="N746" t="s">
        <v>40</v>
      </c>
      <c r="O746" t="s">
        <v>41</v>
      </c>
      <c r="P746" t="s">
        <v>30</v>
      </c>
      <c r="Q746" t="s">
        <v>31</v>
      </c>
      <c r="R746">
        <v>82630</v>
      </c>
      <c r="S746" t="s">
        <v>32</v>
      </c>
      <c r="T746">
        <v>82611</v>
      </c>
      <c r="U746" t="s">
        <v>43</v>
      </c>
      <c r="V746" t="s">
        <v>43</v>
      </c>
      <c r="W746" t="s">
        <v>148</v>
      </c>
      <c r="X746" t="s">
        <v>171</v>
      </c>
      <c r="Y746" s="9">
        <f t="shared" si="34"/>
        <v>1.2E-2</v>
      </c>
      <c r="Z746" t="str">
        <f t="shared" si="35"/>
        <v>สแกนต่าง Cost</v>
      </c>
    </row>
    <row r="747" spans="2:26" x14ac:dyDescent="0.45">
      <c r="B747" t="s">
        <v>53</v>
      </c>
      <c r="C747">
        <v>20167851</v>
      </c>
      <c r="D747" t="s">
        <v>63</v>
      </c>
      <c r="E747" s="8">
        <v>46134.729166666664</v>
      </c>
      <c r="F747" s="8">
        <v>46134.833333333336</v>
      </c>
      <c r="G747" s="9">
        <v>2.5</v>
      </c>
      <c r="H747" s="9">
        <f t="shared" si="33"/>
        <v>1.2999999999999999E-2</v>
      </c>
      <c r="I747" s="9"/>
      <c r="J747" s="9"/>
      <c r="K747" s="9">
        <v>1.2999999999999999E-2</v>
      </c>
      <c r="L747" s="9"/>
      <c r="M747" t="s">
        <v>28</v>
      </c>
      <c r="N747" t="s">
        <v>40</v>
      </c>
      <c r="O747" t="s">
        <v>41</v>
      </c>
      <c r="P747" t="s">
        <v>30</v>
      </c>
      <c r="Q747" t="s">
        <v>31</v>
      </c>
      <c r="R747">
        <v>82640</v>
      </c>
      <c r="S747" t="s">
        <v>42</v>
      </c>
      <c r="T747">
        <v>82611</v>
      </c>
      <c r="U747" t="s">
        <v>43</v>
      </c>
      <c r="V747" t="s">
        <v>66</v>
      </c>
      <c r="W747" t="s">
        <v>44</v>
      </c>
      <c r="X747" t="s">
        <v>44</v>
      </c>
      <c r="Y747" s="9">
        <f t="shared" si="34"/>
        <v>1.2999999999999999E-2</v>
      </c>
      <c r="Z747" t="str">
        <f t="shared" si="35"/>
        <v>สแกนต่าง Cost</v>
      </c>
    </row>
    <row r="748" spans="2:26" x14ac:dyDescent="0.45">
      <c r="B748" t="s">
        <v>53</v>
      </c>
      <c r="C748">
        <v>20198842</v>
      </c>
      <c r="D748" t="s">
        <v>257</v>
      </c>
      <c r="E748" s="8">
        <v>46134.729166666664</v>
      </c>
      <c r="F748" s="8">
        <v>46134.833333333336</v>
      </c>
      <c r="G748" s="9">
        <v>2.5</v>
      </c>
      <c r="H748" s="9">
        <f t="shared" si="33"/>
        <v>1.2999999999999999E-2</v>
      </c>
      <c r="I748" s="9"/>
      <c r="J748" s="9"/>
      <c r="K748" s="9">
        <v>1.2999999999999999E-2</v>
      </c>
      <c r="L748" s="9"/>
      <c r="M748" t="s">
        <v>28</v>
      </c>
      <c r="N748" t="s">
        <v>29</v>
      </c>
      <c r="P748" t="s">
        <v>30</v>
      </c>
      <c r="Q748" t="s">
        <v>31</v>
      </c>
      <c r="R748">
        <v>82640</v>
      </c>
      <c r="S748" t="s">
        <v>42</v>
      </c>
      <c r="T748">
        <v>82611</v>
      </c>
      <c r="U748" t="s">
        <v>43</v>
      </c>
      <c r="V748" t="s">
        <v>66</v>
      </c>
      <c r="W748" t="s">
        <v>44</v>
      </c>
      <c r="X748" t="s">
        <v>44</v>
      </c>
      <c r="Y748" s="9">
        <f t="shared" si="34"/>
        <v>1.2999999999999999E-2</v>
      </c>
      <c r="Z748" t="str">
        <f t="shared" si="35"/>
        <v>สแกนต่าง Cost</v>
      </c>
    </row>
    <row r="749" spans="2:26" x14ac:dyDescent="0.45">
      <c r="B749" t="s">
        <v>53</v>
      </c>
      <c r="C749">
        <v>20198842</v>
      </c>
      <c r="D749" t="s">
        <v>257</v>
      </c>
      <c r="E749" s="8">
        <v>46134.729166666664</v>
      </c>
      <c r="F749" s="8">
        <v>46134.833333333336</v>
      </c>
      <c r="G749" s="9">
        <v>2.5</v>
      </c>
      <c r="H749" s="9">
        <f t="shared" si="33"/>
        <v>1.2999999999999999E-2</v>
      </c>
      <c r="I749" s="9"/>
      <c r="J749" s="9"/>
      <c r="K749" s="9">
        <v>1.2999999999999999E-2</v>
      </c>
      <c r="L749" s="9"/>
      <c r="M749" t="s">
        <v>28</v>
      </c>
      <c r="N749" t="s">
        <v>29</v>
      </c>
      <c r="P749" t="s">
        <v>30</v>
      </c>
      <c r="Q749" t="s">
        <v>31</v>
      </c>
      <c r="R749">
        <v>82640</v>
      </c>
      <c r="S749" t="s">
        <v>42</v>
      </c>
      <c r="T749">
        <v>82630</v>
      </c>
      <c r="U749" t="s">
        <v>32</v>
      </c>
      <c r="V749" t="s">
        <v>66</v>
      </c>
      <c r="W749" t="s">
        <v>44</v>
      </c>
      <c r="X749" t="s">
        <v>44</v>
      </c>
      <c r="Y749" s="9">
        <f t="shared" si="34"/>
        <v>1.2999999999999999E-2</v>
      </c>
      <c r="Z749" t="str">
        <f t="shared" si="35"/>
        <v>สแกนต่าง Cost</v>
      </c>
    </row>
    <row r="750" spans="2:26" x14ac:dyDescent="0.45">
      <c r="B750" t="s">
        <v>53</v>
      </c>
      <c r="C750">
        <v>20220646</v>
      </c>
      <c r="D750" t="s">
        <v>67</v>
      </c>
      <c r="E750" s="8">
        <v>46134.729166666664</v>
      </c>
      <c r="F750" s="8">
        <v>46134.833333333336</v>
      </c>
      <c r="G750" s="9">
        <v>2.5</v>
      </c>
      <c r="H750" s="9">
        <f t="shared" si="33"/>
        <v>1.2999999999999999E-2</v>
      </c>
      <c r="I750" s="9"/>
      <c r="J750" s="9"/>
      <c r="K750" s="9">
        <v>1.2999999999999999E-2</v>
      </c>
      <c r="L750" s="9"/>
      <c r="M750" t="s">
        <v>28</v>
      </c>
      <c r="N750" t="s">
        <v>40</v>
      </c>
      <c r="O750" t="s">
        <v>41</v>
      </c>
      <c r="P750" t="s">
        <v>30</v>
      </c>
      <c r="Q750" t="s">
        <v>31</v>
      </c>
      <c r="R750">
        <v>82640</v>
      </c>
      <c r="S750" t="s">
        <v>42</v>
      </c>
      <c r="T750">
        <v>82652</v>
      </c>
      <c r="U750" t="s">
        <v>46</v>
      </c>
      <c r="V750" t="s">
        <v>66</v>
      </c>
      <c r="W750" t="s">
        <v>37</v>
      </c>
      <c r="X750" t="s">
        <v>34</v>
      </c>
      <c r="Y750" s="9">
        <f t="shared" si="34"/>
        <v>1.2999999999999999E-2</v>
      </c>
      <c r="Z750" t="str">
        <f t="shared" si="35"/>
        <v>สแกนต่าง Cost</v>
      </c>
    </row>
    <row r="751" spans="2:26" x14ac:dyDescent="0.45">
      <c r="B751" t="s">
        <v>53</v>
      </c>
      <c r="C751">
        <v>20244923</v>
      </c>
      <c r="D751" t="s">
        <v>246</v>
      </c>
      <c r="E751" s="8">
        <v>46134.729166666664</v>
      </c>
      <c r="F751" s="8">
        <v>46134.833333333336</v>
      </c>
      <c r="G751" s="9">
        <v>2.5</v>
      </c>
      <c r="H751" s="9">
        <f t="shared" si="33"/>
        <v>1.2999999999999999E-2</v>
      </c>
      <c r="I751" s="9"/>
      <c r="J751" s="9"/>
      <c r="K751" s="9">
        <v>1.2999999999999999E-2</v>
      </c>
      <c r="L751" s="9"/>
      <c r="M751" t="s">
        <v>28</v>
      </c>
      <c r="N751" t="s">
        <v>40</v>
      </c>
      <c r="O751" t="s">
        <v>41</v>
      </c>
      <c r="P751" t="s">
        <v>30</v>
      </c>
      <c r="Q751" t="s">
        <v>31</v>
      </c>
      <c r="R751">
        <v>82640</v>
      </c>
      <c r="S751" t="s">
        <v>42</v>
      </c>
      <c r="T751">
        <v>82611</v>
      </c>
      <c r="U751" t="s">
        <v>43</v>
      </c>
      <c r="V751" t="s">
        <v>66</v>
      </c>
      <c r="W751" t="s">
        <v>44</v>
      </c>
      <c r="X751" t="s">
        <v>44</v>
      </c>
      <c r="Y751" s="9">
        <f t="shared" si="34"/>
        <v>1.2999999999999999E-2</v>
      </c>
      <c r="Z751" t="str">
        <f t="shared" si="35"/>
        <v>สแกนต่าง Cost</v>
      </c>
    </row>
    <row r="752" spans="2:26" x14ac:dyDescent="0.45">
      <c r="B752" t="s">
        <v>53</v>
      </c>
      <c r="C752">
        <v>20310530</v>
      </c>
      <c r="D752" t="s">
        <v>220</v>
      </c>
      <c r="E752" s="8">
        <v>46134.729166666664</v>
      </c>
      <c r="F752" s="8">
        <v>46134.833333333336</v>
      </c>
      <c r="G752" s="9">
        <v>2.5</v>
      </c>
      <c r="H752" s="9">
        <f t="shared" si="33"/>
        <v>1.2999999999999999E-2</v>
      </c>
      <c r="I752" s="9"/>
      <c r="J752" s="9"/>
      <c r="K752" s="9">
        <v>1.2999999999999999E-2</v>
      </c>
      <c r="L752" s="9"/>
      <c r="M752" t="s">
        <v>28</v>
      </c>
      <c r="N752" t="s">
        <v>40</v>
      </c>
      <c r="O752" t="s">
        <v>41</v>
      </c>
      <c r="P752" t="s">
        <v>30</v>
      </c>
      <c r="Q752" t="s">
        <v>31</v>
      </c>
      <c r="R752">
        <v>82640</v>
      </c>
      <c r="S752" t="s">
        <v>42</v>
      </c>
      <c r="T752">
        <v>82630</v>
      </c>
      <c r="U752" t="s">
        <v>32</v>
      </c>
      <c r="V752" t="s">
        <v>66</v>
      </c>
      <c r="W752" t="s">
        <v>44</v>
      </c>
      <c r="X752" t="s">
        <v>44</v>
      </c>
      <c r="Y752" s="9">
        <f t="shared" si="34"/>
        <v>1.2999999999999999E-2</v>
      </c>
      <c r="Z752" t="str">
        <f t="shared" si="35"/>
        <v>สแกนต่าง Cost</v>
      </c>
    </row>
    <row r="753" spans="2:26" x14ac:dyDescent="0.45">
      <c r="B753" t="s">
        <v>53</v>
      </c>
      <c r="C753">
        <v>20310532</v>
      </c>
      <c r="D753" t="s">
        <v>61</v>
      </c>
      <c r="E753" s="8">
        <v>46134.729166666664</v>
      </c>
      <c r="F753" s="8">
        <v>46134.833333333336</v>
      </c>
      <c r="G753" s="9">
        <v>2.5</v>
      </c>
      <c r="H753" s="9">
        <f t="shared" si="33"/>
        <v>1.2999999999999999E-2</v>
      </c>
      <c r="I753" s="9"/>
      <c r="J753" s="9"/>
      <c r="K753" s="9">
        <v>1.2999999999999999E-2</v>
      </c>
      <c r="L753" s="9"/>
      <c r="M753" t="s">
        <v>28</v>
      </c>
      <c r="N753" t="s">
        <v>40</v>
      </c>
      <c r="O753" t="s">
        <v>41</v>
      </c>
      <c r="P753" t="s">
        <v>30</v>
      </c>
      <c r="Q753" t="s">
        <v>31</v>
      </c>
      <c r="R753">
        <v>82640</v>
      </c>
      <c r="S753" t="s">
        <v>42</v>
      </c>
      <c r="T753">
        <v>82630</v>
      </c>
      <c r="U753" t="s">
        <v>32</v>
      </c>
      <c r="V753" t="s">
        <v>66</v>
      </c>
      <c r="W753" t="s">
        <v>44</v>
      </c>
      <c r="X753" t="s">
        <v>44</v>
      </c>
      <c r="Y753" s="9">
        <f t="shared" si="34"/>
        <v>1.2999999999999999E-2</v>
      </c>
      <c r="Z753" t="str">
        <f t="shared" si="35"/>
        <v>สแกนต่าง Cost</v>
      </c>
    </row>
    <row r="754" spans="2:26" x14ac:dyDescent="0.45">
      <c r="B754" t="s">
        <v>53</v>
      </c>
      <c r="C754">
        <v>20342012</v>
      </c>
      <c r="D754" t="s">
        <v>230</v>
      </c>
      <c r="E754" s="8">
        <v>46134.729166666664</v>
      </c>
      <c r="F754" s="8">
        <v>46134.833333333336</v>
      </c>
      <c r="G754" s="9">
        <v>2.5</v>
      </c>
      <c r="H754" s="9">
        <f t="shared" si="33"/>
        <v>1.2999999999999999E-2</v>
      </c>
      <c r="I754" s="9"/>
      <c r="J754" s="9"/>
      <c r="K754" s="9">
        <v>1.2999999999999999E-2</v>
      </c>
      <c r="L754" s="9"/>
      <c r="M754" t="s">
        <v>28</v>
      </c>
      <c r="N754" t="s">
        <v>29</v>
      </c>
      <c r="P754" t="s">
        <v>30</v>
      </c>
      <c r="Q754" t="s">
        <v>31</v>
      </c>
      <c r="R754">
        <v>82611</v>
      </c>
      <c r="S754" t="s">
        <v>43</v>
      </c>
      <c r="T754">
        <v>82640</v>
      </c>
      <c r="U754" t="s">
        <v>42</v>
      </c>
      <c r="V754" t="s">
        <v>70</v>
      </c>
      <c r="W754" t="s">
        <v>47</v>
      </c>
      <c r="X754" t="s">
        <v>95</v>
      </c>
      <c r="Y754" s="9">
        <f t="shared" si="34"/>
        <v>1.2999999999999999E-2</v>
      </c>
      <c r="Z754" t="str">
        <f t="shared" si="35"/>
        <v>สแกนต่าง Cost</v>
      </c>
    </row>
    <row r="755" spans="2:26" x14ac:dyDescent="0.45">
      <c r="B755" t="s">
        <v>53</v>
      </c>
      <c r="C755">
        <v>20074473</v>
      </c>
      <c r="D755" t="s">
        <v>276</v>
      </c>
      <c r="E755" s="8">
        <v>46134.723611111112</v>
      </c>
      <c r="F755" s="8">
        <v>46134.826388888891</v>
      </c>
      <c r="G755" s="9">
        <v>2.4666666666666668</v>
      </c>
      <c r="H755" s="9">
        <f t="shared" si="33"/>
        <v>1.2999999999999999E-2</v>
      </c>
      <c r="I755" s="9"/>
      <c r="J755" s="9"/>
      <c r="K755" s="9">
        <v>1.2999999999999999E-2</v>
      </c>
      <c r="L755" s="9"/>
      <c r="M755" t="s">
        <v>28</v>
      </c>
      <c r="N755" t="s">
        <v>40</v>
      </c>
      <c r="O755" t="s">
        <v>41</v>
      </c>
      <c r="P755" t="s">
        <v>30</v>
      </c>
      <c r="Q755" t="s">
        <v>31</v>
      </c>
      <c r="R755">
        <v>82630</v>
      </c>
      <c r="S755" t="s">
        <v>32</v>
      </c>
      <c r="T755">
        <v>82611</v>
      </c>
      <c r="U755" t="s">
        <v>43</v>
      </c>
      <c r="V755" t="s">
        <v>43</v>
      </c>
      <c r="W755" t="s">
        <v>148</v>
      </c>
      <c r="X755" t="s">
        <v>171</v>
      </c>
      <c r="Y755" s="9">
        <f t="shared" si="34"/>
        <v>1.2999999999999999E-2</v>
      </c>
      <c r="Z755" t="str">
        <f t="shared" si="35"/>
        <v>สแกนต่าง Cost</v>
      </c>
    </row>
    <row r="756" spans="2:26" x14ac:dyDescent="0.45">
      <c r="B756" t="s">
        <v>53</v>
      </c>
      <c r="C756">
        <v>20198745</v>
      </c>
      <c r="D756" t="s">
        <v>286</v>
      </c>
      <c r="E756" s="8">
        <v>46134.723611111112</v>
      </c>
      <c r="F756" s="8">
        <v>46134.826388888891</v>
      </c>
      <c r="G756" s="9">
        <v>2.4666666666666668</v>
      </c>
      <c r="H756" s="9">
        <f t="shared" si="33"/>
        <v>1.2999999999999999E-2</v>
      </c>
      <c r="I756" s="9"/>
      <c r="J756" s="9"/>
      <c r="K756" s="9">
        <v>1.2999999999999999E-2</v>
      </c>
      <c r="L756" s="9"/>
      <c r="M756" t="s">
        <v>28</v>
      </c>
      <c r="N756" t="s">
        <v>40</v>
      </c>
      <c r="O756" t="s">
        <v>41</v>
      </c>
      <c r="P756" t="s">
        <v>30</v>
      </c>
      <c r="Q756" t="s">
        <v>31</v>
      </c>
      <c r="R756">
        <v>82630</v>
      </c>
      <c r="S756" t="s">
        <v>32</v>
      </c>
      <c r="T756">
        <v>82611</v>
      </c>
      <c r="U756" t="s">
        <v>43</v>
      </c>
      <c r="V756" t="s">
        <v>43</v>
      </c>
      <c r="W756" t="s">
        <v>148</v>
      </c>
      <c r="X756" t="s">
        <v>171</v>
      </c>
      <c r="Y756" s="9">
        <f t="shared" si="34"/>
        <v>1.2999999999999999E-2</v>
      </c>
      <c r="Z756" t="str">
        <f t="shared" si="35"/>
        <v>สแกนต่าง Cost</v>
      </c>
    </row>
    <row r="757" spans="2:26" x14ac:dyDescent="0.45">
      <c r="B757" t="s">
        <v>26</v>
      </c>
      <c r="C757">
        <v>20244923</v>
      </c>
      <c r="D757" t="s">
        <v>246</v>
      </c>
      <c r="E757" s="8">
        <v>46134.723611111112</v>
      </c>
      <c r="F757" s="8">
        <v>46134.828472222223</v>
      </c>
      <c r="G757" s="9">
        <v>2.5166666666666666</v>
      </c>
      <c r="H757" s="9">
        <f t="shared" si="33"/>
        <v>1.2999999999999999E-2</v>
      </c>
      <c r="I757" s="9"/>
      <c r="J757" s="9"/>
      <c r="K757" s="9">
        <v>1.2999999999999999E-2</v>
      </c>
      <c r="L757" s="9"/>
      <c r="M757" t="s">
        <v>28</v>
      </c>
      <c r="N757" t="s">
        <v>40</v>
      </c>
      <c r="O757" t="s">
        <v>41</v>
      </c>
      <c r="P757" t="s">
        <v>30</v>
      </c>
      <c r="Q757" t="s">
        <v>31</v>
      </c>
      <c r="R757">
        <v>82640</v>
      </c>
      <c r="S757" t="s">
        <v>42</v>
      </c>
      <c r="T757">
        <v>82611</v>
      </c>
      <c r="U757" t="s">
        <v>43</v>
      </c>
      <c r="V757" t="s">
        <v>43</v>
      </c>
      <c r="W757" t="s">
        <v>44</v>
      </c>
      <c r="X757" t="s">
        <v>44</v>
      </c>
      <c r="Y757" s="9">
        <f t="shared" si="34"/>
        <v>1.2999999999999999E-2</v>
      </c>
      <c r="Z757" t="str">
        <f t="shared" si="35"/>
        <v>สแกนต่าง Cost</v>
      </c>
    </row>
    <row r="758" spans="2:26" x14ac:dyDescent="0.45">
      <c r="B758" t="s">
        <v>53</v>
      </c>
      <c r="C758">
        <v>20363689</v>
      </c>
      <c r="D758" t="s">
        <v>287</v>
      </c>
      <c r="E758" s="8">
        <v>46134.723611111112</v>
      </c>
      <c r="F758" s="8">
        <v>46134.826388888891</v>
      </c>
      <c r="G758" s="9">
        <v>2.4666666666666668</v>
      </c>
      <c r="H758" s="9">
        <f t="shared" si="33"/>
        <v>1.2999999999999999E-2</v>
      </c>
      <c r="I758" s="9"/>
      <c r="J758" s="9"/>
      <c r="K758" s="9">
        <v>1.2999999999999999E-2</v>
      </c>
      <c r="L758" s="9"/>
      <c r="M758" t="s">
        <v>28</v>
      </c>
      <c r="N758" t="s">
        <v>40</v>
      </c>
      <c r="O758" t="s">
        <v>41</v>
      </c>
      <c r="P758" t="s">
        <v>30</v>
      </c>
      <c r="Q758" t="s">
        <v>31</v>
      </c>
      <c r="R758">
        <v>82630</v>
      </c>
      <c r="S758" t="s">
        <v>32</v>
      </c>
      <c r="T758">
        <v>82611</v>
      </c>
      <c r="U758" t="s">
        <v>43</v>
      </c>
      <c r="V758" t="s">
        <v>43</v>
      </c>
      <c r="W758" t="s">
        <v>148</v>
      </c>
      <c r="X758" t="s">
        <v>171</v>
      </c>
      <c r="Y758" s="9">
        <f t="shared" si="34"/>
        <v>1.2999999999999999E-2</v>
      </c>
      <c r="Z758" t="str">
        <f t="shared" si="35"/>
        <v>สแกนต่าง Cost</v>
      </c>
    </row>
    <row r="759" spans="2:26" x14ac:dyDescent="0.45">
      <c r="B759" t="s">
        <v>26</v>
      </c>
      <c r="C759">
        <v>20167851</v>
      </c>
      <c r="D759" t="s">
        <v>63</v>
      </c>
      <c r="E759" s="8">
        <v>46134.722916666666</v>
      </c>
      <c r="F759" s="8">
        <v>46134.827777777777</v>
      </c>
      <c r="G759" s="9">
        <v>2.5166666666666666</v>
      </c>
      <c r="H759" s="9">
        <f t="shared" si="33"/>
        <v>1.2999999999999999E-2</v>
      </c>
      <c r="I759" s="9"/>
      <c r="J759" s="9"/>
      <c r="K759" s="9">
        <v>1.2999999999999999E-2</v>
      </c>
      <c r="L759" s="9"/>
      <c r="M759" t="s">
        <v>28</v>
      </c>
      <c r="N759" t="s">
        <v>40</v>
      </c>
      <c r="O759" t="s">
        <v>41</v>
      </c>
      <c r="P759" t="s">
        <v>30</v>
      </c>
      <c r="Q759" t="s">
        <v>31</v>
      </c>
      <c r="R759">
        <v>82640</v>
      </c>
      <c r="S759" t="s">
        <v>42</v>
      </c>
      <c r="T759">
        <v>82611</v>
      </c>
      <c r="U759" t="s">
        <v>43</v>
      </c>
      <c r="V759" t="s">
        <v>43</v>
      </c>
      <c r="W759" t="s">
        <v>44</v>
      </c>
      <c r="X759" t="s">
        <v>44</v>
      </c>
      <c r="Y759" s="9">
        <f t="shared" si="34"/>
        <v>1.2999999999999999E-2</v>
      </c>
      <c r="Z759" t="str">
        <f t="shared" si="35"/>
        <v>สแกนต่าง Cost</v>
      </c>
    </row>
    <row r="760" spans="2:26" x14ac:dyDescent="0.45">
      <c r="B760" t="s">
        <v>53</v>
      </c>
      <c r="C760">
        <v>20310532</v>
      </c>
      <c r="D760" t="s">
        <v>61</v>
      </c>
      <c r="E760" s="8">
        <v>46134.722916666666</v>
      </c>
      <c r="F760" s="8">
        <v>46134.832638888889</v>
      </c>
      <c r="G760" s="9">
        <v>2.6333333333333333</v>
      </c>
      <c r="H760" s="9">
        <f t="shared" si="33"/>
        <v>1.4E-2</v>
      </c>
      <c r="I760" s="9"/>
      <c r="J760" s="9"/>
      <c r="K760" s="9">
        <v>1.4E-2</v>
      </c>
      <c r="L760" s="9"/>
      <c r="M760" t="s">
        <v>28</v>
      </c>
      <c r="N760" t="s">
        <v>40</v>
      </c>
      <c r="O760" t="s">
        <v>41</v>
      </c>
      <c r="P760" t="s">
        <v>30</v>
      </c>
      <c r="Q760" t="s">
        <v>31</v>
      </c>
      <c r="R760">
        <v>82640</v>
      </c>
      <c r="S760" t="s">
        <v>42</v>
      </c>
      <c r="T760">
        <v>82630</v>
      </c>
      <c r="U760" t="s">
        <v>32</v>
      </c>
      <c r="V760" t="s">
        <v>62</v>
      </c>
      <c r="W760" t="s">
        <v>44</v>
      </c>
      <c r="X760" t="s">
        <v>44</v>
      </c>
      <c r="Y760" s="9">
        <f t="shared" si="34"/>
        <v>1.4E-2</v>
      </c>
      <c r="Z760" t="str">
        <f t="shared" si="35"/>
        <v>สแกนต่าง Cost</v>
      </c>
    </row>
    <row r="761" spans="2:26" x14ac:dyDescent="0.45">
      <c r="B761" t="s">
        <v>53</v>
      </c>
      <c r="C761">
        <v>20019647</v>
      </c>
      <c r="D761" t="s">
        <v>152</v>
      </c>
      <c r="E761" s="8">
        <v>46134.722222222219</v>
      </c>
      <c r="F761" s="8">
        <v>46134.826388888891</v>
      </c>
      <c r="G761" s="9">
        <v>2.5</v>
      </c>
      <c r="H761" s="9">
        <f t="shared" si="33"/>
        <v>1.2999999999999999E-2</v>
      </c>
      <c r="I761" s="9"/>
      <c r="J761" s="9"/>
      <c r="K761" s="9">
        <v>1.2999999999999999E-2</v>
      </c>
      <c r="L761" s="9"/>
      <c r="M761" t="s">
        <v>28</v>
      </c>
      <c r="N761" t="s">
        <v>40</v>
      </c>
      <c r="O761" t="s">
        <v>41</v>
      </c>
      <c r="P761" t="s">
        <v>30</v>
      </c>
      <c r="Q761" t="s">
        <v>31</v>
      </c>
      <c r="R761">
        <v>82630</v>
      </c>
      <c r="S761" t="s">
        <v>32</v>
      </c>
      <c r="T761">
        <v>82611</v>
      </c>
      <c r="U761" t="s">
        <v>43</v>
      </c>
      <c r="V761" t="s">
        <v>43</v>
      </c>
      <c r="W761" t="s">
        <v>148</v>
      </c>
      <c r="X761" t="s">
        <v>171</v>
      </c>
      <c r="Y761" s="9">
        <f t="shared" si="34"/>
        <v>1.2999999999999999E-2</v>
      </c>
      <c r="Z761" t="str">
        <f t="shared" si="35"/>
        <v>สแกนต่าง Cost</v>
      </c>
    </row>
    <row r="762" spans="2:26" x14ac:dyDescent="0.45">
      <c r="B762" t="s">
        <v>53</v>
      </c>
      <c r="C762">
        <v>20029099</v>
      </c>
      <c r="D762" t="s">
        <v>163</v>
      </c>
      <c r="E762" s="8">
        <v>46134.722222222219</v>
      </c>
      <c r="F762" s="8">
        <v>46134.826388888891</v>
      </c>
      <c r="G762" s="9">
        <v>2.5</v>
      </c>
      <c r="H762" s="9">
        <f t="shared" si="33"/>
        <v>1.2999999999999999E-2</v>
      </c>
      <c r="I762" s="9"/>
      <c r="J762" s="9"/>
      <c r="K762" s="9">
        <v>1.2999999999999999E-2</v>
      </c>
      <c r="L762" s="9"/>
      <c r="M762" t="s">
        <v>28</v>
      </c>
      <c r="N762" t="s">
        <v>29</v>
      </c>
      <c r="P762" t="s">
        <v>30</v>
      </c>
      <c r="Q762" t="s">
        <v>31</v>
      </c>
      <c r="R762">
        <v>82630</v>
      </c>
      <c r="S762" t="s">
        <v>32</v>
      </c>
      <c r="T762">
        <v>82611</v>
      </c>
      <c r="U762" t="s">
        <v>43</v>
      </c>
      <c r="V762" t="s">
        <v>43</v>
      </c>
      <c r="W762" t="s">
        <v>148</v>
      </c>
      <c r="X762" t="s">
        <v>171</v>
      </c>
      <c r="Y762" s="9">
        <f t="shared" si="34"/>
        <v>1.2999999999999999E-2</v>
      </c>
      <c r="Z762" t="str">
        <f t="shared" si="35"/>
        <v>สแกนต่าง Cost</v>
      </c>
    </row>
    <row r="763" spans="2:26" x14ac:dyDescent="0.45">
      <c r="B763" t="s">
        <v>53</v>
      </c>
      <c r="C763">
        <v>20034535</v>
      </c>
      <c r="D763" t="s">
        <v>99</v>
      </c>
      <c r="E763" s="8">
        <v>46134.722222222219</v>
      </c>
      <c r="F763" s="8">
        <v>46134.826388888891</v>
      </c>
      <c r="G763" s="9">
        <v>2.5</v>
      </c>
      <c r="H763" s="9">
        <f t="shared" si="33"/>
        <v>1.2999999999999999E-2</v>
      </c>
      <c r="I763" s="9"/>
      <c r="J763" s="9"/>
      <c r="K763" s="9">
        <v>1.2999999999999999E-2</v>
      </c>
      <c r="L763" s="9"/>
      <c r="M763" t="s">
        <v>28</v>
      </c>
      <c r="N763" t="s">
        <v>40</v>
      </c>
      <c r="O763" t="s">
        <v>41</v>
      </c>
      <c r="P763" t="s">
        <v>30</v>
      </c>
      <c r="Q763" t="s">
        <v>31</v>
      </c>
      <c r="R763">
        <v>82630</v>
      </c>
      <c r="S763" t="s">
        <v>32</v>
      </c>
      <c r="T763">
        <v>82611</v>
      </c>
      <c r="U763" t="s">
        <v>43</v>
      </c>
      <c r="V763" t="s">
        <v>43</v>
      </c>
      <c r="W763" t="s">
        <v>148</v>
      </c>
      <c r="X763" t="s">
        <v>171</v>
      </c>
      <c r="Y763" s="9">
        <f t="shared" si="34"/>
        <v>1.2999999999999999E-2</v>
      </c>
      <c r="Z763" t="str">
        <f t="shared" si="35"/>
        <v>สแกนต่าง Cost</v>
      </c>
    </row>
    <row r="764" spans="2:26" x14ac:dyDescent="0.45">
      <c r="B764" t="s">
        <v>53</v>
      </c>
      <c r="C764">
        <v>20056406</v>
      </c>
      <c r="D764" t="s">
        <v>85</v>
      </c>
      <c r="E764" s="8">
        <v>46134.722222222219</v>
      </c>
      <c r="F764" s="8">
        <v>46134.826388888891</v>
      </c>
      <c r="G764" s="9">
        <v>2.5</v>
      </c>
      <c r="H764" s="9">
        <f t="shared" si="33"/>
        <v>1.2999999999999999E-2</v>
      </c>
      <c r="I764" s="9"/>
      <c r="J764" s="9"/>
      <c r="K764" s="9">
        <v>1.2999999999999999E-2</v>
      </c>
      <c r="L764" s="9"/>
      <c r="M764" t="s">
        <v>28</v>
      </c>
      <c r="N764" t="s">
        <v>29</v>
      </c>
      <c r="P764" t="s">
        <v>30</v>
      </c>
      <c r="Q764" t="s">
        <v>31</v>
      </c>
      <c r="R764">
        <v>82630</v>
      </c>
      <c r="S764" t="s">
        <v>32</v>
      </c>
      <c r="T764">
        <v>82611</v>
      </c>
      <c r="U764" t="s">
        <v>43</v>
      </c>
      <c r="V764" t="s">
        <v>43</v>
      </c>
      <c r="W764" t="s">
        <v>148</v>
      </c>
      <c r="X764" t="s">
        <v>171</v>
      </c>
      <c r="Y764" s="9">
        <f t="shared" si="34"/>
        <v>1.2999999999999999E-2</v>
      </c>
      <c r="Z764" t="str">
        <f t="shared" si="35"/>
        <v>สแกนต่าง Cost</v>
      </c>
    </row>
    <row r="765" spans="2:26" x14ac:dyDescent="0.45">
      <c r="B765" t="s">
        <v>53</v>
      </c>
      <c r="C765">
        <v>20156338</v>
      </c>
      <c r="D765" t="s">
        <v>102</v>
      </c>
      <c r="E765" s="8">
        <v>46134.722222222219</v>
      </c>
      <c r="F765" s="8">
        <v>46134.826388888891</v>
      </c>
      <c r="G765" s="9">
        <v>2.5</v>
      </c>
      <c r="H765" s="9">
        <f t="shared" si="33"/>
        <v>1.2999999999999999E-2</v>
      </c>
      <c r="I765" s="9"/>
      <c r="J765" s="9"/>
      <c r="K765" s="9">
        <v>1.2999999999999999E-2</v>
      </c>
      <c r="L765" s="9"/>
      <c r="M765" t="s">
        <v>28</v>
      </c>
      <c r="N765" t="s">
        <v>29</v>
      </c>
      <c r="P765" t="s">
        <v>30</v>
      </c>
      <c r="Q765" t="s">
        <v>31</v>
      </c>
      <c r="R765">
        <v>82630</v>
      </c>
      <c r="S765" t="s">
        <v>32</v>
      </c>
      <c r="T765">
        <v>82611</v>
      </c>
      <c r="U765" t="s">
        <v>43</v>
      </c>
      <c r="V765" t="s">
        <v>43</v>
      </c>
      <c r="W765" t="s">
        <v>148</v>
      </c>
      <c r="X765" t="s">
        <v>171</v>
      </c>
      <c r="Y765" s="9">
        <f t="shared" si="34"/>
        <v>1.2999999999999999E-2</v>
      </c>
      <c r="Z765" t="str">
        <f t="shared" si="35"/>
        <v>สแกนต่าง Cost</v>
      </c>
    </row>
    <row r="766" spans="2:26" x14ac:dyDescent="0.45">
      <c r="B766" t="s">
        <v>53</v>
      </c>
      <c r="C766">
        <v>20240959</v>
      </c>
      <c r="D766" t="s">
        <v>105</v>
      </c>
      <c r="E766" s="8">
        <v>46134.722222222219</v>
      </c>
      <c r="F766" s="8">
        <v>46134.826388888891</v>
      </c>
      <c r="G766" s="9">
        <v>2.5</v>
      </c>
      <c r="H766" s="9">
        <f t="shared" si="33"/>
        <v>1.2999999999999999E-2</v>
      </c>
      <c r="I766" s="9"/>
      <c r="J766" s="9"/>
      <c r="K766" s="9">
        <v>1.2999999999999999E-2</v>
      </c>
      <c r="L766" s="9"/>
      <c r="M766" t="s">
        <v>28</v>
      </c>
      <c r="N766" t="s">
        <v>40</v>
      </c>
      <c r="O766" t="s">
        <v>41</v>
      </c>
      <c r="P766" t="s">
        <v>30</v>
      </c>
      <c r="Q766" t="s">
        <v>31</v>
      </c>
      <c r="R766">
        <v>82630</v>
      </c>
      <c r="S766" t="s">
        <v>32</v>
      </c>
      <c r="T766">
        <v>82611</v>
      </c>
      <c r="U766" t="s">
        <v>43</v>
      </c>
      <c r="V766" t="s">
        <v>43</v>
      </c>
      <c r="W766" t="s">
        <v>148</v>
      </c>
      <c r="X766" t="s">
        <v>171</v>
      </c>
      <c r="Y766" s="9">
        <f t="shared" si="34"/>
        <v>1.2999999999999999E-2</v>
      </c>
      <c r="Z766" t="str">
        <f t="shared" si="35"/>
        <v>สแกนต่าง Cost</v>
      </c>
    </row>
    <row r="767" spans="2:26" x14ac:dyDescent="0.45">
      <c r="B767" t="s">
        <v>53</v>
      </c>
      <c r="C767">
        <v>20240961</v>
      </c>
      <c r="D767" t="s">
        <v>239</v>
      </c>
      <c r="E767" s="8">
        <v>46134.72152777778</v>
      </c>
      <c r="F767" s="8">
        <v>46134.826388888891</v>
      </c>
      <c r="G767" s="9">
        <v>2.5166666666666666</v>
      </c>
      <c r="H767" s="9">
        <f t="shared" si="33"/>
        <v>1.2999999999999999E-2</v>
      </c>
      <c r="I767" s="9"/>
      <c r="J767" s="9"/>
      <c r="K767" s="9">
        <v>1.2999999999999999E-2</v>
      </c>
      <c r="L767" s="9"/>
      <c r="M767" t="s">
        <v>28</v>
      </c>
      <c r="N767" t="s">
        <v>40</v>
      </c>
      <c r="O767" t="s">
        <v>41</v>
      </c>
      <c r="P767" t="s">
        <v>30</v>
      </c>
      <c r="Q767" t="s">
        <v>31</v>
      </c>
      <c r="R767">
        <v>82630</v>
      </c>
      <c r="S767" t="s">
        <v>32</v>
      </c>
      <c r="T767">
        <v>82611</v>
      </c>
      <c r="U767" t="s">
        <v>43</v>
      </c>
      <c r="V767" t="s">
        <v>43</v>
      </c>
      <c r="W767" t="s">
        <v>148</v>
      </c>
      <c r="X767" t="s">
        <v>171</v>
      </c>
      <c r="Y767" s="9">
        <f t="shared" si="34"/>
        <v>1.2999999999999999E-2</v>
      </c>
      <c r="Z767" t="str">
        <f t="shared" si="35"/>
        <v>สแกนต่าง Cost</v>
      </c>
    </row>
    <row r="768" spans="2:26" x14ac:dyDescent="0.45">
      <c r="B768" t="s">
        <v>53</v>
      </c>
      <c r="C768">
        <v>20310530</v>
      </c>
      <c r="D768" t="s">
        <v>220</v>
      </c>
      <c r="E768" s="8">
        <v>46134.708333333336</v>
      </c>
      <c r="F768" s="8">
        <v>46134.729166666664</v>
      </c>
      <c r="G768" s="9">
        <v>0.5</v>
      </c>
      <c r="H768" s="9">
        <f t="shared" si="33"/>
        <v>3.0000000000000001E-3</v>
      </c>
      <c r="I768" s="9">
        <v>3.0000000000000001E-3</v>
      </c>
      <c r="J768" s="9"/>
      <c r="K768" s="9"/>
      <c r="L768" s="9"/>
      <c r="M768" t="s">
        <v>65</v>
      </c>
      <c r="N768" t="s">
        <v>29</v>
      </c>
      <c r="P768" t="s">
        <v>30</v>
      </c>
      <c r="Q768" t="s">
        <v>31</v>
      </c>
      <c r="R768">
        <v>82640</v>
      </c>
      <c r="S768" t="s">
        <v>42</v>
      </c>
      <c r="T768">
        <v>82630</v>
      </c>
      <c r="U768" t="s">
        <v>32</v>
      </c>
      <c r="V768" t="s">
        <v>66</v>
      </c>
      <c r="W768" t="s">
        <v>44</v>
      </c>
      <c r="X768" t="s">
        <v>44</v>
      </c>
      <c r="Y768" s="9">
        <f t="shared" si="34"/>
        <v>0</v>
      </c>
      <c r="Z768" t="str">
        <f t="shared" si="35"/>
        <v>สแกนต่าง Cost</v>
      </c>
    </row>
    <row r="769" spans="2:26" x14ac:dyDescent="0.45">
      <c r="B769" t="s">
        <v>53</v>
      </c>
      <c r="C769">
        <v>20332134</v>
      </c>
      <c r="D769" t="s">
        <v>156</v>
      </c>
      <c r="E769" s="8">
        <v>46134.708333333336</v>
      </c>
      <c r="F769" s="8">
        <v>46134.729166666664</v>
      </c>
      <c r="G769" s="9">
        <v>0.5</v>
      </c>
      <c r="H769" s="9">
        <f t="shared" si="33"/>
        <v>3.0000000000000001E-3</v>
      </c>
      <c r="I769" s="9">
        <v>3.0000000000000001E-3</v>
      </c>
      <c r="J769" s="9"/>
      <c r="K769" s="9"/>
      <c r="L769" s="9"/>
      <c r="M769" t="s">
        <v>65</v>
      </c>
      <c r="N769" t="s">
        <v>29</v>
      </c>
      <c r="P769" t="s">
        <v>30</v>
      </c>
      <c r="Q769" t="s">
        <v>31</v>
      </c>
      <c r="R769">
        <v>82640</v>
      </c>
      <c r="S769" t="s">
        <v>42</v>
      </c>
      <c r="T769">
        <v>82630</v>
      </c>
      <c r="U769" t="s">
        <v>32</v>
      </c>
      <c r="V769" t="s">
        <v>66</v>
      </c>
      <c r="W769" t="s">
        <v>44</v>
      </c>
      <c r="X769" t="s">
        <v>44</v>
      </c>
      <c r="Y769" s="9">
        <f t="shared" si="34"/>
        <v>0</v>
      </c>
      <c r="Z769" t="str">
        <f t="shared" si="35"/>
        <v>สแกนต่าง Cost</v>
      </c>
    </row>
    <row r="770" spans="2:26" x14ac:dyDescent="0.45">
      <c r="B770" t="s">
        <v>53</v>
      </c>
      <c r="C770">
        <v>20167851</v>
      </c>
      <c r="D770" t="s">
        <v>63</v>
      </c>
      <c r="E770" s="8">
        <v>46134.6875</v>
      </c>
      <c r="F770" s="8">
        <v>46134.729166666664</v>
      </c>
      <c r="G770" s="9">
        <v>1</v>
      </c>
      <c r="H770" s="9">
        <f t="shared" si="33"/>
        <v>5.0000000000000001E-3</v>
      </c>
      <c r="I770" s="9">
        <v>5.0000000000000001E-3</v>
      </c>
      <c r="J770" s="9"/>
      <c r="K770" s="9"/>
      <c r="L770" s="9"/>
      <c r="M770" t="s">
        <v>65</v>
      </c>
      <c r="N770" t="s">
        <v>29</v>
      </c>
      <c r="P770" t="s">
        <v>30</v>
      </c>
      <c r="Q770" t="s">
        <v>31</v>
      </c>
      <c r="R770">
        <v>82640</v>
      </c>
      <c r="S770" t="s">
        <v>42</v>
      </c>
      <c r="T770">
        <v>82611</v>
      </c>
      <c r="U770" t="s">
        <v>43</v>
      </c>
      <c r="V770" t="s">
        <v>66</v>
      </c>
      <c r="W770" t="s">
        <v>44</v>
      </c>
      <c r="X770" t="s">
        <v>44</v>
      </c>
      <c r="Y770" s="9">
        <f t="shared" si="34"/>
        <v>0</v>
      </c>
      <c r="Z770" t="str">
        <f t="shared" si="35"/>
        <v>สแกนต่าง Cost</v>
      </c>
    </row>
    <row r="771" spans="2:26" x14ac:dyDescent="0.45">
      <c r="B771" t="s">
        <v>53</v>
      </c>
      <c r="C771">
        <v>20198839</v>
      </c>
      <c r="D771" t="s">
        <v>258</v>
      </c>
      <c r="E771" s="8">
        <v>46134.6875</v>
      </c>
      <c r="F771" s="8">
        <v>46134.708333333336</v>
      </c>
      <c r="G771" s="9">
        <v>0.5</v>
      </c>
      <c r="H771" s="9">
        <f t="shared" ref="H771:H834" si="36">SUM(I771:L771)</f>
        <v>3.0000000000000001E-3</v>
      </c>
      <c r="I771" s="9">
        <v>3.0000000000000001E-3</v>
      </c>
      <c r="J771" s="9"/>
      <c r="K771" s="9"/>
      <c r="L771" s="9"/>
      <c r="M771" t="s">
        <v>65</v>
      </c>
      <c r="N771" t="s">
        <v>29</v>
      </c>
      <c r="P771" t="s">
        <v>30</v>
      </c>
      <c r="Q771" t="s">
        <v>31</v>
      </c>
      <c r="R771">
        <v>82640</v>
      </c>
      <c r="S771" t="s">
        <v>42</v>
      </c>
      <c r="T771">
        <v>82622</v>
      </c>
      <c r="U771" t="s">
        <v>147</v>
      </c>
      <c r="V771" t="s">
        <v>66</v>
      </c>
      <c r="W771" t="s">
        <v>44</v>
      </c>
      <c r="X771" t="s">
        <v>44</v>
      </c>
      <c r="Y771" s="9">
        <f t="shared" ref="Y771:Y834" si="37">SUM(J771:L771)</f>
        <v>0</v>
      </c>
      <c r="Z771" t="str">
        <f t="shared" ref="Z771:Z834" si="38">IF(R771=T771,"สแกน Cost ตัวเอง","สแกนต่าง Cost")</f>
        <v>สแกนต่าง Cost</v>
      </c>
    </row>
    <row r="772" spans="2:26" x14ac:dyDescent="0.45">
      <c r="B772" t="s">
        <v>53</v>
      </c>
      <c r="C772">
        <v>20198842</v>
      </c>
      <c r="D772" t="s">
        <v>257</v>
      </c>
      <c r="E772" s="8">
        <v>46134.6875</v>
      </c>
      <c r="F772" s="8">
        <v>46134.729166666664</v>
      </c>
      <c r="G772" s="9">
        <v>1</v>
      </c>
      <c r="H772" s="9">
        <f t="shared" si="36"/>
        <v>5.0000000000000001E-3</v>
      </c>
      <c r="I772" s="9">
        <v>5.0000000000000001E-3</v>
      </c>
      <c r="J772" s="9"/>
      <c r="K772" s="9"/>
      <c r="L772" s="9"/>
      <c r="M772" t="s">
        <v>65</v>
      </c>
      <c r="N772" t="s">
        <v>29</v>
      </c>
      <c r="P772" t="s">
        <v>30</v>
      </c>
      <c r="Q772" t="s">
        <v>31</v>
      </c>
      <c r="R772">
        <v>82640</v>
      </c>
      <c r="S772" t="s">
        <v>42</v>
      </c>
      <c r="T772">
        <v>82630</v>
      </c>
      <c r="U772" t="s">
        <v>32</v>
      </c>
      <c r="V772" t="s">
        <v>66</v>
      </c>
      <c r="W772" t="s">
        <v>44</v>
      </c>
      <c r="X772" t="s">
        <v>44</v>
      </c>
      <c r="Y772" s="9">
        <f t="shared" si="37"/>
        <v>0</v>
      </c>
      <c r="Z772" t="str">
        <f t="shared" si="38"/>
        <v>สแกนต่าง Cost</v>
      </c>
    </row>
    <row r="773" spans="2:26" x14ac:dyDescent="0.45">
      <c r="B773" t="s">
        <v>53</v>
      </c>
      <c r="C773">
        <v>20280718</v>
      </c>
      <c r="D773" t="s">
        <v>256</v>
      </c>
      <c r="E773" s="8">
        <v>46134.6875</v>
      </c>
      <c r="F773" s="8">
        <v>46134.729166666664</v>
      </c>
      <c r="G773" s="9">
        <v>1</v>
      </c>
      <c r="H773" s="9">
        <f t="shared" si="36"/>
        <v>5.0000000000000001E-3</v>
      </c>
      <c r="I773" s="9">
        <v>5.0000000000000001E-3</v>
      </c>
      <c r="J773" s="9"/>
      <c r="K773" s="9"/>
      <c r="L773" s="9"/>
      <c r="M773" t="s">
        <v>65</v>
      </c>
      <c r="N773" t="s">
        <v>29</v>
      </c>
      <c r="P773" t="s">
        <v>30</v>
      </c>
      <c r="Q773" t="s">
        <v>31</v>
      </c>
      <c r="R773">
        <v>82640</v>
      </c>
      <c r="S773" t="s">
        <v>42</v>
      </c>
      <c r="T773">
        <v>82630</v>
      </c>
      <c r="U773" t="s">
        <v>32</v>
      </c>
      <c r="V773" t="s">
        <v>66</v>
      </c>
      <c r="W773" t="s">
        <v>44</v>
      </c>
      <c r="X773" t="s">
        <v>44</v>
      </c>
      <c r="Y773" s="9">
        <f t="shared" si="37"/>
        <v>0</v>
      </c>
      <c r="Z773" t="str">
        <f t="shared" si="38"/>
        <v>สแกนต่าง Cost</v>
      </c>
    </row>
    <row r="774" spans="2:26" x14ac:dyDescent="0.45">
      <c r="B774" t="s">
        <v>53</v>
      </c>
      <c r="C774">
        <v>20198839</v>
      </c>
      <c r="D774" t="s">
        <v>258</v>
      </c>
      <c r="E774" s="8">
        <v>46134.666666666664</v>
      </c>
      <c r="F774" s="8">
        <v>46134.6875</v>
      </c>
      <c r="G774" s="9">
        <v>0.5</v>
      </c>
      <c r="H774" s="9">
        <f t="shared" si="36"/>
        <v>3.0000000000000001E-3</v>
      </c>
      <c r="I774" s="9">
        <v>3.0000000000000001E-3</v>
      </c>
      <c r="J774" s="9"/>
      <c r="K774" s="9"/>
      <c r="L774" s="9"/>
      <c r="M774" t="s">
        <v>65</v>
      </c>
      <c r="N774" t="s">
        <v>29</v>
      </c>
      <c r="P774" t="s">
        <v>30</v>
      </c>
      <c r="Q774" t="s">
        <v>31</v>
      </c>
      <c r="R774">
        <v>82640</v>
      </c>
      <c r="S774" t="s">
        <v>42</v>
      </c>
      <c r="T774">
        <v>82611</v>
      </c>
      <c r="U774" t="s">
        <v>43</v>
      </c>
      <c r="V774" t="s">
        <v>66</v>
      </c>
      <c r="W774" t="s">
        <v>44</v>
      </c>
      <c r="X774" t="s">
        <v>44</v>
      </c>
      <c r="Y774" s="9">
        <f t="shared" si="37"/>
        <v>0</v>
      </c>
      <c r="Z774" t="str">
        <f t="shared" si="38"/>
        <v>สแกนต่าง Cost</v>
      </c>
    </row>
    <row r="775" spans="2:26" x14ac:dyDescent="0.45">
      <c r="B775" t="s">
        <v>53</v>
      </c>
      <c r="C775">
        <v>20310530</v>
      </c>
      <c r="D775" t="s">
        <v>220</v>
      </c>
      <c r="E775" s="8">
        <v>46134.666666666664</v>
      </c>
      <c r="F775" s="8">
        <v>46134.6875</v>
      </c>
      <c r="G775" s="9">
        <v>0.5</v>
      </c>
      <c r="H775" s="9">
        <f t="shared" si="36"/>
        <v>3.0000000000000001E-3</v>
      </c>
      <c r="I775" s="9">
        <v>3.0000000000000001E-3</v>
      </c>
      <c r="J775" s="9"/>
      <c r="K775" s="9"/>
      <c r="L775" s="9"/>
      <c r="M775" t="s">
        <v>65</v>
      </c>
      <c r="N775" t="s">
        <v>29</v>
      </c>
      <c r="P775" t="s">
        <v>30</v>
      </c>
      <c r="Q775" t="s">
        <v>31</v>
      </c>
      <c r="R775">
        <v>82640</v>
      </c>
      <c r="S775" t="s">
        <v>42</v>
      </c>
      <c r="T775">
        <v>82622</v>
      </c>
      <c r="U775" t="s">
        <v>147</v>
      </c>
      <c r="V775" t="s">
        <v>66</v>
      </c>
      <c r="W775" t="s">
        <v>44</v>
      </c>
      <c r="X775" t="s">
        <v>44</v>
      </c>
      <c r="Y775" s="9">
        <f t="shared" si="37"/>
        <v>0</v>
      </c>
      <c r="Z775" t="str">
        <f t="shared" si="38"/>
        <v>สแกนต่าง Cost</v>
      </c>
    </row>
    <row r="776" spans="2:26" x14ac:dyDescent="0.45">
      <c r="B776" t="s">
        <v>53</v>
      </c>
      <c r="C776">
        <v>20332134</v>
      </c>
      <c r="D776" t="s">
        <v>156</v>
      </c>
      <c r="E776" s="8">
        <v>46134.666666666664</v>
      </c>
      <c r="F776" s="8">
        <v>46134.708333333336</v>
      </c>
      <c r="G776" s="9">
        <v>1</v>
      </c>
      <c r="H776" s="9">
        <f t="shared" si="36"/>
        <v>5.0000000000000001E-3</v>
      </c>
      <c r="I776" s="9">
        <v>5.0000000000000001E-3</v>
      </c>
      <c r="J776" s="9"/>
      <c r="K776" s="9"/>
      <c r="L776" s="9"/>
      <c r="M776" t="s">
        <v>65</v>
      </c>
      <c r="N776" t="s">
        <v>29</v>
      </c>
      <c r="P776" t="s">
        <v>30</v>
      </c>
      <c r="Q776" t="s">
        <v>31</v>
      </c>
      <c r="R776">
        <v>82640</v>
      </c>
      <c r="S776" t="s">
        <v>42</v>
      </c>
      <c r="T776">
        <v>82612</v>
      </c>
      <c r="U776" t="s">
        <v>153</v>
      </c>
      <c r="V776" t="s">
        <v>66</v>
      </c>
      <c r="W776" t="s">
        <v>44</v>
      </c>
      <c r="X776" t="s">
        <v>44</v>
      </c>
      <c r="Y776" s="9">
        <f t="shared" si="37"/>
        <v>0</v>
      </c>
      <c r="Z776" t="str">
        <f t="shared" si="38"/>
        <v>สแกนต่าง Cost</v>
      </c>
    </row>
    <row r="777" spans="2:26" x14ac:dyDescent="0.45">
      <c r="B777" t="s">
        <v>53</v>
      </c>
      <c r="C777">
        <v>20368087</v>
      </c>
      <c r="D777" t="s">
        <v>260</v>
      </c>
      <c r="E777" s="8">
        <v>46134.666666666664</v>
      </c>
      <c r="F777" s="8">
        <v>46134.729166666664</v>
      </c>
      <c r="G777" s="9">
        <v>1.5</v>
      </c>
      <c r="H777" s="9">
        <f t="shared" si="36"/>
        <v>8.0000000000000002E-3</v>
      </c>
      <c r="I777" s="9">
        <v>8.0000000000000002E-3</v>
      </c>
      <c r="J777" s="9"/>
      <c r="K777" s="9"/>
      <c r="L777" s="9"/>
      <c r="M777" t="s">
        <v>65</v>
      </c>
      <c r="N777" t="s">
        <v>29</v>
      </c>
      <c r="P777" t="s">
        <v>30</v>
      </c>
      <c r="Q777" t="s">
        <v>31</v>
      </c>
      <c r="R777">
        <v>82640</v>
      </c>
      <c r="S777" t="s">
        <v>42</v>
      </c>
      <c r="T777">
        <v>82630</v>
      </c>
      <c r="U777" t="s">
        <v>32</v>
      </c>
      <c r="V777" t="s">
        <v>66</v>
      </c>
      <c r="W777" t="s">
        <v>44</v>
      </c>
      <c r="X777" t="s">
        <v>44</v>
      </c>
      <c r="Y777" s="9">
        <f t="shared" si="37"/>
        <v>0</v>
      </c>
      <c r="Z777" t="str">
        <f t="shared" si="38"/>
        <v>สแกนต่าง Cost</v>
      </c>
    </row>
    <row r="778" spans="2:26" x14ac:dyDescent="0.45">
      <c r="B778" t="s">
        <v>53</v>
      </c>
      <c r="C778">
        <v>20167851</v>
      </c>
      <c r="D778" t="s">
        <v>63</v>
      </c>
      <c r="E778" s="8">
        <v>46134.645833333336</v>
      </c>
      <c r="F778" s="8">
        <v>46134.6875</v>
      </c>
      <c r="G778" s="9">
        <v>1</v>
      </c>
      <c r="H778" s="9">
        <f t="shared" si="36"/>
        <v>5.0000000000000001E-3</v>
      </c>
      <c r="I778" s="9">
        <v>5.0000000000000001E-3</v>
      </c>
      <c r="J778" s="9"/>
      <c r="K778" s="9"/>
      <c r="L778" s="9"/>
      <c r="M778" t="s">
        <v>65</v>
      </c>
      <c r="N778" t="s">
        <v>29</v>
      </c>
      <c r="P778" t="s">
        <v>30</v>
      </c>
      <c r="Q778" t="s">
        <v>31</v>
      </c>
      <c r="R778">
        <v>82640</v>
      </c>
      <c r="S778" t="s">
        <v>42</v>
      </c>
      <c r="T778">
        <v>82622</v>
      </c>
      <c r="U778" t="s">
        <v>147</v>
      </c>
      <c r="V778" t="s">
        <v>66</v>
      </c>
      <c r="W778" t="s">
        <v>44</v>
      </c>
      <c r="X778" t="s">
        <v>44</v>
      </c>
      <c r="Y778" s="9">
        <f t="shared" si="37"/>
        <v>0</v>
      </c>
      <c r="Z778" t="str">
        <f t="shared" si="38"/>
        <v>สแกนต่าง Cost</v>
      </c>
    </row>
    <row r="779" spans="2:26" x14ac:dyDescent="0.45">
      <c r="B779" t="s">
        <v>53</v>
      </c>
      <c r="C779">
        <v>20198842</v>
      </c>
      <c r="D779" t="s">
        <v>257</v>
      </c>
      <c r="E779" s="8">
        <v>46134.645833333336</v>
      </c>
      <c r="F779" s="8">
        <v>46134.666666666664</v>
      </c>
      <c r="G779" s="9">
        <v>0.5</v>
      </c>
      <c r="H779" s="9">
        <f t="shared" si="36"/>
        <v>3.0000000000000001E-3</v>
      </c>
      <c r="I779" s="9">
        <v>3.0000000000000001E-3</v>
      </c>
      <c r="J779" s="9"/>
      <c r="K779" s="9"/>
      <c r="L779" s="9"/>
      <c r="M779" t="s">
        <v>65</v>
      </c>
      <c r="N779" t="s">
        <v>29</v>
      </c>
      <c r="P779" t="s">
        <v>30</v>
      </c>
      <c r="Q779" t="s">
        <v>31</v>
      </c>
      <c r="R779">
        <v>82640</v>
      </c>
      <c r="S779" t="s">
        <v>42</v>
      </c>
      <c r="T779">
        <v>82611</v>
      </c>
      <c r="U779" t="s">
        <v>43</v>
      </c>
      <c r="V779" t="s">
        <v>66</v>
      </c>
      <c r="W779" t="s">
        <v>44</v>
      </c>
      <c r="X779" t="s">
        <v>44</v>
      </c>
      <c r="Y779" s="9">
        <f t="shared" si="37"/>
        <v>0</v>
      </c>
      <c r="Z779" t="str">
        <f t="shared" si="38"/>
        <v>สแกนต่าง Cost</v>
      </c>
    </row>
    <row r="780" spans="2:26" x14ac:dyDescent="0.45">
      <c r="B780" t="s">
        <v>53</v>
      </c>
      <c r="C780">
        <v>20280718</v>
      </c>
      <c r="D780" t="s">
        <v>256</v>
      </c>
      <c r="E780" s="8">
        <v>46134.645833333336</v>
      </c>
      <c r="F780" s="8">
        <v>46134.666666666664</v>
      </c>
      <c r="G780" s="9">
        <v>0.5</v>
      </c>
      <c r="H780" s="9">
        <f t="shared" si="36"/>
        <v>3.0000000000000001E-3</v>
      </c>
      <c r="I780" s="9">
        <v>3.0000000000000001E-3</v>
      </c>
      <c r="J780" s="9"/>
      <c r="K780" s="9"/>
      <c r="L780" s="9"/>
      <c r="M780" t="s">
        <v>65</v>
      </c>
      <c r="N780" t="s">
        <v>29</v>
      </c>
      <c r="P780" t="s">
        <v>30</v>
      </c>
      <c r="Q780" t="s">
        <v>31</v>
      </c>
      <c r="R780">
        <v>82640</v>
      </c>
      <c r="S780" t="s">
        <v>42</v>
      </c>
      <c r="T780">
        <v>82630</v>
      </c>
      <c r="U780" t="s">
        <v>32</v>
      </c>
      <c r="V780" t="s">
        <v>66</v>
      </c>
      <c r="W780" t="s">
        <v>44</v>
      </c>
      <c r="X780" t="s">
        <v>44</v>
      </c>
      <c r="Y780" s="9">
        <f t="shared" si="37"/>
        <v>0</v>
      </c>
      <c r="Z780" t="str">
        <f t="shared" si="38"/>
        <v>สแกนต่าง Cost</v>
      </c>
    </row>
    <row r="781" spans="2:26" x14ac:dyDescent="0.45">
      <c r="B781" t="s">
        <v>53</v>
      </c>
      <c r="C781">
        <v>20310530</v>
      </c>
      <c r="D781" t="s">
        <v>220</v>
      </c>
      <c r="E781" s="8">
        <v>46134.645833333336</v>
      </c>
      <c r="F781" s="8">
        <v>46134.666666666664</v>
      </c>
      <c r="G781" s="9">
        <v>0.5</v>
      </c>
      <c r="H781" s="9">
        <f t="shared" si="36"/>
        <v>3.0000000000000001E-3</v>
      </c>
      <c r="I781" s="9">
        <v>3.0000000000000001E-3</v>
      </c>
      <c r="J781" s="9"/>
      <c r="K781" s="9"/>
      <c r="L781" s="9"/>
      <c r="M781" t="s">
        <v>65</v>
      </c>
      <c r="N781" t="s">
        <v>29</v>
      </c>
      <c r="P781" t="s">
        <v>30</v>
      </c>
      <c r="Q781" t="s">
        <v>31</v>
      </c>
      <c r="R781">
        <v>82640</v>
      </c>
      <c r="S781" t="s">
        <v>42</v>
      </c>
      <c r="T781">
        <v>82611</v>
      </c>
      <c r="U781" t="s">
        <v>43</v>
      </c>
      <c r="V781" t="s">
        <v>66</v>
      </c>
      <c r="W781" t="s">
        <v>44</v>
      </c>
      <c r="X781" t="s">
        <v>44</v>
      </c>
      <c r="Y781" s="9">
        <f t="shared" si="37"/>
        <v>0</v>
      </c>
      <c r="Z781" t="str">
        <f t="shared" si="38"/>
        <v>สแกนต่าง Cost</v>
      </c>
    </row>
    <row r="782" spans="2:26" x14ac:dyDescent="0.45">
      <c r="B782" t="s">
        <v>53</v>
      </c>
      <c r="C782">
        <v>20310530</v>
      </c>
      <c r="D782" t="s">
        <v>220</v>
      </c>
      <c r="E782" s="8">
        <v>46134.625</v>
      </c>
      <c r="F782" s="8">
        <v>46134.645833333336</v>
      </c>
      <c r="G782" s="9">
        <v>0.5</v>
      </c>
      <c r="H782" s="9">
        <f t="shared" si="36"/>
        <v>3.0000000000000001E-3</v>
      </c>
      <c r="I782" s="9">
        <v>3.0000000000000001E-3</v>
      </c>
      <c r="J782" s="9"/>
      <c r="K782" s="9"/>
      <c r="L782" s="9"/>
      <c r="M782" t="s">
        <v>65</v>
      </c>
      <c r="N782" t="s">
        <v>29</v>
      </c>
      <c r="P782" t="s">
        <v>30</v>
      </c>
      <c r="Q782" t="s">
        <v>31</v>
      </c>
      <c r="R782">
        <v>82640</v>
      </c>
      <c r="S782" t="s">
        <v>42</v>
      </c>
      <c r="T782">
        <v>82612</v>
      </c>
      <c r="U782" t="s">
        <v>153</v>
      </c>
      <c r="V782" t="s">
        <v>66</v>
      </c>
      <c r="W782" t="s">
        <v>44</v>
      </c>
      <c r="X782" t="s">
        <v>44</v>
      </c>
      <c r="Y782" s="9">
        <f t="shared" si="37"/>
        <v>0</v>
      </c>
      <c r="Z782" t="str">
        <f t="shared" si="38"/>
        <v>สแกนต่าง Cost</v>
      </c>
    </row>
    <row r="783" spans="2:26" x14ac:dyDescent="0.45">
      <c r="B783" t="s">
        <v>53</v>
      </c>
      <c r="C783">
        <v>20332134</v>
      </c>
      <c r="D783" t="s">
        <v>156</v>
      </c>
      <c r="E783" s="8">
        <v>46134.625</v>
      </c>
      <c r="F783" s="8">
        <v>46134.666666666664</v>
      </c>
      <c r="G783" s="9">
        <v>1</v>
      </c>
      <c r="H783" s="9">
        <f t="shared" si="36"/>
        <v>5.0000000000000001E-3</v>
      </c>
      <c r="I783" s="9">
        <v>5.0000000000000001E-3</v>
      </c>
      <c r="J783" s="9"/>
      <c r="K783" s="9"/>
      <c r="L783" s="9"/>
      <c r="M783" t="s">
        <v>65</v>
      </c>
      <c r="N783" t="s">
        <v>29</v>
      </c>
      <c r="P783" t="s">
        <v>30</v>
      </c>
      <c r="Q783" t="s">
        <v>31</v>
      </c>
      <c r="R783">
        <v>82640</v>
      </c>
      <c r="S783" t="s">
        <v>42</v>
      </c>
      <c r="T783">
        <v>82630</v>
      </c>
      <c r="U783" t="s">
        <v>32</v>
      </c>
      <c r="V783" t="s">
        <v>66</v>
      </c>
      <c r="W783" t="s">
        <v>44</v>
      </c>
      <c r="X783" t="s">
        <v>44</v>
      </c>
      <c r="Y783" s="9">
        <f t="shared" si="37"/>
        <v>0</v>
      </c>
      <c r="Z783" t="str">
        <f t="shared" si="38"/>
        <v>สแกนต่าง Cost</v>
      </c>
    </row>
    <row r="784" spans="2:26" x14ac:dyDescent="0.45">
      <c r="B784" t="s">
        <v>53</v>
      </c>
      <c r="C784">
        <v>20368087</v>
      </c>
      <c r="D784" t="s">
        <v>260</v>
      </c>
      <c r="E784" s="8">
        <v>46134.625</v>
      </c>
      <c r="F784" s="8">
        <v>46134.666666666664</v>
      </c>
      <c r="G784" s="9">
        <v>1</v>
      </c>
      <c r="H784" s="9">
        <f t="shared" si="36"/>
        <v>5.0000000000000001E-3</v>
      </c>
      <c r="I784" s="9">
        <v>5.0000000000000001E-3</v>
      </c>
      <c r="J784" s="9"/>
      <c r="K784" s="9"/>
      <c r="L784" s="9"/>
      <c r="M784" t="s">
        <v>65</v>
      </c>
      <c r="N784" t="s">
        <v>29</v>
      </c>
      <c r="P784" t="s">
        <v>30</v>
      </c>
      <c r="Q784" t="s">
        <v>31</v>
      </c>
      <c r="R784">
        <v>82640</v>
      </c>
      <c r="S784" t="s">
        <v>42</v>
      </c>
      <c r="T784">
        <v>82612</v>
      </c>
      <c r="U784" t="s">
        <v>153</v>
      </c>
      <c r="V784" t="s">
        <v>66</v>
      </c>
      <c r="W784" t="s">
        <v>44</v>
      </c>
      <c r="X784" t="s">
        <v>44</v>
      </c>
      <c r="Y784" s="9">
        <f t="shared" si="37"/>
        <v>0</v>
      </c>
      <c r="Z784" t="str">
        <f t="shared" si="38"/>
        <v>สแกนต่าง Cost</v>
      </c>
    </row>
    <row r="785" spans="2:26" x14ac:dyDescent="0.45">
      <c r="B785" t="s">
        <v>53</v>
      </c>
      <c r="C785">
        <v>20167851</v>
      </c>
      <c r="D785" t="s">
        <v>63</v>
      </c>
      <c r="E785" s="8">
        <v>46134.604166666664</v>
      </c>
      <c r="F785" s="8">
        <v>46134.625</v>
      </c>
      <c r="G785" s="9">
        <v>0.5</v>
      </c>
      <c r="H785" s="9">
        <f t="shared" si="36"/>
        <v>3.0000000000000001E-3</v>
      </c>
      <c r="I785" s="9">
        <v>3.0000000000000001E-3</v>
      </c>
      <c r="J785" s="9"/>
      <c r="K785" s="9"/>
      <c r="L785" s="9"/>
      <c r="M785" t="s">
        <v>65</v>
      </c>
      <c r="N785" t="s">
        <v>29</v>
      </c>
      <c r="P785" t="s">
        <v>30</v>
      </c>
      <c r="Q785" t="s">
        <v>31</v>
      </c>
      <c r="R785">
        <v>82640</v>
      </c>
      <c r="S785" t="s">
        <v>42</v>
      </c>
      <c r="T785">
        <v>82611</v>
      </c>
      <c r="U785" t="s">
        <v>43</v>
      </c>
      <c r="V785" t="s">
        <v>66</v>
      </c>
      <c r="W785" t="s">
        <v>44</v>
      </c>
      <c r="X785" t="s">
        <v>44</v>
      </c>
      <c r="Y785" s="9">
        <f t="shared" si="37"/>
        <v>0</v>
      </c>
      <c r="Z785" t="str">
        <f t="shared" si="38"/>
        <v>สแกนต่าง Cost</v>
      </c>
    </row>
    <row r="786" spans="2:26" x14ac:dyDescent="0.45">
      <c r="B786" t="s">
        <v>53</v>
      </c>
      <c r="C786">
        <v>20198842</v>
      </c>
      <c r="D786" t="s">
        <v>257</v>
      </c>
      <c r="E786" s="8">
        <v>46134.604166666664</v>
      </c>
      <c r="F786" s="8">
        <v>46134.645833333336</v>
      </c>
      <c r="G786" s="9">
        <v>1</v>
      </c>
      <c r="H786" s="9">
        <f t="shared" si="36"/>
        <v>5.0000000000000001E-3</v>
      </c>
      <c r="I786" s="9">
        <v>5.0000000000000001E-3</v>
      </c>
      <c r="J786" s="9"/>
      <c r="K786" s="9"/>
      <c r="L786" s="9"/>
      <c r="M786" t="s">
        <v>65</v>
      </c>
      <c r="N786" t="s">
        <v>29</v>
      </c>
      <c r="P786" t="s">
        <v>30</v>
      </c>
      <c r="Q786" t="s">
        <v>31</v>
      </c>
      <c r="R786">
        <v>82640</v>
      </c>
      <c r="S786" t="s">
        <v>42</v>
      </c>
      <c r="T786">
        <v>82630</v>
      </c>
      <c r="U786" t="s">
        <v>32</v>
      </c>
      <c r="V786" t="s">
        <v>66</v>
      </c>
      <c r="W786" t="s">
        <v>44</v>
      </c>
      <c r="X786" t="s">
        <v>44</v>
      </c>
      <c r="Y786" s="9">
        <f t="shared" si="37"/>
        <v>0</v>
      </c>
      <c r="Z786" t="str">
        <f t="shared" si="38"/>
        <v>สแกนต่าง Cost</v>
      </c>
    </row>
    <row r="787" spans="2:26" x14ac:dyDescent="0.45">
      <c r="B787" t="s">
        <v>53</v>
      </c>
      <c r="C787">
        <v>20280718</v>
      </c>
      <c r="D787" t="s">
        <v>256</v>
      </c>
      <c r="E787" s="8">
        <v>46134.604166666664</v>
      </c>
      <c r="F787" s="8">
        <v>46134.645833333336</v>
      </c>
      <c r="G787" s="9">
        <v>1</v>
      </c>
      <c r="H787" s="9">
        <f t="shared" si="36"/>
        <v>5.0000000000000001E-3</v>
      </c>
      <c r="I787" s="9">
        <v>5.0000000000000001E-3</v>
      </c>
      <c r="J787" s="9"/>
      <c r="K787" s="9"/>
      <c r="L787" s="9"/>
      <c r="M787" t="s">
        <v>65</v>
      </c>
      <c r="N787" t="s">
        <v>29</v>
      </c>
      <c r="P787" t="s">
        <v>30</v>
      </c>
      <c r="Q787" t="s">
        <v>31</v>
      </c>
      <c r="R787">
        <v>82640</v>
      </c>
      <c r="S787" t="s">
        <v>42</v>
      </c>
      <c r="T787">
        <v>82611</v>
      </c>
      <c r="U787" t="s">
        <v>43</v>
      </c>
      <c r="V787" t="s">
        <v>66</v>
      </c>
      <c r="W787" t="s">
        <v>44</v>
      </c>
      <c r="X787" t="s">
        <v>44</v>
      </c>
      <c r="Y787" s="9">
        <f t="shared" si="37"/>
        <v>0</v>
      </c>
      <c r="Z787" t="str">
        <f t="shared" si="38"/>
        <v>สแกนต่าง Cost</v>
      </c>
    </row>
    <row r="788" spans="2:26" x14ac:dyDescent="0.45">
      <c r="B788" t="s">
        <v>53</v>
      </c>
      <c r="C788">
        <v>20310530</v>
      </c>
      <c r="D788" t="s">
        <v>220</v>
      </c>
      <c r="E788" s="8">
        <v>46134.604166666664</v>
      </c>
      <c r="F788" s="8">
        <v>46134.625</v>
      </c>
      <c r="G788" s="9">
        <v>0.5</v>
      </c>
      <c r="H788" s="9">
        <f t="shared" si="36"/>
        <v>3.0000000000000001E-3</v>
      </c>
      <c r="I788" s="9">
        <v>3.0000000000000001E-3</v>
      </c>
      <c r="J788" s="9"/>
      <c r="K788" s="9"/>
      <c r="L788" s="9"/>
      <c r="M788" t="s">
        <v>65</v>
      </c>
      <c r="N788" t="s">
        <v>29</v>
      </c>
      <c r="P788" t="s">
        <v>30</v>
      </c>
      <c r="Q788" t="s">
        <v>31</v>
      </c>
      <c r="R788">
        <v>82640</v>
      </c>
      <c r="S788" t="s">
        <v>42</v>
      </c>
      <c r="T788">
        <v>82611</v>
      </c>
      <c r="U788" t="s">
        <v>43</v>
      </c>
      <c r="V788" t="s">
        <v>66</v>
      </c>
      <c r="W788" t="s">
        <v>44</v>
      </c>
      <c r="X788" t="s">
        <v>44</v>
      </c>
      <c r="Y788" s="9">
        <f t="shared" si="37"/>
        <v>0</v>
      </c>
      <c r="Z788" t="str">
        <f t="shared" si="38"/>
        <v>สแกนต่าง Cost</v>
      </c>
    </row>
    <row r="789" spans="2:26" x14ac:dyDescent="0.45">
      <c r="B789" t="s">
        <v>53</v>
      </c>
      <c r="C789">
        <v>20198839</v>
      </c>
      <c r="D789" t="s">
        <v>258</v>
      </c>
      <c r="E789" s="8">
        <v>46134.583333333336</v>
      </c>
      <c r="F789" s="8">
        <v>46134.604166666664</v>
      </c>
      <c r="G789" s="9">
        <v>0.5</v>
      </c>
      <c r="H789" s="9">
        <f t="shared" si="36"/>
        <v>3.0000000000000001E-3</v>
      </c>
      <c r="I789" s="9">
        <v>3.0000000000000001E-3</v>
      </c>
      <c r="J789" s="9"/>
      <c r="K789" s="9"/>
      <c r="L789" s="9"/>
      <c r="M789" t="s">
        <v>65</v>
      </c>
      <c r="N789" t="s">
        <v>29</v>
      </c>
      <c r="P789" t="s">
        <v>30</v>
      </c>
      <c r="Q789" t="s">
        <v>31</v>
      </c>
      <c r="R789">
        <v>82640</v>
      </c>
      <c r="S789" t="s">
        <v>42</v>
      </c>
      <c r="T789">
        <v>82611</v>
      </c>
      <c r="U789" t="s">
        <v>43</v>
      </c>
      <c r="V789" t="s">
        <v>66</v>
      </c>
      <c r="W789" t="s">
        <v>44</v>
      </c>
      <c r="X789" t="s">
        <v>44</v>
      </c>
      <c r="Y789" s="9">
        <f t="shared" si="37"/>
        <v>0</v>
      </c>
      <c r="Z789" t="str">
        <f t="shared" si="38"/>
        <v>สแกนต่าง Cost</v>
      </c>
    </row>
    <row r="790" spans="2:26" x14ac:dyDescent="0.45">
      <c r="B790" t="s">
        <v>53</v>
      </c>
      <c r="C790">
        <v>20244923</v>
      </c>
      <c r="D790" t="s">
        <v>246</v>
      </c>
      <c r="E790" s="8">
        <v>46134.583333333336</v>
      </c>
      <c r="F790" s="8">
        <v>46134.729166666664</v>
      </c>
      <c r="G790" s="9">
        <v>3.5</v>
      </c>
      <c r="H790" s="9">
        <f t="shared" si="36"/>
        <v>1.9E-2</v>
      </c>
      <c r="I790" s="9">
        <v>1.9E-2</v>
      </c>
      <c r="J790" s="9"/>
      <c r="K790" s="9"/>
      <c r="L790" s="9"/>
      <c r="M790" t="s">
        <v>65</v>
      </c>
      <c r="N790" t="s">
        <v>29</v>
      </c>
      <c r="P790" t="s">
        <v>30</v>
      </c>
      <c r="Q790" t="s">
        <v>31</v>
      </c>
      <c r="R790">
        <v>82640</v>
      </c>
      <c r="S790" t="s">
        <v>42</v>
      </c>
      <c r="T790">
        <v>82630</v>
      </c>
      <c r="U790" t="s">
        <v>32</v>
      </c>
      <c r="V790" t="s">
        <v>66</v>
      </c>
      <c r="W790" t="s">
        <v>44</v>
      </c>
      <c r="X790" t="s">
        <v>44</v>
      </c>
      <c r="Y790" s="9">
        <f t="shared" si="37"/>
        <v>0</v>
      </c>
      <c r="Z790" t="str">
        <f t="shared" si="38"/>
        <v>สแกนต่าง Cost</v>
      </c>
    </row>
    <row r="791" spans="2:26" x14ac:dyDescent="0.45">
      <c r="B791" t="s">
        <v>53</v>
      </c>
      <c r="C791">
        <v>20310530</v>
      </c>
      <c r="D791" t="s">
        <v>220</v>
      </c>
      <c r="E791" s="8">
        <v>46134.583333333336</v>
      </c>
      <c r="F791" s="8">
        <v>46134.604166666664</v>
      </c>
      <c r="G791" s="9">
        <v>0.5</v>
      </c>
      <c r="H791" s="9">
        <f t="shared" si="36"/>
        <v>3.0000000000000001E-3</v>
      </c>
      <c r="I791" s="9">
        <v>3.0000000000000001E-3</v>
      </c>
      <c r="J791" s="9"/>
      <c r="K791" s="9"/>
      <c r="L791" s="9"/>
      <c r="M791" t="s">
        <v>65</v>
      </c>
      <c r="N791" t="s">
        <v>29</v>
      </c>
      <c r="P791" t="s">
        <v>30</v>
      </c>
      <c r="Q791" t="s">
        <v>31</v>
      </c>
      <c r="R791">
        <v>82640</v>
      </c>
      <c r="S791" t="s">
        <v>42</v>
      </c>
      <c r="T791">
        <v>82622</v>
      </c>
      <c r="U791" t="s">
        <v>147</v>
      </c>
      <c r="V791" t="s">
        <v>66</v>
      </c>
      <c r="W791" t="s">
        <v>44</v>
      </c>
      <c r="X791" t="s">
        <v>44</v>
      </c>
      <c r="Y791" s="9">
        <f t="shared" si="37"/>
        <v>0</v>
      </c>
      <c r="Z791" t="str">
        <f t="shared" si="38"/>
        <v>สแกนต่าง Cost</v>
      </c>
    </row>
    <row r="792" spans="2:26" x14ac:dyDescent="0.45">
      <c r="B792" t="s">
        <v>53</v>
      </c>
      <c r="C792">
        <v>20332134</v>
      </c>
      <c r="D792" t="s">
        <v>156</v>
      </c>
      <c r="E792" s="8">
        <v>46134.583333333336</v>
      </c>
      <c r="F792" s="8">
        <v>46134.625</v>
      </c>
      <c r="G792" s="9">
        <v>1</v>
      </c>
      <c r="H792" s="9">
        <f t="shared" si="36"/>
        <v>5.0000000000000001E-3</v>
      </c>
      <c r="I792" s="9">
        <v>5.0000000000000001E-3</v>
      </c>
      <c r="J792" s="9"/>
      <c r="K792" s="9"/>
      <c r="L792" s="9"/>
      <c r="M792" t="s">
        <v>65</v>
      </c>
      <c r="N792" t="s">
        <v>29</v>
      </c>
      <c r="P792" t="s">
        <v>30</v>
      </c>
      <c r="Q792" t="s">
        <v>31</v>
      </c>
      <c r="R792">
        <v>82640</v>
      </c>
      <c r="S792" t="s">
        <v>42</v>
      </c>
      <c r="T792">
        <v>82612</v>
      </c>
      <c r="U792" t="s">
        <v>153</v>
      </c>
      <c r="V792" t="s">
        <v>66</v>
      </c>
      <c r="W792" t="s">
        <v>44</v>
      </c>
      <c r="X792" t="s">
        <v>44</v>
      </c>
      <c r="Y792" s="9">
        <f t="shared" si="37"/>
        <v>0</v>
      </c>
      <c r="Z792" t="str">
        <f t="shared" si="38"/>
        <v>สแกนต่าง Cost</v>
      </c>
    </row>
    <row r="793" spans="2:26" x14ac:dyDescent="0.45">
      <c r="B793" t="s">
        <v>53</v>
      </c>
      <c r="C793">
        <v>20167851</v>
      </c>
      <c r="D793" t="s">
        <v>63</v>
      </c>
      <c r="E793" s="8">
        <v>46134.5625</v>
      </c>
      <c r="F793" s="8">
        <v>46134.604166666664</v>
      </c>
      <c r="G793" s="9">
        <v>1</v>
      </c>
      <c r="H793" s="9">
        <f t="shared" si="36"/>
        <v>5.0000000000000001E-3</v>
      </c>
      <c r="I793" s="9">
        <v>5.0000000000000001E-3</v>
      </c>
      <c r="J793" s="9"/>
      <c r="K793" s="9"/>
      <c r="L793" s="9"/>
      <c r="M793" t="s">
        <v>65</v>
      </c>
      <c r="N793" t="s">
        <v>29</v>
      </c>
      <c r="P793" t="s">
        <v>30</v>
      </c>
      <c r="Q793" t="s">
        <v>31</v>
      </c>
      <c r="R793">
        <v>82640</v>
      </c>
      <c r="S793" t="s">
        <v>42</v>
      </c>
      <c r="T793">
        <v>82630</v>
      </c>
      <c r="U793" t="s">
        <v>32</v>
      </c>
      <c r="V793" t="s">
        <v>66</v>
      </c>
      <c r="W793" t="s">
        <v>44</v>
      </c>
      <c r="X793" t="s">
        <v>44</v>
      </c>
      <c r="Y793" s="9">
        <f t="shared" si="37"/>
        <v>0</v>
      </c>
      <c r="Z793" t="str">
        <f t="shared" si="38"/>
        <v>สแกนต่าง Cost</v>
      </c>
    </row>
    <row r="794" spans="2:26" x14ac:dyDescent="0.45">
      <c r="B794" t="s">
        <v>53</v>
      </c>
      <c r="C794">
        <v>20018899</v>
      </c>
      <c r="D794" t="s">
        <v>64</v>
      </c>
      <c r="E794" s="8">
        <v>46134.541666666664</v>
      </c>
      <c r="F794" s="8">
        <v>46134.729166666664</v>
      </c>
      <c r="G794" s="9">
        <v>4.5</v>
      </c>
      <c r="H794" s="9">
        <f t="shared" si="36"/>
        <v>2.4E-2</v>
      </c>
      <c r="I794" s="9">
        <v>2.4E-2</v>
      </c>
      <c r="J794" s="9"/>
      <c r="K794" s="9"/>
      <c r="L794" s="9"/>
      <c r="M794" t="s">
        <v>65</v>
      </c>
      <c r="N794" t="s">
        <v>29</v>
      </c>
      <c r="P794" t="s">
        <v>30</v>
      </c>
      <c r="Q794" t="s">
        <v>31</v>
      </c>
      <c r="R794">
        <v>82640</v>
      </c>
      <c r="S794" t="s">
        <v>42</v>
      </c>
      <c r="T794">
        <v>82652</v>
      </c>
      <c r="U794" t="s">
        <v>46</v>
      </c>
      <c r="V794" t="s">
        <v>66</v>
      </c>
      <c r="W794" t="s">
        <v>37</v>
      </c>
      <c r="X794" t="s">
        <v>34</v>
      </c>
      <c r="Y794" s="9">
        <f t="shared" si="37"/>
        <v>0</v>
      </c>
      <c r="Z794" t="str">
        <f t="shared" si="38"/>
        <v>สแกนต่าง Cost</v>
      </c>
    </row>
    <row r="795" spans="2:26" x14ac:dyDescent="0.45">
      <c r="B795" t="s">
        <v>53</v>
      </c>
      <c r="C795">
        <v>20198839</v>
      </c>
      <c r="D795" t="s">
        <v>258</v>
      </c>
      <c r="E795" s="8">
        <v>46134.541666666664</v>
      </c>
      <c r="F795" s="8">
        <v>46134.5625</v>
      </c>
      <c r="G795" s="9">
        <v>0.5</v>
      </c>
      <c r="H795" s="9">
        <f t="shared" si="36"/>
        <v>3.0000000000000001E-3</v>
      </c>
      <c r="I795" s="9">
        <v>3.0000000000000001E-3</v>
      </c>
      <c r="J795" s="9"/>
      <c r="K795" s="9"/>
      <c r="L795" s="9"/>
      <c r="M795" t="s">
        <v>65</v>
      </c>
      <c r="N795" t="s">
        <v>29</v>
      </c>
      <c r="P795" t="s">
        <v>30</v>
      </c>
      <c r="Q795" t="s">
        <v>31</v>
      </c>
      <c r="R795">
        <v>82640</v>
      </c>
      <c r="S795" t="s">
        <v>42</v>
      </c>
      <c r="T795">
        <v>82611</v>
      </c>
      <c r="U795" t="s">
        <v>43</v>
      </c>
      <c r="V795" t="s">
        <v>66</v>
      </c>
      <c r="W795" t="s">
        <v>44</v>
      </c>
      <c r="X795" t="s">
        <v>44</v>
      </c>
      <c r="Y795" s="9">
        <f t="shared" si="37"/>
        <v>0</v>
      </c>
      <c r="Z795" t="str">
        <f t="shared" si="38"/>
        <v>สแกนต่าง Cost</v>
      </c>
    </row>
    <row r="796" spans="2:26" x14ac:dyDescent="0.45">
      <c r="B796" t="s">
        <v>53</v>
      </c>
      <c r="C796">
        <v>20198842</v>
      </c>
      <c r="D796" t="s">
        <v>257</v>
      </c>
      <c r="E796" s="8">
        <v>46134.541666666664</v>
      </c>
      <c r="F796" s="8">
        <v>46134.729166666664</v>
      </c>
      <c r="G796" s="9">
        <v>4.5</v>
      </c>
      <c r="H796" s="9">
        <f t="shared" si="36"/>
        <v>2.4E-2</v>
      </c>
      <c r="I796" s="9">
        <v>2.4E-2</v>
      </c>
      <c r="J796" s="9"/>
      <c r="K796" s="9"/>
      <c r="L796" s="9"/>
      <c r="M796" t="s">
        <v>65</v>
      </c>
      <c r="N796" t="s">
        <v>29</v>
      </c>
      <c r="P796" t="s">
        <v>30</v>
      </c>
      <c r="Q796" t="s">
        <v>31</v>
      </c>
      <c r="R796">
        <v>82640</v>
      </c>
      <c r="S796" t="s">
        <v>42</v>
      </c>
      <c r="T796">
        <v>82612</v>
      </c>
      <c r="U796" t="s">
        <v>153</v>
      </c>
      <c r="V796" t="s">
        <v>66</v>
      </c>
      <c r="W796" t="s">
        <v>44</v>
      </c>
      <c r="X796" t="s">
        <v>44</v>
      </c>
      <c r="Y796" s="9">
        <f t="shared" si="37"/>
        <v>0</v>
      </c>
      <c r="Z796" t="str">
        <f t="shared" si="38"/>
        <v>สแกนต่าง Cost</v>
      </c>
    </row>
    <row r="797" spans="2:26" x14ac:dyDescent="0.45">
      <c r="B797" t="s">
        <v>53</v>
      </c>
      <c r="C797">
        <v>20198842</v>
      </c>
      <c r="D797" t="s">
        <v>257</v>
      </c>
      <c r="E797" s="8">
        <v>46134.541666666664</v>
      </c>
      <c r="F797" s="8">
        <v>46134.583333333336</v>
      </c>
      <c r="G797" s="9">
        <v>1</v>
      </c>
      <c r="H797" s="9">
        <f t="shared" si="36"/>
        <v>5.0000000000000001E-3</v>
      </c>
      <c r="I797" s="9">
        <v>5.0000000000000001E-3</v>
      </c>
      <c r="J797" s="9"/>
      <c r="K797" s="9"/>
      <c r="L797" s="9"/>
      <c r="M797" t="s">
        <v>65</v>
      </c>
      <c r="N797" t="s">
        <v>29</v>
      </c>
      <c r="P797" t="s">
        <v>30</v>
      </c>
      <c r="Q797" t="s">
        <v>31</v>
      </c>
      <c r="R797">
        <v>82640</v>
      </c>
      <c r="S797" t="s">
        <v>42</v>
      </c>
      <c r="T797">
        <v>82630</v>
      </c>
      <c r="U797" t="s">
        <v>32</v>
      </c>
      <c r="V797" t="s">
        <v>66</v>
      </c>
      <c r="W797" t="s">
        <v>44</v>
      </c>
      <c r="X797" t="s">
        <v>44</v>
      </c>
      <c r="Y797" s="9">
        <f t="shared" si="37"/>
        <v>0</v>
      </c>
      <c r="Z797" t="str">
        <f t="shared" si="38"/>
        <v>สแกนต่าง Cost</v>
      </c>
    </row>
    <row r="798" spans="2:26" x14ac:dyDescent="0.45">
      <c r="B798" t="s">
        <v>53</v>
      </c>
      <c r="C798">
        <v>20220646</v>
      </c>
      <c r="D798" t="s">
        <v>67</v>
      </c>
      <c r="E798" s="8">
        <v>46134.541666666664</v>
      </c>
      <c r="F798" s="8">
        <v>46134.729166666664</v>
      </c>
      <c r="G798" s="9">
        <v>4.5</v>
      </c>
      <c r="H798" s="9">
        <f t="shared" si="36"/>
        <v>2.4E-2</v>
      </c>
      <c r="I798" s="9">
        <v>2.4E-2</v>
      </c>
      <c r="J798" s="9"/>
      <c r="K798" s="9"/>
      <c r="L798" s="9"/>
      <c r="M798" t="s">
        <v>65</v>
      </c>
      <c r="N798" t="s">
        <v>29</v>
      </c>
      <c r="P798" t="s">
        <v>30</v>
      </c>
      <c r="Q798" t="s">
        <v>31</v>
      </c>
      <c r="R798">
        <v>82640</v>
      </c>
      <c r="S798" t="s">
        <v>42</v>
      </c>
      <c r="T798">
        <v>82652</v>
      </c>
      <c r="U798" t="s">
        <v>46</v>
      </c>
      <c r="V798" t="s">
        <v>66</v>
      </c>
      <c r="W798" t="s">
        <v>37</v>
      </c>
      <c r="X798" t="s">
        <v>34</v>
      </c>
      <c r="Y798" s="9">
        <f t="shared" si="37"/>
        <v>0</v>
      </c>
      <c r="Z798" t="str">
        <f t="shared" si="38"/>
        <v>สแกนต่าง Cost</v>
      </c>
    </row>
    <row r="799" spans="2:26" x14ac:dyDescent="0.45">
      <c r="B799" t="s">
        <v>53</v>
      </c>
      <c r="C799">
        <v>20244923</v>
      </c>
      <c r="D799" t="s">
        <v>246</v>
      </c>
      <c r="E799" s="8">
        <v>46134.541666666664</v>
      </c>
      <c r="F799" s="8">
        <v>46134.583333333336</v>
      </c>
      <c r="G799" s="9">
        <v>1</v>
      </c>
      <c r="H799" s="9">
        <f t="shared" si="36"/>
        <v>5.0000000000000001E-3</v>
      </c>
      <c r="I799" s="9">
        <v>5.0000000000000001E-3</v>
      </c>
      <c r="J799" s="9"/>
      <c r="K799" s="9"/>
      <c r="L799" s="9"/>
      <c r="M799" t="s">
        <v>65</v>
      </c>
      <c r="N799" t="s">
        <v>29</v>
      </c>
      <c r="P799" t="s">
        <v>30</v>
      </c>
      <c r="Q799" t="s">
        <v>31</v>
      </c>
      <c r="R799">
        <v>82640</v>
      </c>
      <c r="S799" t="s">
        <v>42</v>
      </c>
      <c r="T799">
        <v>82611</v>
      </c>
      <c r="U799" t="s">
        <v>43</v>
      </c>
      <c r="V799" t="s">
        <v>66</v>
      </c>
      <c r="W799" t="s">
        <v>44</v>
      </c>
      <c r="X799" t="s">
        <v>44</v>
      </c>
      <c r="Y799" s="9">
        <f t="shared" si="37"/>
        <v>0</v>
      </c>
      <c r="Z799" t="str">
        <f t="shared" si="38"/>
        <v>สแกนต่าง Cost</v>
      </c>
    </row>
    <row r="800" spans="2:26" x14ac:dyDescent="0.45">
      <c r="B800" t="s">
        <v>53</v>
      </c>
      <c r="C800">
        <v>20280718</v>
      </c>
      <c r="D800" t="s">
        <v>256</v>
      </c>
      <c r="E800" s="8">
        <v>46134.541666666664</v>
      </c>
      <c r="F800" s="8">
        <v>46134.604166666664</v>
      </c>
      <c r="G800" s="9">
        <v>1.5</v>
      </c>
      <c r="H800" s="9">
        <f t="shared" si="36"/>
        <v>8.0000000000000002E-3</v>
      </c>
      <c r="I800" s="9">
        <v>8.0000000000000002E-3</v>
      </c>
      <c r="J800" s="9"/>
      <c r="K800" s="9"/>
      <c r="L800" s="9"/>
      <c r="M800" t="s">
        <v>65</v>
      </c>
      <c r="N800" t="s">
        <v>29</v>
      </c>
      <c r="P800" t="s">
        <v>30</v>
      </c>
      <c r="Q800" t="s">
        <v>31</v>
      </c>
      <c r="R800">
        <v>82640</v>
      </c>
      <c r="S800" t="s">
        <v>42</v>
      </c>
      <c r="T800">
        <v>82630</v>
      </c>
      <c r="U800" t="s">
        <v>32</v>
      </c>
      <c r="V800" t="s">
        <v>66</v>
      </c>
      <c r="W800" t="s">
        <v>44</v>
      </c>
      <c r="X800" t="s">
        <v>44</v>
      </c>
      <c r="Y800" s="9">
        <f t="shared" si="37"/>
        <v>0</v>
      </c>
      <c r="Z800" t="str">
        <f t="shared" si="38"/>
        <v>สแกนต่าง Cost</v>
      </c>
    </row>
    <row r="801" spans="1:26" x14ac:dyDescent="0.45">
      <c r="B801" t="s">
        <v>53</v>
      </c>
      <c r="C801">
        <v>20310530</v>
      </c>
      <c r="D801" t="s">
        <v>220</v>
      </c>
      <c r="E801" s="8">
        <v>46134.541666666664</v>
      </c>
      <c r="F801" s="8">
        <v>46134.5625</v>
      </c>
      <c r="G801" s="9">
        <v>0.5</v>
      </c>
      <c r="H801" s="9">
        <f t="shared" si="36"/>
        <v>3.0000000000000001E-3</v>
      </c>
      <c r="I801" s="9">
        <v>3.0000000000000001E-3</v>
      </c>
      <c r="J801" s="9"/>
      <c r="K801" s="9"/>
      <c r="L801" s="9"/>
      <c r="M801" t="s">
        <v>65</v>
      </c>
      <c r="N801" t="s">
        <v>29</v>
      </c>
      <c r="P801" t="s">
        <v>30</v>
      </c>
      <c r="Q801" t="s">
        <v>31</v>
      </c>
      <c r="R801">
        <v>82640</v>
      </c>
      <c r="S801" t="s">
        <v>42</v>
      </c>
      <c r="T801">
        <v>82630</v>
      </c>
      <c r="U801" t="s">
        <v>32</v>
      </c>
      <c r="V801" t="s">
        <v>66</v>
      </c>
      <c r="W801" t="s">
        <v>44</v>
      </c>
      <c r="X801" t="s">
        <v>44</v>
      </c>
      <c r="Y801" s="9">
        <f t="shared" si="37"/>
        <v>0</v>
      </c>
      <c r="Z801" t="str">
        <f t="shared" si="38"/>
        <v>สแกนต่าง Cost</v>
      </c>
    </row>
    <row r="802" spans="1:26" x14ac:dyDescent="0.45">
      <c r="B802" t="s">
        <v>53</v>
      </c>
      <c r="C802">
        <v>20310532</v>
      </c>
      <c r="D802" t="s">
        <v>61</v>
      </c>
      <c r="E802" s="8">
        <v>46134.541666666664</v>
      </c>
      <c r="F802" s="8">
        <v>46134.729166666664</v>
      </c>
      <c r="G802" s="9">
        <v>4.5</v>
      </c>
      <c r="H802" s="9">
        <f t="shared" si="36"/>
        <v>2.4E-2</v>
      </c>
      <c r="I802" s="9">
        <v>2.4E-2</v>
      </c>
      <c r="J802" s="9"/>
      <c r="K802" s="9"/>
      <c r="L802" s="9"/>
      <c r="M802" t="s">
        <v>65</v>
      </c>
      <c r="N802" t="s">
        <v>29</v>
      </c>
      <c r="P802" t="s">
        <v>30</v>
      </c>
      <c r="Q802" t="s">
        <v>31</v>
      </c>
      <c r="R802">
        <v>82640</v>
      </c>
      <c r="S802" t="s">
        <v>42</v>
      </c>
      <c r="T802">
        <v>82630</v>
      </c>
      <c r="U802" t="s">
        <v>32</v>
      </c>
      <c r="V802" t="s">
        <v>66</v>
      </c>
      <c r="W802" t="s">
        <v>44</v>
      </c>
      <c r="X802" t="s">
        <v>44</v>
      </c>
      <c r="Y802" s="9">
        <f t="shared" si="37"/>
        <v>0</v>
      </c>
      <c r="Z802" t="str">
        <f t="shared" si="38"/>
        <v>สแกนต่าง Cost</v>
      </c>
    </row>
    <row r="803" spans="1:26" x14ac:dyDescent="0.45">
      <c r="B803" t="s">
        <v>53</v>
      </c>
      <c r="C803">
        <v>20332134</v>
      </c>
      <c r="D803" t="s">
        <v>156</v>
      </c>
      <c r="E803" s="8">
        <v>46134.541666666664</v>
      </c>
      <c r="F803" s="8">
        <v>46134.583333333336</v>
      </c>
      <c r="G803" s="9">
        <v>1</v>
      </c>
      <c r="H803" s="9">
        <f t="shared" si="36"/>
        <v>5.0000000000000001E-3</v>
      </c>
      <c r="I803" s="9">
        <v>5.0000000000000001E-3</v>
      </c>
      <c r="J803" s="9"/>
      <c r="K803" s="9"/>
      <c r="L803" s="9"/>
      <c r="M803" t="s">
        <v>65</v>
      </c>
      <c r="N803" t="s">
        <v>29</v>
      </c>
      <c r="P803" t="s">
        <v>30</v>
      </c>
      <c r="Q803" t="s">
        <v>31</v>
      </c>
      <c r="R803">
        <v>82640</v>
      </c>
      <c r="S803" t="s">
        <v>42</v>
      </c>
      <c r="T803">
        <v>82630</v>
      </c>
      <c r="U803" t="s">
        <v>32</v>
      </c>
      <c r="V803" t="s">
        <v>66</v>
      </c>
      <c r="W803" t="s">
        <v>44</v>
      </c>
      <c r="X803" t="s">
        <v>44</v>
      </c>
      <c r="Y803" s="9">
        <f t="shared" si="37"/>
        <v>0</v>
      </c>
      <c r="Z803" t="str">
        <f t="shared" si="38"/>
        <v>สแกนต่าง Cost</v>
      </c>
    </row>
    <row r="804" spans="1:26" x14ac:dyDescent="0.45">
      <c r="A804">
        <v>26885</v>
      </c>
      <c r="B804" t="s">
        <v>53</v>
      </c>
      <c r="C804">
        <v>20190547</v>
      </c>
      <c r="D804" t="s">
        <v>68</v>
      </c>
      <c r="E804" s="8">
        <v>46134.484722222223</v>
      </c>
      <c r="F804" s="8">
        <v>46134.539583333331</v>
      </c>
      <c r="G804" s="9">
        <v>1.3166666666666667</v>
      </c>
      <c r="H804" s="9">
        <f t="shared" si="36"/>
        <v>7.0000000000000001E-3</v>
      </c>
      <c r="I804" s="9">
        <v>7.0000000000000001E-3</v>
      </c>
      <c r="J804" s="9"/>
      <c r="K804" s="9"/>
      <c r="L804" s="9"/>
      <c r="M804" t="s">
        <v>65</v>
      </c>
      <c r="N804" t="s">
        <v>29</v>
      </c>
      <c r="P804" t="s">
        <v>30</v>
      </c>
      <c r="Q804" t="s">
        <v>31</v>
      </c>
      <c r="R804">
        <v>82308</v>
      </c>
      <c r="S804" t="s">
        <v>69</v>
      </c>
      <c r="T804">
        <v>82640</v>
      </c>
      <c r="U804" t="s">
        <v>42</v>
      </c>
      <c r="V804" t="s">
        <v>70</v>
      </c>
      <c r="W804" t="s">
        <v>71</v>
      </c>
      <c r="X804" t="s">
        <v>72</v>
      </c>
      <c r="Y804" s="9">
        <f t="shared" si="37"/>
        <v>0</v>
      </c>
      <c r="Z804" t="str">
        <f t="shared" si="38"/>
        <v>สแกนต่าง Cost</v>
      </c>
    </row>
    <row r="805" spans="1:26" x14ac:dyDescent="0.45">
      <c r="A805">
        <v>26795</v>
      </c>
      <c r="B805" t="s">
        <v>53</v>
      </c>
      <c r="C805">
        <v>20048905</v>
      </c>
      <c r="D805" t="s">
        <v>73</v>
      </c>
      <c r="E805" s="8">
        <v>46134.482638888891</v>
      </c>
      <c r="F805" s="8">
        <v>46134.977777777778</v>
      </c>
      <c r="G805" s="9">
        <v>11.883333333333333</v>
      </c>
      <c r="H805" s="9">
        <f t="shared" si="36"/>
        <v>6.3E-2</v>
      </c>
      <c r="I805" s="9">
        <v>4.4999999999999998E-2</v>
      </c>
      <c r="J805" s="9"/>
      <c r="K805" s="9">
        <v>1.7999999999999999E-2</v>
      </c>
      <c r="L805" s="9"/>
      <c r="M805" t="s">
        <v>28</v>
      </c>
      <c r="N805" t="s">
        <v>29</v>
      </c>
      <c r="P805" t="s">
        <v>30</v>
      </c>
      <c r="Q805" t="s">
        <v>31</v>
      </c>
      <c r="R805">
        <v>82409</v>
      </c>
      <c r="S805" t="s">
        <v>74</v>
      </c>
      <c r="T805">
        <v>82664</v>
      </c>
      <c r="U805" t="s">
        <v>75</v>
      </c>
      <c r="V805" t="s">
        <v>75</v>
      </c>
      <c r="W805" t="s">
        <v>74</v>
      </c>
      <c r="X805" t="s">
        <v>74</v>
      </c>
      <c r="Y805" s="9">
        <f t="shared" si="37"/>
        <v>1.7999999999999999E-2</v>
      </c>
      <c r="Z805" t="str">
        <f t="shared" si="38"/>
        <v>สแกนต่าง Cost</v>
      </c>
    </row>
    <row r="806" spans="1:26" x14ac:dyDescent="0.45">
      <c r="B806" t="s">
        <v>53</v>
      </c>
      <c r="C806">
        <v>20167851</v>
      </c>
      <c r="D806" t="s">
        <v>63</v>
      </c>
      <c r="E806" s="8">
        <v>46134.479166666664</v>
      </c>
      <c r="F806" s="8">
        <v>46134.5</v>
      </c>
      <c r="G806" s="9">
        <v>0.5</v>
      </c>
      <c r="H806" s="9">
        <f t="shared" si="36"/>
        <v>3.0000000000000001E-3</v>
      </c>
      <c r="I806" s="9">
        <v>3.0000000000000001E-3</v>
      </c>
      <c r="J806" s="9"/>
      <c r="K806" s="9"/>
      <c r="L806" s="9"/>
      <c r="M806" t="s">
        <v>65</v>
      </c>
      <c r="N806" t="s">
        <v>29</v>
      </c>
      <c r="P806" t="s">
        <v>30</v>
      </c>
      <c r="Q806" t="s">
        <v>31</v>
      </c>
      <c r="R806">
        <v>82640</v>
      </c>
      <c r="S806" t="s">
        <v>42</v>
      </c>
      <c r="T806">
        <v>82630</v>
      </c>
      <c r="U806" t="s">
        <v>32</v>
      </c>
      <c r="V806" t="s">
        <v>66</v>
      </c>
      <c r="W806" t="s">
        <v>44</v>
      </c>
      <c r="X806" t="s">
        <v>44</v>
      </c>
      <c r="Y806" s="9">
        <f t="shared" si="37"/>
        <v>0</v>
      </c>
      <c r="Z806" t="str">
        <f t="shared" si="38"/>
        <v>สแกนต่าง Cost</v>
      </c>
    </row>
    <row r="807" spans="1:26" x14ac:dyDescent="0.45">
      <c r="B807" t="s">
        <v>53</v>
      </c>
      <c r="C807">
        <v>20198842</v>
      </c>
      <c r="D807" t="s">
        <v>257</v>
      </c>
      <c r="E807" s="8">
        <v>46134.458333333336</v>
      </c>
      <c r="F807" s="8">
        <v>46134.5</v>
      </c>
      <c r="G807" s="9">
        <v>1</v>
      </c>
      <c r="H807" s="9">
        <f t="shared" si="36"/>
        <v>5.0000000000000001E-3</v>
      </c>
      <c r="I807" s="9">
        <v>5.0000000000000001E-3</v>
      </c>
      <c r="J807" s="9"/>
      <c r="K807" s="9"/>
      <c r="L807" s="9"/>
      <c r="M807" t="s">
        <v>65</v>
      </c>
      <c r="N807" t="s">
        <v>29</v>
      </c>
      <c r="P807" t="s">
        <v>30</v>
      </c>
      <c r="Q807" t="s">
        <v>31</v>
      </c>
      <c r="R807">
        <v>82640</v>
      </c>
      <c r="S807" t="s">
        <v>42</v>
      </c>
      <c r="T807">
        <v>82611</v>
      </c>
      <c r="U807" t="s">
        <v>43</v>
      </c>
      <c r="V807" t="s">
        <v>66</v>
      </c>
      <c r="W807" t="s">
        <v>44</v>
      </c>
      <c r="X807" t="s">
        <v>44</v>
      </c>
      <c r="Y807" s="9">
        <f t="shared" si="37"/>
        <v>0</v>
      </c>
      <c r="Z807" t="str">
        <f t="shared" si="38"/>
        <v>สแกนต่าง Cost</v>
      </c>
    </row>
    <row r="808" spans="1:26" x14ac:dyDescent="0.45">
      <c r="B808" t="s">
        <v>53</v>
      </c>
      <c r="C808">
        <v>20280718</v>
      </c>
      <c r="D808" t="s">
        <v>256</v>
      </c>
      <c r="E808" s="8">
        <v>46134.458333333336</v>
      </c>
      <c r="F808" s="8">
        <v>46134.5</v>
      </c>
      <c r="G808" s="9">
        <v>1</v>
      </c>
      <c r="H808" s="9">
        <f t="shared" si="36"/>
        <v>5.0000000000000001E-3</v>
      </c>
      <c r="I808" s="9">
        <v>5.0000000000000001E-3</v>
      </c>
      <c r="J808" s="9"/>
      <c r="K808" s="9"/>
      <c r="L808" s="9"/>
      <c r="M808" t="s">
        <v>65</v>
      </c>
      <c r="N808" t="s">
        <v>29</v>
      </c>
      <c r="P808" t="s">
        <v>30</v>
      </c>
      <c r="Q808" t="s">
        <v>31</v>
      </c>
      <c r="R808">
        <v>82640</v>
      </c>
      <c r="S808" t="s">
        <v>42</v>
      </c>
      <c r="T808">
        <v>82630</v>
      </c>
      <c r="U808" t="s">
        <v>32</v>
      </c>
      <c r="V808" t="s">
        <v>66</v>
      </c>
      <c r="W808" t="s">
        <v>44</v>
      </c>
      <c r="X808" t="s">
        <v>44</v>
      </c>
      <c r="Y808" s="9">
        <f t="shared" si="37"/>
        <v>0</v>
      </c>
      <c r="Z808" t="str">
        <f t="shared" si="38"/>
        <v>สแกนต่าง Cost</v>
      </c>
    </row>
    <row r="809" spans="1:26" x14ac:dyDescent="0.45">
      <c r="B809" t="s">
        <v>53</v>
      </c>
      <c r="C809">
        <v>20310530</v>
      </c>
      <c r="D809" t="s">
        <v>220</v>
      </c>
      <c r="E809" s="8">
        <v>46134.458333333336</v>
      </c>
      <c r="F809" s="8">
        <v>46134.479166666664</v>
      </c>
      <c r="G809" s="9">
        <v>0.5</v>
      </c>
      <c r="H809" s="9">
        <f t="shared" si="36"/>
        <v>3.0000000000000001E-3</v>
      </c>
      <c r="I809" s="9">
        <v>3.0000000000000001E-3</v>
      </c>
      <c r="J809" s="9"/>
      <c r="K809" s="9"/>
      <c r="L809" s="9"/>
      <c r="M809" t="s">
        <v>65</v>
      </c>
      <c r="N809" t="s">
        <v>29</v>
      </c>
      <c r="P809" t="s">
        <v>30</v>
      </c>
      <c r="Q809" t="s">
        <v>31</v>
      </c>
      <c r="R809">
        <v>82640</v>
      </c>
      <c r="S809" t="s">
        <v>42</v>
      </c>
      <c r="T809">
        <v>82622</v>
      </c>
      <c r="U809" t="s">
        <v>147</v>
      </c>
      <c r="V809" t="s">
        <v>66</v>
      </c>
      <c r="W809" t="s">
        <v>44</v>
      </c>
      <c r="X809" t="s">
        <v>44</v>
      </c>
      <c r="Y809" s="9">
        <f t="shared" si="37"/>
        <v>0</v>
      </c>
      <c r="Z809" t="str">
        <f t="shared" si="38"/>
        <v>สแกนต่าง Cost</v>
      </c>
    </row>
    <row r="810" spans="1:26" x14ac:dyDescent="0.45">
      <c r="B810" t="s">
        <v>53</v>
      </c>
      <c r="C810">
        <v>20332134</v>
      </c>
      <c r="D810" t="s">
        <v>156</v>
      </c>
      <c r="E810" s="8">
        <v>46134.458333333336</v>
      </c>
      <c r="F810" s="8">
        <v>46134.5</v>
      </c>
      <c r="G810" s="9">
        <v>1</v>
      </c>
      <c r="H810" s="9">
        <f t="shared" si="36"/>
        <v>5.0000000000000001E-3</v>
      </c>
      <c r="I810" s="9">
        <v>5.0000000000000001E-3</v>
      </c>
      <c r="J810" s="9"/>
      <c r="K810" s="9"/>
      <c r="L810" s="9"/>
      <c r="M810" t="s">
        <v>65</v>
      </c>
      <c r="N810" t="s">
        <v>29</v>
      </c>
      <c r="P810" t="s">
        <v>30</v>
      </c>
      <c r="Q810" t="s">
        <v>31</v>
      </c>
      <c r="R810">
        <v>82640</v>
      </c>
      <c r="S810" t="s">
        <v>42</v>
      </c>
      <c r="T810">
        <v>82630</v>
      </c>
      <c r="U810" t="s">
        <v>32</v>
      </c>
      <c r="V810" t="s">
        <v>66</v>
      </c>
      <c r="W810" t="s">
        <v>44</v>
      </c>
      <c r="X810" t="s">
        <v>44</v>
      </c>
      <c r="Y810" s="9">
        <f t="shared" si="37"/>
        <v>0</v>
      </c>
      <c r="Z810" t="str">
        <f t="shared" si="38"/>
        <v>สแกนต่าง Cost</v>
      </c>
    </row>
    <row r="811" spans="1:26" x14ac:dyDescent="0.45">
      <c r="B811" t="s">
        <v>53</v>
      </c>
      <c r="C811">
        <v>20022740</v>
      </c>
      <c r="D811" t="s">
        <v>259</v>
      </c>
      <c r="E811" s="8">
        <v>46134.4375</v>
      </c>
      <c r="F811" s="8">
        <v>46134.5</v>
      </c>
      <c r="G811" s="9">
        <v>1.5</v>
      </c>
      <c r="H811" s="9">
        <f t="shared" si="36"/>
        <v>8.0000000000000002E-3</v>
      </c>
      <c r="I811" s="9">
        <v>8.0000000000000002E-3</v>
      </c>
      <c r="J811" s="9"/>
      <c r="K811" s="9"/>
      <c r="L811" s="9"/>
      <c r="M811" t="s">
        <v>65</v>
      </c>
      <c r="N811" t="s">
        <v>29</v>
      </c>
      <c r="P811" t="s">
        <v>30</v>
      </c>
      <c r="Q811" t="s">
        <v>31</v>
      </c>
      <c r="R811">
        <v>82640</v>
      </c>
      <c r="S811" t="s">
        <v>42</v>
      </c>
      <c r="T811">
        <v>82611</v>
      </c>
      <c r="U811" t="s">
        <v>43</v>
      </c>
      <c r="V811" t="s">
        <v>66</v>
      </c>
      <c r="W811" t="s">
        <v>44</v>
      </c>
      <c r="X811" t="s">
        <v>44</v>
      </c>
      <c r="Y811" s="9">
        <f t="shared" si="37"/>
        <v>0</v>
      </c>
      <c r="Z811" t="str">
        <f t="shared" si="38"/>
        <v>สแกนต่าง Cost</v>
      </c>
    </row>
    <row r="812" spans="1:26" x14ac:dyDescent="0.45">
      <c r="B812" t="s">
        <v>53</v>
      </c>
      <c r="C812">
        <v>20310530</v>
      </c>
      <c r="D812" t="s">
        <v>220</v>
      </c>
      <c r="E812" s="8">
        <v>46134.4375</v>
      </c>
      <c r="F812" s="8">
        <v>46134.458333333336</v>
      </c>
      <c r="G812" s="9">
        <v>0.5</v>
      </c>
      <c r="H812" s="9">
        <f t="shared" si="36"/>
        <v>3.0000000000000001E-3</v>
      </c>
      <c r="I812" s="9">
        <v>3.0000000000000001E-3</v>
      </c>
      <c r="J812" s="9"/>
      <c r="K812" s="9"/>
      <c r="L812" s="9"/>
      <c r="M812" t="s">
        <v>65</v>
      </c>
      <c r="N812" t="s">
        <v>29</v>
      </c>
      <c r="P812" t="s">
        <v>30</v>
      </c>
      <c r="Q812" t="s">
        <v>31</v>
      </c>
      <c r="R812">
        <v>82640</v>
      </c>
      <c r="S812" t="s">
        <v>42</v>
      </c>
      <c r="T812">
        <v>82611</v>
      </c>
      <c r="U812" t="s">
        <v>43</v>
      </c>
      <c r="V812" t="s">
        <v>66</v>
      </c>
      <c r="W812" t="s">
        <v>44</v>
      </c>
      <c r="X812" t="s">
        <v>44</v>
      </c>
      <c r="Y812" s="9">
        <f t="shared" si="37"/>
        <v>0</v>
      </c>
      <c r="Z812" t="str">
        <f t="shared" si="38"/>
        <v>สแกนต่าง Cost</v>
      </c>
    </row>
    <row r="813" spans="1:26" x14ac:dyDescent="0.45">
      <c r="B813" t="s">
        <v>53</v>
      </c>
      <c r="C813">
        <v>20403139</v>
      </c>
      <c r="E813" s="8">
        <v>46134.426388888889</v>
      </c>
      <c r="F813" s="8">
        <v>46134.583333333336</v>
      </c>
      <c r="G813" s="9">
        <v>3.7666666666666666</v>
      </c>
      <c r="H813" s="9">
        <f t="shared" si="36"/>
        <v>0.02</v>
      </c>
      <c r="I813" s="9">
        <v>0.02</v>
      </c>
      <c r="J813" s="9"/>
      <c r="K813" s="9"/>
      <c r="L813" s="9"/>
      <c r="M813" t="s">
        <v>48</v>
      </c>
      <c r="N813" t="s">
        <v>48</v>
      </c>
      <c r="P813" t="s">
        <v>30</v>
      </c>
      <c r="R813">
        <v>82612</v>
      </c>
      <c r="T813">
        <v>82630</v>
      </c>
      <c r="U813" t="s">
        <v>32</v>
      </c>
      <c r="V813" t="s">
        <v>62</v>
      </c>
      <c r="W813" t="s">
        <v>47</v>
      </c>
      <c r="X813" t="s">
        <v>288</v>
      </c>
      <c r="Y813" s="9">
        <f t="shared" si="37"/>
        <v>0</v>
      </c>
      <c r="Z813" t="str">
        <f t="shared" si="38"/>
        <v>สแกนต่าง Cost</v>
      </c>
    </row>
    <row r="814" spans="1:26" x14ac:dyDescent="0.45">
      <c r="B814" t="s">
        <v>53</v>
      </c>
      <c r="C814">
        <v>20167851</v>
      </c>
      <c r="D814" t="s">
        <v>63</v>
      </c>
      <c r="E814" s="8">
        <v>46134.416666666664</v>
      </c>
      <c r="F814" s="8">
        <v>46134.458333333336</v>
      </c>
      <c r="G814" s="9">
        <v>1</v>
      </c>
      <c r="H814" s="9">
        <f t="shared" si="36"/>
        <v>5.0000000000000001E-3</v>
      </c>
      <c r="I814" s="9">
        <v>5.0000000000000001E-3</v>
      </c>
      <c r="J814" s="9"/>
      <c r="K814" s="9"/>
      <c r="L814" s="9"/>
      <c r="M814" t="s">
        <v>65</v>
      </c>
      <c r="N814" t="s">
        <v>29</v>
      </c>
      <c r="P814" t="s">
        <v>30</v>
      </c>
      <c r="Q814" t="s">
        <v>31</v>
      </c>
      <c r="R814">
        <v>82640</v>
      </c>
      <c r="S814" t="s">
        <v>42</v>
      </c>
      <c r="T814">
        <v>82611</v>
      </c>
      <c r="U814" t="s">
        <v>43</v>
      </c>
      <c r="V814" t="s">
        <v>66</v>
      </c>
      <c r="W814" t="s">
        <v>44</v>
      </c>
      <c r="X814" t="s">
        <v>44</v>
      </c>
      <c r="Y814" s="9">
        <f t="shared" si="37"/>
        <v>0</v>
      </c>
      <c r="Z814" t="str">
        <f t="shared" si="38"/>
        <v>สแกนต่าง Cost</v>
      </c>
    </row>
    <row r="815" spans="1:26" x14ac:dyDescent="0.45">
      <c r="B815" t="s">
        <v>53</v>
      </c>
      <c r="C815">
        <v>20310530</v>
      </c>
      <c r="D815" t="s">
        <v>220</v>
      </c>
      <c r="E815" s="8">
        <v>46134.416666666664</v>
      </c>
      <c r="F815" s="8">
        <v>46134.4375</v>
      </c>
      <c r="G815" s="9">
        <v>0.5</v>
      </c>
      <c r="H815" s="9">
        <f t="shared" si="36"/>
        <v>3.0000000000000001E-3</v>
      </c>
      <c r="I815" s="9">
        <v>3.0000000000000001E-3</v>
      </c>
      <c r="J815" s="9"/>
      <c r="K815" s="9"/>
      <c r="L815" s="9"/>
      <c r="M815" t="s">
        <v>65</v>
      </c>
      <c r="N815" t="s">
        <v>29</v>
      </c>
      <c r="P815" t="s">
        <v>30</v>
      </c>
      <c r="Q815" t="s">
        <v>31</v>
      </c>
      <c r="R815">
        <v>82640</v>
      </c>
      <c r="S815" t="s">
        <v>42</v>
      </c>
      <c r="T815">
        <v>82612</v>
      </c>
      <c r="U815" t="s">
        <v>153</v>
      </c>
      <c r="V815" t="s">
        <v>66</v>
      </c>
      <c r="W815" t="s">
        <v>44</v>
      </c>
      <c r="X815" t="s">
        <v>44</v>
      </c>
      <c r="Y815" s="9">
        <f t="shared" si="37"/>
        <v>0</v>
      </c>
      <c r="Z815" t="str">
        <f t="shared" si="38"/>
        <v>สแกนต่าง Cost</v>
      </c>
    </row>
    <row r="816" spans="1:26" x14ac:dyDescent="0.45">
      <c r="B816" t="s">
        <v>53</v>
      </c>
      <c r="C816">
        <v>20310532</v>
      </c>
      <c r="D816" t="s">
        <v>61</v>
      </c>
      <c r="E816" s="8">
        <v>46134.416666666664</v>
      </c>
      <c r="F816" s="8">
        <v>46134.5</v>
      </c>
      <c r="G816" s="9">
        <v>2</v>
      </c>
      <c r="H816" s="9">
        <f t="shared" si="36"/>
        <v>1.0999999999999999E-2</v>
      </c>
      <c r="I816" s="9">
        <v>1.0999999999999999E-2</v>
      </c>
      <c r="J816" s="9"/>
      <c r="K816" s="9"/>
      <c r="L816" s="9"/>
      <c r="M816" t="s">
        <v>65</v>
      </c>
      <c r="N816" t="s">
        <v>29</v>
      </c>
      <c r="P816" t="s">
        <v>30</v>
      </c>
      <c r="Q816" t="s">
        <v>31</v>
      </c>
      <c r="R816">
        <v>82640</v>
      </c>
      <c r="S816" t="s">
        <v>42</v>
      </c>
      <c r="T816">
        <v>82630</v>
      </c>
      <c r="U816" t="s">
        <v>32</v>
      </c>
      <c r="V816" t="s">
        <v>66</v>
      </c>
      <c r="W816" t="s">
        <v>44</v>
      </c>
      <c r="X816" t="s">
        <v>44</v>
      </c>
      <c r="Y816" s="9">
        <f t="shared" si="37"/>
        <v>0</v>
      </c>
      <c r="Z816" t="str">
        <f t="shared" si="38"/>
        <v>สแกนต่าง Cost</v>
      </c>
    </row>
    <row r="817" spans="1:26" x14ac:dyDescent="0.45">
      <c r="B817" t="s">
        <v>53</v>
      </c>
      <c r="C817">
        <v>20368087</v>
      </c>
      <c r="D817" t="s">
        <v>260</v>
      </c>
      <c r="E817" s="8">
        <v>46134.416666666664</v>
      </c>
      <c r="F817" s="8">
        <v>46134.5</v>
      </c>
      <c r="G817" s="9">
        <v>2</v>
      </c>
      <c r="H817" s="9">
        <f t="shared" si="36"/>
        <v>1.0999999999999999E-2</v>
      </c>
      <c r="I817" s="9">
        <v>1.0999999999999999E-2</v>
      </c>
      <c r="J817" s="9"/>
      <c r="K817" s="9"/>
      <c r="L817" s="9"/>
      <c r="M817" t="s">
        <v>65</v>
      </c>
      <c r="N817" t="s">
        <v>29</v>
      </c>
      <c r="P817" t="s">
        <v>30</v>
      </c>
      <c r="Q817" t="s">
        <v>31</v>
      </c>
      <c r="R817">
        <v>82640</v>
      </c>
      <c r="S817" t="s">
        <v>42</v>
      </c>
      <c r="T817">
        <v>82630</v>
      </c>
      <c r="U817" t="s">
        <v>32</v>
      </c>
      <c r="V817" t="s">
        <v>66</v>
      </c>
      <c r="W817" t="s">
        <v>44</v>
      </c>
      <c r="X817" t="s">
        <v>44</v>
      </c>
      <c r="Y817" s="9">
        <f t="shared" si="37"/>
        <v>0</v>
      </c>
      <c r="Z817" t="str">
        <f t="shared" si="38"/>
        <v>สแกนต่าง Cost</v>
      </c>
    </row>
    <row r="818" spans="1:26" x14ac:dyDescent="0.45">
      <c r="B818" t="s">
        <v>53</v>
      </c>
      <c r="C818">
        <v>20342012</v>
      </c>
      <c r="D818" t="s">
        <v>230</v>
      </c>
      <c r="E818" s="8">
        <v>46134.40625</v>
      </c>
      <c r="F818" s="8">
        <v>46134.729166666664</v>
      </c>
      <c r="G818" s="9">
        <v>6.75</v>
      </c>
      <c r="H818" s="9">
        <f t="shared" si="36"/>
        <v>3.5999999999999997E-2</v>
      </c>
      <c r="I818" s="9">
        <v>3.5999999999999997E-2</v>
      </c>
      <c r="J818" s="9"/>
      <c r="K818" s="9"/>
      <c r="L818" s="9"/>
      <c r="M818" t="s">
        <v>65</v>
      </c>
      <c r="N818" t="s">
        <v>29</v>
      </c>
      <c r="P818" t="s">
        <v>30</v>
      </c>
      <c r="Q818" t="s">
        <v>31</v>
      </c>
      <c r="R818">
        <v>82611</v>
      </c>
      <c r="S818" t="s">
        <v>43</v>
      </c>
      <c r="T818">
        <v>82640</v>
      </c>
      <c r="U818" t="s">
        <v>42</v>
      </c>
      <c r="V818" t="s">
        <v>70</v>
      </c>
      <c r="W818" t="s">
        <v>47</v>
      </c>
      <c r="X818" t="s">
        <v>95</v>
      </c>
      <c r="Y818" s="9">
        <f t="shared" si="37"/>
        <v>0</v>
      </c>
      <c r="Z818" t="str">
        <f t="shared" si="38"/>
        <v>สแกนต่าง Cost</v>
      </c>
    </row>
    <row r="819" spans="1:26" x14ac:dyDescent="0.45">
      <c r="B819" t="s">
        <v>53</v>
      </c>
      <c r="C819">
        <v>20280718</v>
      </c>
      <c r="D819" t="s">
        <v>256</v>
      </c>
      <c r="E819" s="8">
        <v>46134.395833333336</v>
      </c>
      <c r="F819" s="8">
        <v>46134.4375</v>
      </c>
      <c r="G819" s="9">
        <v>1</v>
      </c>
      <c r="H819" s="9">
        <f t="shared" si="36"/>
        <v>5.0000000000000001E-3</v>
      </c>
      <c r="I819" s="9">
        <v>5.0000000000000001E-3</v>
      </c>
      <c r="J819" s="9"/>
      <c r="K819" s="9"/>
      <c r="L819" s="9"/>
      <c r="M819" t="s">
        <v>65</v>
      </c>
      <c r="N819" t="s">
        <v>29</v>
      </c>
      <c r="P819" t="s">
        <v>30</v>
      </c>
      <c r="Q819" t="s">
        <v>31</v>
      </c>
      <c r="R819">
        <v>82640</v>
      </c>
      <c r="S819" t="s">
        <v>42</v>
      </c>
      <c r="T819">
        <v>82611</v>
      </c>
      <c r="U819" t="s">
        <v>43</v>
      </c>
      <c r="V819" t="s">
        <v>66</v>
      </c>
      <c r="W819" t="s">
        <v>44</v>
      </c>
      <c r="X819" t="s">
        <v>44</v>
      </c>
      <c r="Y819" s="9">
        <f t="shared" si="37"/>
        <v>0</v>
      </c>
      <c r="Z819" t="str">
        <f t="shared" si="38"/>
        <v>สแกนต่าง Cost</v>
      </c>
    </row>
    <row r="820" spans="1:26" x14ac:dyDescent="0.45">
      <c r="B820" t="s">
        <v>53</v>
      </c>
      <c r="C820">
        <v>20310530</v>
      </c>
      <c r="D820" t="s">
        <v>220</v>
      </c>
      <c r="E820" s="8">
        <v>46134.395833333336</v>
      </c>
      <c r="F820" s="8">
        <v>46134.416666666664</v>
      </c>
      <c r="G820" s="9">
        <v>0.5</v>
      </c>
      <c r="H820" s="9">
        <f t="shared" si="36"/>
        <v>3.0000000000000001E-3</v>
      </c>
      <c r="I820" s="9">
        <v>3.0000000000000001E-3</v>
      </c>
      <c r="J820" s="9"/>
      <c r="K820" s="9"/>
      <c r="L820" s="9"/>
      <c r="M820" t="s">
        <v>65</v>
      </c>
      <c r="N820" t="s">
        <v>29</v>
      </c>
      <c r="P820" t="s">
        <v>30</v>
      </c>
      <c r="Q820" t="s">
        <v>31</v>
      </c>
      <c r="R820">
        <v>82640</v>
      </c>
      <c r="S820" t="s">
        <v>42</v>
      </c>
      <c r="T820">
        <v>82611</v>
      </c>
      <c r="U820" t="s">
        <v>43</v>
      </c>
      <c r="V820" t="s">
        <v>66</v>
      </c>
      <c r="W820" t="s">
        <v>44</v>
      </c>
      <c r="X820" t="s">
        <v>44</v>
      </c>
      <c r="Y820" s="9">
        <f t="shared" si="37"/>
        <v>0</v>
      </c>
      <c r="Z820" t="str">
        <f t="shared" si="38"/>
        <v>สแกนต่าง Cost</v>
      </c>
    </row>
    <row r="821" spans="1:26" x14ac:dyDescent="0.45">
      <c r="B821" t="s">
        <v>53</v>
      </c>
      <c r="C821">
        <v>20332134</v>
      </c>
      <c r="D821" t="s">
        <v>156</v>
      </c>
      <c r="E821" s="8">
        <v>46134.395833333336</v>
      </c>
      <c r="F821" s="8">
        <v>46134.458333333336</v>
      </c>
      <c r="G821" s="9">
        <v>1.5</v>
      </c>
      <c r="H821" s="9">
        <f t="shared" si="36"/>
        <v>8.0000000000000002E-3</v>
      </c>
      <c r="I821" s="9">
        <v>8.0000000000000002E-3</v>
      </c>
      <c r="J821" s="9"/>
      <c r="K821" s="9"/>
      <c r="L821" s="9"/>
      <c r="M821" t="s">
        <v>65</v>
      </c>
      <c r="N821" t="s">
        <v>29</v>
      </c>
      <c r="P821" t="s">
        <v>30</v>
      </c>
      <c r="Q821" t="s">
        <v>31</v>
      </c>
      <c r="R821">
        <v>82640</v>
      </c>
      <c r="S821" t="s">
        <v>42</v>
      </c>
      <c r="T821">
        <v>82612</v>
      </c>
      <c r="U821" t="s">
        <v>153</v>
      </c>
      <c r="V821" t="s">
        <v>66</v>
      </c>
      <c r="W821" t="s">
        <v>44</v>
      </c>
      <c r="X821" t="s">
        <v>44</v>
      </c>
      <c r="Y821" s="9">
        <f t="shared" si="37"/>
        <v>0</v>
      </c>
      <c r="Z821" t="str">
        <f t="shared" si="38"/>
        <v>สแกนต่าง Cost</v>
      </c>
    </row>
    <row r="822" spans="1:26" x14ac:dyDescent="0.45">
      <c r="B822" t="s">
        <v>53</v>
      </c>
      <c r="C822">
        <v>20198839</v>
      </c>
      <c r="D822" t="s">
        <v>258</v>
      </c>
      <c r="E822" s="8">
        <v>46134.375</v>
      </c>
      <c r="F822" s="8">
        <v>46134.458333333336</v>
      </c>
      <c r="G822" s="9">
        <v>2</v>
      </c>
      <c r="H822" s="9">
        <f t="shared" si="36"/>
        <v>1.0999999999999999E-2</v>
      </c>
      <c r="I822" s="9">
        <v>1.0999999999999999E-2</v>
      </c>
      <c r="J822" s="9"/>
      <c r="K822" s="9"/>
      <c r="L822" s="9"/>
      <c r="M822" t="s">
        <v>65</v>
      </c>
      <c r="N822" t="s">
        <v>29</v>
      </c>
      <c r="P822" t="s">
        <v>30</v>
      </c>
      <c r="Q822" t="s">
        <v>31</v>
      </c>
      <c r="R822">
        <v>82640</v>
      </c>
      <c r="S822" t="s">
        <v>42</v>
      </c>
      <c r="T822">
        <v>82611</v>
      </c>
      <c r="U822" t="s">
        <v>43</v>
      </c>
      <c r="V822" t="s">
        <v>66</v>
      </c>
      <c r="W822" t="s">
        <v>44</v>
      </c>
      <c r="X822" t="s">
        <v>44</v>
      </c>
      <c r="Y822" s="9">
        <f t="shared" si="37"/>
        <v>0</v>
      </c>
      <c r="Z822" t="str">
        <f t="shared" si="38"/>
        <v>สแกนต่าง Cost</v>
      </c>
    </row>
    <row r="823" spans="1:26" x14ac:dyDescent="0.45">
      <c r="B823" t="s">
        <v>53</v>
      </c>
      <c r="C823">
        <v>20244923</v>
      </c>
      <c r="D823" t="s">
        <v>246</v>
      </c>
      <c r="E823" s="8">
        <v>46134.375</v>
      </c>
      <c r="F823" s="8">
        <v>46134.5</v>
      </c>
      <c r="G823" s="9">
        <v>3</v>
      </c>
      <c r="H823" s="9">
        <f t="shared" si="36"/>
        <v>1.6E-2</v>
      </c>
      <c r="I823" s="9">
        <v>1.6E-2</v>
      </c>
      <c r="J823" s="9"/>
      <c r="K823" s="9"/>
      <c r="L823" s="9"/>
      <c r="M823" t="s">
        <v>65</v>
      </c>
      <c r="N823" t="s">
        <v>29</v>
      </c>
      <c r="P823" t="s">
        <v>30</v>
      </c>
      <c r="Q823" t="s">
        <v>31</v>
      </c>
      <c r="R823">
        <v>82640</v>
      </c>
      <c r="S823" t="s">
        <v>42</v>
      </c>
      <c r="T823">
        <v>82630</v>
      </c>
      <c r="U823" t="s">
        <v>32</v>
      </c>
      <c r="V823" t="s">
        <v>66</v>
      </c>
      <c r="W823" t="s">
        <v>44</v>
      </c>
      <c r="X823" t="s">
        <v>44</v>
      </c>
      <c r="Y823" s="9">
        <f t="shared" si="37"/>
        <v>0</v>
      </c>
      <c r="Z823" t="str">
        <f t="shared" si="38"/>
        <v>สแกนต่าง Cost</v>
      </c>
    </row>
    <row r="824" spans="1:26" x14ac:dyDescent="0.45">
      <c r="B824" t="s">
        <v>53</v>
      </c>
      <c r="C824">
        <v>20310530</v>
      </c>
      <c r="D824" t="s">
        <v>220</v>
      </c>
      <c r="E824" s="8">
        <v>46134.375</v>
      </c>
      <c r="F824" s="8">
        <v>46134.395833333336</v>
      </c>
      <c r="G824" s="9">
        <v>0.5</v>
      </c>
      <c r="H824" s="9">
        <f t="shared" si="36"/>
        <v>3.0000000000000001E-3</v>
      </c>
      <c r="I824" s="9">
        <v>3.0000000000000001E-3</v>
      </c>
      <c r="J824" s="9"/>
      <c r="K824" s="9"/>
      <c r="L824" s="9"/>
      <c r="M824" t="s">
        <v>65</v>
      </c>
      <c r="N824" t="s">
        <v>29</v>
      </c>
      <c r="P824" t="s">
        <v>30</v>
      </c>
      <c r="Q824" t="s">
        <v>31</v>
      </c>
      <c r="R824">
        <v>82640</v>
      </c>
      <c r="S824" t="s">
        <v>42</v>
      </c>
      <c r="T824">
        <v>82622</v>
      </c>
      <c r="U824" t="s">
        <v>147</v>
      </c>
      <c r="V824" t="s">
        <v>66</v>
      </c>
      <c r="W824" t="s">
        <v>44</v>
      </c>
      <c r="X824" t="s">
        <v>44</v>
      </c>
      <c r="Y824" s="9">
        <f t="shared" si="37"/>
        <v>0</v>
      </c>
      <c r="Z824" t="str">
        <f t="shared" si="38"/>
        <v>สแกนต่าง Cost</v>
      </c>
    </row>
    <row r="825" spans="1:26" x14ac:dyDescent="0.45">
      <c r="B825" t="s">
        <v>53</v>
      </c>
      <c r="C825">
        <v>20310532</v>
      </c>
      <c r="D825" t="s">
        <v>61</v>
      </c>
      <c r="E825" s="8">
        <v>46134.375</v>
      </c>
      <c r="F825" s="8">
        <v>46134.416666666664</v>
      </c>
      <c r="G825" s="9">
        <v>1</v>
      </c>
      <c r="H825" s="9">
        <f t="shared" si="36"/>
        <v>5.0000000000000001E-3</v>
      </c>
      <c r="I825" s="9">
        <v>5.0000000000000001E-3</v>
      </c>
      <c r="J825" s="9"/>
      <c r="K825" s="9"/>
      <c r="L825" s="9"/>
      <c r="M825" t="s">
        <v>65</v>
      </c>
      <c r="N825" t="s">
        <v>29</v>
      </c>
      <c r="P825" t="s">
        <v>30</v>
      </c>
      <c r="Q825" t="s">
        <v>31</v>
      </c>
      <c r="R825">
        <v>82640</v>
      </c>
      <c r="S825" t="s">
        <v>42</v>
      </c>
      <c r="T825">
        <v>82612</v>
      </c>
      <c r="U825" t="s">
        <v>153</v>
      </c>
      <c r="V825" t="s">
        <v>66</v>
      </c>
      <c r="W825" t="s">
        <v>44</v>
      </c>
      <c r="X825" t="s">
        <v>44</v>
      </c>
      <c r="Y825" s="9">
        <f t="shared" si="37"/>
        <v>0</v>
      </c>
      <c r="Z825" t="str">
        <f t="shared" si="38"/>
        <v>สแกนต่าง Cost</v>
      </c>
    </row>
    <row r="826" spans="1:26" x14ac:dyDescent="0.45">
      <c r="B826" t="s">
        <v>53</v>
      </c>
      <c r="C826">
        <v>20403455</v>
      </c>
      <c r="E826" s="8">
        <v>46134.370138888888</v>
      </c>
      <c r="F826" s="8">
        <v>46134.583333333336</v>
      </c>
      <c r="G826" s="9">
        <v>4.1166666666666663</v>
      </c>
      <c r="H826" s="9">
        <f t="shared" si="36"/>
        <v>2.1999999999999999E-2</v>
      </c>
      <c r="I826" s="9">
        <v>2.1999999999999999E-2</v>
      </c>
      <c r="J826" s="9"/>
      <c r="K826" s="9"/>
      <c r="L826" s="9"/>
      <c r="M826" t="s">
        <v>65</v>
      </c>
      <c r="N826" t="s">
        <v>29</v>
      </c>
      <c r="P826" t="s">
        <v>30</v>
      </c>
      <c r="R826">
        <v>82612</v>
      </c>
      <c r="T826">
        <v>82630</v>
      </c>
      <c r="U826" t="s">
        <v>32</v>
      </c>
      <c r="V826" t="s">
        <v>62</v>
      </c>
      <c r="W826" t="s">
        <v>47</v>
      </c>
      <c r="X826" t="s">
        <v>288</v>
      </c>
      <c r="Y826" s="9">
        <f t="shared" si="37"/>
        <v>0</v>
      </c>
      <c r="Z826" t="str">
        <f t="shared" si="38"/>
        <v>สแกนต่าง Cost</v>
      </c>
    </row>
    <row r="827" spans="1:26" x14ac:dyDescent="0.45">
      <c r="B827" t="s">
        <v>53</v>
      </c>
      <c r="C827">
        <v>20403527</v>
      </c>
      <c r="E827" s="8">
        <v>46134.370138888888</v>
      </c>
      <c r="F827" s="8">
        <v>46134.583333333336</v>
      </c>
      <c r="G827" s="9">
        <v>4.1166666666666663</v>
      </c>
      <c r="H827" s="9">
        <f t="shared" si="36"/>
        <v>2.1999999999999999E-2</v>
      </c>
      <c r="I827" s="9">
        <v>2.1999999999999999E-2</v>
      </c>
      <c r="J827" s="9"/>
      <c r="K827" s="9"/>
      <c r="L827" s="9"/>
      <c r="M827" t="s">
        <v>65</v>
      </c>
      <c r="N827" t="s">
        <v>29</v>
      </c>
      <c r="P827" t="s">
        <v>30</v>
      </c>
      <c r="R827">
        <v>82612</v>
      </c>
      <c r="T827">
        <v>82630</v>
      </c>
      <c r="U827" t="s">
        <v>32</v>
      </c>
      <c r="V827" t="s">
        <v>62</v>
      </c>
      <c r="W827" t="s">
        <v>47</v>
      </c>
      <c r="X827" t="s">
        <v>288</v>
      </c>
      <c r="Y827" s="9">
        <f t="shared" si="37"/>
        <v>0</v>
      </c>
      <c r="Z827" t="str">
        <f t="shared" si="38"/>
        <v>สแกนต่าง Cost</v>
      </c>
    </row>
    <row r="828" spans="1:26" x14ac:dyDescent="0.45">
      <c r="A828">
        <v>26750</v>
      </c>
      <c r="B828" t="s">
        <v>53</v>
      </c>
      <c r="C828">
        <v>20018611</v>
      </c>
      <c r="D828" t="s">
        <v>132</v>
      </c>
      <c r="E828" s="8">
        <v>46134.354861111111</v>
      </c>
      <c r="F828" s="8">
        <v>46134.729166666664</v>
      </c>
      <c r="G828" s="9">
        <v>7.9833333333333325</v>
      </c>
      <c r="H828" s="9">
        <f t="shared" si="36"/>
        <v>4.2999999999999997E-2</v>
      </c>
      <c r="I828" s="9">
        <v>4.2999999999999997E-2</v>
      </c>
      <c r="J828" s="9"/>
      <c r="K828" s="9"/>
      <c r="L828" s="9"/>
      <c r="M828" t="s">
        <v>65</v>
      </c>
      <c r="N828" t="s">
        <v>29</v>
      </c>
      <c r="P828" t="s">
        <v>133</v>
      </c>
      <c r="Q828" t="s">
        <v>31</v>
      </c>
      <c r="R828">
        <v>82301</v>
      </c>
      <c r="S828" t="s">
        <v>79</v>
      </c>
      <c r="T828">
        <v>82308</v>
      </c>
      <c r="U828" t="s">
        <v>69</v>
      </c>
      <c r="V828" t="s">
        <v>69</v>
      </c>
      <c r="W828" t="s">
        <v>69</v>
      </c>
      <c r="X828" t="s">
        <v>95</v>
      </c>
      <c r="Y828" s="9">
        <f t="shared" si="37"/>
        <v>0</v>
      </c>
      <c r="Z828" t="str">
        <f t="shared" si="38"/>
        <v>สแกนต่าง Cost</v>
      </c>
    </row>
    <row r="829" spans="1:26" x14ac:dyDescent="0.45">
      <c r="A829">
        <v>26748</v>
      </c>
      <c r="B829" t="s">
        <v>53</v>
      </c>
      <c r="C829">
        <v>20238364</v>
      </c>
      <c r="D829" t="s">
        <v>198</v>
      </c>
      <c r="E829" s="8">
        <v>46134.354861111111</v>
      </c>
      <c r="F829" s="8">
        <v>46134.729166666664</v>
      </c>
      <c r="G829" s="9">
        <v>7.9833333333333325</v>
      </c>
      <c r="H829" s="9">
        <f t="shared" si="36"/>
        <v>4.2999999999999997E-2</v>
      </c>
      <c r="I829" s="9">
        <v>4.2999999999999997E-2</v>
      </c>
      <c r="J829" s="9"/>
      <c r="K829" s="9"/>
      <c r="L829" s="9"/>
      <c r="M829" t="s">
        <v>65</v>
      </c>
      <c r="N829" t="s">
        <v>29</v>
      </c>
      <c r="P829" t="s">
        <v>30</v>
      </c>
      <c r="Q829" t="s">
        <v>31</v>
      </c>
      <c r="R829">
        <v>82306</v>
      </c>
      <c r="S829" t="s">
        <v>55</v>
      </c>
      <c r="T829">
        <v>82920</v>
      </c>
      <c r="U829" t="s">
        <v>158</v>
      </c>
      <c r="V829" t="s">
        <v>158</v>
      </c>
      <c r="W829" t="s">
        <v>159</v>
      </c>
      <c r="X829" t="s">
        <v>160</v>
      </c>
      <c r="Y829" s="9">
        <f t="shared" si="37"/>
        <v>0</v>
      </c>
      <c r="Z829" t="str">
        <f t="shared" si="38"/>
        <v>สแกนต่าง Cost</v>
      </c>
    </row>
    <row r="830" spans="1:26" x14ac:dyDescent="0.45">
      <c r="B830" t="s">
        <v>53</v>
      </c>
      <c r="C830">
        <v>20198839</v>
      </c>
      <c r="D830" t="s">
        <v>258</v>
      </c>
      <c r="E830" s="8">
        <v>46134.354166666664</v>
      </c>
      <c r="F830" s="8">
        <v>46134.375</v>
      </c>
      <c r="G830" s="9">
        <v>0.5</v>
      </c>
      <c r="H830" s="9">
        <f t="shared" si="36"/>
        <v>3.0000000000000001E-3</v>
      </c>
      <c r="I830" s="9">
        <v>3.0000000000000001E-3</v>
      </c>
      <c r="J830" s="9"/>
      <c r="K830" s="9"/>
      <c r="L830" s="9"/>
      <c r="M830" t="s">
        <v>65</v>
      </c>
      <c r="N830" t="s">
        <v>29</v>
      </c>
      <c r="P830" t="s">
        <v>30</v>
      </c>
      <c r="Q830" t="s">
        <v>31</v>
      </c>
      <c r="R830">
        <v>82640</v>
      </c>
      <c r="S830" t="s">
        <v>42</v>
      </c>
      <c r="T830">
        <v>82622</v>
      </c>
      <c r="U830" t="s">
        <v>147</v>
      </c>
      <c r="V830" t="s">
        <v>66</v>
      </c>
      <c r="W830" t="s">
        <v>44</v>
      </c>
      <c r="X830" t="s">
        <v>44</v>
      </c>
      <c r="Y830" s="9">
        <f t="shared" si="37"/>
        <v>0</v>
      </c>
      <c r="Z830" t="str">
        <f t="shared" si="38"/>
        <v>สแกนต่าง Cost</v>
      </c>
    </row>
    <row r="831" spans="1:26" x14ac:dyDescent="0.45">
      <c r="B831" t="s">
        <v>53</v>
      </c>
      <c r="C831">
        <v>20198842</v>
      </c>
      <c r="D831" t="s">
        <v>257</v>
      </c>
      <c r="E831" s="8">
        <v>46134.354166666664</v>
      </c>
      <c r="F831" s="8">
        <v>46134.5</v>
      </c>
      <c r="G831" s="9">
        <v>3.5</v>
      </c>
      <c r="H831" s="9">
        <f t="shared" si="36"/>
        <v>1.9E-2</v>
      </c>
      <c r="I831" s="9">
        <v>1.9E-2</v>
      </c>
      <c r="J831" s="9"/>
      <c r="K831" s="9"/>
      <c r="L831" s="9"/>
      <c r="M831" t="s">
        <v>65</v>
      </c>
      <c r="N831" t="s">
        <v>29</v>
      </c>
      <c r="P831" t="s">
        <v>30</v>
      </c>
      <c r="Q831" t="s">
        <v>31</v>
      </c>
      <c r="R831">
        <v>82640</v>
      </c>
      <c r="S831" t="s">
        <v>42</v>
      </c>
      <c r="T831">
        <v>82612</v>
      </c>
      <c r="U831" t="s">
        <v>153</v>
      </c>
      <c r="V831" t="s">
        <v>66</v>
      </c>
      <c r="W831" t="s">
        <v>44</v>
      </c>
      <c r="X831" t="s">
        <v>44</v>
      </c>
      <c r="Y831" s="9">
        <f t="shared" si="37"/>
        <v>0</v>
      </c>
      <c r="Z831" t="str">
        <f t="shared" si="38"/>
        <v>สแกนต่าง Cost</v>
      </c>
    </row>
    <row r="832" spans="1:26" x14ac:dyDescent="0.45">
      <c r="B832" t="s">
        <v>53</v>
      </c>
      <c r="C832">
        <v>20198842</v>
      </c>
      <c r="D832" t="s">
        <v>257</v>
      </c>
      <c r="E832" s="8">
        <v>46134.354166666664</v>
      </c>
      <c r="F832" s="8">
        <v>46134.416666666664</v>
      </c>
      <c r="G832" s="9">
        <v>1.5</v>
      </c>
      <c r="H832" s="9">
        <f t="shared" si="36"/>
        <v>8.0000000000000002E-3</v>
      </c>
      <c r="I832" s="9">
        <v>8.0000000000000002E-3</v>
      </c>
      <c r="J832" s="9"/>
      <c r="K832" s="9"/>
      <c r="L832" s="9"/>
      <c r="M832" t="s">
        <v>65</v>
      </c>
      <c r="N832" t="s">
        <v>29</v>
      </c>
      <c r="P832" t="s">
        <v>30</v>
      </c>
      <c r="Q832" t="s">
        <v>31</v>
      </c>
      <c r="R832">
        <v>82640</v>
      </c>
      <c r="S832" t="s">
        <v>42</v>
      </c>
      <c r="T832">
        <v>82630</v>
      </c>
      <c r="U832" t="s">
        <v>32</v>
      </c>
      <c r="V832" t="s">
        <v>66</v>
      </c>
      <c r="W832" t="s">
        <v>44</v>
      </c>
      <c r="X832" t="s">
        <v>44</v>
      </c>
      <c r="Y832" s="9">
        <f t="shared" si="37"/>
        <v>0</v>
      </c>
      <c r="Z832" t="str">
        <f t="shared" si="38"/>
        <v>สแกนต่าง Cost</v>
      </c>
    </row>
    <row r="833" spans="2:26" x14ac:dyDescent="0.45">
      <c r="B833" t="s">
        <v>53</v>
      </c>
      <c r="C833">
        <v>20280718</v>
      </c>
      <c r="D833" t="s">
        <v>256</v>
      </c>
      <c r="E833" s="8">
        <v>46134.354166666664</v>
      </c>
      <c r="F833" s="8">
        <v>46134.395833333336</v>
      </c>
      <c r="G833" s="9">
        <v>1</v>
      </c>
      <c r="H833" s="9">
        <f t="shared" si="36"/>
        <v>5.0000000000000001E-3</v>
      </c>
      <c r="I833" s="9">
        <v>5.0000000000000001E-3</v>
      </c>
      <c r="J833" s="9"/>
      <c r="K833" s="9"/>
      <c r="L833" s="9"/>
      <c r="M833" t="s">
        <v>65</v>
      </c>
      <c r="N833" t="s">
        <v>29</v>
      </c>
      <c r="P833" t="s">
        <v>30</v>
      </c>
      <c r="Q833" t="s">
        <v>31</v>
      </c>
      <c r="R833">
        <v>82640</v>
      </c>
      <c r="S833" t="s">
        <v>42</v>
      </c>
      <c r="T833">
        <v>82630</v>
      </c>
      <c r="U833" t="s">
        <v>32</v>
      </c>
      <c r="V833" t="s">
        <v>66</v>
      </c>
      <c r="W833" t="s">
        <v>44</v>
      </c>
      <c r="X833" t="s">
        <v>44</v>
      </c>
      <c r="Y833" s="9">
        <f t="shared" si="37"/>
        <v>0</v>
      </c>
      <c r="Z833" t="str">
        <f t="shared" si="38"/>
        <v>สแกนต่าง Cost</v>
      </c>
    </row>
    <row r="834" spans="2:26" x14ac:dyDescent="0.45">
      <c r="B834" t="s">
        <v>53</v>
      </c>
      <c r="C834">
        <v>20310530</v>
      </c>
      <c r="D834" t="s">
        <v>220</v>
      </c>
      <c r="E834" s="8">
        <v>46134.354166666664</v>
      </c>
      <c r="F834" s="8">
        <v>46134.354166666664</v>
      </c>
      <c r="G834" s="9">
        <v>0</v>
      </c>
      <c r="H834" s="9">
        <f t="shared" si="36"/>
        <v>0</v>
      </c>
      <c r="I834" s="9">
        <v>0</v>
      </c>
      <c r="J834" s="9"/>
      <c r="K834" s="9"/>
      <c r="L834" s="9"/>
      <c r="M834" t="s">
        <v>65</v>
      </c>
      <c r="N834" t="s">
        <v>29</v>
      </c>
      <c r="P834" t="s">
        <v>30</v>
      </c>
      <c r="Q834" t="s">
        <v>31</v>
      </c>
      <c r="R834">
        <v>82640</v>
      </c>
      <c r="S834" t="s">
        <v>42</v>
      </c>
      <c r="T834">
        <v>82630</v>
      </c>
      <c r="U834" t="s">
        <v>32</v>
      </c>
      <c r="V834" t="s">
        <v>66</v>
      </c>
      <c r="W834" t="s">
        <v>44</v>
      </c>
      <c r="X834" t="s">
        <v>44</v>
      </c>
      <c r="Y834" s="9">
        <f t="shared" si="37"/>
        <v>0</v>
      </c>
      <c r="Z834" t="str">
        <f t="shared" si="38"/>
        <v>สแกนต่าง Cost</v>
      </c>
    </row>
    <row r="835" spans="2:26" x14ac:dyDescent="0.45">
      <c r="B835" t="s">
        <v>26</v>
      </c>
      <c r="C835">
        <v>20031838</v>
      </c>
      <c r="D835" t="s">
        <v>143</v>
      </c>
      <c r="E835" s="8">
        <v>46134.34652777778</v>
      </c>
      <c r="F835" s="8">
        <v>46134.768750000003</v>
      </c>
      <c r="G835" s="9">
        <v>10.133333333333333</v>
      </c>
      <c r="H835" s="9">
        <f t="shared" ref="H835:H898" si="39">SUM(I835:L835)</f>
        <v>5.3999999999999999E-2</v>
      </c>
      <c r="I835" s="9">
        <v>4.4999999999999998E-2</v>
      </c>
      <c r="J835" s="9"/>
      <c r="K835" s="9">
        <v>8.9999999999999993E-3</v>
      </c>
      <c r="L835" s="9"/>
      <c r="M835" t="s">
        <v>28</v>
      </c>
      <c r="N835" t="s">
        <v>40</v>
      </c>
      <c r="O835" t="s">
        <v>241</v>
      </c>
      <c r="P835" t="s">
        <v>30</v>
      </c>
      <c r="Q835" t="s">
        <v>31</v>
      </c>
      <c r="R835">
        <v>82652</v>
      </c>
      <c r="S835" t="s">
        <v>46</v>
      </c>
      <c r="T835">
        <v>82658</v>
      </c>
      <c r="U835" t="s">
        <v>33</v>
      </c>
      <c r="V835" t="s">
        <v>33</v>
      </c>
      <c r="W835" t="s">
        <v>37</v>
      </c>
      <c r="X835" t="s">
        <v>267</v>
      </c>
      <c r="Y835" s="9">
        <f t="shared" ref="Y835:Y898" si="40">SUM(J835:L835)</f>
        <v>8.9999999999999993E-3</v>
      </c>
      <c r="Z835" t="str">
        <f t="shared" ref="Z835:Z898" si="41">IF(R835=T835,"สแกน Cost ตัวเอง","สแกนต่าง Cost")</f>
        <v>สแกนต่าง Cost</v>
      </c>
    </row>
    <row r="836" spans="2:26" x14ac:dyDescent="0.45">
      <c r="B836" t="s">
        <v>26</v>
      </c>
      <c r="C836">
        <v>20039177</v>
      </c>
      <c r="D836" t="s">
        <v>188</v>
      </c>
      <c r="E836" s="8">
        <v>46134.34652777778</v>
      </c>
      <c r="F836" s="8">
        <v>46134.768750000003</v>
      </c>
      <c r="G836" s="9">
        <v>10.133333333333333</v>
      </c>
      <c r="H836" s="9">
        <f t="shared" si="39"/>
        <v>5.3999999999999999E-2</v>
      </c>
      <c r="I836" s="9">
        <v>4.4999999999999998E-2</v>
      </c>
      <c r="J836" s="9"/>
      <c r="K836" s="9">
        <v>8.9999999999999993E-3</v>
      </c>
      <c r="L836" s="9"/>
      <c r="M836" t="s">
        <v>28</v>
      </c>
      <c r="N836" t="s">
        <v>40</v>
      </c>
      <c r="O836" t="s">
        <v>227</v>
      </c>
      <c r="P836" t="s">
        <v>30</v>
      </c>
      <c r="Q836" t="s">
        <v>31</v>
      </c>
      <c r="R836">
        <v>82655</v>
      </c>
      <c r="S836" t="s">
        <v>59</v>
      </c>
      <c r="T836">
        <v>82658</v>
      </c>
      <c r="U836" t="s">
        <v>33</v>
      </c>
      <c r="V836" t="s">
        <v>33</v>
      </c>
      <c r="W836" t="s">
        <v>37</v>
      </c>
      <c r="X836" t="s">
        <v>267</v>
      </c>
      <c r="Y836" s="9">
        <f t="shared" si="40"/>
        <v>8.9999999999999993E-3</v>
      </c>
      <c r="Z836" t="str">
        <f t="shared" si="41"/>
        <v>สแกนต่าง Cost</v>
      </c>
    </row>
    <row r="837" spans="2:26" x14ac:dyDescent="0.45">
      <c r="B837" t="s">
        <v>26</v>
      </c>
      <c r="C837">
        <v>20039228</v>
      </c>
      <c r="D837" t="s">
        <v>289</v>
      </c>
      <c r="E837" s="8">
        <v>46134.34652777778</v>
      </c>
      <c r="F837" s="8">
        <v>46134.775000000001</v>
      </c>
      <c r="G837" s="9">
        <v>10.283333333333333</v>
      </c>
      <c r="H837" s="9">
        <f t="shared" si="39"/>
        <v>5.5E-2</v>
      </c>
      <c r="I837" s="9">
        <v>4.4999999999999998E-2</v>
      </c>
      <c r="J837" s="9"/>
      <c r="K837" s="9">
        <v>0.01</v>
      </c>
      <c r="L837" s="9"/>
      <c r="M837" t="s">
        <v>28</v>
      </c>
      <c r="N837" t="s">
        <v>40</v>
      </c>
      <c r="O837" t="s">
        <v>241</v>
      </c>
      <c r="P837" t="s">
        <v>30</v>
      </c>
      <c r="Q837" t="s">
        <v>31</v>
      </c>
      <c r="R837">
        <v>82655</v>
      </c>
      <c r="S837" t="s">
        <v>59</v>
      </c>
      <c r="T837">
        <v>82658</v>
      </c>
      <c r="U837" t="s">
        <v>33</v>
      </c>
      <c r="V837" t="s">
        <v>33</v>
      </c>
      <c r="W837" t="s">
        <v>37</v>
      </c>
      <c r="X837" t="s">
        <v>267</v>
      </c>
      <c r="Y837" s="9">
        <f t="shared" si="40"/>
        <v>0.01</v>
      </c>
      <c r="Z837" t="str">
        <f t="shared" si="41"/>
        <v>สแกนต่าง Cost</v>
      </c>
    </row>
    <row r="838" spans="2:26" x14ac:dyDescent="0.45">
      <c r="B838" t="s">
        <v>26</v>
      </c>
      <c r="C838">
        <v>20045685</v>
      </c>
      <c r="D838" t="s">
        <v>262</v>
      </c>
      <c r="E838" s="8">
        <v>46134.34652777778</v>
      </c>
      <c r="F838" s="8">
        <v>46134.768750000003</v>
      </c>
      <c r="G838" s="9">
        <v>10.133333333333333</v>
      </c>
      <c r="H838" s="9">
        <f t="shared" si="39"/>
        <v>5.3999999999999999E-2</v>
      </c>
      <c r="I838" s="9">
        <v>4.4999999999999998E-2</v>
      </c>
      <c r="J838" s="9"/>
      <c r="K838" s="9">
        <v>8.9999999999999993E-3</v>
      </c>
      <c r="L838" s="9"/>
      <c r="M838" t="s">
        <v>28</v>
      </c>
      <c r="N838" t="s">
        <v>40</v>
      </c>
      <c r="O838" t="s">
        <v>241</v>
      </c>
      <c r="P838" t="s">
        <v>30</v>
      </c>
      <c r="Q838" t="s">
        <v>31</v>
      </c>
      <c r="R838">
        <v>82652</v>
      </c>
      <c r="S838" t="s">
        <v>46</v>
      </c>
      <c r="T838">
        <v>82658</v>
      </c>
      <c r="U838" t="s">
        <v>33</v>
      </c>
      <c r="V838" t="s">
        <v>33</v>
      </c>
      <c r="W838" t="s">
        <v>37</v>
      </c>
      <c r="X838" t="s">
        <v>267</v>
      </c>
      <c r="Y838" s="9">
        <f t="shared" si="40"/>
        <v>8.9999999999999993E-3</v>
      </c>
      <c r="Z838" t="str">
        <f t="shared" si="41"/>
        <v>สแกนต่าง Cost</v>
      </c>
    </row>
    <row r="839" spans="2:26" x14ac:dyDescent="0.45">
      <c r="B839" t="s">
        <v>26</v>
      </c>
      <c r="C839">
        <v>20197492</v>
      </c>
      <c r="D839" t="s">
        <v>268</v>
      </c>
      <c r="E839" s="8">
        <v>46134.34652777778</v>
      </c>
      <c r="F839" s="8">
        <v>46134.768055555556</v>
      </c>
      <c r="G839" s="9">
        <v>10.116666666666667</v>
      </c>
      <c r="H839" s="9">
        <f t="shared" si="39"/>
        <v>5.3999999999999999E-2</v>
      </c>
      <c r="I839" s="9">
        <v>4.4999999999999998E-2</v>
      </c>
      <c r="J839" s="9"/>
      <c r="K839" s="9">
        <v>8.9999999999999993E-3</v>
      </c>
      <c r="L839" s="9"/>
      <c r="M839" t="s">
        <v>28</v>
      </c>
      <c r="N839" t="s">
        <v>29</v>
      </c>
      <c r="P839" t="s">
        <v>30</v>
      </c>
      <c r="Q839" t="s">
        <v>31</v>
      </c>
      <c r="R839">
        <v>82652</v>
      </c>
      <c r="S839" t="s">
        <v>46</v>
      </c>
      <c r="T839">
        <v>82658</v>
      </c>
      <c r="U839" t="s">
        <v>33</v>
      </c>
      <c r="V839" t="s">
        <v>33</v>
      </c>
      <c r="W839" t="s">
        <v>37</v>
      </c>
      <c r="X839" t="s">
        <v>267</v>
      </c>
      <c r="Y839" s="9">
        <f t="shared" si="40"/>
        <v>8.9999999999999993E-3</v>
      </c>
      <c r="Z839" t="str">
        <f t="shared" si="41"/>
        <v>สแกนต่าง Cost</v>
      </c>
    </row>
    <row r="840" spans="2:26" x14ac:dyDescent="0.45">
      <c r="B840" t="s">
        <v>26</v>
      </c>
      <c r="C840">
        <v>20028097</v>
      </c>
      <c r="D840" t="s">
        <v>139</v>
      </c>
      <c r="E840" s="8">
        <v>46134.345833333333</v>
      </c>
      <c r="F840" s="8">
        <v>46134.775694444441</v>
      </c>
      <c r="G840" s="9">
        <v>10.316666666666666</v>
      </c>
      <c r="H840" s="9">
        <f t="shared" si="39"/>
        <v>5.5E-2</v>
      </c>
      <c r="I840" s="9">
        <v>4.4999999999999998E-2</v>
      </c>
      <c r="J840" s="9"/>
      <c r="K840" s="9">
        <v>0.01</v>
      </c>
      <c r="L840" s="9"/>
      <c r="M840" t="s">
        <v>28</v>
      </c>
      <c r="N840" t="s">
        <v>40</v>
      </c>
      <c r="O840" t="s">
        <v>227</v>
      </c>
      <c r="P840" t="s">
        <v>30</v>
      </c>
      <c r="Q840" t="s">
        <v>31</v>
      </c>
      <c r="R840">
        <v>82652</v>
      </c>
      <c r="S840" t="s">
        <v>46</v>
      </c>
      <c r="T840">
        <v>82658</v>
      </c>
      <c r="U840" t="s">
        <v>33</v>
      </c>
      <c r="V840" t="s">
        <v>33</v>
      </c>
      <c r="W840" t="s">
        <v>37</v>
      </c>
      <c r="X840" t="s">
        <v>267</v>
      </c>
      <c r="Y840" s="9">
        <f t="shared" si="40"/>
        <v>0.01</v>
      </c>
      <c r="Z840" t="str">
        <f t="shared" si="41"/>
        <v>สแกนต่าง Cost</v>
      </c>
    </row>
    <row r="841" spans="2:26" x14ac:dyDescent="0.45">
      <c r="B841" t="s">
        <v>26</v>
      </c>
      <c r="C841">
        <v>20343502</v>
      </c>
      <c r="D841" t="s">
        <v>281</v>
      </c>
      <c r="E841" s="8">
        <v>46134.345833333333</v>
      </c>
      <c r="F841" s="8">
        <v>46134.765972222223</v>
      </c>
      <c r="G841" s="9">
        <v>10.083333333333334</v>
      </c>
      <c r="H841" s="9">
        <f t="shared" si="39"/>
        <v>5.2999999999999999E-2</v>
      </c>
      <c r="I841" s="9">
        <v>4.4999999999999998E-2</v>
      </c>
      <c r="J841" s="9"/>
      <c r="K841" s="9">
        <v>8.0000000000000002E-3</v>
      </c>
      <c r="L841" s="9"/>
      <c r="M841" t="s">
        <v>28</v>
      </c>
      <c r="N841" t="s">
        <v>40</v>
      </c>
      <c r="O841" t="s">
        <v>227</v>
      </c>
      <c r="P841" t="s">
        <v>30</v>
      </c>
      <c r="Q841" t="s">
        <v>31</v>
      </c>
      <c r="R841">
        <v>82652</v>
      </c>
      <c r="S841" t="s">
        <v>46</v>
      </c>
      <c r="T841">
        <v>82658</v>
      </c>
      <c r="U841" t="s">
        <v>33</v>
      </c>
      <c r="V841" t="s">
        <v>33</v>
      </c>
      <c r="W841" t="s">
        <v>37</v>
      </c>
      <c r="X841" t="s">
        <v>267</v>
      </c>
      <c r="Y841" s="9">
        <f t="shared" si="40"/>
        <v>8.0000000000000002E-3</v>
      </c>
      <c r="Z841" t="str">
        <f t="shared" si="41"/>
        <v>สแกนต่าง Cost</v>
      </c>
    </row>
    <row r="842" spans="2:26" x14ac:dyDescent="0.45">
      <c r="B842" t="s">
        <v>26</v>
      </c>
      <c r="C842">
        <v>20403191</v>
      </c>
      <c r="D842" t="s">
        <v>122</v>
      </c>
      <c r="E842" s="8">
        <v>46134.345833333333</v>
      </c>
      <c r="F842" s="8">
        <v>46134.729166666664</v>
      </c>
      <c r="G842" s="9">
        <v>8.1999999999999993</v>
      </c>
      <c r="H842" s="9">
        <f t="shared" si="39"/>
        <v>4.3999999999999997E-2</v>
      </c>
      <c r="I842" s="9">
        <v>4.3999999999999997E-2</v>
      </c>
      <c r="J842" s="9"/>
      <c r="K842" s="9"/>
      <c r="L842" s="9"/>
      <c r="M842" t="s">
        <v>48</v>
      </c>
      <c r="N842" t="s">
        <v>48</v>
      </c>
      <c r="P842" t="s">
        <v>30</v>
      </c>
      <c r="Q842" t="s">
        <v>31</v>
      </c>
      <c r="R842">
        <v>82400</v>
      </c>
      <c r="S842" t="s">
        <v>83</v>
      </c>
      <c r="T842">
        <v>82658</v>
      </c>
      <c r="U842" t="s">
        <v>33</v>
      </c>
      <c r="V842" t="s">
        <v>33</v>
      </c>
      <c r="W842" t="s">
        <v>37</v>
      </c>
      <c r="X842" t="s">
        <v>267</v>
      </c>
      <c r="Y842" s="9">
        <f t="shared" si="40"/>
        <v>0</v>
      </c>
      <c r="Z842" t="str">
        <f t="shared" si="41"/>
        <v>สแกนต่าง Cost</v>
      </c>
    </row>
    <row r="843" spans="2:26" x14ac:dyDescent="0.45">
      <c r="B843" t="s">
        <v>26</v>
      </c>
      <c r="C843">
        <v>20403192</v>
      </c>
      <c r="D843" t="s">
        <v>123</v>
      </c>
      <c r="E843" s="8">
        <v>46134.345833333333</v>
      </c>
      <c r="F843" s="8">
        <v>46134.729166666664</v>
      </c>
      <c r="G843" s="9">
        <v>8.1999999999999993</v>
      </c>
      <c r="H843" s="9">
        <f t="shared" si="39"/>
        <v>4.3999999999999997E-2</v>
      </c>
      <c r="I843" s="9">
        <v>4.3999999999999997E-2</v>
      </c>
      <c r="J843" s="9"/>
      <c r="K843" s="9"/>
      <c r="L843" s="9"/>
      <c r="M843" t="s">
        <v>48</v>
      </c>
      <c r="N843" t="s">
        <v>48</v>
      </c>
      <c r="P843" t="s">
        <v>30</v>
      </c>
      <c r="Q843" t="s">
        <v>31</v>
      </c>
      <c r="R843">
        <v>82400</v>
      </c>
      <c r="S843" t="s">
        <v>83</v>
      </c>
      <c r="T843">
        <v>82658</v>
      </c>
      <c r="U843" t="s">
        <v>33</v>
      </c>
      <c r="V843" t="s">
        <v>33</v>
      </c>
      <c r="W843" t="s">
        <v>37</v>
      </c>
      <c r="X843" t="s">
        <v>267</v>
      </c>
      <c r="Y843" s="9">
        <f t="shared" si="40"/>
        <v>0</v>
      </c>
      <c r="Z843" t="str">
        <f t="shared" si="41"/>
        <v>สแกนต่าง Cost</v>
      </c>
    </row>
    <row r="844" spans="2:26" x14ac:dyDescent="0.45">
      <c r="B844" t="s">
        <v>26</v>
      </c>
      <c r="C844">
        <v>20403252</v>
      </c>
      <c r="D844" t="s">
        <v>124</v>
      </c>
      <c r="E844" s="8">
        <v>46134.345833333333</v>
      </c>
      <c r="F844" s="8">
        <v>46134.769444444442</v>
      </c>
      <c r="G844" s="9">
        <v>9.1666666666666661</v>
      </c>
      <c r="H844" s="9">
        <f t="shared" si="39"/>
        <v>4.9000000000000002E-2</v>
      </c>
      <c r="I844" s="9">
        <v>4.9000000000000002E-2</v>
      </c>
      <c r="J844" s="9"/>
      <c r="K844" s="9"/>
      <c r="L844" s="9"/>
      <c r="M844" t="s">
        <v>48</v>
      </c>
      <c r="N844" t="s">
        <v>48</v>
      </c>
      <c r="P844" t="s">
        <v>30</v>
      </c>
      <c r="Q844" t="s">
        <v>31</v>
      </c>
      <c r="R844">
        <v>82400</v>
      </c>
      <c r="S844" t="s">
        <v>83</v>
      </c>
      <c r="T844">
        <v>82658</v>
      </c>
      <c r="U844" t="s">
        <v>33</v>
      </c>
      <c r="V844" t="s">
        <v>33</v>
      </c>
      <c r="W844" t="s">
        <v>37</v>
      </c>
      <c r="X844" t="s">
        <v>267</v>
      </c>
      <c r="Y844" s="9">
        <f t="shared" si="40"/>
        <v>0</v>
      </c>
      <c r="Z844" t="str">
        <f t="shared" si="41"/>
        <v>สแกนต่าง Cost</v>
      </c>
    </row>
    <row r="845" spans="2:26" x14ac:dyDescent="0.45">
      <c r="B845" t="s">
        <v>26</v>
      </c>
      <c r="C845">
        <v>20403253</v>
      </c>
      <c r="D845" t="s">
        <v>125</v>
      </c>
      <c r="E845" s="8">
        <v>46134.345833333333</v>
      </c>
      <c r="F845" s="8">
        <v>46134.769444444442</v>
      </c>
      <c r="G845" s="9">
        <v>9.1666666666666661</v>
      </c>
      <c r="H845" s="9">
        <f t="shared" si="39"/>
        <v>4.9000000000000002E-2</v>
      </c>
      <c r="I845" s="9">
        <v>4.9000000000000002E-2</v>
      </c>
      <c r="J845" s="9"/>
      <c r="K845" s="9"/>
      <c r="L845" s="9"/>
      <c r="M845" t="s">
        <v>48</v>
      </c>
      <c r="N845" t="s">
        <v>48</v>
      </c>
      <c r="P845" t="s">
        <v>30</v>
      </c>
      <c r="Q845" t="s">
        <v>31</v>
      </c>
      <c r="R845">
        <v>82400</v>
      </c>
      <c r="S845" t="s">
        <v>83</v>
      </c>
      <c r="T845">
        <v>82658</v>
      </c>
      <c r="U845" t="s">
        <v>33</v>
      </c>
      <c r="V845" t="s">
        <v>33</v>
      </c>
      <c r="W845" t="s">
        <v>37</v>
      </c>
      <c r="X845" t="s">
        <v>267</v>
      </c>
      <c r="Y845" s="9">
        <f t="shared" si="40"/>
        <v>0</v>
      </c>
      <c r="Z845" t="str">
        <f t="shared" si="41"/>
        <v>สแกนต่าง Cost</v>
      </c>
    </row>
    <row r="846" spans="2:26" x14ac:dyDescent="0.45">
      <c r="B846" t="s">
        <v>26</v>
      </c>
      <c r="C846">
        <v>20403254</v>
      </c>
      <c r="D846" t="s">
        <v>126</v>
      </c>
      <c r="E846" s="8">
        <v>46134.345833333333</v>
      </c>
      <c r="F846" s="8">
        <v>46134.76458333333</v>
      </c>
      <c r="G846" s="9">
        <v>9.0500000000000007</v>
      </c>
      <c r="H846" s="9">
        <f t="shared" si="39"/>
        <v>4.8000000000000001E-2</v>
      </c>
      <c r="I846" s="9">
        <v>4.8000000000000001E-2</v>
      </c>
      <c r="J846" s="9"/>
      <c r="K846" s="9"/>
      <c r="L846" s="9"/>
      <c r="M846" t="s">
        <v>48</v>
      </c>
      <c r="N846" t="s">
        <v>48</v>
      </c>
      <c r="P846" t="s">
        <v>30</v>
      </c>
      <c r="Q846" t="s">
        <v>31</v>
      </c>
      <c r="R846">
        <v>82400</v>
      </c>
      <c r="S846" t="s">
        <v>83</v>
      </c>
      <c r="T846">
        <v>82658</v>
      </c>
      <c r="U846" t="s">
        <v>33</v>
      </c>
      <c r="V846" t="s">
        <v>33</v>
      </c>
      <c r="W846" t="s">
        <v>37</v>
      </c>
      <c r="X846" t="s">
        <v>267</v>
      </c>
      <c r="Y846" s="9">
        <f t="shared" si="40"/>
        <v>0</v>
      </c>
      <c r="Z846" t="str">
        <f t="shared" si="41"/>
        <v>สแกนต่าง Cost</v>
      </c>
    </row>
    <row r="847" spans="2:26" x14ac:dyDescent="0.45">
      <c r="B847" t="s">
        <v>26</v>
      </c>
      <c r="C847">
        <v>20328003</v>
      </c>
      <c r="D847" t="s">
        <v>107</v>
      </c>
      <c r="E847" s="8">
        <v>46134.345138888886</v>
      </c>
      <c r="F847" s="8">
        <v>46134.768055555556</v>
      </c>
      <c r="G847" s="9">
        <v>10.15</v>
      </c>
      <c r="H847" s="9">
        <f t="shared" si="39"/>
        <v>5.3999999999999999E-2</v>
      </c>
      <c r="I847" s="9">
        <v>4.4999999999999998E-2</v>
      </c>
      <c r="J847" s="9"/>
      <c r="K847" s="9">
        <v>8.9999999999999993E-3</v>
      </c>
      <c r="L847" s="9"/>
      <c r="M847" t="s">
        <v>28</v>
      </c>
      <c r="N847" t="s">
        <v>29</v>
      </c>
      <c r="P847" t="s">
        <v>30</v>
      </c>
      <c r="Q847" t="s">
        <v>31</v>
      </c>
      <c r="R847">
        <v>82400</v>
      </c>
      <c r="S847" t="s">
        <v>83</v>
      </c>
      <c r="T847">
        <v>82658</v>
      </c>
      <c r="U847" t="s">
        <v>33</v>
      </c>
      <c r="V847" t="s">
        <v>33</v>
      </c>
      <c r="W847" t="s">
        <v>37</v>
      </c>
      <c r="X847" t="s">
        <v>267</v>
      </c>
      <c r="Y847" s="9">
        <f t="shared" si="40"/>
        <v>8.9999999999999993E-3</v>
      </c>
      <c r="Z847" t="str">
        <f t="shared" si="41"/>
        <v>สแกนต่าง Cost</v>
      </c>
    </row>
    <row r="848" spans="2:26" x14ac:dyDescent="0.45">
      <c r="B848" t="s">
        <v>26</v>
      </c>
      <c r="C848">
        <v>20331986</v>
      </c>
      <c r="D848" t="s">
        <v>108</v>
      </c>
      <c r="E848" s="8">
        <v>46134.345138888886</v>
      </c>
      <c r="F848" s="8">
        <v>46134.768055555556</v>
      </c>
      <c r="G848" s="9">
        <v>10.15</v>
      </c>
      <c r="H848" s="9">
        <f t="shared" si="39"/>
        <v>5.3999999999999999E-2</v>
      </c>
      <c r="I848" s="9">
        <v>4.4999999999999998E-2</v>
      </c>
      <c r="J848" s="9"/>
      <c r="K848" s="9">
        <v>8.9999999999999993E-3</v>
      </c>
      <c r="L848" s="9"/>
      <c r="M848" t="s">
        <v>28</v>
      </c>
      <c r="N848" t="s">
        <v>29</v>
      </c>
      <c r="P848" t="s">
        <v>30</v>
      </c>
      <c r="Q848" t="s">
        <v>31</v>
      </c>
      <c r="R848">
        <v>82400</v>
      </c>
      <c r="S848" t="s">
        <v>83</v>
      </c>
      <c r="T848">
        <v>82658</v>
      </c>
      <c r="U848" t="s">
        <v>33</v>
      </c>
      <c r="V848" t="s">
        <v>33</v>
      </c>
      <c r="W848" t="s">
        <v>37</v>
      </c>
      <c r="X848" t="s">
        <v>267</v>
      </c>
      <c r="Y848" s="9">
        <f t="shared" si="40"/>
        <v>8.9999999999999993E-3</v>
      </c>
      <c r="Z848" t="str">
        <f t="shared" si="41"/>
        <v>สแกนต่าง Cost</v>
      </c>
    </row>
    <row r="849" spans="1:26" x14ac:dyDescent="0.45">
      <c r="B849" t="s">
        <v>26</v>
      </c>
      <c r="C849">
        <v>20352284</v>
      </c>
      <c r="D849" t="s">
        <v>113</v>
      </c>
      <c r="E849" s="8">
        <v>46134.345138888886</v>
      </c>
      <c r="F849" s="8">
        <v>46134.763888888891</v>
      </c>
      <c r="G849" s="9">
        <v>10.050000000000001</v>
      </c>
      <c r="H849" s="9">
        <f t="shared" si="39"/>
        <v>5.2999999999999999E-2</v>
      </c>
      <c r="I849" s="9">
        <v>4.4999999999999998E-2</v>
      </c>
      <c r="J849" s="9"/>
      <c r="K849" s="9">
        <v>8.0000000000000002E-3</v>
      </c>
      <c r="L849" s="9"/>
      <c r="M849" t="s">
        <v>28</v>
      </c>
      <c r="N849" t="s">
        <v>29</v>
      </c>
      <c r="P849" t="s">
        <v>30</v>
      </c>
      <c r="Q849" t="s">
        <v>31</v>
      </c>
      <c r="R849">
        <v>82400</v>
      </c>
      <c r="S849" t="s">
        <v>83</v>
      </c>
      <c r="T849">
        <v>82658</v>
      </c>
      <c r="U849" t="s">
        <v>33</v>
      </c>
      <c r="V849" t="s">
        <v>33</v>
      </c>
      <c r="W849" t="s">
        <v>37</v>
      </c>
      <c r="X849" t="s">
        <v>267</v>
      </c>
      <c r="Y849" s="9">
        <f t="shared" si="40"/>
        <v>8.0000000000000002E-3</v>
      </c>
      <c r="Z849" t="str">
        <f t="shared" si="41"/>
        <v>สแกนต่าง Cost</v>
      </c>
    </row>
    <row r="850" spans="1:26" x14ac:dyDescent="0.45">
      <c r="B850" t="s">
        <v>26</v>
      </c>
      <c r="C850">
        <v>20352338</v>
      </c>
      <c r="D850" t="s">
        <v>114</v>
      </c>
      <c r="E850" s="8">
        <v>46134.345138888886</v>
      </c>
      <c r="F850" s="8">
        <v>46134.767361111109</v>
      </c>
      <c r="G850" s="9">
        <v>10.133333333333333</v>
      </c>
      <c r="H850" s="9">
        <f t="shared" si="39"/>
        <v>5.3999999999999999E-2</v>
      </c>
      <c r="I850" s="9">
        <v>4.4999999999999998E-2</v>
      </c>
      <c r="J850" s="9"/>
      <c r="K850" s="9">
        <v>8.9999999999999993E-3</v>
      </c>
      <c r="L850" s="9"/>
      <c r="M850" t="s">
        <v>28</v>
      </c>
      <c r="N850" t="s">
        <v>29</v>
      </c>
      <c r="P850" t="s">
        <v>30</v>
      </c>
      <c r="Q850" t="s">
        <v>31</v>
      </c>
      <c r="R850">
        <v>82400</v>
      </c>
      <c r="S850" t="s">
        <v>83</v>
      </c>
      <c r="T850">
        <v>82658</v>
      </c>
      <c r="U850" t="s">
        <v>33</v>
      </c>
      <c r="V850" t="s">
        <v>33</v>
      </c>
      <c r="W850" t="s">
        <v>37</v>
      </c>
      <c r="X850" t="s">
        <v>267</v>
      </c>
      <c r="Y850" s="9">
        <f t="shared" si="40"/>
        <v>8.9999999999999993E-3</v>
      </c>
      <c r="Z850" t="str">
        <f t="shared" si="41"/>
        <v>สแกนต่าง Cost</v>
      </c>
    </row>
    <row r="851" spans="1:26" x14ac:dyDescent="0.45">
      <c r="B851" t="s">
        <v>26</v>
      </c>
      <c r="C851">
        <v>20372078</v>
      </c>
      <c r="D851" t="s">
        <v>82</v>
      </c>
      <c r="E851" s="8">
        <v>46134.345138888886</v>
      </c>
      <c r="F851" s="8">
        <v>46134.763888888891</v>
      </c>
      <c r="G851" s="9">
        <v>10.050000000000001</v>
      </c>
      <c r="H851" s="9">
        <f t="shared" si="39"/>
        <v>5.2999999999999999E-2</v>
      </c>
      <c r="I851" s="9">
        <v>4.4999999999999998E-2</v>
      </c>
      <c r="J851" s="9"/>
      <c r="K851" s="9">
        <v>8.0000000000000002E-3</v>
      </c>
      <c r="L851" s="9"/>
      <c r="M851" t="s">
        <v>28</v>
      </c>
      <c r="N851" t="s">
        <v>29</v>
      </c>
      <c r="P851" t="s">
        <v>30</v>
      </c>
      <c r="Q851" t="s">
        <v>31</v>
      </c>
      <c r="R851">
        <v>82400</v>
      </c>
      <c r="S851" t="s">
        <v>83</v>
      </c>
      <c r="T851">
        <v>82658</v>
      </c>
      <c r="U851" t="s">
        <v>33</v>
      </c>
      <c r="V851" t="s">
        <v>33</v>
      </c>
      <c r="W851" t="s">
        <v>37</v>
      </c>
      <c r="X851" t="s">
        <v>267</v>
      </c>
      <c r="Y851" s="9">
        <f t="shared" si="40"/>
        <v>8.0000000000000002E-3</v>
      </c>
      <c r="Z851" t="str">
        <f t="shared" si="41"/>
        <v>สแกนต่าง Cost</v>
      </c>
    </row>
    <row r="852" spans="1:26" x14ac:dyDescent="0.45">
      <c r="B852" t="s">
        <v>26</v>
      </c>
      <c r="C852">
        <v>20372079</v>
      </c>
      <c r="D852" t="s">
        <v>116</v>
      </c>
      <c r="E852" s="8">
        <v>46134.345138888886</v>
      </c>
      <c r="F852" s="8">
        <v>46134.768055555556</v>
      </c>
      <c r="G852" s="9">
        <v>10.15</v>
      </c>
      <c r="H852" s="9">
        <f t="shared" si="39"/>
        <v>5.3999999999999999E-2</v>
      </c>
      <c r="I852" s="9">
        <v>4.4999999999999998E-2</v>
      </c>
      <c r="J852" s="9"/>
      <c r="K852" s="9">
        <v>8.9999999999999993E-3</v>
      </c>
      <c r="L852" s="9"/>
      <c r="M852" t="s">
        <v>28</v>
      </c>
      <c r="N852" t="s">
        <v>29</v>
      </c>
      <c r="P852" t="s">
        <v>30</v>
      </c>
      <c r="Q852" t="s">
        <v>31</v>
      </c>
      <c r="R852">
        <v>82400</v>
      </c>
      <c r="S852" t="s">
        <v>83</v>
      </c>
      <c r="T852">
        <v>82658</v>
      </c>
      <c r="U852" t="s">
        <v>33</v>
      </c>
      <c r="V852" t="s">
        <v>33</v>
      </c>
      <c r="W852" t="s">
        <v>37</v>
      </c>
      <c r="X852" t="s">
        <v>267</v>
      </c>
      <c r="Y852" s="9">
        <f t="shared" si="40"/>
        <v>8.9999999999999993E-3</v>
      </c>
      <c r="Z852" t="str">
        <f t="shared" si="41"/>
        <v>สแกนต่าง Cost</v>
      </c>
    </row>
    <row r="853" spans="1:26" x14ac:dyDescent="0.45">
      <c r="B853" t="s">
        <v>26</v>
      </c>
      <c r="C853">
        <v>20372080</v>
      </c>
      <c r="D853" t="s">
        <v>117</v>
      </c>
      <c r="E853" s="8">
        <v>46134.345138888886</v>
      </c>
      <c r="F853" s="8">
        <v>46134.729166666664</v>
      </c>
      <c r="G853" s="9">
        <v>8.2166666666666668</v>
      </c>
      <c r="H853" s="9">
        <f t="shared" si="39"/>
        <v>4.3999999999999997E-2</v>
      </c>
      <c r="I853" s="9">
        <v>4.3999999999999997E-2</v>
      </c>
      <c r="J853" s="9"/>
      <c r="K853" s="9"/>
      <c r="L853" s="9"/>
      <c r="M853" t="s">
        <v>65</v>
      </c>
      <c r="N853" t="s">
        <v>29</v>
      </c>
      <c r="P853" t="s">
        <v>30</v>
      </c>
      <c r="Q853" t="s">
        <v>31</v>
      </c>
      <c r="R853">
        <v>82400</v>
      </c>
      <c r="S853" t="s">
        <v>83</v>
      </c>
      <c r="T853">
        <v>82658</v>
      </c>
      <c r="U853" t="s">
        <v>33</v>
      </c>
      <c r="V853" t="s">
        <v>33</v>
      </c>
      <c r="W853" t="s">
        <v>37</v>
      </c>
      <c r="X853" t="s">
        <v>267</v>
      </c>
      <c r="Y853" s="9">
        <f t="shared" si="40"/>
        <v>0</v>
      </c>
      <c r="Z853" t="str">
        <f t="shared" si="41"/>
        <v>สแกนต่าง Cost</v>
      </c>
    </row>
    <row r="854" spans="1:26" x14ac:dyDescent="0.45">
      <c r="A854">
        <v>26747</v>
      </c>
      <c r="B854" t="s">
        <v>53</v>
      </c>
      <c r="C854">
        <v>20276264</v>
      </c>
      <c r="D854" t="s">
        <v>236</v>
      </c>
      <c r="E854" s="8">
        <v>46134.344444444447</v>
      </c>
      <c r="F854" s="8">
        <v>46134.729166666664</v>
      </c>
      <c r="G854" s="9">
        <v>8.2333333333333325</v>
      </c>
      <c r="H854" s="9">
        <f t="shared" si="39"/>
        <v>4.3999999999999997E-2</v>
      </c>
      <c r="I854" s="9">
        <v>4.3999999999999997E-2</v>
      </c>
      <c r="J854" s="9"/>
      <c r="K854" s="9"/>
      <c r="L854" s="9"/>
      <c r="M854" t="s">
        <v>65</v>
      </c>
      <c r="N854" t="s">
        <v>29</v>
      </c>
      <c r="P854" t="s">
        <v>30</v>
      </c>
      <c r="Q854" t="s">
        <v>31</v>
      </c>
      <c r="R854">
        <v>82301</v>
      </c>
      <c r="S854" t="s">
        <v>79</v>
      </c>
      <c r="T854">
        <v>82308</v>
      </c>
      <c r="U854" t="s">
        <v>69</v>
      </c>
      <c r="V854" t="s">
        <v>69</v>
      </c>
      <c r="W854" t="s">
        <v>69</v>
      </c>
      <c r="X854" t="s">
        <v>196</v>
      </c>
      <c r="Y854" s="9">
        <f t="shared" si="40"/>
        <v>0</v>
      </c>
      <c r="Z854" t="str">
        <f t="shared" si="41"/>
        <v>สแกนต่าง Cost</v>
      </c>
    </row>
    <row r="855" spans="1:26" x14ac:dyDescent="0.45">
      <c r="A855">
        <v>26796</v>
      </c>
      <c r="B855" t="s">
        <v>53</v>
      </c>
      <c r="C855">
        <v>20004913</v>
      </c>
      <c r="D855" t="s">
        <v>87</v>
      </c>
      <c r="E855" s="8">
        <v>46134.333333333336</v>
      </c>
      <c r="F855" s="8">
        <v>46134.729166666664</v>
      </c>
      <c r="G855" s="9">
        <v>8.5</v>
      </c>
      <c r="H855" s="9">
        <f t="shared" si="39"/>
        <v>4.4999999999999998E-2</v>
      </c>
      <c r="I855" s="9">
        <v>4.4999999999999998E-2</v>
      </c>
      <c r="J855" s="9"/>
      <c r="K855" s="9"/>
      <c r="L855" s="9"/>
      <c r="M855" t="s">
        <v>65</v>
      </c>
      <c r="N855" t="s">
        <v>29</v>
      </c>
      <c r="P855" t="s">
        <v>30</v>
      </c>
      <c r="Q855" t="s">
        <v>31</v>
      </c>
      <c r="R855">
        <v>82301</v>
      </c>
      <c r="S855" t="s">
        <v>79</v>
      </c>
      <c r="T855">
        <v>82308</v>
      </c>
      <c r="U855" t="s">
        <v>69</v>
      </c>
      <c r="V855" t="s">
        <v>69</v>
      </c>
      <c r="W855" t="s">
        <v>69</v>
      </c>
      <c r="X855" t="s">
        <v>88</v>
      </c>
      <c r="Y855" s="9">
        <f t="shared" si="40"/>
        <v>0</v>
      </c>
      <c r="Z855" t="str">
        <f t="shared" si="41"/>
        <v>สแกนต่าง Cost</v>
      </c>
    </row>
    <row r="856" spans="1:26" x14ac:dyDescent="0.45">
      <c r="B856" t="s">
        <v>26</v>
      </c>
      <c r="C856">
        <v>20014598</v>
      </c>
      <c r="D856" t="s">
        <v>89</v>
      </c>
      <c r="E856" s="8">
        <v>46134.333333333336</v>
      </c>
      <c r="F856" s="8">
        <v>46134.729166666664</v>
      </c>
      <c r="G856" s="9">
        <v>8.5</v>
      </c>
      <c r="H856" s="9">
        <f t="shared" si="39"/>
        <v>4.4999999999999998E-2</v>
      </c>
      <c r="I856" s="9">
        <v>4.4999999999999998E-2</v>
      </c>
      <c r="J856" s="9"/>
      <c r="K856" s="9"/>
      <c r="L856" s="9"/>
      <c r="M856" t="s">
        <v>65</v>
      </c>
      <c r="N856" t="s">
        <v>29</v>
      </c>
      <c r="P856" t="s">
        <v>30</v>
      </c>
      <c r="Q856" t="s">
        <v>31</v>
      </c>
      <c r="R856">
        <v>82400</v>
      </c>
      <c r="S856" t="s">
        <v>83</v>
      </c>
      <c r="T856">
        <v>82658</v>
      </c>
      <c r="U856" t="s">
        <v>33</v>
      </c>
      <c r="V856" t="s">
        <v>33</v>
      </c>
      <c r="W856" t="s">
        <v>37</v>
      </c>
      <c r="X856" t="s">
        <v>267</v>
      </c>
      <c r="Y856" s="9">
        <f t="shared" si="40"/>
        <v>0</v>
      </c>
      <c r="Z856" t="str">
        <f t="shared" si="41"/>
        <v>สแกนต่าง Cost</v>
      </c>
    </row>
    <row r="857" spans="1:26" x14ac:dyDescent="0.45">
      <c r="B857" t="s">
        <v>53</v>
      </c>
      <c r="C857">
        <v>20014916</v>
      </c>
      <c r="D857" t="s">
        <v>167</v>
      </c>
      <c r="E857" s="8">
        <v>46134.333333333336</v>
      </c>
      <c r="F857" s="8">
        <v>46134.729166666664</v>
      </c>
      <c r="G857" s="9">
        <v>8.5</v>
      </c>
      <c r="H857" s="9">
        <f t="shared" si="39"/>
        <v>4.4999999999999998E-2</v>
      </c>
      <c r="I857" s="9">
        <v>4.4999999999999998E-2</v>
      </c>
      <c r="J857" s="9"/>
      <c r="K857" s="9"/>
      <c r="L857" s="9"/>
      <c r="M857" t="s">
        <v>65</v>
      </c>
      <c r="N857" t="s">
        <v>29</v>
      </c>
      <c r="P857" t="s">
        <v>133</v>
      </c>
      <c r="Q857" t="s">
        <v>31</v>
      </c>
      <c r="R857">
        <v>82607</v>
      </c>
      <c r="S857" t="s">
        <v>168</v>
      </c>
      <c r="T857">
        <v>82640</v>
      </c>
      <c r="U857" t="s">
        <v>42</v>
      </c>
      <c r="V857" t="s">
        <v>155</v>
      </c>
      <c r="W857" t="s">
        <v>47</v>
      </c>
      <c r="X857" t="s">
        <v>95</v>
      </c>
      <c r="Y857" s="9">
        <f t="shared" si="40"/>
        <v>0</v>
      </c>
      <c r="Z857" t="str">
        <f t="shared" si="41"/>
        <v>สแกนต่าง Cost</v>
      </c>
    </row>
    <row r="858" spans="1:26" x14ac:dyDescent="0.45">
      <c r="A858">
        <v>26797</v>
      </c>
      <c r="B858" t="s">
        <v>53</v>
      </c>
      <c r="C858">
        <v>20017430</v>
      </c>
      <c r="D858" t="s">
        <v>94</v>
      </c>
      <c r="E858" s="8">
        <v>46134.333333333336</v>
      </c>
      <c r="F858" s="8">
        <v>46134.729166666664</v>
      </c>
      <c r="G858" s="9">
        <v>8.5</v>
      </c>
      <c r="H858" s="9">
        <f t="shared" si="39"/>
        <v>4.4999999999999998E-2</v>
      </c>
      <c r="I858" s="9">
        <v>4.4999999999999998E-2</v>
      </c>
      <c r="J858" s="9"/>
      <c r="K858" s="9"/>
      <c r="L858" s="9"/>
      <c r="M858" t="s">
        <v>65</v>
      </c>
      <c r="N858" t="s">
        <v>29</v>
      </c>
      <c r="P858" t="s">
        <v>30</v>
      </c>
      <c r="Q858" t="s">
        <v>31</v>
      </c>
      <c r="R858">
        <v>82301</v>
      </c>
      <c r="S858" t="s">
        <v>79</v>
      </c>
      <c r="T858">
        <v>82308</v>
      </c>
      <c r="U858" t="s">
        <v>69</v>
      </c>
      <c r="V858" t="s">
        <v>69</v>
      </c>
      <c r="W858" t="s">
        <v>69</v>
      </c>
      <c r="X858" t="s">
        <v>95</v>
      </c>
      <c r="Y858" s="9">
        <f t="shared" si="40"/>
        <v>0</v>
      </c>
      <c r="Z858" t="str">
        <f t="shared" si="41"/>
        <v>สแกนต่าง Cost</v>
      </c>
    </row>
    <row r="859" spans="1:26" x14ac:dyDescent="0.45">
      <c r="B859" t="s">
        <v>53</v>
      </c>
      <c r="C859">
        <v>20018899</v>
      </c>
      <c r="D859" t="s">
        <v>64</v>
      </c>
      <c r="E859" s="8">
        <v>46134.333333333336</v>
      </c>
      <c r="F859" s="8">
        <v>46134.5</v>
      </c>
      <c r="G859" s="9">
        <v>4</v>
      </c>
      <c r="H859" s="9">
        <f t="shared" si="39"/>
        <v>2.1000000000000001E-2</v>
      </c>
      <c r="I859" s="9">
        <v>2.1000000000000001E-2</v>
      </c>
      <c r="J859" s="9"/>
      <c r="K859" s="9"/>
      <c r="L859" s="9"/>
      <c r="M859" t="s">
        <v>65</v>
      </c>
      <c r="N859" t="s">
        <v>29</v>
      </c>
      <c r="P859" t="s">
        <v>30</v>
      </c>
      <c r="Q859" t="s">
        <v>31</v>
      </c>
      <c r="R859">
        <v>82640</v>
      </c>
      <c r="S859" t="s">
        <v>42</v>
      </c>
      <c r="T859">
        <v>82652</v>
      </c>
      <c r="U859" t="s">
        <v>46</v>
      </c>
      <c r="V859" t="s">
        <v>66</v>
      </c>
      <c r="W859" t="s">
        <v>37</v>
      </c>
      <c r="X859" t="s">
        <v>34</v>
      </c>
      <c r="Y859" s="9">
        <f t="shared" si="40"/>
        <v>0</v>
      </c>
      <c r="Z859" t="str">
        <f t="shared" si="41"/>
        <v>สแกนต่าง Cost</v>
      </c>
    </row>
    <row r="860" spans="1:26" x14ac:dyDescent="0.45">
      <c r="B860" t="s">
        <v>53</v>
      </c>
      <c r="C860">
        <v>20023163</v>
      </c>
      <c r="D860" t="s">
        <v>169</v>
      </c>
      <c r="E860" s="8">
        <v>46134.333333333336</v>
      </c>
      <c r="F860" s="8">
        <v>46134.729166666664</v>
      </c>
      <c r="G860" s="9">
        <v>8.5</v>
      </c>
      <c r="H860" s="9">
        <f t="shared" si="39"/>
        <v>4.4999999999999998E-2</v>
      </c>
      <c r="I860" s="9">
        <v>4.4999999999999998E-2</v>
      </c>
      <c r="J860" s="9"/>
      <c r="K860" s="9"/>
      <c r="L860" s="9"/>
      <c r="M860" t="s">
        <v>65</v>
      </c>
      <c r="N860" t="s">
        <v>29</v>
      </c>
      <c r="P860" t="s">
        <v>30</v>
      </c>
      <c r="Q860" t="s">
        <v>31</v>
      </c>
      <c r="R860">
        <v>82630</v>
      </c>
      <c r="S860" t="s">
        <v>32</v>
      </c>
      <c r="T860">
        <v>82640</v>
      </c>
      <c r="U860" t="s">
        <v>42</v>
      </c>
      <c r="V860" t="s">
        <v>70</v>
      </c>
      <c r="W860" t="s">
        <v>170</v>
      </c>
      <c r="X860" t="s">
        <v>171</v>
      </c>
      <c r="Y860" s="9">
        <f t="shared" si="40"/>
        <v>0</v>
      </c>
      <c r="Z860" t="str">
        <f t="shared" si="41"/>
        <v>สแกนต่าง Cost</v>
      </c>
    </row>
    <row r="861" spans="1:26" x14ac:dyDescent="0.45">
      <c r="B861" t="s">
        <v>26</v>
      </c>
      <c r="C861">
        <v>20024254</v>
      </c>
      <c r="D861" t="s">
        <v>233</v>
      </c>
      <c r="E861" s="8">
        <v>46134.333333333336</v>
      </c>
      <c r="F861" s="8">
        <v>46134.729166666664</v>
      </c>
      <c r="G861" s="9">
        <v>8.5</v>
      </c>
      <c r="H861" s="9">
        <f t="shared" si="39"/>
        <v>4.4999999999999998E-2</v>
      </c>
      <c r="I861" s="9">
        <v>4.4999999999999998E-2</v>
      </c>
      <c r="J861" s="9"/>
      <c r="K861" s="9"/>
      <c r="L861" s="9"/>
      <c r="M861" t="s">
        <v>65</v>
      </c>
      <c r="N861" t="s">
        <v>29</v>
      </c>
      <c r="P861" t="s">
        <v>30</v>
      </c>
      <c r="Q861" t="s">
        <v>31</v>
      </c>
      <c r="R861">
        <v>82910</v>
      </c>
      <c r="S861" t="s">
        <v>201</v>
      </c>
      <c r="T861">
        <v>82605</v>
      </c>
      <c r="U861" t="s">
        <v>202</v>
      </c>
      <c r="V861" t="s">
        <v>202</v>
      </c>
      <c r="W861" t="s">
        <v>37</v>
      </c>
      <c r="X861" t="s">
        <v>47</v>
      </c>
      <c r="Y861" s="9">
        <f t="shared" si="40"/>
        <v>0</v>
      </c>
      <c r="Z861" t="str">
        <f t="shared" si="41"/>
        <v>สแกนต่าง Cost</v>
      </c>
    </row>
    <row r="862" spans="1:26" x14ac:dyDescent="0.45">
      <c r="A862">
        <v>26884</v>
      </c>
      <c r="B862" t="s">
        <v>53</v>
      </c>
      <c r="C862">
        <v>20025699</v>
      </c>
      <c r="D862" t="s">
        <v>234</v>
      </c>
      <c r="E862" s="8">
        <v>46134.333333333336</v>
      </c>
      <c r="F862" s="8">
        <v>46134.729166666664</v>
      </c>
      <c r="G862" s="9">
        <v>8.5</v>
      </c>
      <c r="H862" s="9">
        <f t="shared" si="39"/>
        <v>4.4999999999999998E-2</v>
      </c>
      <c r="I862" s="9">
        <v>4.4999999999999998E-2</v>
      </c>
      <c r="J862" s="9"/>
      <c r="K862" s="9"/>
      <c r="L862" s="9"/>
      <c r="M862" t="s">
        <v>65</v>
      </c>
      <c r="N862" t="s">
        <v>29</v>
      </c>
      <c r="P862" t="s">
        <v>30</v>
      </c>
      <c r="Q862" t="s">
        <v>31</v>
      </c>
      <c r="R862">
        <v>82301</v>
      </c>
      <c r="S862" t="s">
        <v>79</v>
      </c>
      <c r="T862">
        <v>82640</v>
      </c>
      <c r="U862" t="s">
        <v>42</v>
      </c>
      <c r="V862" t="s">
        <v>70</v>
      </c>
      <c r="W862" t="s">
        <v>71</v>
      </c>
      <c r="X862" t="s">
        <v>72</v>
      </c>
      <c r="Y862" s="9">
        <f t="shared" si="40"/>
        <v>0</v>
      </c>
      <c r="Z862" t="str">
        <f t="shared" si="41"/>
        <v>สแกนต่าง Cost</v>
      </c>
    </row>
    <row r="863" spans="1:26" x14ac:dyDescent="0.45">
      <c r="B863" t="s">
        <v>26</v>
      </c>
      <c r="C863">
        <v>20025986</v>
      </c>
      <c r="D863" t="s">
        <v>200</v>
      </c>
      <c r="E863" s="8">
        <v>46134.333333333336</v>
      </c>
      <c r="F863" s="8">
        <v>46134.729166666664</v>
      </c>
      <c r="G863" s="9">
        <v>8.5</v>
      </c>
      <c r="H863" s="9">
        <f t="shared" si="39"/>
        <v>4.4999999999999998E-2</v>
      </c>
      <c r="I863" s="9">
        <v>4.4999999999999998E-2</v>
      </c>
      <c r="J863" s="9"/>
      <c r="K863" s="9"/>
      <c r="L863" s="9"/>
      <c r="M863" t="s">
        <v>65</v>
      </c>
      <c r="N863" t="s">
        <v>29</v>
      </c>
      <c r="P863" t="s">
        <v>30</v>
      </c>
      <c r="Q863" t="s">
        <v>31</v>
      </c>
      <c r="R863">
        <v>82910</v>
      </c>
      <c r="S863" t="s">
        <v>201</v>
      </c>
      <c r="T863">
        <v>82605</v>
      </c>
      <c r="U863" t="s">
        <v>202</v>
      </c>
      <c r="V863" t="s">
        <v>202</v>
      </c>
      <c r="W863" t="s">
        <v>37</v>
      </c>
      <c r="X863" t="s">
        <v>47</v>
      </c>
      <c r="Y863" s="9">
        <f t="shared" si="40"/>
        <v>0</v>
      </c>
      <c r="Z863" t="str">
        <f t="shared" si="41"/>
        <v>สแกนต่าง Cost</v>
      </c>
    </row>
    <row r="864" spans="1:26" x14ac:dyDescent="0.45">
      <c r="A864">
        <v>26842</v>
      </c>
      <c r="B864" t="s">
        <v>53</v>
      </c>
      <c r="C864">
        <v>20030839</v>
      </c>
      <c r="D864" t="s">
        <v>235</v>
      </c>
      <c r="E864" s="8">
        <v>46134.333333333336</v>
      </c>
      <c r="F864" s="8">
        <v>46134.833333333336</v>
      </c>
      <c r="G864" s="9">
        <v>12</v>
      </c>
      <c r="H864" s="9">
        <f t="shared" si="39"/>
        <v>6.4000000000000001E-2</v>
      </c>
      <c r="I864" s="9">
        <v>4.4999999999999998E-2</v>
      </c>
      <c r="J864" s="9"/>
      <c r="K864" s="9">
        <v>1.9E-2</v>
      </c>
      <c r="L864" s="9"/>
      <c r="M864" t="s">
        <v>28</v>
      </c>
      <c r="N864" t="s">
        <v>40</v>
      </c>
      <c r="O864" t="s">
        <v>41</v>
      </c>
      <c r="P864" t="s">
        <v>30</v>
      </c>
      <c r="Q864" t="s">
        <v>31</v>
      </c>
      <c r="R864">
        <v>82658</v>
      </c>
      <c r="S864" t="s">
        <v>33</v>
      </c>
      <c r="T864">
        <v>82664</v>
      </c>
      <c r="U864" t="s">
        <v>75</v>
      </c>
      <c r="V864" t="s">
        <v>75</v>
      </c>
      <c r="W864" t="s">
        <v>37</v>
      </c>
      <c r="X864" t="s">
        <v>111</v>
      </c>
      <c r="Y864" s="9">
        <f t="shared" si="40"/>
        <v>1.9E-2</v>
      </c>
      <c r="Z864" t="str">
        <f t="shared" si="41"/>
        <v>สแกนต่าง Cost</v>
      </c>
    </row>
    <row r="865" spans="1:26" x14ac:dyDescent="0.45">
      <c r="B865" t="s">
        <v>53</v>
      </c>
      <c r="C865">
        <v>20034535</v>
      </c>
      <c r="D865" t="s">
        <v>99</v>
      </c>
      <c r="E865" s="8">
        <v>46134.333333333336</v>
      </c>
      <c r="F865" s="8">
        <v>46134.729166666664</v>
      </c>
      <c r="G865" s="9">
        <v>8.5</v>
      </c>
      <c r="H865" s="9">
        <f t="shared" si="39"/>
        <v>4.4999999999999998E-2</v>
      </c>
      <c r="I865" s="9">
        <v>4.4999999999999998E-2</v>
      </c>
      <c r="J865" s="9"/>
      <c r="K865" s="9"/>
      <c r="L865" s="9"/>
      <c r="M865" t="s">
        <v>65</v>
      </c>
      <c r="N865" t="s">
        <v>29</v>
      </c>
      <c r="P865" t="s">
        <v>30</v>
      </c>
      <c r="Q865" t="s">
        <v>31</v>
      </c>
      <c r="R865">
        <v>82630</v>
      </c>
      <c r="S865" t="s">
        <v>32</v>
      </c>
      <c r="T865">
        <v>82611</v>
      </c>
      <c r="U865" t="s">
        <v>43</v>
      </c>
      <c r="V865" t="s">
        <v>43</v>
      </c>
      <c r="W865" t="s">
        <v>170</v>
      </c>
      <c r="X865" t="s">
        <v>171</v>
      </c>
      <c r="Y865" s="9">
        <f t="shared" si="40"/>
        <v>0</v>
      </c>
      <c r="Z865" t="str">
        <f t="shared" si="41"/>
        <v>สแกนต่าง Cost</v>
      </c>
    </row>
    <row r="866" spans="1:26" x14ac:dyDescent="0.45">
      <c r="B866" t="s">
        <v>53</v>
      </c>
      <c r="C866">
        <v>20037938</v>
      </c>
      <c r="D866" t="s">
        <v>172</v>
      </c>
      <c r="E866" s="8">
        <v>46134.333333333336</v>
      </c>
      <c r="F866" s="8">
        <v>46134.729166666664</v>
      </c>
      <c r="G866" s="9">
        <v>8.5</v>
      </c>
      <c r="H866" s="9">
        <f t="shared" si="39"/>
        <v>4.4999999999999998E-2</v>
      </c>
      <c r="I866" s="9">
        <v>4.4999999999999998E-2</v>
      </c>
      <c r="J866" s="9"/>
      <c r="K866" s="9"/>
      <c r="L866" s="9"/>
      <c r="M866" t="s">
        <v>65</v>
      </c>
      <c r="N866" t="s">
        <v>29</v>
      </c>
      <c r="P866" t="s">
        <v>30</v>
      </c>
      <c r="Q866" t="s">
        <v>31</v>
      </c>
      <c r="R866">
        <v>82630</v>
      </c>
      <c r="S866" t="s">
        <v>32</v>
      </c>
      <c r="T866">
        <v>82611</v>
      </c>
      <c r="U866" t="s">
        <v>43</v>
      </c>
      <c r="V866" t="s">
        <v>43</v>
      </c>
      <c r="W866" t="s">
        <v>170</v>
      </c>
      <c r="X866" t="s">
        <v>171</v>
      </c>
      <c r="Y866" s="9">
        <f t="shared" si="40"/>
        <v>0</v>
      </c>
      <c r="Z866" t="str">
        <f t="shared" si="41"/>
        <v>สแกนต่าง Cost</v>
      </c>
    </row>
    <row r="867" spans="1:26" x14ac:dyDescent="0.45">
      <c r="B867" t="s">
        <v>53</v>
      </c>
      <c r="C867">
        <v>20041131</v>
      </c>
      <c r="D867" t="s">
        <v>173</v>
      </c>
      <c r="E867" s="8">
        <v>46134.333333333336</v>
      </c>
      <c r="F867" s="8">
        <v>46134.729166666664</v>
      </c>
      <c r="G867" s="9">
        <v>8.5</v>
      </c>
      <c r="H867" s="9">
        <f t="shared" si="39"/>
        <v>4.4999999999999998E-2</v>
      </c>
      <c r="I867" s="9">
        <v>4.4999999999999998E-2</v>
      </c>
      <c r="J867" s="9"/>
      <c r="K867" s="9"/>
      <c r="L867" s="9"/>
      <c r="M867" t="s">
        <v>65</v>
      </c>
      <c r="N867" t="s">
        <v>29</v>
      </c>
      <c r="P867" t="s">
        <v>30</v>
      </c>
      <c r="Q867" t="s">
        <v>31</v>
      </c>
      <c r="R867">
        <v>82630</v>
      </c>
      <c r="S867" t="s">
        <v>32</v>
      </c>
      <c r="T867">
        <v>82611</v>
      </c>
      <c r="U867" t="s">
        <v>43</v>
      </c>
      <c r="V867" t="s">
        <v>43</v>
      </c>
      <c r="W867" t="s">
        <v>170</v>
      </c>
      <c r="X867" t="s">
        <v>171</v>
      </c>
      <c r="Y867" s="9">
        <f t="shared" si="40"/>
        <v>0</v>
      </c>
      <c r="Z867" t="str">
        <f t="shared" si="41"/>
        <v>สแกนต่าง Cost</v>
      </c>
    </row>
    <row r="868" spans="1:26" x14ac:dyDescent="0.45">
      <c r="B868" t="s">
        <v>26</v>
      </c>
      <c r="C868">
        <v>20066762</v>
      </c>
      <c r="D868" t="s">
        <v>203</v>
      </c>
      <c r="E868" s="8">
        <v>46134.333333333336</v>
      </c>
      <c r="F868" s="8">
        <v>46134.729166666664</v>
      </c>
      <c r="G868" s="9">
        <v>8.5</v>
      </c>
      <c r="H868" s="9">
        <f t="shared" si="39"/>
        <v>4.4999999999999998E-2</v>
      </c>
      <c r="I868" s="9">
        <v>4.4999999999999998E-2</v>
      </c>
      <c r="J868" s="9"/>
      <c r="K868" s="9"/>
      <c r="L868" s="9"/>
      <c r="M868" t="s">
        <v>65</v>
      </c>
      <c r="N868" t="s">
        <v>29</v>
      </c>
      <c r="P868" t="s">
        <v>30</v>
      </c>
      <c r="Q868" t="s">
        <v>31</v>
      </c>
      <c r="R868">
        <v>82910</v>
      </c>
      <c r="S868" t="s">
        <v>201</v>
      </c>
      <c r="T868">
        <v>82605</v>
      </c>
      <c r="U868" t="s">
        <v>202</v>
      </c>
      <c r="V868" t="s">
        <v>202</v>
      </c>
      <c r="W868" t="s">
        <v>37</v>
      </c>
      <c r="X868" t="s">
        <v>47</v>
      </c>
      <c r="Y868" s="9">
        <f t="shared" si="40"/>
        <v>0</v>
      </c>
      <c r="Z868" t="str">
        <f t="shared" si="41"/>
        <v>สแกนต่าง Cost</v>
      </c>
    </row>
    <row r="869" spans="1:26" x14ac:dyDescent="0.45">
      <c r="B869" t="s">
        <v>53</v>
      </c>
      <c r="C869">
        <v>20074473</v>
      </c>
      <c r="D869" t="s">
        <v>276</v>
      </c>
      <c r="E869" s="8">
        <v>46134.333333333336</v>
      </c>
      <c r="F869" s="8">
        <v>46134.729166666664</v>
      </c>
      <c r="G869" s="9">
        <v>8.5</v>
      </c>
      <c r="H869" s="9">
        <f t="shared" si="39"/>
        <v>4.4999999999999998E-2</v>
      </c>
      <c r="I869" s="9">
        <v>4.4999999999999998E-2</v>
      </c>
      <c r="J869" s="9"/>
      <c r="K869" s="9"/>
      <c r="L869" s="9"/>
      <c r="M869" t="s">
        <v>65</v>
      </c>
      <c r="N869" t="s">
        <v>29</v>
      </c>
      <c r="P869" t="s">
        <v>30</v>
      </c>
      <c r="Q869" t="s">
        <v>31</v>
      </c>
      <c r="R869">
        <v>82630</v>
      </c>
      <c r="S869" t="s">
        <v>32</v>
      </c>
      <c r="T869">
        <v>82640</v>
      </c>
      <c r="U869" t="s">
        <v>42</v>
      </c>
      <c r="V869" t="s">
        <v>70</v>
      </c>
      <c r="W869" t="s">
        <v>170</v>
      </c>
      <c r="X869" t="s">
        <v>171</v>
      </c>
      <c r="Y869" s="9">
        <f t="shared" si="40"/>
        <v>0</v>
      </c>
      <c r="Z869" t="str">
        <f t="shared" si="41"/>
        <v>สแกนต่าง Cost</v>
      </c>
    </row>
    <row r="870" spans="1:26" x14ac:dyDescent="0.45">
      <c r="B870" t="s">
        <v>53</v>
      </c>
      <c r="C870">
        <v>20075871</v>
      </c>
      <c r="D870" t="s">
        <v>174</v>
      </c>
      <c r="E870" s="8">
        <v>46134.333333333336</v>
      </c>
      <c r="F870" s="8">
        <v>46134.729166666664</v>
      </c>
      <c r="G870" s="9">
        <v>8.5</v>
      </c>
      <c r="H870" s="9">
        <f t="shared" si="39"/>
        <v>4.4999999999999998E-2</v>
      </c>
      <c r="I870" s="9">
        <v>4.4999999999999998E-2</v>
      </c>
      <c r="J870" s="9"/>
      <c r="K870" s="9"/>
      <c r="L870" s="9"/>
      <c r="M870" t="s">
        <v>65</v>
      </c>
      <c r="N870" t="s">
        <v>29</v>
      </c>
      <c r="P870" t="s">
        <v>133</v>
      </c>
      <c r="Q870" t="s">
        <v>31</v>
      </c>
      <c r="R870">
        <v>82301</v>
      </c>
      <c r="S870" t="s">
        <v>79</v>
      </c>
      <c r="T870">
        <v>82308</v>
      </c>
      <c r="U870" t="s">
        <v>69</v>
      </c>
      <c r="V870" t="s">
        <v>69</v>
      </c>
      <c r="W870" t="s">
        <v>69</v>
      </c>
      <c r="X870" t="s">
        <v>95</v>
      </c>
      <c r="Y870" s="9">
        <f t="shared" si="40"/>
        <v>0</v>
      </c>
      <c r="Z870" t="str">
        <f t="shared" si="41"/>
        <v>สแกนต่าง Cost</v>
      </c>
    </row>
    <row r="871" spans="1:26" x14ac:dyDescent="0.45">
      <c r="A871">
        <v>26881</v>
      </c>
      <c r="B871" t="s">
        <v>53</v>
      </c>
      <c r="C871">
        <v>20076433</v>
      </c>
      <c r="D871" t="s">
        <v>282</v>
      </c>
      <c r="E871" s="8">
        <v>46134.333333333336</v>
      </c>
      <c r="F871" s="8">
        <v>46134.729166666664</v>
      </c>
      <c r="G871" s="9">
        <v>8.5</v>
      </c>
      <c r="H871" s="9">
        <f t="shared" si="39"/>
        <v>4.4999999999999998E-2</v>
      </c>
      <c r="I871" s="9"/>
      <c r="J871" s="9">
        <v>4.4999999999999998E-2</v>
      </c>
      <c r="K871" s="9"/>
      <c r="L871" s="9"/>
      <c r="M871" t="s">
        <v>77</v>
      </c>
      <c r="N871" t="s">
        <v>40</v>
      </c>
      <c r="O871" t="s">
        <v>78</v>
      </c>
      <c r="P871" t="s">
        <v>30</v>
      </c>
      <c r="Q871" t="s">
        <v>31</v>
      </c>
      <c r="R871">
        <v>82301</v>
      </c>
      <c r="S871" t="s">
        <v>79</v>
      </c>
      <c r="T871">
        <v>82640</v>
      </c>
      <c r="U871" t="s">
        <v>42</v>
      </c>
      <c r="V871" t="s">
        <v>70</v>
      </c>
      <c r="W871" t="s">
        <v>71</v>
      </c>
      <c r="X871" t="s">
        <v>72</v>
      </c>
      <c r="Y871" s="9">
        <f t="shared" si="40"/>
        <v>4.4999999999999998E-2</v>
      </c>
      <c r="Z871" t="str">
        <f t="shared" si="41"/>
        <v>สแกนต่าง Cost</v>
      </c>
    </row>
    <row r="872" spans="1:26" x14ac:dyDescent="0.45">
      <c r="A872">
        <v>26749</v>
      </c>
      <c r="B872" t="s">
        <v>53</v>
      </c>
      <c r="C872">
        <v>20076436</v>
      </c>
      <c r="D872" t="s">
        <v>131</v>
      </c>
      <c r="E872" s="8">
        <v>46134.333333333336</v>
      </c>
      <c r="F872" s="8">
        <v>46134.729166666664</v>
      </c>
      <c r="G872" s="9">
        <v>8.5</v>
      </c>
      <c r="H872" s="9">
        <f t="shared" si="39"/>
        <v>4.4999999999999998E-2</v>
      </c>
      <c r="I872" s="9">
        <v>4.4999999999999998E-2</v>
      </c>
      <c r="J872" s="9"/>
      <c r="K872" s="9"/>
      <c r="L872" s="9"/>
      <c r="M872" t="s">
        <v>65</v>
      </c>
      <c r="N872" t="s">
        <v>29</v>
      </c>
      <c r="P872" t="s">
        <v>30</v>
      </c>
      <c r="Q872" t="s">
        <v>31</v>
      </c>
      <c r="R872">
        <v>82301</v>
      </c>
      <c r="S872" t="s">
        <v>79</v>
      </c>
      <c r="T872">
        <v>82308</v>
      </c>
      <c r="U872" t="s">
        <v>69</v>
      </c>
      <c r="V872" t="s">
        <v>69</v>
      </c>
      <c r="W872" t="s">
        <v>69</v>
      </c>
      <c r="X872" t="s">
        <v>95</v>
      </c>
      <c r="Y872" s="9">
        <f t="shared" si="40"/>
        <v>0</v>
      </c>
      <c r="Z872" t="str">
        <f t="shared" si="41"/>
        <v>สแกนต่าง Cost</v>
      </c>
    </row>
    <row r="873" spans="1:26" x14ac:dyDescent="0.45">
      <c r="A873">
        <v>26790</v>
      </c>
      <c r="B873" t="s">
        <v>53</v>
      </c>
      <c r="C873">
        <v>20162724</v>
      </c>
      <c r="D873" t="s">
        <v>128</v>
      </c>
      <c r="E873" s="8">
        <v>46134.333333333336</v>
      </c>
      <c r="F873" s="8">
        <v>46134.82916666667</v>
      </c>
      <c r="G873" s="9">
        <v>11.9</v>
      </c>
      <c r="H873" s="9">
        <f t="shared" si="39"/>
        <v>6.3E-2</v>
      </c>
      <c r="I873" s="9">
        <v>4.4999999999999998E-2</v>
      </c>
      <c r="J873" s="9"/>
      <c r="K873" s="9">
        <v>1.7999999999999999E-2</v>
      </c>
      <c r="L873" s="9"/>
      <c r="M873" t="s">
        <v>28</v>
      </c>
      <c r="N873" t="s">
        <v>29</v>
      </c>
      <c r="P873" t="s">
        <v>30</v>
      </c>
      <c r="Q873" t="s">
        <v>31</v>
      </c>
      <c r="R873">
        <v>82658</v>
      </c>
      <c r="S873" t="s">
        <v>33</v>
      </c>
      <c r="T873">
        <v>82664</v>
      </c>
      <c r="U873" t="s">
        <v>75</v>
      </c>
      <c r="V873" t="s">
        <v>75</v>
      </c>
      <c r="W873" t="s">
        <v>37</v>
      </c>
      <c r="X873" t="s">
        <v>111</v>
      </c>
      <c r="Y873" s="9">
        <f t="shared" si="40"/>
        <v>1.7999999999999999E-2</v>
      </c>
      <c r="Z873" t="str">
        <f t="shared" si="41"/>
        <v>สแกนต่าง Cost</v>
      </c>
    </row>
    <row r="874" spans="1:26" x14ac:dyDescent="0.45">
      <c r="B874" t="s">
        <v>53</v>
      </c>
      <c r="C874">
        <v>20167851</v>
      </c>
      <c r="D874" t="s">
        <v>63</v>
      </c>
      <c r="E874" s="8">
        <v>46134.333333333336</v>
      </c>
      <c r="F874" s="8">
        <v>46134.416666666664</v>
      </c>
      <c r="G874" s="9">
        <v>2</v>
      </c>
      <c r="H874" s="9">
        <f t="shared" si="39"/>
        <v>1.0999999999999999E-2</v>
      </c>
      <c r="I874" s="9">
        <v>1.0999999999999999E-2</v>
      </c>
      <c r="J874" s="9"/>
      <c r="K874" s="9"/>
      <c r="L874" s="9"/>
      <c r="M874" t="s">
        <v>65</v>
      </c>
      <c r="N874" t="s">
        <v>29</v>
      </c>
      <c r="P874" t="s">
        <v>30</v>
      </c>
      <c r="Q874" t="s">
        <v>31</v>
      </c>
      <c r="R874">
        <v>82640</v>
      </c>
      <c r="S874" t="s">
        <v>42</v>
      </c>
      <c r="T874">
        <v>82612</v>
      </c>
      <c r="U874" t="s">
        <v>153</v>
      </c>
      <c r="V874" t="s">
        <v>66</v>
      </c>
      <c r="W874" t="s">
        <v>44</v>
      </c>
      <c r="X874" t="s">
        <v>44</v>
      </c>
      <c r="Y874" s="9">
        <f t="shared" si="40"/>
        <v>0</v>
      </c>
      <c r="Z874" t="str">
        <f t="shared" si="41"/>
        <v>สแกนต่าง Cost</v>
      </c>
    </row>
    <row r="875" spans="1:26" x14ac:dyDescent="0.45">
      <c r="A875">
        <v>26880</v>
      </c>
      <c r="B875" t="s">
        <v>53</v>
      </c>
      <c r="C875">
        <v>20198574</v>
      </c>
      <c r="D875" t="s">
        <v>290</v>
      </c>
      <c r="E875" s="8">
        <v>46134.333333333336</v>
      </c>
      <c r="F875" s="8">
        <v>46134.729166666664</v>
      </c>
      <c r="G875" s="9">
        <v>8.5</v>
      </c>
      <c r="H875" s="9">
        <f t="shared" si="39"/>
        <v>4.4999999999999998E-2</v>
      </c>
      <c r="I875" s="9"/>
      <c r="J875" s="9">
        <v>4.4999999999999998E-2</v>
      </c>
      <c r="K875" s="9"/>
      <c r="L875" s="9"/>
      <c r="M875" t="s">
        <v>77</v>
      </c>
      <c r="N875" t="s">
        <v>40</v>
      </c>
      <c r="O875" t="s">
        <v>78</v>
      </c>
      <c r="P875" t="s">
        <v>30</v>
      </c>
      <c r="Q875" t="s">
        <v>31</v>
      </c>
      <c r="R875">
        <v>82301</v>
      </c>
      <c r="S875" t="s">
        <v>79</v>
      </c>
      <c r="T875">
        <v>82640</v>
      </c>
      <c r="U875" t="s">
        <v>42</v>
      </c>
      <c r="V875" t="s">
        <v>70</v>
      </c>
      <c r="W875" t="s">
        <v>71</v>
      </c>
      <c r="X875" t="s">
        <v>72</v>
      </c>
      <c r="Y875" s="9">
        <f t="shared" si="40"/>
        <v>4.4999999999999998E-2</v>
      </c>
      <c r="Z875" t="str">
        <f t="shared" si="41"/>
        <v>สแกนต่าง Cost</v>
      </c>
    </row>
    <row r="876" spans="1:26" x14ac:dyDescent="0.45">
      <c r="B876" t="s">
        <v>53</v>
      </c>
      <c r="C876">
        <v>20198711</v>
      </c>
      <c r="D876" t="s">
        <v>178</v>
      </c>
      <c r="E876" s="8">
        <v>46134.333333333336</v>
      </c>
      <c r="F876" s="8">
        <v>46134.729166666664</v>
      </c>
      <c r="G876" s="9">
        <v>8.5</v>
      </c>
      <c r="H876" s="9">
        <f t="shared" si="39"/>
        <v>4.4999999999999998E-2</v>
      </c>
      <c r="I876" s="9">
        <v>4.4999999999999998E-2</v>
      </c>
      <c r="J876" s="9"/>
      <c r="K876" s="9"/>
      <c r="L876" s="9"/>
      <c r="M876" t="s">
        <v>65</v>
      </c>
      <c r="N876" t="s">
        <v>29</v>
      </c>
      <c r="P876" t="s">
        <v>30</v>
      </c>
      <c r="Q876" t="s">
        <v>31</v>
      </c>
      <c r="R876">
        <v>82630</v>
      </c>
      <c r="S876" t="s">
        <v>32</v>
      </c>
      <c r="T876">
        <v>82611</v>
      </c>
      <c r="U876" t="s">
        <v>43</v>
      </c>
      <c r="V876" t="s">
        <v>43</v>
      </c>
      <c r="W876" t="s">
        <v>170</v>
      </c>
      <c r="X876" t="s">
        <v>171</v>
      </c>
      <c r="Y876" s="9">
        <f t="shared" si="40"/>
        <v>0</v>
      </c>
      <c r="Z876" t="str">
        <f t="shared" si="41"/>
        <v>สแกนต่าง Cost</v>
      </c>
    </row>
    <row r="877" spans="1:26" x14ac:dyDescent="0.45">
      <c r="B877" t="s">
        <v>53</v>
      </c>
      <c r="C877">
        <v>20198715</v>
      </c>
      <c r="D877" t="s">
        <v>179</v>
      </c>
      <c r="E877" s="8">
        <v>46134.333333333336</v>
      </c>
      <c r="F877" s="8">
        <v>46134.729166666664</v>
      </c>
      <c r="G877" s="9">
        <v>8.5</v>
      </c>
      <c r="H877" s="9">
        <f t="shared" si="39"/>
        <v>4.4999999999999998E-2</v>
      </c>
      <c r="I877" s="9">
        <v>4.4999999999999998E-2</v>
      </c>
      <c r="J877" s="9"/>
      <c r="K877" s="9"/>
      <c r="L877" s="9"/>
      <c r="M877" t="s">
        <v>65</v>
      </c>
      <c r="N877" t="s">
        <v>29</v>
      </c>
      <c r="P877" t="s">
        <v>30</v>
      </c>
      <c r="Q877" t="s">
        <v>31</v>
      </c>
      <c r="R877">
        <v>82630</v>
      </c>
      <c r="S877" t="s">
        <v>32</v>
      </c>
      <c r="T877">
        <v>82611</v>
      </c>
      <c r="U877" t="s">
        <v>43</v>
      </c>
      <c r="V877" t="s">
        <v>43</v>
      </c>
      <c r="W877" t="s">
        <v>170</v>
      </c>
      <c r="X877" t="s">
        <v>171</v>
      </c>
      <c r="Y877" s="9">
        <f t="shared" si="40"/>
        <v>0</v>
      </c>
      <c r="Z877" t="str">
        <f t="shared" si="41"/>
        <v>สแกนต่าง Cost</v>
      </c>
    </row>
    <row r="878" spans="1:26" x14ac:dyDescent="0.45">
      <c r="B878" t="s">
        <v>53</v>
      </c>
      <c r="C878">
        <v>20198747</v>
      </c>
      <c r="D878" t="s">
        <v>180</v>
      </c>
      <c r="E878" s="8">
        <v>46134.333333333336</v>
      </c>
      <c r="F878" s="8">
        <v>46134.729166666664</v>
      </c>
      <c r="G878" s="9">
        <v>8.5</v>
      </c>
      <c r="H878" s="9">
        <f t="shared" si="39"/>
        <v>4.4999999999999998E-2</v>
      </c>
      <c r="I878" s="9">
        <v>4.4999999999999998E-2</v>
      </c>
      <c r="J878" s="9"/>
      <c r="K878" s="9"/>
      <c r="L878" s="9"/>
      <c r="M878" t="s">
        <v>65</v>
      </c>
      <c r="N878" t="s">
        <v>29</v>
      </c>
      <c r="P878" t="s">
        <v>30</v>
      </c>
      <c r="Q878" t="s">
        <v>31</v>
      </c>
      <c r="R878">
        <v>82630</v>
      </c>
      <c r="S878" t="s">
        <v>32</v>
      </c>
      <c r="T878">
        <v>82640</v>
      </c>
      <c r="U878" t="s">
        <v>42</v>
      </c>
      <c r="V878" t="s">
        <v>70</v>
      </c>
      <c r="W878" t="s">
        <v>170</v>
      </c>
      <c r="X878" t="s">
        <v>171</v>
      </c>
      <c r="Y878" s="9">
        <f t="shared" si="40"/>
        <v>0</v>
      </c>
      <c r="Z878" t="str">
        <f t="shared" si="41"/>
        <v>สแกนต่าง Cost</v>
      </c>
    </row>
    <row r="879" spans="1:26" x14ac:dyDescent="0.45">
      <c r="A879">
        <v>26791</v>
      </c>
      <c r="B879" t="s">
        <v>53</v>
      </c>
      <c r="C879">
        <v>20198835</v>
      </c>
      <c r="D879" t="s">
        <v>129</v>
      </c>
      <c r="E879" s="8">
        <v>46134.333333333336</v>
      </c>
      <c r="F879" s="8">
        <v>46134.82916666667</v>
      </c>
      <c r="G879" s="9">
        <v>11.9</v>
      </c>
      <c r="H879" s="9">
        <f t="shared" si="39"/>
        <v>6.3E-2</v>
      </c>
      <c r="I879" s="9">
        <v>4.4999999999999998E-2</v>
      </c>
      <c r="J879" s="9"/>
      <c r="K879" s="9">
        <v>1.7999999999999999E-2</v>
      </c>
      <c r="L879" s="9"/>
      <c r="M879" t="s">
        <v>28</v>
      </c>
      <c r="N879" t="s">
        <v>40</v>
      </c>
      <c r="O879" t="s">
        <v>41</v>
      </c>
      <c r="P879" t="s">
        <v>30</v>
      </c>
      <c r="Q879" t="s">
        <v>31</v>
      </c>
      <c r="R879">
        <v>82658</v>
      </c>
      <c r="S879" t="s">
        <v>33</v>
      </c>
      <c r="T879">
        <v>82664</v>
      </c>
      <c r="U879" t="s">
        <v>75</v>
      </c>
      <c r="V879" t="s">
        <v>75</v>
      </c>
      <c r="W879" t="s">
        <v>37</v>
      </c>
      <c r="X879" t="s">
        <v>111</v>
      </c>
      <c r="Y879" s="9">
        <f t="shared" si="40"/>
        <v>1.7999999999999999E-2</v>
      </c>
      <c r="Z879" t="str">
        <f t="shared" si="41"/>
        <v>สแกนต่าง Cost</v>
      </c>
    </row>
    <row r="880" spans="1:26" x14ac:dyDescent="0.45">
      <c r="B880" t="s">
        <v>53</v>
      </c>
      <c r="C880">
        <v>20220646</v>
      </c>
      <c r="D880" t="s">
        <v>67</v>
      </c>
      <c r="E880" s="8">
        <v>46134.333333333336</v>
      </c>
      <c r="F880" s="8">
        <v>46134.5</v>
      </c>
      <c r="G880" s="9">
        <v>4</v>
      </c>
      <c r="H880" s="9">
        <f t="shared" si="39"/>
        <v>2.1000000000000001E-2</v>
      </c>
      <c r="I880" s="9">
        <v>2.1000000000000001E-2</v>
      </c>
      <c r="J880" s="9"/>
      <c r="K880" s="9"/>
      <c r="L880" s="9"/>
      <c r="M880" t="s">
        <v>65</v>
      </c>
      <c r="N880" t="s">
        <v>29</v>
      </c>
      <c r="P880" t="s">
        <v>30</v>
      </c>
      <c r="Q880" t="s">
        <v>31</v>
      </c>
      <c r="R880">
        <v>82640</v>
      </c>
      <c r="S880" t="s">
        <v>42</v>
      </c>
      <c r="T880">
        <v>82652</v>
      </c>
      <c r="U880" t="s">
        <v>46</v>
      </c>
      <c r="V880" t="s">
        <v>66</v>
      </c>
      <c r="W880" t="s">
        <v>37</v>
      </c>
      <c r="X880" t="s">
        <v>34</v>
      </c>
      <c r="Y880" s="9">
        <f t="shared" si="40"/>
        <v>0</v>
      </c>
      <c r="Z880" t="str">
        <f t="shared" si="41"/>
        <v>สแกนต่าง Cost</v>
      </c>
    </row>
    <row r="881" spans="1:26" x14ac:dyDescent="0.45">
      <c r="B881" t="s">
        <v>53</v>
      </c>
      <c r="C881">
        <v>20220650</v>
      </c>
      <c r="D881" t="s">
        <v>291</v>
      </c>
      <c r="E881" s="8">
        <v>46134.333333333336</v>
      </c>
      <c r="F881" s="8">
        <v>46134.354166666664</v>
      </c>
      <c r="G881" s="9">
        <v>0.5</v>
      </c>
      <c r="H881" s="9">
        <f t="shared" si="39"/>
        <v>3.0000000000000001E-3</v>
      </c>
      <c r="I881" s="9">
        <v>3.0000000000000001E-3</v>
      </c>
      <c r="J881" s="9"/>
      <c r="K881" s="9"/>
      <c r="L881" s="9"/>
      <c r="M881" t="s">
        <v>65</v>
      </c>
      <c r="N881" t="s">
        <v>29</v>
      </c>
      <c r="P881" t="s">
        <v>30</v>
      </c>
      <c r="Q881" t="s">
        <v>31</v>
      </c>
      <c r="R881">
        <v>82640</v>
      </c>
      <c r="S881" t="s">
        <v>42</v>
      </c>
      <c r="T881">
        <v>82611</v>
      </c>
      <c r="U881" t="s">
        <v>43</v>
      </c>
      <c r="V881" t="s">
        <v>66</v>
      </c>
      <c r="W881" t="s">
        <v>44</v>
      </c>
      <c r="X881" t="s">
        <v>44</v>
      </c>
      <c r="Y881" s="9">
        <f t="shared" si="40"/>
        <v>0</v>
      </c>
      <c r="Z881" t="str">
        <f t="shared" si="41"/>
        <v>สแกนต่าง Cost</v>
      </c>
    </row>
    <row r="882" spans="1:26" x14ac:dyDescent="0.45">
      <c r="B882" t="s">
        <v>53</v>
      </c>
      <c r="C882">
        <v>20244923</v>
      </c>
      <c r="D882" t="s">
        <v>246</v>
      </c>
      <c r="E882" s="8">
        <v>46134.333333333336</v>
      </c>
      <c r="F882" s="8">
        <v>46134.375</v>
      </c>
      <c r="G882" s="9">
        <v>1</v>
      </c>
      <c r="H882" s="9">
        <f t="shared" si="39"/>
        <v>5.0000000000000001E-3</v>
      </c>
      <c r="I882" s="9">
        <v>5.0000000000000001E-3</v>
      </c>
      <c r="J882" s="9"/>
      <c r="K882" s="9"/>
      <c r="L882" s="9"/>
      <c r="M882" t="s">
        <v>65</v>
      </c>
      <c r="N882" t="s">
        <v>29</v>
      </c>
      <c r="P882" t="s">
        <v>30</v>
      </c>
      <c r="Q882" t="s">
        <v>31</v>
      </c>
      <c r="R882">
        <v>82640</v>
      </c>
      <c r="S882" t="s">
        <v>42</v>
      </c>
      <c r="T882">
        <v>82611</v>
      </c>
      <c r="U882" t="s">
        <v>43</v>
      </c>
      <c r="V882" t="s">
        <v>66</v>
      </c>
      <c r="W882" t="s">
        <v>44</v>
      </c>
      <c r="X882" t="s">
        <v>44</v>
      </c>
      <c r="Y882" s="9">
        <f t="shared" si="40"/>
        <v>0</v>
      </c>
      <c r="Z882" t="str">
        <f t="shared" si="41"/>
        <v>สแกนต่าง Cost</v>
      </c>
    </row>
    <row r="883" spans="1:26" x14ac:dyDescent="0.45">
      <c r="A883">
        <v>26883</v>
      </c>
      <c r="B883" t="s">
        <v>53</v>
      </c>
      <c r="C883">
        <v>20276266</v>
      </c>
      <c r="D883" t="s">
        <v>292</v>
      </c>
      <c r="E883" s="8">
        <v>46134.333333333336</v>
      </c>
      <c r="F883" s="8">
        <v>46134.729166666664</v>
      </c>
      <c r="G883" s="9">
        <v>8.5</v>
      </c>
      <c r="H883" s="9">
        <f t="shared" si="39"/>
        <v>4.4999999999999998E-2</v>
      </c>
      <c r="I883" s="9"/>
      <c r="J883" s="9">
        <v>4.4999999999999998E-2</v>
      </c>
      <c r="K883" s="9"/>
      <c r="L883" s="9"/>
      <c r="M883" t="s">
        <v>77</v>
      </c>
      <c r="N883" t="s">
        <v>29</v>
      </c>
      <c r="P883" t="s">
        <v>30</v>
      </c>
      <c r="Q883" t="s">
        <v>31</v>
      </c>
      <c r="R883">
        <v>82301</v>
      </c>
      <c r="S883" t="s">
        <v>79</v>
      </c>
      <c r="T883">
        <v>82640</v>
      </c>
      <c r="U883" t="s">
        <v>42</v>
      </c>
      <c r="V883" t="s">
        <v>70</v>
      </c>
      <c r="W883" t="s">
        <v>71</v>
      </c>
      <c r="X883" t="s">
        <v>72</v>
      </c>
      <c r="Y883" s="9">
        <f t="shared" si="40"/>
        <v>4.4999999999999998E-2</v>
      </c>
      <c r="Z883" t="str">
        <f t="shared" si="41"/>
        <v>สแกนต่าง Cost</v>
      </c>
    </row>
    <row r="884" spans="1:26" x14ac:dyDescent="0.45">
      <c r="A884">
        <v>26909</v>
      </c>
      <c r="B884" t="s">
        <v>53</v>
      </c>
      <c r="C884">
        <v>20284710</v>
      </c>
      <c r="D884" t="s">
        <v>182</v>
      </c>
      <c r="E884" s="8">
        <v>46134.333333333336</v>
      </c>
      <c r="F884" s="8">
        <v>46134.729166666664</v>
      </c>
      <c r="G884" s="9">
        <v>8.5</v>
      </c>
      <c r="H884" s="9">
        <f t="shared" si="39"/>
        <v>4.4999999999999998E-2</v>
      </c>
      <c r="I884" s="9"/>
      <c r="J884" s="9">
        <v>4.4999999999999998E-2</v>
      </c>
      <c r="K884" s="9"/>
      <c r="L884" s="9"/>
      <c r="M884" t="s">
        <v>77</v>
      </c>
      <c r="N884" t="s">
        <v>40</v>
      </c>
      <c r="O884" t="s">
        <v>78</v>
      </c>
      <c r="P884" t="s">
        <v>30</v>
      </c>
      <c r="Q884" t="s">
        <v>31</v>
      </c>
      <c r="R884">
        <v>82210</v>
      </c>
      <c r="S884" t="s">
        <v>184</v>
      </c>
      <c r="T884">
        <v>82308</v>
      </c>
      <c r="U884" t="s">
        <v>69</v>
      </c>
      <c r="V884" t="s">
        <v>69</v>
      </c>
      <c r="W884" t="s">
        <v>69</v>
      </c>
      <c r="X884" t="s">
        <v>57</v>
      </c>
      <c r="Y884" s="9">
        <f t="shared" si="40"/>
        <v>4.4999999999999998E-2</v>
      </c>
      <c r="Z884" t="str">
        <f t="shared" si="41"/>
        <v>สแกนต่าง Cost</v>
      </c>
    </row>
    <row r="885" spans="1:26" x14ac:dyDescent="0.45">
      <c r="B885" t="s">
        <v>53</v>
      </c>
      <c r="C885">
        <v>20310532</v>
      </c>
      <c r="D885" t="s">
        <v>61</v>
      </c>
      <c r="E885" s="8">
        <v>46134.333333333336</v>
      </c>
      <c r="F885" s="8">
        <v>46134.375</v>
      </c>
      <c r="G885" s="9">
        <v>1</v>
      </c>
      <c r="H885" s="9">
        <f t="shared" si="39"/>
        <v>5.0000000000000001E-3</v>
      </c>
      <c r="I885" s="9">
        <v>5.0000000000000001E-3</v>
      </c>
      <c r="J885" s="9"/>
      <c r="K885" s="9"/>
      <c r="L885" s="9"/>
      <c r="M885" t="s">
        <v>65</v>
      </c>
      <c r="N885" t="s">
        <v>29</v>
      </c>
      <c r="P885" t="s">
        <v>30</v>
      </c>
      <c r="Q885" t="s">
        <v>31</v>
      </c>
      <c r="R885">
        <v>82640</v>
      </c>
      <c r="S885" t="s">
        <v>42</v>
      </c>
      <c r="T885">
        <v>82630</v>
      </c>
      <c r="U885" t="s">
        <v>32</v>
      </c>
      <c r="V885" t="s">
        <v>66</v>
      </c>
      <c r="W885" t="s">
        <v>44</v>
      </c>
      <c r="X885" t="s">
        <v>44</v>
      </c>
      <c r="Y885" s="9">
        <f t="shared" si="40"/>
        <v>0</v>
      </c>
      <c r="Z885" t="str">
        <f t="shared" si="41"/>
        <v>สแกนต่าง Cost</v>
      </c>
    </row>
    <row r="886" spans="1:26" x14ac:dyDescent="0.45">
      <c r="B886" t="s">
        <v>53</v>
      </c>
      <c r="C886">
        <v>20319535</v>
      </c>
      <c r="D886" t="s">
        <v>36</v>
      </c>
      <c r="E886" s="8">
        <v>46134.333333333336</v>
      </c>
      <c r="F886" s="8">
        <v>46134.729166666664</v>
      </c>
      <c r="G886" s="9">
        <v>9.5</v>
      </c>
      <c r="H886" s="9">
        <f t="shared" si="39"/>
        <v>4.9999999999999996E-2</v>
      </c>
      <c r="I886" s="9">
        <v>4.4999999999999998E-2</v>
      </c>
      <c r="J886" s="9"/>
      <c r="K886" s="9">
        <v>5.0000000000000001E-3</v>
      </c>
      <c r="L886" s="9"/>
      <c r="M886" t="s">
        <v>28</v>
      </c>
      <c r="N886" t="s">
        <v>29</v>
      </c>
      <c r="P886" t="s">
        <v>30</v>
      </c>
      <c r="Q886" t="s">
        <v>31</v>
      </c>
      <c r="R886">
        <v>82630</v>
      </c>
      <c r="S886" t="s">
        <v>32</v>
      </c>
      <c r="T886">
        <v>82611</v>
      </c>
      <c r="U886" t="s">
        <v>43</v>
      </c>
      <c r="V886" t="s">
        <v>43</v>
      </c>
      <c r="W886" t="s">
        <v>170</v>
      </c>
      <c r="X886" t="s">
        <v>171</v>
      </c>
      <c r="Y886" s="9">
        <f t="shared" si="40"/>
        <v>5.0000000000000001E-3</v>
      </c>
      <c r="Z886" t="str">
        <f t="shared" si="41"/>
        <v>สแกนต่าง Cost</v>
      </c>
    </row>
    <row r="887" spans="1:26" x14ac:dyDescent="0.45">
      <c r="B887" t="s">
        <v>26</v>
      </c>
      <c r="C887">
        <v>20330032</v>
      </c>
      <c r="D887" t="s">
        <v>204</v>
      </c>
      <c r="E887" s="8">
        <v>46134.333333333336</v>
      </c>
      <c r="F887" s="8">
        <v>46134.729166666664</v>
      </c>
      <c r="G887" s="9">
        <v>8.5</v>
      </c>
      <c r="H887" s="9">
        <f t="shared" si="39"/>
        <v>4.4999999999999998E-2</v>
      </c>
      <c r="I887" s="9">
        <v>4.4999999999999998E-2</v>
      </c>
      <c r="J887" s="9"/>
      <c r="K887" s="9"/>
      <c r="L887" s="9"/>
      <c r="M887" t="s">
        <v>77</v>
      </c>
      <c r="N887" t="s">
        <v>29</v>
      </c>
      <c r="P887" t="s">
        <v>30</v>
      </c>
      <c r="Q887" t="s">
        <v>31</v>
      </c>
      <c r="R887">
        <v>82910</v>
      </c>
      <c r="S887" t="s">
        <v>201</v>
      </c>
      <c r="T887">
        <v>82605</v>
      </c>
      <c r="U887" t="s">
        <v>202</v>
      </c>
      <c r="V887" t="s">
        <v>202</v>
      </c>
      <c r="W887" t="s">
        <v>37</v>
      </c>
      <c r="X887" t="s">
        <v>47</v>
      </c>
      <c r="Y887" s="9">
        <f t="shared" si="40"/>
        <v>0</v>
      </c>
      <c r="Z887" t="str">
        <f t="shared" si="41"/>
        <v>สแกนต่าง Cost</v>
      </c>
    </row>
    <row r="888" spans="1:26" x14ac:dyDescent="0.45">
      <c r="B888" t="s">
        <v>53</v>
      </c>
      <c r="C888">
        <v>20332134</v>
      </c>
      <c r="D888" t="s">
        <v>156</v>
      </c>
      <c r="E888" s="8">
        <v>46134.333333333336</v>
      </c>
      <c r="F888" s="8">
        <v>46134.395833333336</v>
      </c>
      <c r="G888" s="9">
        <v>1.5</v>
      </c>
      <c r="H888" s="9">
        <f t="shared" si="39"/>
        <v>8.0000000000000002E-3</v>
      </c>
      <c r="I888" s="9">
        <v>8.0000000000000002E-3</v>
      </c>
      <c r="J888" s="9"/>
      <c r="K888" s="9"/>
      <c r="L888" s="9"/>
      <c r="M888" t="s">
        <v>65</v>
      </c>
      <c r="N888" t="s">
        <v>29</v>
      </c>
      <c r="P888" t="s">
        <v>30</v>
      </c>
      <c r="Q888" t="s">
        <v>31</v>
      </c>
      <c r="R888">
        <v>82640</v>
      </c>
      <c r="S888" t="s">
        <v>42</v>
      </c>
      <c r="T888">
        <v>82630</v>
      </c>
      <c r="U888" t="s">
        <v>32</v>
      </c>
      <c r="V888" t="s">
        <v>66</v>
      </c>
      <c r="W888" t="s">
        <v>44</v>
      </c>
      <c r="X888" t="s">
        <v>44</v>
      </c>
      <c r="Y888" s="9">
        <f t="shared" si="40"/>
        <v>0</v>
      </c>
      <c r="Z888" t="str">
        <f t="shared" si="41"/>
        <v>สแกนต่าง Cost</v>
      </c>
    </row>
    <row r="889" spans="1:26" x14ac:dyDescent="0.45">
      <c r="A889">
        <v>26744</v>
      </c>
      <c r="B889" t="s">
        <v>53</v>
      </c>
      <c r="C889">
        <v>20334399</v>
      </c>
      <c r="D889" t="s">
        <v>237</v>
      </c>
      <c r="E889" s="8">
        <v>46134.333333333336</v>
      </c>
      <c r="F889" s="8">
        <v>46134.729166666664</v>
      </c>
      <c r="G889" s="9">
        <v>8.5</v>
      </c>
      <c r="H889" s="9">
        <f t="shared" si="39"/>
        <v>4.4999999999999998E-2</v>
      </c>
      <c r="I889" s="9">
        <v>4.4999999999999998E-2</v>
      </c>
      <c r="J889" s="9"/>
      <c r="K889" s="9"/>
      <c r="L889" s="9"/>
      <c r="M889" t="s">
        <v>65</v>
      </c>
      <c r="N889" t="s">
        <v>29</v>
      </c>
      <c r="P889" t="s">
        <v>30</v>
      </c>
      <c r="Q889" t="s">
        <v>31</v>
      </c>
      <c r="R889">
        <v>82301</v>
      </c>
      <c r="S889" t="s">
        <v>79</v>
      </c>
      <c r="T889">
        <v>82308</v>
      </c>
      <c r="U889" t="s">
        <v>69</v>
      </c>
      <c r="V889" t="s">
        <v>69</v>
      </c>
      <c r="W889" t="s">
        <v>69</v>
      </c>
      <c r="X889" t="s">
        <v>196</v>
      </c>
      <c r="Y889" s="9">
        <f t="shared" si="40"/>
        <v>0</v>
      </c>
      <c r="Z889" t="str">
        <f t="shared" si="41"/>
        <v>สแกนต่าง Cost</v>
      </c>
    </row>
    <row r="890" spans="1:26" x14ac:dyDescent="0.45">
      <c r="B890" t="s">
        <v>53</v>
      </c>
      <c r="C890">
        <v>20344532</v>
      </c>
      <c r="D890" t="s">
        <v>186</v>
      </c>
      <c r="E890" s="8">
        <v>46134.333333333336</v>
      </c>
      <c r="F890" s="8">
        <v>46134.729166666664</v>
      </c>
      <c r="G890" s="9">
        <v>9.5</v>
      </c>
      <c r="H890" s="9">
        <f t="shared" si="39"/>
        <v>4.9999999999999996E-2</v>
      </c>
      <c r="I890" s="9">
        <v>4.4999999999999998E-2</v>
      </c>
      <c r="J890" s="9"/>
      <c r="K890" s="9">
        <v>5.0000000000000001E-3</v>
      </c>
      <c r="L890" s="9"/>
      <c r="M890" t="s">
        <v>28</v>
      </c>
      <c r="N890" t="s">
        <v>29</v>
      </c>
      <c r="P890" t="s">
        <v>30</v>
      </c>
      <c r="Q890" t="s">
        <v>31</v>
      </c>
      <c r="R890">
        <v>82630</v>
      </c>
      <c r="S890" t="s">
        <v>32</v>
      </c>
      <c r="T890">
        <v>82611</v>
      </c>
      <c r="U890" t="s">
        <v>43</v>
      </c>
      <c r="V890" t="s">
        <v>43</v>
      </c>
      <c r="W890" t="s">
        <v>170</v>
      </c>
      <c r="X890" t="s">
        <v>171</v>
      </c>
      <c r="Y890" s="9">
        <f t="shared" si="40"/>
        <v>5.0000000000000001E-3</v>
      </c>
      <c r="Z890" t="str">
        <f t="shared" si="41"/>
        <v>สแกนต่าง Cost</v>
      </c>
    </row>
    <row r="891" spans="1:26" x14ac:dyDescent="0.45">
      <c r="A891">
        <v>26793</v>
      </c>
      <c r="B891" t="s">
        <v>53</v>
      </c>
      <c r="C891">
        <v>20344551</v>
      </c>
      <c r="D891" t="s">
        <v>110</v>
      </c>
      <c r="E891" s="8">
        <v>46134.333333333336</v>
      </c>
      <c r="F891" s="8">
        <v>46134.829861111109</v>
      </c>
      <c r="G891" s="9">
        <v>11.916666666666666</v>
      </c>
      <c r="H891" s="9">
        <f t="shared" si="39"/>
        <v>6.3E-2</v>
      </c>
      <c r="I891" s="9">
        <v>4.4999999999999998E-2</v>
      </c>
      <c r="J891" s="9"/>
      <c r="K891" s="9">
        <v>1.7999999999999999E-2</v>
      </c>
      <c r="L891" s="9"/>
      <c r="M891" t="s">
        <v>28</v>
      </c>
      <c r="N891" t="s">
        <v>40</v>
      </c>
      <c r="O891" t="s">
        <v>41</v>
      </c>
      <c r="P891" t="s">
        <v>30</v>
      </c>
      <c r="Q891" t="s">
        <v>31</v>
      </c>
      <c r="R891">
        <v>82655</v>
      </c>
      <c r="S891" t="s">
        <v>59</v>
      </c>
      <c r="T891">
        <v>82664</v>
      </c>
      <c r="U891" t="s">
        <v>75</v>
      </c>
      <c r="V891" t="s">
        <v>75</v>
      </c>
      <c r="W891" t="s">
        <v>37</v>
      </c>
      <c r="X891" t="s">
        <v>111</v>
      </c>
      <c r="Y891" s="9">
        <f t="shared" si="40"/>
        <v>1.7999999999999999E-2</v>
      </c>
      <c r="Z891" t="str">
        <f t="shared" si="41"/>
        <v>สแกนต่าง Cost</v>
      </c>
    </row>
    <row r="892" spans="1:26" x14ac:dyDescent="0.45">
      <c r="A892">
        <v>26794</v>
      </c>
      <c r="B892" t="s">
        <v>53</v>
      </c>
      <c r="C892">
        <v>20344552</v>
      </c>
      <c r="D892" t="s">
        <v>112</v>
      </c>
      <c r="E892" s="8">
        <v>46134.333333333336</v>
      </c>
      <c r="F892" s="8">
        <v>46134.829861111109</v>
      </c>
      <c r="G892" s="9">
        <v>11.916666666666666</v>
      </c>
      <c r="H892" s="9">
        <f t="shared" si="39"/>
        <v>6.3E-2</v>
      </c>
      <c r="I892" s="9">
        <v>4.4999999999999998E-2</v>
      </c>
      <c r="J892" s="9"/>
      <c r="K892" s="9">
        <v>1.7999999999999999E-2</v>
      </c>
      <c r="L892" s="9"/>
      <c r="M892" t="s">
        <v>28</v>
      </c>
      <c r="N892" t="s">
        <v>40</v>
      </c>
      <c r="O892" t="s">
        <v>41</v>
      </c>
      <c r="P892" t="s">
        <v>30</v>
      </c>
      <c r="Q892" t="s">
        <v>31</v>
      </c>
      <c r="R892">
        <v>82655</v>
      </c>
      <c r="S892" t="s">
        <v>59</v>
      </c>
      <c r="T892">
        <v>82664</v>
      </c>
      <c r="U892" t="s">
        <v>75</v>
      </c>
      <c r="V892" t="s">
        <v>75</v>
      </c>
      <c r="W892" t="s">
        <v>37</v>
      </c>
      <c r="X892" t="s">
        <v>111</v>
      </c>
      <c r="Y892" s="9">
        <f t="shared" si="40"/>
        <v>1.7999999999999999E-2</v>
      </c>
      <c r="Z892" t="str">
        <f t="shared" si="41"/>
        <v>สแกนต่าง Cost</v>
      </c>
    </row>
    <row r="893" spans="1:26" x14ac:dyDescent="0.45">
      <c r="B893" t="s">
        <v>53</v>
      </c>
      <c r="C893">
        <v>20352276</v>
      </c>
      <c r="D893" t="s">
        <v>187</v>
      </c>
      <c r="E893" s="8">
        <v>46134.333333333336</v>
      </c>
      <c r="F893" s="8">
        <v>46134.729166666664</v>
      </c>
      <c r="G893" s="9">
        <v>8.5</v>
      </c>
      <c r="H893" s="9">
        <f t="shared" si="39"/>
        <v>4.4999999999999998E-2</v>
      </c>
      <c r="I893" s="9">
        <v>4.4999999999999998E-2</v>
      </c>
      <c r="J893" s="9"/>
      <c r="K893" s="9"/>
      <c r="L893" s="9"/>
      <c r="M893" t="s">
        <v>65</v>
      </c>
      <c r="N893" t="s">
        <v>29</v>
      </c>
      <c r="P893" t="s">
        <v>30</v>
      </c>
      <c r="Q893" t="s">
        <v>31</v>
      </c>
      <c r="R893">
        <v>82630</v>
      </c>
      <c r="S893" t="s">
        <v>32</v>
      </c>
      <c r="T893">
        <v>82611</v>
      </c>
      <c r="U893" t="s">
        <v>43</v>
      </c>
      <c r="V893" t="s">
        <v>43</v>
      </c>
      <c r="W893" t="s">
        <v>170</v>
      </c>
      <c r="X893" t="s">
        <v>171</v>
      </c>
      <c r="Y893" s="9">
        <f t="shared" si="40"/>
        <v>0</v>
      </c>
      <c r="Z893" t="str">
        <f t="shared" si="41"/>
        <v>สแกนต่าง Cost</v>
      </c>
    </row>
    <row r="894" spans="1:26" x14ac:dyDescent="0.45">
      <c r="B894" t="s">
        <v>26</v>
      </c>
      <c r="C894">
        <v>20352282</v>
      </c>
      <c r="D894" t="s">
        <v>84</v>
      </c>
      <c r="E894" s="8">
        <v>46134.333333333336</v>
      </c>
      <c r="F894" s="8">
        <v>46134.770833333336</v>
      </c>
      <c r="G894" s="9">
        <v>10.5</v>
      </c>
      <c r="H894" s="9">
        <f t="shared" si="39"/>
        <v>5.5999999999999994E-2</v>
      </c>
      <c r="I894" s="9">
        <v>4.4999999999999998E-2</v>
      </c>
      <c r="J894" s="9"/>
      <c r="K894" s="9">
        <v>1.0999999999999999E-2</v>
      </c>
      <c r="L894" s="9"/>
      <c r="M894" t="s">
        <v>28</v>
      </c>
      <c r="N894" t="s">
        <v>29</v>
      </c>
      <c r="P894" t="s">
        <v>30</v>
      </c>
      <c r="Q894" t="s">
        <v>31</v>
      </c>
      <c r="R894">
        <v>82400</v>
      </c>
      <c r="S894" t="s">
        <v>83</v>
      </c>
      <c r="T894">
        <v>82658</v>
      </c>
      <c r="U894" t="s">
        <v>33</v>
      </c>
      <c r="V894" t="s">
        <v>33</v>
      </c>
      <c r="W894" t="s">
        <v>37</v>
      </c>
      <c r="X894" t="s">
        <v>267</v>
      </c>
      <c r="Y894" s="9">
        <f t="shared" si="40"/>
        <v>1.0999999999999999E-2</v>
      </c>
      <c r="Z894" t="str">
        <f t="shared" si="41"/>
        <v>สแกนต่าง Cost</v>
      </c>
    </row>
    <row r="895" spans="1:26" x14ac:dyDescent="0.45">
      <c r="B895" t="s">
        <v>53</v>
      </c>
      <c r="C895">
        <v>20368087</v>
      </c>
      <c r="D895" t="s">
        <v>260</v>
      </c>
      <c r="E895" s="8">
        <v>46134.333333333336</v>
      </c>
      <c r="F895" s="8">
        <v>46134.416666666664</v>
      </c>
      <c r="G895" s="9">
        <v>2</v>
      </c>
      <c r="H895" s="9">
        <f t="shared" si="39"/>
        <v>1.0999999999999999E-2</v>
      </c>
      <c r="I895" s="9">
        <v>1.0999999999999999E-2</v>
      </c>
      <c r="J895" s="9"/>
      <c r="K895" s="9"/>
      <c r="L895" s="9"/>
      <c r="M895" t="s">
        <v>65</v>
      </c>
      <c r="N895" t="s">
        <v>29</v>
      </c>
      <c r="P895" t="s">
        <v>30</v>
      </c>
      <c r="Q895" t="s">
        <v>31</v>
      </c>
      <c r="R895">
        <v>82640</v>
      </c>
      <c r="S895" t="s">
        <v>42</v>
      </c>
      <c r="T895">
        <v>82612</v>
      </c>
      <c r="U895" t="s">
        <v>153</v>
      </c>
      <c r="V895" t="s">
        <v>66</v>
      </c>
      <c r="W895" t="s">
        <v>44</v>
      </c>
      <c r="X895" t="s">
        <v>44</v>
      </c>
      <c r="Y895" s="9">
        <f t="shared" si="40"/>
        <v>0</v>
      </c>
      <c r="Z895" t="str">
        <f t="shared" si="41"/>
        <v>สแกนต่าง Cost</v>
      </c>
    </row>
    <row r="896" spans="1:26" x14ac:dyDescent="0.45">
      <c r="A896">
        <v>26792</v>
      </c>
      <c r="B896" t="s">
        <v>53</v>
      </c>
      <c r="C896">
        <v>20372709</v>
      </c>
      <c r="D896" t="s">
        <v>130</v>
      </c>
      <c r="E896" s="8">
        <v>46134.333333333336</v>
      </c>
      <c r="F896" s="8">
        <v>46134.82916666667</v>
      </c>
      <c r="G896" s="9">
        <v>11.9</v>
      </c>
      <c r="H896" s="9">
        <f t="shared" si="39"/>
        <v>6.3E-2</v>
      </c>
      <c r="I896" s="9">
        <v>4.4999999999999998E-2</v>
      </c>
      <c r="J896" s="9"/>
      <c r="K896" s="9">
        <v>1.7999999999999999E-2</v>
      </c>
      <c r="L896" s="9"/>
      <c r="M896" t="s">
        <v>28</v>
      </c>
      <c r="N896" t="s">
        <v>40</v>
      </c>
      <c r="O896" t="s">
        <v>41</v>
      </c>
      <c r="P896" t="s">
        <v>30</v>
      </c>
      <c r="Q896" t="s">
        <v>31</v>
      </c>
      <c r="R896">
        <v>82658</v>
      </c>
      <c r="S896" t="s">
        <v>33</v>
      </c>
      <c r="T896">
        <v>82664</v>
      </c>
      <c r="U896" t="s">
        <v>75</v>
      </c>
      <c r="V896" t="s">
        <v>75</v>
      </c>
      <c r="W896" t="s">
        <v>37</v>
      </c>
      <c r="X896" t="s">
        <v>111</v>
      </c>
      <c r="Y896" s="9">
        <f t="shared" si="40"/>
        <v>1.7999999999999999E-2</v>
      </c>
      <c r="Z896" t="str">
        <f t="shared" si="41"/>
        <v>สแกนต่าง Cost</v>
      </c>
    </row>
    <row r="897" spans="1:26" x14ac:dyDescent="0.45">
      <c r="A897">
        <v>26745</v>
      </c>
      <c r="B897" t="s">
        <v>53</v>
      </c>
      <c r="C897">
        <v>20374943</v>
      </c>
      <c r="D897" t="s">
        <v>207</v>
      </c>
      <c r="E897" s="8">
        <v>46134.333333333336</v>
      </c>
      <c r="F897" s="8">
        <v>46134.729166666664</v>
      </c>
      <c r="G897" s="9">
        <v>8.5</v>
      </c>
      <c r="H897" s="9">
        <f t="shared" si="39"/>
        <v>4.4999999999999998E-2</v>
      </c>
      <c r="I897" s="9">
        <v>4.4999999999999998E-2</v>
      </c>
      <c r="J897" s="9"/>
      <c r="K897" s="9"/>
      <c r="L897" s="9"/>
      <c r="M897" t="s">
        <v>65</v>
      </c>
      <c r="N897" t="s">
        <v>29</v>
      </c>
      <c r="P897" t="s">
        <v>30</v>
      </c>
      <c r="Q897" t="s">
        <v>31</v>
      </c>
      <c r="R897">
        <v>82301</v>
      </c>
      <c r="S897" t="s">
        <v>79</v>
      </c>
      <c r="T897">
        <v>82308</v>
      </c>
      <c r="U897" t="s">
        <v>69</v>
      </c>
      <c r="V897" t="s">
        <v>69</v>
      </c>
      <c r="W897" t="s">
        <v>69</v>
      </c>
      <c r="X897" t="s">
        <v>196</v>
      </c>
      <c r="Y897" s="9">
        <f t="shared" si="40"/>
        <v>0</v>
      </c>
      <c r="Z897" t="str">
        <f t="shared" si="41"/>
        <v>สแกนต่าง Cost</v>
      </c>
    </row>
    <row r="898" spans="1:26" x14ac:dyDescent="0.45">
      <c r="A898">
        <v>26882</v>
      </c>
      <c r="B898" t="s">
        <v>53</v>
      </c>
      <c r="C898">
        <v>20377125</v>
      </c>
      <c r="D898" t="s">
        <v>194</v>
      </c>
      <c r="E898" s="8">
        <v>46134.333333333336</v>
      </c>
      <c r="F898" s="8">
        <v>46134.729166666664</v>
      </c>
      <c r="G898" s="9">
        <v>9.5</v>
      </c>
      <c r="H898" s="9">
        <f t="shared" si="39"/>
        <v>5.0000000000000001E-3</v>
      </c>
      <c r="I898" s="9"/>
      <c r="J898" s="9"/>
      <c r="K898" s="9"/>
      <c r="L898" s="9">
        <v>5.0000000000000001E-3</v>
      </c>
      <c r="M898" t="s">
        <v>255</v>
      </c>
      <c r="N898" t="s">
        <v>29</v>
      </c>
      <c r="P898" t="s">
        <v>30</v>
      </c>
      <c r="Q898" t="s">
        <v>31</v>
      </c>
      <c r="R898">
        <v>82301</v>
      </c>
      <c r="S898" t="s">
        <v>79</v>
      </c>
      <c r="T898">
        <v>82640</v>
      </c>
      <c r="U898" t="s">
        <v>42</v>
      </c>
      <c r="V898" t="s">
        <v>70</v>
      </c>
      <c r="W898" t="s">
        <v>71</v>
      </c>
      <c r="X898" t="s">
        <v>72</v>
      </c>
      <c r="Y898" s="9">
        <f t="shared" si="40"/>
        <v>5.0000000000000001E-3</v>
      </c>
      <c r="Z898" t="str">
        <f t="shared" si="41"/>
        <v>สแกนต่าง Cost</v>
      </c>
    </row>
    <row r="899" spans="1:26" x14ac:dyDescent="0.45">
      <c r="A899">
        <v>26965</v>
      </c>
      <c r="B899" t="s">
        <v>53</v>
      </c>
      <c r="C899">
        <v>20382170</v>
      </c>
      <c r="D899" t="s">
        <v>118</v>
      </c>
      <c r="E899" s="8">
        <v>46134.333333333336</v>
      </c>
      <c r="F899" s="8">
        <v>46134.768055555556</v>
      </c>
      <c r="G899" s="9">
        <v>10.433333333333334</v>
      </c>
      <c r="H899" s="9">
        <f t="shared" ref="H899:H962" si="42">SUM(I899:L899)</f>
        <v>5.5E-2</v>
      </c>
      <c r="I899" s="9">
        <v>4.4999999999999998E-2</v>
      </c>
      <c r="J899" s="9"/>
      <c r="K899" s="9">
        <v>0.01</v>
      </c>
      <c r="L899" s="9"/>
      <c r="M899" t="s">
        <v>28</v>
      </c>
      <c r="N899" t="s">
        <v>29</v>
      </c>
      <c r="P899" t="s">
        <v>30</v>
      </c>
      <c r="Q899" t="s">
        <v>31</v>
      </c>
      <c r="R899">
        <v>82400</v>
      </c>
      <c r="S899" t="s">
        <v>83</v>
      </c>
      <c r="T899">
        <v>82658</v>
      </c>
      <c r="U899" t="s">
        <v>33</v>
      </c>
      <c r="V899" t="s">
        <v>33</v>
      </c>
      <c r="W899" t="s">
        <v>37</v>
      </c>
      <c r="X899" t="s">
        <v>267</v>
      </c>
      <c r="Y899" s="9">
        <f t="shared" ref="Y899:Y962" si="43">SUM(J899:L899)</f>
        <v>0.01</v>
      </c>
      <c r="Z899" t="str">
        <f t="shared" ref="Z899:Z962" si="44">IF(R899=T899,"สแกน Cost ตัวเอง","สแกนต่าง Cost")</f>
        <v>สแกนต่าง Cost</v>
      </c>
    </row>
    <row r="900" spans="1:26" x14ac:dyDescent="0.45">
      <c r="A900">
        <v>26966</v>
      </c>
      <c r="B900" t="s">
        <v>53</v>
      </c>
      <c r="C900">
        <v>20382171</v>
      </c>
      <c r="D900" t="s">
        <v>119</v>
      </c>
      <c r="E900" s="8">
        <v>46134.333333333336</v>
      </c>
      <c r="F900" s="8">
        <v>46134.768055555556</v>
      </c>
      <c r="G900" s="9">
        <v>10.433333333333334</v>
      </c>
      <c r="H900" s="9">
        <f t="shared" si="42"/>
        <v>5.5E-2</v>
      </c>
      <c r="I900" s="9">
        <v>4.4999999999999998E-2</v>
      </c>
      <c r="J900" s="9"/>
      <c r="K900" s="9">
        <v>0.01</v>
      </c>
      <c r="L900" s="9"/>
      <c r="M900" t="s">
        <v>28</v>
      </c>
      <c r="N900" t="s">
        <v>29</v>
      </c>
      <c r="P900" t="s">
        <v>30</v>
      </c>
      <c r="Q900" t="s">
        <v>31</v>
      </c>
      <c r="R900">
        <v>82400</v>
      </c>
      <c r="S900" t="s">
        <v>83</v>
      </c>
      <c r="T900">
        <v>82658</v>
      </c>
      <c r="U900" t="s">
        <v>33</v>
      </c>
      <c r="V900" t="s">
        <v>33</v>
      </c>
      <c r="W900" t="s">
        <v>37</v>
      </c>
      <c r="X900" t="s">
        <v>267</v>
      </c>
      <c r="Y900" s="9">
        <f t="shared" si="43"/>
        <v>0.01</v>
      </c>
      <c r="Z900" t="str">
        <f t="shared" si="44"/>
        <v>สแกนต่าง Cost</v>
      </c>
    </row>
    <row r="901" spans="1:26" x14ac:dyDescent="0.45">
      <c r="A901">
        <v>26789</v>
      </c>
      <c r="B901" t="s">
        <v>53</v>
      </c>
      <c r="C901">
        <v>20267288</v>
      </c>
      <c r="D901" t="s">
        <v>127</v>
      </c>
      <c r="E901" s="8">
        <v>46134.330555555556</v>
      </c>
      <c r="F901" s="8">
        <v>46134.827777777777</v>
      </c>
      <c r="G901" s="9">
        <v>11.933333333333334</v>
      </c>
      <c r="H901" s="9">
        <f t="shared" si="42"/>
        <v>6.3E-2</v>
      </c>
      <c r="I901" s="9">
        <v>4.4999999999999998E-2</v>
      </c>
      <c r="J901" s="9"/>
      <c r="K901" s="9">
        <v>1.7999999999999999E-2</v>
      </c>
      <c r="L901" s="9"/>
      <c r="M901" t="s">
        <v>28</v>
      </c>
      <c r="N901" t="s">
        <v>40</v>
      </c>
      <c r="O901" t="s">
        <v>41</v>
      </c>
      <c r="P901" t="s">
        <v>30</v>
      </c>
      <c r="Q901" t="s">
        <v>31</v>
      </c>
      <c r="R901">
        <v>82409</v>
      </c>
      <c r="S901" t="s">
        <v>74</v>
      </c>
      <c r="T901">
        <v>82664</v>
      </c>
      <c r="U901" t="s">
        <v>75</v>
      </c>
      <c r="V901" t="s">
        <v>75</v>
      </c>
      <c r="W901" t="s">
        <v>74</v>
      </c>
      <c r="X901" t="s">
        <v>74</v>
      </c>
      <c r="Y901" s="9">
        <f t="shared" si="43"/>
        <v>1.7999999999999999E-2</v>
      </c>
      <c r="Z901" t="str">
        <f t="shared" si="44"/>
        <v>สแกนต่าง Cost</v>
      </c>
    </row>
    <row r="902" spans="1:26" x14ac:dyDescent="0.45">
      <c r="A902">
        <v>26910</v>
      </c>
      <c r="B902" t="s">
        <v>53</v>
      </c>
      <c r="C902">
        <v>20284710</v>
      </c>
      <c r="D902" t="s">
        <v>182</v>
      </c>
      <c r="E902" s="8">
        <v>46134.325694444444</v>
      </c>
      <c r="F902" s="8">
        <v>46134.729166666664</v>
      </c>
      <c r="G902" s="9">
        <v>8.6833333333333336</v>
      </c>
      <c r="H902" s="9">
        <f t="shared" si="42"/>
        <v>4.5999999999999999E-2</v>
      </c>
      <c r="I902" s="9"/>
      <c r="J902" s="9">
        <v>4.5999999999999999E-2</v>
      </c>
      <c r="K902" s="9"/>
      <c r="L902" s="9"/>
      <c r="M902" t="s">
        <v>77</v>
      </c>
      <c r="N902" t="s">
        <v>40</v>
      </c>
      <c r="O902" t="s">
        <v>78</v>
      </c>
      <c r="P902" t="s">
        <v>30</v>
      </c>
      <c r="Q902" t="s">
        <v>31</v>
      </c>
      <c r="R902">
        <v>82210</v>
      </c>
      <c r="S902" t="s">
        <v>184</v>
      </c>
      <c r="T902">
        <v>82308</v>
      </c>
      <c r="U902" t="s">
        <v>69</v>
      </c>
      <c r="V902" t="s">
        <v>69</v>
      </c>
      <c r="W902" t="s">
        <v>69</v>
      </c>
      <c r="X902" t="s">
        <v>57</v>
      </c>
      <c r="Y902" s="9">
        <f t="shared" si="43"/>
        <v>4.5999999999999999E-2</v>
      </c>
      <c r="Z902" t="str">
        <f t="shared" si="44"/>
        <v>สแกนต่าง Cost</v>
      </c>
    </row>
    <row r="903" spans="1:26" x14ac:dyDescent="0.45">
      <c r="A903">
        <v>26788</v>
      </c>
      <c r="B903" t="s">
        <v>53</v>
      </c>
      <c r="C903">
        <v>20214280</v>
      </c>
      <c r="D903" t="s">
        <v>136</v>
      </c>
      <c r="E903" s="8">
        <v>46134.25</v>
      </c>
      <c r="F903" s="8">
        <v>46134.64166666667</v>
      </c>
      <c r="G903" s="9">
        <v>8.4</v>
      </c>
      <c r="H903" s="9">
        <f t="shared" si="42"/>
        <v>4.4999999999999998E-2</v>
      </c>
      <c r="I903" s="9">
        <v>4.4999999999999998E-2</v>
      </c>
      <c r="J903" s="9"/>
      <c r="K903" s="9"/>
      <c r="L903" s="9"/>
      <c r="M903" t="s">
        <v>65</v>
      </c>
      <c r="N903" t="s">
        <v>29</v>
      </c>
      <c r="P903" t="s">
        <v>30</v>
      </c>
      <c r="Q903" t="s">
        <v>31</v>
      </c>
      <c r="R903">
        <v>82415</v>
      </c>
      <c r="S903" t="s">
        <v>137</v>
      </c>
      <c r="T903">
        <v>82664</v>
      </c>
      <c r="U903" t="s">
        <v>75</v>
      </c>
      <c r="V903" t="s">
        <v>75</v>
      </c>
      <c r="W903" t="s">
        <v>74</v>
      </c>
      <c r="X903" t="s">
        <v>74</v>
      </c>
      <c r="Y903" s="9">
        <f t="shared" si="43"/>
        <v>0</v>
      </c>
      <c r="Z903" t="str">
        <f t="shared" si="44"/>
        <v>สแกนต่าง Cost</v>
      </c>
    </row>
    <row r="904" spans="1:26" x14ac:dyDescent="0.45">
      <c r="B904" t="s">
        <v>26</v>
      </c>
      <c r="C904">
        <v>20403261</v>
      </c>
      <c r="E904" s="8">
        <v>46133.734027777777</v>
      </c>
      <c r="F904" s="8">
        <v>46133.826388888891</v>
      </c>
      <c r="G904" s="9">
        <v>2.2166666666666668</v>
      </c>
      <c r="H904" s="9">
        <f t="shared" si="42"/>
        <v>1.2E-2</v>
      </c>
      <c r="I904" s="9">
        <v>1.2E-2</v>
      </c>
      <c r="J904" s="9"/>
      <c r="K904" s="9"/>
      <c r="L904" s="9"/>
      <c r="M904" t="s">
        <v>48</v>
      </c>
      <c r="N904" t="s">
        <v>48</v>
      </c>
      <c r="P904" t="s">
        <v>30</v>
      </c>
      <c r="R904">
        <v>82680</v>
      </c>
      <c r="T904">
        <v>82655</v>
      </c>
      <c r="U904" t="s">
        <v>59</v>
      </c>
      <c r="V904" t="s">
        <v>59</v>
      </c>
      <c r="W904" t="s">
        <v>51</v>
      </c>
      <c r="X904" t="s">
        <v>52</v>
      </c>
      <c r="Y904" s="9">
        <f t="shared" si="43"/>
        <v>0</v>
      </c>
      <c r="Z904" t="str">
        <f t="shared" si="44"/>
        <v>สแกนต่าง Cost</v>
      </c>
    </row>
    <row r="905" spans="1:26" x14ac:dyDescent="0.45">
      <c r="B905" t="s">
        <v>26</v>
      </c>
      <c r="C905">
        <v>20038749</v>
      </c>
      <c r="D905" t="s">
        <v>218</v>
      </c>
      <c r="E905" s="8">
        <v>46133.731249999997</v>
      </c>
      <c r="F905" s="8">
        <v>46133.826388888891</v>
      </c>
      <c r="G905" s="9">
        <v>2.2833333333333332</v>
      </c>
      <c r="H905" s="9">
        <f t="shared" si="42"/>
        <v>1.2E-2</v>
      </c>
      <c r="I905" s="9"/>
      <c r="J905" s="9"/>
      <c r="K905" s="9">
        <v>1.2E-2</v>
      </c>
      <c r="L905" s="9"/>
      <c r="M905" t="s">
        <v>28</v>
      </c>
      <c r="N905" t="s">
        <v>40</v>
      </c>
      <c r="O905" t="s">
        <v>41</v>
      </c>
      <c r="P905" t="s">
        <v>30</v>
      </c>
      <c r="Q905" t="s">
        <v>31</v>
      </c>
      <c r="R905">
        <v>82680</v>
      </c>
      <c r="S905" t="s">
        <v>50</v>
      </c>
      <c r="T905">
        <v>82655</v>
      </c>
      <c r="U905" t="s">
        <v>59</v>
      </c>
      <c r="V905" t="s">
        <v>59</v>
      </c>
      <c r="W905" t="s">
        <v>51</v>
      </c>
      <c r="X905" t="s">
        <v>52</v>
      </c>
      <c r="Y905" s="9">
        <f t="shared" si="43"/>
        <v>1.2E-2</v>
      </c>
      <c r="Z905" t="str">
        <f t="shared" si="44"/>
        <v>สแกนต่าง Cost</v>
      </c>
    </row>
    <row r="906" spans="1:26" x14ac:dyDescent="0.45">
      <c r="B906" t="s">
        <v>26</v>
      </c>
      <c r="C906">
        <v>20233956</v>
      </c>
      <c r="D906" t="s">
        <v>219</v>
      </c>
      <c r="E906" s="8">
        <v>46133.731249999997</v>
      </c>
      <c r="F906" s="8">
        <v>46133.826388888891</v>
      </c>
      <c r="G906" s="9">
        <v>2.2833333333333332</v>
      </c>
      <c r="H906" s="9">
        <f t="shared" si="42"/>
        <v>1.2E-2</v>
      </c>
      <c r="I906" s="9"/>
      <c r="J906" s="9"/>
      <c r="K906" s="9">
        <v>1.2E-2</v>
      </c>
      <c r="L906" s="9"/>
      <c r="M906" t="s">
        <v>28</v>
      </c>
      <c r="N906" t="s">
        <v>29</v>
      </c>
      <c r="P906" t="s">
        <v>30</v>
      </c>
      <c r="Q906" t="s">
        <v>31</v>
      </c>
      <c r="R906">
        <v>82680</v>
      </c>
      <c r="S906" t="s">
        <v>50</v>
      </c>
      <c r="T906">
        <v>82655</v>
      </c>
      <c r="U906" t="s">
        <v>59</v>
      </c>
      <c r="V906" t="s">
        <v>59</v>
      </c>
      <c r="W906" t="s">
        <v>51</v>
      </c>
      <c r="X906" t="s">
        <v>52</v>
      </c>
      <c r="Y906" s="9">
        <f t="shared" si="43"/>
        <v>1.2E-2</v>
      </c>
      <c r="Z906" t="str">
        <f t="shared" si="44"/>
        <v>สแกนต่าง Cost</v>
      </c>
    </row>
    <row r="907" spans="1:26" x14ac:dyDescent="0.45">
      <c r="B907" t="s">
        <v>26</v>
      </c>
      <c r="C907">
        <v>20403445</v>
      </c>
      <c r="E907" s="8">
        <v>46133.731249999997</v>
      </c>
      <c r="F907" s="8">
        <v>46133.82708333333</v>
      </c>
      <c r="G907" s="9">
        <v>2.2999999999999998</v>
      </c>
      <c r="H907" s="9">
        <f t="shared" si="42"/>
        <v>1.2E-2</v>
      </c>
      <c r="I907" s="9"/>
      <c r="J907" s="9"/>
      <c r="K907" s="9">
        <v>1.2E-2</v>
      </c>
      <c r="L907" s="9"/>
      <c r="M907" t="s">
        <v>28</v>
      </c>
      <c r="N907" t="s">
        <v>29</v>
      </c>
      <c r="P907" t="s">
        <v>30</v>
      </c>
      <c r="R907">
        <v>82680</v>
      </c>
      <c r="T907">
        <v>82655</v>
      </c>
      <c r="U907" t="s">
        <v>59</v>
      </c>
      <c r="V907" t="s">
        <v>59</v>
      </c>
      <c r="W907" t="s">
        <v>51</v>
      </c>
      <c r="X907" t="s">
        <v>52</v>
      </c>
      <c r="Y907" s="9">
        <f t="shared" si="43"/>
        <v>1.2E-2</v>
      </c>
      <c r="Z907" t="str">
        <f t="shared" si="44"/>
        <v>สแกนต่าง Cost</v>
      </c>
    </row>
    <row r="908" spans="1:26" x14ac:dyDescent="0.45">
      <c r="B908" t="s">
        <v>26</v>
      </c>
      <c r="C908">
        <v>20021020</v>
      </c>
      <c r="D908" t="s">
        <v>293</v>
      </c>
      <c r="E908" s="8">
        <v>46133.730555555558</v>
      </c>
      <c r="F908" s="8">
        <v>46133.82708333333</v>
      </c>
      <c r="G908" s="9">
        <v>2.3166666666666669</v>
      </c>
      <c r="H908" s="9">
        <f t="shared" si="42"/>
        <v>1.2E-2</v>
      </c>
      <c r="I908" s="9"/>
      <c r="J908" s="9"/>
      <c r="K908" s="9">
        <v>1.2E-2</v>
      </c>
      <c r="L908" s="9"/>
      <c r="M908" t="s">
        <v>28</v>
      </c>
      <c r="N908" t="s">
        <v>40</v>
      </c>
      <c r="O908" t="s">
        <v>41</v>
      </c>
      <c r="P908" t="s">
        <v>30</v>
      </c>
      <c r="Q908" t="s">
        <v>31</v>
      </c>
      <c r="R908">
        <v>82658</v>
      </c>
      <c r="S908" t="s">
        <v>33</v>
      </c>
      <c r="T908">
        <v>82655</v>
      </c>
      <c r="U908" t="s">
        <v>59</v>
      </c>
      <c r="V908" t="s">
        <v>59</v>
      </c>
      <c r="W908" t="s">
        <v>51</v>
      </c>
      <c r="X908" t="s">
        <v>52</v>
      </c>
      <c r="Y908" s="9">
        <f t="shared" si="43"/>
        <v>1.2E-2</v>
      </c>
      <c r="Z908" t="str">
        <f t="shared" si="44"/>
        <v>สแกนต่าง Cost</v>
      </c>
    </row>
    <row r="909" spans="1:26" x14ac:dyDescent="0.45">
      <c r="B909" t="s">
        <v>26</v>
      </c>
      <c r="C909">
        <v>20023280</v>
      </c>
      <c r="D909" t="s">
        <v>294</v>
      </c>
      <c r="E909" s="8">
        <v>46133.730555555558</v>
      </c>
      <c r="F909" s="8">
        <v>46133.82708333333</v>
      </c>
      <c r="G909" s="9">
        <v>2.3166666666666669</v>
      </c>
      <c r="H909" s="9">
        <f t="shared" si="42"/>
        <v>1.2E-2</v>
      </c>
      <c r="I909" s="9"/>
      <c r="J909" s="9"/>
      <c r="K909" s="9">
        <v>1.2E-2</v>
      </c>
      <c r="L909" s="9"/>
      <c r="M909" t="s">
        <v>28</v>
      </c>
      <c r="N909" t="s">
        <v>29</v>
      </c>
      <c r="P909" t="s">
        <v>30</v>
      </c>
      <c r="Q909" t="s">
        <v>31</v>
      </c>
      <c r="R909">
        <v>82658</v>
      </c>
      <c r="S909" t="s">
        <v>33</v>
      </c>
      <c r="T909">
        <v>82655</v>
      </c>
      <c r="U909" t="s">
        <v>59</v>
      </c>
      <c r="V909" t="s">
        <v>59</v>
      </c>
      <c r="W909" t="s">
        <v>51</v>
      </c>
      <c r="X909" t="s">
        <v>52</v>
      </c>
      <c r="Y909" s="9">
        <f t="shared" si="43"/>
        <v>1.2E-2</v>
      </c>
      <c r="Z909" t="str">
        <f t="shared" si="44"/>
        <v>สแกนต่าง Cost</v>
      </c>
    </row>
    <row r="910" spans="1:26" x14ac:dyDescent="0.45">
      <c r="B910" t="s">
        <v>26</v>
      </c>
      <c r="C910">
        <v>20344534</v>
      </c>
      <c r="D910" t="s">
        <v>278</v>
      </c>
      <c r="E910" s="8">
        <v>46133.730555555558</v>
      </c>
      <c r="F910" s="8">
        <v>46133.82708333333</v>
      </c>
      <c r="G910" s="9">
        <v>2.3166666666666669</v>
      </c>
      <c r="H910" s="9">
        <f t="shared" si="42"/>
        <v>1.2E-2</v>
      </c>
      <c r="I910" s="9"/>
      <c r="J910" s="9"/>
      <c r="K910" s="9">
        <v>1.2E-2</v>
      </c>
      <c r="L910" s="9"/>
      <c r="M910" t="s">
        <v>28</v>
      </c>
      <c r="N910" t="s">
        <v>40</v>
      </c>
      <c r="O910" t="s">
        <v>41</v>
      </c>
      <c r="P910" t="s">
        <v>30</v>
      </c>
      <c r="Q910" t="s">
        <v>31</v>
      </c>
      <c r="R910">
        <v>82680</v>
      </c>
      <c r="S910" t="s">
        <v>50</v>
      </c>
      <c r="T910">
        <v>82655</v>
      </c>
      <c r="U910" t="s">
        <v>59</v>
      </c>
      <c r="V910" t="s">
        <v>59</v>
      </c>
      <c r="W910" t="s">
        <v>51</v>
      </c>
      <c r="X910" t="s">
        <v>52</v>
      </c>
      <c r="Y910" s="9">
        <f t="shared" si="43"/>
        <v>1.2E-2</v>
      </c>
      <c r="Z910" t="str">
        <f t="shared" si="44"/>
        <v>สแกนต่าง Cost</v>
      </c>
    </row>
    <row r="911" spans="1:26" x14ac:dyDescent="0.45">
      <c r="B911" t="s">
        <v>53</v>
      </c>
      <c r="C911">
        <v>20023373</v>
      </c>
      <c r="D911" t="s">
        <v>97</v>
      </c>
      <c r="E911" s="8">
        <v>46133.729861111111</v>
      </c>
      <c r="F911" s="8">
        <v>46133.82708333333</v>
      </c>
      <c r="G911" s="9">
        <v>2.3333333333333335</v>
      </c>
      <c r="H911" s="9">
        <f t="shared" si="42"/>
        <v>1.2E-2</v>
      </c>
      <c r="I911" s="9"/>
      <c r="J911" s="9"/>
      <c r="K911" s="9">
        <v>1.2E-2</v>
      </c>
      <c r="L911" s="9"/>
      <c r="M911" t="s">
        <v>28</v>
      </c>
      <c r="N911" t="s">
        <v>40</v>
      </c>
      <c r="O911" t="s">
        <v>41</v>
      </c>
      <c r="P911" t="s">
        <v>30</v>
      </c>
      <c r="Q911" t="s">
        <v>31</v>
      </c>
      <c r="R911">
        <v>82630</v>
      </c>
      <c r="S911" t="s">
        <v>32</v>
      </c>
      <c r="T911">
        <v>82611</v>
      </c>
      <c r="U911" t="s">
        <v>43</v>
      </c>
      <c r="V911" t="s">
        <v>43</v>
      </c>
      <c r="W911" t="s">
        <v>148</v>
      </c>
      <c r="X911" t="s">
        <v>171</v>
      </c>
      <c r="Y911" s="9">
        <f t="shared" si="43"/>
        <v>1.2E-2</v>
      </c>
      <c r="Z911" t="str">
        <f t="shared" si="44"/>
        <v>สแกนต่าง Cost</v>
      </c>
    </row>
    <row r="912" spans="1:26" x14ac:dyDescent="0.45">
      <c r="B912" t="s">
        <v>53</v>
      </c>
      <c r="C912">
        <v>20041130</v>
      </c>
      <c r="D912" t="s">
        <v>100</v>
      </c>
      <c r="E912" s="8">
        <v>46133.729861111111</v>
      </c>
      <c r="F912" s="8">
        <v>46133.82708333333</v>
      </c>
      <c r="G912" s="9">
        <v>2.3333333333333335</v>
      </c>
      <c r="H912" s="9">
        <f t="shared" si="42"/>
        <v>1.2E-2</v>
      </c>
      <c r="I912" s="9"/>
      <c r="J912" s="9"/>
      <c r="K912" s="9">
        <v>1.2E-2</v>
      </c>
      <c r="L912" s="9"/>
      <c r="M912" t="s">
        <v>28</v>
      </c>
      <c r="N912" t="s">
        <v>40</v>
      </c>
      <c r="O912" t="s">
        <v>41</v>
      </c>
      <c r="P912" t="s">
        <v>30</v>
      </c>
      <c r="Q912" t="s">
        <v>31</v>
      </c>
      <c r="R912">
        <v>82630</v>
      </c>
      <c r="S912" t="s">
        <v>32</v>
      </c>
      <c r="T912">
        <v>82611</v>
      </c>
      <c r="U912" t="s">
        <v>43</v>
      </c>
      <c r="V912" t="s">
        <v>43</v>
      </c>
      <c r="W912" t="s">
        <v>148</v>
      </c>
      <c r="X912" t="s">
        <v>171</v>
      </c>
      <c r="Y912" s="9">
        <f t="shared" si="43"/>
        <v>1.2E-2</v>
      </c>
      <c r="Z912" t="str">
        <f t="shared" si="44"/>
        <v>สแกนต่าง Cost</v>
      </c>
    </row>
    <row r="913" spans="2:26" x14ac:dyDescent="0.45">
      <c r="B913" t="s">
        <v>26</v>
      </c>
      <c r="C913">
        <v>20047023</v>
      </c>
      <c r="D913" t="s">
        <v>271</v>
      </c>
      <c r="E913" s="8">
        <v>46133.729861111111</v>
      </c>
      <c r="F913" s="8">
        <v>46133.82708333333</v>
      </c>
      <c r="G913" s="9">
        <v>2.3333333333333335</v>
      </c>
      <c r="H913" s="9">
        <f t="shared" si="42"/>
        <v>1.2E-2</v>
      </c>
      <c r="I913" s="9">
        <v>1.2E-2</v>
      </c>
      <c r="J913" s="9"/>
      <c r="K913" s="9"/>
      <c r="L913" s="9"/>
      <c r="M913" t="s">
        <v>28</v>
      </c>
      <c r="N913" t="s">
        <v>40</v>
      </c>
      <c r="O913" t="s">
        <v>41</v>
      </c>
      <c r="P913" t="s">
        <v>30</v>
      </c>
      <c r="Q913" t="s">
        <v>31</v>
      </c>
      <c r="R913">
        <v>82607</v>
      </c>
      <c r="S913" t="s">
        <v>168</v>
      </c>
      <c r="T913">
        <v>82611</v>
      </c>
      <c r="U913" t="s">
        <v>43</v>
      </c>
      <c r="V913" t="s">
        <v>43</v>
      </c>
      <c r="W913" t="s">
        <v>148</v>
      </c>
      <c r="X913" t="s">
        <v>171</v>
      </c>
      <c r="Y913" s="9">
        <f t="shared" si="43"/>
        <v>0</v>
      </c>
      <c r="Z913" t="str">
        <f t="shared" si="44"/>
        <v>สแกนต่าง Cost</v>
      </c>
    </row>
    <row r="914" spans="2:26" x14ac:dyDescent="0.45">
      <c r="B914" t="s">
        <v>53</v>
      </c>
      <c r="C914">
        <v>20163802</v>
      </c>
      <c r="D914" t="s">
        <v>272</v>
      </c>
      <c r="E914" s="8">
        <v>46133.729861111111</v>
      </c>
      <c r="F914" s="8">
        <v>46133.82708333333</v>
      </c>
      <c r="G914" s="9">
        <v>2.3333333333333335</v>
      </c>
      <c r="H914" s="9">
        <f t="shared" si="42"/>
        <v>1.2E-2</v>
      </c>
      <c r="I914" s="9"/>
      <c r="J914" s="9"/>
      <c r="K914" s="9">
        <v>1.2E-2</v>
      </c>
      <c r="L914" s="9"/>
      <c r="M914" t="s">
        <v>28</v>
      </c>
      <c r="N914" t="s">
        <v>40</v>
      </c>
      <c r="O914" t="s">
        <v>41</v>
      </c>
      <c r="P914" t="s">
        <v>30</v>
      </c>
      <c r="Q914" t="s">
        <v>31</v>
      </c>
      <c r="R914">
        <v>82630</v>
      </c>
      <c r="S914" t="s">
        <v>32</v>
      </c>
      <c r="T914">
        <v>82611</v>
      </c>
      <c r="U914" t="s">
        <v>43</v>
      </c>
      <c r="V914" t="s">
        <v>43</v>
      </c>
      <c r="W914" t="s">
        <v>148</v>
      </c>
      <c r="X914" t="s">
        <v>171</v>
      </c>
      <c r="Y914" s="9">
        <f t="shared" si="43"/>
        <v>1.2E-2</v>
      </c>
      <c r="Z914" t="str">
        <f t="shared" si="44"/>
        <v>สแกนต่าง Cost</v>
      </c>
    </row>
    <row r="915" spans="2:26" x14ac:dyDescent="0.45">
      <c r="B915" t="s">
        <v>53</v>
      </c>
      <c r="C915">
        <v>20169714</v>
      </c>
      <c r="D915" t="s">
        <v>103</v>
      </c>
      <c r="E915" s="8">
        <v>46133.729861111111</v>
      </c>
      <c r="F915" s="8">
        <v>46133.82708333333</v>
      </c>
      <c r="G915" s="9">
        <v>2.3333333333333335</v>
      </c>
      <c r="H915" s="9">
        <f t="shared" si="42"/>
        <v>1.2E-2</v>
      </c>
      <c r="I915" s="9"/>
      <c r="J915" s="9"/>
      <c r="K915" s="9">
        <v>1.2E-2</v>
      </c>
      <c r="L915" s="9"/>
      <c r="M915" t="s">
        <v>28</v>
      </c>
      <c r="N915" t="s">
        <v>29</v>
      </c>
      <c r="P915" t="s">
        <v>30</v>
      </c>
      <c r="Q915" t="s">
        <v>31</v>
      </c>
      <c r="R915">
        <v>82630</v>
      </c>
      <c r="S915" t="s">
        <v>32</v>
      </c>
      <c r="T915">
        <v>82611</v>
      </c>
      <c r="U915" t="s">
        <v>43</v>
      </c>
      <c r="V915" t="s">
        <v>43</v>
      </c>
      <c r="W915" t="s">
        <v>148</v>
      </c>
      <c r="X915" t="s">
        <v>171</v>
      </c>
      <c r="Y915" s="9">
        <f t="shared" si="43"/>
        <v>1.2E-2</v>
      </c>
      <c r="Z915" t="str">
        <f t="shared" si="44"/>
        <v>สแกนต่าง Cost</v>
      </c>
    </row>
    <row r="916" spans="2:26" x14ac:dyDescent="0.45">
      <c r="B916" t="s">
        <v>53</v>
      </c>
      <c r="C916">
        <v>20018899</v>
      </c>
      <c r="D916" t="s">
        <v>64</v>
      </c>
      <c r="E916" s="8">
        <v>46133.729166666664</v>
      </c>
      <c r="F916" s="8">
        <v>46133.833333333336</v>
      </c>
      <c r="G916" s="9">
        <v>2.5</v>
      </c>
      <c r="H916" s="9">
        <f t="shared" si="42"/>
        <v>1.2999999999999999E-2</v>
      </c>
      <c r="I916" s="9"/>
      <c r="J916" s="9"/>
      <c r="K916" s="9">
        <v>1.2999999999999999E-2</v>
      </c>
      <c r="L916" s="9"/>
      <c r="M916" t="s">
        <v>28</v>
      </c>
      <c r="N916" t="s">
        <v>40</v>
      </c>
      <c r="O916" t="s">
        <v>41</v>
      </c>
      <c r="P916" t="s">
        <v>30</v>
      </c>
      <c r="Q916" t="s">
        <v>31</v>
      </c>
      <c r="R916">
        <v>82640</v>
      </c>
      <c r="S916" t="s">
        <v>42</v>
      </c>
      <c r="T916">
        <v>82652</v>
      </c>
      <c r="U916" t="s">
        <v>46</v>
      </c>
      <c r="V916" t="s">
        <v>66</v>
      </c>
      <c r="W916" t="s">
        <v>37</v>
      </c>
      <c r="X916" t="s">
        <v>34</v>
      </c>
      <c r="Y916" s="9">
        <f t="shared" si="43"/>
        <v>1.2999999999999999E-2</v>
      </c>
      <c r="Z916" t="str">
        <f t="shared" si="44"/>
        <v>สแกนต่าง Cost</v>
      </c>
    </row>
    <row r="917" spans="2:26" x14ac:dyDescent="0.45">
      <c r="B917" t="s">
        <v>53</v>
      </c>
      <c r="C917">
        <v>20027956</v>
      </c>
      <c r="D917" t="s">
        <v>214</v>
      </c>
      <c r="E917" s="8">
        <v>46133.729166666664</v>
      </c>
      <c r="F917" s="8">
        <v>46133.833333333336</v>
      </c>
      <c r="G917" s="9">
        <v>2.5</v>
      </c>
      <c r="H917" s="9">
        <f t="shared" si="42"/>
        <v>1.2999999999999999E-2</v>
      </c>
      <c r="I917" s="9"/>
      <c r="J917" s="9"/>
      <c r="K917" s="9">
        <v>1.2999999999999999E-2</v>
      </c>
      <c r="L917" s="9"/>
      <c r="M917" t="s">
        <v>28</v>
      </c>
      <c r="N917" t="s">
        <v>40</v>
      </c>
      <c r="O917" t="s">
        <v>41</v>
      </c>
      <c r="P917" t="s">
        <v>30</v>
      </c>
      <c r="Q917" t="s">
        <v>31</v>
      </c>
      <c r="R917">
        <v>82640</v>
      </c>
      <c r="S917" t="s">
        <v>42</v>
      </c>
      <c r="T917">
        <v>82611</v>
      </c>
      <c r="U917" t="s">
        <v>43</v>
      </c>
      <c r="V917" t="s">
        <v>66</v>
      </c>
      <c r="W917" t="s">
        <v>44</v>
      </c>
      <c r="X917" t="s">
        <v>44</v>
      </c>
      <c r="Y917" s="9">
        <f t="shared" si="43"/>
        <v>1.2999999999999999E-2</v>
      </c>
      <c r="Z917" t="str">
        <f t="shared" si="44"/>
        <v>สแกนต่าง Cost</v>
      </c>
    </row>
    <row r="918" spans="2:26" x14ac:dyDescent="0.45">
      <c r="B918" t="s">
        <v>26</v>
      </c>
      <c r="C918">
        <v>20039227</v>
      </c>
      <c r="D918" t="s">
        <v>58</v>
      </c>
      <c r="E918" s="8">
        <v>46133.729166666664</v>
      </c>
      <c r="F918" s="8">
        <v>46133.832638888889</v>
      </c>
      <c r="G918" s="9">
        <v>2.4833333333333334</v>
      </c>
      <c r="H918" s="9">
        <f t="shared" si="42"/>
        <v>1.2999999999999999E-2</v>
      </c>
      <c r="I918" s="9"/>
      <c r="J918" s="9"/>
      <c r="K918" s="9">
        <v>1.2999999999999999E-2</v>
      </c>
      <c r="L918" s="9"/>
      <c r="M918" t="s">
        <v>28</v>
      </c>
      <c r="N918" t="s">
        <v>40</v>
      </c>
      <c r="O918" t="s">
        <v>41</v>
      </c>
      <c r="P918" t="s">
        <v>30</v>
      </c>
      <c r="Q918" t="s">
        <v>31</v>
      </c>
      <c r="R918">
        <v>82652</v>
      </c>
      <c r="S918" t="s">
        <v>46</v>
      </c>
      <c r="T918">
        <v>82655</v>
      </c>
      <c r="U918" t="s">
        <v>59</v>
      </c>
      <c r="V918" t="s">
        <v>59</v>
      </c>
      <c r="W918" t="s">
        <v>37</v>
      </c>
      <c r="X918" t="s">
        <v>60</v>
      </c>
      <c r="Y918" s="9">
        <f t="shared" si="43"/>
        <v>1.2999999999999999E-2</v>
      </c>
      <c r="Z918" t="str">
        <f t="shared" si="44"/>
        <v>สแกนต่าง Cost</v>
      </c>
    </row>
    <row r="919" spans="2:26" x14ac:dyDescent="0.45">
      <c r="B919" t="s">
        <v>53</v>
      </c>
      <c r="C919">
        <v>20057079</v>
      </c>
      <c r="D919" t="s">
        <v>275</v>
      </c>
      <c r="E919" s="8">
        <v>46133.729166666664</v>
      </c>
      <c r="F919" s="8">
        <v>46133.833333333336</v>
      </c>
      <c r="G919" s="9">
        <v>2.5</v>
      </c>
      <c r="H919" s="9">
        <f t="shared" si="42"/>
        <v>1.2999999999999999E-2</v>
      </c>
      <c r="I919" s="9"/>
      <c r="J919" s="9"/>
      <c r="K919" s="9">
        <v>1.2999999999999999E-2</v>
      </c>
      <c r="L919" s="9"/>
      <c r="M919" t="s">
        <v>28</v>
      </c>
      <c r="N919" t="s">
        <v>29</v>
      </c>
      <c r="P919" t="s">
        <v>30</v>
      </c>
      <c r="Q919" t="s">
        <v>31</v>
      </c>
      <c r="R919">
        <v>82611</v>
      </c>
      <c r="S919" t="s">
        <v>43</v>
      </c>
      <c r="T919">
        <v>82640</v>
      </c>
      <c r="U919" t="s">
        <v>42</v>
      </c>
      <c r="V919" t="s">
        <v>70</v>
      </c>
      <c r="W919" t="s">
        <v>47</v>
      </c>
      <c r="X919" t="s">
        <v>95</v>
      </c>
      <c r="Y919" s="9">
        <f t="shared" si="43"/>
        <v>1.2999999999999999E-2</v>
      </c>
      <c r="Z919" t="str">
        <f t="shared" si="44"/>
        <v>สแกนต่าง Cost</v>
      </c>
    </row>
    <row r="920" spans="2:26" x14ac:dyDescent="0.45">
      <c r="B920" t="s">
        <v>53</v>
      </c>
      <c r="C920">
        <v>20060579</v>
      </c>
      <c r="D920" t="s">
        <v>39</v>
      </c>
      <c r="E920" s="8">
        <v>46133.729166666664</v>
      </c>
      <c r="F920" s="8">
        <v>46133.833333333336</v>
      </c>
      <c r="G920" s="9">
        <v>2.5</v>
      </c>
      <c r="H920" s="9">
        <f t="shared" si="42"/>
        <v>1.2999999999999999E-2</v>
      </c>
      <c r="I920" s="9"/>
      <c r="J920" s="9"/>
      <c r="K920" s="9">
        <v>1.2999999999999999E-2</v>
      </c>
      <c r="L920" s="9"/>
      <c r="M920" t="s">
        <v>28</v>
      </c>
      <c r="N920" t="s">
        <v>40</v>
      </c>
      <c r="O920" t="s">
        <v>41</v>
      </c>
      <c r="P920" t="s">
        <v>30</v>
      </c>
      <c r="Q920" t="s">
        <v>31</v>
      </c>
      <c r="R920">
        <v>82640</v>
      </c>
      <c r="S920" t="s">
        <v>42</v>
      </c>
      <c r="T920">
        <v>82630</v>
      </c>
      <c r="U920" t="s">
        <v>32</v>
      </c>
      <c r="V920" t="s">
        <v>66</v>
      </c>
      <c r="W920" t="s">
        <v>44</v>
      </c>
      <c r="X920" t="s">
        <v>44</v>
      </c>
      <c r="Y920" s="9">
        <f t="shared" si="43"/>
        <v>1.2999999999999999E-2</v>
      </c>
      <c r="Z920" t="str">
        <f t="shared" si="44"/>
        <v>สแกนต่าง Cost</v>
      </c>
    </row>
    <row r="921" spans="2:26" x14ac:dyDescent="0.45">
      <c r="B921" t="s">
        <v>53</v>
      </c>
      <c r="C921">
        <v>20167851</v>
      </c>
      <c r="D921" t="s">
        <v>63</v>
      </c>
      <c r="E921" s="8">
        <v>46133.729166666664</v>
      </c>
      <c r="F921" s="8">
        <v>46133.833333333336</v>
      </c>
      <c r="G921" s="9">
        <v>2.5</v>
      </c>
      <c r="H921" s="9">
        <f t="shared" si="42"/>
        <v>1.2999999999999999E-2</v>
      </c>
      <c r="I921" s="9"/>
      <c r="J921" s="9"/>
      <c r="K921" s="9">
        <v>1.2999999999999999E-2</v>
      </c>
      <c r="L921" s="9"/>
      <c r="M921" t="s">
        <v>28</v>
      </c>
      <c r="N921" t="s">
        <v>40</v>
      </c>
      <c r="O921" t="s">
        <v>41</v>
      </c>
      <c r="P921" t="s">
        <v>30</v>
      </c>
      <c r="Q921" t="s">
        <v>31</v>
      </c>
      <c r="R921">
        <v>82640</v>
      </c>
      <c r="S921" t="s">
        <v>42</v>
      </c>
      <c r="T921">
        <v>82611</v>
      </c>
      <c r="U921" t="s">
        <v>43</v>
      </c>
      <c r="V921" t="s">
        <v>66</v>
      </c>
      <c r="W921" t="s">
        <v>44</v>
      </c>
      <c r="X921" t="s">
        <v>44</v>
      </c>
      <c r="Y921" s="9">
        <f t="shared" si="43"/>
        <v>1.2999999999999999E-2</v>
      </c>
      <c r="Z921" t="str">
        <f t="shared" si="44"/>
        <v>สแกนต่าง Cost</v>
      </c>
    </row>
    <row r="922" spans="2:26" x14ac:dyDescent="0.45">
      <c r="B922" t="s">
        <v>53</v>
      </c>
      <c r="C922">
        <v>20198842</v>
      </c>
      <c r="D922" t="s">
        <v>257</v>
      </c>
      <c r="E922" s="8">
        <v>46133.729166666664</v>
      </c>
      <c r="F922" s="8">
        <v>46133.833333333336</v>
      </c>
      <c r="G922" s="9">
        <v>2.5</v>
      </c>
      <c r="H922" s="9">
        <f t="shared" si="42"/>
        <v>1.2999999999999999E-2</v>
      </c>
      <c r="I922" s="9"/>
      <c r="J922" s="9"/>
      <c r="K922" s="9"/>
      <c r="L922" s="9">
        <v>1.2999999999999999E-2</v>
      </c>
      <c r="M922" t="s">
        <v>255</v>
      </c>
      <c r="N922" t="s">
        <v>29</v>
      </c>
      <c r="P922" t="s">
        <v>30</v>
      </c>
      <c r="Q922" t="s">
        <v>31</v>
      </c>
      <c r="R922">
        <v>82640</v>
      </c>
      <c r="S922" t="s">
        <v>42</v>
      </c>
      <c r="T922">
        <v>82611</v>
      </c>
      <c r="U922" t="s">
        <v>43</v>
      </c>
      <c r="V922" t="s">
        <v>66</v>
      </c>
      <c r="W922" t="s">
        <v>44</v>
      </c>
      <c r="X922" t="s">
        <v>44</v>
      </c>
      <c r="Y922" s="9">
        <f t="shared" si="43"/>
        <v>1.2999999999999999E-2</v>
      </c>
      <c r="Z922" t="str">
        <f t="shared" si="44"/>
        <v>สแกนต่าง Cost</v>
      </c>
    </row>
    <row r="923" spans="2:26" x14ac:dyDescent="0.45">
      <c r="B923" t="s">
        <v>53</v>
      </c>
      <c r="C923">
        <v>20198842</v>
      </c>
      <c r="D923" t="s">
        <v>257</v>
      </c>
      <c r="E923" s="8">
        <v>46133.729166666664</v>
      </c>
      <c r="F923" s="8">
        <v>46133.833333333336</v>
      </c>
      <c r="G923" s="9">
        <v>2.5</v>
      </c>
      <c r="H923" s="9">
        <f t="shared" si="42"/>
        <v>1.2999999999999999E-2</v>
      </c>
      <c r="I923" s="9"/>
      <c r="J923" s="9"/>
      <c r="K923" s="9"/>
      <c r="L923" s="9">
        <v>1.2999999999999999E-2</v>
      </c>
      <c r="M923" t="s">
        <v>255</v>
      </c>
      <c r="N923" t="s">
        <v>29</v>
      </c>
      <c r="P923" t="s">
        <v>30</v>
      </c>
      <c r="Q923" t="s">
        <v>31</v>
      </c>
      <c r="R923">
        <v>82640</v>
      </c>
      <c r="S923" t="s">
        <v>42</v>
      </c>
      <c r="T923">
        <v>82630</v>
      </c>
      <c r="U923" t="s">
        <v>32</v>
      </c>
      <c r="V923" t="s">
        <v>66</v>
      </c>
      <c r="W923" t="s">
        <v>44</v>
      </c>
      <c r="X923" t="s">
        <v>44</v>
      </c>
      <c r="Y923" s="9">
        <f t="shared" si="43"/>
        <v>1.2999999999999999E-2</v>
      </c>
      <c r="Z923" t="str">
        <f t="shared" si="44"/>
        <v>สแกนต่าง Cost</v>
      </c>
    </row>
    <row r="924" spans="2:26" x14ac:dyDescent="0.45">
      <c r="B924" t="s">
        <v>53</v>
      </c>
      <c r="C924">
        <v>20220646</v>
      </c>
      <c r="D924" t="s">
        <v>67</v>
      </c>
      <c r="E924" s="8">
        <v>46133.729166666664</v>
      </c>
      <c r="F924" s="8">
        <v>46133.833333333336</v>
      </c>
      <c r="G924" s="9">
        <v>2.5</v>
      </c>
      <c r="H924" s="9">
        <f t="shared" si="42"/>
        <v>1.2999999999999999E-2</v>
      </c>
      <c r="I924" s="9"/>
      <c r="J924" s="9"/>
      <c r="K924" s="9">
        <v>1.2999999999999999E-2</v>
      </c>
      <c r="L924" s="9"/>
      <c r="M924" t="s">
        <v>28</v>
      </c>
      <c r="N924" t="s">
        <v>40</v>
      </c>
      <c r="O924" t="s">
        <v>41</v>
      </c>
      <c r="P924" t="s">
        <v>30</v>
      </c>
      <c r="Q924" t="s">
        <v>31</v>
      </c>
      <c r="R924">
        <v>82640</v>
      </c>
      <c r="S924" t="s">
        <v>42</v>
      </c>
      <c r="T924">
        <v>82652</v>
      </c>
      <c r="U924" t="s">
        <v>46</v>
      </c>
      <c r="V924" t="s">
        <v>66</v>
      </c>
      <c r="W924" t="s">
        <v>37</v>
      </c>
      <c r="X924" t="s">
        <v>34</v>
      </c>
      <c r="Y924" s="9">
        <f t="shared" si="43"/>
        <v>1.2999999999999999E-2</v>
      </c>
      <c r="Z924" t="str">
        <f t="shared" si="44"/>
        <v>สแกนต่าง Cost</v>
      </c>
    </row>
    <row r="925" spans="2:26" x14ac:dyDescent="0.45">
      <c r="B925" t="s">
        <v>53</v>
      </c>
      <c r="C925">
        <v>20310532</v>
      </c>
      <c r="D925" t="s">
        <v>61</v>
      </c>
      <c r="E925" s="8">
        <v>46133.729166666664</v>
      </c>
      <c r="F925" s="8">
        <v>46133.833333333336</v>
      </c>
      <c r="G925" s="9">
        <v>2.5</v>
      </c>
      <c r="H925" s="9">
        <f t="shared" si="42"/>
        <v>1.2999999999999999E-2</v>
      </c>
      <c r="I925" s="9"/>
      <c r="J925" s="9"/>
      <c r="K925" s="9">
        <v>1.2999999999999999E-2</v>
      </c>
      <c r="L925" s="9"/>
      <c r="M925" t="s">
        <v>28</v>
      </c>
      <c r="N925" t="s">
        <v>40</v>
      </c>
      <c r="O925" t="s">
        <v>41</v>
      </c>
      <c r="P925" t="s">
        <v>30</v>
      </c>
      <c r="Q925" t="s">
        <v>31</v>
      </c>
      <c r="R925">
        <v>82640</v>
      </c>
      <c r="S925" t="s">
        <v>42</v>
      </c>
      <c r="T925">
        <v>82630</v>
      </c>
      <c r="U925" t="s">
        <v>32</v>
      </c>
      <c r="V925" t="s">
        <v>66</v>
      </c>
      <c r="W925" t="s">
        <v>44</v>
      </c>
      <c r="X925" t="s">
        <v>44</v>
      </c>
      <c r="Y925" s="9">
        <f t="shared" si="43"/>
        <v>1.2999999999999999E-2</v>
      </c>
      <c r="Z925" t="str">
        <f t="shared" si="44"/>
        <v>สแกนต่าง Cost</v>
      </c>
    </row>
    <row r="926" spans="2:26" x14ac:dyDescent="0.45">
      <c r="B926" t="s">
        <v>53</v>
      </c>
      <c r="C926">
        <v>20332134</v>
      </c>
      <c r="D926" t="s">
        <v>156</v>
      </c>
      <c r="E926" s="8">
        <v>46133.729166666664</v>
      </c>
      <c r="F926" s="8">
        <v>46133.833333333336</v>
      </c>
      <c r="G926" s="9">
        <v>2.5</v>
      </c>
      <c r="H926" s="9">
        <f t="shared" si="42"/>
        <v>1.2999999999999999E-2</v>
      </c>
      <c r="I926" s="9"/>
      <c r="J926" s="9"/>
      <c r="K926" s="9">
        <v>1.2999999999999999E-2</v>
      </c>
      <c r="L926" s="9"/>
      <c r="M926" t="s">
        <v>28</v>
      </c>
      <c r="N926" t="s">
        <v>40</v>
      </c>
      <c r="O926" t="s">
        <v>41</v>
      </c>
      <c r="P926" t="s">
        <v>30</v>
      </c>
      <c r="Q926" t="s">
        <v>31</v>
      </c>
      <c r="R926">
        <v>82640</v>
      </c>
      <c r="S926" t="s">
        <v>42</v>
      </c>
      <c r="T926">
        <v>82630</v>
      </c>
      <c r="U926" t="s">
        <v>32</v>
      </c>
      <c r="V926" t="s">
        <v>66</v>
      </c>
      <c r="W926" t="s">
        <v>44</v>
      </c>
      <c r="X926" t="s">
        <v>44</v>
      </c>
      <c r="Y926" s="9">
        <f t="shared" si="43"/>
        <v>1.2999999999999999E-2</v>
      </c>
      <c r="Z926" t="str">
        <f t="shared" si="44"/>
        <v>สแกนต่าง Cost</v>
      </c>
    </row>
    <row r="927" spans="2:26" x14ac:dyDescent="0.45">
      <c r="B927" t="s">
        <v>53</v>
      </c>
      <c r="C927">
        <v>20399661</v>
      </c>
      <c r="D927" t="s">
        <v>229</v>
      </c>
      <c r="E927" s="8">
        <v>46133.729166666664</v>
      </c>
      <c r="F927" s="8">
        <v>46133.833333333336</v>
      </c>
      <c r="G927" s="9">
        <v>2.5</v>
      </c>
      <c r="H927" s="9">
        <f t="shared" si="42"/>
        <v>1.2999999999999999E-2</v>
      </c>
      <c r="I927" s="9"/>
      <c r="J927" s="9"/>
      <c r="K927" s="9">
        <v>1.2999999999999999E-2</v>
      </c>
      <c r="L927" s="9"/>
      <c r="M927" t="s">
        <v>28</v>
      </c>
      <c r="N927" t="s">
        <v>29</v>
      </c>
      <c r="P927" t="s">
        <v>30</v>
      </c>
      <c r="Q927" t="s">
        <v>31</v>
      </c>
      <c r="R927">
        <v>82611</v>
      </c>
      <c r="S927" t="s">
        <v>43</v>
      </c>
      <c r="T927">
        <v>82640</v>
      </c>
      <c r="U927" t="s">
        <v>42</v>
      </c>
      <c r="V927" t="s">
        <v>70</v>
      </c>
      <c r="W927" t="s">
        <v>47</v>
      </c>
      <c r="X927" t="s">
        <v>95</v>
      </c>
      <c r="Y927" s="9">
        <f t="shared" si="43"/>
        <v>1.2999999999999999E-2</v>
      </c>
      <c r="Z927" t="str">
        <f t="shared" si="44"/>
        <v>สแกนต่าง Cost</v>
      </c>
    </row>
    <row r="928" spans="2:26" x14ac:dyDescent="0.45">
      <c r="B928" t="s">
        <v>53</v>
      </c>
      <c r="C928">
        <v>20198745</v>
      </c>
      <c r="D928" t="s">
        <v>286</v>
      </c>
      <c r="E928" s="8">
        <v>46133.724999999999</v>
      </c>
      <c r="F928" s="8">
        <v>46133.824999999997</v>
      </c>
      <c r="G928" s="9">
        <v>2.4</v>
      </c>
      <c r="H928" s="9">
        <f t="shared" si="42"/>
        <v>1.2999999999999999E-2</v>
      </c>
      <c r="I928" s="9"/>
      <c r="J928" s="9"/>
      <c r="K928" s="9">
        <v>1.2999999999999999E-2</v>
      </c>
      <c r="L928" s="9"/>
      <c r="M928" t="s">
        <v>28</v>
      </c>
      <c r="N928" t="s">
        <v>40</v>
      </c>
      <c r="O928" t="s">
        <v>41</v>
      </c>
      <c r="P928" t="s">
        <v>30</v>
      </c>
      <c r="Q928" t="s">
        <v>31</v>
      </c>
      <c r="R928">
        <v>82630</v>
      </c>
      <c r="S928" t="s">
        <v>32</v>
      </c>
      <c r="T928">
        <v>82611</v>
      </c>
      <c r="U928" t="s">
        <v>43</v>
      </c>
      <c r="V928" t="s">
        <v>43</v>
      </c>
      <c r="W928" t="s">
        <v>148</v>
      </c>
      <c r="X928" t="s">
        <v>171</v>
      </c>
      <c r="Y928" s="9">
        <f t="shared" si="43"/>
        <v>1.2999999999999999E-2</v>
      </c>
      <c r="Z928" t="str">
        <f t="shared" si="44"/>
        <v>สแกนต่าง Cost</v>
      </c>
    </row>
    <row r="929" spans="2:26" x14ac:dyDescent="0.45">
      <c r="B929" t="s">
        <v>53</v>
      </c>
      <c r="C929">
        <v>20363689</v>
      </c>
      <c r="D929" t="s">
        <v>287</v>
      </c>
      <c r="E929" s="8">
        <v>46133.724305555559</v>
      </c>
      <c r="F929" s="8">
        <v>46133.824305555558</v>
      </c>
      <c r="G929" s="9">
        <v>2.4</v>
      </c>
      <c r="H929" s="9">
        <f t="shared" si="42"/>
        <v>1.2999999999999999E-2</v>
      </c>
      <c r="I929" s="9"/>
      <c r="J929" s="9"/>
      <c r="K929" s="9">
        <v>1.2999999999999999E-2</v>
      </c>
      <c r="L929" s="9"/>
      <c r="M929" t="s">
        <v>28</v>
      </c>
      <c r="N929" t="s">
        <v>40</v>
      </c>
      <c r="O929" t="s">
        <v>41</v>
      </c>
      <c r="P929" t="s">
        <v>30</v>
      </c>
      <c r="Q929" t="s">
        <v>31</v>
      </c>
      <c r="R929">
        <v>82630</v>
      </c>
      <c r="S929" t="s">
        <v>32</v>
      </c>
      <c r="T929">
        <v>82611</v>
      </c>
      <c r="U929" t="s">
        <v>43</v>
      </c>
      <c r="V929" t="s">
        <v>43</v>
      </c>
      <c r="W929" t="s">
        <v>148</v>
      </c>
      <c r="X929" t="s">
        <v>171</v>
      </c>
      <c r="Y929" s="9">
        <f t="shared" si="43"/>
        <v>1.2999999999999999E-2</v>
      </c>
      <c r="Z929" t="str">
        <f t="shared" si="44"/>
        <v>สแกนต่าง Cost</v>
      </c>
    </row>
    <row r="930" spans="2:26" x14ac:dyDescent="0.45">
      <c r="B930" t="s">
        <v>53</v>
      </c>
      <c r="C930">
        <v>20310532</v>
      </c>
      <c r="D930" t="s">
        <v>61</v>
      </c>
      <c r="E930" s="8">
        <v>46133.723611111112</v>
      </c>
      <c r="F930" s="8">
        <v>46133.82708333333</v>
      </c>
      <c r="G930" s="9">
        <v>2.4833333333333334</v>
      </c>
      <c r="H930" s="9">
        <f t="shared" si="42"/>
        <v>1.2999999999999999E-2</v>
      </c>
      <c r="I930" s="9"/>
      <c r="J930" s="9"/>
      <c r="K930" s="9">
        <v>1.2999999999999999E-2</v>
      </c>
      <c r="L930" s="9"/>
      <c r="M930" t="s">
        <v>28</v>
      </c>
      <c r="N930" t="s">
        <v>40</v>
      </c>
      <c r="O930" t="s">
        <v>41</v>
      </c>
      <c r="P930" t="s">
        <v>30</v>
      </c>
      <c r="Q930" t="s">
        <v>31</v>
      </c>
      <c r="R930">
        <v>82640</v>
      </c>
      <c r="S930" t="s">
        <v>42</v>
      </c>
      <c r="T930">
        <v>82630</v>
      </c>
      <c r="U930" t="s">
        <v>32</v>
      </c>
      <c r="V930" t="s">
        <v>62</v>
      </c>
      <c r="W930" t="s">
        <v>44</v>
      </c>
      <c r="X930" t="s">
        <v>44</v>
      </c>
      <c r="Y930" s="9">
        <f t="shared" si="43"/>
        <v>1.2999999999999999E-2</v>
      </c>
      <c r="Z930" t="str">
        <f t="shared" si="44"/>
        <v>สแกนต่าง Cost</v>
      </c>
    </row>
    <row r="931" spans="2:26" x14ac:dyDescent="0.45">
      <c r="B931" t="s">
        <v>53</v>
      </c>
      <c r="C931">
        <v>20332134</v>
      </c>
      <c r="D931" t="s">
        <v>156</v>
      </c>
      <c r="E931" s="8">
        <v>46133.723611111112</v>
      </c>
      <c r="F931" s="8">
        <v>46133.82708333333</v>
      </c>
      <c r="G931" s="9">
        <v>2.4833333333333334</v>
      </c>
      <c r="H931" s="9">
        <f t="shared" si="42"/>
        <v>1.2999999999999999E-2</v>
      </c>
      <c r="I931" s="9"/>
      <c r="J931" s="9"/>
      <c r="K931" s="9">
        <v>1.2999999999999999E-2</v>
      </c>
      <c r="L931" s="9"/>
      <c r="M931" t="s">
        <v>28</v>
      </c>
      <c r="N931" t="s">
        <v>40</v>
      </c>
      <c r="O931" t="s">
        <v>41</v>
      </c>
      <c r="P931" t="s">
        <v>30</v>
      </c>
      <c r="Q931" t="s">
        <v>31</v>
      </c>
      <c r="R931">
        <v>82640</v>
      </c>
      <c r="S931" t="s">
        <v>42</v>
      </c>
      <c r="T931">
        <v>82630</v>
      </c>
      <c r="U931" t="s">
        <v>32</v>
      </c>
      <c r="V931" t="s">
        <v>62</v>
      </c>
      <c r="W931" t="s">
        <v>44</v>
      </c>
      <c r="X931" t="s">
        <v>44</v>
      </c>
      <c r="Y931" s="9">
        <f t="shared" si="43"/>
        <v>1.2999999999999999E-2</v>
      </c>
      <c r="Z931" t="str">
        <f t="shared" si="44"/>
        <v>สแกนต่าง Cost</v>
      </c>
    </row>
    <row r="932" spans="2:26" x14ac:dyDescent="0.45">
      <c r="B932" t="s">
        <v>53</v>
      </c>
      <c r="C932">
        <v>20019647</v>
      </c>
      <c r="D932" t="s">
        <v>152</v>
      </c>
      <c r="E932" s="8">
        <v>46133.722916666666</v>
      </c>
      <c r="F932" s="8">
        <v>46133.826388888891</v>
      </c>
      <c r="G932" s="9">
        <v>2.4833333333333334</v>
      </c>
      <c r="H932" s="9">
        <f t="shared" si="42"/>
        <v>1.2999999999999999E-2</v>
      </c>
      <c r="I932" s="9"/>
      <c r="J932" s="9"/>
      <c r="K932" s="9">
        <v>1.2999999999999999E-2</v>
      </c>
      <c r="L932" s="9"/>
      <c r="M932" t="s">
        <v>28</v>
      </c>
      <c r="N932" t="s">
        <v>40</v>
      </c>
      <c r="O932" t="s">
        <v>41</v>
      </c>
      <c r="P932" t="s">
        <v>30</v>
      </c>
      <c r="Q932" t="s">
        <v>31</v>
      </c>
      <c r="R932">
        <v>82630</v>
      </c>
      <c r="S932" t="s">
        <v>32</v>
      </c>
      <c r="T932">
        <v>82611</v>
      </c>
      <c r="U932" t="s">
        <v>43</v>
      </c>
      <c r="V932" t="s">
        <v>43</v>
      </c>
      <c r="W932" t="s">
        <v>148</v>
      </c>
      <c r="X932" t="s">
        <v>171</v>
      </c>
      <c r="Y932" s="9">
        <f t="shared" si="43"/>
        <v>1.2999999999999999E-2</v>
      </c>
      <c r="Z932" t="str">
        <f t="shared" si="44"/>
        <v>สแกนต่าง Cost</v>
      </c>
    </row>
    <row r="933" spans="2:26" x14ac:dyDescent="0.45">
      <c r="B933" t="s">
        <v>26</v>
      </c>
      <c r="C933">
        <v>20027956</v>
      </c>
      <c r="D933" t="s">
        <v>214</v>
      </c>
      <c r="E933" s="8">
        <v>46133.722916666666</v>
      </c>
      <c r="F933" s="8">
        <v>46133.82708333333</v>
      </c>
      <c r="G933" s="9">
        <v>2.5</v>
      </c>
      <c r="H933" s="9">
        <f t="shared" si="42"/>
        <v>1.2999999999999999E-2</v>
      </c>
      <c r="I933" s="9"/>
      <c r="J933" s="9"/>
      <c r="K933" s="9">
        <v>1.2999999999999999E-2</v>
      </c>
      <c r="L933" s="9"/>
      <c r="M933" t="s">
        <v>28</v>
      </c>
      <c r="N933" t="s">
        <v>40</v>
      </c>
      <c r="O933" t="s">
        <v>41</v>
      </c>
      <c r="P933" t="s">
        <v>30</v>
      </c>
      <c r="Q933" t="s">
        <v>31</v>
      </c>
      <c r="R933">
        <v>82640</v>
      </c>
      <c r="S933" t="s">
        <v>42</v>
      </c>
      <c r="T933">
        <v>82611</v>
      </c>
      <c r="U933" t="s">
        <v>43</v>
      </c>
      <c r="V933" t="s">
        <v>43</v>
      </c>
      <c r="W933" t="s">
        <v>44</v>
      </c>
      <c r="X933" t="s">
        <v>44</v>
      </c>
      <c r="Y933" s="9">
        <f t="shared" si="43"/>
        <v>1.2999999999999999E-2</v>
      </c>
      <c r="Z933" t="str">
        <f t="shared" si="44"/>
        <v>สแกนต่าง Cost</v>
      </c>
    </row>
    <row r="934" spans="2:26" x14ac:dyDescent="0.45">
      <c r="B934" t="s">
        <v>53</v>
      </c>
      <c r="C934">
        <v>20034535</v>
      </c>
      <c r="D934" t="s">
        <v>99</v>
      </c>
      <c r="E934" s="8">
        <v>46133.722916666666</v>
      </c>
      <c r="F934" s="8">
        <v>46133.826388888891</v>
      </c>
      <c r="G934" s="9">
        <v>2.4833333333333334</v>
      </c>
      <c r="H934" s="9">
        <f t="shared" si="42"/>
        <v>1.2999999999999999E-2</v>
      </c>
      <c r="I934" s="9"/>
      <c r="J934" s="9"/>
      <c r="K934" s="9">
        <v>1.2999999999999999E-2</v>
      </c>
      <c r="L934" s="9"/>
      <c r="M934" t="s">
        <v>28</v>
      </c>
      <c r="N934" t="s">
        <v>40</v>
      </c>
      <c r="O934" t="s">
        <v>41</v>
      </c>
      <c r="P934" t="s">
        <v>30</v>
      </c>
      <c r="Q934" t="s">
        <v>31</v>
      </c>
      <c r="R934">
        <v>82630</v>
      </c>
      <c r="S934" t="s">
        <v>32</v>
      </c>
      <c r="T934">
        <v>82611</v>
      </c>
      <c r="U934" t="s">
        <v>43</v>
      </c>
      <c r="V934" t="s">
        <v>43</v>
      </c>
      <c r="W934" t="s">
        <v>148</v>
      </c>
      <c r="X934" t="s">
        <v>171</v>
      </c>
      <c r="Y934" s="9">
        <f t="shared" si="43"/>
        <v>1.2999999999999999E-2</v>
      </c>
      <c r="Z934" t="str">
        <f t="shared" si="44"/>
        <v>สแกนต่าง Cost</v>
      </c>
    </row>
    <row r="935" spans="2:26" x14ac:dyDescent="0.45">
      <c r="B935" t="s">
        <v>26</v>
      </c>
      <c r="C935">
        <v>20167851</v>
      </c>
      <c r="D935" t="s">
        <v>63</v>
      </c>
      <c r="E935" s="8">
        <v>46133.722916666666</v>
      </c>
      <c r="F935" s="8">
        <v>46133.82708333333</v>
      </c>
      <c r="G935" s="9">
        <v>2.5</v>
      </c>
      <c r="H935" s="9">
        <f t="shared" si="42"/>
        <v>1.2999999999999999E-2</v>
      </c>
      <c r="I935" s="9"/>
      <c r="J935" s="9"/>
      <c r="K935" s="9">
        <v>1.2999999999999999E-2</v>
      </c>
      <c r="L935" s="9"/>
      <c r="M935" t="s">
        <v>28</v>
      </c>
      <c r="N935" t="s">
        <v>40</v>
      </c>
      <c r="O935" t="s">
        <v>41</v>
      </c>
      <c r="P935" t="s">
        <v>30</v>
      </c>
      <c r="Q935" t="s">
        <v>31</v>
      </c>
      <c r="R935">
        <v>82640</v>
      </c>
      <c r="S935" t="s">
        <v>42</v>
      </c>
      <c r="T935">
        <v>82611</v>
      </c>
      <c r="U935" t="s">
        <v>43</v>
      </c>
      <c r="V935" t="s">
        <v>43</v>
      </c>
      <c r="W935" t="s">
        <v>44</v>
      </c>
      <c r="X935" t="s">
        <v>44</v>
      </c>
      <c r="Y935" s="9">
        <f t="shared" si="43"/>
        <v>1.2999999999999999E-2</v>
      </c>
      <c r="Z935" t="str">
        <f t="shared" si="44"/>
        <v>สแกนต่าง Cost</v>
      </c>
    </row>
    <row r="936" spans="2:26" x14ac:dyDescent="0.45">
      <c r="B936" t="s">
        <v>53</v>
      </c>
      <c r="C936">
        <v>20370709</v>
      </c>
      <c r="D936" t="s">
        <v>115</v>
      </c>
      <c r="E936" s="8">
        <v>46133.722916666666</v>
      </c>
      <c r="F936" s="8">
        <v>46133.826388888891</v>
      </c>
      <c r="G936" s="9">
        <v>2.4833333333333334</v>
      </c>
      <c r="H936" s="9">
        <f t="shared" si="42"/>
        <v>1.2999999999999999E-2</v>
      </c>
      <c r="I936" s="9"/>
      <c r="J936" s="9"/>
      <c r="K936" s="9">
        <v>1.2999999999999999E-2</v>
      </c>
      <c r="L936" s="9"/>
      <c r="M936" t="s">
        <v>28</v>
      </c>
      <c r="N936" t="s">
        <v>29</v>
      </c>
      <c r="P936" t="s">
        <v>30</v>
      </c>
      <c r="Q936" t="s">
        <v>31</v>
      </c>
      <c r="R936">
        <v>82630</v>
      </c>
      <c r="S936" t="s">
        <v>32</v>
      </c>
      <c r="T936">
        <v>82611</v>
      </c>
      <c r="U936" t="s">
        <v>43</v>
      </c>
      <c r="V936" t="s">
        <v>43</v>
      </c>
      <c r="W936" t="s">
        <v>148</v>
      </c>
      <c r="X936" t="s">
        <v>171</v>
      </c>
      <c r="Y936" s="9">
        <f t="shared" si="43"/>
        <v>1.2999999999999999E-2</v>
      </c>
      <c r="Z936" t="str">
        <f t="shared" si="44"/>
        <v>สแกนต่าง Cost</v>
      </c>
    </row>
    <row r="937" spans="2:26" x14ac:dyDescent="0.45">
      <c r="B937" t="s">
        <v>53</v>
      </c>
      <c r="C937">
        <v>20029099</v>
      </c>
      <c r="D937" t="s">
        <v>163</v>
      </c>
      <c r="E937" s="8">
        <v>46133.722222222219</v>
      </c>
      <c r="F937" s="8">
        <v>46133.826388888891</v>
      </c>
      <c r="G937" s="9">
        <v>2.5</v>
      </c>
      <c r="H937" s="9">
        <f t="shared" si="42"/>
        <v>1.2999999999999999E-2</v>
      </c>
      <c r="I937" s="9"/>
      <c r="J937" s="9"/>
      <c r="K937" s="9">
        <v>1.2999999999999999E-2</v>
      </c>
      <c r="L937" s="9"/>
      <c r="M937" t="s">
        <v>28</v>
      </c>
      <c r="N937" t="s">
        <v>29</v>
      </c>
      <c r="P937" t="s">
        <v>30</v>
      </c>
      <c r="Q937" t="s">
        <v>31</v>
      </c>
      <c r="R937">
        <v>82630</v>
      </c>
      <c r="S937" t="s">
        <v>32</v>
      </c>
      <c r="T937">
        <v>82611</v>
      </c>
      <c r="U937" t="s">
        <v>43</v>
      </c>
      <c r="V937" t="s">
        <v>43</v>
      </c>
      <c r="W937" t="s">
        <v>148</v>
      </c>
      <c r="X937" t="s">
        <v>171</v>
      </c>
      <c r="Y937" s="9">
        <f t="shared" si="43"/>
        <v>1.2999999999999999E-2</v>
      </c>
      <c r="Z937" t="str">
        <f t="shared" si="44"/>
        <v>สแกนต่าง Cost</v>
      </c>
    </row>
    <row r="938" spans="2:26" x14ac:dyDescent="0.45">
      <c r="B938" t="s">
        <v>53</v>
      </c>
      <c r="C938">
        <v>20056406</v>
      </c>
      <c r="D938" t="s">
        <v>85</v>
      </c>
      <c r="E938" s="8">
        <v>46133.722222222219</v>
      </c>
      <c r="F938" s="8">
        <v>46133.826388888891</v>
      </c>
      <c r="G938" s="9">
        <v>2.5</v>
      </c>
      <c r="H938" s="9">
        <f t="shared" si="42"/>
        <v>1.2999999999999999E-2</v>
      </c>
      <c r="I938" s="9"/>
      <c r="J938" s="9"/>
      <c r="K938" s="9">
        <v>1.2999999999999999E-2</v>
      </c>
      <c r="L938" s="9"/>
      <c r="M938" t="s">
        <v>28</v>
      </c>
      <c r="N938" t="s">
        <v>29</v>
      </c>
      <c r="P938" t="s">
        <v>30</v>
      </c>
      <c r="Q938" t="s">
        <v>31</v>
      </c>
      <c r="R938">
        <v>82630</v>
      </c>
      <c r="S938" t="s">
        <v>32</v>
      </c>
      <c r="T938">
        <v>82611</v>
      </c>
      <c r="U938" t="s">
        <v>43</v>
      </c>
      <c r="V938" t="s">
        <v>43</v>
      </c>
      <c r="W938" t="s">
        <v>148</v>
      </c>
      <c r="X938" t="s">
        <v>171</v>
      </c>
      <c r="Y938" s="9">
        <f t="shared" si="43"/>
        <v>1.2999999999999999E-2</v>
      </c>
      <c r="Z938" t="str">
        <f t="shared" si="44"/>
        <v>สแกนต่าง Cost</v>
      </c>
    </row>
    <row r="939" spans="2:26" x14ac:dyDescent="0.45">
      <c r="B939" t="s">
        <v>53</v>
      </c>
      <c r="C939">
        <v>20156338</v>
      </c>
      <c r="D939" t="s">
        <v>102</v>
      </c>
      <c r="E939" s="8">
        <v>46133.722222222219</v>
      </c>
      <c r="F939" s="8">
        <v>46133.826388888891</v>
      </c>
      <c r="G939" s="9">
        <v>2.5</v>
      </c>
      <c r="H939" s="9">
        <f t="shared" si="42"/>
        <v>1.2999999999999999E-2</v>
      </c>
      <c r="I939" s="9"/>
      <c r="J939" s="9"/>
      <c r="K939" s="9"/>
      <c r="L939" s="9">
        <v>1.2999999999999999E-2</v>
      </c>
      <c r="M939" t="s">
        <v>255</v>
      </c>
      <c r="N939" t="s">
        <v>29</v>
      </c>
      <c r="P939" t="s">
        <v>30</v>
      </c>
      <c r="Q939" t="s">
        <v>31</v>
      </c>
      <c r="R939">
        <v>82630</v>
      </c>
      <c r="S939" t="s">
        <v>32</v>
      </c>
      <c r="T939">
        <v>82611</v>
      </c>
      <c r="U939" t="s">
        <v>43</v>
      </c>
      <c r="V939" t="s">
        <v>43</v>
      </c>
      <c r="W939" t="s">
        <v>148</v>
      </c>
      <c r="X939" t="s">
        <v>171</v>
      </c>
      <c r="Y939" s="9">
        <f t="shared" si="43"/>
        <v>1.2999999999999999E-2</v>
      </c>
      <c r="Z939" t="str">
        <f t="shared" si="44"/>
        <v>สแกนต่าง Cost</v>
      </c>
    </row>
    <row r="940" spans="2:26" x14ac:dyDescent="0.45">
      <c r="B940" t="s">
        <v>53</v>
      </c>
      <c r="C940">
        <v>20240959</v>
      </c>
      <c r="D940" t="s">
        <v>105</v>
      </c>
      <c r="E940" s="8">
        <v>46133.722222222219</v>
      </c>
      <c r="F940" s="8">
        <v>46133.826388888891</v>
      </c>
      <c r="G940" s="9">
        <v>2.5</v>
      </c>
      <c r="H940" s="9">
        <f t="shared" si="42"/>
        <v>1.2999999999999999E-2</v>
      </c>
      <c r="I940" s="9"/>
      <c r="J940" s="9"/>
      <c r="K940" s="9"/>
      <c r="L940" s="9">
        <v>1.2999999999999999E-2</v>
      </c>
      <c r="M940" t="s">
        <v>255</v>
      </c>
      <c r="N940" t="s">
        <v>40</v>
      </c>
      <c r="O940" t="s">
        <v>41</v>
      </c>
      <c r="P940" t="s">
        <v>30</v>
      </c>
      <c r="Q940" t="s">
        <v>31</v>
      </c>
      <c r="R940">
        <v>82630</v>
      </c>
      <c r="S940" t="s">
        <v>32</v>
      </c>
      <c r="T940">
        <v>82611</v>
      </c>
      <c r="U940" t="s">
        <v>43</v>
      </c>
      <c r="V940" t="s">
        <v>43</v>
      </c>
      <c r="W940" t="s">
        <v>148</v>
      </c>
      <c r="X940" t="s">
        <v>171</v>
      </c>
      <c r="Y940" s="9">
        <f t="shared" si="43"/>
        <v>1.2999999999999999E-2</v>
      </c>
      <c r="Z940" t="str">
        <f t="shared" si="44"/>
        <v>สแกนต่าง Cost</v>
      </c>
    </row>
    <row r="941" spans="2:26" x14ac:dyDescent="0.45">
      <c r="B941" t="s">
        <v>53</v>
      </c>
      <c r="C941">
        <v>20240961</v>
      </c>
      <c r="D941" t="s">
        <v>239</v>
      </c>
      <c r="E941" s="8">
        <v>46133.722222222219</v>
      </c>
      <c r="F941" s="8">
        <v>46133.826388888891</v>
      </c>
      <c r="G941">
        <v>2.5</v>
      </c>
      <c r="H941" s="9">
        <f t="shared" si="42"/>
        <v>1.2999999999999999E-2</v>
      </c>
      <c r="I941" s="9"/>
      <c r="J941" s="9"/>
      <c r="K941" s="9"/>
      <c r="L941" s="9">
        <v>1.2999999999999999E-2</v>
      </c>
      <c r="M941" t="s">
        <v>255</v>
      </c>
      <c r="N941" t="s">
        <v>40</v>
      </c>
      <c r="O941" t="s">
        <v>41</v>
      </c>
      <c r="P941" t="s">
        <v>30</v>
      </c>
      <c r="Q941" t="s">
        <v>31</v>
      </c>
      <c r="R941">
        <v>82630</v>
      </c>
      <c r="S941" t="s">
        <v>32</v>
      </c>
      <c r="T941">
        <v>82611</v>
      </c>
      <c r="U941" t="s">
        <v>43</v>
      </c>
      <c r="V941" t="s">
        <v>43</v>
      </c>
      <c r="W941" t="s">
        <v>148</v>
      </c>
      <c r="X941" t="s">
        <v>171</v>
      </c>
      <c r="Y941" s="9">
        <f t="shared" si="43"/>
        <v>1.2999999999999999E-2</v>
      </c>
      <c r="Z941" t="str">
        <f t="shared" si="44"/>
        <v>สแกนต่าง Cost</v>
      </c>
    </row>
    <row r="942" spans="2:26" x14ac:dyDescent="0.45">
      <c r="B942" t="s">
        <v>53</v>
      </c>
      <c r="C942">
        <v>20198842</v>
      </c>
      <c r="D942" t="s">
        <v>257</v>
      </c>
      <c r="E942" s="8">
        <v>46133.708333333336</v>
      </c>
      <c r="F942" s="8">
        <v>46133.729166666664</v>
      </c>
      <c r="G942">
        <v>0.5</v>
      </c>
      <c r="H942" s="9">
        <f t="shared" si="42"/>
        <v>3.0000000000000001E-3</v>
      </c>
      <c r="I942" s="9"/>
      <c r="J942" s="9">
        <v>3.0000000000000001E-3</v>
      </c>
      <c r="K942" s="9"/>
      <c r="L942" s="9"/>
      <c r="M942" t="s">
        <v>77</v>
      </c>
      <c r="N942" t="s">
        <v>29</v>
      </c>
      <c r="P942" t="s">
        <v>30</v>
      </c>
      <c r="Q942" t="s">
        <v>31</v>
      </c>
      <c r="R942">
        <v>82640</v>
      </c>
      <c r="S942" t="s">
        <v>42</v>
      </c>
      <c r="T942">
        <v>82630</v>
      </c>
      <c r="U942" t="s">
        <v>32</v>
      </c>
      <c r="V942" t="s">
        <v>66</v>
      </c>
      <c r="W942" t="s">
        <v>44</v>
      </c>
      <c r="X942" t="s">
        <v>44</v>
      </c>
      <c r="Y942" s="9">
        <f t="shared" si="43"/>
        <v>3.0000000000000001E-3</v>
      </c>
      <c r="Z942" t="str">
        <f t="shared" si="44"/>
        <v>สแกนต่าง Cost</v>
      </c>
    </row>
    <row r="943" spans="2:26" x14ac:dyDescent="0.45">
      <c r="B943" t="s">
        <v>53</v>
      </c>
      <c r="C943">
        <v>20358009</v>
      </c>
      <c r="D943" t="s">
        <v>295</v>
      </c>
      <c r="E943" s="8">
        <v>46133.688194444447</v>
      </c>
      <c r="F943" s="8">
        <v>46133.75277777778</v>
      </c>
      <c r="G943">
        <v>1.55</v>
      </c>
      <c r="H943" s="9">
        <f t="shared" si="42"/>
        <v>8.0000000000000002E-3</v>
      </c>
      <c r="I943" s="9">
        <v>8.0000000000000002E-3</v>
      </c>
      <c r="J943" s="9"/>
      <c r="K943" s="9"/>
      <c r="L943" s="9"/>
      <c r="M943" t="s">
        <v>65</v>
      </c>
      <c r="N943" t="s">
        <v>29</v>
      </c>
      <c r="P943" t="s">
        <v>30</v>
      </c>
      <c r="Q943" t="s">
        <v>31</v>
      </c>
      <c r="R943">
        <v>82612</v>
      </c>
      <c r="S943" t="s">
        <v>153</v>
      </c>
      <c r="T943">
        <v>82630</v>
      </c>
      <c r="U943" t="s">
        <v>32</v>
      </c>
      <c r="V943" t="s">
        <v>62</v>
      </c>
      <c r="W943" t="s">
        <v>47</v>
      </c>
      <c r="X943" t="s">
        <v>288</v>
      </c>
      <c r="Y943" s="9">
        <f t="shared" si="43"/>
        <v>0</v>
      </c>
      <c r="Z943" t="str">
        <f t="shared" si="44"/>
        <v>สแกนต่าง Cost</v>
      </c>
    </row>
    <row r="944" spans="2:26" x14ac:dyDescent="0.45">
      <c r="B944" t="s">
        <v>53</v>
      </c>
      <c r="C944">
        <v>20378642</v>
      </c>
      <c r="D944" t="s">
        <v>296</v>
      </c>
      <c r="E944" s="8">
        <v>46133.688194444447</v>
      </c>
      <c r="F944" s="8">
        <v>46133.75277777778</v>
      </c>
      <c r="G944">
        <v>1.55</v>
      </c>
      <c r="H944" s="9">
        <f t="shared" si="42"/>
        <v>8.0000000000000002E-3</v>
      </c>
      <c r="I944" s="9">
        <v>8.0000000000000002E-3</v>
      </c>
      <c r="J944" s="9"/>
      <c r="K944" s="9"/>
      <c r="L944" s="9"/>
      <c r="M944" t="s">
        <v>65</v>
      </c>
      <c r="N944" t="s">
        <v>29</v>
      </c>
      <c r="P944" t="s">
        <v>30</v>
      </c>
      <c r="Q944" t="s">
        <v>31</v>
      </c>
      <c r="R944">
        <v>82612</v>
      </c>
      <c r="S944" t="s">
        <v>153</v>
      </c>
      <c r="T944">
        <v>82630</v>
      </c>
      <c r="U944" t="s">
        <v>32</v>
      </c>
      <c r="V944" t="s">
        <v>62</v>
      </c>
      <c r="W944" t="s">
        <v>47</v>
      </c>
      <c r="X944" t="s">
        <v>288</v>
      </c>
      <c r="Y944" s="9">
        <f t="shared" si="43"/>
        <v>0</v>
      </c>
      <c r="Z944" t="str">
        <f t="shared" si="44"/>
        <v>สแกนต่าง Cost</v>
      </c>
    </row>
    <row r="945" spans="1:26" x14ac:dyDescent="0.45">
      <c r="B945" t="s">
        <v>53</v>
      </c>
      <c r="C945">
        <v>20076726</v>
      </c>
      <c r="D945" t="s">
        <v>297</v>
      </c>
      <c r="E945" s="8">
        <v>46133.6875</v>
      </c>
      <c r="F945" s="8">
        <v>46133.75277777778</v>
      </c>
      <c r="G945">
        <v>1.5666666666666667</v>
      </c>
      <c r="H945" s="9">
        <f t="shared" si="42"/>
        <v>8.0000000000000002E-3</v>
      </c>
      <c r="I945" s="9">
        <v>8.0000000000000002E-3</v>
      </c>
      <c r="J945" s="9"/>
      <c r="K945" s="9"/>
      <c r="L945" s="9"/>
      <c r="M945" t="s">
        <v>65</v>
      </c>
      <c r="N945" t="s">
        <v>29</v>
      </c>
      <c r="P945" t="s">
        <v>133</v>
      </c>
      <c r="Q945" t="s">
        <v>31</v>
      </c>
      <c r="R945">
        <v>82612</v>
      </c>
      <c r="S945" t="s">
        <v>153</v>
      </c>
      <c r="T945">
        <v>82630</v>
      </c>
      <c r="U945" t="s">
        <v>32</v>
      </c>
      <c r="V945" t="s">
        <v>62</v>
      </c>
      <c r="W945" t="s">
        <v>47</v>
      </c>
      <c r="X945" t="s">
        <v>288</v>
      </c>
      <c r="Y945" s="9">
        <f t="shared" si="43"/>
        <v>0</v>
      </c>
      <c r="Z945" t="str">
        <f t="shared" si="44"/>
        <v>สแกนต่าง Cost</v>
      </c>
    </row>
    <row r="946" spans="1:26" x14ac:dyDescent="0.45">
      <c r="B946" t="s">
        <v>53</v>
      </c>
      <c r="C946">
        <v>20099870</v>
      </c>
      <c r="D946" t="s">
        <v>298</v>
      </c>
      <c r="E946" s="8">
        <v>46133.6875</v>
      </c>
      <c r="F946" s="8">
        <v>46133.75277777778</v>
      </c>
      <c r="G946">
        <v>1.5666666666666667</v>
      </c>
      <c r="H946" s="9">
        <f t="shared" si="42"/>
        <v>8.0000000000000002E-3</v>
      </c>
      <c r="I946" s="9"/>
      <c r="J946" s="9"/>
      <c r="K946" s="9">
        <v>8.0000000000000002E-3</v>
      </c>
      <c r="L946" s="9"/>
      <c r="M946" t="s">
        <v>28</v>
      </c>
      <c r="N946" t="s">
        <v>29</v>
      </c>
      <c r="P946" t="s">
        <v>30</v>
      </c>
      <c r="Q946" t="s">
        <v>31</v>
      </c>
      <c r="R946">
        <v>82612</v>
      </c>
      <c r="S946" t="s">
        <v>153</v>
      </c>
      <c r="T946">
        <v>82630</v>
      </c>
      <c r="U946" t="s">
        <v>32</v>
      </c>
      <c r="V946" t="s">
        <v>62</v>
      </c>
      <c r="W946" t="s">
        <v>47</v>
      </c>
      <c r="X946" t="s">
        <v>288</v>
      </c>
      <c r="Y946" s="9">
        <f t="shared" si="43"/>
        <v>8.0000000000000002E-3</v>
      </c>
      <c r="Z946" t="str">
        <f t="shared" si="44"/>
        <v>สแกนต่าง Cost</v>
      </c>
    </row>
    <row r="947" spans="1:26" x14ac:dyDescent="0.45">
      <c r="B947" t="s">
        <v>53</v>
      </c>
      <c r="C947">
        <v>20198842</v>
      </c>
      <c r="D947" t="s">
        <v>257</v>
      </c>
      <c r="E947" s="8">
        <v>46133.6875</v>
      </c>
      <c r="F947" s="8">
        <v>46133.708333333336</v>
      </c>
      <c r="G947">
        <v>0.5</v>
      </c>
      <c r="H947" s="9">
        <f t="shared" si="42"/>
        <v>3.0000000000000001E-3</v>
      </c>
      <c r="I947" s="9"/>
      <c r="J947" s="9">
        <v>3.0000000000000001E-3</v>
      </c>
      <c r="K947" s="9"/>
      <c r="L947" s="9"/>
      <c r="M947" t="s">
        <v>77</v>
      </c>
      <c r="N947" t="s">
        <v>29</v>
      </c>
      <c r="P947" t="s">
        <v>30</v>
      </c>
      <c r="Q947" t="s">
        <v>31</v>
      </c>
      <c r="R947">
        <v>82640</v>
      </c>
      <c r="S947" t="s">
        <v>42</v>
      </c>
      <c r="T947">
        <v>82611</v>
      </c>
      <c r="U947" t="s">
        <v>43</v>
      </c>
      <c r="V947" t="s">
        <v>66</v>
      </c>
      <c r="W947" t="s">
        <v>44</v>
      </c>
      <c r="X947" t="s">
        <v>44</v>
      </c>
      <c r="Y947" s="9">
        <f t="shared" si="43"/>
        <v>3.0000000000000001E-3</v>
      </c>
      <c r="Z947" t="str">
        <f t="shared" si="44"/>
        <v>สแกนต่าง Cost</v>
      </c>
    </row>
    <row r="948" spans="1:26" x14ac:dyDescent="0.45">
      <c r="B948" t="s">
        <v>53</v>
      </c>
      <c r="C948">
        <v>20280718</v>
      </c>
      <c r="D948" t="s">
        <v>256</v>
      </c>
      <c r="E948" s="8">
        <v>46133.6875</v>
      </c>
      <c r="F948" s="8">
        <v>46133.729166666664</v>
      </c>
      <c r="G948">
        <v>1</v>
      </c>
      <c r="H948" s="9">
        <f t="shared" si="42"/>
        <v>5.0000000000000001E-3</v>
      </c>
      <c r="I948" s="9">
        <v>5.0000000000000001E-3</v>
      </c>
      <c r="J948" s="9"/>
      <c r="K948" s="9"/>
      <c r="L948" s="9"/>
      <c r="M948" t="s">
        <v>65</v>
      </c>
      <c r="N948" t="s">
        <v>29</v>
      </c>
      <c r="P948" t="s">
        <v>30</v>
      </c>
      <c r="Q948" t="s">
        <v>31</v>
      </c>
      <c r="R948">
        <v>82640</v>
      </c>
      <c r="S948" t="s">
        <v>42</v>
      </c>
      <c r="T948">
        <v>82611</v>
      </c>
      <c r="U948" t="s">
        <v>43</v>
      </c>
      <c r="V948" t="s">
        <v>66</v>
      </c>
      <c r="W948" t="s">
        <v>44</v>
      </c>
      <c r="X948" t="s">
        <v>44</v>
      </c>
      <c r="Y948" s="9">
        <f t="shared" si="43"/>
        <v>0</v>
      </c>
      <c r="Z948" t="str">
        <f t="shared" si="44"/>
        <v>สแกนต่าง Cost</v>
      </c>
    </row>
    <row r="949" spans="1:26" x14ac:dyDescent="0.45">
      <c r="B949" t="s">
        <v>53</v>
      </c>
      <c r="C949">
        <v>20368087</v>
      </c>
      <c r="D949" t="s">
        <v>260</v>
      </c>
      <c r="E949" s="8">
        <v>46133.666666666664</v>
      </c>
      <c r="F949" s="8">
        <v>46133.729166666664</v>
      </c>
      <c r="G949">
        <v>1.5</v>
      </c>
      <c r="H949" s="9">
        <f t="shared" si="42"/>
        <v>8.0000000000000002E-3</v>
      </c>
      <c r="I949" s="9">
        <v>8.0000000000000002E-3</v>
      </c>
      <c r="J949" s="9"/>
      <c r="K949" s="9"/>
      <c r="L949" s="9"/>
      <c r="M949" t="s">
        <v>65</v>
      </c>
      <c r="N949" t="s">
        <v>29</v>
      </c>
      <c r="P949" t="s">
        <v>30</v>
      </c>
      <c r="Q949" t="s">
        <v>31</v>
      </c>
      <c r="R949">
        <v>82640</v>
      </c>
      <c r="S949" t="s">
        <v>42</v>
      </c>
      <c r="T949">
        <v>82630</v>
      </c>
      <c r="U949" t="s">
        <v>32</v>
      </c>
      <c r="V949" t="s">
        <v>66</v>
      </c>
      <c r="W949" t="s">
        <v>44</v>
      </c>
      <c r="X949" t="s">
        <v>44</v>
      </c>
      <c r="Y949" s="9">
        <f t="shared" si="43"/>
        <v>0</v>
      </c>
      <c r="Z949" t="str">
        <f t="shared" si="44"/>
        <v>สแกนต่าง Cost</v>
      </c>
    </row>
    <row r="950" spans="1:26" x14ac:dyDescent="0.45">
      <c r="B950" t="s">
        <v>53</v>
      </c>
      <c r="C950">
        <v>20167851</v>
      </c>
      <c r="D950" t="s">
        <v>63</v>
      </c>
      <c r="E950" s="8">
        <v>46133.645833333336</v>
      </c>
      <c r="F950" s="8">
        <v>46133.729166666664</v>
      </c>
      <c r="G950">
        <v>2</v>
      </c>
      <c r="H950" s="9">
        <f t="shared" si="42"/>
        <v>1.0999999999999999E-2</v>
      </c>
      <c r="I950" s="9">
        <v>1.0999999999999999E-2</v>
      </c>
      <c r="J950" s="9"/>
      <c r="K950" s="9"/>
      <c r="L950" s="9"/>
      <c r="M950" t="s">
        <v>65</v>
      </c>
      <c r="N950" t="s">
        <v>29</v>
      </c>
      <c r="P950" t="s">
        <v>30</v>
      </c>
      <c r="Q950" t="s">
        <v>31</v>
      </c>
      <c r="R950">
        <v>82640</v>
      </c>
      <c r="S950" t="s">
        <v>42</v>
      </c>
      <c r="T950">
        <v>82630</v>
      </c>
      <c r="U950" t="s">
        <v>32</v>
      </c>
      <c r="V950" t="s">
        <v>66</v>
      </c>
      <c r="W950" t="s">
        <v>44</v>
      </c>
      <c r="X950" t="s">
        <v>44</v>
      </c>
      <c r="Y950" s="9">
        <f t="shared" si="43"/>
        <v>0</v>
      </c>
      <c r="Z950" t="str">
        <f t="shared" si="44"/>
        <v>สแกนต่าง Cost</v>
      </c>
    </row>
    <row r="951" spans="1:26" x14ac:dyDescent="0.45">
      <c r="B951" t="s">
        <v>53</v>
      </c>
      <c r="C951">
        <v>20332134</v>
      </c>
      <c r="D951" t="s">
        <v>156</v>
      </c>
      <c r="E951" s="8">
        <v>46133.645833333336</v>
      </c>
      <c r="F951" s="8">
        <v>46133.729166666664</v>
      </c>
      <c r="G951">
        <v>2</v>
      </c>
      <c r="H951" s="9">
        <f t="shared" si="42"/>
        <v>1.0999999999999999E-2</v>
      </c>
      <c r="I951" s="9">
        <v>1.0999999999999999E-2</v>
      </c>
      <c r="J951" s="9"/>
      <c r="K951" s="9"/>
      <c r="L951" s="9"/>
      <c r="M951" t="s">
        <v>65</v>
      </c>
      <c r="N951" t="s">
        <v>29</v>
      </c>
      <c r="P951" t="s">
        <v>30</v>
      </c>
      <c r="Q951" t="s">
        <v>31</v>
      </c>
      <c r="R951">
        <v>82640</v>
      </c>
      <c r="S951" t="s">
        <v>42</v>
      </c>
      <c r="T951">
        <v>82630</v>
      </c>
      <c r="U951" t="s">
        <v>32</v>
      </c>
      <c r="V951" t="s">
        <v>66</v>
      </c>
      <c r="W951" t="s">
        <v>44</v>
      </c>
      <c r="X951" t="s">
        <v>44</v>
      </c>
      <c r="Y951" s="9">
        <f t="shared" si="43"/>
        <v>0</v>
      </c>
      <c r="Z951" t="str">
        <f t="shared" si="44"/>
        <v>สแกนต่าง Cost</v>
      </c>
    </row>
    <row r="952" spans="1:26" x14ac:dyDescent="0.45">
      <c r="B952" t="s">
        <v>53</v>
      </c>
      <c r="C952">
        <v>20280718</v>
      </c>
      <c r="D952" t="s">
        <v>256</v>
      </c>
      <c r="E952" s="8">
        <v>46133.625</v>
      </c>
      <c r="F952" s="8">
        <v>46133.6875</v>
      </c>
      <c r="G952">
        <v>1.5</v>
      </c>
      <c r="H952" s="9">
        <f t="shared" si="42"/>
        <v>8.0000000000000002E-3</v>
      </c>
      <c r="I952" s="9">
        <v>8.0000000000000002E-3</v>
      </c>
      <c r="J952" s="9"/>
      <c r="K952" s="9"/>
      <c r="L952" s="9"/>
      <c r="M952" t="s">
        <v>65</v>
      </c>
      <c r="N952" t="s">
        <v>29</v>
      </c>
      <c r="P952" t="s">
        <v>30</v>
      </c>
      <c r="Q952" t="s">
        <v>31</v>
      </c>
      <c r="R952">
        <v>82640</v>
      </c>
      <c r="S952" t="s">
        <v>42</v>
      </c>
      <c r="T952">
        <v>82630</v>
      </c>
      <c r="U952" t="s">
        <v>32</v>
      </c>
      <c r="V952" t="s">
        <v>66</v>
      </c>
      <c r="W952" t="s">
        <v>44</v>
      </c>
      <c r="X952" t="s">
        <v>44</v>
      </c>
      <c r="Y952" s="9">
        <f t="shared" si="43"/>
        <v>0</v>
      </c>
      <c r="Z952" t="str">
        <f t="shared" si="44"/>
        <v>สแกนต่าง Cost</v>
      </c>
    </row>
    <row r="953" spans="1:26" x14ac:dyDescent="0.45">
      <c r="B953" t="s">
        <v>53</v>
      </c>
      <c r="C953">
        <v>20027956</v>
      </c>
      <c r="D953" t="s">
        <v>214</v>
      </c>
      <c r="E953" s="8">
        <v>46133.583333333336</v>
      </c>
      <c r="F953" s="8">
        <v>46133.729166666664</v>
      </c>
      <c r="G953">
        <v>3.5</v>
      </c>
      <c r="H953" s="9">
        <f t="shared" si="42"/>
        <v>1.9E-2</v>
      </c>
      <c r="I953" s="9">
        <v>1.9E-2</v>
      </c>
      <c r="J953" s="9"/>
      <c r="K953" s="9"/>
      <c r="L953" s="9"/>
      <c r="M953" t="s">
        <v>65</v>
      </c>
      <c r="N953" t="s">
        <v>29</v>
      </c>
      <c r="P953" t="s">
        <v>30</v>
      </c>
      <c r="Q953" t="s">
        <v>31</v>
      </c>
      <c r="R953">
        <v>82640</v>
      </c>
      <c r="S953" t="s">
        <v>42</v>
      </c>
      <c r="T953">
        <v>82611</v>
      </c>
      <c r="U953" t="s">
        <v>43</v>
      </c>
      <c r="V953" t="s">
        <v>66</v>
      </c>
      <c r="W953" t="s">
        <v>44</v>
      </c>
      <c r="X953" t="s">
        <v>44</v>
      </c>
      <c r="Y953" s="9">
        <f t="shared" si="43"/>
        <v>0</v>
      </c>
      <c r="Z953" t="str">
        <f t="shared" si="44"/>
        <v>สแกนต่าง Cost</v>
      </c>
    </row>
    <row r="954" spans="1:26" x14ac:dyDescent="0.45">
      <c r="B954" t="s">
        <v>53</v>
      </c>
      <c r="C954">
        <v>20060579</v>
      </c>
      <c r="D954" t="s">
        <v>39</v>
      </c>
      <c r="E954" s="8">
        <v>46133.583333333336</v>
      </c>
      <c r="F954" s="8">
        <v>46133.729166666664</v>
      </c>
      <c r="G954">
        <v>3.5</v>
      </c>
      <c r="H954" s="9">
        <f t="shared" si="42"/>
        <v>1.9E-2</v>
      </c>
      <c r="I954" s="9">
        <v>1.9E-2</v>
      </c>
      <c r="J954" s="9"/>
      <c r="K954" s="9"/>
      <c r="L954" s="9"/>
      <c r="M954" t="s">
        <v>65</v>
      </c>
      <c r="N954" t="s">
        <v>29</v>
      </c>
      <c r="P954" t="s">
        <v>30</v>
      </c>
      <c r="Q954" t="s">
        <v>31</v>
      </c>
      <c r="R954">
        <v>82640</v>
      </c>
      <c r="S954" t="s">
        <v>42</v>
      </c>
      <c r="T954">
        <v>82630</v>
      </c>
      <c r="U954" t="s">
        <v>32</v>
      </c>
      <c r="V954" t="s">
        <v>66</v>
      </c>
      <c r="W954" t="s">
        <v>44</v>
      </c>
      <c r="X954" t="s">
        <v>44</v>
      </c>
      <c r="Y954" s="9">
        <f t="shared" si="43"/>
        <v>0</v>
      </c>
      <c r="Z954" t="str">
        <f t="shared" si="44"/>
        <v>สแกนต่าง Cost</v>
      </c>
    </row>
    <row r="955" spans="1:26" x14ac:dyDescent="0.45">
      <c r="B955" t="s">
        <v>53</v>
      </c>
      <c r="C955">
        <v>20167851</v>
      </c>
      <c r="D955" t="s">
        <v>63</v>
      </c>
      <c r="E955" s="8">
        <v>46133.583333333336</v>
      </c>
      <c r="F955" s="8">
        <v>46133.645833333336</v>
      </c>
      <c r="G955">
        <v>1.5</v>
      </c>
      <c r="H955" s="9">
        <f t="shared" si="42"/>
        <v>8.0000000000000002E-3</v>
      </c>
      <c r="I955" s="9">
        <v>8.0000000000000002E-3</v>
      </c>
      <c r="J955" s="9"/>
      <c r="K955" s="9"/>
      <c r="L955" s="9"/>
      <c r="M955" t="s">
        <v>65</v>
      </c>
      <c r="N955" t="s">
        <v>29</v>
      </c>
      <c r="P955" t="s">
        <v>30</v>
      </c>
      <c r="Q955" t="s">
        <v>31</v>
      </c>
      <c r="R955">
        <v>82640</v>
      </c>
      <c r="S955" t="s">
        <v>42</v>
      </c>
      <c r="T955">
        <v>82612</v>
      </c>
      <c r="U955" t="s">
        <v>153</v>
      </c>
      <c r="V955" t="s">
        <v>66</v>
      </c>
      <c r="W955" t="s">
        <v>44</v>
      </c>
      <c r="X955" t="s">
        <v>44</v>
      </c>
      <c r="Y955" s="9">
        <f t="shared" si="43"/>
        <v>0</v>
      </c>
      <c r="Z955" t="str">
        <f t="shared" si="44"/>
        <v>สแกนต่าง Cost</v>
      </c>
    </row>
    <row r="956" spans="1:26" x14ac:dyDescent="0.45">
      <c r="B956" t="s">
        <v>53</v>
      </c>
      <c r="C956">
        <v>20280718</v>
      </c>
      <c r="D956" t="s">
        <v>256</v>
      </c>
      <c r="E956" s="8">
        <v>46133.583333333336</v>
      </c>
      <c r="F956" s="8">
        <v>46133.625</v>
      </c>
      <c r="G956">
        <v>1</v>
      </c>
      <c r="H956" s="9">
        <f t="shared" si="42"/>
        <v>5.0000000000000001E-3</v>
      </c>
      <c r="I956" s="9">
        <v>5.0000000000000001E-3</v>
      </c>
      <c r="J956" s="9"/>
      <c r="K956" s="9"/>
      <c r="L956" s="9"/>
      <c r="M956" t="s">
        <v>65</v>
      </c>
      <c r="N956" t="s">
        <v>29</v>
      </c>
      <c r="P956" t="s">
        <v>30</v>
      </c>
      <c r="Q956" t="s">
        <v>31</v>
      </c>
      <c r="R956">
        <v>82640</v>
      </c>
      <c r="S956" t="s">
        <v>42</v>
      </c>
      <c r="T956">
        <v>82612</v>
      </c>
      <c r="U956" t="s">
        <v>153</v>
      </c>
      <c r="V956" t="s">
        <v>66</v>
      </c>
      <c r="W956" t="s">
        <v>44</v>
      </c>
      <c r="X956" t="s">
        <v>44</v>
      </c>
      <c r="Y956" s="9">
        <f t="shared" si="43"/>
        <v>0</v>
      </c>
      <c r="Z956" t="str">
        <f t="shared" si="44"/>
        <v>สแกนต่าง Cost</v>
      </c>
    </row>
    <row r="957" spans="1:26" x14ac:dyDescent="0.45">
      <c r="B957" t="s">
        <v>53</v>
      </c>
      <c r="C957">
        <v>20332134</v>
      </c>
      <c r="D957" t="s">
        <v>156</v>
      </c>
      <c r="E957" s="8">
        <v>46133.583333333336</v>
      </c>
      <c r="F957" s="8">
        <v>46133.645833333336</v>
      </c>
      <c r="G957">
        <v>1.5</v>
      </c>
      <c r="H957" s="9">
        <f t="shared" si="42"/>
        <v>8.0000000000000002E-3</v>
      </c>
      <c r="I957" s="9">
        <v>8.0000000000000002E-3</v>
      </c>
      <c r="J957" s="9"/>
      <c r="K957" s="9"/>
      <c r="L957" s="9"/>
      <c r="M957" t="s">
        <v>65</v>
      </c>
      <c r="N957" t="s">
        <v>29</v>
      </c>
      <c r="P957" t="s">
        <v>30</v>
      </c>
      <c r="Q957" t="s">
        <v>31</v>
      </c>
      <c r="R957">
        <v>82640</v>
      </c>
      <c r="S957" t="s">
        <v>42</v>
      </c>
      <c r="T957">
        <v>82612</v>
      </c>
      <c r="U957" t="s">
        <v>153</v>
      </c>
      <c r="V957" t="s">
        <v>66</v>
      </c>
      <c r="W957" t="s">
        <v>44</v>
      </c>
      <c r="X957" t="s">
        <v>44</v>
      </c>
      <c r="Y957" s="9">
        <f t="shared" si="43"/>
        <v>0</v>
      </c>
      <c r="Z957" t="str">
        <f t="shared" si="44"/>
        <v>สแกนต่าง Cost</v>
      </c>
    </row>
    <row r="958" spans="1:26" x14ac:dyDescent="0.45">
      <c r="B958" t="s">
        <v>53</v>
      </c>
      <c r="C958">
        <v>20386158</v>
      </c>
      <c r="D958" t="s">
        <v>299</v>
      </c>
      <c r="E958" s="8">
        <v>46133.580555555556</v>
      </c>
      <c r="F958" s="8">
        <v>46133.729166666664</v>
      </c>
      <c r="G958">
        <v>3.5666666666666669</v>
      </c>
      <c r="H958" s="9">
        <f t="shared" si="42"/>
        <v>1.9E-2</v>
      </c>
      <c r="I958" s="9">
        <v>1.9E-2</v>
      </c>
      <c r="J958" s="9"/>
      <c r="K958" s="9"/>
      <c r="L958" s="9"/>
      <c r="M958" t="s">
        <v>48</v>
      </c>
      <c r="N958" t="s">
        <v>48</v>
      </c>
      <c r="P958" t="s">
        <v>30</v>
      </c>
      <c r="Q958" t="s">
        <v>31</v>
      </c>
      <c r="R958">
        <v>82612</v>
      </c>
      <c r="S958" t="s">
        <v>153</v>
      </c>
      <c r="T958">
        <v>82630</v>
      </c>
      <c r="U958" t="s">
        <v>32</v>
      </c>
      <c r="V958" t="s">
        <v>62</v>
      </c>
      <c r="W958" t="s">
        <v>148</v>
      </c>
      <c r="X958" t="s">
        <v>149</v>
      </c>
      <c r="Y958" s="9">
        <f t="shared" si="43"/>
        <v>0</v>
      </c>
      <c r="Z958" t="str">
        <f t="shared" si="44"/>
        <v>สแกนต่าง Cost</v>
      </c>
    </row>
    <row r="959" spans="1:26" x14ac:dyDescent="0.45">
      <c r="A959">
        <v>26787</v>
      </c>
      <c r="B959" t="s">
        <v>53</v>
      </c>
      <c r="C959">
        <v>20048905</v>
      </c>
      <c r="D959" t="s">
        <v>73</v>
      </c>
      <c r="E959" s="8">
        <v>46133.572916666664</v>
      </c>
      <c r="F959" s="8">
        <v>46133.978472222225</v>
      </c>
      <c r="G959">
        <v>8.7333333333333325</v>
      </c>
      <c r="H959" s="9">
        <f t="shared" si="42"/>
        <v>4.7E-2</v>
      </c>
      <c r="I959" s="9">
        <v>4.7E-2</v>
      </c>
      <c r="J959" s="9"/>
      <c r="K959" s="9"/>
      <c r="L959" s="9"/>
      <c r="M959" t="s">
        <v>65</v>
      </c>
      <c r="N959" t="s">
        <v>29</v>
      </c>
      <c r="P959" t="s">
        <v>30</v>
      </c>
      <c r="Q959" t="s">
        <v>31</v>
      </c>
      <c r="R959">
        <v>82409</v>
      </c>
      <c r="S959" t="s">
        <v>74</v>
      </c>
      <c r="T959">
        <v>82664</v>
      </c>
      <c r="U959" t="s">
        <v>75</v>
      </c>
      <c r="V959" t="s">
        <v>75</v>
      </c>
      <c r="W959" t="s">
        <v>74</v>
      </c>
      <c r="X959" t="s">
        <v>74</v>
      </c>
      <c r="Y959" s="9">
        <f t="shared" si="43"/>
        <v>0</v>
      </c>
      <c r="Z959" t="str">
        <f t="shared" si="44"/>
        <v>สแกนต่าง Cost</v>
      </c>
    </row>
    <row r="960" spans="1:26" x14ac:dyDescent="0.45">
      <c r="B960" t="s">
        <v>53</v>
      </c>
      <c r="C960">
        <v>20060579</v>
      </c>
      <c r="D960" t="s">
        <v>39</v>
      </c>
      <c r="E960" s="8">
        <v>46133.5625</v>
      </c>
      <c r="F960" s="8">
        <v>46133.583333333336</v>
      </c>
      <c r="G960">
        <v>0.5</v>
      </c>
      <c r="H960" s="9">
        <f t="shared" si="42"/>
        <v>3.0000000000000001E-3</v>
      </c>
      <c r="I960" s="9">
        <v>3.0000000000000001E-3</v>
      </c>
      <c r="J960" s="9"/>
      <c r="K960" s="9"/>
      <c r="L960" s="9"/>
      <c r="M960" t="s">
        <v>65</v>
      </c>
      <c r="N960" t="s">
        <v>29</v>
      </c>
      <c r="P960" t="s">
        <v>30</v>
      </c>
      <c r="Q960" t="s">
        <v>31</v>
      </c>
      <c r="R960">
        <v>82640</v>
      </c>
      <c r="S960" t="s">
        <v>42</v>
      </c>
      <c r="T960">
        <v>82612</v>
      </c>
      <c r="U960" t="s">
        <v>153</v>
      </c>
      <c r="V960" t="s">
        <v>66</v>
      </c>
      <c r="W960" t="s">
        <v>44</v>
      </c>
      <c r="X960" t="s">
        <v>44</v>
      </c>
      <c r="Y960" s="9">
        <f t="shared" si="43"/>
        <v>0</v>
      </c>
      <c r="Z960" t="str">
        <f t="shared" si="44"/>
        <v>สแกนต่าง Cost</v>
      </c>
    </row>
    <row r="961" spans="1:26" x14ac:dyDescent="0.45">
      <c r="B961" t="s">
        <v>53</v>
      </c>
      <c r="C961">
        <v>20280718</v>
      </c>
      <c r="D961" t="s">
        <v>256</v>
      </c>
      <c r="E961" s="8">
        <v>46133.5625</v>
      </c>
      <c r="F961" s="8">
        <v>46133.583333333336</v>
      </c>
      <c r="G961">
        <v>0.5</v>
      </c>
      <c r="H961" s="9">
        <f t="shared" si="42"/>
        <v>3.0000000000000001E-3</v>
      </c>
      <c r="I961" s="9">
        <v>3.0000000000000001E-3</v>
      </c>
      <c r="J961" s="9"/>
      <c r="K961" s="9"/>
      <c r="L961" s="9"/>
      <c r="M961" t="s">
        <v>65</v>
      </c>
      <c r="N961" t="s">
        <v>29</v>
      </c>
      <c r="P961" t="s">
        <v>30</v>
      </c>
      <c r="Q961" t="s">
        <v>31</v>
      </c>
      <c r="R961">
        <v>82640</v>
      </c>
      <c r="S961" t="s">
        <v>42</v>
      </c>
      <c r="T961">
        <v>82630</v>
      </c>
      <c r="U961" t="s">
        <v>32</v>
      </c>
      <c r="V961" t="s">
        <v>66</v>
      </c>
      <c r="W961" t="s">
        <v>44</v>
      </c>
      <c r="X961" t="s">
        <v>44</v>
      </c>
      <c r="Y961" s="9">
        <f t="shared" si="43"/>
        <v>0</v>
      </c>
      <c r="Z961" t="str">
        <f t="shared" si="44"/>
        <v>สแกนต่าง Cost</v>
      </c>
    </row>
    <row r="962" spans="1:26" x14ac:dyDescent="0.45">
      <c r="B962" t="s">
        <v>53</v>
      </c>
      <c r="C962">
        <v>20018899</v>
      </c>
      <c r="D962" t="s">
        <v>64</v>
      </c>
      <c r="E962" s="8">
        <v>46133.541666666664</v>
      </c>
      <c r="F962" s="8">
        <v>46133.729166666664</v>
      </c>
      <c r="G962">
        <v>4.5</v>
      </c>
      <c r="H962" s="9">
        <f t="shared" si="42"/>
        <v>2.4E-2</v>
      </c>
      <c r="I962" s="9">
        <v>2.4E-2</v>
      </c>
      <c r="J962" s="9"/>
      <c r="K962" s="9"/>
      <c r="L962" s="9"/>
      <c r="M962" t="s">
        <v>65</v>
      </c>
      <c r="N962" t="s">
        <v>29</v>
      </c>
      <c r="P962" t="s">
        <v>30</v>
      </c>
      <c r="Q962" t="s">
        <v>31</v>
      </c>
      <c r="R962">
        <v>82640</v>
      </c>
      <c r="S962" t="s">
        <v>42</v>
      </c>
      <c r="T962">
        <v>82652</v>
      </c>
      <c r="U962" t="s">
        <v>46</v>
      </c>
      <c r="V962" t="s">
        <v>66</v>
      </c>
      <c r="W962" t="s">
        <v>37</v>
      </c>
      <c r="X962" t="s">
        <v>34</v>
      </c>
      <c r="Y962" s="9">
        <f t="shared" si="43"/>
        <v>0</v>
      </c>
      <c r="Z962" t="str">
        <f t="shared" si="44"/>
        <v>สแกนต่าง Cost</v>
      </c>
    </row>
    <row r="963" spans="1:26" x14ac:dyDescent="0.45">
      <c r="B963" t="s">
        <v>53</v>
      </c>
      <c r="C963">
        <v>20060579</v>
      </c>
      <c r="D963" t="s">
        <v>39</v>
      </c>
      <c r="E963" s="8">
        <v>46133.541666666664</v>
      </c>
      <c r="F963" s="8">
        <v>46133.5625</v>
      </c>
      <c r="G963">
        <v>0.5</v>
      </c>
      <c r="H963" s="9">
        <f t="shared" ref="H963:H1026" si="45">SUM(I963:L963)</f>
        <v>3.0000000000000001E-3</v>
      </c>
      <c r="I963" s="9">
        <v>3.0000000000000001E-3</v>
      </c>
      <c r="J963" s="9"/>
      <c r="K963" s="9"/>
      <c r="L963" s="9"/>
      <c r="M963" t="s">
        <v>65</v>
      </c>
      <c r="N963" t="s">
        <v>29</v>
      </c>
      <c r="P963" t="s">
        <v>30</v>
      </c>
      <c r="Q963" t="s">
        <v>31</v>
      </c>
      <c r="R963">
        <v>82640</v>
      </c>
      <c r="S963" t="s">
        <v>42</v>
      </c>
      <c r="T963">
        <v>82630</v>
      </c>
      <c r="U963" t="s">
        <v>32</v>
      </c>
      <c r="V963" t="s">
        <v>66</v>
      </c>
      <c r="W963" t="s">
        <v>44</v>
      </c>
      <c r="X963" t="s">
        <v>44</v>
      </c>
      <c r="Y963" s="9">
        <f t="shared" ref="Y963:Y1026" si="46">SUM(J963:L963)</f>
        <v>0</v>
      </c>
      <c r="Z963" t="str">
        <f t="shared" ref="Z963:Z1026" si="47">IF(R963=T963,"สแกน Cost ตัวเอง","สแกนต่าง Cost")</f>
        <v>สแกนต่าง Cost</v>
      </c>
    </row>
    <row r="964" spans="1:26" x14ac:dyDescent="0.45">
      <c r="B964" t="s">
        <v>53</v>
      </c>
      <c r="C964">
        <v>20198842</v>
      </c>
      <c r="D964" t="s">
        <v>257</v>
      </c>
      <c r="E964" s="8">
        <v>46133.541666666664</v>
      </c>
      <c r="F964" s="8">
        <v>46133.729166666664</v>
      </c>
      <c r="G964">
        <v>4.5</v>
      </c>
      <c r="H964" s="9">
        <f t="shared" si="45"/>
        <v>2.4E-2</v>
      </c>
      <c r="I964" s="9"/>
      <c r="J964" s="9">
        <v>2.4E-2</v>
      </c>
      <c r="K964" s="9"/>
      <c r="L964" s="9"/>
      <c r="M964" t="s">
        <v>77</v>
      </c>
      <c r="N964" t="s">
        <v>29</v>
      </c>
      <c r="P964" t="s">
        <v>30</v>
      </c>
      <c r="Q964" t="s">
        <v>31</v>
      </c>
      <c r="R964">
        <v>82640</v>
      </c>
      <c r="S964" t="s">
        <v>42</v>
      </c>
      <c r="T964">
        <v>82612</v>
      </c>
      <c r="U964" t="s">
        <v>153</v>
      </c>
      <c r="V964" t="s">
        <v>66</v>
      </c>
      <c r="W964" t="s">
        <v>44</v>
      </c>
      <c r="X964" t="s">
        <v>44</v>
      </c>
      <c r="Y964" s="9">
        <f t="shared" si="46"/>
        <v>2.4E-2</v>
      </c>
      <c r="Z964" t="str">
        <f t="shared" si="47"/>
        <v>สแกนต่าง Cost</v>
      </c>
    </row>
    <row r="965" spans="1:26" x14ac:dyDescent="0.45">
      <c r="B965" t="s">
        <v>53</v>
      </c>
      <c r="C965">
        <v>20198842</v>
      </c>
      <c r="D965" t="s">
        <v>257</v>
      </c>
      <c r="E965" s="8">
        <v>46133.541666666664</v>
      </c>
      <c r="F965" s="8">
        <v>46133.666666666664</v>
      </c>
      <c r="G965">
        <v>3</v>
      </c>
      <c r="H965" s="9">
        <f t="shared" si="45"/>
        <v>1.6E-2</v>
      </c>
      <c r="I965" s="9"/>
      <c r="J965" s="9">
        <v>1.6E-2</v>
      </c>
      <c r="K965" s="9"/>
      <c r="L965" s="9"/>
      <c r="M965" t="s">
        <v>77</v>
      </c>
      <c r="N965" t="s">
        <v>29</v>
      </c>
      <c r="P965" t="s">
        <v>30</v>
      </c>
      <c r="Q965" t="s">
        <v>31</v>
      </c>
      <c r="R965">
        <v>82640</v>
      </c>
      <c r="S965" t="s">
        <v>42</v>
      </c>
      <c r="T965">
        <v>82630</v>
      </c>
      <c r="U965" t="s">
        <v>32</v>
      </c>
      <c r="V965" t="s">
        <v>66</v>
      </c>
      <c r="W965" t="s">
        <v>44</v>
      </c>
      <c r="X965" t="s">
        <v>44</v>
      </c>
      <c r="Y965" s="9">
        <f t="shared" si="46"/>
        <v>1.6E-2</v>
      </c>
      <c r="Z965" t="str">
        <f t="shared" si="47"/>
        <v>สแกนต่าง Cost</v>
      </c>
    </row>
    <row r="966" spans="1:26" x14ac:dyDescent="0.45">
      <c r="B966" t="s">
        <v>53</v>
      </c>
      <c r="C966">
        <v>20220646</v>
      </c>
      <c r="D966" t="s">
        <v>67</v>
      </c>
      <c r="E966" s="8">
        <v>46133.541666666664</v>
      </c>
      <c r="F966" s="8">
        <v>46133.729166666664</v>
      </c>
      <c r="G966">
        <v>4.5</v>
      </c>
      <c r="H966" s="9">
        <f t="shared" si="45"/>
        <v>2.4E-2</v>
      </c>
      <c r="I966" s="9">
        <v>2.4E-2</v>
      </c>
      <c r="J966" s="9"/>
      <c r="K966" s="9"/>
      <c r="L966" s="9"/>
      <c r="M966" t="s">
        <v>65</v>
      </c>
      <c r="N966" t="s">
        <v>29</v>
      </c>
      <c r="P966" t="s">
        <v>30</v>
      </c>
      <c r="Q966" t="s">
        <v>31</v>
      </c>
      <c r="R966">
        <v>82640</v>
      </c>
      <c r="S966" t="s">
        <v>42</v>
      </c>
      <c r="T966">
        <v>82652</v>
      </c>
      <c r="U966" t="s">
        <v>46</v>
      </c>
      <c r="V966" t="s">
        <v>66</v>
      </c>
      <c r="W966" t="s">
        <v>37</v>
      </c>
      <c r="X966" t="s">
        <v>34</v>
      </c>
      <c r="Y966" s="9">
        <f t="shared" si="46"/>
        <v>0</v>
      </c>
      <c r="Z966" t="str">
        <f t="shared" si="47"/>
        <v>สแกนต่าง Cost</v>
      </c>
    </row>
    <row r="967" spans="1:26" x14ac:dyDescent="0.45">
      <c r="B967" t="s">
        <v>53</v>
      </c>
      <c r="C967">
        <v>20310532</v>
      </c>
      <c r="D967" t="s">
        <v>61</v>
      </c>
      <c r="E967" s="8">
        <v>46133.541666666664</v>
      </c>
      <c r="F967" s="8">
        <v>46133.729166666664</v>
      </c>
      <c r="G967">
        <v>4.5</v>
      </c>
      <c r="H967" s="9">
        <f t="shared" si="45"/>
        <v>2.4E-2</v>
      </c>
      <c r="I967" s="9">
        <v>2.4E-2</v>
      </c>
      <c r="J967" s="9"/>
      <c r="K967" s="9"/>
      <c r="L967" s="9"/>
      <c r="M967" t="s">
        <v>65</v>
      </c>
      <c r="N967" t="s">
        <v>29</v>
      </c>
      <c r="P967" t="s">
        <v>30</v>
      </c>
      <c r="Q967" t="s">
        <v>31</v>
      </c>
      <c r="R967">
        <v>82640</v>
      </c>
      <c r="S967" t="s">
        <v>42</v>
      </c>
      <c r="T967">
        <v>82630</v>
      </c>
      <c r="U967" t="s">
        <v>32</v>
      </c>
      <c r="V967" t="s">
        <v>66</v>
      </c>
      <c r="W967" t="s">
        <v>44</v>
      </c>
      <c r="X967" t="s">
        <v>44</v>
      </c>
      <c r="Y967" s="9">
        <f t="shared" si="46"/>
        <v>0</v>
      </c>
      <c r="Z967" t="str">
        <f t="shared" si="47"/>
        <v>สแกนต่าง Cost</v>
      </c>
    </row>
    <row r="968" spans="1:26" x14ac:dyDescent="0.45">
      <c r="B968" t="s">
        <v>53</v>
      </c>
      <c r="C968">
        <v>20332134</v>
      </c>
      <c r="D968" t="s">
        <v>156</v>
      </c>
      <c r="E968" s="8">
        <v>46133.541666666664</v>
      </c>
      <c r="F968" s="8">
        <v>46133.583333333336</v>
      </c>
      <c r="G968">
        <v>1</v>
      </c>
      <c r="H968" s="9">
        <f t="shared" si="45"/>
        <v>5.0000000000000001E-3</v>
      </c>
      <c r="I968" s="9">
        <v>5.0000000000000001E-3</v>
      </c>
      <c r="J968" s="9"/>
      <c r="K968" s="9"/>
      <c r="L968" s="9"/>
      <c r="M968" t="s">
        <v>65</v>
      </c>
      <c r="N968" t="s">
        <v>29</v>
      </c>
      <c r="P968" t="s">
        <v>30</v>
      </c>
      <c r="Q968" t="s">
        <v>31</v>
      </c>
      <c r="R968">
        <v>82640</v>
      </c>
      <c r="S968" t="s">
        <v>42</v>
      </c>
      <c r="T968">
        <v>82630</v>
      </c>
      <c r="U968" t="s">
        <v>32</v>
      </c>
      <c r="V968" t="s">
        <v>66</v>
      </c>
      <c r="W968" t="s">
        <v>44</v>
      </c>
      <c r="X968" t="s">
        <v>44</v>
      </c>
      <c r="Y968" s="9">
        <f t="shared" si="46"/>
        <v>0</v>
      </c>
      <c r="Z968" t="str">
        <f t="shared" si="47"/>
        <v>สแกนต่าง Cost</v>
      </c>
    </row>
    <row r="969" spans="1:26" x14ac:dyDescent="0.45">
      <c r="B969" t="s">
        <v>53</v>
      </c>
      <c r="C969">
        <v>20368087</v>
      </c>
      <c r="D969" t="s">
        <v>260</v>
      </c>
      <c r="E969" s="8">
        <v>46133.541666666664</v>
      </c>
      <c r="F969" s="8">
        <v>46133.666666666664</v>
      </c>
      <c r="G969">
        <v>3</v>
      </c>
      <c r="H969" s="9">
        <f t="shared" si="45"/>
        <v>1.6E-2</v>
      </c>
      <c r="I969" s="9">
        <v>1.6E-2</v>
      </c>
      <c r="J969" s="9"/>
      <c r="K969" s="9"/>
      <c r="L969" s="9"/>
      <c r="M969" t="s">
        <v>65</v>
      </c>
      <c r="N969" t="s">
        <v>29</v>
      </c>
      <c r="P969" t="s">
        <v>30</v>
      </c>
      <c r="Q969" t="s">
        <v>31</v>
      </c>
      <c r="R969">
        <v>82640</v>
      </c>
      <c r="S969" t="s">
        <v>42</v>
      </c>
      <c r="T969">
        <v>82611</v>
      </c>
      <c r="U969" t="s">
        <v>43</v>
      </c>
      <c r="V969" t="s">
        <v>66</v>
      </c>
      <c r="W969" t="s">
        <v>44</v>
      </c>
      <c r="X969" t="s">
        <v>44</v>
      </c>
      <c r="Y969" s="9">
        <f t="shared" si="46"/>
        <v>0</v>
      </c>
      <c r="Z969" t="str">
        <f t="shared" si="47"/>
        <v>สแกนต่าง Cost</v>
      </c>
    </row>
    <row r="970" spans="1:26" x14ac:dyDescent="0.45">
      <c r="B970" t="s">
        <v>53</v>
      </c>
      <c r="C970">
        <v>20198842</v>
      </c>
      <c r="D970" t="s">
        <v>257</v>
      </c>
      <c r="E970" s="8">
        <v>46133.458333333336</v>
      </c>
      <c r="F970" s="8">
        <v>46133.5</v>
      </c>
      <c r="G970">
        <v>1</v>
      </c>
      <c r="H970" s="9">
        <f t="shared" si="45"/>
        <v>5.0000000000000001E-3</v>
      </c>
      <c r="I970" s="9"/>
      <c r="J970" s="9">
        <v>5.0000000000000001E-3</v>
      </c>
      <c r="K970" s="9"/>
      <c r="L970" s="9"/>
      <c r="M970" t="s">
        <v>77</v>
      </c>
      <c r="N970" t="s">
        <v>29</v>
      </c>
      <c r="P970" t="s">
        <v>30</v>
      </c>
      <c r="Q970" t="s">
        <v>31</v>
      </c>
      <c r="R970">
        <v>82640</v>
      </c>
      <c r="S970" t="s">
        <v>42</v>
      </c>
      <c r="T970">
        <v>82630</v>
      </c>
      <c r="U970" t="s">
        <v>32</v>
      </c>
      <c r="V970" t="s">
        <v>66</v>
      </c>
      <c r="W970" t="s">
        <v>44</v>
      </c>
      <c r="X970" t="s">
        <v>44</v>
      </c>
      <c r="Y970" s="9">
        <f t="shared" si="46"/>
        <v>5.0000000000000001E-3</v>
      </c>
      <c r="Z970" t="str">
        <f t="shared" si="47"/>
        <v>สแกนต่าง Cost</v>
      </c>
    </row>
    <row r="971" spans="1:26" x14ac:dyDescent="0.45">
      <c r="B971" t="s">
        <v>53</v>
      </c>
      <c r="C971">
        <v>20280718</v>
      </c>
      <c r="D971" t="s">
        <v>256</v>
      </c>
      <c r="E971" s="8">
        <v>46133.458333333336</v>
      </c>
      <c r="F971" s="8">
        <v>46133.5</v>
      </c>
      <c r="G971">
        <v>1</v>
      </c>
      <c r="H971" s="9">
        <f t="shared" si="45"/>
        <v>5.0000000000000001E-3</v>
      </c>
      <c r="I971" s="9">
        <v>5.0000000000000001E-3</v>
      </c>
      <c r="J971" s="9"/>
      <c r="K971" s="9"/>
      <c r="L971" s="9"/>
      <c r="M971" t="s">
        <v>65</v>
      </c>
      <c r="N971" t="s">
        <v>29</v>
      </c>
      <c r="P971" t="s">
        <v>30</v>
      </c>
      <c r="Q971" t="s">
        <v>31</v>
      </c>
      <c r="R971">
        <v>82640</v>
      </c>
      <c r="S971" t="s">
        <v>42</v>
      </c>
      <c r="T971">
        <v>82630</v>
      </c>
      <c r="U971" t="s">
        <v>32</v>
      </c>
      <c r="V971" t="s">
        <v>66</v>
      </c>
      <c r="W971" t="s">
        <v>44</v>
      </c>
      <c r="X971" t="s">
        <v>44</v>
      </c>
      <c r="Y971" s="9">
        <f t="shared" si="46"/>
        <v>0</v>
      </c>
      <c r="Z971" t="str">
        <f t="shared" si="47"/>
        <v>สแกนต่าง Cost</v>
      </c>
    </row>
    <row r="972" spans="1:26" x14ac:dyDescent="0.45">
      <c r="A972">
        <v>26717</v>
      </c>
      <c r="B972" t="s">
        <v>53</v>
      </c>
      <c r="C972">
        <v>20017430</v>
      </c>
      <c r="D972" t="s">
        <v>94</v>
      </c>
      <c r="E972" s="8">
        <v>46133.438194444447</v>
      </c>
      <c r="F972" s="8">
        <v>46133.785416666666</v>
      </c>
      <c r="G972">
        <v>8.3333333333333339</v>
      </c>
      <c r="H972" s="9">
        <f t="shared" si="45"/>
        <v>4.4999999999999998E-2</v>
      </c>
      <c r="I972" s="9"/>
      <c r="J972" s="9"/>
      <c r="K972" s="9">
        <v>4.4999999999999998E-2</v>
      </c>
      <c r="L972" s="9"/>
      <c r="M972" t="s">
        <v>28</v>
      </c>
      <c r="N972" t="s">
        <v>29</v>
      </c>
      <c r="P972" t="s">
        <v>30</v>
      </c>
      <c r="Q972" t="s">
        <v>31</v>
      </c>
      <c r="R972">
        <v>82301</v>
      </c>
      <c r="S972" t="s">
        <v>79</v>
      </c>
      <c r="T972">
        <v>82308</v>
      </c>
      <c r="U972" t="s">
        <v>69</v>
      </c>
      <c r="V972" t="s">
        <v>69</v>
      </c>
      <c r="W972" t="s">
        <v>69</v>
      </c>
      <c r="X972" t="s">
        <v>95</v>
      </c>
      <c r="Y972" s="9">
        <f t="shared" si="46"/>
        <v>4.4999999999999998E-2</v>
      </c>
      <c r="Z972" t="str">
        <f t="shared" si="47"/>
        <v>สแกนต่าง Cost</v>
      </c>
    </row>
    <row r="973" spans="1:26" x14ac:dyDescent="0.45">
      <c r="B973" t="s">
        <v>53</v>
      </c>
      <c r="C973">
        <v>20167851</v>
      </c>
      <c r="D973" t="s">
        <v>63</v>
      </c>
      <c r="E973" s="8">
        <v>46133.4375</v>
      </c>
      <c r="F973" s="8">
        <v>46133.458333333336</v>
      </c>
      <c r="G973">
        <v>0.5</v>
      </c>
      <c r="H973" s="9">
        <f t="shared" si="45"/>
        <v>3.0000000000000001E-3</v>
      </c>
      <c r="I973" s="9">
        <v>3.0000000000000001E-3</v>
      </c>
      <c r="J973" s="9"/>
      <c r="K973" s="9"/>
      <c r="L973" s="9"/>
      <c r="M973" t="s">
        <v>65</v>
      </c>
      <c r="N973" t="s">
        <v>29</v>
      </c>
      <c r="P973" t="s">
        <v>30</v>
      </c>
      <c r="Q973" t="s">
        <v>31</v>
      </c>
      <c r="R973">
        <v>82640</v>
      </c>
      <c r="S973" t="s">
        <v>42</v>
      </c>
      <c r="T973">
        <v>82630</v>
      </c>
      <c r="U973" t="s">
        <v>32</v>
      </c>
      <c r="V973" t="s">
        <v>66</v>
      </c>
      <c r="W973" t="s">
        <v>44</v>
      </c>
      <c r="X973" t="s">
        <v>44</v>
      </c>
      <c r="Y973" s="9">
        <f t="shared" si="46"/>
        <v>0</v>
      </c>
      <c r="Z973" t="str">
        <f t="shared" si="47"/>
        <v>สแกนต่าง Cost</v>
      </c>
    </row>
    <row r="974" spans="1:26" x14ac:dyDescent="0.45">
      <c r="B974" t="s">
        <v>53</v>
      </c>
      <c r="C974">
        <v>20280718</v>
      </c>
      <c r="D974" t="s">
        <v>256</v>
      </c>
      <c r="E974" s="8">
        <v>46133.4375</v>
      </c>
      <c r="F974" s="8">
        <v>46133.458333333336</v>
      </c>
      <c r="G974">
        <v>0.5</v>
      </c>
      <c r="H974" s="9">
        <f t="shared" si="45"/>
        <v>3.0000000000000001E-3</v>
      </c>
      <c r="I974" s="9">
        <v>3.0000000000000001E-3</v>
      </c>
      <c r="J974" s="9"/>
      <c r="K974" s="9"/>
      <c r="L974" s="9"/>
      <c r="M974" t="s">
        <v>65</v>
      </c>
      <c r="N974" t="s">
        <v>29</v>
      </c>
      <c r="P974" t="s">
        <v>30</v>
      </c>
      <c r="Q974" t="s">
        <v>31</v>
      </c>
      <c r="R974">
        <v>82640</v>
      </c>
      <c r="S974" t="s">
        <v>42</v>
      </c>
      <c r="T974">
        <v>82612</v>
      </c>
      <c r="U974" t="s">
        <v>153</v>
      </c>
      <c r="V974" t="s">
        <v>66</v>
      </c>
      <c r="W974" t="s">
        <v>44</v>
      </c>
      <c r="X974" t="s">
        <v>44</v>
      </c>
      <c r="Y974" s="9">
        <f t="shared" si="46"/>
        <v>0</v>
      </c>
      <c r="Z974" t="str">
        <f t="shared" si="47"/>
        <v>สแกนต่าง Cost</v>
      </c>
    </row>
    <row r="975" spans="1:26" x14ac:dyDescent="0.45">
      <c r="B975" t="s">
        <v>53</v>
      </c>
      <c r="C975">
        <v>20332134</v>
      </c>
      <c r="D975" t="s">
        <v>156</v>
      </c>
      <c r="E975" s="8">
        <v>46133.4375</v>
      </c>
      <c r="F975" s="8">
        <v>46133.5</v>
      </c>
      <c r="G975">
        <v>1.5</v>
      </c>
      <c r="H975" s="9">
        <f t="shared" si="45"/>
        <v>8.0000000000000002E-3</v>
      </c>
      <c r="I975" s="9">
        <v>8.0000000000000002E-3</v>
      </c>
      <c r="J975" s="9"/>
      <c r="K975" s="9"/>
      <c r="L975" s="9"/>
      <c r="M975" t="s">
        <v>65</v>
      </c>
      <c r="N975" t="s">
        <v>29</v>
      </c>
      <c r="P975" t="s">
        <v>30</v>
      </c>
      <c r="Q975" t="s">
        <v>31</v>
      </c>
      <c r="R975">
        <v>82640</v>
      </c>
      <c r="S975" t="s">
        <v>42</v>
      </c>
      <c r="T975">
        <v>82630</v>
      </c>
      <c r="U975" t="s">
        <v>32</v>
      </c>
      <c r="V975" t="s">
        <v>66</v>
      </c>
      <c r="W975" t="s">
        <v>44</v>
      </c>
      <c r="X975" t="s">
        <v>44</v>
      </c>
      <c r="Y975" s="9">
        <f t="shared" si="46"/>
        <v>0</v>
      </c>
      <c r="Z975" t="str">
        <f t="shared" si="47"/>
        <v>สแกนต่าง Cost</v>
      </c>
    </row>
    <row r="976" spans="1:26" x14ac:dyDescent="0.45">
      <c r="B976" t="s">
        <v>53</v>
      </c>
      <c r="C976">
        <v>20368087</v>
      </c>
      <c r="D976" t="s">
        <v>260</v>
      </c>
      <c r="E976" s="8">
        <v>46133.4375</v>
      </c>
      <c r="F976" s="8">
        <v>46133.5</v>
      </c>
      <c r="G976">
        <v>1.5</v>
      </c>
      <c r="H976" s="9">
        <f t="shared" si="45"/>
        <v>8.0000000000000002E-3</v>
      </c>
      <c r="I976" s="9">
        <v>8.0000000000000002E-3</v>
      </c>
      <c r="J976" s="9"/>
      <c r="K976" s="9"/>
      <c r="L976" s="9"/>
      <c r="M976" t="s">
        <v>65</v>
      </c>
      <c r="N976" t="s">
        <v>29</v>
      </c>
      <c r="P976" t="s">
        <v>30</v>
      </c>
      <c r="Q976" t="s">
        <v>31</v>
      </c>
      <c r="R976">
        <v>82640</v>
      </c>
      <c r="S976" t="s">
        <v>42</v>
      </c>
      <c r="T976">
        <v>82630</v>
      </c>
      <c r="U976" t="s">
        <v>32</v>
      </c>
      <c r="V976" t="s">
        <v>66</v>
      </c>
      <c r="W976" t="s">
        <v>44</v>
      </c>
      <c r="X976" t="s">
        <v>44</v>
      </c>
      <c r="Y976" s="9">
        <f t="shared" si="46"/>
        <v>0</v>
      </c>
      <c r="Z976" t="str">
        <f t="shared" si="47"/>
        <v>สแกนต่าง Cost</v>
      </c>
    </row>
    <row r="977" spans="1:26" x14ac:dyDescent="0.45">
      <c r="B977" t="s">
        <v>53</v>
      </c>
      <c r="C977">
        <v>20310532</v>
      </c>
      <c r="D977" t="s">
        <v>61</v>
      </c>
      <c r="E977" s="8">
        <v>46133.416666666664</v>
      </c>
      <c r="F977" s="8">
        <v>46133.5</v>
      </c>
      <c r="G977">
        <v>2</v>
      </c>
      <c r="H977" s="9">
        <f t="shared" si="45"/>
        <v>1.0999999999999999E-2</v>
      </c>
      <c r="I977" s="9">
        <v>1.0999999999999999E-2</v>
      </c>
      <c r="J977" s="9"/>
      <c r="K977" s="9"/>
      <c r="L977" s="9"/>
      <c r="M977" t="s">
        <v>65</v>
      </c>
      <c r="N977" t="s">
        <v>29</v>
      </c>
      <c r="P977" t="s">
        <v>30</v>
      </c>
      <c r="Q977" t="s">
        <v>31</v>
      </c>
      <c r="R977">
        <v>82640</v>
      </c>
      <c r="S977" t="s">
        <v>42</v>
      </c>
      <c r="T977">
        <v>82630</v>
      </c>
      <c r="U977" t="s">
        <v>32</v>
      </c>
      <c r="V977" t="s">
        <v>66</v>
      </c>
      <c r="W977" t="s">
        <v>44</v>
      </c>
      <c r="X977" t="s">
        <v>44</v>
      </c>
      <c r="Y977" s="9">
        <f t="shared" si="46"/>
        <v>0</v>
      </c>
      <c r="Z977" t="str">
        <f t="shared" si="47"/>
        <v>สแกนต่าง Cost</v>
      </c>
    </row>
    <row r="978" spans="1:26" x14ac:dyDescent="0.45">
      <c r="B978" t="s">
        <v>53</v>
      </c>
      <c r="C978">
        <v>20074795</v>
      </c>
      <c r="D978" t="s">
        <v>300</v>
      </c>
      <c r="E978" s="8">
        <v>46133.395833333336</v>
      </c>
      <c r="F978" s="8">
        <v>46133.729166666664</v>
      </c>
      <c r="G978">
        <v>7</v>
      </c>
      <c r="H978" s="9">
        <f t="shared" si="45"/>
        <v>3.6999999999999998E-2</v>
      </c>
      <c r="I978" s="9">
        <v>3.6999999999999998E-2</v>
      </c>
      <c r="J978" s="9"/>
      <c r="K978" s="9"/>
      <c r="L978" s="9"/>
      <c r="M978" t="s">
        <v>65</v>
      </c>
      <c r="N978" t="s">
        <v>29</v>
      </c>
      <c r="P978" t="s">
        <v>133</v>
      </c>
      <c r="Q978" t="s">
        <v>31</v>
      </c>
      <c r="R978">
        <v>82640</v>
      </c>
      <c r="S978" t="s">
        <v>42</v>
      </c>
      <c r="T978">
        <v>82622</v>
      </c>
      <c r="U978" t="s">
        <v>147</v>
      </c>
      <c r="V978" t="s">
        <v>147</v>
      </c>
      <c r="W978" t="s">
        <v>47</v>
      </c>
      <c r="X978" t="s">
        <v>95</v>
      </c>
      <c r="Y978" s="9">
        <f t="shared" si="46"/>
        <v>0</v>
      </c>
      <c r="Z978" t="str">
        <f t="shared" si="47"/>
        <v>สแกนต่าง Cost</v>
      </c>
    </row>
    <row r="979" spans="1:26" x14ac:dyDescent="0.45">
      <c r="B979" t="s">
        <v>53</v>
      </c>
      <c r="C979">
        <v>20198842</v>
      </c>
      <c r="D979" t="s">
        <v>257</v>
      </c>
      <c r="E979" s="8">
        <v>46133.395833333336</v>
      </c>
      <c r="F979" s="8">
        <v>46133.4375</v>
      </c>
      <c r="G979">
        <v>1</v>
      </c>
      <c r="H979" s="9">
        <f t="shared" si="45"/>
        <v>5.0000000000000001E-3</v>
      </c>
      <c r="I979" s="9"/>
      <c r="J979" s="9">
        <v>5.0000000000000001E-3</v>
      </c>
      <c r="K979" s="9"/>
      <c r="L979" s="9"/>
      <c r="M979" t="s">
        <v>77</v>
      </c>
      <c r="N979" t="s">
        <v>29</v>
      </c>
      <c r="P979" t="s">
        <v>30</v>
      </c>
      <c r="Q979" t="s">
        <v>31</v>
      </c>
      <c r="R979">
        <v>82640</v>
      </c>
      <c r="S979" t="s">
        <v>42</v>
      </c>
      <c r="T979">
        <v>82611</v>
      </c>
      <c r="U979" t="s">
        <v>43</v>
      </c>
      <c r="V979" t="s">
        <v>66</v>
      </c>
      <c r="W979" t="s">
        <v>44</v>
      </c>
      <c r="X979" t="s">
        <v>44</v>
      </c>
      <c r="Y979" s="9">
        <f t="shared" si="46"/>
        <v>5.0000000000000001E-3</v>
      </c>
      <c r="Z979" t="str">
        <f t="shared" si="47"/>
        <v>สแกนต่าง Cost</v>
      </c>
    </row>
    <row r="980" spans="1:26" x14ac:dyDescent="0.45">
      <c r="B980" t="s">
        <v>53</v>
      </c>
      <c r="C980">
        <v>20280718</v>
      </c>
      <c r="D980" t="s">
        <v>256</v>
      </c>
      <c r="E980" s="8">
        <v>46133.395833333336</v>
      </c>
      <c r="F980" s="8">
        <v>46133.4375</v>
      </c>
      <c r="G980">
        <v>1</v>
      </c>
      <c r="H980" s="9">
        <f t="shared" si="45"/>
        <v>5.0000000000000001E-3</v>
      </c>
      <c r="I980" s="9">
        <v>5.0000000000000001E-3</v>
      </c>
      <c r="J980" s="9"/>
      <c r="K980" s="9"/>
      <c r="L980" s="9"/>
      <c r="M980" t="s">
        <v>65</v>
      </c>
      <c r="N980" t="s">
        <v>29</v>
      </c>
      <c r="P980" t="s">
        <v>30</v>
      </c>
      <c r="Q980" t="s">
        <v>31</v>
      </c>
      <c r="R980">
        <v>82640</v>
      </c>
      <c r="S980" t="s">
        <v>42</v>
      </c>
      <c r="T980">
        <v>82611</v>
      </c>
      <c r="U980" t="s">
        <v>43</v>
      </c>
      <c r="V980" t="s">
        <v>66</v>
      </c>
      <c r="W980" t="s">
        <v>44</v>
      </c>
      <c r="X980" t="s">
        <v>44</v>
      </c>
      <c r="Y980" s="9">
        <f t="shared" si="46"/>
        <v>0</v>
      </c>
      <c r="Z980" t="str">
        <f t="shared" si="47"/>
        <v>สแกนต่าง Cost</v>
      </c>
    </row>
    <row r="981" spans="1:26" x14ac:dyDescent="0.45">
      <c r="B981" t="s">
        <v>53</v>
      </c>
      <c r="C981">
        <v>20332134</v>
      </c>
      <c r="D981" t="s">
        <v>156</v>
      </c>
      <c r="E981" s="8">
        <v>46133.395833333336</v>
      </c>
      <c r="F981" s="8">
        <v>46133.4375</v>
      </c>
      <c r="G981">
        <v>1</v>
      </c>
      <c r="H981" s="9">
        <f t="shared" si="45"/>
        <v>5.0000000000000001E-3</v>
      </c>
      <c r="I981" s="9">
        <v>5.0000000000000001E-3</v>
      </c>
      <c r="J981" s="9"/>
      <c r="K981" s="9"/>
      <c r="L981" s="9"/>
      <c r="M981" t="s">
        <v>65</v>
      </c>
      <c r="N981" t="s">
        <v>29</v>
      </c>
      <c r="P981" t="s">
        <v>30</v>
      </c>
      <c r="Q981" t="s">
        <v>31</v>
      </c>
      <c r="R981">
        <v>82640</v>
      </c>
      <c r="S981" t="s">
        <v>42</v>
      </c>
      <c r="T981">
        <v>82612</v>
      </c>
      <c r="U981" t="s">
        <v>153</v>
      </c>
      <c r="V981" t="s">
        <v>66</v>
      </c>
      <c r="W981" t="s">
        <v>44</v>
      </c>
      <c r="X981" t="s">
        <v>44</v>
      </c>
      <c r="Y981" s="9">
        <f t="shared" si="46"/>
        <v>0</v>
      </c>
      <c r="Z981" t="str">
        <f t="shared" si="47"/>
        <v>สแกนต่าง Cost</v>
      </c>
    </row>
    <row r="982" spans="1:26" x14ac:dyDescent="0.45">
      <c r="A982">
        <v>26715</v>
      </c>
      <c r="B982" t="s">
        <v>53</v>
      </c>
      <c r="C982">
        <v>20276264</v>
      </c>
      <c r="D982" t="s">
        <v>236</v>
      </c>
      <c r="E982" s="8">
        <v>46133.38958333333</v>
      </c>
      <c r="F982" s="8">
        <v>46133.729166666664</v>
      </c>
      <c r="G982">
        <v>7.15</v>
      </c>
      <c r="H982" s="9">
        <f t="shared" si="45"/>
        <v>3.7999999999999999E-2</v>
      </c>
      <c r="I982" s="9">
        <v>3.7999999999999999E-2</v>
      </c>
      <c r="J982" s="9"/>
      <c r="K982" s="9"/>
      <c r="L982" s="9"/>
      <c r="M982" t="s">
        <v>65</v>
      </c>
      <c r="N982" t="s">
        <v>29</v>
      </c>
      <c r="P982" t="s">
        <v>30</v>
      </c>
      <c r="Q982" t="s">
        <v>31</v>
      </c>
      <c r="R982">
        <v>82301</v>
      </c>
      <c r="S982" t="s">
        <v>79</v>
      </c>
      <c r="T982">
        <v>82308</v>
      </c>
      <c r="U982" t="s">
        <v>69</v>
      </c>
      <c r="V982" t="s">
        <v>69</v>
      </c>
      <c r="W982" t="s">
        <v>69</v>
      </c>
      <c r="X982" t="s">
        <v>196</v>
      </c>
      <c r="Y982" s="9">
        <f t="shared" si="46"/>
        <v>0</v>
      </c>
      <c r="Z982" t="str">
        <f t="shared" si="47"/>
        <v>สแกนต่าง Cost</v>
      </c>
    </row>
    <row r="983" spans="1:26" x14ac:dyDescent="0.45">
      <c r="A983">
        <v>26878</v>
      </c>
      <c r="B983" t="s">
        <v>53</v>
      </c>
      <c r="C983">
        <v>20026402</v>
      </c>
      <c r="D983" t="s">
        <v>164</v>
      </c>
      <c r="E983" s="8">
        <v>46133.385416666664</v>
      </c>
      <c r="F983" s="8">
        <v>46133.729166666664</v>
      </c>
      <c r="G983">
        <v>7.25</v>
      </c>
      <c r="H983" s="9">
        <f t="shared" si="45"/>
        <v>3.9E-2</v>
      </c>
      <c r="I983" s="9">
        <v>3.9E-2</v>
      </c>
      <c r="J983" s="9"/>
      <c r="K983" s="9"/>
      <c r="L983" s="9"/>
      <c r="M983" t="s">
        <v>65</v>
      </c>
      <c r="N983" t="s">
        <v>29</v>
      </c>
      <c r="P983" t="s">
        <v>30</v>
      </c>
      <c r="Q983" t="s">
        <v>31</v>
      </c>
      <c r="R983">
        <v>82301</v>
      </c>
      <c r="S983" t="s">
        <v>79</v>
      </c>
      <c r="T983">
        <v>82640</v>
      </c>
      <c r="U983" t="s">
        <v>42</v>
      </c>
      <c r="V983" t="s">
        <v>70</v>
      </c>
      <c r="W983" t="s">
        <v>71</v>
      </c>
      <c r="X983" t="s">
        <v>72</v>
      </c>
      <c r="Y983" s="9">
        <f t="shared" si="46"/>
        <v>0</v>
      </c>
      <c r="Z983" t="str">
        <f t="shared" si="47"/>
        <v>สแกนต่าง Cost</v>
      </c>
    </row>
    <row r="984" spans="1:26" x14ac:dyDescent="0.45">
      <c r="A984">
        <v>26879</v>
      </c>
      <c r="B984" t="s">
        <v>53</v>
      </c>
      <c r="C984">
        <v>20041950</v>
      </c>
      <c r="D984" t="s">
        <v>301</v>
      </c>
      <c r="E984" s="8">
        <v>46133.385416666664</v>
      </c>
      <c r="F984" s="8">
        <v>46133.729166666664</v>
      </c>
      <c r="G984">
        <v>7.25</v>
      </c>
      <c r="H984" s="9">
        <f t="shared" si="45"/>
        <v>3.9E-2</v>
      </c>
      <c r="I984" s="9">
        <v>3.9E-2</v>
      </c>
      <c r="J984" s="9"/>
      <c r="K984" s="9"/>
      <c r="L984" s="9"/>
      <c r="M984" t="s">
        <v>65</v>
      </c>
      <c r="N984" t="s">
        <v>29</v>
      </c>
      <c r="P984" t="s">
        <v>30</v>
      </c>
      <c r="Q984" t="s">
        <v>31</v>
      </c>
      <c r="R984">
        <v>82301</v>
      </c>
      <c r="S984" t="s">
        <v>79</v>
      </c>
      <c r="T984">
        <v>82640</v>
      </c>
      <c r="U984" t="s">
        <v>42</v>
      </c>
      <c r="V984" t="s">
        <v>70</v>
      </c>
      <c r="W984" t="s">
        <v>71</v>
      </c>
      <c r="X984" t="s">
        <v>72</v>
      </c>
      <c r="Y984" s="9">
        <f t="shared" si="46"/>
        <v>0</v>
      </c>
      <c r="Z984" t="str">
        <f t="shared" si="47"/>
        <v>สแกนต่าง Cost</v>
      </c>
    </row>
    <row r="985" spans="1:26" x14ac:dyDescent="0.45">
      <c r="A985">
        <v>26875</v>
      </c>
      <c r="B985" t="s">
        <v>53</v>
      </c>
      <c r="C985">
        <v>20014917</v>
      </c>
      <c r="D985" t="s">
        <v>232</v>
      </c>
      <c r="E985" s="8">
        <v>46133.383333333331</v>
      </c>
      <c r="F985" s="8">
        <v>46133.729166666664</v>
      </c>
      <c r="G985">
        <v>7.3000000000000007</v>
      </c>
      <c r="H985" s="9">
        <f t="shared" si="45"/>
        <v>3.9E-2</v>
      </c>
      <c r="I985" s="9"/>
      <c r="J985" s="9">
        <v>3.9E-2</v>
      </c>
      <c r="K985" s="9"/>
      <c r="L985" s="9"/>
      <c r="M985" t="s">
        <v>77</v>
      </c>
      <c r="N985" t="s">
        <v>40</v>
      </c>
      <c r="O985" t="s">
        <v>78</v>
      </c>
      <c r="P985" t="s">
        <v>30</v>
      </c>
      <c r="Q985" t="s">
        <v>31</v>
      </c>
      <c r="R985">
        <v>82301</v>
      </c>
      <c r="S985" t="s">
        <v>79</v>
      </c>
      <c r="T985">
        <v>82640</v>
      </c>
      <c r="U985" t="s">
        <v>42</v>
      </c>
      <c r="V985" t="s">
        <v>70</v>
      </c>
      <c r="W985" t="s">
        <v>71</v>
      </c>
      <c r="X985" t="s">
        <v>72</v>
      </c>
      <c r="Y985" s="9">
        <f t="shared" si="46"/>
        <v>3.9E-2</v>
      </c>
      <c r="Z985" t="str">
        <f t="shared" si="47"/>
        <v>สแกนต่าง Cost</v>
      </c>
    </row>
    <row r="986" spans="1:26" x14ac:dyDescent="0.45">
      <c r="A986">
        <v>26874</v>
      </c>
      <c r="B986" t="s">
        <v>53</v>
      </c>
      <c r="C986">
        <v>20025699</v>
      </c>
      <c r="D986" t="s">
        <v>234</v>
      </c>
      <c r="E986" s="8">
        <v>46133.383333333331</v>
      </c>
      <c r="F986" s="8">
        <v>46133.729166666664</v>
      </c>
      <c r="G986">
        <v>7.3000000000000007</v>
      </c>
      <c r="H986" s="9">
        <f t="shared" si="45"/>
        <v>3.9E-2</v>
      </c>
      <c r="I986" s="9"/>
      <c r="J986" s="9">
        <v>3.9E-2</v>
      </c>
      <c r="K986" s="9"/>
      <c r="L986" s="9"/>
      <c r="M986" t="s">
        <v>77</v>
      </c>
      <c r="N986" t="s">
        <v>40</v>
      </c>
      <c r="O986" t="s">
        <v>78</v>
      </c>
      <c r="P986" t="s">
        <v>30</v>
      </c>
      <c r="Q986" t="s">
        <v>31</v>
      </c>
      <c r="R986">
        <v>82301</v>
      </c>
      <c r="S986" t="s">
        <v>79</v>
      </c>
      <c r="T986">
        <v>82640</v>
      </c>
      <c r="U986" t="s">
        <v>42</v>
      </c>
      <c r="V986" t="s">
        <v>70</v>
      </c>
      <c r="W986" t="s">
        <v>71</v>
      </c>
      <c r="X986" t="s">
        <v>72</v>
      </c>
      <c r="Y986" s="9">
        <f t="shared" si="46"/>
        <v>3.9E-2</v>
      </c>
      <c r="Z986" t="str">
        <f t="shared" si="47"/>
        <v>สแกนต่าง Cost</v>
      </c>
    </row>
    <row r="987" spans="1:26" x14ac:dyDescent="0.45">
      <c r="A987">
        <v>26876</v>
      </c>
      <c r="B987" t="s">
        <v>53</v>
      </c>
      <c r="C987">
        <v>20173592</v>
      </c>
      <c r="D987" t="s">
        <v>302</v>
      </c>
      <c r="E987" s="8">
        <v>46133.383333333331</v>
      </c>
      <c r="F987" s="8">
        <v>46133.729166666664</v>
      </c>
      <c r="G987">
        <v>7.3000000000000007</v>
      </c>
      <c r="H987" s="9">
        <f t="shared" si="45"/>
        <v>3.9E-2</v>
      </c>
      <c r="I987" s="9"/>
      <c r="J987" s="9">
        <v>3.9E-2</v>
      </c>
      <c r="K987" s="9"/>
      <c r="L987" s="9"/>
      <c r="M987" t="s">
        <v>77</v>
      </c>
      <c r="N987" t="s">
        <v>40</v>
      </c>
      <c r="O987" t="s">
        <v>78</v>
      </c>
      <c r="P987" t="s">
        <v>30</v>
      </c>
      <c r="Q987" t="s">
        <v>31</v>
      </c>
      <c r="R987">
        <v>82301</v>
      </c>
      <c r="S987" t="s">
        <v>79</v>
      </c>
      <c r="T987">
        <v>82640</v>
      </c>
      <c r="U987" t="s">
        <v>42</v>
      </c>
      <c r="V987" t="s">
        <v>70</v>
      </c>
      <c r="W987" t="s">
        <v>71</v>
      </c>
      <c r="X987" t="s">
        <v>72</v>
      </c>
      <c r="Y987" s="9">
        <f t="shared" si="46"/>
        <v>3.9E-2</v>
      </c>
      <c r="Z987" t="str">
        <f t="shared" si="47"/>
        <v>สแกนต่าง Cost</v>
      </c>
    </row>
    <row r="988" spans="1:26" x14ac:dyDescent="0.45">
      <c r="A988">
        <v>26877</v>
      </c>
      <c r="B988" t="s">
        <v>53</v>
      </c>
      <c r="C988">
        <v>20374943</v>
      </c>
      <c r="D988" t="s">
        <v>207</v>
      </c>
      <c r="E988" s="8">
        <v>46133.383333333331</v>
      </c>
      <c r="F988" s="8">
        <v>46133.729166666664</v>
      </c>
      <c r="G988">
        <v>7.3000000000000007</v>
      </c>
      <c r="H988" s="9">
        <f t="shared" si="45"/>
        <v>3.9E-2</v>
      </c>
      <c r="I988" s="9"/>
      <c r="J988" s="9">
        <v>3.9E-2</v>
      </c>
      <c r="K988" s="9"/>
      <c r="L988" s="9"/>
      <c r="M988" t="s">
        <v>77</v>
      </c>
      <c r="N988" t="s">
        <v>40</v>
      </c>
      <c r="O988" t="s">
        <v>78</v>
      </c>
      <c r="P988" t="s">
        <v>30</v>
      </c>
      <c r="Q988" t="s">
        <v>31</v>
      </c>
      <c r="R988">
        <v>82301</v>
      </c>
      <c r="S988" t="s">
        <v>79</v>
      </c>
      <c r="T988">
        <v>82640</v>
      </c>
      <c r="U988" t="s">
        <v>42</v>
      </c>
      <c r="V988" t="s">
        <v>70</v>
      </c>
      <c r="W988" t="s">
        <v>71</v>
      </c>
      <c r="X988" t="s">
        <v>72</v>
      </c>
      <c r="Y988" s="9">
        <f t="shared" si="46"/>
        <v>3.9E-2</v>
      </c>
      <c r="Z988" t="str">
        <f t="shared" si="47"/>
        <v>สแกนต่าง Cost</v>
      </c>
    </row>
    <row r="989" spans="1:26" x14ac:dyDescent="0.45">
      <c r="B989" t="s">
        <v>53</v>
      </c>
      <c r="C989">
        <v>20310532</v>
      </c>
      <c r="D989" t="s">
        <v>61</v>
      </c>
      <c r="E989" s="8">
        <v>46133.375</v>
      </c>
      <c r="F989" s="8">
        <v>46133.416666666664</v>
      </c>
      <c r="G989">
        <v>1</v>
      </c>
      <c r="H989" s="9">
        <f t="shared" si="45"/>
        <v>5.0000000000000001E-3</v>
      </c>
      <c r="I989" s="9">
        <v>5.0000000000000001E-3</v>
      </c>
      <c r="J989" s="9"/>
      <c r="K989" s="9"/>
      <c r="L989" s="9"/>
      <c r="M989" t="s">
        <v>65</v>
      </c>
      <c r="N989" t="s">
        <v>29</v>
      </c>
      <c r="P989" t="s">
        <v>30</v>
      </c>
      <c r="Q989" t="s">
        <v>31</v>
      </c>
      <c r="R989">
        <v>82640</v>
      </c>
      <c r="S989" t="s">
        <v>42</v>
      </c>
      <c r="T989">
        <v>82612</v>
      </c>
      <c r="U989" t="s">
        <v>153</v>
      </c>
      <c r="V989" t="s">
        <v>66</v>
      </c>
      <c r="W989" t="s">
        <v>44</v>
      </c>
      <c r="X989" t="s">
        <v>44</v>
      </c>
      <c r="Y989" s="9">
        <f t="shared" si="46"/>
        <v>0</v>
      </c>
      <c r="Z989" t="str">
        <f t="shared" si="47"/>
        <v>สแกนต่าง Cost</v>
      </c>
    </row>
    <row r="990" spans="1:26" x14ac:dyDescent="0.45">
      <c r="B990" t="s">
        <v>26</v>
      </c>
      <c r="C990">
        <v>20403191</v>
      </c>
      <c r="D990" t="s">
        <v>122</v>
      </c>
      <c r="E990" s="8">
        <v>46133.365277777775</v>
      </c>
      <c r="F990" s="8">
        <v>46133.826388888891</v>
      </c>
      <c r="G990">
        <v>10.066666666666666</v>
      </c>
      <c r="H990" s="9">
        <f t="shared" si="45"/>
        <v>5.3999999999999999E-2</v>
      </c>
      <c r="I990" s="9">
        <v>5.3999999999999999E-2</v>
      </c>
      <c r="J990" s="9"/>
      <c r="K990" s="9"/>
      <c r="L990" s="9"/>
      <c r="M990" t="s">
        <v>48</v>
      </c>
      <c r="N990" t="s">
        <v>48</v>
      </c>
      <c r="P990" t="s">
        <v>30</v>
      </c>
      <c r="Q990" t="s">
        <v>31</v>
      </c>
      <c r="R990">
        <v>82400</v>
      </c>
      <c r="S990" t="s">
        <v>83</v>
      </c>
      <c r="T990">
        <v>82658</v>
      </c>
      <c r="U990" t="s">
        <v>33</v>
      </c>
      <c r="V990" t="s">
        <v>33</v>
      </c>
      <c r="W990" t="s">
        <v>37</v>
      </c>
      <c r="X990" t="s">
        <v>38</v>
      </c>
      <c r="Y990" s="9">
        <f t="shared" si="46"/>
        <v>0</v>
      </c>
      <c r="Z990" t="str">
        <f t="shared" si="47"/>
        <v>สแกนต่าง Cost</v>
      </c>
    </row>
    <row r="991" spans="1:26" x14ac:dyDescent="0.45">
      <c r="B991" t="s">
        <v>26</v>
      </c>
      <c r="C991">
        <v>20403192</v>
      </c>
      <c r="D991" t="s">
        <v>123</v>
      </c>
      <c r="E991" s="8">
        <v>46133.365277777775</v>
      </c>
      <c r="F991" s="8">
        <v>46133.826388888891</v>
      </c>
      <c r="G991">
        <v>10.066666666666666</v>
      </c>
      <c r="H991" s="9">
        <f t="shared" si="45"/>
        <v>5.3999999999999999E-2</v>
      </c>
      <c r="I991" s="9">
        <v>5.3999999999999999E-2</v>
      </c>
      <c r="J991" s="9"/>
      <c r="K991" s="9"/>
      <c r="L991" s="9"/>
      <c r="M991" t="s">
        <v>48</v>
      </c>
      <c r="N991" t="s">
        <v>48</v>
      </c>
      <c r="P991" t="s">
        <v>30</v>
      </c>
      <c r="Q991" t="s">
        <v>31</v>
      </c>
      <c r="R991">
        <v>82400</v>
      </c>
      <c r="S991" t="s">
        <v>83</v>
      </c>
      <c r="T991">
        <v>82658</v>
      </c>
      <c r="U991" t="s">
        <v>33</v>
      </c>
      <c r="V991" t="s">
        <v>33</v>
      </c>
      <c r="W991" t="s">
        <v>37</v>
      </c>
      <c r="X991" t="s">
        <v>38</v>
      </c>
      <c r="Y991" s="9">
        <f t="shared" si="46"/>
        <v>0</v>
      </c>
      <c r="Z991" t="str">
        <f t="shared" si="47"/>
        <v>สแกนต่าง Cost</v>
      </c>
    </row>
    <row r="992" spans="1:26" x14ac:dyDescent="0.45">
      <c r="B992" t="s">
        <v>26</v>
      </c>
      <c r="C992">
        <v>20403252</v>
      </c>
      <c r="D992" t="s">
        <v>124</v>
      </c>
      <c r="E992" s="8">
        <v>46133.363888888889</v>
      </c>
      <c r="F992" s="8">
        <v>46133.828472222223</v>
      </c>
      <c r="G992">
        <v>10.15</v>
      </c>
      <c r="H992" s="9">
        <f t="shared" si="45"/>
        <v>5.3999999999999999E-2</v>
      </c>
      <c r="I992" s="9">
        <v>5.3999999999999999E-2</v>
      </c>
      <c r="J992" s="9"/>
      <c r="K992" s="9"/>
      <c r="L992" s="9"/>
      <c r="M992" t="s">
        <v>48</v>
      </c>
      <c r="N992" t="s">
        <v>48</v>
      </c>
      <c r="P992" t="s">
        <v>30</v>
      </c>
      <c r="Q992" t="s">
        <v>31</v>
      </c>
      <c r="R992">
        <v>82400</v>
      </c>
      <c r="S992" t="s">
        <v>83</v>
      </c>
      <c r="T992">
        <v>82658</v>
      </c>
      <c r="U992" t="s">
        <v>33</v>
      </c>
      <c r="V992" t="s">
        <v>33</v>
      </c>
      <c r="W992" t="s">
        <v>34</v>
      </c>
      <c r="X992" t="s">
        <v>34</v>
      </c>
      <c r="Y992" s="9">
        <f t="shared" si="46"/>
        <v>0</v>
      </c>
      <c r="Z992" t="str">
        <f t="shared" si="47"/>
        <v>สแกนต่าง Cost</v>
      </c>
    </row>
    <row r="993" spans="1:26" x14ac:dyDescent="0.45">
      <c r="B993" t="s">
        <v>26</v>
      </c>
      <c r="C993">
        <v>20403253</v>
      </c>
      <c r="D993" t="s">
        <v>125</v>
      </c>
      <c r="E993" s="8">
        <v>46133.363888888889</v>
      </c>
      <c r="F993" s="8">
        <v>46133.828472222223</v>
      </c>
      <c r="G993">
        <v>10.15</v>
      </c>
      <c r="H993" s="9">
        <f t="shared" si="45"/>
        <v>5.3999999999999999E-2</v>
      </c>
      <c r="I993" s="9">
        <v>5.3999999999999999E-2</v>
      </c>
      <c r="J993" s="9"/>
      <c r="K993" s="9"/>
      <c r="L993" s="9"/>
      <c r="M993" t="s">
        <v>48</v>
      </c>
      <c r="N993" t="s">
        <v>48</v>
      </c>
      <c r="P993" t="s">
        <v>30</v>
      </c>
      <c r="Q993" t="s">
        <v>31</v>
      </c>
      <c r="R993">
        <v>82400</v>
      </c>
      <c r="S993" t="s">
        <v>83</v>
      </c>
      <c r="T993">
        <v>82658</v>
      </c>
      <c r="U993" t="s">
        <v>33</v>
      </c>
      <c r="V993" t="s">
        <v>33</v>
      </c>
      <c r="W993" t="s">
        <v>34</v>
      </c>
      <c r="X993" t="s">
        <v>34</v>
      </c>
      <c r="Y993" s="9">
        <f t="shared" si="46"/>
        <v>0</v>
      </c>
      <c r="Z993" t="str">
        <f t="shared" si="47"/>
        <v>สแกนต่าง Cost</v>
      </c>
    </row>
    <row r="994" spans="1:26" x14ac:dyDescent="0.45">
      <c r="B994" t="s">
        <v>26</v>
      </c>
      <c r="C994">
        <v>20403254</v>
      </c>
      <c r="D994" t="s">
        <v>126</v>
      </c>
      <c r="E994" s="10">
        <v>46133.363888888889</v>
      </c>
      <c r="F994" s="10">
        <v>46133.82708333333</v>
      </c>
      <c r="G994">
        <v>10.116666666666667</v>
      </c>
      <c r="H994" s="9">
        <f t="shared" si="45"/>
        <v>5.3999999999999999E-2</v>
      </c>
      <c r="I994">
        <v>5.3999999999999999E-2</v>
      </c>
      <c r="M994" t="s">
        <v>48</v>
      </c>
      <c r="N994" t="s">
        <v>48</v>
      </c>
      <c r="P994" t="s">
        <v>30</v>
      </c>
      <c r="Q994" t="s">
        <v>31</v>
      </c>
      <c r="R994">
        <v>82400</v>
      </c>
      <c r="S994" t="s">
        <v>83</v>
      </c>
      <c r="T994">
        <v>82658</v>
      </c>
      <c r="U994" t="s">
        <v>33</v>
      </c>
      <c r="V994" t="s">
        <v>33</v>
      </c>
      <c r="W994" t="s">
        <v>34</v>
      </c>
      <c r="X994" t="s">
        <v>34</v>
      </c>
      <c r="Y994" s="9">
        <f t="shared" si="46"/>
        <v>0</v>
      </c>
      <c r="Z994" t="str">
        <f t="shared" si="47"/>
        <v>สแกนต่าง Cost</v>
      </c>
    </row>
    <row r="995" spans="1:26" x14ac:dyDescent="0.45">
      <c r="A995">
        <v>26742</v>
      </c>
      <c r="B995" t="s">
        <v>53</v>
      </c>
      <c r="C995">
        <v>20352338</v>
      </c>
      <c r="D995" t="s">
        <v>114</v>
      </c>
      <c r="E995" s="10">
        <v>46133.354861111111</v>
      </c>
      <c r="F995" s="10">
        <v>46133.729166666664</v>
      </c>
      <c r="G995">
        <v>7.9833333333333325</v>
      </c>
      <c r="H995" s="9">
        <f t="shared" si="45"/>
        <v>4.2999999999999997E-2</v>
      </c>
      <c r="I995">
        <v>4.2999999999999997E-2</v>
      </c>
      <c r="M995" t="s">
        <v>65</v>
      </c>
      <c r="N995" t="s">
        <v>29</v>
      </c>
      <c r="P995" t="s">
        <v>30</v>
      </c>
      <c r="Q995" t="s">
        <v>31</v>
      </c>
      <c r="R995">
        <v>82400</v>
      </c>
      <c r="S995" t="s">
        <v>83</v>
      </c>
      <c r="T995">
        <v>82920</v>
      </c>
      <c r="U995" t="s">
        <v>158</v>
      </c>
      <c r="V995" t="s">
        <v>158</v>
      </c>
      <c r="W995" t="s">
        <v>159</v>
      </c>
      <c r="X995" t="s">
        <v>160</v>
      </c>
      <c r="Y995" s="9">
        <f t="shared" si="46"/>
        <v>0</v>
      </c>
      <c r="Z995" t="str">
        <f t="shared" si="47"/>
        <v>สแกนต่าง Cost</v>
      </c>
    </row>
    <row r="996" spans="1:26" x14ac:dyDescent="0.45">
      <c r="B996" t="s">
        <v>53</v>
      </c>
      <c r="C996">
        <v>20060579</v>
      </c>
      <c r="D996" t="s">
        <v>39</v>
      </c>
      <c r="E996" s="10">
        <v>46133.354166666664</v>
      </c>
      <c r="F996" s="10">
        <v>46133.458333333336</v>
      </c>
      <c r="G996">
        <v>2.5</v>
      </c>
      <c r="H996" s="9">
        <f t="shared" si="45"/>
        <v>1.2999999999999999E-2</v>
      </c>
      <c r="I996">
        <v>1.2999999999999999E-2</v>
      </c>
      <c r="M996" t="s">
        <v>65</v>
      </c>
      <c r="N996" t="s">
        <v>29</v>
      </c>
      <c r="P996" t="s">
        <v>30</v>
      </c>
      <c r="Q996" t="s">
        <v>31</v>
      </c>
      <c r="R996">
        <v>82640</v>
      </c>
      <c r="S996" t="s">
        <v>42</v>
      </c>
      <c r="T996">
        <v>82630</v>
      </c>
      <c r="U996" t="s">
        <v>32</v>
      </c>
      <c r="V996" t="s">
        <v>66</v>
      </c>
      <c r="W996" t="s">
        <v>44</v>
      </c>
      <c r="X996" t="s">
        <v>44</v>
      </c>
      <c r="Y996" s="9">
        <f t="shared" si="46"/>
        <v>0</v>
      </c>
      <c r="Z996" t="str">
        <f t="shared" si="47"/>
        <v>สแกนต่าง Cost</v>
      </c>
    </row>
    <row r="997" spans="1:26" x14ac:dyDescent="0.45">
      <c r="B997" t="s">
        <v>53</v>
      </c>
      <c r="C997">
        <v>20198842</v>
      </c>
      <c r="D997" t="s">
        <v>257</v>
      </c>
      <c r="E997" s="10">
        <v>46133.354166666664</v>
      </c>
      <c r="F997" s="10">
        <v>46133.5</v>
      </c>
      <c r="G997">
        <v>3.5</v>
      </c>
      <c r="H997" s="9">
        <f t="shared" si="45"/>
        <v>1.9E-2</v>
      </c>
      <c r="J997">
        <v>1.9E-2</v>
      </c>
      <c r="M997" t="s">
        <v>77</v>
      </c>
      <c r="N997" t="s">
        <v>29</v>
      </c>
      <c r="P997" t="s">
        <v>30</v>
      </c>
      <c r="Q997" t="s">
        <v>31</v>
      </c>
      <c r="R997">
        <v>82640</v>
      </c>
      <c r="S997" t="s">
        <v>42</v>
      </c>
      <c r="T997">
        <v>82612</v>
      </c>
      <c r="U997" t="s">
        <v>153</v>
      </c>
      <c r="V997" t="s">
        <v>66</v>
      </c>
      <c r="W997" t="s">
        <v>44</v>
      </c>
      <c r="X997" t="s">
        <v>44</v>
      </c>
      <c r="Y997" s="9">
        <f t="shared" si="46"/>
        <v>1.9E-2</v>
      </c>
      <c r="Z997" t="str">
        <f t="shared" si="47"/>
        <v>สแกนต่าง Cost</v>
      </c>
    </row>
    <row r="998" spans="1:26" x14ac:dyDescent="0.45">
      <c r="B998" t="s">
        <v>53</v>
      </c>
      <c r="C998">
        <v>20198842</v>
      </c>
      <c r="D998" t="s">
        <v>257</v>
      </c>
      <c r="E998" s="10">
        <v>46133.354166666664</v>
      </c>
      <c r="F998" s="10">
        <v>46133.395833333336</v>
      </c>
      <c r="G998">
        <v>1</v>
      </c>
      <c r="H998" s="9">
        <f t="shared" si="45"/>
        <v>5.0000000000000001E-3</v>
      </c>
      <c r="J998">
        <v>5.0000000000000001E-3</v>
      </c>
      <c r="M998" t="s">
        <v>77</v>
      </c>
      <c r="N998" t="s">
        <v>29</v>
      </c>
      <c r="P998" t="s">
        <v>30</v>
      </c>
      <c r="Q998" t="s">
        <v>31</v>
      </c>
      <c r="R998">
        <v>82640</v>
      </c>
      <c r="S998" t="s">
        <v>42</v>
      </c>
      <c r="T998">
        <v>82630</v>
      </c>
      <c r="U998" t="s">
        <v>32</v>
      </c>
      <c r="V998" t="s">
        <v>66</v>
      </c>
      <c r="W998" t="s">
        <v>44</v>
      </c>
      <c r="X998" t="s">
        <v>44</v>
      </c>
      <c r="Y998" s="9">
        <f t="shared" si="46"/>
        <v>5.0000000000000001E-3</v>
      </c>
      <c r="Z998" t="str">
        <f t="shared" si="47"/>
        <v>สแกนต่าง Cost</v>
      </c>
    </row>
    <row r="999" spans="1:26" x14ac:dyDescent="0.45">
      <c r="B999" t="s">
        <v>53</v>
      </c>
      <c r="C999">
        <v>20280718</v>
      </c>
      <c r="D999" t="s">
        <v>256</v>
      </c>
      <c r="E999" s="10">
        <v>46133.354166666664</v>
      </c>
      <c r="F999" s="10">
        <v>46133.395833333336</v>
      </c>
      <c r="G999">
        <v>1</v>
      </c>
      <c r="H999" s="9">
        <f t="shared" si="45"/>
        <v>5.0000000000000001E-3</v>
      </c>
      <c r="I999">
        <v>5.0000000000000001E-3</v>
      </c>
      <c r="M999" t="s">
        <v>65</v>
      </c>
      <c r="N999" t="s">
        <v>29</v>
      </c>
      <c r="P999" t="s">
        <v>30</v>
      </c>
      <c r="Q999" t="s">
        <v>31</v>
      </c>
      <c r="R999">
        <v>82640</v>
      </c>
      <c r="S999" t="s">
        <v>42</v>
      </c>
      <c r="T999">
        <v>82630</v>
      </c>
      <c r="U999" t="s">
        <v>32</v>
      </c>
      <c r="V999" t="s">
        <v>66</v>
      </c>
      <c r="W999" t="s">
        <v>44</v>
      </c>
      <c r="X999" t="s">
        <v>44</v>
      </c>
      <c r="Y999" s="9">
        <f t="shared" si="46"/>
        <v>0</v>
      </c>
      <c r="Z999" t="str">
        <f t="shared" si="47"/>
        <v>สแกนต่าง Cost</v>
      </c>
    </row>
    <row r="1000" spans="1:26" x14ac:dyDescent="0.45">
      <c r="B1000" t="s">
        <v>53</v>
      </c>
      <c r="C1000">
        <v>20368087</v>
      </c>
      <c r="D1000" t="s">
        <v>260</v>
      </c>
      <c r="E1000" s="10">
        <v>46133.354166666664</v>
      </c>
      <c r="F1000" s="10">
        <v>46133.4375</v>
      </c>
      <c r="G1000">
        <v>2</v>
      </c>
      <c r="H1000" s="9">
        <f t="shared" si="45"/>
        <v>1.0999999999999999E-2</v>
      </c>
      <c r="I1000">
        <v>1.0999999999999999E-2</v>
      </c>
      <c r="M1000" t="s">
        <v>65</v>
      </c>
      <c r="N1000" t="s">
        <v>29</v>
      </c>
      <c r="P1000" t="s">
        <v>30</v>
      </c>
      <c r="Q1000" t="s">
        <v>31</v>
      </c>
      <c r="R1000">
        <v>82640</v>
      </c>
      <c r="S1000" t="s">
        <v>42</v>
      </c>
      <c r="T1000">
        <v>82612</v>
      </c>
      <c r="U1000" t="s">
        <v>153</v>
      </c>
      <c r="V1000" t="s">
        <v>66</v>
      </c>
      <c r="W1000" t="s">
        <v>44</v>
      </c>
      <c r="X1000" t="s">
        <v>44</v>
      </c>
      <c r="Y1000" s="9">
        <f t="shared" si="46"/>
        <v>0</v>
      </c>
      <c r="Z1000" t="str">
        <f t="shared" si="47"/>
        <v>สแกนต่าง Cost</v>
      </c>
    </row>
    <row r="1001" spans="1:26" x14ac:dyDescent="0.45">
      <c r="A1001">
        <v>26741</v>
      </c>
      <c r="B1001" t="s">
        <v>53</v>
      </c>
      <c r="C1001">
        <v>20238364</v>
      </c>
      <c r="D1001" t="s">
        <v>198</v>
      </c>
      <c r="E1001" s="10">
        <v>46133.352777777778</v>
      </c>
      <c r="F1001" s="10">
        <v>46133.729166666664</v>
      </c>
      <c r="G1001">
        <v>8.0333333333333332</v>
      </c>
      <c r="H1001" s="9">
        <f t="shared" si="45"/>
        <v>4.2999999999999997E-2</v>
      </c>
      <c r="I1001">
        <v>4.2999999999999997E-2</v>
      </c>
      <c r="M1001" t="s">
        <v>65</v>
      </c>
      <c r="N1001" t="s">
        <v>29</v>
      </c>
      <c r="P1001" t="s">
        <v>30</v>
      </c>
      <c r="Q1001" t="s">
        <v>31</v>
      </c>
      <c r="R1001">
        <v>82306</v>
      </c>
      <c r="S1001" t="s">
        <v>55</v>
      </c>
      <c r="T1001">
        <v>82920</v>
      </c>
      <c r="U1001" t="s">
        <v>158</v>
      </c>
      <c r="V1001" t="s">
        <v>158</v>
      </c>
      <c r="W1001" t="s">
        <v>159</v>
      </c>
      <c r="X1001" t="s">
        <v>160</v>
      </c>
      <c r="Y1001" s="9">
        <f t="shared" si="46"/>
        <v>0</v>
      </c>
      <c r="Z1001" t="str">
        <f t="shared" si="47"/>
        <v>สแกนต่าง Cost</v>
      </c>
    </row>
    <row r="1002" spans="1:26" x14ac:dyDescent="0.45">
      <c r="A1002">
        <v>26873</v>
      </c>
      <c r="B1002" t="s">
        <v>53</v>
      </c>
      <c r="C1002">
        <v>20276266</v>
      </c>
      <c r="D1002" t="s">
        <v>292</v>
      </c>
      <c r="E1002" s="10">
        <v>46133.348611111112</v>
      </c>
      <c r="F1002" s="10">
        <v>46133.729166666664</v>
      </c>
      <c r="G1002">
        <v>8.1333333333333329</v>
      </c>
      <c r="H1002" s="9">
        <f t="shared" si="45"/>
        <v>4.2999999999999997E-2</v>
      </c>
      <c r="J1002">
        <v>4.2999999999999997E-2</v>
      </c>
      <c r="M1002" t="s">
        <v>77</v>
      </c>
      <c r="N1002" t="s">
        <v>40</v>
      </c>
      <c r="O1002" t="s">
        <v>78</v>
      </c>
      <c r="P1002" t="s">
        <v>30</v>
      </c>
      <c r="Q1002" t="s">
        <v>31</v>
      </c>
      <c r="R1002">
        <v>82301</v>
      </c>
      <c r="S1002" t="s">
        <v>79</v>
      </c>
      <c r="T1002">
        <v>82640</v>
      </c>
      <c r="U1002" t="s">
        <v>42</v>
      </c>
      <c r="V1002" t="s">
        <v>70</v>
      </c>
      <c r="W1002" t="s">
        <v>71</v>
      </c>
      <c r="X1002" t="s">
        <v>72</v>
      </c>
      <c r="Y1002" s="9">
        <f t="shared" si="46"/>
        <v>4.2999999999999997E-2</v>
      </c>
      <c r="Z1002" t="str">
        <f t="shared" si="47"/>
        <v>สแกนต่าง Cost</v>
      </c>
    </row>
    <row r="1003" spans="1:26" x14ac:dyDescent="0.45">
      <c r="A1003">
        <v>26722</v>
      </c>
      <c r="B1003" t="s">
        <v>53</v>
      </c>
      <c r="C1003">
        <v>20004913</v>
      </c>
      <c r="D1003" t="s">
        <v>87</v>
      </c>
      <c r="E1003" s="10">
        <v>46133.333333333336</v>
      </c>
      <c r="F1003" s="10">
        <v>46133.729166666664</v>
      </c>
      <c r="G1003">
        <v>8.5</v>
      </c>
      <c r="H1003" s="9">
        <f t="shared" si="45"/>
        <v>4.4999999999999998E-2</v>
      </c>
      <c r="I1003">
        <v>4.4999999999999998E-2</v>
      </c>
      <c r="M1003" t="s">
        <v>65</v>
      </c>
      <c r="N1003" t="s">
        <v>29</v>
      </c>
      <c r="P1003" t="s">
        <v>30</v>
      </c>
      <c r="Q1003" t="s">
        <v>31</v>
      </c>
      <c r="R1003">
        <v>82301</v>
      </c>
      <c r="S1003" t="s">
        <v>79</v>
      </c>
      <c r="T1003">
        <v>82308</v>
      </c>
      <c r="U1003" t="s">
        <v>69</v>
      </c>
      <c r="V1003" t="s">
        <v>69</v>
      </c>
      <c r="W1003" t="s">
        <v>69</v>
      </c>
      <c r="X1003" t="s">
        <v>88</v>
      </c>
      <c r="Y1003" s="9">
        <f t="shared" si="46"/>
        <v>0</v>
      </c>
      <c r="Z1003" t="str">
        <f t="shared" si="47"/>
        <v>สแกนต่าง Cost</v>
      </c>
    </row>
    <row r="1004" spans="1:26" x14ac:dyDescent="0.45">
      <c r="A1004">
        <v>26721</v>
      </c>
      <c r="B1004" t="s">
        <v>53</v>
      </c>
      <c r="C1004">
        <v>20018611</v>
      </c>
      <c r="D1004" t="s">
        <v>132</v>
      </c>
      <c r="E1004" s="10">
        <v>46133.333333333336</v>
      </c>
      <c r="F1004" s="10">
        <v>46133.729166666664</v>
      </c>
      <c r="G1004">
        <v>8.5</v>
      </c>
      <c r="H1004" s="9">
        <f t="shared" si="45"/>
        <v>4.4999999999999998E-2</v>
      </c>
      <c r="I1004">
        <v>4.4999999999999998E-2</v>
      </c>
      <c r="M1004" t="s">
        <v>65</v>
      </c>
      <c r="N1004" t="s">
        <v>29</v>
      </c>
      <c r="P1004" t="s">
        <v>133</v>
      </c>
      <c r="Q1004" t="s">
        <v>31</v>
      </c>
      <c r="R1004">
        <v>82301</v>
      </c>
      <c r="S1004" t="s">
        <v>79</v>
      </c>
      <c r="T1004">
        <v>82308</v>
      </c>
      <c r="U1004" t="s">
        <v>69</v>
      </c>
      <c r="V1004" t="s">
        <v>69</v>
      </c>
      <c r="W1004" t="s">
        <v>69</v>
      </c>
      <c r="X1004" t="s">
        <v>95</v>
      </c>
      <c r="Y1004" s="9">
        <f t="shared" si="46"/>
        <v>0</v>
      </c>
      <c r="Z1004" t="str">
        <f t="shared" si="47"/>
        <v>สแกนต่าง Cost</v>
      </c>
    </row>
    <row r="1005" spans="1:26" x14ac:dyDescent="0.45">
      <c r="B1005" t="s">
        <v>53</v>
      </c>
      <c r="C1005">
        <v>20018899</v>
      </c>
      <c r="D1005" t="s">
        <v>64</v>
      </c>
      <c r="E1005" s="10">
        <v>46133.333333333336</v>
      </c>
      <c r="F1005" s="10">
        <v>46133.5</v>
      </c>
      <c r="G1005">
        <v>4</v>
      </c>
      <c r="H1005" s="9">
        <f t="shared" si="45"/>
        <v>2.1000000000000001E-2</v>
      </c>
      <c r="I1005">
        <v>2.1000000000000001E-2</v>
      </c>
      <c r="M1005" t="s">
        <v>65</v>
      </c>
      <c r="N1005" t="s">
        <v>29</v>
      </c>
      <c r="P1005" t="s">
        <v>30</v>
      </c>
      <c r="Q1005" t="s">
        <v>31</v>
      </c>
      <c r="R1005">
        <v>82640</v>
      </c>
      <c r="S1005" t="s">
        <v>42</v>
      </c>
      <c r="T1005">
        <v>82652</v>
      </c>
      <c r="U1005" t="s">
        <v>46</v>
      </c>
      <c r="V1005" t="s">
        <v>66</v>
      </c>
      <c r="W1005" t="s">
        <v>37</v>
      </c>
      <c r="X1005" t="s">
        <v>34</v>
      </c>
      <c r="Y1005" s="9">
        <f t="shared" si="46"/>
        <v>0</v>
      </c>
      <c r="Z1005" t="str">
        <f t="shared" si="47"/>
        <v>สแกนต่าง Cost</v>
      </c>
    </row>
    <row r="1006" spans="1:26" x14ac:dyDescent="0.45">
      <c r="A1006">
        <v>26872</v>
      </c>
      <c r="B1006" t="s">
        <v>53</v>
      </c>
      <c r="C1006">
        <v>20023073</v>
      </c>
      <c r="D1006" t="s">
        <v>199</v>
      </c>
      <c r="E1006" s="10">
        <v>46133.333333333336</v>
      </c>
      <c r="F1006" s="10">
        <v>46133.729166666664</v>
      </c>
      <c r="G1006">
        <v>8.5</v>
      </c>
      <c r="H1006" s="9">
        <f t="shared" si="45"/>
        <v>4.4999999999999998E-2</v>
      </c>
      <c r="J1006">
        <v>4.4999999999999998E-2</v>
      </c>
      <c r="M1006" t="s">
        <v>77</v>
      </c>
      <c r="N1006" t="s">
        <v>40</v>
      </c>
      <c r="O1006" t="s">
        <v>78</v>
      </c>
      <c r="P1006" t="s">
        <v>30</v>
      </c>
      <c r="Q1006" t="s">
        <v>31</v>
      </c>
      <c r="R1006">
        <v>82301</v>
      </c>
      <c r="S1006" t="s">
        <v>79</v>
      </c>
      <c r="T1006">
        <v>82640</v>
      </c>
      <c r="U1006" t="s">
        <v>42</v>
      </c>
      <c r="V1006" t="s">
        <v>70</v>
      </c>
      <c r="W1006" t="s">
        <v>71</v>
      </c>
      <c r="X1006" t="s">
        <v>72</v>
      </c>
      <c r="Y1006" s="9">
        <f t="shared" si="46"/>
        <v>4.4999999999999998E-2</v>
      </c>
      <c r="Z1006" t="str">
        <f t="shared" si="47"/>
        <v>สแกนต่าง Cost</v>
      </c>
    </row>
    <row r="1007" spans="1:26" x14ac:dyDescent="0.45">
      <c r="B1007" t="s">
        <v>53</v>
      </c>
      <c r="C1007">
        <v>20023163</v>
      </c>
      <c r="D1007" t="s">
        <v>169</v>
      </c>
      <c r="E1007" s="10">
        <v>46133.333333333336</v>
      </c>
      <c r="F1007" s="10">
        <v>46133.729166666664</v>
      </c>
      <c r="G1007">
        <v>8.5</v>
      </c>
      <c r="H1007" s="9">
        <f t="shared" si="45"/>
        <v>4.4999999999999998E-2</v>
      </c>
      <c r="I1007">
        <v>4.4999999999999998E-2</v>
      </c>
      <c r="M1007" t="s">
        <v>65</v>
      </c>
      <c r="N1007" t="s">
        <v>29</v>
      </c>
      <c r="P1007" t="s">
        <v>30</v>
      </c>
      <c r="Q1007" t="s">
        <v>31</v>
      </c>
      <c r="R1007">
        <v>82630</v>
      </c>
      <c r="S1007" t="s">
        <v>32</v>
      </c>
      <c r="T1007">
        <v>82640</v>
      </c>
      <c r="U1007" t="s">
        <v>42</v>
      </c>
      <c r="V1007" t="s">
        <v>70</v>
      </c>
      <c r="W1007" t="s">
        <v>170</v>
      </c>
      <c r="X1007" t="s">
        <v>171</v>
      </c>
      <c r="Y1007" s="9">
        <f t="shared" si="46"/>
        <v>0</v>
      </c>
      <c r="Z1007" t="str">
        <f t="shared" si="47"/>
        <v>สแกนต่าง Cost</v>
      </c>
    </row>
    <row r="1008" spans="1:26" x14ac:dyDescent="0.45">
      <c r="B1008" t="s">
        <v>26</v>
      </c>
      <c r="C1008">
        <v>20025986</v>
      </c>
      <c r="D1008" t="s">
        <v>200</v>
      </c>
      <c r="E1008" s="10">
        <v>46133.333333333336</v>
      </c>
      <c r="F1008" s="10">
        <v>46133.729166666664</v>
      </c>
      <c r="G1008">
        <v>8.5</v>
      </c>
      <c r="H1008" s="9">
        <f t="shared" si="45"/>
        <v>4.4999999999999998E-2</v>
      </c>
      <c r="I1008">
        <v>4.4999999999999998E-2</v>
      </c>
      <c r="M1008" t="s">
        <v>65</v>
      </c>
      <c r="N1008" t="s">
        <v>29</v>
      </c>
      <c r="P1008" t="s">
        <v>30</v>
      </c>
      <c r="Q1008" t="s">
        <v>31</v>
      </c>
      <c r="R1008">
        <v>82910</v>
      </c>
      <c r="S1008" t="s">
        <v>201</v>
      </c>
      <c r="T1008">
        <v>82605</v>
      </c>
      <c r="U1008" t="s">
        <v>202</v>
      </c>
      <c r="V1008" t="s">
        <v>202</v>
      </c>
      <c r="W1008" t="s">
        <v>37</v>
      </c>
      <c r="X1008" t="s">
        <v>47</v>
      </c>
      <c r="Y1008" s="9">
        <f t="shared" si="46"/>
        <v>0</v>
      </c>
      <c r="Z1008" t="str">
        <f t="shared" si="47"/>
        <v>สแกนต่าง Cost</v>
      </c>
    </row>
    <row r="1009" spans="1:26" x14ac:dyDescent="0.45">
      <c r="B1009" t="s">
        <v>53</v>
      </c>
      <c r="C1009">
        <v>20034535</v>
      </c>
      <c r="D1009" t="s">
        <v>99</v>
      </c>
      <c r="E1009" s="10">
        <v>46133.333333333336</v>
      </c>
      <c r="F1009" s="10">
        <v>46133.729166666664</v>
      </c>
      <c r="G1009">
        <v>8.5</v>
      </c>
      <c r="H1009" s="9">
        <f t="shared" si="45"/>
        <v>4.4999999999999998E-2</v>
      </c>
      <c r="I1009">
        <v>4.4999999999999998E-2</v>
      </c>
      <c r="M1009" t="s">
        <v>65</v>
      </c>
      <c r="N1009" t="s">
        <v>29</v>
      </c>
      <c r="P1009" t="s">
        <v>30</v>
      </c>
      <c r="Q1009" t="s">
        <v>31</v>
      </c>
      <c r="R1009">
        <v>82630</v>
      </c>
      <c r="S1009" t="s">
        <v>32</v>
      </c>
      <c r="T1009">
        <v>82611</v>
      </c>
      <c r="U1009" t="s">
        <v>43</v>
      </c>
      <c r="V1009" t="s">
        <v>43</v>
      </c>
      <c r="W1009" t="s">
        <v>170</v>
      </c>
      <c r="X1009" t="s">
        <v>171</v>
      </c>
      <c r="Y1009" s="9">
        <f t="shared" si="46"/>
        <v>0</v>
      </c>
      <c r="Z1009" t="str">
        <f t="shared" si="47"/>
        <v>สแกนต่าง Cost</v>
      </c>
    </row>
    <row r="1010" spans="1:26" x14ac:dyDescent="0.45">
      <c r="B1010" t="s">
        <v>53</v>
      </c>
      <c r="C1010">
        <v>20037938</v>
      </c>
      <c r="D1010" t="s">
        <v>172</v>
      </c>
      <c r="E1010" s="10">
        <v>46133.333333333336</v>
      </c>
      <c r="F1010" s="10">
        <v>46133.729166666664</v>
      </c>
      <c r="G1010">
        <v>8.5</v>
      </c>
      <c r="H1010" s="9">
        <f t="shared" si="45"/>
        <v>4.4999999999999998E-2</v>
      </c>
      <c r="I1010">
        <v>4.4999999999999998E-2</v>
      </c>
      <c r="M1010" t="s">
        <v>65</v>
      </c>
      <c r="N1010" t="s">
        <v>29</v>
      </c>
      <c r="P1010" t="s">
        <v>30</v>
      </c>
      <c r="Q1010" t="s">
        <v>31</v>
      </c>
      <c r="R1010">
        <v>82630</v>
      </c>
      <c r="S1010" t="s">
        <v>32</v>
      </c>
      <c r="T1010">
        <v>82611</v>
      </c>
      <c r="U1010" t="s">
        <v>43</v>
      </c>
      <c r="V1010" t="s">
        <v>43</v>
      </c>
      <c r="W1010" t="s">
        <v>170</v>
      </c>
      <c r="X1010" t="s">
        <v>171</v>
      </c>
      <c r="Y1010" s="9">
        <f t="shared" si="46"/>
        <v>0</v>
      </c>
      <c r="Z1010" t="str">
        <f t="shared" si="47"/>
        <v>สแกนต่าง Cost</v>
      </c>
    </row>
    <row r="1011" spans="1:26" x14ac:dyDescent="0.45">
      <c r="B1011" t="s">
        <v>53</v>
      </c>
      <c r="C1011">
        <v>20041131</v>
      </c>
      <c r="D1011" t="s">
        <v>173</v>
      </c>
      <c r="E1011" s="10">
        <v>46133.333333333336</v>
      </c>
      <c r="F1011" s="10">
        <v>46133.729166666664</v>
      </c>
      <c r="G1011">
        <v>8.5</v>
      </c>
      <c r="H1011" s="9">
        <f t="shared" si="45"/>
        <v>4.4999999999999998E-2</v>
      </c>
      <c r="I1011">
        <v>4.4999999999999998E-2</v>
      </c>
      <c r="M1011" t="s">
        <v>65</v>
      </c>
      <c r="N1011" t="s">
        <v>29</v>
      </c>
      <c r="P1011" t="s">
        <v>30</v>
      </c>
      <c r="Q1011" t="s">
        <v>31</v>
      </c>
      <c r="R1011">
        <v>82630</v>
      </c>
      <c r="S1011" t="s">
        <v>32</v>
      </c>
      <c r="T1011">
        <v>82611</v>
      </c>
      <c r="U1011" t="s">
        <v>43</v>
      </c>
      <c r="V1011" t="s">
        <v>43</v>
      </c>
      <c r="W1011" t="s">
        <v>170</v>
      </c>
      <c r="X1011" t="s">
        <v>171</v>
      </c>
      <c r="Y1011" s="9">
        <f t="shared" si="46"/>
        <v>0</v>
      </c>
      <c r="Z1011" t="str">
        <f t="shared" si="47"/>
        <v>สแกนต่าง Cost</v>
      </c>
    </row>
    <row r="1012" spans="1:26" x14ac:dyDescent="0.45">
      <c r="B1012" t="s">
        <v>26</v>
      </c>
      <c r="C1012">
        <v>20066762</v>
      </c>
      <c r="D1012" t="s">
        <v>203</v>
      </c>
      <c r="E1012" s="10">
        <v>46133.333333333336</v>
      </c>
      <c r="F1012" s="10">
        <v>46133.729166666664</v>
      </c>
      <c r="G1012">
        <v>8.5</v>
      </c>
      <c r="H1012" s="9">
        <f t="shared" si="45"/>
        <v>4.4999999999999998E-2</v>
      </c>
      <c r="I1012">
        <v>4.4999999999999998E-2</v>
      </c>
      <c r="M1012" t="s">
        <v>65</v>
      </c>
      <c r="N1012" t="s">
        <v>29</v>
      </c>
      <c r="P1012" t="s">
        <v>30</v>
      </c>
      <c r="Q1012" t="s">
        <v>31</v>
      </c>
      <c r="R1012">
        <v>82910</v>
      </c>
      <c r="S1012" t="s">
        <v>201</v>
      </c>
      <c r="T1012">
        <v>82605</v>
      </c>
      <c r="U1012" t="s">
        <v>202</v>
      </c>
      <c r="V1012" t="s">
        <v>202</v>
      </c>
      <c r="W1012" t="s">
        <v>37</v>
      </c>
      <c r="X1012" t="s">
        <v>47</v>
      </c>
      <c r="Y1012" s="9">
        <f t="shared" si="46"/>
        <v>0</v>
      </c>
      <c r="Z1012" t="str">
        <f t="shared" si="47"/>
        <v>สแกนต่าง Cost</v>
      </c>
    </row>
    <row r="1013" spans="1:26" x14ac:dyDescent="0.45">
      <c r="B1013" t="s">
        <v>53</v>
      </c>
      <c r="C1013">
        <v>20074473</v>
      </c>
      <c r="D1013" t="s">
        <v>276</v>
      </c>
      <c r="E1013" s="10">
        <v>46133.333333333336</v>
      </c>
      <c r="F1013" s="10">
        <v>46133.729166666664</v>
      </c>
      <c r="G1013">
        <v>8.5</v>
      </c>
      <c r="H1013" s="9">
        <f t="shared" si="45"/>
        <v>4.4999999999999998E-2</v>
      </c>
      <c r="I1013">
        <v>4.4999999999999998E-2</v>
      </c>
      <c r="M1013" t="s">
        <v>65</v>
      </c>
      <c r="N1013" t="s">
        <v>29</v>
      </c>
      <c r="P1013" t="s">
        <v>30</v>
      </c>
      <c r="Q1013" t="s">
        <v>31</v>
      </c>
      <c r="R1013">
        <v>82630</v>
      </c>
      <c r="S1013" t="s">
        <v>32</v>
      </c>
      <c r="T1013">
        <v>82640</v>
      </c>
      <c r="U1013" t="s">
        <v>42</v>
      </c>
      <c r="V1013" t="s">
        <v>70</v>
      </c>
      <c r="W1013" t="s">
        <v>170</v>
      </c>
      <c r="X1013" t="s">
        <v>171</v>
      </c>
      <c r="Y1013" s="9">
        <f t="shared" si="46"/>
        <v>0</v>
      </c>
      <c r="Z1013" t="str">
        <f t="shared" si="47"/>
        <v>สแกนต่าง Cost</v>
      </c>
    </row>
    <row r="1014" spans="1:26" x14ac:dyDescent="0.45">
      <c r="B1014" t="s">
        <v>53</v>
      </c>
      <c r="C1014">
        <v>20075871</v>
      </c>
      <c r="D1014" t="s">
        <v>174</v>
      </c>
      <c r="E1014" s="10">
        <v>46133.333333333336</v>
      </c>
      <c r="F1014" s="10">
        <v>46133.729166666664</v>
      </c>
      <c r="G1014">
        <v>8.5</v>
      </c>
      <c r="H1014" s="9">
        <f t="shared" si="45"/>
        <v>4.4999999999999998E-2</v>
      </c>
      <c r="I1014">
        <v>4.4999999999999998E-2</v>
      </c>
      <c r="M1014" t="s">
        <v>65</v>
      </c>
      <c r="N1014" t="s">
        <v>29</v>
      </c>
      <c r="P1014" t="s">
        <v>133</v>
      </c>
      <c r="Q1014" t="s">
        <v>31</v>
      </c>
      <c r="R1014">
        <v>82301</v>
      </c>
      <c r="S1014" t="s">
        <v>79</v>
      </c>
      <c r="T1014">
        <v>82308</v>
      </c>
      <c r="U1014" t="s">
        <v>69</v>
      </c>
      <c r="V1014" t="s">
        <v>69</v>
      </c>
      <c r="W1014" t="s">
        <v>69</v>
      </c>
      <c r="X1014" t="s">
        <v>95</v>
      </c>
      <c r="Y1014" s="9">
        <f t="shared" si="46"/>
        <v>0</v>
      </c>
      <c r="Z1014" t="str">
        <f t="shared" si="47"/>
        <v>สแกนต่าง Cost</v>
      </c>
    </row>
    <row r="1015" spans="1:26" x14ac:dyDescent="0.45">
      <c r="A1015">
        <v>26720</v>
      </c>
      <c r="B1015" t="s">
        <v>53</v>
      </c>
      <c r="C1015">
        <v>20076436</v>
      </c>
      <c r="D1015" t="s">
        <v>131</v>
      </c>
      <c r="E1015" s="10">
        <v>46133.333333333336</v>
      </c>
      <c r="F1015" s="10">
        <v>46133.729166666664</v>
      </c>
      <c r="G1015">
        <v>8.5</v>
      </c>
      <c r="H1015" s="9">
        <f t="shared" si="45"/>
        <v>4.4999999999999998E-2</v>
      </c>
      <c r="I1015">
        <v>4.4999999999999998E-2</v>
      </c>
      <c r="M1015" t="s">
        <v>65</v>
      </c>
      <c r="N1015" t="s">
        <v>29</v>
      </c>
      <c r="P1015" t="s">
        <v>30</v>
      </c>
      <c r="Q1015" t="s">
        <v>31</v>
      </c>
      <c r="R1015">
        <v>82301</v>
      </c>
      <c r="S1015" t="s">
        <v>79</v>
      </c>
      <c r="T1015">
        <v>82308</v>
      </c>
      <c r="U1015" t="s">
        <v>69</v>
      </c>
      <c r="V1015" t="s">
        <v>69</v>
      </c>
      <c r="W1015" t="s">
        <v>69</v>
      </c>
      <c r="X1015" t="s">
        <v>95</v>
      </c>
      <c r="Y1015" s="9">
        <f t="shared" si="46"/>
        <v>0</v>
      </c>
      <c r="Z1015" t="str">
        <f t="shared" si="47"/>
        <v>สแกนต่าง Cost</v>
      </c>
    </row>
    <row r="1016" spans="1:26" x14ac:dyDescent="0.45">
      <c r="B1016" t="s">
        <v>53</v>
      </c>
      <c r="C1016">
        <v>20167851</v>
      </c>
      <c r="D1016" t="s">
        <v>63</v>
      </c>
      <c r="E1016" s="10">
        <v>46133.333333333336</v>
      </c>
      <c r="F1016" s="10">
        <v>46133.395833333336</v>
      </c>
      <c r="G1016">
        <v>1.5</v>
      </c>
      <c r="H1016" s="9">
        <f t="shared" si="45"/>
        <v>8.0000000000000002E-3</v>
      </c>
      <c r="I1016">
        <v>8.0000000000000002E-3</v>
      </c>
      <c r="M1016" t="s">
        <v>65</v>
      </c>
      <c r="N1016" t="s">
        <v>29</v>
      </c>
      <c r="P1016" t="s">
        <v>30</v>
      </c>
      <c r="Q1016" t="s">
        <v>31</v>
      </c>
      <c r="R1016">
        <v>82640</v>
      </c>
      <c r="S1016" t="s">
        <v>42</v>
      </c>
      <c r="T1016">
        <v>82612</v>
      </c>
      <c r="U1016" t="s">
        <v>153</v>
      </c>
      <c r="V1016" t="s">
        <v>66</v>
      </c>
      <c r="W1016" t="s">
        <v>44</v>
      </c>
      <c r="X1016" t="s">
        <v>44</v>
      </c>
      <c r="Y1016" s="9">
        <f t="shared" si="46"/>
        <v>0</v>
      </c>
      <c r="Z1016" t="str">
        <f t="shared" si="47"/>
        <v>สแกนต่าง Cost</v>
      </c>
    </row>
    <row r="1017" spans="1:26" x14ac:dyDescent="0.45">
      <c r="B1017" t="s">
        <v>53</v>
      </c>
      <c r="C1017">
        <v>20198711</v>
      </c>
      <c r="D1017" t="s">
        <v>178</v>
      </c>
      <c r="E1017" s="10">
        <v>46133.333333333336</v>
      </c>
      <c r="F1017" s="10">
        <v>46133.729166666664</v>
      </c>
      <c r="G1017">
        <v>8.5</v>
      </c>
      <c r="H1017" s="9">
        <f t="shared" si="45"/>
        <v>4.4999999999999998E-2</v>
      </c>
      <c r="I1017">
        <v>4.4999999999999998E-2</v>
      </c>
      <c r="M1017" t="s">
        <v>65</v>
      </c>
      <c r="N1017" t="s">
        <v>29</v>
      </c>
      <c r="P1017" t="s">
        <v>30</v>
      </c>
      <c r="Q1017" t="s">
        <v>31</v>
      </c>
      <c r="R1017">
        <v>82630</v>
      </c>
      <c r="S1017" t="s">
        <v>32</v>
      </c>
      <c r="T1017">
        <v>82611</v>
      </c>
      <c r="U1017" t="s">
        <v>43</v>
      </c>
      <c r="V1017" t="s">
        <v>43</v>
      </c>
      <c r="W1017" t="s">
        <v>170</v>
      </c>
      <c r="X1017" t="s">
        <v>171</v>
      </c>
      <c r="Y1017" s="9">
        <f t="shared" si="46"/>
        <v>0</v>
      </c>
      <c r="Z1017" t="str">
        <f t="shared" si="47"/>
        <v>สแกนต่าง Cost</v>
      </c>
    </row>
    <row r="1018" spans="1:26" x14ac:dyDescent="0.45">
      <c r="B1018" t="s">
        <v>53</v>
      </c>
      <c r="C1018">
        <v>20198715</v>
      </c>
      <c r="D1018" t="s">
        <v>179</v>
      </c>
      <c r="E1018" s="10">
        <v>46133.333333333336</v>
      </c>
      <c r="F1018" s="10">
        <v>46133.729166666664</v>
      </c>
      <c r="G1018">
        <v>8.5</v>
      </c>
      <c r="H1018" s="9">
        <f t="shared" si="45"/>
        <v>4.4999999999999998E-2</v>
      </c>
      <c r="I1018">
        <v>4.4999999999999998E-2</v>
      </c>
      <c r="M1018" t="s">
        <v>65</v>
      </c>
      <c r="N1018" t="s">
        <v>29</v>
      </c>
      <c r="P1018" t="s">
        <v>30</v>
      </c>
      <c r="Q1018" t="s">
        <v>31</v>
      </c>
      <c r="R1018">
        <v>82630</v>
      </c>
      <c r="S1018" t="s">
        <v>32</v>
      </c>
      <c r="T1018">
        <v>82611</v>
      </c>
      <c r="U1018" t="s">
        <v>43</v>
      </c>
      <c r="V1018" t="s">
        <v>43</v>
      </c>
      <c r="W1018" t="s">
        <v>170</v>
      </c>
      <c r="X1018" t="s">
        <v>171</v>
      </c>
      <c r="Y1018" s="9">
        <f t="shared" si="46"/>
        <v>0</v>
      </c>
      <c r="Z1018" t="str">
        <f t="shared" si="47"/>
        <v>สแกนต่าง Cost</v>
      </c>
    </row>
    <row r="1019" spans="1:26" x14ac:dyDescent="0.45">
      <c r="B1019" t="s">
        <v>53</v>
      </c>
      <c r="C1019">
        <v>20198747</v>
      </c>
      <c r="D1019" t="s">
        <v>180</v>
      </c>
      <c r="E1019" s="10">
        <v>46133.333333333336</v>
      </c>
      <c r="F1019" s="10">
        <v>46133.729166666664</v>
      </c>
      <c r="G1019">
        <v>8.5</v>
      </c>
      <c r="H1019" s="9">
        <f t="shared" si="45"/>
        <v>4.4999999999999998E-2</v>
      </c>
      <c r="I1019">
        <v>4.4999999999999998E-2</v>
      </c>
      <c r="M1019" t="s">
        <v>65</v>
      </c>
      <c r="N1019" t="s">
        <v>29</v>
      </c>
      <c r="P1019" t="s">
        <v>30</v>
      </c>
      <c r="Q1019" t="s">
        <v>31</v>
      </c>
      <c r="R1019">
        <v>82630</v>
      </c>
      <c r="S1019" t="s">
        <v>32</v>
      </c>
      <c r="T1019">
        <v>82640</v>
      </c>
      <c r="U1019" t="s">
        <v>42</v>
      </c>
      <c r="V1019" t="s">
        <v>70</v>
      </c>
      <c r="W1019" t="s">
        <v>170</v>
      </c>
      <c r="X1019" t="s">
        <v>171</v>
      </c>
      <c r="Y1019" s="9">
        <f t="shared" si="46"/>
        <v>0</v>
      </c>
      <c r="Z1019" t="str">
        <f t="shared" si="47"/>
        <v>สแกนต่าง Cost</v>
      </c>
    </row>
    <row r="1020" spans="1:26" x14ac:dyDescent="0.45">
      <c r="B1020" t="s">
        <v>53</v>
      </c>
      <c r="C1020">
        <v>20198839</v>
      </c>
      <c r="D1020" t="s">
        <v>258</v>
      </c>
      <c r="E1020" s="10">
        <v>46133.333333333336</v>
      </c>
      <c r="F1020" s="10">
        <v>46133.375</v>
      </c>
      <c r="G1020">
        <v>1</v>
      </c>
      <c r="H1020" s="9">
        <f t="shared" si="45"/>
        <v>5.0000000000000001E-3</v>
      </c>
      <c r="I1020">
        <v>5.0000000000000001E-3</v>
      </c>
      <c r="M1020" t="s">
        <v>65</v>
      </c>
      <c r="N1020" t="s">
        <v>29</v>
      </c>
      <c r="P1020" t="s">
        <v>30</v>
      </c>
      <c r="Q1020" t="s">
        <v>31</v>
      </c>
      <c r="R1020">
        <v>82640</v>
      </c>
      <c r="S1020" t="s">
        <v>42</v>
      </c>
      <c r="T1020">
        <v>82611</v>
      </c>
      <c r="U1020" t="s">
        <v>43</v>
      </c>
      <c r="V1020" t="s">
        <v>66</v>
      </c>
      <c r="W1020" t="s">
        <v>44</v>
      </c>
      <c r="X1020" t="s">
        <v>44</v>
      </c>
      <c r="Y1020" s="9">
        <f t="shared" si="46"/>
        <v>0</v>
      </c>
      <c r="Z1020" t="str">
        <f t="shared" si="47"/>
        <v>สแกนต่าง Cost</v>
      </c>
    </row>
    <row r="1021" spans="1:26" x14ac:dyDescent="0.45">
      <c r="B1021" t="s">
        <v>53</v>
      </c>
      <c r="C1021">
        <v>20220646</v>
      </c>
      <c r="D1021" t="s">
        <v>67</v>
      </c>
      <c r="E1021" s="10">
        <v>46133.333333333336</v>
      </c>
      <c r="F1021" s="10">
        <v>46133.5</v>
      </c>
      <c r="G1021">
        <v>4</v>
      </c>
      <c r="H1021" s="9">
        <f t="shared" si="45"/>
        <v>2.1000000000000001E-2</v>
      </c>
      <c r="I1021">
        <v>2.1000000000000001E-2</v>
      </c>
      <c r="M1021" t="s">
        <v>65</v>
      </c>
      <c r="N1021" t="s">
        <v>29</v>
      </c>
      <c r="P1021" t="s">
        <v>30</v>
      </c>
      <c r="Q1021" t="s">
        <v>31</v>
      </c>
      <c r="R1021">
        <v>82640</v>
      </c>
      <c r="S1021" t="s">
        <v>42</v>
      </c>
      <c r="T1021">
        <v>82652</v>
      </c>
      <c r="U1021" t="s">
        <v>46</v>
      </c>
      <c r="V1021" t="s">
        <v>66</v>
      </c>
      <c r="W1021" t="s">
        <v>37</v>
      </c>
      <c r="X1021" t="s">
        <v>34</v>
      </c>
      <c r="Y1021" s="9">
        <f t="shared" si="46"/>
        <v>0</v>
      </c>
      <c r="Z1021" t="str">
        <f t="shared" si="47"/>
        <v>สแกนต่าง Cost</v>
      </c>
    </row>
    <row r="1022" spans="1:26" x14ac:dyDescent="0.45">
      <c r="B1022" t="s">
        <v>53</v>
      </c>
      <c r="C1022">
        <v>20310532</v>
      </c>
      <c r="D1022" t="s">
        <v>61</v>
      </c>
      <c r="E1022" s="10">
        <v>46133.333333333336</v>
      </c>
      <c r="F1022" s="10">
        <v>46133.375</v>
      </c>
      <c r="G1022">
        <v>1</v>
      </c>
      <c r="H1022" s="9">
        <f t="shared" si="45"/>
        <v>5.0000000000000001E-3</v>
      </c>
      <c r="I1022">
        <v>5.0000000000000001E-3</v>
      </c>
      <c r="M1022" t="s">
        <v>65</v>
      </c>
      <c r="N1022" t="s">
        <v>29</v>
      </c>
      <c r="P1022" t="s">
        <v>30</v>
      </c>
      <c r="Q1022" t="s">
        <v>31</v>
      </c>
      <c r="R1022">
        <v>82640</v>
      </c>
      <c r="S1022" t="s">
        <v>42</v>
      </c>
      <c r="T1022">
        <v>82630</v>
      </c>
      <c r="U1022" t="s">
        <v>32</v>
      </c>
      <c r="V1022" t="s">
        <v>66</v>
      </c>
      <c r="W1022" t="s">
        <v>44</v>
      </c>
      <c r="X1022" t="s">
        <v>44</v>
      </c>
      <c r="Y1022" s="9">
        <f t="shared" si="46"/>
        <v>0</v>
      </c>
      <c r="Z1022" t="str">
        <f t="shared" si="47"/>
        <v>สแกนต่าง Cost</v>
      </c>
    </row>
    <row r="1023" spans="1:26" x14ac:dyDescent="0.45">
      <c r="B1023" t="s">
        <v>53</v>
      </c>
      <c r="C1023">
        <v>20319535</v>
      </c>
      <c r="D1023" t="s">
        <v>36</v>
      </c>
      <c r="E1023" s="10">
        <v>46133.333333333336</v>
      </c>
      <c r="F1023" s="10">
        <v>46133.729166666664</v>
      </c>
      <c r="G1023">
        <v>9.5</v>
      </c>
      <c r="H1023" s="9">
        <f t="shared" si="45"/>
        <v>4.9999999999999996E-2</v>
      </c>
      <c r="I1023">
        <v>4.4999999999999998E-2</v>
      </c>
      <c r="K1023">
        <v>5.0000000000000001E-3</v>
      </c>
      <c r="M1023" t="s">
        <v>28</v>
      </c>
      <c r="N1023" t="s">
        <v>29</v>
      </c>
      <c r="P1023" t="s">
        <v>30</v>
      </c>
      <c r="Q1023" t="s">
        <v>31</v>
      </c>
      <c r="R1023">
        <v>82630</v>
      </c>
      <c r="S1023" t="s">
        <v>32</v>
      </c>
      <c r="T1023">
        <v>82611</v>
      </c>
      <c r="U1023" t="s">
        <v>43</v>
      </c>
      <c r="V1023" t="s">
        <v>43</v>
      </c>
      <c r="W1023" t="s">
        <v>170</v>
      </c>
      <c r="X1023" t="s">
        <v>171</v>
      </c>
      <c r="Y1023" s="9">
        <f t="shared" si="46"/>
        <v>5.0000000000000001E-3</v>
      </c>
      <c r="Z1023" t="str">
        <f t="shared" si="47"/>
        <v>สแกนต่าง Cost</v>
      </c>
    </row>
    <row r="1024" spans="1:26" x14ac:dyDescent="0.45">
      <c r="B1024" t="s">
        <v>26</v>
      </c>
      <c r="C1024">
        <v>20328003</v>
      </c>
      <c r="D1024" t="s">
        <v>107</v>
      </c>
      <c r="E1024" s="10">
        <v>46133.333333333336</v>
      </c>
      <c r="F1024" s="10">
        <v>46133.729166666664</v>
      </c>
      <c r="G1024">
        <v>8.5</v>
      </c>
      <c r="H1024" s="9">
        <f t="shared" si="45"/>
        <v>4.4999999999999998E-2</v>
      </c>
      <c r="I1024">
        <v>4.4999999999999998E-2</v>
      </c>
      <c r="M1024" t="s">
        <v>65</v>
      </c>
      <c r="N1024" t="s">
        <v>29</v>
      </c>
      <c r="P1024" t="s">
        <v>30</v>
      </c>
      <c r="Q1024" t="s">
        <v>31</v>
      </c>
      <c r="R1024">
        <v>82400</v>
      </c>
      <c r="S1024" t="s">
        <v>83</v>
      </c>
      <c r="T1024">
        <v>82690</v>
      </c>
      <c r="U1024" t="s">
        <v>90</v>
      </c>
      <c r="V1024" t="s">
        <v>90</v>
      </c>
      <c r="W1024" t="s">
        <v>91</v>
      </c>
      <c r="X1024" t="s">
        <v>92</v>
      </c>
      <c r="Y1024" s="9">
        <f t="shared" si="46"/>
        <v>0</v>
      </c>
      <c r="Z1024" t="str">
        <f t="shared" si="47"/>
        <v>สแกนต่าง Cost</v>
      </c>
    </row>
    <row r="1025" spans="1:26" x14ac:dyDescent="0.45">
      <c r="B1025" t="s">
        <v>26</v>
      </c>
      <c r="C1025">
        <v>20330032</v>
      </c>
      <c r="D1025" t="s">
        <v>204</v>
      </c>
      <c r="E1025" s="10">
        <v>46133.333333333336</v>
      </c>
      <c r="F1025" s="10">
        <v>46133.729166666664</v>
      </c>
      <c r="G1025">
        <v>8.5</v>
      </c>
      <c r="H1025" s="9">
        <f t="shared" si="45"/>
        <v>4.4999999999999998E-2</v>
      </c>
      <c r="I1025">
        <v>4.4999999999999998E-2</v>
      </c>
      <c r="M1025" t="s">
        <v>65</v>
      </c>
      <c r="N1025" t="s">
        <v>29</v>
      </c>
      <c r="P1025" t="s">
        <v>30</v>
      </c>
      <c r="Q1025" t="s">
        <v>31</v>
      </c>
      <c r="R1025">
        <v>82910</v>
      </c>
      <c r="S1025" t="s">
        <v>201</v>
      </c>
      <c r="T1025">
        <v>82605</v>
      </c>
      <c r="U1025" t="s">
        <v>202</v>
      </c>
      <c r="V1025" t="s">
        <v>202</v>
      </c>
      <c r="W1025" t="s">
        <v>37</v>
      </c>
      <c r="X1025" t="s">
        <v>47</v>
      </c>
      <c r="Y1025" s="9">
        <f t="shared" si="46"/>
        <v>0</v>
      </c>
      <c r="Z1025" t="str">
        <f t="shared" si="47"/>
        <v>สแกนต่าง Cost</v>
      </c>
    </row>
    <row r="1026" spans="1:26" x14ac:dyDescent="0.45">
      <c r="B1026" t="s">
        <v>26</v>
      </c>
      <c r="C1026">
        <v>20331986</v>
      </c>
      <c r="D1026" t="s">
        <v>108</v>
      </c>
      <c r="E1026" s="10">
        <v>46133.333333333336</v>
      </c>
      <c r="F1026" s="10">
        <v>46133.729166666664</v>
      </c>
      <c r="G1026">
        <v>8.5</v>
      </c>
      <c r="H1026" s="9">
        <f t="shared" si="45"/>
        <v>4.4999999999999998E-2</v>
      </c>
      <c r="I1026">
        <v>4.4999999999999998E-2</v>
      </c>
      <c r="M1026" t="s">
        <v>65</v>
      </c>
      <c r="N1026" t="s">
        <v>29</v>
      </c>
      <c r="P1026" t="s">
        <v>30</v>
      </c>
      <c r="Q1026" t="s">
        <v>31</v>
      </c>
      <c r="R1026">
        <v>82400</v>
      </c>
      <c r="S1026" t="s">
        <v>83</v>
      </c>
      <c r="T1026">
        <v>82690</v>
      </c>
      <c r="U1026" t="s">
        <v>90</v>
      </c>
      <c r="V1026" t="s">
        <v>90</v>
      </c>
      <c r="W1026" t="s">
        <v>91</v>
      </c>
      <c r="X1026" t="s">
        <v>92</v>
      </c>
      <c r="Y1026" s="9">
        <f t="shared" si="46"/>
        <v>0</v>
      </c>
      <c r="Z1026" t="str">
        <f t="shared" si="47"/>
        <v>สแกนต่าง Cost</v>
      </c>
    </row>
    <row r="1027" spans="1:26" x14ac:dyDescent="0.45">
      <c r="B1027" t="s">
        <v>53</v>
      </c>
      <c r="C1027">
        <v>20332134</v>
      </c>
      <c r="D1027" t="s">
        <v>156</v>
      </c>
      <c r="E1027" s="10">
        <v>46133.333333333336</v>
      </c>
      <c r="F1027" s="10">
        <v>46133.395833333336</v>
      </c>
      <c r="G1027">
        <v>1.5</v>
      </c>
      <c r="H1027" s="9">
        <f t="shared" ref="H1027:H1090" si="48">SUM(I1027:L1027)</f>
        <v>8.0000000000000002E-3</v>
      </c>
      <c r="I1027">
        <v>8.0000000000000002E-3</v>
      </c>
      <c r="M1027" t="s">
        <v>65</v>
      </c>
      <c r="N1027" t="s">
        <v>29</v>
      </c>
      <c r="P1027" t="s">
        <v>30</v>
      </c>
      <c r="Q1027" t="s">
        <v>31</v>
      </c>
      <c r="R1027">
        <v>82640</v>
      </c>
      <c r="S1027" t="s">
        <v>42</v>
      </c>
      <c r="T1027">
        <v>82630</v>
      </c>
      <c r="U1027" t="s">
        <v>32</v>
      </c>
      <c r="V1027" t="s">
        <v>66</v>
      </c>
      <c r="W1027" t="s">
        <v>44</v>
      </c>
      <c r="X1027" t="s">
        <v>44</v>
      </c>
      <c r="Y1027" s="9">
        <f t="shared" ref="Y1027:Y1090" si="49">SUM(J1027:L1027)</f>
        <v>0</v>
      </c>
      <c r="Z1027" t="str">
        <f t="shared" ref="Z1027:Z1090" si="50">IF(R1027=T1027,"สแกน Cost ตัวเอง","สแกนต่าง Cost")</f>
        <v>สแกนต่าง Cost</v>
      </c>
    </row>
    <row r="1028" spans="1:26" x14ac:dyDescent="0.45">
      <c r="A1028">
        <v>26712</v>
      </c>
      <c r="B1028" t="s">
        <v>53</v>
      </c>
      <c r="C1028">
        <v>20334399</v>
      </c>
      <c r="D1028" t="s">
        <v>237</v>
      </c>
      <c r="E1028" s="10">
        <v>46133.333333333336</v>
      </c>
      <c r="F1028" s="10">
        <v>46133.729166666664</v>
      </c>
      <c r="G1028">
        <v>8.5</v>
      </c>
      <c r="H1028" s="9">
        <f t="shared" si="48"/>
        <v>4.4999999999999998E-2</v>
      </c>
      <c r="I1028">
        <v>4.4999999999999998E-2</v>
      </c>
      <c r="M1028" t="s">
        <v>65</v>
      </c>
      <c r="N1028" t="s">
        <v>29</v>
      </c>
      <c r="P1028" t="s">
        <v>30</v>
      </c>
      <c r="Q1028" t="s">
        <v>31</v>
      </c>
      <c r="R1028">
        <v>82301</v>
      </c>
      <c r="S1028" t="s">
        <v>79</v>
      </c>
      <c r="T1028">
        <v>82308</v>
      </c>
      <c r="U1028" t="s">
        <v>69</v>
      </c>
      <c r="V1028" t="s">
        <v>69</v>
      </c>
      <c r="W1028" t="s">
        <v>69</v>
      </c>
      <c r="X1028" t="s">
        <v>196</v>
      </c>
      <c r="Y1028" s="9">
        <f t="shared" si="49"/>
        <v>0</v>
      </c>
      <c r="Z1028" t="str">
        <f t="shared" si="50"/>
        <v>สแกนต่าง Cost</v>
      </c>
    </row>
    <row r="1029" spans="1:26" x14ac:dyDescent="0.45">
      <c r="A1029">
        <v>26841</v>
      </c>
      <c r="B1029" t="s">
        <v>53</v>
      </c>
      <c r="C1029">
        <v>20338280</v>
      </c>
      <c r="D1029" t="s">
        <v>303</v>
      </c>
      <c r="E1029" s="10">
        <v>46133.333333333336</v>
      </c>
      <c r="F1029" s="10">
        <v>46133.833333333336</v>
      </c>
      <c r="G1029">
        <v>12</v>
      </c>
      <c r="H1029" s="9">
        <f t="shared" si="48"/>
        <v>6.4000000000000001E-2</v>
      </c>
      <c r="I1029">
        <v>4.4999999999999998E-2</v>
      </c>
      <c r="K1029">
        <v>1.9E-2</v>
      </c>
      <c r="M1029" t="s">
        <v>28</v>
      </c>
      <c r="N1029" t="s">
        <v>40</v>
      </c>
      <c r="O1029" t="s">
        <v>41</v>
      </c>
      <c r="P1029" t="s">
        <v>30</v>
      </c>
      <c r="Q1029" t="s">
        <v>31</v>
      </c>
      <c r="R1029">
        <v>82409</v>
      </c>
      <c r="S1029" t="s">
        <v>74</v>
      </c>
      <c r="T1029">
        <v>82664</v>
      </c>
      <c r="U1029" t="s">
        <v>75</v>
      </c>
      <c r="V1029" t="s">
        <v>75</v>
      </c>
      <c r="W1029" t="s">
        <v>74</v>
      </c>
      <c r="X1029" t="s">
        <v>74</v>
      </c>
      <c r="Y1029" s="9">
        <f t="shared" si="49"/>
        <v>1.9E-2</v>
      </c>
      <c r="Z1029" t="str">
        <f t="shared" si="50"/>
        <v>สแกนต่าง Cost</v>
      </c>
    </row>
    <row r="1030" spans="1:26" x14ac:dyDescent="0.45">
      <c r="B1030" t="s">
        <v>53</v>
      </c>
      <c r="C1030">
        <v>20344532</v>
      </c>
      <c r="D1030" t="s">
        <v>186</v>
      </c>
      <c r="E1030" s="10">
        <v>46133.333333333336</v>
      </c>
      <c r="F1030" s="10">
        <v>46133.729166666664</v>
      </c>
      <c r="G1030">
        <v>9.5</v>
      </c>
      <c r="H1030" s="9">
        <f t="shared" si="48"/>
        <v>4.9999999999999996E-2</v>
      </c>
      <c r="I1030">
        <v>4.4999999999999998E-2</v>
      </c>
      <c r="K1030">
        <v>5.0000000000000001E-3</v>
      </c>
      <c r="M1030" t="s">
        <v>28</v>
      </c>
      <c r="N1030" t="s">
        <v>29</v>
      </c>
      <c r="P1030" t="s">
        <v>30</v>
      </c>
      <c r="Q1030" t="s">
        <v>31</v>
      </c>
      <c r="R1030">
        <v>82630</v>
      </c>
      <c r="S1030" t="s">
        <v>32</v>
      </c>
      <c r="T1030">
        <v>82611</v>
      </c>
      <c r="U1030" t="s">
        <v>43</v>
      </c>
      <c r="V1030" t="s">
        <v>43</v>
      </c>
      <c r="W1030" t="s">
        <v>170</v>
      </c>
      <c r="X1030" t="s">
        <v>171</v>
      </c>
      <c r="Y1030" s="9">
        <f t="shared" si="49"/>
        <v>5.0000000000000001E-3</v>
      </c>
      <c r="Z1030" t="str">
        <f t="shared" si="50"/>
        <v>สแกนต่าง Cost</v>
      </c>
    </row>
    <row r="1031" spans="1:26" x14ac:dyDescent="0.45">
      <c r="A1031">
        <v>26782</v>
      </c>
      <c r="B1031" t="s">
        <v>53</v>
      </c>
      <c r="C1031">
        <v>20344551</v>
      </c>
      <c r="D1031" t="s">
        <v>110</v>
      </c>
      <c r="E1031" s="10">
        <v>46133.333333333336</v>
      </c>
      <c r="F1031" s="10">
        <v>46133.854166666664</v>
      </c>
      <c r="G1031">
        <v>12.5</v>
      </c>
      <c r="H1031" s="9">
        <f t="shared" si="48"/>
        <v>6.6000000000000003E-2</v>
      </c>
      <c r="I1031">
        <v>4.4999999999999998E-2</v>
      </c>
      <c r="K1031">
        <v>2.1000000000000001E-2</v>
      </c>
      <c r="M1031" t="s">
        <v>28</v>
      </c>
      <c r="N1031" t="s">
        <v>40</v>
      </c>
      <c r="O1031" t="s">
        <v>190</v>
      </c>
      <c r="P1031" t="s">
        <v>30</v>
      </c>
      <c r="Q1031" t="s">
        <v>31</v>
      </c>
      <c r="R1031">
        <v>82655</v>
      </c>
      <c r="S1031" t="s">
        <v>59</v>
      </c>
      <c r="T1031">
        <v>82664</v>
      </c>
      <c r="U1031" t="s">
        <v>75</v>
      </c>
      <c r="V1031" t="s">
        <v>75</v>
      </c>
      <c r="W1031" t="s">
        <v>37</v>
      </c>
      <c r="X1031" t="s">
        <v>111</v>
      </c>
      <c r="Y1031" s="9">
        <f t="shared" si="49"/>
        <v>2.1000000000000001E-2</v>
      </c>
      <c r="Z1031" t="str">
        <f t="shared" si="50"/>
        <v>สแกนต่าง Cost</v>
      </c>
    </row>
    <row r="1032" spans="1:26" x14ac:dyDescent="0.45">
      <c r="A1032">
        <v>26783</v>
      </c>
      <c r="B1032" t="s">
        <v>53</v>
      </c>
      <c r="C1032">
        <v>20344552</v>
      </c>
      <c r="D1032" t="s">
        <v>112</v>
      </c>
      <c r="E1032" s="10">
        <v>46133.333333333336</v>
      </c>
      <c r="F1032" s="10">
        <v>46133.854166666664</v>
      </c>
      <c r="G1032">
        <v>12.5</v>
      </c>
      <c r="H1032" s="9">
        <f t="shared" si="48"/>
        <v>6.6000000000000003E-2</v>
      </c>
      <c r="I1032">
        <v>4.4999999999999998E-2</v>
      </c>
      <c r="K1032">
        <v>2.1000000000000001E-2</v>
      </c>
      <c r="M1032" t="s">
        <v>28</v>
      </c>
      <c r="N1032" t="s">
        <v>40</v>
      </c>
      <c r="O1032" t="s">
        <v>190</v>
      </c>
      <c r="P1032" t="s">
        <v>30</v>
      </c>
      <c r="Q1032" t="s">
        <v>31</v>
      </c>
      <c r="R1032">
        <v>82655</v>
      </c>
      <c r="S1032" t="s">
        <v>59</v>
      </c>
      <c r="T1032">
        <v>82664</v>
      </c>
      <c r="U1032" t="s">
        <v>75</v>
      </c>
      <c r="V1032" t="s">
        <v>75</v>
      </c>
      <c r="W1032" t="s">
        <v>37</v>
      </c>
      <c r="X1032" t="s">
        <v>111</v>
      </c>
      <c r="Y1032" s="9">
        <f t="shared" si="49"/>
        <v>2.1000000000000001E-2</v>
      </c>
      <c r="Z1032" t="str">
        <f t="shared" si="50"/>
        <v>สแกนต่าง Cost</v>
      </c>
    </row>
    <row r="1033" spans="1:26" x14ac:dyDescent="0.45">
      <c r="B1033" t="s">
        <v>53</v>
      </c>
      <c r="C1033">
        <v>20352276</v>
      </c>
      <c r="D1033" t="s">
        <v>187</v>
      </c>
      <c r="E1033" s="10">
        <v>46133.333333333336</v>
      </c>
      <c r="F1033" s="10">
        <v>46133.729166666664</v>
      </c>
      <c r="G1033">
        <v>8.5</v>
      </c>
      <c r="H1033" s="9">
        <f t="shared" si="48"/>
        <v>4.4999999999999998E-2</v>
      </c>
      <c r="I1033">
        <v>4.4999999999999998E-2</v>
      </c>
      <c r="M1033" t="s">
        <v>65</v>
      </c>
      <c r="N1033" t="s">
        <v>29</v>
      </c>
      <c r="P1033" t="s">
        <v>30</v>
      </c>
      <c r="Q1033" t="s">
        <v>31</v>
      </c>
      <c r="R1033">
        <v>82630</v>
      </c>
      <c r="S1033" t="s">
        <v>32</v>
      </c>
      <c r="T1033">
        <v>82611</v>
      </c>
      <c r="U1033" t="s">
        <v>43</v>
      </c>
      <c r="V1033" t="s">
        <v>43</v>
      </c>
      <c r="W1033" t="s">
        <v>170</v>
      </c>
      <c r="X1033" t="s">
        <v>171</v>
      </c>
      <c r="Y1033" s="9">
        <f t="shared" si="49"/>
        <v>0</v>
      </c>
      <c r="Z1033" t="str">
        <f t="shared" si="50"/>
        <v>สแกนต่าง Cost</v>
      </c>
    </row>
    <row r="1034" spans="1:26" x14ac:dyDescent="0.45">
      <c r="B1034" t="s">
        <v>26</v>
      </c>
      <c r="C1034">
        <v>20352282</v>
      </c>
      <c r="D1034" t="s">
        <v>84</v>
      </c>
      <c r="E1034" s="10">
        <v>46133.333333333336</v>
      </c>
      <c r="F1034" s="10">
        <v>46133.729166666664</v>
      </c>
      <c r="G1034">
        <v>8.5</v>
      </c>
      <c r="H1034" s="9">
        <f t="shared" si="48"/>
        <v>4.4999999999999998E-2</v>
      </c>
      <c r="I1034">
        <v>4.4999999999999998E-2</v>
      </c>
      <c r="M1034" t="s">
        <v>65</v>
      </c>
      <c r="N1034" t="s">
        <v>29</v>
      </c>
      <c r="P1034" t="s">
        <v>30</v>
      </c>
      <c r="Q1034" t="s">
        <v>31</v>
      </c>
      <c r="R1034">
        <v>82400</v>
      </c>
      <c r="S1034" t="s">
        <v>83</v>
      </c>
      <c r="T1034">
        <v>82690</v>
      </c>
      <c r="U1034" t="s">
        <v>90</v>
      </c>
      <c r="V1034" t="s">
        <v>90</v>
      </c>
      <c r="W1034" t="s">
        <v>91</v>
      </c>
      <c r="X1034" t="s">
        <v>92</v>
      </c>
      <c r="Y1034" s="9">
        <f t="shared" si="49"/>
        <v>0</v>
      </c>
      <c r="Z1034" t="str">
        <f t="shared" si="50"/>
        <v>สแกนต่าง Cost</v>
      </c>
    </row>
    <row r="1035" spans="1:26" x14ac:dyDescent="0.45">
      <c r="B1035" t="s">
        <v>26</v>
      </c>
      <c r="C1035">
        <v>20352284</v>
      </c>
      <c r="D1035" t="s">
        <v>113</v>
      </c>
      <c r="E1035" s="10">
        <v>46133.333333333336</v>
      </c>
      <c r="F1035" s="10">
        <v>46133.729166666664</v>
      </c>
      <c r="G1035">
        <v>8.5</v>
      </c>
      <c r="H1035" s="9">
        <f t="shared" si="48"/>
        <v>4.4999999999999998E-2</v>
      </c>
      <c r="I1035">
        <v>4.4999999999999998E-2</v>
      </c>
      <c r="M1035" t="s">
        <v>65</v>
      </c>
      <c r="N1035" t="s">
        <v>29</v>
      </c>
      <c r="P1035" t="s">
        <v>30</v>
      </c>
      <c r="Q1035" t="s">
        <v>31</v>
      </c>
      <c r="R1035">
        <v>82400</v>
      </c>
      <c r="S1035" t="s">
        <v>83</v>
      </c>
      <c r="T1035">
        <v>82690</v>
      </c>
      <c r="U1035" t="s">
        <v>90</v>
      </c>
      <c r="V1035" t="s">
        <v>90</v>
      </c>
      <c r="W1035" t="s">
        <v>91</v>
      </c>
      <c r="X1035" t="s">
        <v>92</v>
      </c>
      <c r="Y1035" s="9">
        <f t="shared" si="49"/>
        <v>0</v>
      </c>
      <c r="Z1035" t="str">
        <f t="shared" si="50"/>
        <v>สแกนต่าง Cost</v>
      </c>
    </row>
    <row r="1036" spans="1:26" x14ac:dyDescent="0.45">
      <c r="B1036" t="s">
        <v>53</v>
      </c>
      <c r="C1036">
        <v>20368087</v>
      </c>
      <c r="D1036" t="s">
        <v>260</v>
      </c>
      <c r="E1036" s="10">
        <v>46133.333333333336</v>
      </c>
      <c r="F1036" s="10">
        <v>46133.354166666664</v>
      </c>
      <c r="G1036">
        <v>0.5</v>
      </c>
      <c r="H1036" s="9">
        <f t="shared" si="48"/>
        <v>3.0000000000000001E-3</v>
      </c>
      <c r="I1036">
        <v>3.0000000000000001E-3</v>
      </c>
      <c r="M1036" t="s">
        <v>65</v>
      </c>
      <c r="N1036" t="s">
        <v>29</v>
      </c>
      <c r="P1036" t="s">
        <v>30</v>
      </c>
      <c r="Q1036" t="s">
        <v>31</v>
      </c>
      <c r="R1036">
        <v>82640</v>
      </c>
      <c r="S1036" t="s">
        <v>42</v>
      </c>
      <c r="T1036">
        <v>82630</v>
      </c>
      <c r="U1036" t="s">
        <v>32</v>
      </c>
      <c r="V1036" t="s">
        <v>66</v>
      </c>
      <c r="W1036" t="s">
        <v>44</v>
      </c>
      <c r="X1036" t="s">
        <v>44</v>
      </c>
      <c r="Y1036" s="9">
        <f t="shared" si="49"/>
        <v>0</v>
      </c>
      <c r="Z1036" t="str">
        <f t="shared" si="50"/>
        <v>สแกนต่าง Cost</v>
      </c>
    </row>
    <row r="1037" spans="1:26" x14ac:dyDescent="0.45">
      <c r="B1037" t="s">
        <v>26</v>
      </c>
      <c r="C1037">
        <v>20372078</v>
      </c>
      <c r="D1037" t="s">
        <v>82</v>
      </c>
      <c r="E1037" s="10">
        <v>46133.333333333336</v>
      </c>
      <c r="F1037" s="10">
        <v>46133.729166666664</v>
      </c>
      <c r="G1037">
        <v>8.5</v>
      </c>
      <c r="H1037" s="9">
        <f t="shared" si="48"/>
        <v>4.4999999999999998E-2</v>
      </c>
      <c r="I1037">
        <v>4.4999999999999998E-2</v>
      </c>
      <c r="M1037" t="s">
        <v>65</v>
      </c>
      <c r="N1037" t="s">
        <v>29</v>
      </c>
      <c r="P1037" t="s">
        <v>30</v>
      </c>
      <c r="Q1037" t="s">
        <v>31</v>
      </c>
      <c r="R1037">
        <v>82400</v>
      </c>
      <c r="S1037" t="s">
        <v>83</v>
      </c>
      <c r="T1037">
        <v>82690</v>
      </c>
      <c r="U1037" t="s">
        <v>90</v>
      </c>
      <c r="V1037" t="s">
        <v>90</v>
      </c>
      <c r="W1037" t="s">
        <v>91</v>
      </c>
      <c r="X1037" t="s">
        <v>92</v>
      </c>
      <c r="Y1037" s="9">
        <f t="shared" si="49"/>
        <v>0</v>
      </c>
      <c r="Z1037" t="str">
        <f t="shared" si="50"/>
        <v>สแกนต่าง Cost</v>
      </c>
    </row>
    <row r="1038" spans="1:26" x14ac:dyDescent="0.45">
      <c r="B1038" t="s">
        <v>26</v>
      </c>
      <c r="C1038">
        <v>20372079</v>
      </c>
      <c r="D1038" t="s">
        <v>116</v>
      </c>
      <c r="E1038" s="10">
        <v>46133.333333333336</v>
      </c>
      <c r="F1038" s="10">
        <v>46133.729166666664</v>
      </c>
      <c r="G1038">
        <v>8.5</v>
      </c>
      <c r="H1038" s="9">
        <f t="shared" si="48"/>
        <v>4.4999999999999998E-2</v>
      </c>
      <c r="I1038">
        <v>4.4999999999999998E-2</v>
      </c>
      <c r="M1038" t="s">
        <v>65</v>
      </c>
      <c r="N1038" t="s">
        <v>29</v>
      </c>
      <c r="P1038" t="s">
        <v>30</v>
      </c>
      <c r="Q1038" t="s">
        <v>31</v>
      </c>
      <c r="R1038">
        <v>82400</v>
      </c>
      <c r="S1038" t="s">
        <v>83</v>
      </c>
      <c r="T1038">
        <v>82690</v>
      </c>
      <c r="U1038" t="s">
        <v>90</v>
      </c>
      <c r="V1038" t="s">
        <v>90</v>
      </c>
      <c r="W1038" t="s">
        <v>91</v>
      </c>
      <c r="X1038" t="s">
        <v>92</v>
      </c>
      <c r="Y1038" s="9">
        <f t="shared" si="49"/>
        <v>0</v>
      </c>
      <c r="Z1038" t="str">
        <f t="shared" si="50"/>
        <v>สแกนต่าง Cost</v>
      </c>
    </row>
    <row r="1039" spans="1:26" x14ac:dyDescent="0.45">
      <c r="A1039">
        <v>26785</v>
      </c>
      <c r="B1039" t="s">
        <v>53</v>
      </c>
      <c r="C1039">
        <v>20372080</v>
      </c>
      <c r="D1039" t="s">
        <v>117</v>
      </c>
      <c r="E1039" s="10">
        <v>46133.333333333336</v>
      </c>
      <c r="F1039" s="10">
        <v>46133.82708333333</v>
      </c>
      <c r="G1039">
        <v>11.85</v>
      </c>
      <c r="H1039" s="9">
        <f t="shared" si="48"/>
        <v>6.3E-2</v>
      </c>
      <c r="I1039">
        <v>4.4999999999999998E-2</v>
      </c>
      <c r="K1039">
        <v>1.7999999999999999E-2</v>
      </c>
      <c r="M1039" t="s">
        <v>28</v>
      </c>
      <c r="N1039" t="s">
        <v>40</v>
      </c>
      <c r="O1039" t="s">
        <v>41</v>
      </c>
      <c r="P1039" t="s">
        <v>30</v>
      </c>
      <c r="Q1039" t="s">
        <v>31</v>
      </c>
      <c r="R1039">
        <v>82400</v>
      </c>
      <c r="S1039" t="s">
        <v>83</v>
      </c>
      <c r="T1039">
        <v>82664</v>
      </c>
      <c r="U1039" t="s">
        <v>75</v>
      </c>
      <c r="V1039" t="s">
        <v>75</v>
      </c>
      <c r="W1039" t="s">
        <v>37</v>
      </c>
      <c r="X1039" t="s">
        <v>92</v>
      </c>
      <c r="Y1039" s="9">
        <f t="shared" si="49"/>
        <v>1.7999999999999999E-2</v>
      </c>
      <c r="Z1039" t="str">
        <f t="shared" si="50"/>
        <v>สแกนต่าง Cost</v>
      </c>
    </row>
    <row r="1040" spans="1:26" x14ac:dyDescent="0.45">
      <c r="B1040" t="s">
        <v>26</v>
      </c>
      <c r="C1040">
        <v>20373210</v>
      </c>
      <c r="D1040" t="s">
        <v>206</v>
      </c>
      <c r="E1040" s="10">
        <v>46133.333333333336</v>
      </c>
      <c r="F1040" s="10">
        <v>46133.729166666664</v>
      </c>
      <c r="G1040">
        <v>8.5</v>
      </c>
      <c r="H1040" s="9">
        <f t="shared" si="48"/>
        <v>4.4999999999999998E-2</v>
      </c>
      <c r="I1040">
        <v>4.4999999999999998E-2</v>
      </c>
      <c r="M1040" t="s">
        <v>65</v>
      </c>
      <c r="N1040" t="s">
        <v>29</v>
      </c>
      <c r="P1040" t="s">
        <v>30</v>
      </c>
      <c r="Q1040" t="s">
        <v>31</v>
      </c>
      <c r="R1040">
        <v>82910</v>
      </c>
      <c r="S1040" t="s">
        <v>201</v>
      </c>
      <c r="T1040">
        <v>82605</v>
      </c>
      <c r="U1040" t="s">
        <v>202</v>
      </c>
      <c r="V1040" t="s">
        <v>202</v>
      </c>
      <c r="W1040" t="s">
        <v>37</v>
      </c>
      <c r="X1040" t="s">
        <v>47</v>
      </c>
      <c r="Y1040" s="9">
        <f t="shared" si="49"/>
        <v>0</v>
      </c>
      <c r="Z1040" t="str">
        <f t="shared" si="50"/>
        <v>สแกนต่าง Cost</v>
      </c>
    </row>
    <row r="1041" spans="1:26" x14ac:dyDescent="0.45">
      <c r="A1041">
        <v>26786</v>
      </c>
      <c r="B1041" t="s">
        <v>53</v>
      </c>
      <c r="C1041">
        <v>20382170</v>
      </c>
      <c r="D1041" t="s">
        <v>118</v>
      </c>
      <c r="E1041" s="10">
        <v>46133.333333333336</v>
      </c>
      <c r="F1041" s="10">
        <v>46133.82708333333</v>
      </c>
      <c r="G1041">
        <v>11.85</v>
      </c>
      <c r="H1041" s="9">
        <f t="shared" si="48"/>
        <v>6.3E-2</v>
      </c>
      <c r="I1041">
        <v>4.4999999999999998E-2</v>
      </c>
      <c r="K1041">
        <v>1.7999999999999999E-2</v>
      </c>
      <c r="M1041" t="s">
        <v>28</v>
      </c>
      <c r="N1041" t="s">
        <v>40</v>
      </c>
      <c r="O1041" t="s">
        <v>41</v>
      </c>
      <c r="P1041" t="s">
        <v>30</v>
      </c>
      <c r="Q1041" t="s">
        <v>31</v>
      </c>
      <c r="R1041">
        <v>82400</v>
      </c>
      <c r="S1041" t="s">
        <v>83</v>
      </c>
      <c r="T1041">
        <v>82664</v>
      </c>
      <c r="U1041" t="s">
        <v>75</v>
      </c>
      <c r="V1041" t="s">
        <v>75</v>
      </c>
      <c r="W1041" t="s">
        <v>37</v>
      </c>
      <c r="X1041" t="s">
        <v>92</v>
      </c>
      <c r="Y1041" s="9">
        <f t="shared" si="49"/>
        <v>1.7999999999999999E-2</v>
      </c>
      <c r="Z1041" t="str">
        <f t="shared" si="50"/>
        <v>สแกนต่าง Cost</v>
      </c>
    </row>
    <row r="1042" spans="1:26" x14ac:dyDescent="0.45">
      <c r="A1042">
        <v>26784</v>
      </c>
      <c r="B1042" t="s">
        <v>53</v>
      </c>
      <c r="C1042">
        <v>20382171</v>
      </c>
      <c r="D1042" t="s">
        <v>119</v>
      </c>
      <c r="E1042" s="10">
        <v>46133.333333333336</v>
      </c>
      <c r="F1042" s="10">
        <v>46133.82708333333</v>
      </c>
      <c r="G1042">
        <v>11.85</v>
      </c>
      <c r="H1042" s="9">
        <f t="shared" si="48"/>
        <v>6.3E-2</v>
      </c>
      <c r="I1042">
        <v>4.4999999999999998E-2</v>
      </c>
      <c r="K1042">
        <v>1.7999999999999999E-2</v>
      </c>
      <c r="M1042" t="s">
        <v>28</v>
      </c>
      <c r="N1042" t="s">
        <v>40</v>
      </c>
      <c r="O1042" t="s">
        <v>41</v>
      </c>
      <c r="P1042" t="s">
        <v>30</v>
      </c>
      <c r="Q1042" t="s">
        <v>31</v>
      </c>
      <c r="R1042">
        <v>82400</v>
      </c>
      <c r="S1042" t="s">
        <v>83</v>
      </c>
      <c r="T1042">
        <v>82664</v>
      </c>
      <c r="U1042" t="s">
        <v>75</v>
      </c>
      <c r="V1042" t="s">
        <v>75</v>
      </c>
      <c r="W1042" t="s">
        <v>37</v>
      </c>
      <c r="X1042" t="s">
        <v>92</v>
      </c>
      <c r="Y1042" s="9">
        <f t="shared" si="49"/>
        <v>1.7999999999999999E-2</v>
      </c>
      <c r="Z1042" t="str">
        <f t="shared" si="50"/>
        <v>สแกนต่าง Cost</v>
      </c>
    </row>
    <row r="1043" spans="1:26" x14ac:dyDescent="0.45">
      <c r="A1043">
        <v>26779</v>
      </c>
      <c r="B1043" t="s">
        <v>53</v>
      </c>
      <c r="C1043">
        <v>20030839</v>
      </c>
      <c r="D1043" t="s">
        <v>235</v>
      </c>
      <c r="E1043" s="10">
        <v>46133.331944444442</v>
      </c>
      <c r="F1043" s="10">
        <v>46133.854166666664</v>
      </c>
      <c r="G1043">
        <v>12.533333333333333</v>
      </c>
      <c r="H1043" s="9">
        <f t="shared" si="48"/>
        <v>6.7000000000000004E-2</v>
      </c>
      <c r="I1043">
        <v>4.4999999999999998E-2</v>
      </c>
      <c r="K1043">
        <v>2.1999999999999999E-2</v>
      </c>
      <c r="M1043" t="s">
        <v>28</v>
      </c>
      <c r="N1043" t="s">
        <v>40</v>
      </c>
      <c r="O1043" t="s">
        <v>190</v>
      </c>
      <c r="P1043" t="s">
        <v>30</v>
      </c>
      <c r="Q1043" t="s">
        <v>31</v>
      </c>
      <c r="R1043">
        <v>82658</v>
      </c>
      <c r="S1043" t="s">
        <v>33</v>
      </c>
      <c r="T1043">
        <v>82664</v>
      </c>
      <c r="U1043" t="s">
        <v>75</v>
      </c>
      <c r="V1043" t="s">
        <v>75</v>
      </c>
      <c r="W1043" t="s">
        <v>37</v>
      </c>
      <c r="X1043" t="s">
        <v>111</v>
      </c>
      <c r="Y1043" s="9">
        <f t="shared" si="49"/>
        <v>2.1999999999999999E-2</v>
      </c>
      <c r="Z1043" t="str">
        <f t="shared" si="50"/>
        <v>สแกนต่าง Cost</v>
      </c>
    </row>
    <row r="1044" spans="1:26" x14ac:dyDescent="0.45">
      <c r="A1044">
        <v>26780</v>
      </c>
      <c r="B1044" t="s">
        <v>53</v>
      </c>
      <c r="C1044">
        <v>20198835</v>
      </c>
      <c r="D1044" t="s">
        <v>129</v>
      </c>
      <c r="E1044" s="10">
        <v>46133.331944444442</v>
      </c>
      <c r="F1044" s="10">
        <v>46133.854166666664</v>
      </c>
      <c r="G1044">
        <v>12.533333333333333</v>
      </c>
      <c r="H1044" s="9">
        <f t="shared" si="48"/>
        <v>6.7000000000000004E-2</v>
      </c>
      <c r="I1044">
        <v>4.4999999999999998E-2</v>
      </c>
      <c r="K1044">
        <v>2.1999999999999999E-2</v>
      </c>
      <c r="M1044" t="s">
        <v>28</v>
      </c>
      <c r="N1044" t="s">
        <v>40</v>
      </c>
      <c r="O1044" t="s">
        <v>190</v>
      </c>
      <c r="P1044" t="s">
        <v>30</v>
      </c>
      <c r="Q1044" t="s">
        <v>31</v>
      </c>
      <c r="R1044">
        <v>82658</v>
      </c>
      <c r="S1044" t="s">
        <v>33</v>
      </c>
      <c r="T1044">
        <v>82664</v>
      </c>
      <c r="U1044" t="s">
        <v>75</v>
      </c>
      <c r="V1044" t="s">
        <v>75</v>
      </c>
      <c r="W1044" t="s">
        <v>37</v>
      </c>
      <c r="X1044" t="s">
        <v>111</v>
      </c>
      <c r="Y1044" s="9">
        <f t="shared" si="49"/>
        <v>2.1999999999999999E-2</v>
      </c>
      <c r="Z1044" t="str">
        <f t="shared" si="50"/>
        <v>สแกนต่าง Cost</v>
      </c>
    </row>
    <row r="1045" spans="1:26" x14ac:dyDescent="0.45">
      <c r="A1045">
        <v>26781</v>
      </c>
      <c r="B1045" t="s">
        <v>53</v>
      </c>
      <c r="C1045">
        <v>20372709</v>
      </c>
      <c r="D1045" t="s">
        <v>130</v>
      </c>
      <c r="E1045" s="10">
        <v>46133.331944444442</v>
      </c>
      <c r="F1045" s="10">
        <v>46133.854166666664</v>
      </c>
      <c r="G1045">
        <v>12.533333333333333</v>
      </c>
      <c r="H1045" s="9">
        <f t="shared" si="48"/>
        <v>6.7000000000000004E-2</v>
      </c>
      <c r="I1045">
        <v>4.4999999999999998E-2</v>
      </c>
      <c r="K1045">
        <v>2.1999999999999999E-2</v>
      </c>
      <c r="M1045" t="s">
        <v>28</v>
      </c>
      <c r="N1045" t="s">
        <v>40</v>
      </c>
      <c r="O1045" t="s">
        <v>190</v>
      </c>
      <c r="P1045" t="s">
        <v>30</v>
      </c>
      <c r="Q1045" t="s">
        <v>31</v>
      </c>
      <c r="R1045">
        <v>82658</v>
      </c>
      <c r="S1045" t="s">
        <v>33</v>
      </c>
      <c r="T1045">
        <v>82664</v>
      </c>
      <c r="U1045" t="s">
        <v>75</v>
      </c>
      <c r="V1045" t="s">
        <v>75</v>
      </c>
      <c r="W1045" t="s">
        <v>37</v>
      </c>
      <c r="X1045" t="s">
        <v>111</v>
      </c>
      <c r="Y1045" s="9">
        <f t="shared" si="49"/>
        <v>2.1999999999999999E-2</v>
      </c>
      <c r="Z1045" t="str">
        <f t="shared" si="50"/>
        <v>สแกนต่าง Cost</v>
      </c>
    </row>
    <row r="1046" spans="1:26" x14ac:dyDescent="0.45">
      <c r="A1046">
        <v>26778</v>
      </c>
      <c r="B1046" t="s">
        <v>53</v>
      </c>
      <c r="C1046">
        <v>20162724</v>
      </c>
      <c r="D1046" t="s">
        <v>128</v>
      </c>
      <c r="E1046" s="10">
        <v>46133.331250000003</v>
      </c>
      <c r="F1046" s="10">
        <v>46133.854166666664</v>
      </c>
      <c r="G1046">
        <v>12.55</v>
      </c>
      <c r="H1046" s="9">
        <f t="shared" si="48"/>
        <v>6.7000000000000004E-2</v>
      </c>
      <c r="I1046">
        <v>4.4999999999999998E-2</v>
      </c>
      <c r="K1046">
        <v>2.1999999999999999E-2</v>
      </c>
      <c r="M1046" t="s">
        <v>28</v>
      </c>
      <c r="N1046" t="s">
        <v>29</v>
      </c>
      <c r="P1046" t="s">
        <v>30</v>
      </c>
      <c r="Q1046" t="s">
        <v>31</v>
      </c>
      <c r="R1046">
        <v>82658</v>
      </c>
      <c r="S1046" t="s">
        <v>33</v>
      </c>
      <c r="T1046">
        <v>82664</v>
      </c>
      <c r="U1046" t="s">
        <v>75</v>
      </c>
      <c r="V1046" t="s">
        <v>75</v>
      </c>
      <c r="W1046" t="s">
        <v>37</v>
      </c>
      <c r="X1046" t="s">
        <v>111</v>
      </c>
      <c r="Y1046" s="9">
        <f t="shared" si="49"/>
        <v>2.1999999999999999E-2</v>
      </c>
      <c r="Z1046" t="str">
        <f t="shared" si="50"/>
        <v>สแกนต่าง Cost</v>
      </c>
    </row>
    <row r="1047" spans="1:26" x14ac:dyDescent="0.45">
      <c r="A1047">
        <v>26714</v>
      </c>
      <c r="B1047" t="s">
        <v>53</v>
      </c>
      <c r="C1047">
        <v>20276269</v>
      </c>
      <c r="D1047" t="s">
        <v>134</v>
      </c>
      <c r="E1047" s="10">
        <v>46133.291666666664</v>
      </c>
      <c r="F1047" s="10">
        <v>46133.6875</v>
      </c>
      <c r="G1047">
        <v>8.5</v>
      </c>
      <c r="H1047" s="9">
        <f t="shared" si="48"/>
        <v>4.4999999999999998E-2</v>
      </c>
      <c r="I1047">
        <v>4.4999999999999998E-2</v>
      </c>
      <c r="M1047" t="s">
        <v>65</v>
      </c>
      <c r="N1047" t="s">
        <v>29</v>
      </c>
      <c r="P1047" t="s">
        <v>30</v>
      </c>
      <c r="Q1047" t="s">
        <v>31</v>
      </c>
      <c r="R1047">
        <v>82308</v>
      </c>
      <c r="S1047" t="s">
        <v>69</v>
      </c>
      <c r="T1047">
        <v>82301</v>
      </c>
      <c r="U1047" t="s">
        <v>79</v>
      </c>
      <c r="V1047" t="s">
        <v>79</v>
      </c>
      <c r="W1047" t="s">
        <v>80</v>
      </c>
      <c r="X1047" t="s">
        <v>135</v>
      </c>
      <c r="Y1047" s="9">
        <f t="shared" si="49"/>
        <v>0</v>
      </c>
      <c r="Z1047" t="str">
        <f t="shared" si="50"/>
        <v>สแกนต่าง Cost</v>
      </c>
    </row>
    <row r="1048" spans="1:26" x14ac:dyDescent="0.45">
      <c r="A1048">
        <v>26777</v>
      </c>
      <c r="B1048" t="s">
        <v>53</v>
      </c>
      <c r="C1048">
        <v>20267288</v>
      </c>
      <c r="D1048" t="s">
        <v>127</v>
      </c>
      <c r="E1048" s="10">
        <v>46133.243055555555</v>
      </c>
      <c r="F1048" s="10">
        <v>46133.683333333334</v>
      </c>
      <c r="G1048">
        <v>10.566666666666666</v>
      </c>
      <c r="H1048" s="9">
        <f t="shared" si="48"/>
        <v>5.5999999999999994E-2</v>
      </c>
      <c r="I1048">
        <v>4.4999999999999998E-2</v>
      </c>
      <c r="K1048">
        <v>1.0999999999999999E-2</v>
      </c>
      <c r="M1048" t="s">
        <v>28</v>
      </c>
      <c r="N1048" t="s">
        <v>40</v>
      </c>
      <c r="O1048" t="s">
        <v>241</v>
      </c>
      <c r="P1048" t="s">
        <v>30</v>
      </c>
      <c r="Q1048" t="s">
        <v>31</v>
      </c>
      <c r="R1048">
        <v>82409</v>
      </c>
      <c r="S1048" t="s">
        <v>74</v>
      </c>
      <c r="T1048">
        <v>82664</v>
      </c>
      <c r="U1048" t="s">
        <v>75</v>
      </c>
      <c r="V1048" t="s">
        <v>75</v>
      </c>
      <c r="W1048" t="s">
        <v>74</v>
      </c>
      <c r="X1048" t="s">
        <v>74</v>
      </c>
      <c r="Y1048" s="9">
        <f t="shared" si="49"/>
        <v>1.0999999999999999E-2</v>
      </c>
      <c r="Z1048" t="str">
        <f t="shared" si="50"/>
        <v>สแกนต่าง Cost</v>
      </c>
    </row>
    <row r="1049" spans="1:26" x14ac:dyDescent="0.45">
      <c r="B1049" t="s">
        <v>26</v>
      </c>
      <c r="C1049">
        <v>20031838</v>
      </c>
      <c r="D1049" t="s">
        <v>143</v>
      </c>
      <c r="E1049" s="10">
        <v>46132.745833333334</v>
      </c>
      <c r="F1049" s="10">
        <v>46132.826388888891</v>
      </c>
      <c r="G1049">
        <v>1.9333333333333333</v>
      </c>
      <c r="H1049" s="9">
        <f t="shared" si="48"/>
        <v>0.01</v>
      </c>
      <c r="K1049">
        <v>0.01</v>
      </c>
      <c r="M1049" t="s">
        <v>28</v>
      </c>
      <c r="N1049" t="s">
        <v>40</v>
      </c>
      <c r="O1049" t="s">
        <v>41</v>
      </c>
      <c r="P1049" t="s">
        <v>30</v>
      </c>
      <c r="Q1049" t="s">
        <v>31</v>
      </c>
      <c r="R1049">
        <v>82652</v>
      </c>
      <c r="S1049" t="s">
        <v>46</v>
      </c>
      <c r="T1049">
        <v>82658</v>
      </c>
      <c r="U1049" t="s">
        <v>33</v>
      </c>
      <c r="V1049" t="s">
        <v>33</v>
      </c>
      <c r="W1049" t="s">
        <v>34</v>
      </c>
      <c r="X1049" t="s">
        <v>34</v>
      </c>
      <c r="Y1049" s="9">
        <f t="shared" si="49"/>
        <v>0.01</v>
      </c>
      <c r="Z1049" t="str">
        <f t="shared" si="50"/>
        <v>สแกนต่าง Cost</v>
      </c>
    </row>
    <row r="1050" spans="1:26" x14ac:dyDescent="0.45">
      <c r="B1050" t="s">
        <v>26</v>
      </c>
      <c r="C1050">
        <v>20198813</v>
      </c>
      <c r="D1050" t="s">
        <v>45</v>
      </c>
      <c r="E1050" s="10">
        <v>46132.745833333334</v>
      </c>
      <c r="F1050" s="10">
        <v>46132.828472222223</v>
      </c>
      <c r="G1050">
        <v>1.9833333333333334</v>
      </c>
      <c r="H1050" s="9">
        <f t="shared" si="48"/>
        <v>1.0999999999999999E-2</v>
      </c>
      <c r="K1050">
        <v>1.0999999999999999E-2</v>
      </c>
      <c r="M1050" t="s">
        <v>28</v>
      </c>
      <c r="N1050" t="s">
        <v>40</v>
      </c>
      <c r="O1050" t="s">
        <v>41</v>
      </c>
      <c r="P1050" t="s">
        <v>30</v>
      </c>
      <c r="Q1050" t="s">
        <v>31</v>
      </c>
      <c r="R1050">
        <v>82652</v>
      </c>
      <c r="S1050" t="s">
        <v>46</v>
      </c>
      <c r="T1050">
        <v>82658</v>
      </c>
      <c r="U1050" t="s">
        <v>33</v>
      </c>
      <c r="V1050" t="s">
        <v>33</v>
      </c>
      <c r="W1050" t="s">
        <v>34</v>
      </c>
      <c r="X1050" t="s">
        <v>34</v>
      </c>
      <c r="Y1050" s="9">
        <f t="shared" si="49"/>
        <v>1.0999999999999999E-2</v>
      </c>
      <c r="Z1050" t="str">
        <f t="shared" si="50"/>
        <v>สแกนต่าง Cost</v>
      </c>
    </row>
    <row r="1051" spans="1:26" x14ac:dyDescent="0.45">
      <c r="B1051" t="s">
        <v>26</v>
      </c>
      <c r="C1051">
        <v>20198805</v>
      </c>
      <c r="D1051" t="s">
        <v>211</v>
      </c>
      <c r="E1051" s="10">
        <v>46132.743055555555</v>
      </c>
      <c r="F1051" s="10">
        <v>46132.825694444444</v>
      </c>
      <c r="G1051">
        <v>1.9833333333333334</v>
      </c>
      <c r="H1051" s="9">
        <f t="shared" si="48"/>
        <v>1.0999999999999999E-2</v>
      </c>
      <c r="K1051">
        <v>1.0999999999999999E-2</v>
      </c>
      <c r="M1051" t="s">
        <v>28</v>
      </c>
      <c r="N1051" t="s">
        <v>40</v>
      </c>
      <c r="O1051" t="s">
        <v>41</v>
      </c>
      <c r="P1051" t="s">
        <v>30</v>
      </c>
      <c r="Q1051" t="s">
        <v>31</v>
      </c>
      <c r="R1051">
        <v>82652</v>
      </c>
      <c r="S1051" t="s">
        <v>46</v>
      </c>
      <c r="T1051">
        <v>82658</v>
      </c>
      <c r="U1051" t="s">
        <v>33</v>
      </c>
      <c r="V1051" t="s">
        <v>33</v>
      </c>
      <c r="W1051" t="s">
        <v>37</v>
      </c>
      <c r="X1051" t="s">
        <v>38</v>
      </c>
      <c r="Y1051" s="9">
        <f t="shared" si="49"/>
        <v>1.0999999999999999E-2</v>
      </c>
      <c r="Z1051" t="str">
        <f t="shared" si="50"/>
        <v>สแกนต่าง Cost</v>
      </c>
    </row>
    <row r="1052" spans="1:26" x14ac:dyDescent="0.45">
      <c r="B1052" t="s">
        <v>26</v>
      </c>
      <c r="C1052">
        <v>20028097</v>
      </c>
      <c r="D1052" t="s">
        <v>139</v>
      </c>
      <c r="E1052" s="10">
        <v>46132.742361111108</v>
      </c>
      <c r="F1052" s="10">
        <v>46132.830555555556</v>
      </c>
      <c r="G1052">
        <v>2.1166666666666667</v>
      </c>
      <c r="H1052" s="9">
        <f t="shared" si="48"/>
        <v>1.0999999999999999E-2</v>
      </c>
      <c r="K1052">
        <v>1.0999999999999999E-2</v>
      </c>
      <c r="M1052" t="s">
        <v>28</v>
      </c>
      <c r="N1052" t="s">
        <v>40</v>
      </c>
      <c r="O1052" t="s">
        <v>41</v>
      </c>
      <c r="P1052" t="s">
        <v>30</v>
      </c>
      <c r="Q1052" t="s">
        <v>31</v>
      </c>
      <c r="R1052">
        <v>82652</v>
      </c>
      <c r="S1052" t="s">
        <v>46</v>
      </c>
      <c r="T1052">
        <v>82658</v>
      </c>
      <c r="U1052" t="s">
        <v>33</v>
      </c>
      <c r="V1052" t="s">
        <v>33</v>
      </c>
      <c r="W1052" t="s">
        <v>37</v>
      </c>
      <c r="X1052" t="s">
        <v>38</v>
      </c>
      <c r="Y1052" s="9">
        <f t="shared" si="49"/>
        <v>1.0999999999999999E-2</v>
      </c>
      <c r="Z1052" t="str">
        <f t="shared" si="50"/>
        <v>สแกนต่าง Cost</v>
      </c>
    </row>
    <row r="1053" spans="1:26" x14ac:dyDescent="0.45">
      <c r="B1053" t="s">
        <v>26</v>
      </c>
      <c r="C1053">
        <v>20028098</v>
      </c>
      <c r="D1053" t="s">
        <v>209</v>
      </c>
      <c r="E1053" s="10">
        <v>46132.742361111108</v>
      </c>
      <c r="F1053" s="10">
        <v>46132.827777777777</v>
      </c>
      <c r="G1053">
        <v>2.0499999999999998</v>
      </c>
      <c r="H1053" s="9">
        <f t="shared" si="48"/>
        <v>1.0999999999999999E-2</v>
      </c>
      <c r="K1053">
        <v>1.0999999999999999E-2</v>
      </c>
      <c r="M1053" t="s">
        <v>28</v>
      </c>
      <c r="N1053" t="s">
        <v>40</v>
      </c>
      <c r="O1053" t="s">
        <v>41</v>
      </c>
      <c r="P1053" t="s">
        <v>30</v>
      </c>
      <c r="Q1053" t="s">
        <v>31</v>
      </c>
      <c r="R1053">
        <v>82655</v>
      </c>
      <c r="S1053" t="s">
        <v>59</v>
      </c>
      <c r="T1053">
        <v>82658</v>
      </c>
      <c r="U1053" t="s">
        <v>33</v>
      </c>
      <c r="V1053" t="s">
        <v>33</v>
      </c>
      <c r="W1053" t="s">
        <v>37</v>
      </c>
      <c r="X1053" t="s">
        <v>38</v>
      </c>
      <c r="Y1053" s="9">
        <f t="shared" si="49"/>
        <v>1.0999999999999999E-2</v>
      </c>
      <c r="Z1053" t="str">
        <f t="shared" si="50"/>
        <v>สแกนต่าง Cost</v>
      </c>
    </row>
    <row r="1054" spans="1:26" x14ac:dyDescent="0.45">
      <c r="B1054" t="s">
        <v>26</v>
      </c>
      <c r="C1054">
        <v>20030026</v>
      </c>
      <c r="D1054" t="s">
        <v>141</v>
      </c>
      <c r="E1054" s="10">
        <v>46132.742361111108</v>
      </c>
      <c r="F1054" s="10">
        <v>46132.822916666664</v>
      </c>
      <c r="G1054">
        <v>1.9333333333333333</v>
      </c>
      <c r="H1054" s="9">
        <f t="shared" si="48"/>
        <v>0.01</v>
      </c>
      <c r="K1054">
        <v>0.01</v>
      </c>
      <c r="M1054" t="s">
        <v>28</v>
      </c>
      <c r="N1054" t="s">
        <v>40</v>
      </c>
      <c r="O1054" t="s">
        <v>41</v>
      </c>
      <c r="P1054" t="s">
        <v>30</v>
      </c>
      <c r="Q1054" t="s">
        <v>31</v>
      </c>
      <c r="R1054">
        <v>82652</v>
      </c>
      <c r="S1054" t="s">
        <v>46</v>
      </c>
      <c r="T1054">
        <v>82658</v>
      </c>
      <c r="U1054" t="s">
        <v>33</v>
      </c>
      <c r="V1054" t="s">
        <v>33</v>
      </c>
      <c r="W1054" t="s">
        <v>37</v>
      </c>
      <c r="X1054" t="s">
        <v>38</v>
      </c>
      <c r="Y1054" s="9">
        <f t="shared" si="49"/>
        <v>0.01</v>
      </c>
      <c r="Z1054" t="str">
        <f t="shared" si="50"/>
        <v>สแกนต่าง Cost</v>
      </c>
    </row>
    <row r="1055" spans="1:26" x14ac:dyDescent="0.45">
      <c r="B1055" t="s">
        <v>26</v>
      </c>
      <c r="C1055">
        <v>20031153</v>
      </c>
      <c r="D1055" t="s">
        <v>142</v>
      </c>
      <c r="E1055" s="10">
        <v>46132.742361111108</v>
      </c>
      <c r="F1055" s="10">
        <v>46132.830555555556</v>
      </c>
      <c r="G1055">
        <v>2.1166666666666667</v>
      </c>
      <c r="H1055" s="9">
        <f t="shared" si="48"/>
        <v>1.0999999999999999E-2</v>
      </c>
      <c r="K1055">
        <v>1.0999999999999999E-2</v>
      </c>
      <c r="M1055" t="s">
        <v>28</v>
      </c>
      <c r="N1055" t="s">
        <v>40</v>
      </c>
      <c r="O1055" t="s">
        <v>41</v>
      </c>
      <c r="P1055" t="s">
        <v>30</v>
      </c>
      <c r="Q1055" t="s">
        <v>31</v>
      </c>
      <c r="R1055">
        <v>82652</v>
      </c>
      <c r="S1055" t="s">
        <v>46</v>
      </c>
      <c r="T1055">
        <v>82658</v>
      </c>
      <c r="U1055" t="s">
        <v>33</v>
      </c>
      <c r="V1055" t="s">
        <v>33</v>
      </c>
      <c r="W1055" t="s">
        <v>37</v>
      </c>
      <c r="X1055" t="s">
        <v>38</v>
      </c>
      <c r="Y1055" s="9">
        <f t="shared" si="49"/>
        <v>1.0999999999999999E-2</v>
      </c>
      <c r="Z1055" t="str">
        <f t="shared" si="50"/>
        <v>สแกนต่าง Cost</v>
      </c>
    </row>
    <row r="1056" spans="1:26" x14ac:dyDescent="0.45">
      <c r="B1056" t="s">
        <v>26</v>
      </c>
      <c r="C1056">
        <v>20198811</v>
      </c>
      <c r="D1056" t="s">
        <v>144</v>
      </c>
      <c r="E1056" s="10">
        <v>46132.742361111108</v>
      </c>
      <c r="F1056" s="10">
        <v>46132.822916666664</v>
      </c>
      <c r="G1056">
        <v>1.9333333333333333</v>
      </c>
      <c r="H1056" s="9">
        <f t="shared" si="48"/>
        <v>0.01</v>
      </c>
      <c r="K1056">
        <v>0.01</v>
      </c>
      <c r="M1056" t="s">
        <v>28</v>
      </c>
      <c r="N1056" t="s">
        <v>40</v>
      </c>
      <c r="O1056" t="s">
        <v>41</v>
      </c>
      <c r="P1056" t="s">
        <v>30</v>
      </c>
      <c r="Q1056" t="s">
        <v>31</v>
      </c>
      <c r="R1056">
        <v>82652</v>
      </c>
      <c r="S1056" t="s">
        <v>46</v>
      </c>
      <c r="T1056">
        <v>82658</v>
      </c>
      <c r="U1056" t="s">
        <v>33</v>
      </c>
      <c r="V1056" t="s">
        <v>33</v>
      </c>
      <c r="W1056" t="s">
        <v>37</v>
      </c>
      <c r="X1056" t="s">
        <v>38</v>
      </c>
      <c r="Y1056" s="9">
        <f t="shared" si="49"/>
        <v>0.01</v>
      </c>
      <c r="Z1056" t="str">
        <f t="shared" si="50"/>
        <v>สแกนต่าง Cost</v>
      </c>
    </row>
    <row r="1057" spans="2:26" x14ac:dyDescent="0.45">
      <c r="B1057" t="s">
        <v>26</v>
      </c>
      <c r="C1057">
        <v>20343502</v>
      </c>
      <c r="D1057" t="s">
        <v>281</v>
      </c>
      <c r="E1057" s="10">
        <v>46132.741666666669</v>
      </c>
      <c r="F1057" s="10">
        <v>46132.826388888891</v>
      </c>
      <c r="G1057">
        <v>2.0333333333333332</v>
      </c>
      <c r="H1057" s="9">
        <f t="shared" si="48"/>
        <v>1.0999999999999999E-2</v>
      </c>
      <c r="K1057">
        <v>1.0999999999999999E-2</v>
      </c>
      <c r="M1057" t="s">
        <v>28</v>
      </c>
      <c r="N1057" t="s">
        <v>40</v>
      </c>
      <c r="O1057" t="s">
        <v>41</v>
      </c>
      <c r="P1057" t="s">
        <v>30</v>
      </c>
      <c r="Q1057" t="s">
        <v>31</v>
      </c>
      <c r="R1057">
        <v>82652</v>
      </c>
      <c r="S1057" t="s">
        <v>46</v>
      </c>
      <c r="T1057">
        <v>82658</v>
      </c>
      <c r="U1057" t="s">
        <v>33</v>
      </c>
      <c r="V1057" t="s">
        <v>33</v>
      </c>
      <c r="W1057" t="s">
        <v>37</v>
      </c>
      <c r="X1057" t="s">
        <v>38</v>
      </c>
      <c r="Y1057" s="9">
        <f t="shared" si="49"/>
        <v>1.0999999999999999E-2</v>
      </c>
      <c r="Z1057" t="str">
        <f t="shared" si="50"/>
        <v>สแกนต่าง Cost</v>
      </c>
    </row>
    <row r="1058" spans="2:26" x14ac:dyDescent="0.45">
      <c r="B1058" t="s">
        <v>26</v>
      </c>
      <c r="C1058">
        <v>20317992</v>
      </c>
      <c r="D1058" t="s">
        <v>210</v>
      </c>
      <c r="E1058" s="10">
        <v>46132.740972222222</v>
      </c>
      <c r="F1058" s="10">
        <v>46132.82916666667</v>
      </c>
      <c r="G1058">
        <v>2.1166666666666667</v>
      </c>
      <c r="H1058" s="9">
        <f t="shared" si="48"/>
        <v>1.0999999999999999E-2</v>
      </c>
      <c r="K1058">
        <v>1.0999999999999999E-2</v>
      </c>
      <c r="M1058" t="s">
        <v>28</v>
      </c>
      <c r="N1058" t="s">
        <v>40</v>
      </c>
      <c r="O1058" t="s">
        <v>41</v>
      </c>
      <c r="P1058" t="s">
        <v>30</v>
      </c>
      <c r="Q1058" t="s">
        <v>31</v>
      </c>
      <c r="R1058">
        <v>82652</v>
      </c>
      <c r="S1058" t="s">
        <v>46</v>
      </c>
      <c r="T1058">
        <v>82658</v>
      </c>
      <c r="U1058" t="s">
        <v>33</v>
      </c>
      <c r="V1058" t="s">
        <v>33</v>
      </c>
      <c r="W1058" t="s">
        <v>37</v>
      </c>
      <c r="X1058" t="s">
        <v>38</v>
      </c>
      <c r="Y1058" s="9">
        <f t="shared" si="49"/>
        <v>1.0999999999999999E-2</v>
      </c>
      <c r="Z1058" t="str">
        <f t="shared" si="50"/>
        <v>สแกนต่าง Cost</v>
      </c>
    </row>
    <row r="1059" spans="2:26" x14ac:dyDescent="0.45">
      <c r="B1059" t="s">
        <v>26</v>
      </c>
      <c r="C1059">
        <v>20021020</v>
      </c>
      <c r="D1059" t="s">
        <v>293</v>
      </c>
      <c r="E1059" s="10">
        <v>46132.729861111111</v>
      </c>
      <c r="F1059" s="10">
        <v>46132.82708333333</v>
      </c>
      <c r="G1059">
        <v>2.3333333333333335</v>
      </c>
      <c r="H1059" s="9">
        <f t="shared" si="48"/>
        <v>1.2E-2</v>
      </c>
      <c r="K1059">
        <v>1.2E-2</v>
      </c>
      <c r="M1059" t="s">
        <v>28</v>
      </c>
      <c r="N1059" t="s">
        <v>40</v>
      </c>
      <c r="O1059" t="s">
        <v>41</v>
      </c>
      <c r="P1059" t="s">
        <v>30</v>
      </c>
      <c r="Q1059" t="s">
        <v>31</v>
      </c>
      <c r="R1059">
        <v>82658</v>
      </c>
      <c r="S1059" t="s">
        <v>33</v>
      </c>
      <c r="T1059">
        <v>82655</v>
      </c>
      <c r="U1059" t="s">
        <v>59</v>
      </c>
      <c r="V1059" t="s">
        <v>59</v>
      </c>
      <c r="W1059" t="s">
        <v>51</v>
      </c>
      <c r="X1059" t="s">
        <v>52</v>
      </c>
      <c r="Y1059" s="9">
        <f t="shared" si="49"/>
        <v>1.2E-2</v>
      </c>
      <c r="Z1059" t="str">
        <f t="shared" si="50"/>
        <v>สแกนต่าง Cost</v>
      </c>
    </row>
    <row r="1060" spans="2:26" x14ac:dyDescent="0.45">
      <c r="B1060" t="s">
        <v>26</v>
      </c>
      <c r="C1060">
        <v>20023280</v>
      </c>
      <c r="D1060" t="s">
        <v>294</v>
      </c>
      <c r="E1060" s="10">
        <v>46132.729861111111</v>
      </c>
      <c r="F1060" s="10">
        <v>46132.82708333333</v>
      </c>
      <c r="G1060">
        <v>2.3333333333333335</v>
      </c>
      <c r="H1060" s="9">
        <f t="shared" si="48"/>
        <v>1.2E-2</v>
      </c>
      <c r="K1060">
        <v>1.2E-2</v>
      </c>
      <c r="M1060" t="s">
        <v>28</v>
      </c>
      <c r="N1060" t="s">
        <v>40</v>
      </c>
      <c r="O1060" t="s">
        <v>41</v>
      </c>
      <c r="P1060" t="s">
        <v>30</v>
      </c>
      <c r="Q1060" t="s">
        <v>31</v>
      </c>
      <c r="R1060">
        <v>82658</v>
      </c>
      <c r="S1060" t="s">
        <v>33</v>
      </c>
      <c r="T1060">
        <v>82655</v>
      </c>
      <c r="U1060" t="s">
        <v>59</v>
      </c>
      <c r="V1060" t="s">
        <v>59</v>
      </c>
      <c r="W1060" t="s">
        <v>51</v>
      </c>
      <c r="X1060" t="s">
        <v>52</v>
      </c>
      <c r="Y1060" s="9">
        <f t="shared" si="49"/>
        <v>1.2E-2</v>
      </c>
      <c r="Z1060" t="str">
        <f t="shared" si="50"/>
        <v>สแกนต่าง Cost</v>
      </c>
    </row>
    <row r="1061" spans="2:26" x14ac:dyDescent="0.45">
      <c r="B1061" t="s">
        <v>53</v>
      </c>
      <c r="C1061">
        <v>20027956</v>
      </c>
      <c r="D1061" t="s">
        <v>214</v>
      </c>
      <c r="E1061" s="10">
        <v>46132.729166666664</v>
      </c>
      <c r="F1061" s="10">
        <v>46132.833333333336</v>
      </c>
      <c r="G1061">
        <v>2.5</v>
      </c>
      <c r="H1061" s="9">
        <f t="shared" si="48"/>
        <v>1.2999999999999999E-2</v>
      </c>
      <c r="K1061">
        <v>1.2999999999999999E-2</v>
      </c>
      <c r="M1061" t="s">
        <v>28</v>
      </c>
      <c r="N1061" t="s">
        <v>40</v>
      </c>
      <c r="O1061" t="s">
        <v>41</v>
      </c>
      <c r="P1061" t="s">
        <v>30</v>
      </c>
      <c r="Q1061" t="s">
        <v>31</v>
      </c>
      <c r="R1061">
        <v>82640</v>
      </c>
      <c r="S1061" t="s">
        <v>42</v>
      </c>
      <c r="T1061">
        <v>82611</v>
      </c>
      <c r="U1061" t="s">
        <v>43</v>
      </c>
      <c r="V1061" t="s">
        <v>66</v>
      </c>
      <c r="W1061" t="s">
        <v>44</v>
      </c>
      <c r="X1061" t="s">
        <v>44</v>
      </c>
      <c r="Y1061" s="9">
        <f t="shared" si="49"/>
        <v>1.2999999999999999E-2</v>
      </c>
      <c r="Z1061" t="str">
        <f t="shared" si="50"/>
        <v>สแกนต่าง Cost</v>
      </c>
    </row>
    <row r="1062" spans="2:26" x14ac:dyDescent="0.45">
      <c r="B1062" t="s">
        <v>53</v>
      </c>
      <c r="C1062">
        <v>20167851</v>
      </c>
      <c r="D1062" t="s">
        <v>63</v>
      </c>
      <c r="E1062" s="10">
        <v>46132.729166666664</v>
      </c>
      <c r="F1062" s="10">
        <v>46132.833333333336</v>
      </c>
      <c r="G1062">
        <v>2.5</v>
      </c>
      <c r="H1062" s="9">
        <f t="shared" si="48"/>
        <v>1.2999999999999999E-2</v>
      </c>
      <c r="K1062">
        <v>1.2999999999999999E-2</v>
      </c>
      <c r="M1062" t="s">
        <v>28</v>
      </c>
      <c r="N1062" t="s">
        <v>29</v>
      </c>
      <c r="P1062" t="s">
        <v>30</v>
      </c>
      <c r="Q1062" t="s">
        <v>31</v>
      </c>
      <c r="R1062">
        <v>82640</v>
      </c>
      <c r="S1062" t="s">
        <v>42</v>
      </c>
      <c r="T1062">
        <v>82611</v>
      </c>
      <c r="U1062" t="s">
        <v>43</v>
      </c>
      <c r="V1062" t="s">
        <v>66</v>
      </c>
      <c r="W1062" t="s">
        <v>44</v>
      </c>
      <c r="X1062" t="s">
        <v>44</v>
      </c>
      <c r="Y1062" s="9">
        <f t="shared" si="49"/>
        <v>1.2999999999999999E-2</v>
      </c>
      <c r="Z1062" t="str">
        <f t="shared" si="50"/>
        <v>สแกนต่าง Cost</v>
      </c>
    </row>
    <row r="1063" spans="2:26" x14ac:dyDescent="0.45">
      <c r="B1063" t="s">
        <v>53</v>
      </c>
      <c r="C1063">
        <v>20244923</v>
      </c>
      <c r="D1063" t="s">
        <v>246</v>
      </c>
      <c r="E1063" s="10">
        <v>46132.729166666664</v>
      </c>
      <c r="F1063" s="10">
        <v>46132.833333333336</v>
      </c>
      <c r="G1063">
        <v>2.5</v>
      </c>
      <c r="H1063" s="9">
        <f t="shared" si="48"/>
        <v>1.2999999999999999E-2</v>
      </c>
      <c r="K1063">
        <v>1.2999999999999999E-2</v>
      </c>
      <c r="M1063" t="s">
        <v>28</v>
      </c>
      <c r="N1063" t="s">
        <v>40</v>
      </c>
      <c r="O1063" t="s">
        <v>227</v>
      </c>
      <c r="P1063" t="s">
        <v>30</v>
      </c>
      <c r="Q1063" t="s">
        <v>31</v>
      </c>
      <c r="R1063">
        <v>82640</v>
      </c>
      <c r="S1063" t="s">
        <v>42</v>
      </c>
      <c r="T1063">
        <v>82611</v>
      </c>
      <c r="U1063" t="s">
        <v>43</v>
      </c>
      <c r="V1063" t="s">
        <v>66</v>
      </c>
      <c r="W1063" t="s">
        <v>44</v>
      </c>
      <c r="X1063" t="s">
        <v>44</v>
      </c>
      <c r="Y1063" s="9">
        <f t="shared" si="49"/>
        <v>1.2999999999999999E-2</v>
      </c>
      <c r="Z1063" t="str">
        <f t="shared" si="50"/>
        <v>สแกนต่าง Cost</v>
      </c>
    </row>
    <row r="1064" spans="2:26" x14ac:dyDescent="0.45">
      <c r="B1064" t="s">
        <v>26</v>
      </c>
      <c r="C1064">
        <v>20344534</v>
      </c>
      <c r="D1064" t="s">
        <v>278</v>
      </c>
      <c r="E1064" s="10">
        <v>46132.728472222225</v>
      </c>
      <c r="F1064" s="10">
        <v>46132.82708333333</v>
      </c>
      <c r="G1064">
        <v>2.3666666666666667</v>
      </c>
      <c r="H1064" s="9">
        <f t="shared" si="48"/>
        <v>1.2999999999999999E-2</v>
      </c>
      <c r="K1064">
        <v>1.2999999999999999E-2</v>
      </c>
      <c r="M1064" t="s">
        <v>28</v>
      </c>
      <c r="N1064" t="s">
        <v>40</v>
      </c>
      <c r="O1064" t="s">
        <v>41</v>
      </c>
      <c r="P1064" t="s">
        <v>30</v>
      </c>
      <c r="Q1064" t="s">
        <v>31</v>
      </c>
      <c r="R1064">
        <v>82680</v>
      </c>
      <c r="S1064" t="s">
        <v>50</v>
      </c>
      <c r="T1064">
        <v>82655</v>
      </c>
      <c r="U1064" t="s">
        <v>59</v>
      </c>
      <c r="V1064" t="s">
        <v>59</v>
      </c>
      <c r="W1064" t="s">
        <v>51</v>
      </c>
      <c r="X1064" t="s">
        <v>52</v>
      </c>
      <c r="Y1064" s="9">
        <f t="shared" si="49"/>
        <v>1.2999999999999999E-2</v>
      </c>
      <c r="Z1064" t="str">
        <f t="shared" si="50"/>
        <v>สแกนต่าง Cost</v>
      </c>
    </row>
    <row r="1065" spans="2:26" x14ac:dyDescent="0.45">
      <c r="B1065" t="s">
        <v>26</v>
      </c>
      <c r="C1065">
        <v>20198826</v>
      </c>
      <c r="D1065" t="s">
        <v>49</v>
      </c>
      <c r="E1065" s="10">
        <v>46132.727777777778</v>
      </c>
      <c r="F1065" s="10">
        <v>46132.82708333333</v>
      </c>
      <c r="G1065">
        <v>2.3833333333333333</v>
      </c>
      <c r="H1065" s="9">
        <f t="shared" si="48"/>
        <v>1.2999999999999999E-2</v>
      </c>
      <c r="K1065">
        <v>1.2999999999999999E-2</v>
      </c>
      <c r="M1065" t="s">
        <v>28</v>
      </c>
      <c r="N1065" t="s">
        <v>40</v>
      </c>
      <c r="O1065" t="s">
        <v>41</v>
      </c>
      <c r="P1065" t="s">
        <v>30</v>
      </c>
      <c r="Q1065" t="s">
        <v>31</v>
      </c>
      <c r="R1065">
        <v>82680</v>
      </c>
      <c r="S1065" t="s">
        <v>50</v>
      </c>
      <c r="T1065">
        <v>82655</v>
      </c>
      <c r="U1065" t="s">
        <v>59</v>
      </c>
      <c r="V1065" t="s">
        <v>59</v>
      </c>
      <c r="W1065" t="s">
        <v>51</v>
      </c>
      <c r="X1065" t="s">
        <v>52</v>
      </c>
      <c r="Y1065" s="9">
        <f t="shared" si="49"/>
        <v>1.2999999999999999E-2</v>
      </c>
      <c r="Z1065" t="str">
        <f t="shared" si="50"/>
        <v>สแกนต่าง Cost</v>
      </c>
    </row>
    <row r="1066" spans="2:26" x14ac:dyDescent="0.45">
      <c r="B1066" t="s">
        <v>26</v>
      </c>
      <c r="C1066">
        <v>20244923</v>
      </c>
      <c r="D1066" t="s">
        <v>246</v>
      </c>
      <c r="E1066" s="10">
        <v>46132.727083333331</v>
      </c>
      <c r="F1066" s="10">
        <v>46132.8125</v>
      </c>
      <c r="G1066">
        <v>2.0499999999999998</v>
      </c>
      <c r="H1066" s="9">
        <f t="shared" si="48"/>
        <v>1.0999999999999999E-2</v>
      </c>
      <c r="K1066">
        <v>1.0999999999999999E-2</v>
      </c>
      <c r="M1066" t="s">
        <v>28</v>
      </c>
      <c r="N1066" t="s">
        <v>40</v>
      </c>
      <c r="O1066" t="s">
        <v>227</v>
      </c>
      <c r="P1066" t="s">
        <v>30</v>
      </c>
      <c r="Q1066" t="s">
        <v>31</v>
      </c>
      <c r="R1066">
        <v>82640</v>
      </c>
      <c r="S1066" t="s">
        <v>42</v>
      </c>
      <c r="T1066">
        <v>82611</v>
      </c>
      <c r="U1066" t="s">
        <v>43</v>
      </c>
      <c r="V1066" t="s">
        <v>43</v>
      </c>
      <c r="W1066" t="s">
        <v>44</v>
      </c>
      <c r="X1066" t="s">
        <v>44</v>
      </c>
      <c r="Y1066" s="9">
        <f t="shared" si="49"/>
        <v>1.0999999999999999E-2</v>
      </c>
      <c r="Z1066" t="str">
        <f t="shared" si="50"/>
        <v>สแกนต่าง Cost</v>
      </c>
    </row>
    <row r="1067" spans="2:26" x14ac:dyDescent="0.45">
      <c r="B1067" t="s">
        <v>53</v>
      </c>
      <c r="C1067">
        <v>20023373</v>
      </c>
      <c r="D1067" t="s">
        <v>97</v>
      </c>
      <c r="E1067" s="10">
        <v>46132.725694444445</v>
      </c>
      <c r="F1067" s="10">
        <v>46132.82708333333</v>
      </c>
      <c r="G1067">
        <v>2.4333333333333331</v>
      </c>
      <c r="H1067" s="9">
        <f t="shared" si="48"/>
        <v>1.2999999999999999E-2</v>
      </c>
      <c r="K1067">
        <v>1.2999999999999999E-2</v>
      </c>
      <c r="M1067" t="s">
        <v>28</v>
      </c>
      <c r="N1067" t="s">
        <v>40</v>
      </c>
      <c r="O1067" t="s">
        <v>41</v>
      </c>
      <c r="P1067" t="s">
        <v>30</v>
      </c>
      <c r="Q1067" t="s">
        <v>31</v>
      </c>
      <c r="R1067">
        <v>82630</v>
      </c>
      <c r="S1067" t="s">
        <v>32</v>
      </c>
      <c r="T1067">
        <v>82611</v>
      </c>
      <c r="U1067" t="s">
        <v>43</v>
      </c>
      <c r="V1067" t="s">
        <v>43</v>
      </c>
      <c r="W1067" t="s">
        <v>148</v>
      </c>
      <c r="X1067" t="s">
        <v>171</v>
      </c>
      <c r="Y1067" s="9">
        <f t="shared" si="49"/>
        <v>1.2999999999999999E-2</v>
      </c>
      <c r="Z1067" t="str">
        <f t="shared" si="50"/>
        <v>สแกนต่าง Cost</v>
      </c>
    </row>
    <row r="1068" spans="2:26" x14ac:dyDescent="0.45">
      <c r="B1068" t="s">
        <v>26</v>
      </c>
      <c r="C1068">
        <v>20047023</v>
      </c>
      <c r="D1068" t="s">
        <v>271</v>
      </c>
      <c r="E1068" s="10">
        <v>46132.725694444445</v>
      </c>
      <c r="F1068" s="10">
        <v>46132.82708333333</v>
      </c>
      <c r="G1068">
        <v>2.4333333333333331</v>
      </c>
      <c r="H1068" s="9">
        <f t="shared" si="48"/>
        <v>1.2999999999999999E-2</v>
      </c>
      <c r="I1068">
        <v>1.2999999999999999E-2</v>
      </c>
      <c r="M1068" t="s">
        <v>28</v>
      </c>
      <c r="N1068" t="s">
        <v>40</v>
      </c>
      <c r="O1068" t="s">
        <v>41</v>
      </c>
      <c r="P1068" t="s">
        <v>30</v>
      </c>
      <c r="Q1068" t="s">
        <v>31</v>
      </c>
      <c r="R1068">
        <v>82607</v>
      </c>
      <c r="S1068" t="s">
        <v>168</v>
      </c>
      <c r="T1068">
        <v>82611</v>
      </c>
      <c r="U1068" t="s">
        <v>43</v>
      </c>
      <c r="V1068" t="s">
        <v>43</v>
      </c>
      <c r="W1068" t="s">
        <v>148</v>
      </c>
      <c r="X1068" t="s">
        <v>171</v>
      </c>
      <c r="Y1068" s="9">
        <f t="shared" si="49"/>
        <v>0</v>
      </c>
      <c r="Z1068" t="str">
        <f t="shared" si="50"/>
        <v>สแกนต่าง Cost</v>
      </c>
    </row>
    <row r="1069" spans="2:26" x14ac:dyDescent="0.45">
      <c r="B1069" t="s">
        <v>53</v>
      </c>
      <c r="C1069">
        <v>20338047</v>
      </c>
      <c r="D1069" t="s">
        <v>273</v>
      </c>
      <c r="E1069" s="10">
        <v>46132.725694444445</v>
      </c>
      <c r="F1069" s="10">
        <v>46132.82708333333</v>
      </c>
      <c r="G1069">
        <v>2.4333333333333331</v>
      </c>
      <c r="H1069" s="9">
        <f t="shared" si="48"/>
        <v>1.2999999999999999E-2</v>
      </c>
      <c r="K1069">
        <v>1.2999999999999999E-2</v>
      </c>
      <c r="M1069" t="s">
        <v>28</v>
      </c>
      <c r="N1069" t="s">
        <v>40</v>
      </c>
      <c r="O1069" t="s">
        <v>41</v>
      </c>
      <c r="P1069" t="s">
        <v>30</v>
      </c>
      <c r="Q1069" t="s">
        <v>31</v>
      </c>
      <c r="R1069">
        <v>82630</v>
      </c>
      <c r="S1069" t="s">
        <v>32</v>
      </c>
      <c r="T1069">
        <v>82611</v>
      </c>
      <c r="U1069" t="s">
        <v>43</v>
      </c>
      <c r="V1069" t="s">
        <v>43</v>
      </c>
      <c r="W1069" t="s">
        <v>148</v>
      </c>
      <c r="X1069" t="s">
        <v>171</v>
      </c>
      <c r="Y1069" s="9">
        <f t="shared" si="49"/>
        <v>1.2999999999999999E-2</v>
      </c>
      <c r="Z1069" t="str">
        <f t="shared" si="50"/>
        <v>สแกนต่าง Cost</v>
      </c>
    </row>
    <row r="1070" spans="2:26" x14ac:dyDescent="0.45">
      <c r="B1070" t="s">
        <v>53</v>
      </c>
      <c r="C1070">
        <v>20363688</v>
      </c>
      <c r="D1070" t="s">
        <v>274</v>
      </c>
      <c r="E1070" s="10">
        <v>46132.725694444445</v>
      </c>
      <c r="F1070" s="10">
        <v>46132.82708333333</v>
      </c>
      <c r="G1070">
        <v>2.4333333333333331</v>
      </c>
      <c r="H1070" s="9">
        <f t="shared" si="48"/>
        <v>1.2999999999999999E-2</v>
      </c>
      <c r="K1070">
        <v>1.2999999999999999E-2</v>
      </c>
      <c r="M1070" t="s">
        <v>28</v>
      </c>
      <c r="N1070" t="s">
        <v>40</v>
      </c>
      <c r="O1070" t="s">
        <v>41</v>
      </c>
      <c r="P1070" t="s">
        <v>30</v>
      </c>
      <c r="Q1070" t="s">
        <v>31</v>
      </c>
      <c r="R1070">
        <v>82630</v>
      </c>
      <c r="S1070" t="s">
        <v>32</v>
      </c>
      <c r="T1070">
        <v>82611</v>
      </c>
      <c r="U1070" t="s">
        <v>43</v>
      </c>
      <c r="V1070" t="s">
        <v>43</v>
      </c>
      <c r="W1070" t="s">
        <v>148</v>
      </c>
      <c r="X1070" t="s">
        <v>171</v>
      </c>
      <c r="Y1070" s="9">
        <f t="shared" si="49"/>
        <v>1.2999999999999999E-2</v>
      </c>
      <c r="Z1070" t="str">
        <f t="shared" si="50"/>
        <v>สแกนต่าง Cost</v>
      </c>
    </row>
    <row r="1071" spans="2:26" x14ac:dyDescent="0.45">
      <c r="B1071" t="s">
        <v>53</v>
      </c>
      <c r="C1071">
        <v>20041130</v>
      </c>
      <c r="D1071" t="s">
        <v>100</v>
      </c>
      <c r="E1071" s="10">
        <v>46132.724999999999</v>
      </c>
      <c r="F1071" s="10">
        <v>46132.82708333333</v>
      </c>
      <c r="G1071">
        <v>2.4500000000000002</v>
      </c>
      <c r="H1071" s="9">
        <f t="shared" si="48"/>
        <v>1.2999999999999999E-2</v>
      </c>
      <c r="K1071">
        <v>1.2999999999999999E-2</v>
      </c>
      <c r="M1071" t="s">
        <v>28</v>
      </c>
      <c r="N1071" t="s">
        <v>40</v>
      </c>
      <c r="O1071" t="s">
        <v>41</v>
      </c>
      <c r="P1071" t="s">
        <v>30</v>
      </c>
      <c r="Q1071" t="s">
        <v>31</v>
      </c>
      <c r="R1071">
        <v>82630</v>
      </c>
      <c r="S1071" t="s">
        <v>32</v>
      </c>
      <c r="T1071">
        <v>82611</v>
      </c>
      <c r="U1071" t="s">
        <v>43</v>
      </c>
      <c r="V1071" t="s">
        <v>43</v>
      </c>
      <c r="W1071" t="s">
        <v>148</v>
      </c>
      <c r="X1071" t="s">
        <v>171</v>
      </c>
      <c r="Y1071" s="9">
        <f t="shared" si="49"/>
        <v>1.2999999999999999E-2</v>
      </c>
      <c r="Z1071" t="str">
        <f t="shared" si="50"/>
        <v>สแกนต่าง Cost</v>
      </c>
    </row>
    <row r="1072" spans="2:26" x14ac:dyDescent="0.45">
      <c r="B1072" t="s">
        <v>53</v>
      </c>
      <c r="C1072">
        <v>20019647</v>
      </c>
      <c r="D1072" t="s">
        <v>152</v>
      </c>
      <c r="E1072" s="10">
        <v>46132.723611111112</v>
      </c>
      <c r="F1072" s="10">
        <v>46132.826388888891</v>
      </c>
      <c r="G1072">
        <v>2.4666666666666668</v>
      </c>
      <c r="H1072" s="9">
        <f t="shared" si="48"/>
        <v>1.2999999999999999E-2</v>
      </c>
      <c r="K1072">
        <v>1.2999999999999999E-2</v>
      </c>
      <c r="M1072" t="s">
        <v>28</v>
      </c>
      <c r="N1072" t="s">
        <v>40</v>
      </c>
      <c r="O1072" t="s">
        <v>41</v>
      </c>
      <c r="P1072" t="s">
        <v>30</v>
      </c>
      <c r="Q1072" t="s">
        <v>31</v>
      </c>
      <c r="R1072">
        <v>82630</v>
      </c>
      <c r="S1072" t="s">
        <v>32</v>
      </c>
      <c r="T1072">
        <v>82611</v>
      </c>
      <c r="U1072" t="s">
        <v>43</v>
      </c>
      <c r="V1072" t="s">
        <v>43</v>
      </c>
      <c r="W1072" t="s">
        <v>148</v>
      </c>
      <c r="X1072" t="s">
        <v>171</v>
      </c>
      <c r="Y1072" s="9">
        <f t="shared" si="49"/>
        <v>1.2999999999999999E-2</v>
      </c>
      <c r="Z1072" t="str">
        <f t="shared" si="50"/>
        <v>สแกนต่าง Cost</v>
      </c>
    </row>
    <row r="1073" spans="2:26" x14ac:dyDescent="0.45">
      <c r="B1073" t="s">
        <v>26</v>
      </c>
      <c r="C1073">
        <v>20027956</v>
      </c>
      <c r="D1073" t="s">
        <v>214</v>
      </c>
      <c r="E1073" s="10">
        <v>46132.723611111112</v>
      </c>
      <c r="F1073" s="10">
        <v>46132.827777777777</v>
      </c>
      <c r="G1073">
        <v>2.5</v>
      </c>
      <c r="H1073" s="9">
        <f t="shared" si="48"/>
        <v>1.2999999999999999E-2</v>
      </c>
      <c r="K1073">
        <v>1.2999999999999999E-2</v>
      </c>
      <c r="M1073" t="s">
        <v>28</v>
      </c>
      <c r="N1073" t="s">
        <v>40</v>
      </c>
      <c r="O1073" t="s">
        <v>41</v>
      </c>
      <c r="P1073" t="s">
        <v>30</v>
      </c>
      <c r="Q1073" t="s">
        <v>31</v>
      </c>
      <c r="R1073">
        <v>82640</v>
      </c>
      <c r="S1073" t="s">
        <v>42</v>
      </c>
      <c r="T1073">
        <v>82611</v>
      </c>
      <c r="U1073" t="s">
        <v>43</v>
      </c>
      <c r="V1073" t="s">
        <v>43</v>
      </c>
      <c r="W1073" t="s">
        <v>44</v>
      </c>
      <c r="X1073" t="s">
        <v>44</v>
      </c>
      <c r="Y1073" s="9">
        <f t="shared" si="49"/>
        <v>1.2999999999999999E-2</v>
      </c>
      <c r="Z1073" t="str">
        <f t="shared" si="50"/>
        <v>สแกนต่าง Cost</v>
      </c>
    </row>
    <row r="1074" spans="2:26" x14ac:dyDescent="0.45">
      <c r="B1074" t="s">
        <v>53</v>
      </c>
      <c r="C1074">
        <v>20029099</v>
      </c>
      <c r="D1074" t="s">
        <v>163</v>
      </c>
      <c r="E1074" s="10">
        <v>46132.723611111112</v>
      </c>
      <c r="F1074" s="10">
        <v>46132.826388888891</v>
      </c>
      <c r="G1074">
        <v>2.4666666666666668</v>
      </c>
      <c r="H1074" s="9">
        <f t="shared" si="48"/>
        <v>1.2999999999999999E-2</v>
      </c>
      <c r="K1074">
        <v>1.2999999999999999E-2</v>
      </c>
      <c r="M1074" t="s">
        <v>28</v>
      </c>
      <c r="N1074" t="s">
        <v>40</v>
      </c>
      <c r="O1074" t="s">
        <v>41</v>
      </c>
      <c r="P1074" t="s">
        <v>30</v>
      </c>
      <c r="Q1074" t="s">
        <v>31</v>
      </c>
      <c r="R1074">
        <v>82630</v>
      </c>
      <c r="S1074" t="s">
        <v>32</v>
      </c>
      <c r="T1074">
        <v>82611</v>
      </c>
      <c r="U1074" t="s">
        <v>43</v>
      </c>
      <c r="V1074" t="s">
        <v>43</v>
      </c>
      <c r="W1074" t="s">
        <v>148</v>
      </c>
      <c r="X1074" t="s">
        <v>171</v>
      </c>
      <c r="Y1074" s="9">
        <f t="shared" si="49"/>
        <v>1.2999999999999999E-2</v>
      </c>
      <c r="Z1074" t="str">
        <f t="shared" si="50"/>
        <v>สแกนต่าง Cost</v>
      </c>
    </row>
    <row r="1075" spans="2:26" x14ac:dyDescent="0.45">
      <c r="B1075" t="s">
        <v>53</v>
      </c>
      <c r="C1075">
        <v>20034535</v>
      </c>
      <c r="D1075" t="s">
        <v>99</v>
      </c>
      <c r="E1075" s="10">
        <v>46132.723611111112</v>
      </c>
      <c r="F1075" s="10">
        <v>46132.826388888891</v>
      </c>
      <c r="G1075">
        <v>2.4666666666666668</v>
      </c>
      <c r="H1075" s="9">
        <f t="shared" si="48"/>
        <v>1.2999999999999999E-2</v>
      </c>
      <c r="K1075">
        <v>1.2999999999999999E-2</v>
      </c>
      <c r="M1075" t="s">
        <v>28</v>
      </c>
      <c r="N1075" t="s">
        <v>40</v>
      </c>
      <c r="O1075" t="s">
        <v>41</v>
      </c>
      <c r="P1075" t="s">
        <v>30</v>
      </c>
      <c r="Q1075" t="s">
        <v>31</v>
      </c>
      <c r="R1075">
        <v>82630</v>
      </c>
      <c r="S1075" t="s">
        <v>32</v>
      </c>
      <c r="T1075">
        <v>82611</v>
      </c>
      <c r="U1075" t="s">
        <v>43</v>
      </c>
      <c r="V1075" t="s">
        <v>43</v>
      </c>
      <c r="W1075" t="s">
        <v>148</v>
      </c>
      <c r="X1075" t="s">
        <v>171</v>
      </c>
      <c r="Y1075" s="9">
        <f t="shared" si="49"/>
        <v>1.2999999999999999E-2</v>
      </c>
      <c r="Z1075" t="str">
        <f t="shared" si="50"/>
        <v>สแกนต่าง Cost</v>
      </c>
    </row>
    <row r="1076" spans="2:26" x14ac:dyDescent="0.45">
      <c r="B1076" t="s">
        <v>53</v>
      </c>
      <c r="C1076">
        <v>20037938</v>
      </c>
      <c r="D1076" t="s">
        <v>172</v>
      </c>
      <c r="E1076" s="10">
        <v>46132.723611111112</v>
      </c>
      <c r="F1076" s="10">
        <v>46132.82708333333</v>
      </c>
      <c r="G1076">
        <v>2.4833333333333334</v>
      </c>
      <c r="H1076" s="9">
        <f t="shared" si="48"/>
        <v>1.2999999999999999E-2</v>
      </c>
      <c r="K1076">
        <v>1.2999999999999999E-2</v>
      </c>
      <c r="M1076" t="s">
        <v>28</v>
      </c>
      <c r="N1076" t="s">
        <v>40</v>
      </c>
      <c r="O1076" t="s">
        <v>41</v>
      </c>
      <c r="P1076" t="s">
        <v>30</v>
      </c>
      <c r="Q1076" t="s">
        <v>31</v>
      </c>
      <c r="R1076">
        <v>82630</v>
      </c>
      <c r="S1076" t="s">
        <v>32</v>
      </c>
      <c r="T1076">
        <v>82611</v>
      </c>
      <c r="U1076" t="s">
        <v>43</v>
      </c>
      <c r="V1076" t="s">
        <v>43</v>
      </c>
      <c r="W1076" t="s">
        <v>148</v>
      </c>
      <c r="X1076" t="s">
        <v>171</v>
      </c>
      <c r="Y1076" s="9">
        <f t="shared" si="49"/>
        <v>1.2999999999999999E-2</v>
      </c>
      <c r="Z1076" t="str">
        <f t="shared" si="50"/>
        <v>สแกนต่าง Cost</v>
      </c>
    </row>
    <row r="1077" spans="2:26" x14ac:dyDescent="0.45">
      <c r="B1077" t="s">
        <v>53</v>
      </c>
      <c r="C1077">
        <v>20074652</v>
      </c>
      <c r="D1077" t="s">
        <v>162</v>
      </c>
      <c r="E1077" s="10">
        <v>46132.723611111112</v>
      </c>
      <c r="F1077" s="10">
        <v>46132.826388888891</v>
      </c>
      <c r="G1077">
        <v>2.4666666666666668</v>
      </c>
      <c r="H1077" s="9">
        <f t="shared" si="48"/>
        <v>1.2999999999999999E-2</v>
      </c>
      <c r="K1077">
        <v>1.2999999999999999E-2</v>
      </c>
      <c r="M1077" t="s">
        <v>28</v>
      </c>
      <c r="N1077" t="s">
        <v>40</v>
      </c>
      <c r="O1077" t="s">
        <v>41</v>
      </c>
      <c r="P1077" t="s">
        <v>30</v>
      </c>
      <c r="Q1077" t="s">
        <v>31</v>
      </c>
      <c r="R1077">
        <v>82630</v>
      </c>
      <c r="S1077" t="s">
        <v>32</v>
      </c>
      <c r="T1077">
        <v>82611</v>
      </c>
      <c r="U1077" t="s">
        <v>43</v>
      </c>
      <c r="V1077" t="s">
        <v>43</v>
      </c>
      <c r="W1077" t="s">
        <v>148</v>
      </c>
      <c r="X1077" t="s">
        <v>171</v>
      </c>
      <c r="Y1077" s="9">
        <f t="shared" si="49"/>
        <v>1.2999999999999999E-2</v>
      </c>
      <c r="Z1077" t="str">
        <f t="shared" si="50"/>
        <v>สแกนต่าง Cost</v>
      </c>
    </row>
    <row r="1078" spans="2:26" x14ac:dyDescent="0.45">
      <c r="B1078" t="s">
        <v>26</v>
      </c>
      <c r="C1078">
        <v>20167851</v>
      </c>
      <c r="D1078" t="s">
        <v>63</v>
      </c>
      <c r="E1078" s="10">
        <v>46132.723611111112</v>
      </c>
      <c r="F1078" s="10">
        <v>46132.827777777777</v>
      </c>
      <c r="G1078">
        <v>2.5</v>
      </c>
      <c r="H1078" s="9">
        <f t="shared" si="48"/>
        <v>1.2999999999999999E-2</v>
      </c>
      <c r="K1078">
        <v>1.2999999999999999E-2</v>
      </c>
      <c r="M1078" t="s">
        <v>28</v>
      </c>
      <c r="N1078" t="s">
        <v>29</v>
      </c>
      <c r="P1078" t="s">
        <v>30</v>
      </c>
      <c r="Q1078" t="s">
        <v>31</v>
      </c>
      <c r="R1078">
        <v>82640</v>
      </c>
      <c r="S1078" t="s">
        <v>42</v>
      </c>
      <c r="T1078">
        <v>82611</v>
      </c>
      <c r="U1078" t="s">
        <v>43</v>
      </c>
      <c r="V1078" t="s">
        <v>43</v>
      </c>
      <c r="W1078" t="s">
        <v>44</v>
      </c>
      <c r="X1078" t="s">
        <v>44</v>
      </c>
      <c r="Y1078" s="9">
        <f t="shared" si="49"/>
        <v>1.2999999999999999E-2</v>
      </c>
      <c r="Z1078" t="str">
        <f t="shared" si="50"/>
        <v>สแกนต่าง Cost</v>
      </c>
    </row>
    <row r="1079" spans="2:26" x14ac:dyDescent="0.45">
      <c r="B1079" t="s">
        <v>53</v>
      </c>
      <c r="C1079">
        <v>20240959</v>
      </c>
      <c r="D1079" t="s">
        <v>105</v>
      </c>
      <c r="E1079" s="10">
        <v>46132.723611111112</v>
      </c>
      <c r="F1079" s="10">
        <v>46132.826388888891</v>
      </c>
      <c r="G1079">
        <v>2.4666666666666668</v>
      </c>
      <c r="H1079" s="9">
        <f t="shared" si="48"/>
        <v>1.2999999999999999E-2</v>
      </c>
      <c r="K1079">
        <v>1.2999999999999999E-2</v>
      </c>
      <c r="M1079" t="s">
        <v>28</v>
      </c>
      <c r="N1079" t="s">
        <v>40</v>
      </c>
      <c r="O1079" t="s">
        <v>41</v>
      </c>
      <c r="P1079" t="s">
        <v>30</v>
      </c>
      <c r="Q1079" t="s">
        <v>31</v>
      </c>
      <c r="R1079">
        <v>82630</v>
      </c>
      <c r="S1079" t="s">
        <v>32</v>
      </c>
      <c r="T1079">
        <v>82611</v>
      </c>
      <c r="U1079" t="s">
        <v>43</v>
      </c>
      <c r="V1079" t="s">
        <v>43</v>
      </c>
      <c r="W1079" t="s">
        <v>148</v>
      </c>
      <c r="X1079" t="s">
        <v>171</v>
      </c>
      <c r="Y1079" s="9">
        <f t="shared" si="49"/>
        <v>1.2999999999999999E-2</v>
      </c>
      <c r="Z1079" t="str">
        <f t="shared" si="50"/>
        <v>สแกนต่าง Cost</v>
      </c>
    </row>
    <row r="1080" spans="2:26" x14ac:dyDescent="0.45">
      <c r="B1080" t="s">
        <v>53</v>
      </c>
      <c r="C1080">
        <v>20352276</v>
      </c>
      <c r="D1080" t="s">
        <v>187</v>
      </c>
      <c r="E1080" s="10">
        <v>46132.723611111112</v>
      </c>
      <c r="F1080" s="10">
        <v>46132.82708333333</v>
      </c>
      <c r="G1080">
        <v>2.4833333333333334</v>
      </c>
      <c r="H1080" s="9">
        <f t="shared" si="48"/>
        <v>1.2999999999999999E-2</v>
      </c>
      <c r="K1080">
        <v>1.2999999999999999E-2</v>
      </c>
      <c r="M1080" t="s">
        <v>28</v>
      </c>
      <c r="N1080" t="s">
        <v>40</v>
      </c>
      <c r="O1080" t="s">
        <v>41</v>
      </c>
      <c r="P1080" t="s">
        <v>30</v>
      </c>
      <c r="Q1080" t="s">
        <v>31</v>
      </c>
      <c r="R1080">
        <v>82630</v>
      </c>
      <c r="S1080" t="s">
        <v>32</v>
      </c>
      <c r="T1080">
        <v>82611</v>
      </c>
      <c r="U1080" t="s">
        <v>43</v>
      </c>
      <c r="V1080" t="s">
        <v>43</v>
      </c>
      <c r="W1080" t="s">
        <v>148</v>
      </c>
      <c r="X1080" t="s">
        <v>171</v>
      </c>
      <c r="Y1080" s="9">
        <f t="shared" si="49"/>
        <v>1.2999999999999999E-2</v>
      </c>
      <c r="Z1080" t="str">
        <f t="shared" si="50"/>
        <v>สแกนต่าง Cost</v>
      </c>
    </row>
    <row r="1081" spans="2:26" x14ac:dyDescent="0.45">
      <c r="B1081" t="s">
        <v>26</v>
      </c>
      <c r="C1081">
        <v>20403194</v>
      </c>
      <c r="E1081" s="10">
        <v>46132.723611111112</v>
      </c>
      <c r="F1081" s="10">
        <v>46132.82916666667</v>
      </c>
      <c r="G1081">
        <v>2.5333333333333332</v>
      </c>
      <c r="H1081" s="9">
        <f t="shared" si="48"/>
        <v>1.4E-2</v>
      </c>
      <c r="I1081">
        <v>1.4E-2</v>
      </c>
      <c r="M1081" t="s">
        <v>48</v>
      </c>
      <c r="N1081" t="s">
        <v>48</v>
      </c>
      <c r="P1081" t="s">
        <v>30</v>
      </c>
      <c r="R1081">
        <v>82652</v>
      </c>
      <c r="T1081">
        <v>82658</v>
      </c>
      <c r="U1081" t="s">
        <v>33</v>
      </c>
      <c r="V1081" t="s">
        <v>33</v>
      </c>
      <c r="W1081" t="s">
        <v>37</v>
      </c>
      <c r="X1081" t="s">
        <v>38</v>
      </c>
      <c r="Y1081" s="9">
        <f t="shared" si="49"/>
        <v>0</v>
      </c>
      <c r="Z1081" t="str">
        <f t="shared" si="50"/>
        <v>สแกนต่าง Cost</v>
      </c>
    </row>
    <row r="1082" spans="2:26" x14ac:dyDescent="0.45">
      <c r="B1082" t="s">
        <v>26</v>
      </c>
      <c r="C1082">
        <v>20403195</v>
      </c>
      <c r="E1082" s="10">
        <v>46132.723611111112</v>
      </c>
      <c r="F1082" s="10">
        <v>46132.826388888891</v>
      </c>
      <c r="G1082">
        <v>2.4666666666666668</v>
      </c>
      <c r="H1082" s="9">
        <f t="shared" si="48"/>
        <v>1.2999999999999999E-2</v>
      </c>
      <c r="I1082">
        <v>1.2999999999999999E-2</v>
      </c>
      <c r="M1082" t="s">
        <v>48</v>
      </c>
      <c r="N1082" t="s">
        <v>48</v>
      </c>
      <c r="P1082" t="s">
        <v>30</v>
      </c>
      <c r="R1082">
        <v>82652</v>
      </c>
      <c r="T1082">
        <v>82658</v>
      </c>
      <c r="U1082" t="s">
        <v>33</v>
      </c>
      <c r="V1082" t="s">
        <v>33</v>
      </c>
      <c r="W1082" t="s">
        <v>37</v>
      </c>
      <c r="X1082" t="s">
        <v>38</v>
      </c>
      <c r="Y1082" s="9">
        <f t="shared" si="49"/>
        <v>0</v>
      </c>
      <c r="Z1082" t="str">
        <f t="shared" si="50"/>
        <v>สแกนต่าง Cost</v>
      </c>
    </row>
    <row r="1083" spans="2:26" x14ac:dyDescent="0.45">
      <c r="B1083" t="s">
        <v>53</v>
      </c>
      <c r="C1083">
        <v>20156338</v>
      </c>
      <c r="D1083" t="s">
        <v>102</v>
      </c>
      <c r="E1083" s="10">
        <v>46132.722916666666</v>
      </c>
      <c r="F1083" s="10">
        <v>46132.826388888891</v>
      </c>
      <c r="G1083">
        <v>2.4833333333333334</v>
      </c>
      <c r="H1083" s="9">
        <f t="shared" si="48"/>
        <v>1.2999999999999999E-2</v>
      </c>
      <c r="L1083">
        <v>1.2999999999999999E-2</v>
      </c>
      <c r="M1083" t="s">
        <v>255</v>
      </c>
      <c r="N1083" t="s">
        <v>29</v>
      </c>
      <c r="P1083" t="s">
        <v>30</v>
      </c>
      <c r="Q1083" t="s">
        <v>31</v>
      </c>
      <c r="R1083">
        <v>82630</v>
      </c>
      <c r="S1083" t="s">
        <v>32</v>
      </c>
      <c r="T1083">
        <v>82611</v>
      </c>
      <c r="U1083" t="s">
        <v>43</v>
      </c>
      <c r="V1083" t="s">
        <v>43</v>
      </c>
      <c r="W1083" t="s">
        <v>148</v>
      </c>
      <c r="X1083" t="s">
        <v>171</v>
      </c>
      <c r="Y1083" s="9">
        <f t="shared" si="49"/>
        <v>1.2999999999999999E-2</v>
      </c>
      <c r="Z1083" t="str">
        <f t="shared" si="50"/>
        <v>สแกนต่าง Cost</v>
      </c>
    </row>
    <row r="1084" spans="2:26" x14ac:dyDescent="0.45">
      <c r="B1084" t="s">
        <v>53</v>
      </c>
      <c r="C1084">
        <v>20240961</v>
      </c>
      <c r="D1084" t="s">
        <v>239</v>
      </c>
      <c r="E1084" s="10">
        <v>46132.722916666666</v>
      </c>
      <c r="F1084" s="10">
        <v>46132.826388888891</v>
      </c>
      <c r="G1084">
        <v>2.4833333333333334</v>
      </c>
      <c r="H1084" s="9">
        <f t="shared" si="48"/>
        <v>1.2999999999999999E-2</v>
      </c>
      <c r="L1084">
        <v>1.2999999999999999E-2</v>
      </c>
      <c r="M1084" t="s">
        <v>255</v>
      </c>
      <c r="N1084" t="s">
        <v>29</v>
      </c>
      <c r="P1084" t="s">
        <v>30</v>
      </c>
      <c r="Q1084" t="s">
        <v>31</v>
      </c>
      <c r="R1084">
        <v>82630</v>
      </c>
      <c r="S1084" t="s">
        <v>32</v>
      </c>
      <c r="T1084">
        <v>82611</v>
      </c>
      <c r="U1084" t="s">
        <v>43</v>
      </c>
      <c r="V1084" t="s">
        <v>43</v>
      </c>
      <c r="W1084" t="s">
        <v>148</v>
      </c>
      <c r="X1084" t="s">
        <v>171</v>
      </c>
      <c r="Y1084" s="9">
        <f t="shared" si="49"/>
        <v>1.2999999999999999E-2</v>
      </c>
      <c r="Z1084" t="str">
        <f t="shared" si="50"/>
        <v>สแกนต่าง Cost</v>
      </c>
    </row>
    <row r="1085" spans="2:26" x14ac:dyDescent="0.45">
      <c r="B1085" t="s">
        <v>53</v>
      </c>
      <c r="C1085">
        <v>20198842</v>
      </c>
      <c r="D1085" t="s">
        <v>257</v>
      </c>
      <c r="E1085" s="10">
        <v>46132.708333333336</v>
      </c>
      <c r="F1085" s="10">
        <v>46132.729166666664</v>
      </c>
      <c r="G1085">
        <v>0.5</v>
      </c>
      <c r="H1085" s="9">
        <f t="shared" si="48"/>
        <v>3.0000000000000001E-3</v>
      </c>
      <c r="I1085">
        <v>3.0000000000000001E-3</v>
      </c>
      <c r="M1085" t="s">
        <v>65</v>
      </c>
      <c r="N1085" t="s">
        <v>29</v>
      </c>
      <c r="P1085" t="s">
        <v>30</v>
      </c>
      <c r="Q1085" t="s">
        <v>31</v>
      </c>
      <c r="R1085">
        <v>82640</v>
      </c>
      <c r="S1085" t="s">
        <v>42</v>
      </c>
      <c r="T1085">
        <v>82630</v>
      </c>
      <c r="U1085" t="s">
        <v>32</v>
      </c>
      <c r="V1085" t="s">
        <v>66</v>
      </c>
      <c r="W1085" t="s">
        <v>44</v>
      </c>
      <c r="X1085" t="s">
        <v>44</v>
      </c>
      <c r="Y1085" s="9">
        <f t="shared" si="49"/>
        <v>0</v>
      </c>
      <c r="Z1085" t="str">
        <f t="shared" si="50"/>
        <v>สแกนต่าง Cost</v>
      </c>
    </row>
    <row r="1086" spans="2:26" x14ac:dyDescent="0.45">
      <c r="B1086" t="s">
        <v>53</v>
      </c>
      <c r="C1086">
        <v>20280718</v>
      </c>
      <c r="D1086" t="s">
        <v>256</v>
      </c>
      <c r="E1086" s="10">
        <v>46132.708333333336</v>
      </c>
      <c r="F1086" s="10">
        <v>46132.729166666664</v>
      </c>
      <c r="G1086">
        <v>0.5</v>
      </c>
      <c r="H1086" s="9">
        <f t="shared" si="48"/>
        <v>3.0000000000000001E-3</v>
      </c>
      <c r="J1086">
        <v>3.0000000000000001E-3</v>
      </c>
      <c r="M1086" t="s">
        <v>77</v>
      </c>
      <c r="N1086" t="s">
        <v>40</v>
      </c>
      <c r="O1086" t="s">
        <v>78</v>
      </c>
      <c r="P1086" t="s">
        <v>30</v>
      </c>
      <c r="Q1086" t="s">
        <v>31</v>
      </c>
      <c r="R1086">
        <v>82640</v>
      </c>
      <c r="S1086" t="s">
        <v>42</v>
      </c>
      <c r="T1086">
        <v>82630</v>
      </c>
      <c r="U1086" t="s">
        <v>32</v>
      </c>
      <c r="V1086" t="s">
        <v>66</v>
      </c>
      <c r="W1086" t="s">
        <v>44</v>
      </c>
      <c r="X1086" t="s">
        <v>44</v>
      </c>
      <c r="Y1086" s="9">
        <f t="shared" si="49"/>
        <v>3.0000000000000001E-3</v>
      </c>
      <c r="Z1086" t="str">
        <f t="shared" si="50"/>
        <v>สแกนต่าง Cost</v>
      </c>
    </row>
    <row r="1087" spans="2:26" x14ac:dyDescent="0.45">
      <c r="B1087" t="s">
        <v>53</v>
      </c>
      <c r="C1087">
        <v>20310530</v>
      </c>
      <c r="D1087" t="s">
        <v>220</v>
      </c>
      <c r="E1087" s="10">
        <v>46132.708333333336</v>
      </c>
      <c r="F1087" s="10">
        <v>46132.729166666664</v>
      </c>
      <c r="G1087">
        <v>0.5</v>
      </c>
      <c r="H1087" s="9">
        <f t="shared" si="48"/>
        <v>3.0000000000000001E-3</v>
      </c>
      <c r="I1087">
        <v>3.0000000000000001E-3</v>
      </c>
      <c r="M1087" t="s">
        <v>65</v>
      </c>
      <c r="N1087" t="s">
        <v>29</v>
      </c>
      <c r="P1087" t="s">
        <v>30</v>
      </c>
      <c r="Q1087" t="s">
        <v>31</v>
      </c>
      <c r="R1087">
        <v>82640</v>
      </c>
      <c r="S1087" t="s">
        <v>42</v>
      </c>
      <c r="T1087">
        <v>82630</v>
      </c>
      <c r="U1087" t="s">
        <v>32</v>
      </c>
      <c r="V1087" t="s">
        <v>66</v>
      </c>
      <c r="W1087" t="s">
        <v>44</v>
      </c>
      <c r="X1087" t="s">
        <v>44</v>
      </c>
      <c r="Y1087" s="9">
        <f t="shared" si="49"/>
        <v>0</v>
      </c>
      <c r="Z1087" t="str">
        <f t="shared" si="50"/>
        <v>สแกนต่าง Cost</v>
      </c>
    </row>
    <row r="1088" spans="2:26" x14ac:dyDescent="0.45">
      <c r="B1088" t="s">
        <v>53</v>
      </c>
      <c r="C1088">
        <v>20060579</v>
      </c>
      <c r="D1088" t="s">
        <v>39</v>
      </c>
      <c r="E1088" s="10">
        <v>46132.666666666664</v>
      </c>
      <c r="F1088" s="10">
        <v>46132.729166666664</v>
      </c>
      <c r="G1088">
        <v>1.5</v>
      </c>
      <c r="H1088" s="9">
        <f t="shared" si="48"/>
        <v>8.0000000000000002E-3</v>
      </c>
      <c r="I1088">
        <v>8.0000000000000002E-3</v>
      </c>
      <c r="M1088" t="s">
        <v>65</v>
      </c>
      <c r="N1088" t="s">
        <v>29</v>
      </c>
      <c r="P1088" t="s">
        <v>30</v>
      </c>
      <c r="Q1088" t="s">
        <v>31</v>
      </c>
      <c r="R1088">
        <v>82640</v>
      </c>
      <c r="S1088" t="s">
        <v>42</v>
      </c>
      <c r="T1088">
        <v>82630</v>
      </c>
      <c r="U1088" t="s">
        <v>32</v>
      </c>
      <c r="V1088" t="s">
        <v>66</v>
      </c>
      <c r="W1088" t="s">
        <v>44</v>
      </c>
      <c r="X1088" t="s">
        <v>44</v>
      </c>
      <c r="Y1088" s="9">
        <f t="shared" si="49"/>
        <v>0</v>
      </c>
      <c r="Z1088" t="str">
        <f t="shared" si="50"/>
        <v>สแกนต่าง Cost</v>
      </c>
    </row>
    <row r="1089" spans="1:26" x14ac:dyDescent="0.45">
      <c r="B1089" t="s">
        <v>53</v>
      </c>
      <c r="C1089">
        <v>20167851</v>
      </c>
      <c r="D1089" t="s">
        <v>63</v>
      </c>
      <c r="E1089" s="10">
        <v>46132.666666666664</v>
      </c>
      <c r="F1089" s="10">
        <v>46132.708333333336</v>
      </c>
      <c r="G1089">
        <v>1</v>
      </c>
      <c r="H1089" s="9">
        <f t="shared" si="48"/>
        <v>5.0000000000000001E-3</v>
      </c>
      <c r="I1089">
        <v>5.0000000000000001E-3</v>
      </c>
      <c r="M1089" t="s">
        <v>65</v>
      </c>
      <c r="N1089" t="s">
        <v>29</v>
      </c>
      <c r="P1089" t="s">
        <v>30</v>
      </c>
      <c r="Q1089" t="s">
        <v>31</v>
      </c>
      <c r="R1089">
        <v>82640</v>
      </c>
      <c r="S1089" t="s">
        <v>42</v>
      </c>
      <c r="T1089">
        <v>82611</v>
      </c>
      <c r="U1089" t="s">
        <v>43</v>
      </c>
      <c r="V1089" t="s">
        <v>66</v>
      </c>
      <c r="W1089" t="s">
        <v>44</v>
      </c>
      <c r="X1089" t="s">
        <v>44</v>
      </c>
      <c r="Y1089" s="9">
        <f t="shared" si="49"/>
        <v>0</v>
      </c>
      <c r="Z1089" t="str">
        <f t="shared" si="50"/>
        <v>สแกนต่าง Cost</v>
      </c>
    </row>
    <row r="1090" spans="1:26" x14ac:dyDescent="0.45">
      <c r="B1090" t="s">
        <v>53</v>
      </c>
      <c r="C1090">
        <v>20198839</v>
      </c>
      <c r="D1090" t="s">
        <v>258</v>
      </c>
      <c r="E1090" s="10">
        <v>46132.666666666664</v>
      </c>
      <c r="F1090" s="10">
        <v>46132.6875</v>
      </c>
      <c r="G1090">
        <v>0.5</v>
      </c>
      <c r="H1090" s="9">
        <f t="shared" si="48"/>
        <v>3.0000000000000001E-3</v>
      </c>
      <c r="I1090">
        <v>3.0000000000000001E-3</v>
      </c>
      <c r="M1090" t="s">
        <v>65</v>
      </c>
      <c r="N1090" t="s">
        <v>29</v>
      </c>
      <c r="P1090" t="s">
        <v>30</v>
      </c>
      <c r="Q1090" t="s">
        <v>31</v>
      </c>
      <c r="R1090">
        <v>82640</v>
      </c>
      <c r="S1090" t="s">
        <v>42</v>
      </c>
      <c r="T1090">
        <v>82611</v>
      </c>
      <c r="U1090" t="s">
        <v>43</v>
      </c>
      <c r="V1090" t="s">
        <v>66</v>
      </c>
      <c r="W1090" t="s">
        <v>44</v>
      </c>
      <c r="X1090" t="s">
        <v>44</v>
      </c>
      <c r="Y1090" s="9">
        <f t="shared" si="49"/>
        <v>0</v>
      </c>
      <c r="Z1090" t="str">
        <f t="shared" si="50"/>
        <v>สแกนต่าง Cost</v>
      </c>
    </row>
    <row r="1091" spans="1:26" x14ac:dyDescent="0.45">
      <c r="B1091" t="s">
        <v>53</v>
      </c>
      <c r="C1091">
        <v>20310530</v>
      </c>
      <c r="D1091" t="s">
        <v>220</v>
      </c>
      <c r="E1091" s="10">
        <v>46132.666666666664</v>
      </c>
      <c r="F1091" s="10">
        <v>46132.6875</v>
      </c>
      <c r="G1091">
        <v>0.5</v>
      </c>
      <c r="H1091" s="9">
        <f t="shared" ref="H1091:H1154" si="51">SUM(I1091:L1091)</f>
        <v>3.0000000000000001E-3</v>
      </c>
      <c r="I1091">
        <v>3.0000000000000001E-3</v>
      </c>
      <c r="M1091" t="s">
        <v>65</v>
      </c>
      <c r="N1091" t="s">
        <v>29</v>
      </c>
      <c r="P1091" t="s">
        <v>30</v>
      </c>
      <c r="Q1091" t="s">
        <v>31</v>
      </c>
      <c r="R1091">
        <v>82640</v>
      </c>
      <c r="S1091" t="s">
        <v>42</v>
      </c>
      <c r="T1091">
        <v>82622</v>
      </c>
      <c r="U1091" t="s">
        <v>147</v>
      </c>
      <c r="V1091" t="s">
        <v>66</v>
      </c>
      <c r="W1091" t="s">
        <v>44</v>
      </c>
      <c r="X1091" t="s">
        <v>44</v>
      </c>
      <c r="Y1091" s="9">
        <f t="shared" ref="Y1091:Y1154" si="52">SUM(J1091:L1091)</f>
        <v>0</v>
      </c>
      <c r="Z1091" t="str">
        <f t="shared" ref="Z1091:Z1154" si="53">IF(R1091=T1091,"สแกน Cost ตัวเอง","สแกนต่าง Cost")</f>
        <v>สแกนต่าง Cost</v>
      </c>
    </row>
    <row r="1092" spans="1:26" x14ac:dyDescent="0.45">
      <c r="B1092" t="s">
        <v>53</v>
      </c>
      <c r="C1092">
        <v>20060579</v>
      </c>
      <c r="D1092" t="s">
        <v>39</v>
      </c>
      <c r="E1092" s="10">
        <v>46132.645833333336</v>
      </c>
      <c r="F1092" s="10">
        <v>46132.666666666664</v>
      </c>
      <c r="G1092">
        <v>0.5</v>
      </c>
      <c r="H1092" s="9">
        <f t="shared" si="51"/>
        <v>3.0000000000000001E-3</v>
      </c>
      <c r="I1092">
        <v>3.0000000000000001E-3</v>
      </c>
      <c r="M1092" t="s">
        <v>65</v>
      </c>
      <c r="N1092" t="s">
        <v>29</v>
      </c>
      <c r="P1092" t="s">
        <v>30</v>
      </c>
      <c r="Q1092" t="s">
        <v>31</v>
      </c>
      <c r="R1092">
        <v>82640</v>
      </c>
      <c r="S1092" t="s">
        <v>42</v>
      </c>
      <c r="T1092">
        <v>82611</v>
      </c>
      <c r="U1092" t="s">
        <v>43</v>
      </c>
      <c r="V1092" t="s">
        <v>66</v>
      </c>
      <c r="W1092" t="s">
        <v>44</v>
      </c>
      <c r="X1092" t="s">
        <v>44</v>
      </c>
      <c r="Y1092" s="9">
        <f t="shared" si="52"/>
        <v>0</v>
      </c>
      <c r="Z1092" t="str">
        <f t="shared" si="53"/>
        <v>สแกนต่าง Cost</v>
      </c>
    </row>
    <row r="1093" spans="1:26" x14ac:dyDescent="0.45">
      <c r="B1093" t="s">
        <v>53</v>
      </c>
      <c r="C1093">
        <v>20198842</v>
      </c>
      <c r="D1093" t="s">
        <v>257</v>
      </c>
      <c r="E1093" s="10">
        <v>46132.645833333336</v>
      </c>
      <c r="F1093" s="10">
        <v>46132.6875</v>
      </c>
      <c r="G1093">
        <v>1</v>
      </c>
      <c r="H1093" s="9">
        <f t="shared" si="51"/>
        <v>5.0000000000000001E-3</v>
      </c>
      <c r="I1093">
        <v>5.0000000000000001E-3</v>
      </c>
      <c r="M1093" t="s">
        <v>65</v>
      </c>
      <c r="N1093" t="s">
        <v>29</v>
      </c>
      <c r="P1093" t="s">
        <v>30</v>
      </c>
      <c r="Q1093" t="s">
        <v>31</v>
      </c>
      <c r="R1093">
        <v>82640</v>
      </c>
      <c r="S1093" t="s">
        <v>42</v>
      </c>
      <c r="T1093">
        <v>82611</v>
      </c>
      <c r="U1093" t="s">
        <v>43</v>
      </c>
      <c r="V1093" t="s">
        <v>66</v>
      </c>
      <c r="W1093" t="s">
        <v>44</v>
      </c>
      <c r="X1093" t="s">
        <v>44</v>
      </c>
      <c r="Y1093" s="9">
        <f t="shared" si="52"/>
        <v>0</v>
      </c>
      <c r="Z1093" t="str">
        <f t="shared" si="53"/>
        <v>สแกนต่าง Cost</v>
      </c>
    </row>
    <row r="1094" spans="1:26" x14ac:dyDescent="0.45">
      <c r="B1094" t="s">
        <v>53</v>
      </c>
      <c r="C1094">
        <v>20310530</v>
      </c>
      <c r="D1094" t="s">
        <v>220</v>
      </c>
      <c r="E1094" s="10">
        <v>46132.645833333336</v>
      </c>
      <c r="F1094" s="10">
        <v>46132.666666666664</v>
      </c>
      <c r="G1094">
        <v>0.5</v>
      </c>
      <c r="H1094" s="9">
        <f t="shared" si="51"/>
        <v>3.0000000000000001E-3</v>
      </c>
      <c r="I1094">
        <v>3.0000000000000001E-3</v>
      </c>
      <c r="M1094" t="s">
        <v>65</v>
      </c>
      <c r="N1094" t="s">
        <v>29</v>
      </c>
      <c r="P1094" t="s">
        <v>30</v>
      </c>
      <c r="Q1094" t="s">
        <v>31</v>
      </c>
      <c r="R1094">
        <v>82640</v>
      </c>
      <c r="S1094" t="s">
        <v>42</v>
      </c>
      <c r="T1094">
        <v>82611</v>
      </c>
      <c r="U1094" t="s">
        <v>43</v>
      </c>
      <c r="V1094" t="s">
        <v>66</v>
      </c>
      <c r="W1094" t="s">
        <v>44</v>
      </c>
      <c r="X1094" t="s">
        <v>44</v>
      </c>
      <c r="Y1094" s="9">
        <f t="shared" si="52"/>
        <v>0</v>
      </c>
      <c r="Z1094" t="str">
        <f t="shared" si="53"/>
        <v>สแกนต่าง Cost</v>
      </c>
    </row>
    <row r="1095" spans="1:26" x14ac:dyDescent="0.45">
      <c r="B1095" t="s">
        <v>53</v>
      </c>
      <c r="C1095">
        <v>20332134</v>
      </c>
      <c r="D1095" t="s">
        <v>156</v>
      </c>
      <c r="E1095" s="10">
        <v>46132.645833333336</v>
      </c>
      <c r="F1095" s="10">
        <v>46132.729166666664</v>
      </c>
      <c r="G1095">
        <v>2</v>
      </c>
      <c r="H1095" s="9">
        <f t="shared" si="51"/>
        <v>1.0999999999999999E-2</v>
      </c>
      <c r="I1095">
        <v>1.0999999999999999E-2</v>
      </c>
      <c r="M1095" t="s">
        <v>65</v>
      </c>
      <c r="N1095" t="s">
        <v>29</v>
      </c>
      <c r="P1095" t="s">
        <v>30</v>
      </c>
      <c r="Q1095" t="s">
        <v>31</v>
      </c>
      <c r="R1095">
        <v>82640</v>
      </c>
      <c r="S1095" t="s">
        <v>42</v>
      </c>
      <c r="T1095">
        <v>82630</v>
      </c>
      <c r="U1095" t="s">
        <v>32</v>
      </c>
      <c r="V1095" t="s">
        <v>66</v>
      </c>
      <c r="W1095" t="s">
        <v>44</v>
      </c>
      <c r="X1095" t="s">
        <v>44</v>
      </c>
      <c r="Y1095" s="9">
        <f t="shared" si="52"/>
        <v>0</v>
      </c>
      <c r="Z1095" t="str">
        <f t="shared" si="53"/>
        <v>สแกนต่าง Cost</v>
      </c>
    </row>
    <row r="1096" spans="1:26" x14ac:dyDescent="0.45">
      <c r="A1096">
        <v>26871</v>
      </c>
      <c r="B1096" t="s">
        <v>53</v>
      </c>
      <c r="C1096">
        <v>20190547</v>
      </c>
      <c r="D1096" t="s">
        <v>68</v>
      </c>
      <c r="E1096" s="10">
        <v>46132.635416666664</v>
      </c>
      <c r="F1096" s="10">
        <v>46132.670138888891</v>
      </c>
      <c r="G1096">
        <v>0.83333333333333337</v>
      </c>
      <c r="H1096" s="9">
        <f t="shared" si="51"/>
        <v>4.0000000000000001E-3</v>
      </c>
      <c r="I1096">
        <v>4.0000000000000001E-3</v>
      </c>
      <c r="M1096" t="s">
        <v>65</v>
      </c>
      <c r="N1096" t="s">
        <v>29</v>
      </c>
      <c r="P1096" t="s">
        <v>30</v>
      </c>
      <c r="Q1096" t="s">
        <v>31</v>
      </c>
      <c r="R1096">
        <v>82308</v>
      </c>
      <c r="S1096" t="s">
        <v>69</v>
      </c>
      <c r="T1096">
        <v>82640</v>
      </c>
      <c r="U1096" t="s">
        <v>42</v>
      </c>
      <c r="V1096" t="s">
        <v>70</v>
      </c>
      <c r="W1096" t="s">
        <v>71</v>
      </c>
      <c r="X1096" t="s">
        <v>72</v>
      </c>
      <c r="Y1096" s="9">
        <f t="shared" si="52"/>
        <v>0</v>
      </c>
      <c r="Z1096" t="str">
        <f t="shared" si="53"/>
        <v>สแกนต่าง Cost</v>
      </c>
    </row>
    <row r="1097" spans="1:26" x14ac:dyDescent="0.45">
      <c r="B1097" t="s">
        <v>53</v>
      </c>
      <c r="C1097">
        <v>20027956</v>
      </c>
      <c r="D1097" t="s">
        <v>214</v>
      </c>
      <c r="E1097" s="10">
        <v>46132.625</v>
      </c>
      <c r="F1097" s="10">
        <v>46132.729166666664</v>
      </c>
      <c r="G1097">
        <v>2.5</v>
      </c>
      <c r="H1097" s="9">
        <f t="shared" si="51"/>
        <v>1.2999999999999999E-2</v>
      </c>
      <c r="I1097">
        <v>1.2999999999999999E-2</v>
      </c>
      <c r="M1097" t="s">
        <v>65</v>
      </c>
      <c r="N1097" t="s">
        <v>29</v>
      </c>
      <c r="P1097" t="s">
        <v>30</v>
      </c>
      <c r="Q1097" t="s">
        <v>31</v>
      </c>
      <c r="R1097">
        <v>82640</v>
      </c>
      <c r="S1097" t="s">
        <v>42</v>
      </c>
      <c r="T1097">
        <v>82611</v>
      </c>
      <c r="U1097" t="s">
        <v>43</v>
      </c>
      <c r="V1097" t="s">
        <v>66</v>
      </c>
      <c r="W1097" t="s">
        <v>44</v>
      </c>
      <c r="X1097" t="s">
        <v>44</v>
      </c>
      <c r="Y1097" s="9">
        <f t="shared" si="52"/>
        <v>0</v>
      </c>
      <c r="Z1097" t="str">
        <f t="shared" si="53"/>
        <v>สแกนต่าง Cost</v>
      </c>
    </row>
    <row r="1098" spans="1:26" x14ac:dyDescent="0.45">
      <c r="B1098" t="s">
        <v>53</v>
      </c>
      <c r="C1098">
        <v>20280718</v>
      </c>
      <c r="D1098" t="s">
        <v>256</v>
      </c>
      <c r="E1098" s="10">
        <v>46132.625</v>
      </c>
      <c r="F1098" s="10">
        <v>46132.6875</v>
      </c>
      <c r="G1098">
        <v>1.5</v>
      </c>
      <c r="H1098" s="9">
        <f t="shared" si="51"/>
        <v>8.0000000000000002E-3</v>
      </c>
      <c r="J1098">
        <v>8.0000000000000002E-3</v>
      </c>
      <c r="M1098" t="s">
        <v>77</v>
      </c>
      <c r="N1098" t="s">
        <v>40</v>
      </c>
      <c r="O1098" t="s">
        <v>78</v>
      </c>
      <c r="P1098" t="s">
        <v>30</v>
      </c>
      <c r="Q1098" t="s">
        <v>31</v>
      </c>
      <c r="R1098">
        <v>82640</v>
      </c>
      <c r="S1098" t="s">
        <v>42</v>
      </c>
      <c r="T1098">
        <v>82630</v>
      </c>
      <c r="U1098" t="s">
        <v>32</v>
      </c>
      <c r="V1098" t="s">
        <v>66</v>
      </c>
      <c r="W1098" t="s">
        <v>44</v>
      </c>
      <c r="X1098" t="s">
        <v>44</v>
      </c>
      <c r="Y1098" s="9">
        <f t="shared" si="52"/>
        <v>8.0000000000000002E-3</v>
      </c>
      <c r="Z1098" t="str">
        <f t="shared" si="53"/>
        <v>สแกนต่าง Cost</v>
      </c>
    </row>
    <row r="1099" spans="1:26" x14ac:dyDescent="0.45">
      <c r="B1099" t="s">
        <v>53</v>
      </c>
      <c r="C1099">
        <v>20310530</v>
      </c>
      <c r="D1099" t="s">
        <v>220</v>
      </c>
      <c r="E1099" s="10">
        <v>46132.625</v>
      </c>
      <c r="F1099" s="10">
        <v>46132.645833333336</v>
      </c>
      <c r="G1099">
        <v>0.5</v>
      </c>
      <c r="H1099" s="9">
        <f t="shared" si="51"/>
        <v>3.0000000000000001E-3</v>
      </c>
      <c r="I1099">
        <v>3.0000000000000001E-3</v>
      </c>
      <c r="M1099" t="s">
        <v>65</v>
      </c>
      <c r="N1099" t="s">
        <v>29</v>
      </c>
      <c r="P1099" t="s">
        <v>30</v>
      </c>
      <c r="Q1099" t="s">
        <v>31</v>
      </c>
      <c r="R1099">
        <v>82640</v>
      </c>
      <c r="S1099" t="s">
        <v>42</v>
      </c>
      <c r="T1099">
        <v>82612</v>
      </c>
      <c r="U1099" t="s">
        <v>153</v>
      </c>
      <c r="V1099" t="s">
        <v>66</v>
      </c>
      <c r="W1099" t="s">
        <v>44</v>
      </c>
      <c r="X1099" t="s">
        <v>44</v>
      </c>
      <c r="Y1099" s="9">
        <f t="shared" si="52"/>
        <v>0</v>
      </c>
      <c r="Z1099" t="str">
        <f t="shared" si="53"/>
        <v>สแกนต่าง Cost</v>
      </c>
    </row>
    <row r="1100" spans="1:26" x14ac:dyDescent="0.45">
      <c r="B1100" t="s">
        <v>53</v>
      </c>
      <c r="C1100">
        <v>20310530</v>
      </c>
      <c r="D1100" t="s">
        <v>220</v>
      </c>
      <c r="E1100" s="10">
        <v>46132.604166666664</v>
      </c>
      <c r="F1100" s="10">
        <v>46132.625</v>
      </c>
      <c r="G1100">
        <v>0.5</v>
      </c>
      <c r="H1100" s="9">
        <f t="shared" si="51"/>
        <v>3.0000000000000001E-3</v>
      </c>
      <c r="I1100">
        <v>3.0000000000000001E-3</v>
      </c>
      <c r="M1100" t="s">
        <v>65</v>
      </c>
      <c r="N1100" t="s">
        <v>29</v>
      </c>
      <c r="P1100" t="s">
        <v>30</v>
      </c>
      <c r="Q1100" t="s">
        <v>31</v>
      </c>
      <c r="R1100">
        <v>82640</v>
      </c>
      <c r="S1100" t="s">
        <v>42</v>
      </c>
      <c r="T1100">
        <v>82611</v>
      </c>
      <c r="U1100" t="s">
        <v>43</v>
      </c>
      <c r="V1100" t="s">
        <v>66</v>
      </c>
      <c r="W1100" t="s">
        <v>44</v>
      </c>
      <c r="X1100" t="s">
        <v>44</v>
      </c>
      <c r="Y1100" s="9">
        <f t="shared" si="52"/>
        <v>0</v>
      </c>
      <c r="Z1100" t="str">
        <f t="shared" si="53"/>
        <v>สแกนต่าง Cost</v>
      </c>
    </row>
    <row r="1101" spans="1:26" x14ac:dyDescent="0.45">
      <c r="B1101" t="s">
        <v>53</v>
      </c>
      <c r="C1101">
        <v>20368087</v>
      </c>
      <c r="D1101" t="s">
        <v>260</v>
      </c>
      <c r="E1101" s="10">
        <v>46132.604166666664</v>
      </c>
      <c r="F1101" s="10">
        <v>46132.6875</v>
      </c>
      <c r="G1101">
        <v>2</v>
      </c>
      <c r="H1101" s="9">
        <f t="shared" si="51"/>
        <v>1.0999999999999999E-2</v>
      </c>
      <c r="I1101">
        <v>1.0999999999999999E-2</v>
      </c>
      <c r="M1101" t="s">
        <v>65</v>
      </c>
      <c r="N1101" t="s">
        <v>29</v>
      </c>
      <c r="P1101" t="s">
        <v>30</v>
      </c>
      <c r="Q1101" t="s">
        <v>31</v>
      </c>
      <c r="R1101">
        <v>82640</v>
      </c>
      <c r="S1101" t="s">
        <v>42</v>
      </c>
      <c r="T1101">
        <v>82630</v>
      </c>
      <c r="U1101" t="s">
        <v>32</v>
      </c>
      <c r="V1101" t="s">
        <v>66</v>
      </c>
      <c r="W1101" t="s">
        <v>44</v>
      </c>
      <c r="X1101" t="s">
        <v>44</v>
      </c>
      <c r="Y1101" s="9">
        <f t="shared" si="52"/>
        <v>0</v>
      </c>
      <c r="Z1101" t="str">
        <f t="shared" si="53"/>
        <v>สแกนต่าง Cost</v>
      </c>
    </row>
    <row r="1102" spans="1:26" x14ac:dyDescent="0.45">
      <c r="B1102" t="s">
        <v>53</v>
      </c>
      <c r="C1102">
        <v>20060579</v>
      </c>
      <c r="D1102" t="s">
        <v>39</v>
      </c>
      <c r="E1102" s="10">
        <v>46132.583333333336</v>
      </c>
      <c r="F1102" s="10">
        <v>46132.625</v>
      </c>
      <c r="G1102">
        <v>1</v>
      </c>
      <c r="H1102" s="9">
        <f t="shared" si="51"/>
        <v>5.0000000000000001E-3</v>
      </c>
      <c r="I1102">
        <v>5.0000000000000001E-3</v>
      </c>
      <c r="M1102" t="s">
        <v>65</v>
      </c>
      <c r="N1102" t="s">
        <v>29</v>
      </c>
      <c r="P1102" t="s">
        <v>30</v>
      </c>
      <c r="Q1102" t="s">
        <v>31</v>
      </c>
      <c r="R1102">
        <v>82640</v>
      </c>
      <c r="S1102" t="s">
        <v>42</v>
      </c>
      <c r="T1102">
        <v>82630</v>
      </c>
      <c r="U1102" t="s">
        <v>32</v>
      </c>
      <c r="V1102" t="s">
        <v>66</v>
      </c>
      <c r="W1102" t="s">
        <v>44</v>
      </c>
      <c r="X1102" t="s">
        <v>44</v>
      </c>
      <c r="Y1102" s="9">
        <f t="shared" si="52"/>
        <v>0</v>
      </c>
      <c r="Z1102" t="str">
        <f t="shared" si="53"/>
        <v>สแกนต่าง Cost</v>
      </c>
    </row>
    <row r="1103" spans="1:26" x14ac:dyDescent="0.45">
      <c r="B1103" t="s">
        <v>53</v>
      </c>
      <c r="C1103">
        <v>20310530</v>
      </c>
      <c r="D1103" t="s">
        <v>220</v>
      </c>
      <c r="E1103" s="10">
        <v>46132.583333333336</v>
      </c>
      <c r="F1103" s="10">
        <v>46132.604166666664</v>
      </c>
      <c r="G1103">
        <v>0.5</v>
      </c>
      <c r="H1103" s="9">
        <f t="shared" si="51"/>
        <v>3.0000000000000001E-3</v>
      </c>
      <c r="I1103">
        <v>3.0000000000000001E-3</v>
      </c>
      <c r="M1103" t="s">
        <v>65</v>
      </c>
      <c r="N1103" t="s">
        <v>29</v>
      </c>
      <c r="P1103" t="s">
        <v>30</v>
      </c>
      <c r="Q1103" t="s">
        <v>31</v>
      </c>
      <c r="R1103">
        <v>82640</v>
      </c>
      <c r="S1103" t="s">
        <v>42</v>
      </c>
      <c r="T1103">
        <v>82622</v>
      </c>
      <c r="U1103" t="s">
        <v>147</v>
      </c>
      <c r="V1103" t="s">
        <v>66</v>
      </c>
      <c r="W1103" t="s">
        <v>44</v>
      </c>
      <c r="X1103" t="s">
        <v>44</v>
      </c>
      <c r="Y1103" s="9">
        <f t="shared" si="52"/>
        <v>0</v>
      </c>
      <c r="Z1103" t="str">
        <f t="shared" si="53"/>
        <v>สแกนต่าง Cost</v>
      </c>
    </row>
    <row r="1104" spans="1:26" x14ac:dyDescent="0.45">
      <c r="B1104" t="s">
        <v>53</v>
      </c>
      <c r="C1104">
        <v>20198839</v>
      </c>
      <c r="D1104" t="s">
        <v>258</v>
      </c>
      <c r="E1104" s="10">
        <v>46132.5625</v>
      </c>
      <c r="F1104" s="10">
        <v>46132.625</v>
      </c>
      <c r="G1104">
        <v>1.5</v>
      </c>
      <c r="H1104" s="9">
        <f t="shared" si="51"/>
        <v>8.0000000000000002E-3</v>
      </c>
      <c r="I1104">
        <v>8.0000000000000002E-3</v>
      </c>
      <c r="M1104" t="s">
        <v>65</v>
      </c>
      <c r="N1104" t="s">
        <v>29</v>
      </c>
      <c r="P1104" t="s">
        <v>30</v>
      </c>
      <c r="Q1104" t="s">
        <v>31</v>
      </c>
      <c r="R1104">
        <v>82640</v>
      </c>
      <c r="S1104" t="s">
        <v>42</v>
      </c>
      <c r="T1104">
        <v>82611</v>
      </c>
      <c r="U1104" t="s">
        <v>43</v>
      </c>
      <c r="V1104" t="s">
        <v>66</v>
      </c>
      <c r="W1104" t="s">
        <v>44</v>
      </c>
      <c r="X1104" t="s">
        <v>44</v>
      </c>
      <c r="Y1104" s="9">
        <f t="shared" si="52"/>
        <v>0</v>
      </c>
      <c r="Z1104" t="str">
        <f t="shared" si="53"/>
        <v>สแกนต่าง Cost</v>
      </c>
    </row>
    <row r="1105" spans="1:26" x14ac:dyDescent="0.45">
      <c r="B1105" t="s">
        <v>53</v>
      </c>
      <c r="C1105">
        <v>20332134</v>
      </c>
      <c r="D1105" t="s">
        <v>156</v>
      </c>
      <c r="E1105" s="10">
        <v>46132.5625</v>
      </c>
      <c r="F1105" s="10">
        <v>46132.645833333336</v>
      </c>
      <c r="G1105">
        <v>2</v>
      </c>
      <c r="H1105" s="9">
        <f t="shared" si="51"/>
        <v>1.0999999999999999E-2</v>
      </c>
      <c r="I1105">
        <v>1.0999999999999999E-2</v>
      </c>
      <c r="M1105" t="s">
        <v>65</v>
      </c>
      <c r="N1105" t="s">
        <v>29</v>
      </c>
      <c r="P1105" t="s">
        <v>30</v>
      </c>
      <c r="Q1105" t="s">
        <v>31</v>
      </c>
      <c r="R1105">
        <v>82640</v>
      </c>
      <c r="S1105" t="s">
        <v>42</v>
      </c>
      <c r="T1105">
        <v>82611</v>
      </c>
      <c r="U1105" t="s">
        <v>43</v>
      </c>
      <c r="V1105" t="s">
        <v>66</v>
      </c>
      <c r="W1105" t="s">
        <v>44</v>
      </c>
      <c r="X1105" t="s">
        <v>44</v>
      </c>
      <c r="Y1105" s="9">
        <f t="shared" si="52"/>
        <v>0</v>
      </c>
      <c r="Z1105" t="str">
        <f t="shared" si="53"/>
        <v>สแกนต่าง Cost</v>
      </c>
    </row>
    <row r="1106" spans="1:26" x14ac:dyDescent="0.45">
      <c r="B1106" t="s">
        <v>53</v>
      </c>
      <c r="C1106">
        <v>20018899</v>
      </c>
      <c r="D1106" t="s">
        <v>64</v>
      </c>
      <c r="E1106" s="10">
        <v>46132.541666666664</v>
      </c>
      <c r="F1106" s="10">
        <v>46132.708333333336</v>
      </c>
      <c r="G1106">
        <v>4</v>
      </c>
      <c r="H1106" s="9">
        <f t="shared" si="51"/>
        <v>2.1000000000000001E-2</v>
      </c>
      <c r="I1106">
        <v>2.1000000000000001E-2</v>
      </c>
      <c r="M1106" t="s">
        <v>65</v>
      </c>
      <c r="N1106" t="s">
        <v>29</v>
      </c>
      <c r="P1106" t="s">
        <v>30</v>
      </c>
      <c r="Q1106" t="s">
        <v>31</v>
      </c>
      <c r="R1106">
        <v>82640</v>
      </c>
      <c r="S1106" t="s">
        <v>42</v>
      </c>
      <c r="T1106">
        <v>82652</v>
      </c>
      <c r="U1106" t="s">
        <v>46</v>
      </c>
      <c r="V1106" t="s">
        <v>66</v>
      </c>
      <c r="W1106" t="s">
        <v>37</v>
      </c>
      <c r="X1106" t="s">
        <v>34</v>
      </c>
      <c r="Y1106" s="9">
        <f t="shared" si="52"/>
        <v>0</v>
      </c>
      <c r="Z1106" t="str">
        <f t="shared" si="53"/>
        <v>สแกนต่าง Cost</v>
      </c>
    </row>
    <row r="1107" spans="1:26" x14ac:dyDescent="0.45">
      <c r="B1107" t="s">
        <v>53</v>
      </c>
      <c r="C1107">
        <v>20167851</v>
      </c>
      <c r="D1107" t="s">
        <v>63</v>
      </c>
      <c r="E1107" s="10">
        <v>46132.541666666664</v>
      </c>
      <c r="F1107" s="10">
        <v>46132.583333333336</v>
      </c>
      <c r="G1107">
        <v>1</v>
      </c>
      <c r="H1107" s="9">
        <f t="shared" si="51"/>
        <v>5.0000000000000001E-3</v>
      </c>
      <c r="I1107">
        <v>5.0000000000000001E-3</v>
      </c>
      <c r="M1107" t="s">
        <v>65</v>
      </c>
      <c r="N1107" t="s">
        <v>29</v>
      </c>
      <c r="P1107" t="s">
        <v>30</v>
      </c>
      <c r="Q1107" t="s">
        <v>31</v>
      </c>
      <c r="R1107">
        <v>82640</v>
      </c>
      <c r="S1107" t="s">
        <v>42</v>
      </c>
      <c r="T1107">
        <v>82630</v>
      </c>
      <c r="U1107" t="s">
        <v>32</v>
      </c>
      <c r="V1107" t="s">
        <v>66</v>
      </c>
      <c r="W1107" t="s">
        <v>44</v>
      </c>
      <c r="X1107" t="s">
        <v>44</v>
      </c>
      <c r="Y1107" s="9">
        <f t="shared" si="52"/>
        <v>0</v>
      </c>
      <c r="Z1107" t="str">
        <f t="shared" si="53"/>
        <v>สแกนต่าง Cost</v>
      </c>
    </row>
    <row r="1108" spans="1:26" x14ac:dyDescent="0.45">
      <c r="B1108" t="s">
        <v>53</v>
      </c>
      <c r="C1108">
        <v>20198842</v>
      </c>
      <c r="D1108" t="s">
        <v>257</v>
      </c>
      <c r="E1108" s="10">
        <v>46132.541666666664</v>
      </c>
      <c r="F1108" s="10">
        <v>46132.729166666664</v>
      </c>
      <c r="G1108">
        <v>4.5</v>
      </c>
      <c r="H1108" s="9">
        <f t="shared" si="51"/>
        <v>2.4E-2</v>
      </c>
      <c r="I1108">
        <v>2.4E-2</v>
      </c>
      <c r="M1108" t="s">
        <v>65</v>
      </c>
      <c r="N1108" t="s">
        <v>29</v>
      </c>
      <c r="P1108" t="s">
        <v>30</v>
      </c>
      <c r="Q1108" t="s">
        <v>31</v>
      </c>
      <c r="R1108">
        <v>82640</v>
      </c>
      <c r="S1108" t="s">
        <v>42</v>
      </c>
      <c r="T1108">
        <v>82612</v>
      </c>
      <c r="U1108" t="s">
        <v>153</v>
      </c>
      <c r="V1108" t="s">
        <v>66</v>
      </c>
      <c r="W1108" t="s">
        <v>44</v>
      </c>
      <c r="X1108" t="s">
        <v>44</v>
      </c>
      <c r="Y1108" s="9">
        <f t="shared" si="52"/>
        <v>0</v>
      </c>
      <c r="Z1108" t="str">
        <f t="shared" si="53"/>
        <v>สแกนต่าง Cost</v>
      </c>
    </row>
    <row r="1109" spans="1:26" x14ac:dyDescent="0.45">
      <c r="B1109" t="s">
        <v>53</v>
      </c>
      <c r="C1109">
        <v>20198842</v>
      </c>
      <c r="D1109" t="s">
        <v>257</v>
      </c>
      <c r="E1109" s="10">
        <v>46132.541666666664</v>
      </c>
      <c r="F1109" s="10">
        <v>46132.645833333336</v>
      </c>
      <c r="G1109">
        <v>2.5</v>
      </c>
      <c r="H1109" s="9">
        <f t="shared" si="51"/>
        <v>1.2999999999999999E-2</v>
      </c>
      <c r="I1109">
        <v>1.2999999999999999E-2</v>
      </c>
      <c r="M1109" t="s">
        <v>65</v>
      </c>
      <c r="N1109" t="s">
        <v>29</v>
      </c>
      <c r="P1109" t="s">
        <v>30</v>
      </c>
      <c r="Q1109" t="s">
        <v>31</v>
      </c>
      <c r="R1109">
        <v>82640</v>
      </c>
      <c r="S1109" t="s">
        <v>42</v>
      </c>
      <c r="T1109">
        <v>82630</v>
      </c>
      <c r="U1109" t="s">
        <v>32</v>
      </c>
      <c r="V1109" t="s">
        <v>66</v>
      </c>
      <c r="W1109" t="s">
        <v>44</v>
      </c>
      <c r="X1109" t="s">
        <v>44</v>
      </c>
      <c r="Y1109" s="9">
        <f t="shared" si="52"/>
        <v>0</v>
      </c>
      <c r="Z1109" t="str">
        <f t="shared" si="53"/>
        <v>สแกนต่าง Cost</v>
      </c>
    </row>
    <row r="1110" spans="1:26" x14ac:dyDescent="0.45">
      <c r="B1110" t="s">
        <v>53</v>
      </c>
      <c r="C1110">
        <v>20220646</v>
      </c>
      <c r="D1110" t="s">
        <v>67</v>
      </c>
      <c r="E1110" s="10">
        <v>46132.541666666664</v>
      </c>
      <c r="F1110" s="10">
        <v>46132.708333333336</v>
      </c>
      <c r="G1110">
        <v>4</v>
      </c>
      <c r="H1110" s="9">
        <f t="shared" si="51"/>
        <v>2.1000000000000001E-2</v>
      </c>
      <c r="I1110">
        <v>2.1000000000000001E-2</v>
      </c>
      <c r="M1110" t="s">
        <v>65</v>
      </c>
      <c r="N1110" t="s">
        <v>29</v>
      </c>
      <c r="P1110" t="s">
        <v>30</v>
      </c>
      <c r="Q1110" t="s">
        <v>31</v>
      </c>
      <c r="R1110">
        <v>82640</v>
      </c>
      <c r="S1110" t="s">
        <v>42</v>
      </c>
      <c r="T1110">
        <v>82652</v>
      </c>
      <c r="U1110" t="s">
        <v>46</v>
      </c>
      <c r="V1110" t="s">
        <v>66</v>
      </c>
      <c r="W1110" t="s">
        <v>37</v>
      </c>
      <c r="X1110" t="s">
        <v>34</v>
      </c>
      <c r="Y1110" s="9">
        <f t="shared" si="52"/>
        <v>0</v>
      </c>
      <c r="Z1110" t="str">
        <f t="shared" si="53"/>
        <v>สแกนต่าง Cost</v>
      </c>
    </row>
    <row r="1111" spans="1:26" x14ac:dyDescent="0.45">
      <c r="B1111" t="s">
        <v>53</v>
      </c>
      <c r="C1111">
        <v>20244923</v>
      </c>
      <c r="D1111" t="s">
        <v>246</v>
      </c>
      <c r="E1111" s="10">
        <v>46132.541666666664</v>
      </c>
      <c r="F1111" s="10">
        <v>46132.729166666664</v>
      </c>
      <c r="G1111">
        <v>4.5</v>
      </c>
      <c r="H1111" s="9">
        <f t="shared" si="51"/>
        <v>2.4E-2</v>
      </c>
      <c r="I1111">
        <v>2.4E-2</v>
      </c>
      <c r="M1111" t="s">
        <v>65</v>
      </c>
      <c r="N1111" t="s">
        <v>29</v>
      </c>
      <c r="P1111" t="s">
        <v>30</v>
      </c>
      <c r="Q1111" t="s">
        <v>31</v>
      </c>
      <c r="R1111">
        <v>82640</v>
      </c>
      <c r="S1111" t="s">
        <v>42</v>
      </c>
      <c r="T1111">
        <v>82630</v>
      </c>
      <c r="U1111" t="s">
        <v>32</v>
      </c>
      <c r="V1111" t="s">
        <v>66</v>
      </c>
      <c r="W1111" t="s">
        <v>44</v>
      </c>
      <c r="X1111" t="s">
        <v>44</v>
      </c>
      <c r="Y1111" s="9">
        <f t="shared" si="52"/>
        <v>0</v>
      </c>
      <c r="Z1111" t="str">
        <f t="shared" si="53"/>
        <v>สแกนต่าง Cost</v>
      </c>
    </row>
    <row r="1112" spans="1:26" x14ac:dyDescent="0.45">
      <c r="B1112" t="s">
        <v>53</v>
      </c>
      <c r="C1112">
        <v>20280718</v>
      </c>
      <c r="D1112" t="s">
        <v>256</v>
      </c>
      <c r="E1112" s="10">
        <v>46132.541666666664</v>
      </c>
      <c r="F1112" s="10">
        <v>46132.604166666664</v>
      </c>
      <c r="G1112">
        <v>1.5</v>
      </c>
      <c r="H1112" s="9">
        <f t="shared" si="51"/>
        <v>8.0000000000000002E-3</v>
      </c>
      <c r="J1112">
        <v>8.0000000000000002E-3</v>
      </c>
      <c r="M1112" t="s">
        <v>77</v>
      </c>
      <c r="N1112" t="s">
        <v>40</v>
      </c>
      <c r="O1112" t="s">
        <v>78</v>
      </c>
      <c r="P1112" t="s">
        <v>30</v>
      </c>
      <c r="Q1112" t="s">
        <v>31</v>
      </c>
      <c r="R1112">
        <v>82640</v>
      </c>
      <c r="S1112" t="s">
        <v>42</v>
      </c>
      <c r="T1112">
        <v>82630</v>
      </c>
      <c r="U1112" t="s">
        <v>32</v>
      </c>
      <c r="V1112" t="s">
        <v>66</v>
      </c>
      <c r="W1112" t="s">
        <v>44</v>
      </c>
      <c r="X1112" t="s">
        <v>44</v>
      </c>
      <c r="Y1112" s="9">
        <f t="shared" si="52"/>
        <v>8.0000000000000002E-3</v>
      </c>
      <c r="Z1112" t="str">
        <f t="shared" si="53"/>
        <v>สแกนต่าง Cost</v>
      </c>
    </row>
    <row r="1113" spans="1:26" x14ac:dyDescent="0.45">
      <c r="B1113" t="s">
        <v>53</v>
      </c>
      <c r="C1113">
        <v>20310530</v>
      </c>
      <c r="D1113" t="s">
        <v>220</v>
      </c>
      <c r="E1113" s="10">
        <v>46132.541666666664</v>
      </c>
      <c r="F1113" s="10">
        <v>46132.5625</v>
      </c>
      <c r="G1113">
        <v>0.5</v>
      </c>
      <c r="H1113" s="9">
        <f t="shared" si="51"/>
        <v>3.0000000000000001E-3</v>
      </c>
      <c r="I1113">
        <v>3.0000000000000001E-3</v>
      </c>
      <c r="M1113" t="s">
        <v>65</v>
      </c>
      <c r="N1113" t="s">
        <v>29</v>
      </c>
      <c r="P1113" t="s">
        <v>30</v>
      </c>
      <c r="Q1113" t="s">
        <v>31</v>
      </c>
      <c r="R1113">
        <v>82640</v>
      </c>
      <c r="S1113" t="s">
        <v>42</v>
      </c>
      <c r="T1113">
        <v>82630</v>
      </c>
      <c r="U1113" t="s">
        <v>32</v>
      </c>
      <c r="V1113" t="s">
        <v>66</v>
      </c>
      <c r="W1113" t="s">
        <v>44</v>
      </c>
      <c r="X1113" t="s">
        <v>44</v>
      </c>
      <c r="Y1113" s="9">
        <f t="shared" si="52"/>
        <v>0</v>
      </c>
      <c r="Z1113" t="str">
        <f t="shared" si="53"/>
        <v>สแกนต่าง Cost</v>
      </c>
    </row>
    <row r="1114" spans="1:26" x14ac:dyDescent="0.45">
      <c r="B1114" t="s">
        <v>53</v>
      </c>
      <c r="C1114">
        <v>20310532</v>
      </c>
      <c r="D1114" t="s">
        <v>61</v>
      </c>
      <c r="E1114" s="10">
        <v>46132.541666666664</v>
      </c>
      <c r="F1114" s="10">
        <v>46132.729166666664</v>
      </c>
      <c r="G1114">
        <v>4.5</v>
      </c>
      <c r="H1114" s="9">
        <f t="shared" si="51"/>
        <v>2.4E-2</v>
      </c>
      <c r="I1114">
        <v>2.4E-2</v>
      </c>
      <c r="M1114" t="s">
        <v>65</v>
      </c>
      <c r="N1114" t="s">
        <v>29</v>
      </c>
      <c r="P1114" t="s">
        <v>30</v>
      </c>
      <c r="Q1114" t="s">
        <v>31</v>
      </c>
      <c r="R1114">
        <v>82640</v>
      </c>
      <c r="S1114" t="s">
        <v>42</v>
      </c>
      <c r="T1114">
        <v>82630</v>
      </c>
      <c r="U1114" t="s">
        <v>32</v>
      </c>
      <c r="V1114" t="s">
        <v>66</v>
      </c>
      <c r="W1114" t="s">
        <v>44</v>
      </c>
      <c r="X1114" t="s">
        <v>44</v>
      </c>
      <c r="Y1114" s="9">
        <f t="shared" si="52"/>
        <v>0</v>
      </c>
      <c r="Z1114" t="str">
        <f t="shared" si="53"/>
        <v>สแกนต่าง Cost</v>
      </c>
    </row>
    <row r="1115" spans="1:26" x14ac:dyDescent="0.45">
      <c r="B1115" t="s">
        <v>53</v>
      </c>
      <c r="C1115">
        <v>20332134</v>
      </c>
      <c r="D1115" t="s">
        <v>156</v>
      </c>
      <c r="E1115" s="10">
        <v>46132.541666666664</v>
      </c>
      <c r="F1115" s="10">
        <v>46132.5625</v>
      </c>
      <c r="G1115">
        <v>0.5</v>
      </c>
      <c r="H1115" s="9">
        <f t="shared" si="51"/>
        <v>3.0000000000000001E-3</v>
      </c>
      <c r="I1115">
        <v>3.0000000000000001E-3</v>
      </c>
      <c r="M1115" t="s">
        <v>65</v>
      </c>
      <c r="N1115" t="s">
        <v>29</v>
      </c>
      <c r="P1115" t="s">
        <v>30</v>
      </c>
      <c r="Q1115" t="s">
        <v>31</v>
      </c>
      <c r="R1115">
        <v>82640</v>
      </c>
      <c r="S1115" t="s">
        <v>42</v>
      </c>
      <c r="T1115">
        <v>82630</v>
      </c>
      <c r="U1115" t="s">
        <v>32</v>
      </c>
      <c r="V1115" t="s">
        <v>66</v>
      </c>
      <c r="W1115" t="s">
        <v>44</v>
      </c>
      <c r="X1115" t="s">
        <v>44</v>
      </c>
      <c r="Y1115" s="9">
        <f t="shared" si="52"/>
        <v>0</v>
      </c>
      <c r="Z1115" t="str">
        <f t="shared" si="53"/>
        <v>สแกนต่าง Cost</v>
      </c>
    </row>
    <row r="1116" spans="1:26" x14ac:dyDescent="0.45">
      <c r="B1116" t="s">
        <v>53</v>
      </c>
      <c r="C1116">
        <v>20368087</v>
      </c>
      <c r="D1116" t="s">
        <v>260</v>
      </c>
      <c r="E1116" s="10">
        <v>46132.541666666664</v>
      </c>
      <c r="F1116" s="10">
        <v>46132.604166666664</v>
      </c>
      <c r="G1116">
        <v>1.5</v>
      </c>
      <c r="H1116" s="9">
        <f t="shared" si="51"/>
        <v>8.0000000000000002E-3</v>
      </c>
      <c r="I1116">
        <v>8.0000000000000002E-3</v>
      </c>
      <c r="M1116" t="s">
        <v>65</v>
      </c>
      <c r="N1116" t="s">
        <v>29</v>
      </c>
      <c r="P1116" t="s">
        <v>30</v>
      </c>
      <c r="Q1116" t="s">
        <v>31</v>
      </c>
      <c r="R1116">
        <v>82640</v>
      </c>
      <c r="S1116" t="s">
        <v>42</v>
      </c>
      <c r="T1116">
        <v>82612</v>
      </c>
      <c r="U1116" t="s">
        <v>153</v>
      </c>
      <c r="V1116" t="s">
        <v>66</v>
      </c>
      <c r="W1116" t="s">
        <v>44</v>
      </c>
      <c r="X1116" t="s">
        <v>44</v>
      </c>
      <c r="Y1116" s="9">
        <f t="shared" si="52"/>
        <v>0</v>
      </c>
      <c r="Z1116" t="str">
        <f t="shared" si="53"/>
        <v>สแกนต่าง Cost</v>
      </c>
    </row>
    <row r="1117" spans="1:26" x14ac:dyDescent="0.45">
      <c r="A1117">
        <v>26643</v>
      </c>
      <c r="B1117" t="s">
        <v>53</v>
      </c>
      <c r="C1117">
        <v>20048905</v>
      </c>
      <c r="D1117" t="s">
        <v>73</v>
      </c>
      <c r="E1117" s="10">
        <v>46132.511111111111</v>
      </c>
      <c r="F1117" s="10">
        <v>46132.975694444445</v>
      </c>
      <c r="G1117">
        <v>11.15</v>
      </c>
      <c r="H1117" s="9">
        <f t="shared" si="51"/>
        <v>5.8999999999999997E-2</v>
      </c>
      <c r="I1117">
        <v>4.4999999999999998E-2</v>
      </c>
      <c r="K1117">
        <v>1.4E-2</v>
      </c>
      <c r="M1117" t="s">
        <v>28</v>
      </c>
      <c r="N1117" t="s">
        <v>40</v>
      </c>
      <c r="O1117" t="s">
        <v>41</v>
      </c>
      <c r="P1117" t="s">
        <v>30</v>
      </c>
      <c r="Q1117" t="s">
        <v>31</v>
      </c>
      <c r="R1117">
        <v>82409</v>
      </c>
      <c r="S1117" t="s">
        <v>74</v>
      </c>
      <c r="T1117">
        <v>82664</v>
      </c>
      <c r="U1117" t="s">
        <v>75</v>
      </c>
      <c r="V1117" t="s">
        <v>75</v>
      </c>
      <c r="W1117" t="s">
        <v>74</v>
      </c>
      <c r="X1117" t="s">
        <v>74</v>
      </c>
      <c r="Y1117" s="9">
        <f t="shared" si="52"/>
        <v>1.4E-2</v>
      </c>
      <c r="Z1117" t="str">
        <f t="shared" si="53"/>
        <v>สแกนต่าง Cost</v>
      </c>
    </row>
    <row r="1118" spans="1:26" x14ac:dyDescent="0.45">
      <c r="B1118" t="s">
        <v>53</v>
      </c>
      <c r="C1118">
        <v>20280718</v>
      </c>
      <c r="D1118" t="s">
        <v>256</v>
      </c>
      <c r="E1118" s="10">
        <v>46132.479166666664</v>
      </c>
      <c r="F1118" s="10">
        <v>46132.5</v>
      </c>
      <c r="G1118">
        <v>0.5</v>
      </c>
      <c r="H1118" s="9">
        <f t="shared" si="51"/>
        <v>3.0000000000000001E-3</v>
      </c>
      <c r="J1118">
        <v>3.0000000000000001E-3</v>
      </c>
      <c r="M1118" t="s">
        <v>77</v>
      </c>
      <c r="N1118" t="s">
        <v>40</v>
      </c>
      <c r="O1118" t="s">
        <v>78</v>
      </c>
      <c r="P1118" t="s">
        <v>30</v>
      </c>
      <c r="Q1118" t="s">
        <v>31</v>
      </c>
      <c r="R1118">
        <v>82640</v>
      </c>
      <c r="S1118" t="s">
        <v>42</v>
      </c>
      <c r="T1118">
        <v>82611</v>
      </c>
      <c r="U1118" t="s">
        <v>43</v>
      </c>
      <c r="V1118" t="s">
        <v>66</v>
      </c>
      <c r="W1118" t="s">
        <v>44</v>
      </c>
      <c r="X1118" t="s">
        <v>44</v>
      </c>
      <c r="Y1118" s="9">
        <f t="shared" si="52"/>
        <v>3.0000000000000001E-3</v>
      </c>
      <c r="Z1118" t="str">
        <f t="shared" si="53"/>
        <v>สแกนต่าง Cost</v>
      </c>
    </row>
    <row r="1119" spans="1:26" x14ac:dyDescent="0.45">
      <c r="B1119" t="s">
        <v>53</v>
      </c>
      <c r="C1119">
        <v>20332134</v>
      </c>
      <c r="D1119" t="s">
        <v>156</v>
      </c>
      <c r="E1119" s="10">
        <v>46132.479166666664</v>
      </c>
      <c r="F1119" s="10">
        <v>46132.5</v>
      </c>
      <c r="G1119">
        <v>0.5</v>
      </c>
      <c r="H1119" s="9">
        <f t="shared" si="51"/>
        <v>3.0000000000000001E-3</v>
      </c>
      <c r="I1119">
        <v>3.0000000000000001E-3</v>
      </c>
      <c r="M1119" t="s">
        <v>65</v>
      </c>
      <c r="N1119" t="s">
        <v>29</v>
      </c>
      <c r="P1119" t="s">
        <v>30</v>
      </c>
      <c r="Q1119" t="s">
        <v>31</v>
      </c>
      <c r="R1119">
        <v>82640</v>
      </c>
      <c r="S1119" t="s">
        <v>42</v>
      </c>
      <c r="T1119">
        <v>82630</v>
      </c>
      <c r="U1119" t="s">
        <v>32</v>
      </c>
      <c r="V1119" t="s">
        <v>66</v>
      </c>
      <c r="W1119" t="s">
        <v>44</v>
      </c>
      <c r="X1119" t="s">
        <v>44</v>
      </c>
      <c r="Y1119" s="9">
        <f t="shared" si="52"/>
        <v>0</v>
      </c>
      <c r="Z1119" t="str">
        <f t="shared" si="53"/>
        <v>สแกนต่าง Cost</v>
      </c>
    </row>
    <row r="1120" spans="1:26" x14ac:dyDescent="0.45">
      <c r="B1120" t="s">
        <v>53</v>
      </c>
      <c r="C1120">
        <v>20280718</v>
      </c>
      <c r="D1120" t="s">
        <v>256</v>
      </c>
      <c r="E1120" s="10">
        <v>46132.458333333336</v>
      </c>
      <c r="F1120" s="10">
        <v>46132.479166666664</v>
      </c>
      <c r="G1120">
        <v>0.5</v>
      </c>
      <c r="H1120" s="9">
        <f t="shared" si="51"/>
        <v>3.0000000000000001E-3</v>
      </c>
      <c r="J1120">
        <v>3.0000000000000001E-3</v>
      </c>
      <c r="M1120" t="s">
        <v>77</v>
      </c>
      <c r="N1120" t="s">
        <v>40</v>
      </c>
      <c r="O1120" t="s">
        <v>78</v>
      </c>
      <c r="P1120" t="s">
        <v>30</v>
      </c>
      <c r="Q1120" t="s">
        <v>31</v>
      </c>
      <c r="R1120">
        <v>82640</v>
      </c>
      <c r="S1120" t="s">
        <v>42</v>
      </c>
      <c r="T1120">
        <v>82630</v>
      </c>
      <c r="U1120" t="s">
        <v>32</v>
      </c>
      <c r="V1120" t="s">
        <v>66</v>
      </c>
      <c r="W1120" t="s">
        <v>44</v>
      </c>
      <c r="X1120" t="s">
        <v>44</v>
      </c>
      <c r="Y1120" s="9">
        <f t="shared" si="52"/>
        <v>3.0000000000000001E-3</v>
      </c>
      <c r="Z1120" t="str">
        <f t="shared" si="53"/>
        <v>สแกนต่าง Cost</v>
      </c>
    </row>
    <row r="1121" spans="1:26" x14ac:dyDescent="0.45">
      <c r="B1121" t="s">
        <v>53</v>
      </c>
      <c r="C1121">
        <v>20368087</v>
      </c>
      <c r="D1121" t="s">
        <v>260</v>
      </c>
      <c r="E1121" s="10">
        <v>46132.458333333336</v>
      </c>
      <c r="F1121" s="10">
        <v>46132.5</v>
      </c>
      <c r="G1121">
        <v>1</v>
      </c>
      <c r="H1121" s="9">
        <f t="shared" si="51"/>
        <v>5.0000000000000001E-3</v>
      </c>
      <c r="I1121">
        <v>5.0000000000000001E-3</v>
      </c>
      <c r="M1121" t="s">
        <v>65</v>
      </c>
      <c r="N1121" t="s">
        <v>29</v>
      </c>
      <c r="P1121" t="s">
        <v>30</v>
      </c>
      <c r="Q1121" t="s">
        <v>31</v>
      </c>
      <c r="R1121">
        <v>82640</v>
      </c>
      <c r="S1121" t="s">
        <v>42</v>
      </c>
      <c r="T1121">
        <v>82612</v>
      </c>
      <c r="U1121" t="s">
        <v>153</v>
      </c>
      <c r="V1121" t="s">
        <v>66</v>
      </c>
      <c r="W1121" t="s">
        <v>44</v>
      </c>
      <c r="X1121" t="s">
        <v>44</v>
      </c>
      <c r="Y1121" s="9">
        <f t="shared" si="52"/>
        <v>0</v>
      </c>
      <c r="Z1121" t="str">
        <f t="shared" si="53"/>
        <v>สแกนต่าง Cost</v>
      </c>
    </row>
    <row r="1122" spans="1:26" x14ac:dyDescent="0.45">
      <c r="B1122" t="s">
        <v>26</v>
      </c>
      <c r="C1122">
        <v>20403252</v>
      </c>
      <c r="D1122" t="s">
        <v>124</v>
      </c>
      <c r="E1122" s="10">
        <v>46132.455555555556</v>
      </c>
      <c r="F1122" s="10">
        <v>46132.830555555556</v>
      </c>
      <c r="G1122">
        <v>8</v>
      </c>
      <c r="H1122" s="9">
        <f t="shared" si="51"/>
        <v>4.2999999999999997E-2</v>
      </c>
      <c r="I1122">
        <v>4.2999999999999997E-2</v>
      </c>
      <c r="M1122" t="s">
        <v>48</v>
      </c>
      <c r="N1122" t="s">
        <v>48</v>
      </c>
      <c r="P1122" t="s">
        <v>30</v>
      </c>
      <c r="Q1122" t="s">
        <v>31</v>
      </c>
      <c r="R1122">
        <v>82400</v>
      </c>
      <c r="S1122" t="s">
        <v>83</v>
      </c>
      <c r="T1122">
        <v>82658</v>
      </c>
      <c r="U1122" t="s">
        <v>33</v>
      </c>
      <c r="V1122" t="s">
        <v>33</v>
      </c>
      <c r="W1122" t="s">
        <v>34</v>
      </c>
      <c r="X1122" t="s">
        <v>34</v>
      </c>
      <c r="Y1122" s="9">
        <f t="shared" si="52"/>
        <v>0</v>
      </c>
      <c r="Z1122" t="str">
        <f t="shared" si="53"/>
        <v>สแกนต่าง Cost</v>
      </c>
    </row>
    <row r="1123" spans="1:26" x14ac:dyDescent="0.45">
      <c r="B1123" t="s">
        <v>26</v>
      </c>
      <c r="C1123">
        <v>20403253</v>
      </c>
      <c r="D1123" t="s">
        <v>125</v>
      </c>
      <c r="E1123" s="10">
        <v>46132.455555555556</v>
      </c>
      <c r="F1123" s="10">
        <v>46132.830555555556</v>
      </c>
      <c r="G1123">
        <v>8</v>
      </c>
      <c r="H1123" s="9">
        <f t="shared" si="51"/>
        <v>4.2999999999999997E-2</v>
      </c>
      <c r="I1123">
        <v>4.2999999999999997E-2</v>
      </c>
      <c r="M1123" t="s">
        <v>48</v>
      </c>
      <c r="N1123" t="s">
        <v>48</v>
      </c>
      <c r="P1123" t="s">
        <v>30</v>
      </c>
      <c r="Q1123" t="s">
        <v>31</v>
      </c>
      <c r="R1123">
        <v>82400</v>
      </c>
      <c r="S1123" t="s">
        <v>83</v>
      </c>
      <c r="T1123">
        <v>82658</v>
      </c>
      <c r="U1123" t="s">
        <v>33</v>
      </c>
      <c r="V1123" t="s">
        <v>33</v>
      </c>
      <c r="W1123" t="s">
        <v>34</v>
      </c>
      <c r="X1123" t="s">
        <v>34</v>
      </c>
      <c r="Y1123" s="9">
        <f t="shared" si="52"/>
        <v>0</v>
      </c>
      <c r="Z1123" t="str">
        <f t="shared" si="53"/>
        <v>สแกนต่าง Cost</v>
      </c>
    </row>
    <row r="1124" spans="1:26" x14ac:dyDescent="0.45">
      <c r="B1124" t="s">
        <v>53</v>
      </c>
      <c r="C1124">
        <v>20332134</v>
      </c>
      <c r="D1124" t="s">
        <v>156</v>
      </c>
      <c r="E1124" s="10">
        <v>46132.4375</v>
      </c>
      <c r="F1124" s="10">
        <v>46132.479166666664</v>
      </c>
      <c r="G1124">
        <v>1</v>
      </c>
      <c r="H1124" s="9">
        <f t="shared" si="51"/>
        <v>5.0000000000000001E-3</v>
      </c>
      <c r="I1124">
        <v>5.0000000000000001E-3</v>
      </c>
      <c r="M1124" t="s">
        <v>65</v>
      </c>
      <c r="N1124" t="s">
        <v>29</v>
      </c>
      <c r="P1124" t="s">
        <v>30</v>
      </c>
      <c r="Q1124" t="s">
        <v>31</v>
      </c>
      <c r="R1124">
        <v>82640</v>
      </c>
      <c r="S1124" t="s">
        <v>42</v>
      </c>
      <c r="T1124">
        <v>82612</v>
      </c>
      <c r="U1124" t="s">
        <v>153</v>
      </c>
      <c r="V1124" t="s">
        <v>66</v>
      </c>
      <c r="W1124" t="s">
        <v>44</v>
      </c>
      <c r="X1124" t="s">
        <v>44</v>
      </c>
      <c r="Y1124" s="9">
        <f t="shared" si="52"/>
        <v>0</v>
      </c>
      <c r="Z1124" t="str">
        <f t="shared" si="53"/>
        <v>สแกนต่าง Cost</v>
      </c>
    </row>
    <row r="1125" spans="1:26" x14ac:dyDescent="0.45">
      <c r="A1125">
        <v>26870</v>
      </c>
      <c r="B1125" t="s">
        <v>53</v>
      </c>
      <c r="C1125">
        <v>20190547</v>
      </c>
      <c r="D1125" t="s">
        <v>68</v>
      </c>
      <c r="E1125" s="10">
        <v>46132.418055555558</v>
      </c>
      <c r="F1125" s="10">
        <v>46132.586111111108</v>
      </c>
      <c r="G1125">
        <v>4.0333333333333332</v>
      </c>
      <c r="H1125" s="9">
        <f t="shared" si="51"/>
        <v>2.1999999999999999E-2</v>
      </c>
      <c r="I1125">
        <v>2.1999999999999999E-2</v>
      </c>
      <c r="M1125" t="s">
        <v>65</v>
      </c>
      <c r="N1125" t="s">
        <v>29</v>
      </c>
      <c r="P1125" t="s">
        <v>30</v>
      </c>
      <c r="Q1125" t="s">
        <v>31</v>
      </c>
      <c r="R1125">
        <v>82308</v>
      </c>
      <c r="S1125" t="s">
        <v>69</v>
      </c>
      <c r="T1125">
        <v>82640</v>
      </c>
      <c r="U1125" t="s">
        <v>42</v>
      </c>
      <c r="V1125" t="s">
        <v>70</v>
      </c>
      <c r="W1125" t="s">
        <v>71</v>
      </c>
      <c r="X1125" t="s">
        <v>72</v>
      </c>
      <c r="Y1125" s="9">
        <f t="shared" si="52"/>
        <v>0</v>
      </c>
      <c r="Z1125" t="str">
        <f t="shared" si="53"/>
        <v>สแกนต่าง Cost</v>
      </c>
    </row>
    <row r="1126" spans="1:26" x14ac:dyDescent="0.45">
      <c r="B1126" t="s">
        <v>53</v>
      </c>
      <c r="C1126">
        <v>20060579</v>
      </c>
      <c r="D1126" t="s">
        <v>39</v>
      </c>
      <c r="E1126" s="10">
        <v>46132.416666666664</v>
      </c>
      <c r="F1126" s="10">
        <v>46132.479166666664</v>
      </c>
      <c r="G1126">
        <v>1.5</v>
      </c>
      <c r="H1126" s="9">
        <f t="shared" si="51"/>
        <v>8.0000000000000002E-3</v>
      </c>
      <c r="I1126">
        <v>8.0000000000000002E-3</v>
      </c>
      <c r="M1126" t="s">
        <v>65</v>
      </c>
      <c r="N1126" t="s">
        <v>29</v>
      </c>
      <c r="P1126" t="s">
        <v>30</v>
      </c>
      <c r="Q1126" t="s">
        <v>31</v>
      </c>
      <c r="R1126">
        <v>82640</v>
      </c>
      <c r="S1126" t="s">
        <v>42</v>
      </c>
      <c r="T1126">
        <v>82630</v>
      </c>
      <c r="U1126" t="s">
        <v>32</v>
      </c>
      <c r="V1126" t="s">
        <v>66</v>
      </c>
      <c r="W1126" t="s">
        <v>44</v>
      </c>
      <c r="X1126" t="s">
        <v>44</v>
      </c>
      <c r="Y1126" s="9">
        <f t="shared" si="52"/>
        <v>0</v>
      </c>
      <c r="Z1126" t="str">
        <f t="shared" si="53"/>
        <v>สแกนต่าง Cost</v>
      </c>
    </row>
    <row r="1127" spans="1:26" x14ac:dyDescent="0.45">
      <c r="B1127" t="s">
        <v>53</v>
      </c>
      <c r="C1127">
        <v>20198842</v>
      </c>
      <c r="D1127" t="s">
        <v>257</v>
      </c>
      <c r="E1127" s="10">
        <v>46132.416666666664</v>
      </c>
      <c r="F1127" s="10">
        <v>46132.479166666664</v>
      </c>
      <c r="G1127">
        <v>1.5</v>
      </c>
      <c r="H1127" s="9">
        <f t="shared" si="51"/>
        <v>8.0000000000000002E-3</v>
      </c>
      <c r="I1127">
        <v>8.0000000000000002E-3</v>
      </c>
      <c r="M1127" t="s">
        <v>65</v>
      </c>
      <c r="N1127" t="s">
        <v>29</v>
      </c>
      <c r="P1127" t="s">
        <v>30</v>
      </c>
      <c r="Q1127" t="s">
        <v>31</v>
      </c>
      <c r="R1127">
        <v>82640</v>
      </c>
      <c r="S1127" t="s">
        <v>42</v>
      </c>
      <c r="T1127">
        <v>82630</v>
      </c>
      <c r="U1127" t="s">
        <v>32</v>
      </c>
      <c r="V1127" t="s">
        <v>66</v>
      </c>
      <c r="W1127" t="s">
        <v>44</v>
      </c>
      <c r="X1127" t="s">
        <v>44</v>
      </c>
      <c r="Y1127" s="9">
        <f t="shared" si="52"/>
        <v>0</v>
      </c>
      <c r="Z1127" t="str">
        <f t="shared" si="53"/>
        <v>สแกนต่าง Cost</v>
      </c>
    </row>
    <row r="1128" spans="1:26" x14ac:dyDescent="0.45">
      <c r="B1128" t="s">
        <v>53</v>
      </c>
      <c r="C1128">
        <v>20244923</v>
      </c>
      <c r="D1128" t="s">
        <v>246</v>
      </c>
      <c r="E1128" s="10">
        <v>46132.416666666664</v>
      </c>
      <c r="F1128" s="10">
        <v>46132.5</v>
      </c>
      <c r="G1128">
        <v>2</v>
      </c>
      <c r="H1128" s="9">
        <f t="shared" si="51"/>
        <v>1.0999999999999999E-2</v>
      </c>
      <c r="I1128">
        <v>1.0999999999999999E-2</v>
      </c>
      <c r="M1128" t="s">
        <v>65</v>
      </c>
      <c r="N1128" t="s">
        <v>29</v>
      </c>
      <c r="P1128" t="s">
        <v>30</v>
      </c>
      <c r="Q1128" t="s">
        <v>31</v>
      </c>
      <c r="R1128">
        <v>82640</v>
      </c>
      <c r="S1128" t="s">
        <v>42</v>
      </c>
      <c r="T1128">
        <v>82630</v>
      </c>
      <c r="U1128" t="s">
        <v>32</v>
      </c>
      <c r="V1128" t="s">
        <v>66</v>
      </c>
      <c r="W1128" t="s">
        <v>44</v>
      </c>
      <c r="X1128" t="s">
        <v>44</v>
      </c>
      <c r="Y1128" s="9">
        <f t="shared" si="52"/>
        <v>0</v>
      </c>
      <c r="Z1128" t="str">
        <f t="shared" si="53"/>
        <v>สแกนต่าง Cost</v>
      </c>
    </row>
    <row r="1129" spans="1:26" x14ac:dyDescent="0.45">
      <c r="B1129" t="s">
        <v>53</v>
      </c>
      <c r="C1129">
        <v>20280718</v>
      </c>
      <c r="D1129" t="s">
        <v>256</v>
      </c>
      <c r="E1129" s="10">
        <v>46132.416666666664</v>
      </c>
      <c r="F1129" s="10">
        <v>46132.458333333336</v>
      </c>
      <c r="G1129">
        <v>1</v>
      </c>
      <c r="H1129" s="9">
        <f t="shared" si="51"/>
        <v>5.0000000000000001E-3</v>
      </c>
      <c r="J1129">
        <v>5.0000000000000001E-3</v>
      </c>
      <c r="M1129" t="s">
        <v>77</v>
      </c>
      <c r="N1129" t="s">
        <v>40</v>
      </c>
      <c r="O1129" t="s">
        <v>78</v>
      </c>
      <c r="P1129" t="s">
        <v>30</v>
      </c>
      <c r="Q1129" t="s">
        <v>31</v>
      </c>
      <c r="R1129">
        <v>82640</v>
      </c>
      <c r="S1129" t="s">
        <v>42</v>
      </c>
      <c r="T1129">
        <v>82611</v>
      </c>
      <c r="U1129" t="s">
        <v>43</v>
      </c>
      <c r="V1129" t="s">
        <v>66</v>
      </c>
      <c r="W1129" t="s">
        <v>44</v>
      </c>
      <c r="X1129" t="s">
        <v>44</v>
      </c>
      <c r="Y1129" s="9">
        <f t="shared" si="52"/>
        <v>5.0000000000000001E-3</v>
      </c>
      <c r="Z1129" t="str">
        <f t="shared" si="53"/>
        <v>สแกนต่าง Cost</v>
      </c>
    </row>
    <row r="1130" spans="1:26" x14ac:dyDescent="0.45">
      <c r="B1130" t="s">
        <v>53</v>
      </c>
      <c r="C1130">
        <v>20342024</v>
      </c>
      <c r="D1130" t="s">
        <v>304</v>
      </c>
      <c r="E1130" s="10">
        <v>46132.416666666664</v>
      </c>
      <c r="F1130" s="10">
        <v>46132.729166666664</v>
      </c>
      <c r="G1130">
        <v>6.5</v>
      </c>
      <c r="H1130" s="9">
        <f t="shared" si="51"/>
        <v>3.5000000000000003E-2</v>
      </c>
      <c r="I1130">
        <v>3.5000000000000003E-2</v>
      </c>
      <c r="M1130" t="s">
        <v>65</v>
      </c>
      <c r="N1130" t="s">
        <v>29</v>
      </c>
      <c r="P1130" t="s">
        <v>30</v>
      </c>
      <c r="Q1130" t="s">
        <v>31</v>
      </c>
      <c r="R1130">
        <v>82640</v>
      </c>
      <c r="S1130" t="s">
        <v>42</v>
      </c>
      <c r="T1130">
        <v>82611</v>
      </c>
      <c r="U1130" t="s">
        <v>43</v>
      </c>
      <c r="V1130" t="s">
        <v>43</v>
      </c>
      <c r="W1130" t="s">
        <v>47</v>
      </c>
      <c r="X1130" t="s">
        <v>192</v>
      </c>
      <c r="Y1130" s="9">
        <f t="shared" si="52"/>
        <v>0</v>
      </c>
      <c r="Z1130" t="str">
        <f t="shared" si="53"/>
        <v>สแกนต่าง Cost</v>
      </c>
    </row>
    <row r="1131" spans="1:26" x14ac:dyDescent="0.45">
      <c r="B1131" t="s">
        <v>53</v>
      </c>
      <c r="C1131">
        <v>20015375</v>
      </c>
      <c r="D1131" t="s">
        <v>305</v>
      </c>
      <c r="E1131" s="10">
        <v>46132.395833333336</v>
      </c>
      <c r="F1131" s="10">
        <v>46132.729166666664</v>
      </c>
      <c r="G1131">
        <v>7</v>
      </c>
      <c r="H1131" s="9">
        <f t="shared" si="51"/>
        <v>3.6999999999999998E-2</v>
      </c>
      <c r="I1131">
        <v>3.6999999999999998E-2</v>
      </c>
      <c r="M1131" t="s">
        <v>65</v>
      </c>
      <c r="N1131" t="s">
        <v>29</v>
      </c>
      <c r="P1131" t="s">
        <v>30</v>
      </c>
      <c r="Q1131" t="s">
        <v>31</v>
      </c>
      <c r="R1131">
        <v>82640</v>
      </c>
      <c r="S1131" t="s">
        <v>42</v>
      </c>
      <c r="T1131">
        <v>82611</v>
      </c>
      <c r="U1131" t="s">
        <v>43</v>
      </c>
      <c r="V1131" t="s">
        <v>43</v>
      </c>
      <c r="W1131" t="s">
        <v>47</v>
      </c>
      <c r="X1131" t="s">
        <v>192</v>
      </c>
      <c r="Y1131" s="9">
        <f t="shared" si="52"/>
        <v>0</v>
      </c>
      <c r="Z1131" t="str">
        <f t="shared" si="53"/>
        <v>สแกนต่าง Cost</v>
      </c>
    </row>
    <row r="1132" spans="1:26" x14ac:dyDescent="0.45">
      <c r="B1132" t="s">
        <v>53</v>
      </c>
      <c r="C1132">
        <v>20060579</v>
      </c>
      <c r="D1132" t="s">
        <v>39</v>
      </c>
      <c r="E1132" s="10">
        <v>46132.395833333336</v>
      </c>
      <c r="F1132" s="10">
        <v>46132.416666666664</v>
      </c>
      <c r="G1132">
        <v>0.5</v>
      </c>
      <c r="H1132" s="9">
        <f t="shared" si="51"/>
        <v>3.0000000000000001E-3</v>
      </c>
      <c r="I1132">
        <v>3.0000000000000001E-3</v>
      </c>
      <c r="M1132" t="s">
        <v>65</v>
      </c>
      <c r="N1132" t="s">
        <v>29</v>
      </c>
      <c r="P1132" t="s">
        <v>30</v>
      </c>
      <c r="Q1132" t="s">
        <v>31</v>
      </c>
      <c r="R1132">
        <v>82640</v>
      </c>
      <c r="S1132" t="s">
        <v>42</v>
      </c>
      <c r="T1132">
        <v>82611</v>
      </c>
      <c r="U1132" t="s">
        <v>43</v>
      </c>
      <c r="V1132" t="s">
        <v>66</v>
      </c>
      <c r="W1132" t="s">
        <v>44</v>
      </c>
      <c r="X1132" t="s">
        <v>44</v>
      </c>
      <c r="Y1132" s="9">
        <f t="shared" si="52"/>
        <v>0</v>
      </c>
      <c r="Z1132" t="str">
        <f t="shared" si="53"/>
        <v>สแกนต่าง Cost</v>
      </c>
    </row>
    <row r="1133" spans="1:26" x14ac:dyDescent="0.45">
      <c r="B1133" t="s">
        <v>53</v>
      </c>
      <c r="C1133">
        <v>20165524</v>
      </c>
      <c r="D1133" t="s">
        <v>306</v>
      </c>
      <c r="E1133" s="10">
        <v>46132.395833333336</v>
      </c>
      <c r="F1133" s="10">
        <v>46132.729166666664</v>
      </c>
      <c r="G1133">
        <v>7</v>
      </c>
      <c r="H1133" s="9">
        <f t="shared" si="51"/>
        <v>3.6999999999999998E-2</v>
      </c>
      <c r="I1133">
        <v>3.6999999999999998E-2</v>
      </c>
      <c r="M1133" t="s">
        <v>65</v>
      </c>
      <c r="N1133" t="s">
        <v>29</v>
      </c>
      <c r="P1133" t="s">
        <v>30</v>
      </c>
      <c r="Q1133" t="s">
        <v>31</v>
      </c>
      <c r="R1133">
        <v>82640</v>
      </c>
      <c r="S1133" t="s">
        <v>42</v>
      </c>
      <c r="T1133">
        <v>82611</v>
      </c>
      <c r="U1133" t="s">
        <v>43</v>
      </c>
      <c r="V1133" t="s">
        <v>43</v>
      </c>
      <c r="W1133" t="s">
        <v>47</v>
      </c>
      <c r="X1133" t="s">
        <v>192</v>
      </c>
      <c r="Y1133" s="9">
        <f t="shared" si="52"/>
        <v>0</v>
      </c>
      <c r="Z1133" t="str">
        <f t="shared" si="53"/>
        <v>สแกนต่าง Cost</v>
      </c>
    </row>
    <row r="1134" spans="1:26" x14ac:dyDescent="0.45">
      <c r="B1134" t="s">
        <v>53</v>
      </c>
      <c r="C1134">
        <v>20198839</v>
      </c>
      <c r="D1134" t="s">
        <v>258</v>
      </c>
      <c r="E1134" s="10">
        <v>46132.375</v>
      </c>
      <c r="F1134" s="10">
        <v>46132.458333333336</v>
      </c>
      <c r="G1134">
        <v>2</v>
      </c>
      <c r="H1134" s="9">
        <f t="shared" si="51"/>
        <v>1.0999999999999999E-2</v>
      </c>
      <c r="I1134">
        <v>1.0999999999999999E-2</v>
      </c>
      <c r="M1134" t="s">
        <v>65</v>
      </c>
      <c r="N1134" t="s">
        <v>29</v>
      </c>
      <c r="P1134" t="s">
        <v>30</v>
      </c>
      <c r="Q1134" t="s">
        <v>31</v>
      </c>
      <c r="R1134">
        <v>82640</v>
      </c>
      <c r="S1134" t="s">
        <v>42</v>
      </c>
      <c r="T1134">
        <v>82611</v>
      </c>
      <c r="U1134" t="s">
        <v>43</v>
      </c>
      <c r="V1134" t="s">
        <v>66</v>
      </c>
      <c r="W1134" t="s">
        <v>44</v>
      </c>
      <c r="X1134" t="s">
        <v>44</v>
      </c>
      <c r="Y1134" s="9">
        <f t="shared" si="52"/>
        <v>0</v>
      </c>
      <c r="Z1134" t="str">
        <f t="shared" si="53"/>
        <v>สแกนต่าง Cost</v>
      </c>
    </row>
    <row r="1135" spans="1:26" x14ac:dyDescent="0.45">
      <c r="B1135" t="s">
        <v>53</v>
      </c>
      <c r="C1135">
        <v>20280718</v>
      </c>
      <c r="D1135" t="s">
        <v>256</v>
      </c>
      <c r="E1135" s="10">
        <v>46132.375</v>
      </c>
      <c r="F1135" s="10">
        <v>46132.416666666664</v>
      </c>
      <c r="G1135">
        <v>1</v>
      </c>
      <c r="H1135" s="9">
        <f t="shared" si="51"/>
        <v>5.0000000000000001E-3</v>
      </c>
      <c r="J1135">
        <v>5.0000000000000001E-3</v>
      </c>
      <c r="M1135" t="s">
        <v>77</v>
      </c>
      <c r="N1135" t="s">
        <v>40</v>
      </c>
      <c r="O1135" t="s">
        <v>78</v>
      </c>
      <c r="P1135" t="s">
        <v>30</v>
      </c>
      <c r="Q1135" t="s">
        <v>31</v>
      </c>
      <c r="R1135">
        <v>82640</v>
      </c>
      <c r="S1135" t="s">
        <v>42</v>
      </c>
      <c r="T1135">
        <v>82630</v>
      </c>
      <c r="U1135" t="s">
        <v>32</v>
      </c>
      <c r="V1135" t="s">
        <v>66</v>
      </c>
      <c r="W1135" t="s">
        <v>44</v>
      </c>
      <c r="X1135" t="s">
        <v>44</v>
      </c>
      <c r="Y1135" s="9">
        <f t="shared" si="52"/>
        <v>5.0000000000000001E-3</v>
      </c>
      <c r="Z1135" t="str">
        <f t="shared" si="53"/>
        <v>สแกนต่าง Cost</v>
      </c>
    </row>
    <row r="1136" spans="1:26" x14ac:dyDescent="0.45">
      <c r="B1136" t="s">
        <v>53</v>
      </c>
      <c r="C1136">
        <v>20310532</v>
      </c>
      <c r="D1136" t="s">
        <v>61</v>
      </c>
      <c r="E1136" s="10">
        <v>46132.375</v>
      </c>
      <c r="F1136" s="10">
        <v>46132.5</v>
      </c>
      <c r="G1136">
        <v>3</v>
      </c>
      <c r="H1136" s="9">
        <f t="shared" si="51"/>
        <v>1.6E-2</v>
      </c>
      <c r="I1136">
        <v>1.6E-2</v>
      </c>
      <c r="M1136" t="s">
        <v>65</v>
      </c>
      <c r="N1136" t="s">
        <v>29</v>
      </c>
      <c r="P1136" t="s">
        <v>30</v>
      </c>
      <c r="Q1136" t="s">
        <v>31</v>
      </c>
      <c r="R1136">
        <v>82640</v>
      </c>
      <c r="S1136" t="s">
        <v>42</v>
      </c>
      <c r="T1136">
        <v>82630</v>
      </c>
      <c r="U1136" t="s">
        <v>32</v>
      </c>
      <c r="V1136" t="s">
        <v>66</v>
      </c>
      <c r="W1136" t="s">
        <v>44</v>
      </c>
      <c r="X1136" t="s">
        <v>44</v>
      </c>
      <c r="Y1136" s="9">
        <f t="shared" si="52"/>
        <v>0</v>
      </c>
      <c r="Z1136" t="str">
        <f t="shared" si="53"/>
        <v>สแกนต่าง Cost</v>
      </c>
    </row>
    <row r="1137" spans="1:26" x14ac:dyDescent="0.45">
      <c r="B1137" t="s">
        <v>26</v>
      </c>
      <c r="C1137">
        <v>20015221</v>
      </c>
      <c r="D1137" t="s">
        <v>307</v>
      </c>
      <c r="E1137" s="10">
        <v>46132.374305555553</v>
      </c>
      <c r="F1137" s="10">
        <v>46132.729166666664</v>
      </c>
      <c r="G1137">
        <v>7.5166666666666675</v>
      </c>
      <c r="H1137" s="9">
        <f t="shared" si="51"/>
        <v>0.04</v>
      </c>
      <c r="I1137">
        <v>0.04</v>
      </c>
      <c r="M1137" t="s">
        <v>65</v>
      </c>
      <c r="N1137" t="s">
        <v>29</v>
      </c>
      <c r="P1137" t="s">
        <v>30</v>
      </c>
      <c r="Q1137" t="s">
        <v>31</v>
      </c>
      <c r="R1137">
        <v>82301</v>
      </c>
      <c r="S1137" t="s">
        <v>79</v>
      </c>
      <c r="T1137">
        <v>82611</v>
      </c>
      <c r="U1137" t="s">
        <v>43</v>
      </c>
      <c r="V1137" t="s">
        <v>43</v>
      </c>
      <c r="W1137" t="s">
        <v>42</v>
      </c>
      <c r="X1137" t="s">
        <v>38</v>
      </c>
      <c r="Y1137" s="9">
        <f t="shared" si="52"/>
        <v>0</v>
      </c>
      <c r="Z1137" t="str">
        <f t="shared" si="53"/>
        <v>สแกนต่าง Cost</v>
      </c>
    </row>
    <row r="1138" spans="1:26" x14ac:dyDescent="0.45">
      <c r="B1138" t="s">
        <v>26</v>
      </c>
      <c r="C1138">
        <v>20041075</v>
      </c>
      <c r="D1138" t="s">
        <v>308</v>
      </c>
      <c r="E1138" s="10">
        <v>46132.365277777775</v>
      </c>
      <c r="F1138" s="10">
        <v>46132.729166666664</v>
      </c>
      <c r="G1138">
        <v>7.7333333333333325</v>
      </c>
      <c r="H1138" s="9">
        <f t="shared" si="51"/>
        <v>4.1000000000000002E-2</v>
      </c>
      <c r="I1138">
        <v>4.1000000000000002E-2</v>
      </c>
      <c r="M1138" t="s">
        <v>65</v>
      </c>
      <c r="N1138" t="s">
        <v>29</v>
      </c>
      <c r="P1138" t="s">
        <v>30</v>
      </c>
      <c r="Q1138" t="s">
        <v>31</v>
      </c>
      <c r="R1138">
        <v>82308</v>
      </c>
      <c r="S1138" t="s">
        <v>69</v>
      </c>
      <c r="T1138">
        <v>82611</v>
      </c>
      <c r="U1138" t="s">
        <v>43</v>
      </c>
      <c r="V1138" t="s">
        <v>43</v>
      </c>
      <c r="W1138" t="s">
        <v>42</v>
      </c>
      <c r="X1138" t="s">
        <v>38</v>
      </c>
      <c r="Y1138" s="9">
        <f t="shared" si="52"/>
        <v>0</v>
      </c>
      <c r="Z1138" t="str">
        <f t="shared" si="53"/>
        <v>สแกนต่าง Cost</v>
      </c>
    </row>
    <row r="1139" spans="1:26" x14ac:dyDescent="0.45">
      <c r="B1139" t="s">
        <v>26</v>
      </c>
      <c r="C1139">
        <v>20403252</v>
      </c>
      <c r="D1139" t="s">
        <v>124</v>
      </c>
      <c r="E1139" s="10">
        <v>46132.359722222223</v>
      </c>
      <c r="F1139" s="10">
        <v>46132.451388888891</v>
      </c>
      <c r="G1139">
        <v>2.2000000000000002</v>
      </c>
      <c r="H1139" s="9">
        <f t="shared" si="51"/>
        <v>1.2E-2</v>
      </c>
      <c r="I1139">
        <v>1.2E-2</v>
      </c>
      <c r="M1139" t="s">
        <v>48</v>
      </c>
      <c r="N1139" t="s">
        <v>48</v>
      </c>
      <c r="P1139" t="s">
        <v>30</v>
      </c>
      <c r="Q1139" t="s">
        <v>31</v>
      </c>
      <c r="R1139">
        <v>82400</v>
      </c>
      <c r="S1139" t="s">
        <v>83</v>
      </c>
      <c r="T1139">
        <v>82658</v>
      </c>
      <c r="U1139" t="s">
        <v>33</v>
      </c>
      <c r="V1139" t="s">
        <v>33</v>
      </c>
      <c r="W1139" t="s">
        <v>37</v>
      </c>
      <c r="X1139" t="s">
        <v>38</v>
      </c>
      <c r="Y1139" s="9">
        <f t="shared" si="52"/>
        <v>0</v>
      </c>
      <c r="Z1139" t="str">
        <f t="shared" si="53"/>
        <v>สแกนต่าง Cost</v>
      </c>
    </row>
    <row r="1140" spans="1:26" x14ac:dyDescent="0.45">
      <c r="B1140" t="s">
        <v>26</v>
      </c>
      <c r="C1140">
        <v>20403253</v>
      </c>
      <c r="D1140" t="s">
        <v>125</v>
      </c>
      <c r="E1140" s="10">
        <v>46132.359722222223</v>
      </c>
      <c r="F1140" s="10">
        <v>46132.451388888891</v>
      </c>
      <c r="G1140">
        <v>2.2000000000000002</v>
      </c>
      <c r="H1140" s="9">
        <f t="shared" si="51"/>
        <v>1.2E-2</v>
      </c>
      <c r="I1140">
        <v>1.2E-2</v>
      </c>
      <c r="M1140" t="s">
        <v>48</v>
      </c>
      <c r="N1140" t="s">
        <v>48</v>
      </c>
      <c r="P1140" t="s">
        <v>30</v>
      </c>
      <c r="Q1140" t="s">
        <v>31</v>
      </c>
      <c r="R1140">
        <v>82400</v>
      </c>
      <c r="S1140" t="s">
        <v>83</v>
      </c>
      <c r="T1140">
        <v>82658</v>
      </c>
      <c r="U1140" t="s">
        <v>33</v>
      </c>
      <c r="V1140" t="s">
        <v>33</v>
      </c>
      <c r="W1140" t="s">
        <v>37</v>
      </c>
      <c r="X1140" t="s">
        <v>38</v>
      </c>
      <c r="Y1140" s="9">
        <f t="shared" si="52"/>
        <v>0</v>
      </c>
      <c r="Z1140" t="str">
        <f t="shared" si="53"/>
        <v>สแกนต่าง Cost</v>
      </c>
    </row>
    <row r="1141" spans="1:26" x14ac:dyDescent="0.45">
      <c r="B1141" t="s">
        <v>53</v>
      </c>
      <c r="C1141">
        <v>20060579</v>
      </c>
      <c r="D1141" t="s">
        <v>39</v>
      </c>
      <c r="E1141" s="10">
        <v>46132.354166666664</v>
      </c>
      <c r="F1141" s="10">
        <v>46132.375</v>
      </c>
      <c r="G1141">
        <v>0.5</v>
      </c>
      <c r="H1141" s="9">
        <f t="shared" si="51"/>
        <v>3.0000000000000001E-3</v>
      </c>
      <c r="I1141">
        <v>3.0000000000000001E-3</v>
      </c>
      <c r="M1141" t="s">
        <v>65</v>
      </c>
      <c r="N1141" t="s">
        <v>29</v>
      </c>
      <c r="P1141" t="s">
        <v>30</v>
      </c>
      <c r="Q1141" t="s">
        <v>31</v>
      </c>
      <c r="R1141">
        <v>82640</v>
      </c>
      <c r="S1141" t="s">
        <v>42</v>
      </c>
      <c r="T1141">
        <v>82612</v>
      </c>
      <c r="U1141" t="s">
        <v>153</v>
      </c>
      <c r="V1141" t="s">
        <v>66</v>
      </c>
      <c r="W1141" t="s">
        <v>44</v>
      </c>
      <c r="X1141" t="s">
        <v>44</v>
      </c>
      <c r="Y1141" s="9">
        <f t="shared" si="52"/>
        <v>0</v>
      </c>
      <c r="Z1141" t="str">
        <f t="shared" si="53"/>
        <v>สแกนต่าง Cost</v>
      </c>
    </row>
    <row r="1142" spans="1:26" x14ac:dyDescent="0.45">
      <c r="B1142" t="s">
        <v>53</v>
      </c>
      <c r="C1142">
        <v>20198842</v>
      </c>
      <c r="D1142" t="s">
        <v>257</v>
      </c>
      <c r="E1142" s="10">
        <v>46132.354166666664</v>
      </c>
      <c r="F1142" s="10">
        <v>46132.416666666664</v>
      </c>
      <c r="G1142">
        <v>1.5</v>
      </c>
      <c r="H1142" s="9">
        <f t="shared" si="51"/>
        <v>8.0000000000000002E-3</v>
      </c>
      <c r="I1142">
        <v>8.0000000000000002E-3</v>
      </c>
      <c r="M1142" t="s">
        <v>65</v>
      </c>
      <c r="N1142" t="s">
        <v>29</v>
      </c>
      <c r="P1142" t="s">
        <v>30</v>
      </c>
      <c r="Q1142" t="s">
        <v>31</v>
      </c>
      <c r="R1142">
        <v>82640</v>
      </c>
      <c r="S1142" t="s">
        <v>42</v>
      </c>
      <c r="T1142">
        <v>82611</v>
      </c>
      <c r="U1142" t="s">
        <v>43</v>
      </c>
      <c r="V1142" t="s">
        <v>66</v>
      </c>
      <c r="W1142" t="s">
        <v>44</v>
      </c>
      <c r="X1142" t="s">
        <v>44</v>
      </c>
      <c r="Y1142" s="9">
        <f t="shared" si="52"/>
        <v>0</v>
      </c>
      <c r="Z1142" t="str">
        <f t="shared" si="53"/>
        <v>สแกนต่าง Cost</v>
      </c>
    </row>
    <row r="1143" spans="1:26" x14ac:dyDescent="0.45">
      <c r="B1143" t="s">
        <v>53</v>
      </c>
      <c r="C1143">
        <v>20280718</v>
      </c>
      <c r="D1143" t="s">
        <v>256</v>
      </c>
      <c r="E1143" s="10">
        <v>46132.354166666664</v>
      </c>
      <c r="F1143" s="10">
        <v>46132.354166666664</v>
      </c>
      <c r="G1143">
        <v>0</v>
      </c>
      <c r="H1143" s="9">
        <f t="shared" si="51"/>
        <v>0</v>
      </c>
      <c r="J1143">
        <v>0</v>
      </c>
      <c r="M1143" t="s">
        <v>77</v>
      </c>
      <c r="N1143" t="s">
        <v>40</v>
      </c>
      <c r="O1143" t="s">
        <v>78</v>
      </c>
      <c r="P1143" t="s">
        <v>30</v>
      </c>
      <c r="Q1143" t="s">
        <v>31</v>
      </c>
      <c r="R1143">
        <v>82640</v>
      </c>
      <c r="S1143" t="s">
        <v>42</v>
      </c>
      <c r="T1143">
        <v>82630</v>
      </c>
      <c r="U1143" t="s">
        <v>32</v>
      </c>
      <c r="V1143" t="s">
        <v>66</v>
      </c>
      <c r="W1143" t="s">
        <v>44</v>
      </c>
      <c r="X1143" t="s">
        <v>44</v>
      </c>
      <c r="Y1143" s="9">
        <f t="shared" si="52"/>
        <v>0</v>
      </c>
      <c r="Z1143" t="str">
        <f t="shared" si="53"/>
        <v>สแกนต่าง Cost</v>
      </c>
    </row>
    <row r="1144" spans="1:26" x14ac:dyDescent="0.45">
      <c r="B1144" t="s">
        <v>53</v>
      </c>
      <c r="C1144">
        <v>20368087</v>
      </c>
      <c r="D1144" t="s">
        <v>260</v>
      </c>
      <c r="E1144" s="10">
        <v>46132.354166666664</v>
      </c>
      <c r="F1144" s="10">
        <v>46132.458333333336</v>
      </c>
      <c r="G1144">
        <v>2.5</v>
      </c>
      <c r="H1144" s="9">
        <f t="shared" si="51"/>
        <v>1.2999999999999999E-2</v>
      </c>
      <c r="I1144">
        <v>1.2999999999999999E-2</v>
      </c>
      <c r="M1144" t="s">
        <v>65</v>
      </c>
      <c r="N1144" t="s">
        <v>29</v>
      </c>
      <c r="P1144" t="s">
        <v>30</v>
      </c>
      <c r="Q1144" t="s">
        <v>31</v>
      </c>
      <c r="R1144">
        <v>82640</v>
      </c>
      <c r="S1144" t="s">
        <v>42</v>
      </c>
      <c r="T1144">
        <v>82630</v>
      </c>
      <c r="U1144" t="s">
        <v>32</v>
      </c>
      <c r="V1144" t="s">
        <v>66</v>
      </c>
      <c r="W1144" t="s">
        <v>44</v>
      </c>
      <c r="X1144" t="s">
        <v>44</v>
      </c>
      <c r="Y1144" s="9">
        <f t="shared" si="52"/>
        <v>0</v>
      </c>
      <c r="Z1144" t="str">
        <f t="shared" si="53"/>
        <v>สแกนต่าง Cost</v>
      </c>
    </row>
    <row r="1145" spans="1:26" x14ac:dyDescent="0.45">
      <c r="B1145" t="s">
        <v>26</v>
      </c>
      <c r="C1145">
        <v>20377125</v>
      </c>
      <c r="D1145" t="s">
        <v>194</v>
      </c>
      <c r="E1145" s="10">
        <v>46132.352083333331</v>
      </c>
      <c r="F1145" s="10">
        <v>46132.729166666664</v>
      </c>
      <c r="G1145">
        <v>9.0500000000000007</v>
      </c>
      <c r="H1145" s="9">
        <f t="shared" si="51"/>
        <v>4.8000000000000001E-2</v>
      </c>
      <c r="I1145">
        <v>4.4999999999999998E-2</v>
      </c>
      <c r="K1145">
        <v>3.0000000000000001E-3</v>
      </c>
      <c r="M1145" t="s">
        <v>28</v>
      </c>
      <c r="N1145" t="s">
        <v>29</v>
      </c>
      <c r="P1145" t="s">
        <v>30</v>
      </c>
      <c r="Q1145" t="s">
        <v>31</v>
      </c>
      <c r="R1145">
        <v>82301</v>
      </c>
      <c r="S1145" t="s">
        <v>79</v>
      </c>
      <c r="T1145">
        <v>82611</v>
      </c>
      <c r="U1145" t="s">
        <v>43</v>
      </c>
      <c r="V1145" t="s">
        <v>43</v>
      </c>
      <c r="W1145" t="s">
        <v>42</v>
      </c>
      <c r="X1145" t="s">
        <v>38</v>
      </c>
      <c r="Y1145" s="9">
        <f t="shared" si="52"/>
        <v>3.0000000000000001E-3</v>
      </c>
      <c r="Z1145" t="str">
        <f t="shared" si="53"/>
        <v>สแกนต่าง Cost</v>
      </c>
    </row>
    <row r="1146" spans="1:26" x14ac:dyDescent="0.45">
      <c r="B1146" t="s">
        <v>26</v>
      </c>
      <c r="C1146">
        <v>20083462</v>
      </c>
      <c r="D1146" t="s">
        <v>175</v>
      </c>
      <c r="E1146" s="10">
        <v>46132.351388888892</v>
      </c>
      <c r="F1146" s="10">
        <v>46132.729166666664</v>
      </c>
      <c r="G1146">
        <v>8.0666666666666664</v>
      </c>
      <c r="H1146" s="9">
        <f t="shared" si="51"/>
        <v>4.2999999999999997E-2</v>
      </c>
      <c r="I1146">
        <v>4.2999999999999997E-2</v>
      </c>
      <c r="M1146" t="s">
        <v>65</v>
      </c>
      <c r="N1146" t="s">
        <v>29</v>
      </c>
      <c r="P1146" t="s">
        <v>30</v>
      </c>
      <c r="Q1146" t="s">
        <v>31</v>
      </c>
      <c r="R1146">
        <v>82308</v>
      </c>
      <c r="S1146" t="s">
        <v>69</v>
      </c>
      <c r="T1146">
        <v>82611</v>
      </c>
      <c r="U1146" t="s">
        <v>43</v>
      </c>
      <c r="V1146" t="s">
        <v>43</v>
      </c>
      <c r="W1146" t="s">
        <v>42</v>
      </c>
      <c r="X1146" t="s">
        <v>38</v>
      </c>
      <c r="Y1146" s="9">
        <f t="shared" si="52"/>
        <v>0</v>
      </c>
      <c r="Z1146" t="str">
        <f t="shared" si="53"/>
        <v>สแกนต่าง Cost</v>
      </c>
    </row>
    <row r="1147" spans="1:26" x14ac:dyDescent="0.45">
      <c r="B1147" t="s">
        <v>26</v>
      </c>
      <c r="C1147">
        <v>20152023</v>
      </c>
      <c r="D1147" t="s">
        <v>177</v>
      </c>
      <c r="E1147" s="10">
        <v>46132.351388888892</v>
      </c>
      <c r="F1147" s="10">
        <v>46132.729166666664</v>
      </c>
      <c r="G1147">
        <v>8.0666666666666664</v>
      </c>
      <c r="H1147" s="9">
        <f t="shared" si="51"/>
        <v>4.2999999999999997E-2</v>
      </c>
      <c r="I1147">
        <v>4.2999999999999997E-2</v>
      </c>
      <c r="M1147" t="s">
        <v>65</v>
      </c>
      <c r="N1147" t="s">
        <v>29</v>
      </c>
      <c r="P1147" t="s">
        <v>30</v>
      </c>
      <c r="Q1147" t="s">
        <v>31</v>
      </c>
      <c r="R1147">
        <v>82308</v>
      </c>
      <c r="S1147" t="s">
        <v>69</v>
      </c>
      <c r="T1147">
        <v>82611</v>
      </c>
      <c r="U1147" t="s">
        <v>43</v>
      </c>
      <c r="V1147" t="s">
        <v>43</v>
      </c>
      <c r="W1147" t="s">
        <v>42</v>
      </c>
      <c r="X1147" t="s">
        <v>38</v>
      </c>
      <c r="Y1147" s="9">
        <f t="shared" si="52"/>
        <v>0</v>
      </c>
      <c r="Z1147" t="str">
        <f t="shared" si="53"/>
        <v>สแกนต่าง Cost</v>
      </c>
    </row>
    <row r="1148" spans="1:26" x14ac:dyDescent="0.45">
      <c r="B1148" t="s">
        <v>26</v>
      </c>
      <c r="C1148">
        <v>20002972</v>
      </c>
      <c r="D1148" t="s">
        <v>165</v>
      </c>
      <c r="E1148" s="10">
        <v>46132.333333333336</v>
      </c>
      <c r="F1148" s="10">
        <v>46132.729166666664</v>
      </c>
      <c r="G1148">
        <v>8.5</v>
      </c>
      <c r="H1148" s="9">
        <f t="shared" si="51"/>
        <v>4.4999999999999998E-2</v>
      </c>
      <c r="J1148">
        <v>4.4999999999999998E-2</v>
      </c>
      <c r="M1148" t="s">
        <v>77</v>
      </c>
      <c r="N1148" t="s">
        <v>40</v>
      </c>
      <c r="O1148" t="s">
        <v>78</v>
      </c>
      <c r="P1148" t="s">
        <v>30</v>
      </c>
      <c r="Q1148" t="s">
        <v>31</v>
      </c>
      <c r="R1148">
        <v>82301</v>
      </c>
      <c r="S1148" t="s">
        <v>79</v>
      </c>
      <c r="T1148">
        <v>82611</v>
      </c>
      <c r="U1148" t="s">
        <v>43</v>
      </c>
      <c r="V1148" t="s">
        <v>43</v>
      </c>
      <c r="W1148" t="s">
        <v>42</v>
      </c>
      <c r="X1148" t="s">
        <v>38</v>
      </c>
      <c r="Y1148" s="9">
        <f t="shared" si="52"/>
        <v>4.4999999999999998E-2</v>
      </c>
      <c r="Z1148" t="str">
        <f t="shared" si="53"/>
        <v>สแกนต่าง Cost</v>
      </c>
    </row>
    <row r="1149" spans="1:26" x14ac:dyDescent="0.45">
      <c r="A1149">
        <v>26645</v>
      </c>
      <c r="B1149" t="s">
        <v>53</v>
      </c>
      <c r="C1149">
        <v>20004913</v>
      </c>
      <c r="D1149" t="s">
        <v>87</v>
      </c>
      <c r="E1149" s="10">
        <v>46132.333333333336</v>
      </c>
      <c r="F1149" s="10">
        <v>46132.729166666664</v>
      </c>
      <c r="G1149">
        <v>8.5</v>
      </c>
      <c r="H1149" s="9">
        <f t="shared" si="51"/>
        <v>4.4999999999999998E-2</v>
      </c>
      <c r="I1149">
        <v>4.4999999999999998E-2</v>
      </c>
      <c r="M1149" t="s">
        <v>65</v>
      </c>
      <c r="N1149" t="s">
        <v>29</v>
      </c>
      <c r="P1149" t="s">
        <v>30</v>
      </c>
      <c r="Q1149" t="s">
        <v>31</v>
      </c>
      <c r="R1149">
        <v>82301</v>
      </c>
      <c r="S1149" t="s">
        <v>79</v>
      </c>
      <c r="T1149">
        <v>82308</v>
      </c>
      <c r="U1149" t="s">
        <v>69</v>
      </c>
      <c r="V1149" t="s">
        <v>69</v>
      </c>
      <c r="W1149" t="s">
        <v>69</v>
      </c>
      <c r="X1149" t="s">
        <v>88</v>
      </c>
      <c r="Y1149" s="9">
        <f t="shared" si="52"/>
        <v>0</v>
      </c>
      <c r="Z1149" t="str">
        <f t="shared" si="53"/>
        <v>สแกนต่าง Cost</v>
      </c>
    </row>
    <row r="1150" spans="1:26" x14ac:dyDescent="0.45">
      <c r="B1150" t="s">
        <v>26</v>
      </c>
      <c r="C1150">
        <v>20014598</v>
      </c>
      <c r="D1150" t="s">
        <v>89</v>
      </c>
      <c r="E1150" s="10">
        <v>46132.333333333336</v>
      </c>
      <c r="F1150" s="10">
        <v>46132.729166666664</v>
      </c>
      <c r="G1150">
        <v>8.5</v>
      </c>
      <c r="H1150" s="9">
        <f t="shared" si="51"/>
        <v>4.4999999999999998E-2</v>
      </c>
      <c r="I1150">
        <v>4.4999999999999998E-2</v>
      </c>
      <c r="M1150" t="s">
        <v>65</v>
      </c>
      <c r="N1150" t="s">
        <v>29</v>
      </c>
      <c r="P1150" t="s">
        <v>30</v>
      </c>
      <c r="Q1150" t="s">
        <v>31</v>
      </c>
      <c r="R1150">
        <v>82400</v>
      </c>
      <c r="S1150" t="s">
        <v>83</v>
      </c>
      <c r="T1150">
        <v>82690</v>
      </c>
      <c r="U1150" t="s">
        <v>90</v>
      </c>
      <c r="V1150" t="s">
        <v>90</v>
      </c>
      <c r="W1150" t="s">
        <v>91</v>
      </c>
      <c r="X1150" t="s">
        <v>92</v>
      </c>
      <c r="Y1150" s="9">
        <f t="shared" si="52"/>
        <v>0</v>
      </c>
      <c r="Z1150" t="str">
        <f t="shared" si="53"/>
        <v>สแกนต่าง Cost</v>
      </c>
    </row>
    <row r="1151" spans="1:26" x14ac:dyDescent="0.45">
      <c r="B1151" t="s">
        <v>53</v>
      </c>
      <c r="C1151">
        <v>20014916</v>
      </c>
      <c r="D1151" t="s">
        <v>167</v>
      </c>
      <c r="E1151" s="10">
        <v>46132.333333333336</v>
      </c>
      <c r="F1151" s="10">
        <v>46132.729166666664</v>
      </c>
      <c r="G1151">
        <v>8.5</v>
      </c>
      <c r="H1151" s="9">
        <f t="shared" si="51"/>
        <v>4.4999999999999998E-2</v>
      </c>
      <c r="I1151">
        <v>4.4999999999999998E-2</v>
      </c>
      <c r="M1151" t="s">
        <v>65</v>
      </c>
      <c r="N1151" t="s">
        <v>29</v>
      </c>
      <c r="P1151" t="s">
        <v>133</v>
      </c>
      <c r="Q1151" t="s">
        <v>31</v>
      </c>
      <c r="R1151">
        <v>82607</v>
      </c>
      <c r="S1151" t="s">
        <v>168</v>
      </c>
      <c r="T1151">
        <v>82640</v>
      </c>
      <c r="U1151" t="s">
        <v>42</v>
      </c>
      <c r="V1151" t="s">
        <v>155</v>
      </c>
      <c r="W1151" t="s">
        <v>47</v>
      </c>
      <c r="X1151" t="s">
        <v>95</v>
      </c>
      <c r="Y1151" s="9">
        <f t="shared" si="52"/>
        <v>0</v>
      </c>
      <c r="Z1151" t="str">
        <f t="shared" si="53"/>
        <v>สแกนต่าง Cost</v>
      </c>
    </row>
    <row r="1152" spans="1:26" x14ac:dyDescent="0.45">
      <c r="A1152">
        <v>26692</v>
      </c>
      <c r="B1152" t="s">
        <v>53</v>
      </c>
      <c r="C1152">
        <v>20017430</v>
      </c>
      <c r="D1152" t="s">
        <v>94</v>
      </c>
      <c r="E1152" s="10">
        <v>46132.333333333336</v>
      </c>
      <c r="F1152" s="10">
        <v>46132.729166666664</v>
      </c>
      <c r="G1152">
        <v>8.5</v>
      </c>
      <c r="H1152" s="9">
        <f t="shared" si="51"/>
        <v>4.4999999999999998E-2</v>
      </c>
      <c r="I1152">
        <v>4.4999999999999998E-2</v>
      </c>
      <c r="M1152" t="s">
        <v>65</v>
      </c>
      <c r="N1152" t="s">
        <v>29</v>
      </c>
      <c r="P1152" t="s">
        <v>30</v>
      </c>
      <c r="Q1152" t="s">
        <v>31</v>
      </c>
      <c r="R1152">
        <v>82301</v>
      </c>
      <c r="S1152" t="s">
        <v>79</v>
      </c>
      <c r="T1152">
        <v>82308</v>
      </c>
      <c r="U1152" t="s">
        <v>69</v>
      </c>
      <c r="V1152" t="s">
        <v>69</v>
      </c>
      <c r="W1152" t="s">
        <v>69</v>
      </c>
      <c r="X1152" t="s">
        <v>95</v>
      </c>
      <c r="Y1152" s="9">
        <f t="shared" si="52"/>
        <v>0</v>
      </c>
      <c r="Z1152" t="str">
        <f t="shared" si="53"/>
        <v>สแกนต่าง Cost</v>
      </c>
    </row>
    <row r="1153" spans="1:26" x14ac:dyDescent="0.45">
      <c r="B1153" t="s">
        <v>53</v>
      </c>
      <c r="C1153">
        <v>20018899</v>
      </c>
      <c r="D1153" t="s">
        <v>64</v>
      </c>
      <c r="E1153" s="10">
        <v>46132.333333333336</v>
      </c>
      <c r="F1153" s="10">
        <v>46132.5</v>
      </c>
      <c r="G1153">
        <v>4</v>
      </c>
      <c r="H1153" s="9">
        <f t="shared" si="51"/>
        <v>2.1000000000000001E-2</v>
      </c>
      <c r="I1153">
        <v>2.1000000000000001E-2</v>
      </c>
      <c r="M1153" t="s">
        <v>65</v>
      </c>
      <c r="N1153" t="s">
        <v>29</v>
      </c>
      <c r="P1153" t="s">
        <v>30</v>
      </c>
      <c r="Q1153" t="s">
        <v>31</v>
      </c>
      <c r="R1153">
        <v>82640</v>
      </c>
      <c r="S1153" t="s">
        <v>42</v>
      </c>
      <c r="T1153">
        <v>82652</v>
      </c>
      <c r="U1153" t="s">
        <v>46</v>
      </c>
      <c r="V1153" t="s">
        <v>66</v>
      </c>
      <c r="W1153" t="s">
        <v>37</v>
      </c>
      <c r="X1153" t="s">
        <v>34</v>
      </c>
      <c r="Y1153" s="9">
        <f t="shared" si="52"/>
        <v>0</v>
      </c>
      <c r="Z1153" t="str">
        <f t="shared" si="53"/>
        <v>สแกนต่าง Cost</v>
      </c>
    </row>
    <row r="1154" spans="1:26" x14ac:dyDescent="0.45">
      <c r="B1154" t="s">
        <v>53</v>
      </c>
      <c r="C1154">
        <v>20023163</v>
      </c>
      <c r="D1154" t="s">
        <v>169</v>
      </c>
      <c r="E1154" s="10">
        <v>46132.333333333336</v>
      </c>
      <c r="F1154" s="10">
        <v>46132.729166666664</v>
      </c>
      <c r="G1154">
        <v>8.5</v>
      </c>
      <c r="H1154" s="9">
        <f t="shared" si="51"/>
        <v>4.4999999999999998E-2</v>
      </c>
      <c r="I1154">
        <v>4.4999999999999998E-2</v>
      </c>
      <c r="M1154" t="s">
        <v>65</v>
      </c>
      <c r="N1154" t="s">
        <v>29</v>
      </c>
      <c r="P1154" t="s">
        <v>30</v>
      </c>
      <c r="Q1154" t="s">
        <v>31</v>
      </c>
      <c r="R1154">
        <v>82630</v>
      </c>
      <c r="S1154" t="s">
        <v>32</v>
      </c>
      <c r="T1154">
        <v>82640</v>
      </c>
      <c r="U1154" t="s">
        <v>42</v>
      </c>
      <c r="V1154" t="s">
        <v>70</v>
      </c>
      <c r="W1154" t="s">
        <v>170</v>
      </c>
      <c r="X1154" t="s">
        <v>171</v>
      </c>
      <c r="Y1154" s="9">
        <f t="shared" si="52"/>
        <v>0</v>
      </c>
      <c r="Z1154" t="str">
        <f t="shared" si="53"/>
        <v>สแกนต่าง Cost</v>
      </c>
    </row>
    <row r="1155" spans="1:26" x14ac:dyDescent="0.45">
      <c r="B1155" t="s">
        <v>26</v>
      </c>
      <c r="C1155">
        <v>20025986</v>
      </c>
      <c r="D1155" t="s">
        <v>200</v>
      </c>
      <c r="E1155" s="10">
        <v>46132.333333333336</v>
      </c>
      <c r="F1155" s="10">
        <v>46132.729166666664</v>
      </c>
      <c r="G1155">
        <v>8.5</v>
      </c>
      <c r="H1155" s="9">
        <f t="shared" ref="H1155:H1218" si="54">SUM(I1155:L1155)</f>
        <v>4.4999999999999998E-2</v>
      </c>
      <c r="I1155">
        <v>4.4999999999999998E-2</v>
      </c>
      <c r="M1155" t="s">
        <v>65</v>
      </c>
      <c r="N1155" t="s">
        <v>29</v>
      </c>
      <c r="P1155" t="s">
        <v>30</v>
      </c>
      <c r="Q1155" t="s">
        <v>31</v>
      </c>
      <c r="R1155">
        <v>82910</v>
      </c>
      <c r="S1155" t="s">
        <v>201</v>
      </c>
      <c r="T1155">
        <v>82605</v>
      </c>
      <c r="U1155" t="s">
        <v>202</v>
      </c>
      <c r="V1155" t="s">
        <v>202</v>
      </c>
      <c r="W1155" t="s">
        <v>37</v>
      </c>
      <c r="X1155" t="s">
        <v>47</v>
      </c>
      <c r="Y1155" s="9">
        <f t="shared" ref="Y1155:Y1218" si="55">SUM(J1155:L1155)</f>
        <v>0</v>
      </c>
      <c r="Z1155" t="str">
        <f t="shared" ref="Z1155:Z1218" si="56">IF(R1155=T1155,"สแกน Cost ตัวเอง","สแกนต่าง Cost")</f>
        <v>สแกนต่าง Cost</v>
      </c>
    </row>
    <row r="1156" spans="1:26" x14ac:dyDescent="0.45">
      <c r="B1156" t="s">
        <v>26</v>
      </c>
      <c r="C1156">
        <v>20026402</v>
      </c>
      <c r="D1156" t="s">
        <v>164</v>
      </c>
      <c r="E1156" s="10">
        <v>46132.333333333336</v>
      </c>
      <c r="F1156" s="10">
        <v>46132.729166666664</v>
      </c>
      <c r="G1156">
        <v>8.5</v>
      </c>
      <c r="H1156" s="9">
        <f t="shared" si="54"/>
        <v>4.4999999999999998E-2</v>
      </c>
      <c r="I1156">
        <v>4.4999999999999998E-2</v>
      </c>
      <c r="M1156" t="s">
        <v>65</v>
      </c>
      <c r="N1156" t="s">
        <v>29</v>
      </c>
      <c r="P1156" t="s">
        <v>30</v>
      </c>
      <c r="Q1156" t="s">
        <v>31</v>
      </c>
      <c r="R1156">
        <v>82301</v>
      </c>
      <c r="S1156" t="s">
        <v>79</v>
      </c>
      <c r="T1156">
        <v>82611</v>
      </c>
      <c r="U1156" t="s">
        <v>43</v>
      </c>
      <c r="V1156" t="s">
        <v>43</v>
      </c>
      <c r="W1156" t="s">
        <v>42</v>
      </c>
      <c r="X1156" t="s">
        <v>38</v>
      </c>
      <c r="Y1156" s="9">
        <f t="shared" si="55"/>
        <v>0</v>
      </c>
      <c r="Z1156" t="str">
        <f t="shared" si="56"/>
        <v>สแกนต่าง Cost</v>
      </c>
    </row>
    <row r="1157" spans="1:26" x14ac:dyDescent="0.45">
      <c r="B1157" t="s">
        <v>53</v>
      </c>
      <c r="C1157">
        <v>20034535</v>
      </c>
      <c r="D1157" t="s">
        <v>99</v>
      </c>
      <c r="E1157" s="10">
        <v>46132.333333333336</v>
      </c>
      <c r="F1157" s="10">
        <v>46132.729166666664</v>
      </c>
      <c r="G1157">
        <v>8.5</v>
      </c>
      <c r="H1157" s="9">
        <f t="shared" si="54"/>
        <v>4.4999999999999998E-2</v>
      </c>
      <c r="I1157">
        <v>4.4999999999999998E-2</v>
      </c>
      <c r="M1157" t="s">
        <v>65</v>
      </c>
      <c r="N1157" t="s">
        <v>29</v>
      </c>
      <c r="P1157" t="s">
        <v>30</v>
      </c>
      <c r="Q1157" t="s">
        <v>31</v>
      </c>
      <c r="R1157">
        <v>82630</v>
      </c>
      <c r="S1157" t="s">
        <v>32</v>
      </c>
      <c r="T1157">
        <v>82611</v>
      </c>
      <c r="U1157" t="s">
        <v>43</v>
      </c>
      <c r="V1157" t="s">
        <v>43</v>
      </c>
      <c r="W1157" t="s">
        <v>170</v>
      </c>
      <c r="X1157" t="s">
        <v>171</v>
      </c>
      <c r="Y1157" s="9">
        <f t="shared" si="55"/>
        <v>0</v>
      </c>
      <c r="Z1157" t="str">
        <f t="shared" si="56"/>
        <v>สแกนต่าง Cost</v>
      </c>
    </row>
    <row r="1158" spans="1:26" x14ac:dyDescent="0.45">
      <c r="B1158" t="s">
        <v>53</v>
      </c>
      <c r="C1158">
        <v>20037938</v>
      </c>
      <c r="D1158" t="s">
        <v>172</v>
      </c>
      <c r="E1158" s="10">
        <v>46132.333333333336</v>
      </c>
      <c r="F1158" s="10">
        <v>46132.729166666664</v>
      </c>
      <c r="G1158">
        <v>8.5</v>
      </c>
      <c r="H1158" s="9">
        <f t="shared" si="54"/>
        <v>4.4999999999999998E-2</v>
      </c>
      <c r="I1158">
        <v>4.4999999999999998E-2</v>
      </c>
      <c r="M1158" t="s">
        <v>65</v>
      </c>
      <c r="N1158" t="s">
        <v>29</v>
      </c>
      <c r="P1158" t="s">
        <v>30</v>
      </c>
      <c r="Q1158" t="s">
        <v>31</v>
      </c>
      <c r="R1158">
        <v>82630</v>
      </c>
      <c r="S1158" t="s">
        <v>32</v>
      </c>
      <c r="T1158">
        <v>82611</v>
      </c>
      <c r="U1158" t="s">
        <v>43</v>
      </c>
      <c r="V1158" t="s">
        <v>43</v>
      </c>
      <c r="W1158" t="s">
        <v>170</v>
      </c>
      <c r="X1158" t="s">
        <v>171</v>
      </c>
      <c r="Y1158" s="9">
        <f t="shared" si="55"/>
        <v>0</v>
      </c>
      <c r="Z1158" t="str">
        <f t="shared" si="56"/>
        <v>สแกนต่าง Cost</v>
      </c>
    </row>
    <row r="1159" spans="1:26" x14ac:dyDescent="0.45">
      <c r="B1159" t="s">
        <v>53</v>
      </c>
      <c r="C1159">
        <v>20041131</v>
      </c>
      <c r="D1159" t="s">
        <v>173</v>
      </c>
      <c r="E1159" s="10">
        <v>46132.333333333336</v>
      </c>
      <c r="F1159" s="10">
        <v>46132.729166666664</v>
      </c>
      <c r="G1159">
        <v>8.5</v>
      </c>
      <c r="H1159" s="9">
        <f t="shared" si="54"/>
        <v>4.4999999999999998E-2</v>
      </c>
      <c r="I1159">
        <v>4.4999999999999998E-2</v>
      </c>
      <c r="M1159" t="s">
        <v>65</v>
      </c>
      <c r="N1159" t="s">
        <v>29</v>
      </c>
      <c r="P1159" t="s">
        <v>30</v>
      </c>
      <c r="Q1159" t="s">
        <v>31</v>
      </c>
      <c r="R1159">
        <v>82630</v>
      </c>
      <c r="S1159" t="s">
        <v>32</v>
      </c>
      <c r="T1159">
        <v>82611</v>
      </c>
      <c r="U1159" t="s">
        <v>43</v>
      </c>
      <c r="V1159" t="s">
        <v>43</v>
      </c>
      <c r="W1159" t="s">
        <v>170</v>
      </c>
      <c r="X1159" t="s">
        <v>171</v>
      </c>
      <c r="Y1159" s="9">
        <f t="shared" si="55"/>
        <v>0</v>
      </c>
      <c r="Z1159" t="str">
        <f t="shared" si="56"/>
        <v>สแกนต่าง Cost</v>
      </c>
    </row>
    <row r="1160" spans="1:26" x14ac:dyDescent="0.45">
      <c r="B1160" t="s">
        <v>26</v>
      </c>
      <c r="C1160">
        <v>20041950</v>
      </c>
      <c r="D1160" t="s">
        <v>301</v>
      </c>
      <c r="E1160" s="10">
        <v>46132.333333333336</v>
      </c>
      <c r="F1160" s="10">
        <v>46132.729166666664</v>
      </c>
      <c r="G1160">
        <v>8.5</v>
      </c>
      <c r="H1160" s="9">
        <f t="shared" si="54"/>
        <v>4.4999999999999998E-2</v>
      </c>
      <c r="I1160">
        <v>4.4999999999999998E-2</v>
      </c>
      <c r="M1160" t="s">
        <v>65</v>
      </c>
      <c r="N1160" t="s">
        <v>29</v>
      </c>
      <c r="P1160" t="s">
        <v>30</v>
      </c>
      <c r="Q1160" t="s">
        <v>31</v>
      </c>
      <c r="R1160">
        <v>82301</v>
      </c>
      <c r="S1160" t="s">
        <v>79</v>
      </c>
      <c r="T1160">
        <v>82611</v>
      </c>
      <c r="U1160" t="s">
        <v>43</v>
      </c>
      <c r="V1160" t="s">
        <v>43</v>
      </c>
      <c r="W1160" t="s">
        <v>42</v>
      </c>
      <c r="X1160" t="s">
        <v>38</v>
      </c>
      <c r="Y1160" s="9">
        <f t="shared" si="55"/>
        <v>0</v>
      </c>
      <c r="Z1160" t="str">
        <f t="shared" si="56"/>
        <v>สแกนต่าง Cost</v>
      </c>
    </row>
    <row r="1161" spans="1:26" x14ac:dyDescent="0.45">
      <c r="B1161" t="s">
        <v>26</v>
      </c>
      <c r="C1161">
        <v>20058891</v>
      </c>
      <c r="D1161" t="s">
        <v>269</v>
      </c>
      <c r="E1161" s="10">
        <v>46132.333333333336</v>
      </c>
      <c r="F1161" s="10">
        <v>46132.729166666664</v>
      </c>
      <c r="G1161">
        <v>9.5</v>
      </c>
      <c r="H1161" s="9">
        <f t="shared" si="54"/>
        <v>5.0000000000000001E-3</v>
      </c>
      <c r="L1161">
        <v>5.0000000000000001E-3</v>
      </c>
      <c r="M1161" t="s">
        <v>255</v>
      </c>
      <c r="N1161" t="s">
        <v>29</v>
      </c>
      <c r="P1161" t="s">
        <v>30</v>
      </c>
      <c r="Q1161" t="s">
        <v>31</v>
      </c>
      <c r="R1161">
        <v>82301</v>
      </c>
      <c r="S1161" t="s">
        <v>79</v>
      </c>
      <c r="T1161">
        <v>82611</v>
      </c>
      <c r="U1161" t="s">
        <v>43</v>
      </c>
      <c r="V1161" t="s">
        <v>43</v>
      </c>
      <c r="W1161" t="s">
        <v>42</v>
      </c>
      <c r="X1161" t="s">
        <v>38</v>
      </c>
      <c r="Y1161" s="9">
        <f t="shared" si="55"/>
        <v>5.0000000000000001E-3</v>
      </c>
      <c r="Z1161" t="str">
        <f t="shared" si="56"/>
        <v>สแกนต่าง Cost</v>
      </c>
    </row>
    <row r="1162" spans="1:26" x14ac:dyDescent="0.45">
      <c r="B1162" t="s">
        <v>26</v>
      </c>
      <c r="C1162">
        <v>20066762</v>
      </c>
      <c r="D1162" t="s">
        <v>203</v>
      </c>
      <c r="E1162" s="10">
        <v>46132.333333333336</v>
      </c>
      <c r="F1162" s="10">
        <v>46132.729166666664</v>
      </c>
      <c r="G1162">
        <v>8.5</v>
      </c>
      <c r="H1162" s="9">
        <f t="shared" si="54"/>
        <v>4.4999999999999998E-2</v>
      </c>
      <c r="I1162">
        <v>4.4999999999999998E-2</v>
      </c>
      <c r="M1162" t="s">
        <v>65</v>
      </c>
      <c r="N1162" t="s">
        <v>29</v>
      </c>
      <c r="P1162" t="s">
        <v>30</v>
      </c>
      <c r="Q1162" t="s">
        <v>31</v>
      </c>
      <c r="R1162">
        <v>82910</v>
      </c>
      <c r="S1162" t="s">
        <v>201</v>
      </c>
      <c r="T1162">
        <v>82605</v>
      </c>
      <c r="U1162" t="s">
        <v>202</v>
      </c>
      <c r="V1162" t="s">
        <v>202</v>
      </c>
      <c r="W1162" t="s">
        <v>37</v>
      </c>
      <c r="X1162" t="s">
        <v>47</v>
      </c>
      <c r="Y1162" s="9">
        <f t="shared" si="55"/>
        <v>0</v>
      </c>
      <c r="Z1162" t="str">
        <f t="shared" si="56"/>
        <v>สแกนต่าง Cost</v>
      </c>
    </row>
    <row r="1163" spans="1:26" x14ac:dyDescent="0.45">
      <c r="B1163" t="s">
        <v>53</v>
      </c>
      <c r="C1163">
        <v>20074473</v>
      </c>
      <c r="D1163" t="s">
        <v>276</v>
      </c>
      <c r="E1163" s="10">
        <v>46132.333333333336</v>
      </c>
      <c r="F1163" s="10">
        <v>46132.729166666664</v>
      </c>
      <c r="G1163">
        <v>8.5</v>
      </c>
      <c r="H1163" s="9">
        <f t="shared" si="54"/>
        <v>4.4999999999999998E-2</v>
      </c>
      <c r="I1163">
        <v>4.4999999999999998E-2</v>
      </c>
      <c r="M1163" t="s">
        <v>65</v>
      </c>
      <c r="N1163" t="s">
        <v>29</v>
      </c>
      <c r="P1163" t="s">
        <v>30</v>
      </c>
      <c r="Q1163" t="s">
        <v>31</v>
      </c>
      <c r="R1163">
        <v>82630</v>
      </c>
      <c r="S1163" t="s">
        <v>32</v>
      </c>
      <c r="T1163">
        <v>82640</v>
      </c>
      <c r="U1163" t="s">
        <v>42</v>
      </c>
      <c r="V1163" t="s">
        <v>70</v>
      </c>
      <c r="W1163" t="s">
        <v>170</v>
      </c>
      <c r="X1163" t="s">
        <v>171</v>
      </c>
      <c r="Y1163" s="9">
        <f t="shared" si="55"/>
        <v>0</v>
      </c>
      <c r="Z1163" t="str">
        <f t="shared" si="56"/>
        <v>สแกนต่าง Cost</v>
      </c>
    </row>
    <row r="1164" spans="1:26" x14ac:dyDescent="0.45">
      <c r="B1164" t="s">
        <v>53</v>
      </c>
      <c r="C1164">
        <v>20075871</v>
      </c>
      <c r="D1164" t="s">
        <v>174</v>
      </c>
      <c r="E1164" s="10">
        <v>46132.333333333336</v>
      </c>
      <c r="F1164" s="10">
        <v>46132.729166666664</v>
      </c>
      <c r="G1164">
        <v>8.5</v>
      </c>
      <c r="H1164" s="9">
        <f t="shared" si="54"/>
        <v>4.4999999999999998E-2</v>
      </c>
      <c r="I1164">
        <v>4.4999999999999998E-2</v>
      </c>
      <c r="M1164" t="s">
        <v>65</v>
      </c>
      <c r="N1164" t="s">
        <v>29</v>
      </c>
      <c r="P1164" t="s">
        <v>133</v>
      </c>
      <c r="Q1164" t="s">
        <v>31</v>
      </c>
      <c r="R1164">
        <v>82301</v>
      </c>
      <c r="S1164" t="s">
        <v>79</v>
      </c>
      <c r="T1164">
        <v>82308</v>
      </c>
      <c r="U1164" t="s">
        <v>69</v>
      </c>
      <c r="V1164" t="s">
        <v>69</v>
      </c>
      <c r="W1164" t="s">
        <v>69</v>
      </c>
      <c r="X1164" t="s">
        <v>95</v>
      </c>
      <c r="Y1164" s="9">
        <f t="shared" si="55"/>
        <v>0</v>
      </c>
      <c r="Z1164" t="str">
        <f t="shared" si="56"/>
        <v>สแกนต่าง Cost</v>
      </c>
    </row>
    <row r="1165" spans="1:26" x14ac:dyDescent="0.45">
      <c r="A1165">
        <v>26711</v>
      </c>
      <c r="B1165" t="s">
        <v>53</v>
      </c>
      <c r="C1165">
        <v>20076436</v>
      </c>
      <c r="D1165" t="s">
        <v>131</v>
      </c>
      <c r="E1165" s="10">
        <v>46132.333333333336</v>
      </c>
      <c r="F1165" s="10">
        <v>46132.729166666664</v>
      </c>
      <c r="G1165">
        <v>8.5</v>
      </c>
      <c r="H1165" s="9">
        <f t="shared" si="54"/>
        <v>4.4999999999999998E-2</v>
      </c>
      <c r="I1165">
        <v>4.4999999999999998E-2</v>
      </c>
      <c r="M1165" t="s">
        <v>65</v>
      </c>
      <c r="N1165" t="s">
        <v>29</v>
      </c>
      <c r="P1165" t="s">
        <v>30</v>
      </c>
      <c r="Q1165" t="s">
        <v>31</v>
      </c>
      <c r="R1165">
        <v>82301</v>
      </c>
      <c r="S1165" t="s">
        <v>79</v>
      </c>
      <c r="T1165">
        <v>82308</v>
      </c>
      <c r="U1165" t="s">
        <v>69</v>
      </c>
      <c r="V1165" t="s">
        <v>69</v>
      </c>
      <c r="W1165" t="s">
        <v>69</v>
      </c>
      <c r="X1165" t="s">
        <v>95</v>
      </c>
      <c r="Y1165" s="9">
        <f t="shared" si="55"/>
        <v>0</v>
      </c>
      <c r="Z1165" t="str">
        <f t="shared" si="56"/>
        <v>สแกนต่าง Cost</v>
      </c>
    </row>
    <row r="1166" spans="1:26" x14ac:dyDescent="0.45">
      <c r="B1166" t="s">
        <v>53</v>
      </c>
      <c r="C1166">
        <v>20198711</v>
      </c>
      <c r="D1166" t="s">
        <v>178</v>
      </c>
      <c r="E1166" s="10">
        <v>46132.333333333336</v>
      </c>
      <c r="F1166" s="10">
        <v>46132.729166666664</v>
      </c>
      <c r="G1166">
        <v>8.5</v>
      </c>
      <c r="H1166" s="9">
        <f t="shared" si="54"/>
        <v>4.4999999999999998E-2</v>
      </c>
      <c r="J1166">
        <v>4.4999999999999998E-2</v>
      </c>
      <c r="M1166" t="s">
        <v>77</v>
      </c>
      <c r="N1166" t="s">
        <v>29</v>
      </c>
      <c r="P1166" t="s">
        <v>30</v>
      </c>
      <c r="Q1166" t="s">
        <v>31</v>
      </c>
      <c r="R1166">
        <v>82630</v>
      </c>
      <c r="S1166" t="s">
        <v>32</v>
      </c>
      <c r="T1166">
        <v>82611</v>
      </c>
      <c r="U1166" t="s">
        <v>43</v>
      </c>
      <c r="V1166" t="s">
        <v>43</v>
      </c>
      <c r="W1166" t="s">
        <v>170</v>
      </c>
      <c r="X1166" t="s">
        <v>171</v>
      </c>
      <c r="Y1166" s="9">
        <f t="shared" si="55"/>
        <v>4.4999999999999998E-2</v>
      </c>
      <c r="Z1166" t="str">
        <f t="shared" si="56"/>
        <v>สแกนต่าง Cost</v>
      </c>
    </row>
    <row r="1167" spans="1:26" x14ac:dyDescent="0.45">
      <c r="B1167" t="s">
        <v>53</v>
      </c>
      <c r="C1167">
        <v>20198715</v>
      </c>
      <c r="D1167" t="s">
        <v>179</v>
      </c>
      <c r="E1167" s="10">
        <v>46132.333333333336</v>
      </c>
      <c r="F1167" s="10">
        <v>46132.729166666664</v>
      </c>
      <c r="G1167">
        <v>8.5</v>
      </c>
      <c r="H1167" s="9">
        <f t="shared" si="54"/>
        <v>4.4999999999999998E-2</v>
      </c>
      <c r="I1167">
        <v>4.4999999999999998E-2</v>
      </c>
      <c r="M1167" t="s">
        <v>65</v>
      </c>
      <c r="N1167" t="s">
        <v>29</v>
      </c>
      <c r="P1167" t="s">
        <v>30</v>
      </c>
      <c r="Q1167" t="s">
        <v>31</v>
      </c>
      <c r="R1167">
        <v>82630</v>
      </c>
      <c r="S1167" t="s">
        <v>32</v>
      </c>
      <c r="T1167">
        <v>82611</v>
      </c>
      <c r="U1167" t="s">
        <v>43</v>
      </c>
      <c r="V1167" t="s">
        <v>43</v>
      </c>
      <c r="W1167" t="s">
        <v>170</v>
      </c>
      <c r="X1167" t="s">
        <v>171</v>
      </c>
      <c r="Y1167" s="9">
        <f t="shared" si="55"/>
        <v>0</v>
      </c>
      <c r="Z1167" t="str">
        <f t="shared" si="56"/>
        <v>สแกนต่าง Cost</v>
      </c>
    </row>
    <row r="1168" spans="1:26" x14ac:dyDescent="0.45">
      <c r="B1168" t="s">
        <v>53</v>
      </c>
      <c r="C1168">
        <v>20198747</v>
      </c>
      <c r="D1168" t="s">
        <v>180</v>
      </c>
      <c r="E1168" s="10">
        <v>46132.333333333336</v>
      </c>
      <c r="F1168" s="10">
        <v>46132.729166666664</v>
      </c>
      <c r="G1168">
        <v>8.5</v>
      </c>
      <c r="H1168" s="9">
        <f t="shared" si="54"/>
        <v>4.4999999999999998E-2</v>
      </c>
      <c r="I1168">
        <v>4.4999999999999998E-2</v>
      </c>
      <c r="M1168" t="s">
        <v>65</v>
      </c>
      <c r="N1168" t="s">
        <v>29</v>
      </c>
      <c r="P1168" t="s">
        <v>30</v>
      </c>
      <c r="Q1168" t="s">
        <v>31</v>
      </c>
      <c r="R1168">
        <v>82630</v>
      </c>
      <c r="S1168" t="s">
        <v>32</v>
      </c>
      <c r="T1168">
        <v>82640</v>
      </c>
      <c r="U1168" t="s">
        <v>42</v>
      </c>
      <c r="V1168" t="s">
        <v>70</v>
      </c>
      <c r="W1168" t="s">
        <v>170</v>
      </c>
      <c r="X1168" t="s">
        <v>171</v>
      </c>
      <c r="Y1168" s="9">
        <f t="shared" si="55"/>
        <v>0</v>
      </c>
      <c r="Z1168" t="str">
        <f t="shared" si="56"/>
        <v>สแกนต่าง Cost</v>
      </c>
    </row>
    <row r="1169" spans="1:26" x14ac:dyDescent="0.45">
      <c r="B1169" t="s">
        <v>53</v>
      </c>
      <c r="C1169">
        <v>20198839</v>
      </c>
      <c r="D1169" t="s">
        <v>258</v>
      </c>
      <c r="E1169" s="10">
        <v>46132.333333333336</v>
      </c>
      <c r="F1169" s="10">
        <v>46132.375</v>
      </c>
      <c r="G1169">
        <v>1</v>
      </c>
      <c r="H1169" s="9">
        <f t="shared" si="54"/>
        <v>5.0000000000000001E-3</v>
      </c>
      <c r="I1169">
        <v>5.0000000000000001E-3</v>
      </c>
      <c r="M1169" t="s">
        <v>65</v>
      </c>
      <c r="N1169" t="s">
        <v>29</v>
      </c>
      <c r="P1169" t="s">
        <v>30</v>
      </c>
      <c r="Q1169" t="s">
        <v>31</v>
      </c>
      <c r="R1169">
        <v>82640</v>
      </c>
      <c r="S1169" t="s">
        <v>42</v>
      </c>
      <c r="T1169">
        <v>82612</v>
      </c>
      <c r="U1169" t="s">
        <v>153</v>
      </c>
      <c r="V1169" t="s">
        <v>66</v>
      </c>
      <c r="W1169" t="s">
        <v>44</v>
      </c>
      <c r="X1169" t="s">
        <v>44</v>
      </c>
      <c r="Y1169" s="9">
        <f t="shared" si="55"/>
        <v>0</v>
      </c>
      <c r="Z1169" t="str">
        <f t="shared" si="56"/>
        <v>สแกนต่าง Cost</v>
      </c>
    </row>
    <row r="1170" spans="1:26" x14ac:dyDescent="0.45">
      <c r="B1170" t="s">
        <v>53</v>
      </c>
      <c r="C1170">
        <v>20220646</v>
      </c>
      <c r="D1170" t="s">
        <v>67</v>
      </c>
      <c r="E1170" s="10">
        <v>46132.333333333336</v>
      </c>
      <c r="F1170" s="10">
        <v>46132.5</v>
      </c>
      <c r="G1170">
        <v>4</v>
      </c>
      <c r="H1170" s="9">
        <f t="shared" si="54"/>
        <v>2.1000000000000001E-2</v>
      </c>
      <c r="I1170">
        <v>2.1000000000000001E-2</v>
      </c>
      <c r="M1170" t="s">
        <v>65</v>
      </c>
      <c r="N1170" t="s">
        <v>29</v>
      </c>
      <c r="P1170" t="s">
        <v>30</v>
      </c>
      <c r="Q1170" t="s">
        <v>31</v>
      </c>
      <c r="R1170">
        <v>82640</v>
      </c>
      <c r="S1170" t="s">
        <v>42</v>
      </c>
      <c r="T1170">
        <v>82652</v>
      </c>
      <c r="U1170" t="s">
        <v>46</v>
      </c>
      <c r="V1170" t="s">
        <v>66</v>
      </c>
      <c r="W1170" t="s">
        <v>37</v>
      </c>
      <c r="X1170" t="s">
        <v>34</v>
      </c>
      <c r="Y1170" s="9">
        <f t="shared" si="55"/>
        <v>0</v>
      </c>
      <c r="Z1170" t="str">
        <f t="shared" si="56"/>
        <v>สแกนต่าง Cost</v>
      </c>
    </row>
    <row r="1171" spans="1:26" x14ac:dyDescent="0.45">
      <c r="A1171">
        <v>26738</v>
      </c>
      <c r="B1171" t="s">
        <v>53</v>
      </c>
      <c r="C1171">
        <v>20238364</v>
      </c>
      <c r="D1171" t="s">
        <v>198</v>
      </c>
      <c r="E1171" s="10">
        <v>46132.333333333336</v>
      </c>
      <c r="F1171" s="10">
        <v>46132.714583333334</v>
      </c>
      <c r="G1171">
        <v>8.15</v>
      </c>
      <c r="H1171" s="9">
        <f t="shared" si="54"/>
        <v>4.3999999999999997E-2</v>
      </c>
      <c r="I1171">
        <v>4.3999999999999997E-2</v>
      </c>
      <c r="M1171" t="s">
        <v>65</v>
      </c>
      <c r="N1171" t="s">
        <v>29</v>
      </c>
      <c r="P1171" t="s">
        <v>30</v>
      </c>
      <c r="Q1171" t="s">
        <v>31</v>
      </c>
      <c r="R1171">
        <v>82306</v>
      </c>
      <c r="S1171" t="s">
        <v>55</v>
      </c>
      <c r="T1171">
        <v>82920</v>
      </c>
      <c r="U1171" t="s">
        <v>158</v>
      </c>
      <c r="V1171" t="s">
        <v>158</v>
      </c>
      <c r="W1171" t="s">
        <v>159</v>
      </c>
      <c r="X1171" t="s">
        <v>160</v>
      </c>
      <c r="Y1171" s="9">
        <f t="shared" si="55"/>
        <v>0</v>
      </c>
      <c r="Z1171" t="str">
        <f t="shared" si="56"/>
        <v>สแกนต่าง Cost</v>
      </c>
    </row>
    <row r="1172" spans="1:26" x14ac:dyDescent="0.45">
      <c r="B1172" t="s">
        <v>53</v>
      </c>
      <c r="C1172">
        <v>20244923</v>
      </c>
      <c r="D1172" t="s">
        <v>246</v>
      </c>
      <c r="E1172" s="10">
        <v>46132.333333333336</v>
      </c>
      <c r="F1172" s="10">
        <v>46132.416666666664</v>
      </c>
      <c r="G1172">
        <v>2</v>
      </c>
      <c r="H1172" s="9">
        <f t="shared" si="54"/>
        <v>1.0999999999999999E-2</v>
      </c>
      <c r="I1172">
        <v>1.0999999999999999E-2</v>
      </c>
      <c r="M1172" t="s">
        <v>65</v>
      </c>
      <c r="N1172" t="s">
        <v>29</v>
      </c>
      <c r="P1172" t="s">
        <v>30</v>
      </c>
      <c r="Q1172" t="s">
        <v>31</v>
      </c>
      <c r="R1172">
        <v>82640</v>
      </c>
      <c r="S1172" t="s">
        <v>42</v>
      </c>
      <c r="T1172">
        <v>82611</v>
      </c>
      <c r="U1172" t="s">
        <v>43</v>
      </c>
      <c r="V1172" t="s">
        <v>66</v>
      </c>
      <c r="W1172" t="s">
        <v>44</v>
      </c>
      <c r="X1172" t="s">
        <v>44</v>
      </c>
      <c r="Y1172" s="9">
        <f t="shared" si="55"/>
        <v>0</v>
      </c>
      <c r="Z1172" t="str">
        <f t="shared" si="56"/>
        <v>สแกนต่าง Cost</v>
      </c>
    </row>
    <row r="1173" spans="1:26" x14ac:dyDescent="0.45">
      <c r="B1173" t="s">
        <v>26</v>
      </c>
      <c r="C1173">
        <v>20276269</v>
      </c>
      <c r="D1173" t="s">
        <v>134</v>
      </c>
      <c r="E1173" s="10">
        <v>46132.333333333336</v>
      </c>
      <c r="F1173" s="10">
        <v>46132.684027777781</v>
      </c>
      <c r="G1173">
        <v>7.4166666666666661</v>
      </c>
      <c r="H1173" s="9">
        <f t="shared" si="54"/>
        <v>0.04</v>
      </c>
      <c r="J1173">
        <v>0.04</v>
      </c>
      <c r="M1173" t="s">
        <v>77</v>
      </c>
      <c r="N1173" t="s">
        <v>40</v>
      </c>
      <c r="O1173" t="s">
        <v>78</v>
      </c>
      <c r="P1173" t="s">
        <v>30</v>
      </c>
      <c r="Q1173" t="s">
        <v>31</v>
      </c>
      <c r="R1173">
        <v>82308</v>
      </c>
      <c r="S1173" t="s">
        <v>69</v>
      </c>
      <c r="T1173">
        <v>82611</v>
      </c>
      <c r="U1173" t="s">
        <v>43</v>
      </c>
      <c r="V1173" t="s">
        <v>43</v>
      </c>
      <c r="W1173" t="s">
        <v>42</v>
      </c>
      <c r="X1173" t="s">
        <v>38</v>
      </c>
      <c r="Y1173" s="9">
        <f t="shared" si="55"/>
        <v>0.04</v>
      </c>
      <c r="Z1173" t="str">
        <f t="shared" si="56"/>
        <v>สแกนต่าง Cost</v>
      </c>
    </row>
    <row r="1174" spans="1:26" x14ac:dyDescent="0.45">
      <c r="B1174" t="s">
        <v>53</v>
      </c>
      <c r="C1174">
        <v>20310532</v>
      </c>
      <c r="D1174" t="s">
        <v>61</v>
      </c>
      <c r="E1174" s="10">
        <v>46132.333333333336</v>
      </c>
      <c r="F1174" s="10">
        <v>46132.375</v>
      </c>
      <c r="G1174">
        <v>1</v>
      </c>
      <c r="H1174" s="9">
        <f t="shared" si="54"/>
        <v>5.0000000000000001E-3</v>
      </c>
      <c r="I1174">
        <v>5.0000000000000001E-3</v>
      </c>
      <c r="M1174" t="s">
        <v>65</v>
      </c>
      <c r="N1174" t="s">
        <v>29</v>
      </c>
      <c r="P1174" t="s">
        <v>30</v>
      </c>
      <c r="Q1174" t="s">
        <v>31</v>
      </c>
      <c r="R1174">
        <v>82640</v>
      </c>
      <c r="S1174" t="s">
        <v>42</v>
      </c>
      <c r="T1174">
        <v>82612</v>
      </c>
      <c r="U1174" t="s">
        <v>153</v>
      </c>
      <c r="V1174" t="s">
        <v>66</v>
      </c>
      <c r="W1174" t="s">
        <v>44</v>
      </c>
      <c r="X1174" t="s">
        <v>44</v>
      </c>
      <c r="Y1174" s="9">
        <f t="shared" si="55"/>
        <v>0</v>
      </c>
      <c r="Z1174" t="str">
        <f t="shared" si="56"/>
        <v>สแกนต่าง Cost</v>
      </c>
    </row>
    <row r="1175" spans="1:26" x14ac:dyDescent="0.45">
      <c r="B1175" t="s">
        <v>53</v>
      </c>
      <c r="C1175">
        <v>20319535</v>
      </c>
      <c r="D1175" t="s">
        <v>36</v>
      </c>
      <c r="E1175" s="10">
        <v>46132.333333333336</v>
      </c>
      <c r="F1175" s="10">
        <v>46132.729166666664</v>
      </c>
      <c r="G1175">
        <v>9.5</v>
      </c>
      <c r="H1175" s="9">
        <f t="shared" si="54"/>
        <v>4.9999999999999996E-2</v>
      </c>
      <c r="I1175">
        <v>4.4999999999999998E-2</v>
      </c>
      <c r="K1175">
        <v>5.0000000000000001E-3</v>
      </c>
      <c r="M1175" t="s">
        <v>28</v>
      </c>
      <c r="N1175" t="s">
        <v>29</v>
      </c>
      <c r="P1175" t="s">
        <v>30</v>
      </c>
      <c r="Q1175" t="s">
        <v>31</v>
      </c>
      <c r="R1175">
        <v>82630</v>
      </c>
      <c r="S1175" t="s">
        <v>32</v>
      </c>
      <c r="T1175">
        <v>82611</v>
      </c>
      <c r="U1175" t="s">
        <v>43</v>
      </c>
      <c r="V1175" t="s">
        <v>43</v>
      </c>
      <c r="W1175" t="s">
        <v>170</v>
      </c>
      <c r="X1175" t="s">
        <v>171</v>
      </c>
      <c r="Y1175" s="9">
        <f t="shared" si="55"/>
        <v>5.0000000000000001E-3</v>
      </c>
      <c r="Z1175" t="str">
        <f t="shared" si="56"/>
        <v>สแกนต่าง Cost</v>
      </c>
    </row>
    <row r="1176" spans="1:26" x14ac:dyDescent="0.45">
      <c r="B1176" t="s">
        <v>26</v>
      </c>
      <c r="C1176">
        <v>20330032</v>
      </c>
      <c r="D1176" t="s">
        <v>204</v>
      </c>
      <c r="E1176" s="10">
        <v>46132.333333333336</v>
      </c>
      <c r="F1176" s="10">
        <v>46132.729166666664</v>
      </c>
      <c r="G1176">
        <v>8.5</v>
      </c>
      <c r="H1176" s="9">
        <f t="shared" si="54"/>
        <v>4.4999999999999998E-2</v>
      </c>
      <c r="I1176">
        <v>4.4999999999999998E-2</v>
      </c>
      <c r="M1176" t="s">
        <v>65</v>
      </c>
      <c r="N1176" t="s">
        <v>29</v>
      </c>
      <c r="P1176" t="s">
        <v>30</v>
      </c>
      <c r="Q1176" t="s">
        <v>31</v>
      </c>
      <c r="R1176">
        <v>82910</v>
      </c>
      <c r="S1176" t="s">
        <v>201</v>
      </c>
      <c r="T1176">
        <v>82605</v>
      </c>
      <c r="U1176" t="s">
        <v>202</v>
      </c>
      <c r="V1176" t="s">
        <v>202</v>
      </c>
      <c r="W1176" t="s">
        <v>37</v>
      </c>
      <c r="X1176" t="s">
        <v>47</v>
      </c>
      <c r="Y1176" s="9">
        <f t="shared" si="55"/>
        <v>0</v>
      </c>
      <c r="Z1176" t="str">
        <f t="shared" si="56"/>
        <v>สแกนต่าง Cost</v>
      </c>
    </row>
    <row r="1177" spans="1:26" x14ac:dyDescent="0.45">
      <c r="B1177" t="s">
        <v>53</v>
      </c>
      <c r="C1177">
        <v>20332134</v>
      </c>
      <c r="D1177" t="s">
        <v>156</v>
      </c>
      <c r="E1177" s="10">
        <v>46132.333333333336</v>
      </c>
      <c r="F1177" s="10">
        <v>46132.4375</v>
      </c>
      <c r="G1177">
        <v>2.5</v>
      </c>
      <c r="H1177" s="9">
        <f t="shared" si="54"/>
        <v>1.2999999999999999E-2</v>
      </c>
      <c r="I1177">
        <v>1.2999999999999999E-2</v>
      </c>
      <c r="M1177" t="s">
        <v>65</v>
      </c>
      <c r="N1177" t="s">
        <v>29</v>
      </c>
      <c r="P1177" t="s">
        <v>30</v>
      </c>
      <c r="Q1177" t="s">
        <v>31</v>
      </c>
      <c r="R1177">
        <v>82640</v>
      </c>
      <c r="S1177" t="s">
        <v>42</v>
      </c>
      <c r="T1177">
        <v>82630</v>
      </c>
      <c r="U1177" t="s">
        <v>32</v>
      </c>
      <c r="V1177" t="s">
        <v>66</v>
      </c>
      <c r="W1177" t="s">
        <v>44</v>
      </c>
      <c r="X1177" t="s">
        <v>44</v>
      </c>
      <c r="Y1177" s="9">
        <f t="shared" si="55"/>
        <v>0</v>
      </c>
      <c r="Z1177" t="str">
        <f t="shared" si="56"/>
        <v>สแกนต่าง Cost</v>
      </c>
    </row>
    <row r="1178" spans="1:26" x14ac:dyDescent="0.45">
      <c r="B1178" t="s">
        <v>53</v>
      </c>
      <c r="C1178">
        <v>20344532</v>
      </c>
      <c r="D1178" t="s">
        <v>186</v>
      </c>
      <c r="E1178" s="10">
        <v>46132.333333333336</v>
      </c>
      <c r="F1178" s="10">
        <v>46132.729166666664</v>
      </c>
      <c r="G1178">
        <v>9.5</v>
      </c>
      <c r="H1178" s="9">
        <f t="shared" si="54"/>
        <v>4.9999999999999996E-2</v>
      </c>
      <c r="I1178">
        <v>4.4999999999999998E-2</v>
      </c>
      <c r="K1178">
        <v>5.0000000000000001E-3</v>
      </c>
      <c r="M1178" t="s">
        <v>28</v>
      </c>
      <c r="N1178" t="s">
        <v>29</v>
      </c>
      <c r="P1178" t="s">
        <v>30</v>
      </c>
      <c r="Q1178" t="s">
        <v>31</v>
      </c>
      <c r="R1178">
        <v>82630</v>
      </c>
      <c r="S1178" t="s">
        <v>32</v>
      </c>
      <c r="T1178">
        <v>82611</v>
      </c>
      <c r="U1178" t="s">
        <v>43</v>
      </c>
      <c r="V1178" t="s">
        <v>43</v>
      </c>
      <c r="W1178" t="s">
        <v>170</v>
      </c>
      <c r="X1178" t="s">
        <v>171</v>
      </c>
      <c r="Y1178" s="9">
        <f t="shared" si="55"/>
        <v>5.0000000000000001E-3</v>
      </c>
      <c r="Z1178" t="str">
        <f t="shared" si="56"/>
        <v>สแกนต่าง Cost</v>
      </c>
    </row>
    <row r="1179" spans="1:26" x14ac:dyDescent="0.45">
      <c r="B1179" t="s">
        <v>53</v>
      </c>
      <c r="C1179">
        <v>20352276</v>
      </c>
      <c r="D1179" t="s">
        <v>187</v>
      </c>
      <c r="E1179" s="10">
        <v>46132.333333333336</v>
      </c>
      <c r="F1179" s="10">
        <v>46132.729166666664</v>
      </c>
      <c r="G1179">
        <v>8.5</v>
      </c>
      <c r="H1179" s="9">
        <f t="shared" si="54"/>
        <v>4.4999999999999998E-2</v>
      </c>
      <c r="I1179">
        <v>4.4999999999999998E-2</v>
      </c>
      <c r="M1179" t="s">
        <v>65</v>
      </c>
      <c r="N1179" t="s">
        <v>29</v>
      </c>
      <c r="P1179" t="s">
        <v>30</v>
      </c>
      <c r="Q1179" t="s">
        <v>31</v>
      </c>
      <c r="R1179">
        <v>82630</v>
      </c>
      <c r="S1179" t="s">
        <v>32</v>
      </c>
      <c r="T1179">
        <v>82611</v>
      </c>
      <c r="U1179" t="s">
        <v>43</v>
      </c>
      <c r="V1179" t="s">
        <v>43</v>
      </c>
      <c r="W1179" t="s">
        <v>170</v>
      </c>
      <c r="X1179" t="s">
        <v>171</v>
      </c>
      <c r="Y1179" s="9">
        <f t="shared" si="55"/>
        <v>0</v>
      </c>
      <c r="Z1179" t="str">
        <f t="shared" si="56"/>
        <v>สแกนต่าง Cost</v>
      </c>
    </row>
    <row r="1180" spans="1:26" x14ac:dyDescent="0.45">
      <c r="B1180" t="s">
        <v>26</v>
      </c>
      <c r="C1180">
        <v>20352284</v>
      </c>
      <c r="D1180" t="s">
        <v>113</v>
      </c>
      <c r="E1180" s="10">
        <v>46132.333333333336</v>
      </c>
      <c r="F1180" s="10">
        <v>46132.729166666664</v>
      </c>
      <c r="G1180">
        <v>8.5</v>
      </c>
      <c r="H1180" s="9">
        <f t="shared" si="54"/>
        <v>4.4999999999999998E-2</v>
      </c>
      <c r="I1180">
        <v>4.4999999999999998E-2</v>
      </c>
      <c r="M1180" t="s">
        <v>65</v>
      </c>
      <c r="N1180" t="s">
        <v>29</v>
      </c>
      <c r="P1180" t="s">
        <v>30</v>
      </c>
      <c r="Q1180" t="s">
        <v>31</v>
      </c>
      <c r="R1180">
        <v>82400</v>
      </c>
      <c r="S1180" t="s">
        <v>83</v>
      </c>
      <c r="T1180">
        <v>82690</v>
      </c>
      <c r="U1180" t="s">
        <v>90</v>
      </c>
      <c r="V1180" t="s">
        <v>90</v>
      </c>
      <c r="W1180" t="s">
        <v>91</v>
      </c>
      <c r="X1180" t="s">
        <v>92</v>
      </c>
      <c r="Y1180" s="9">
        <f t="shared" si="55"/>
        <v>0</v>
      </c>
      <c r="Z1180" t="str">
        <f t="shared" si="56"/>
        <v>สแกนต่าง Cost</v>
      </c>
    </row>
    <row r="1181" spans="1:26" x14ac:dyDescent="0.45">
      <c r="B1181" t="s">
        <v>26</v>
      </c>
      <c r="C1181">
        <v>20352338</v>
      </c>
      <c r="D1181" t="s">
        <v>114</v>
      </c>
      <c r="E1181" s="10">
        <v>46132.333333333336</v>
      </c>
      <c r="F1181" s="10">
        <v>46132.729166666664</v>
      </c>
      <c r="G1181">
        <v>8.5</v>
      </c>
      <c r="H1181" s="9">
        <f t="shared" si="54"/>
        <v>4.4999999999999998E-2</v>
      </c>
      <c r="I1181">
        <v>4.4999999999999998E-2</v>
      </c>
      <c r="M1181" t="s">
        <v>65</v>
      </c>
      <c r="N1181" t="s">
        <v>29</v>
      </c>
      <c r="P1181" t="s">
        <v>30</v>
      </c>
      <c r="Q1181" t="s">
        <v>31</v>
      </c>
      <c r="R1181">
        <v>82400</v>
      </c>
      <c r="S1181" t="s">
        <v>83</v>
      </c>
      <c r="T1181">
        <v>82690</v>
      </c>
      <c r="U1181" t="s">
        <v>90</v>
      </c>
      <c r="V1181" t="s">
        <v>90</v>
      </c>
      <c r="W1181" t="s">
        <v>91</v>
      </c>
      <c r="X1181" t="s">
        <v>92</v>
      </c>
      <c r="Y1181" s="9">
        <f t="shared" si="55"/>
        <v>0</v>
      </c>
      <c r="Z1181" t="str">
        <f t="shared" si="56"/>
        <v>สแกนต่าง Cost</v>
      </c>
    </row>
    <row r="1182" spans="1:26" x14ac:dyDescent="0.45">
      <c r="B1182" t="s">
        <v>26</v>
      </c>
      <c r="C1182">
        <v>20372078</v>
      </c>
      <c r="D1182" t="s">
        <v>82</v>
      </c>
      <c r="E1182" s="10">
        <v>46132.333333333336</v>
      </c>
      <c r="F1182" s="10">
        <v>46132.729166666664</v>
      </c>
      <c r="G1182">
        <v>8.5</v>
      </c>
      <c r="H1182" s="9">
        <f t="shared" si="54"/>
        <v>4.4999999999999998E-2</v>
      </c>
      <c r="I1182">
        <v>4.4999999999999998E-2</v>
      </c>
      <c r="M1182" t="s">
        <v>65</v>
      </c>
      <c r="N1182" t="s">
        <v>29</v>
      </c>
      <c r="P1182" t="s">
        <v>30</v>
      </c>
      <c r="Q1182" t="s">
        <v>31</v>
      </c>
      <c r="R1182">
        <v>82400</v>
      </c>
      <c r="S1182" t="s">
        <v>83</v>
      </c>
      <c r="T1182">
        <v>82690</v>
      </c>
      <c r="U1182" t="s">
        <v>90</v>
      </c>
      <c r="V1182" t="s">
        <v>90</v>
      </c>
      <c r="W1182" t="s">
        <v>91</v>
      </c>
      <c r="X1182" t="s">
        <v>92</v>
      </c>
      <c r="Y1182" s="9">
        <f t="shared" si="55"/>
        <v>0</v>
      </c>
      <c r="Z1182" t="str">
        <f t="shared" si="56"/>
        <v>สแกนต่าง Cost</v>
      </c>
    </row>
    <row r="1183" spans="1:26" x14ac:dyDescent="0.45">
      <c r="B1183" t="s">
        <v>26</v>
      </c>
      <c r="C1183">
        <v>20372080</v>
      </c>
      <c r="D1183" t="s">
        <v>117</v>
      </c>
      <c r="E1183" s="10">
        <v>46132.333333333336</v>
      </c>
      <c r="F1183" s="10">
        <v>46132.729166666664</v>
      </c>
      <c r="G1183">
        <v>8.5</v>
      </c>
      <c r="H1183" s="9">
        <f t="shared" si="54"/>
        <v>4.4999999999999998E-2</v>
      </c>
      <c r="I1183">
        <v>4.4999999999999998E-2</v>
      </c>
      <c r="M1183" t="s">
        <v>65</v>
      </c>
      <c r="N1183" t="s">
        <v>29</v>
      </c>
      <c r="P1183" t="s">
        <v>30</v>
      </c>
      <c r="Q1183" t="s">
        <v>31</v>
      </c>
      <c r="R1183">
        <v>82400</v>
      </c>
      <c r="S1183" t="s">
        <v>83</v>
      </c>
      <c r="T1183">
        <v>82690</v>
      </c>
      <c r="U1183" t="s">
        <v>90</v>
      </c>
      <c r="V1183" t="s">
        <v>90</v>
      </c>
      <c r="W1183" t="s">
        <v>91</v>
      </c>
      <c r="X1183" t="s">
        <v>92</v>
      </c>
      <c r="Y1183" s="9">
        <f t="shared" si="55"/>
        <v>0</v>
      </c>
      <c r="Z1183" t="str">
        <f t="shared" si="56"/>
        <v>สแกนต่าง Cost</v>
      </c>
    </row>
    <row r="1184" spans="1:26" x14ac:dyDescent="0.45">
      <c r="B1184" t="s">
        <v>26</v>
      </c>
      <c r="C1184">
        <v>20373210</v>
      </c>
      <c r="D1184" t="s">
        <v>206</v>
      </c>
      <c r="E1184" s="10">
        <v>46132.333333333336</v>
      </c>
      <c r="F1184" s="10">
        <v>46132.729166666664</v>
      </c>
      <c r="G1184">
        <v>8.5</v>
      </c>
      <c r="H1184" s="9">
        <f t="shared" si="54"/>
        <v>4.4999999999999998E-2</v>
      </c>
      <c r="I1184">
        <v>4.4999999999999998E-2</v>
      </c>
      <c r="M1184" t="s">
        <v>77</v>
      </c>
      <c r="N1184" t="s">
        <v>29</v>
      </c>
      <c r="P1184" t="s">
        <v>30</v>
      </c>
      <c r="Q1184" t="s">
        <v>31</v>
      </c>
      <c r="R1184">
        <v>82910</v>
      </c>
      <c r="S1184" t="s">
        <v>201</v>
      </c>
      <c r="T1184">
        <v>82605</v>
      </c>
      <c r="U1184" t="s">
        <v>202</v>
      </c>
      <c r="V1184" t="s">
        <v>202</v>
      </c>
      <c r="W1184" t="s">
        <v>37</v>
      </c>
      <c r="X1184" t="s">
        <v>47</v>
      </c>
      <c r="Y1184" s="9">
        <f t="shared" si="55"/>
        <v>0</v>
      </c>
      <c r="Z1184" t="str">
        <f t="shared" si="56"/>
        <v>สแกนต่าง Cost</v>
      </c>
    </row>
    <row r="1185" spans="1:26" x14ac:dyDescent="0.45">
      <c r="B1185" t="s">
        <v>26</v>
      </c>
      <c r="C1185">
        <v>20374943</v>
      </c>
      <c r="D1185" t="s">
        <v>207</v>
      </c>
      <c r="E1185" s="10">
        <v>46132.333333333336</v>
      </c>
      <c r="F1185" s="10">
        <v>46132.729166666664</v>
      </c>
      <c r="G1185">
        <v>8.5</v>
      </c>
      <c r="H1185" s="9">
        <f t="shared" si="54"/>
        <v>4.4999999999999998E-2</v>
      </c>
      <c r="I1185">
        <v>4.4999999999999998E-2</v>
      </c>
      <c r="M1185" t="s">
        <v>65</v>
      </c>
      <c r="N1185" t="s">
        <v>29</v>
      </c>
      <c r="P1185" t="s">
        <v>30</v>
      </c>
      <c r="Q1185" t="s">
        <v>31</v>
      </c>
      <c r="R1185">
        <v>82301</v>
      </c>
      <c r="S1185" t="s">
        <v>79</v>
      </c>
      <c r="T1185">
        <v>82611</v>
      </c>
      <c r="U1185" t="s">
        <v>43</v>
      </c>
      <c r="V1185" t="s">
        <v>43</v>
      </c>
      <c r="W1185" t="s">
        <v>42</v>
      </c>
      <c r="X1185" t="s">
        <v>38</v>
      </c>
      <c r="Y1185" s="9">
        <f t="shared" si="55"/>
        <v>0</v>
      </c>
      <c r="Z1185" t="str">
        <f t="shared" si="56"/>
        <v>สแกนต่าง Cost</v>
      </c>
    </row>
    <row r="1186" spans="1:26" x14ac:dyDescent="0.45">
      <c r="B1186" t="s">
        <v>26</v>
      </c>
      <c r="C1186">
        <v>20382170</v>
      </c>
      <c r="D1186" t="s">
        <v>118</v>
      </c>
      <c r="E1186" s="10">
        <v>46132.333333333336</v>
      </c>
      <c r="F1186" s="10">
        <v>46132.729166666664</v>
      </c>
      <c r="G1186">
        <v>8.5</v>
      </c>
      <c r="H1186" s="9">
        <f t="shared" si="54"/>
        <v>4.4999999999999998E-2</v>
      </c>
      <c r="I1186">
        <v>4.4999999999999998E-2</v>
      </c>
      <c r="M1186" t="s">
        <v>65</v>
      </c>
      <c r="N1186" t="s">
        <v>29</v>
      </c>
      <c r="P1186" t="s">
        <v>30</v>
      </c>
      <c r="Q1186" t="s">
        <v>31</v>
      </c>
      <c r="R1186">
        <v>82400</v>
      </c>
      <c r="S1186" t="s">
        <v>83</v>
      </c>
      <c r="T1186">
        <v>82690</v>
      </c>
      <c r="U1186" t="s">
        <v>90</v>
      </c>
      <c r="V1186" t="s">
        <v>90</v>
      </c>
      <c r="W1186" t="s">
        <v>91</v>
      </c>
      <c r="X1186" t="s">
        <v>92</v>
      </c>
      <c r="Y1186" s="9">
        <f t="shared" si="55"/>
        <v>0</v>
      </c>
      <c r="Z1186" t="str">
        <f t="shared" si="56"/>
        <v>สแกนต่าง Cost</v>
      </c>
    </row>
    <row r="1187" spans="1:26" x14ac:dyDescent="0.45">
      <c r="B1187" t="s">
        <v>26</v>
      </c>
      <c r="C1187">
        <v>20382171</v>
      </c>
      <c r="D1187" t="s">
        <v>119</v>
      </c>
      <c r="E1187" s="10">
        <v>46132.333333333336</v>
      </c>
      <c r="F1187" s="10">
        <v>46132.729166666664</v>
      </c>
      <c r="G1187">
        <v>8.5</v>
      </c>
      <c r="H1187" s="9">
        <f t="shared" si="54"/>
        <v>4.4999999999999998E-2</v>
      </c>
      <c r="I1187">
        <v>4.4999999999999998E-2</v>
      </c>
      <c r="M1187" t="s">
        <v>65</v>
      </c>
      <c r="N1187" t="s">
        <v>29</v>
      </c>
      <c r="P1187" t="s">
        <v>30</v>
      </c>
      <c r="Q1187" t="s">
        <v>31</v>
      </c>
      <c r="R1187">
        <v>82400</v>
      </c>
      <c r="S1187" t="s">
        <v>83</v>
      </c>
      <c r="T1187">
        <v>82690</v>
      </c>
      <c r="U1187" t="s">
        <v>90</v>
      </c>
      <c r="V1187" t="s">
        <v>90</v>
      </c>
      <c r="W1187" t="s">
        <v>91</v>
      </c>
      <c r="X1187" t="s">
        <v>92</v>
      </c>
      <c r="Y1187" s="9">
        <f t="shared" si="55"/>
        <v>0</v>
      </c>
      <c r="Z1187" t="str">
        <f t="shared" si="56"/>
        <v>สแกนต่าง Cost</v>
      </c>
    </row>
    <row r="1188" spans="1:26" x14ac:dyDescent="0.45">
      <c r="A1188">
        <v>26641</v>
      </c>
      <c r="B1188" t="s">
        <v>53</v>
      </c>
      <c r="C1188">
        <v>20344551</v>
      </c>
      <c r="D1188" t="s">
        <v>110</v>
      </c>
      <c r="E1188" s="10">
        <v>46132.332638888889</v>
      </c>
      <c r="F1188" s="10">
        <v>46132.830555555556</v>
      </c>
      <c r="G1188">
        <v>11.95</v>
      </c>
      <c r="H1188" s="9">
        <f t="shared" si="54"/>
        <v>6.3E-2</v>
      </c>
      <c r="I1188">
        <v>4.4999999999999998E-2</v>
      </c>
      <c r="K1188">
        <v>1.7999999999999999E-2</v>
      </c>
      <c r="M1188" t="s">
        <v>28</v>
      </c>
      <c r="N1188" t="s">
        <v>40</v>
      </c>
      <c r="O1188" t="s">
        <v>41</v>
      </c>
      <c r="P1188" t="s">
        <v>30</v>
      </c>
      <c r="Q1188" t="s">
        <v>31</v>
      </c>
      <c r="R1188">
        <v>82655</v>
      </c>
      <c r="S1188" t="s">
        <v>59</v>
      </c>
      <c r="T1188">
        <v>82664</v>
      </c>
      <c r="U1188" t="s">
        <v>75</v>
      </c>
      <c r="V1188" t="s">
        <v>75</v>
      </c>
      <c r="W1188" t="s">
        <v>37</v>
      </c>
      <c r="X1188" t="s">
        <v>111</v>
      </c>
      <c r="Y1188" s="9">
        <f t="shared" si="55"/>
        <v>1.7999999999999999E-2</v>
      </c>
      <c r="Z1188" t="str">
        <f t="shared" si="56"/>
        <v>สแกนต่าง Cost</v>
      </c>
    </row>
    <row r="1189" spans="1:26" x14ac:dyDescent="0.45">
      <c r="A1189">
        <v>26642</v>
      </c>
      <c r="B1189" t="s">
        <v>53</v>
      </c>
      <c r="C1189">
        <v>20344552</v>
      </c>
      <c r="D1189" t="s">
        <v>112</v>
      </c>
      <c r="E1189" s="10">
        <v>46132.332638888889</v>
      </c>
      <c r="F1189" s="10">
        <v>46132.830555555556</v>
      </c>
      <c r="G1189">
        <v>11.95</v>
      </c>
      <c r="H1189" s="9">
        <f t="shared" si="54"/>
        <v>6.3E-2</v>
      </c>
      <c r="I1189">
        <v>4.4999999999999998E-2</v>
      </c>
      <c r="K1189">
        <v>1.7999999999999999E-2</v>
      </c>
      <c r="M1189" t="s">
        <v>28</v>
      </c>
      <c r="N1189" t="s">
        <v>40</v>
      </c>
      <c r="O1189" t="s">
        <v>41</v>
      </c>
      <c r="P1189" t="s">
        <v>30</v>
      </c>
      <c r="Q1189" t="s">
        <v>31</v>
      </c>
      <c r="R1189">
        <v>82655</v>
      </c>
      <c r="S1189" t="s">
        <v>59</v>
      </c>
      <c r="T1189">
        <v>82664</v>
      </c>
      <c r="U1189" t="s">
        <v>75</v>
      </c>
      <c r="V1189" t="s">
        <v>75</v>
      </c>
      <c r="W1189" t="s">
        <v>37</v>
      </c>
      <c r="X1189" t="s">
        <v>111</v>
      </c>
      <c r="Y1189" s="9">
        <f t="shared" si="55"/>
        <v>1.7999999999999999E-2</v>
      </c>
      <c r="Z1189" t="str">
        <f t="shared" si="56"/>
        <v>สแกนต่าง Cost</v>
      </c>
    </row>
    <row r="1190" spans="1:26" x14ac:dyDescent="0.45">
      <c r="A1190">
        <v>26639</v>
      </c>
      <c r="B1190" t="s">
        <v>53</v>
      </c>
      <c r="C1190">
        <v>20198835</v>
      </c>
      <c r="D1190" t="s">
        <v>129</v>
      </c>
      <c r="E1190" s="10">
        <v>46132.331250000003</v>
      </c>
      <c r="F1190" s="10">
        <v>46132.830555555556</v>
      </c>
      <c r="G1190">
        <v>11.983333333333333</v>
      </c>
      <c r="H1190" s="9">
        <f t="shared" si="54"/>
        <v>6.4000000000000001E-2</v>
      </c>
      <c r="I1190">
        <v>4.4999999999999998E-2</v>
      </c>
      <c r="K1190">
        <v>1.9E-2</v>
      </c>
      <c r="M1190" t="s">
        <v>28</v>
      </c>
      <c r="N1190" t="s">
        <v>40</v>
      </c>
      <c r="O1190" t="s">
        <v>41</v>
      </c>
      <c r="P1190" t="s">
        <v>30</v>
      </c>
      <c r="Q1190" t="s">
        <v>31</v>
      </c>
      <c r="R1190">
        <v>82658</v>
      </c>
      <c r="S1190" t="s">
        <v>33</v>
      </c>
      <c r="T1190">
        <v>82664</v>
      </c>
      <c r="U1190" t="s">
        <v>75</v>
      </c>
      <c r="V1190" t="s">
        <v>75</v>
      </c>
      <c r="W1190" t="s">
        <v>37</v>
      </c>
      <c r="X1190" t="s">
        <v>111</v>
      </c>
      <c r="Y1190" s="9">
        <f t="shared" si="55"/>
        <v>1.9E-2</v>
      </c>
      <c r="Z1190" t="str">
        <f t="shared" si="56"/>
        <v>สแกนต่าง Cost</v>
      </c>
    </row>
    <row r="1191" spans="1:26" x14ac:dyDescent="0.45">
      <c r="A1191">
        <v>26640</v>
      </c>
      <c r="B1191" t="s">
        <v>53</v>
      </c>
      <c r="C1191">
        <v>20372709</v>
      </c>
      <c r="D1191" t="s">
        <v>130</v>
      </c>
      <c r="E1191" s="10">
        <v>46132.331250000003</v>
      </c>
      <c r="F1191" s="10">
        <v>46132.830555555556</v>
      </c>
      <c r="G1191">
        <v>11.983333333333333</v>
      </c>
      <c r="H1191" s="9">
        <f t="shared" si="54"/>
        <v>6.4000000000000001E-2</v>
      </c>
      <c r="I1191">
        <v>4.4999999999999998E-2</v>
      </c>
      <c r="K1191">
        <v>1.9E-2</v>
      </c>
      <c r="M1191" t="s">
        <v>28</v>
      </c>
      <c r="N1191" t="s">
        <v>40</v>
      </c>
      <c r="O1191" t="s">
        <v>41</v>
      </c>
      <c r="P1191" t="s">
        <v>30</v>
      </c>
      <c r="Q1191" t="s">
        <v>31</v>
      </c>
      <c r="R1191">
        <v>82658</v>
      </c>
      <c r="S1191" t="s">
        <v>33</v>
      </c>
      <c r="T1191">
        <v>82664</v>
      </c>
      <c r="U1191" t="s">
        <v>75</v>
      </c>
      <c r="V1191" t="s">
        <v>75</v>
      </c>
      <c r="W1191" t="s">
        <v>37</v>
      </c>
      <c r="X1191" t="s">
        <v>111</v>
      </c>
      <c r="Y1191" s="9">
        <f t="shared" si="55"/>
        <v>1.9E-2</v>
      </c>
      <c r="Z1191" t="str">
        <f t="shared" si="56"/>
        <v>สแกนต่าง Cost</v>
      </c>
    </row>
    <row r="1192" spans="1:26" x14ac:dyDescent="0.45">
      <c r="A1192">
        <v>26638</v>
      </c>
      <c r="B1192" t="s">
        <v>53</v>
      </c>
      <c r="C1192">
        <v>20030839</v>
      </c>
      <c r="D1192" t="s">
        <v>235</v>
      </c>
      <c r="E1192" s="10">
        <v>46132.330555555556</v>
      </c>
      <c r="F1192" s="10">
        <v>46132.830555555556</v>
      </c>
      <c r="G1192">
        <v>12</v>
      </c>
      <c r="H1192" s="9">
        <f t="shared" si="54"/>
        <v>6.4000000000000001E-2</v>
      </c>
      <c r="I1192">
        <v>4.4999999999999998E-2</v>
      </c>
      <c r="K1192">
        <v>1.9E-2</v>
      </c>
      <c r="M1192" t="s">
        <v>28</v>
      </c>
      <c r="N1192" t="s">
        <v>40</v>
      </c>
      <c r="O1192" t="s">
        <v>41</v>
      </c>
      <c r="P1192" t="s">
        <v>30</v>
      </c>
      <c r="Q1192" t="s">
        <v>31</v>
      </c>
      <c r="R1192">
        <v>82658</v>
      </c>
      <c r="S1192" t="s">
        <v>33</v>
      </c>
      <c r="T1192">
        <v>82664</v>
      </c>
      <c r="U1192" t="s">
        <v>75</v>
      </c>
      <c r="V1192" t="s">
        <v>75</v>
      </c>
      <c r="W1192" t="s">
        <v>37</v>
      </c>
      <c r="X1192" t="s">
        <v>111</v>
      </c>
      <c r="Y1192" s="9">
        <f t="shared" si="55"/>
        <v>1.9E-2</v>
      </c>
      <c r="Z1192" t="str">
        <f t="shared" si="56"/>
        <v>สแกนต่าง Cost</v>
      </c>
    </row>
    <row r="1193" spans="1:26" x14ac:dyDescent="0.45">
      <c r="A1193">
        <v>26637</v>
      </c>
      <c r="B1193" t="s">
        <v>53</v>
      </c>
      <c r="C1193">
        <v>20162724</v>
      </c>
      <c r="D1193" t="s">
        <v>128</v>
      </c>
      <c r="E1193" s="10">
        <v>46132.330555555556</v>
      </c>
      <c r="F1193" s="10">
        <v>46132.830555555556</v>
      </c>
      <c r="G1193">
        <v>12</v>
      </c>
      <c r="H1193" s="9">
        <f t="shared" si="54"/>
        <v>6.4000000000000001E-2</v>
      </c>
      <c r="I1193">
        <v>4.4999999999999998E-2</v>
      </c>
      <c r="K1193">
        <v>1.9E-2</v>
      </c>
      <c r="M1193" t="s">
        <v>28</v>
      </c>
      <c r="N1193" t="s">
        <v>40</v>
      </c>
      <c r="O1193" t="s">
        <v>41</v>
      </c>
      <c r="P1193" t="s">
        <v>30</v>
      </c>
      <c r="Q1193" t="s">
        <v>31</v>
      </c>
      <c r="R1193">
        <v>82658</v>
      </c>
      <c r="S1193" t="s">
        <v>33</v>
      </c>
      <c r="T1193">
        <v>82664</v>
      </c>
      <c r="U1193" t="s">
        <v>75</v>
      </c>
      <c r="V1193" t="s">
        <v>75</v>
      </c>
      <c r="W1193" t="s">
        <v>37</v>
      </c>
      <c r="X1193" t="s">
        <v>111</v>
      </c>
      <c r="Y1193" s="9">
        <f t="shared" si="55"/>
        <v>1.9E-2</v>
      </c>
      <c r="Z1193" t="str">
        <f t="shared" si="56"/>
        <v>สแกนต่าง Cost</v>
      </c>
    </row>
    <row r="1194" spans="1:26" x14ac:dyDescent="0.45">
      <c r="A1194">
        <v>26644</v>
      </c>
      <c r="B1194" t="s">
        <v>53</v>
      </c>
      <c r="C1194">
        <v>20276269</v>
      </c>
      <c r="D1194" t="s">
        <v>134</v>
      </c>
      <c r="E1194" s="10">
        <v>46132.291666666664</v>
      </c>
      <c r="F1194" s="10">
        <v>46132.6875</v>
      </c>
      <c r="G1194">
        <v>8.5</v>
      </c>
      <c r="H1194" s="9">
        <f t="shared" si="54"/>
        <v>4.4999999999999998E-2</v>
      </c>
      <c r="J1194">
        <v>4.4999999999999998E-2</v>
      </c>
      <c r="M1194" t="s">
        <v>77</v>
      </c>
      <c r="N1194" t="s">
        <v>40</v>
      </c>
      <c r="O1194" t="s">
        <v>78</v>
      </c>
      <c r="P1194" t="s">
        <v>30</v>
      </c>
      <c r="Q1194" t="s">
        <v>31</v>
      </c>
      <c r="R1194">
        <v>82308</v>
      </c>
      <c r="S1194" t="s">
        <v>69</v>
      </c>
      <c r="T1194">
        <v>82301</v>
      </c>
      <c r="U1194" t="s">
        <v>79</v>
      </c>
      <c r="V1194" t="s">
        <v>79</v>
      </c>
      <c r="W1194" t="s">
        <v>80</v>
      </c>
      <c r="X1194" t="s">
        <v>135</v>
      </c>
      <c r="Y1194" s="9">
        <f t="shared" si="55"/>
        <v>4.4999999999999998E-2</v>
      </c>
      <c r="Z1194" t="str">
        <f t="shared" si="56"/>
        <v>สแกนต่าง Cost</v>
      </c>
    </row>
    <row r="1195" spans="1:26" x14ac:dyDescent="0.45">
      <c r="B1195" t="s">
        <v>26</v>
      </c>
      <c r="C1195">
        <v>20198826</v>
      </c>
      <c r="D1195" t="s">
        <v>49</v>
      </c>
      <c r="E1195" s="10">
        <v>46131.352083333331</v>
      </c>
      <c r="F1195" s="10">
        <v>46131.729166666664</v>
      </c>
      <c r="G1195">
        <v>8.0500000000000007</v>
      </c>
      <c r="H1195" s="9">
        <f t="shared" si="54"/>
        <v>4.2999999999999997E-2</v>
      </c>
      <c r="J1195">
        <v>4.2999999999999997E-2</v>
      </c>
      <c r="M1195" t="s">
        <v>77</v>
      </c>
      <c r="N1195" t="s">
        <v>40</v>
      </c>
      <c r="O1195" t="s">
        <v>247</v>
      </c>
      <c r="P1195" t="s">
        <v>30</v>
      </c>
      <c r="Q1195" t="s">
        <v>31</v>
      </c>
      <c r="R1195">
        <v>82680</v>
      </c>
      <c r="S1195" t="s">
        <v>50</v>
      </c>
      <c r="T1195">
        <v>82658</v>
      </c>
      <c r="U1195" t="s">
        <v>33</v>
      </c>
      <c r="V1195" t="s">
        <v>33</v>
      </c>
      <c r="W1195" t="s">
        <v>51</v>
      </c>
      <c r="X1195" t="s">
        <v>52</v>
      </c>
      <c r="Y1195" s="9">
        <f t="shared" si="55"/>
        <v>4.2999999999999997E-2</v>
      </c>
      <c r="Z1195" t="str">
        <f t="shared" si="56"/>
        <v>สแกนต่าง Cost</v>
      </c>
    </row>
    <row r="1196" spans="1:26" x14ac:dyDescent="0.45">
      <c r="B1196" t="s">
        <v>53</v>
      </c>
      <c r="C1196">
        <v>20016437</v>
      </c>
      <c r="D1196" t="s">
        <v>309</v>
      </c>
      <c r="E1196" s="10">
        <v>46131.333333333336</v>
      </c>
      <c r="F1196" s="10">
        <v>46131.70208333333</v>
      </c>
      <c r="G1196">
        <v>7.85</v>
      </c>
      <c r="H1196" s="9">
        <f t="shared" si="54"/>
        <v>4.2000000000000003E-2</v>
      </c>
      <c r="J1196">
        <v>4.2000000000000003E-2</v>
      </c>
      <c r="M1196" t="s">
        <v>77</v>
      </c>
      <c r="N1196" t="s">
        <v>40</v>
      </c>
      <c r="O1196" t="s">
        <v>310</v>
      </c>
      <c r="P1196" t="s">
        <v>30</v>
      </c>
      <c r="Q1196" t="s">
        <v>31</v>
      </c>
      <c r="R1196">
        <v>82630</v>
      </c>
      <c r="S1196" t="s">
        <v>32</v>
      </c>
      <c r="T1196">
        <v>82611</v>
      </c>
      <c r="U1196" t="s">
        <v>43</v>
      </c>
      <c r="V1196" t="s">
        <v>43</v>
      </c>
      <c r="W1196" t="s">
        <v>148</v>
      </c>
      <c r="X1196" t="s">
        <v>171</v>
      </c>
      <c r="Y1196" s="9">
        <f t="shared" si="55"/>
        <v>4.2000000000000003E-2</v>
      </c>
      <c r="Z1196" t="str">
        <f t="shared" si="56"/>
        <v>สแกนต่าง Cost</v>
      </c>
    </row>
    <row r="1197" spans="1:26" x14ac:dyDescent="0.45">
      <c r="B1197" t="s">
        <v>26</v>
      </c>
      <c r="C1197">
        <v>20038749</v>
      </c>
      <c r="D1197" t="s">
        <v>218</v>
      </c>
      <c r="E1197" s="10">
        <v>46131.333333333336</v>
      </c>
      <c r="F1197" s="10">
        <v>46131.729166666664</v>
      </c>
      <c r="G1197">
        <v>8.5</v>
      </c>
      <c r="H1197" s="9">
        <f t="shared" si="54"/>
        <v>4.4999999999999998E-2</v>
      </c>
      <c r="J1197">
        <v>4.4999999999999998E-2</v>
      </c>
      <c r="M1197" t="s">
        <v>77</v>
      </c>
      <c r="N1197" t="s">
        <v>40</v>
      </c>
      <c r="O1197" t="s">
        <v>78</v>
      </c>
      <c r="P1197" t="s">
        <v>30</v>
      </c>
      <c r="Q1197" t="s">
        <v>31</v>
      </c>
      <c r="R1197">
        <v>82680</v>
      </c>
      <c r="S1197" t="s">
        <v>50</v>
      </c>
      <c r="T1197">
        <v>82658</v>
      </c>
      <c r="U1197" t="s">
        <v>33</v>
      </c>
      <c r="V1197" t="s">
        <v>33</v>
      </c>
      <c r="W1197" t="s">
        <v>51</v>
      </c>
      <c r="X1197" t="s">
        <v>52</v>
      </c>
      <c r="Y1197" s="9">
        <f t="shared" si="55"/>
        <v>4.4999999999999998E-2</v>
      </c>
      <c r="Z1197" t="str">
        <f t="shared" si="56"/>
        <v>สแกนต่าง Cost</v>
      </c>
    </row>
    <row r="1198" spans="1:26" x14ac:dyDescent="0.45">
      <c r="B1198" t="s">
        <v>26</v>
      </c>
      <c r="C1198">
        <v>20054825</v>
      </c>
      <c r="D1198" t="s">
        <v>215</v>
      </c>
      <c r="E1198" s="10">
        <v>46131.333333333336</v>
      </c>
      <c r="F1198" s="10">
        <v>46131.703472222223</v>
      </c>
      <c r="G1198">
        <v>7.8833333333333329</v>
      </c>
      <c r="H1198" s="9">
        <f t="shared" si="54"/>
        <v>4.2000000000000003E-2</v>
      </c>
      <c r="J1198">
        <v>4.2000000000000003E-2</v>
      </c>
      <c r="M1198" t="s">
        <v>77</v>
      </c>
      <c r="N1198" t="s">
        <v>40</v>
      </c>
      <c r="O1198" t="s">
        <v>247</v>
      </c>
      <c r="P1198" t="s">
        <v>30</v>
      </c>
      <c r="Q1198" t="s">
        <v>31</v>
      </c>
      <c r="R1198">
        <v>82640</v>
      </c>
      <c r="S1198" t="s">
        <v>42</v>
      </c>
      <c r="T1198">
        <v>82611</v>
      </c>
      <c r="U1198" t="s">
        <v>43</v>
      </c>
      <c r="V1198" t="s">
        <v>43</v>
      </c>
      <c r="W1198" t="s">
        <v>42</v>
      </c>
      <c r="X1198" t="s">
        <v>38</v>
      </c>
      <c r="Y1198" s="9">
        <f t="shared" si="55"/>
        <v>4.2000000000000003E-2</v>
      </c>
      <c r="Z1198" t="str">
        <f t="shared" si="56"/>
        <v>สแกนต่าง Cost</v>
      </c>
    </row>
    <row r="1199" spans="1:26" x14ac:dyDescent="0.45">
      <c r="B1199" t="s">
        <v>53</v>
      </c>
      <c r="C1199">
        <v>20074473</v>
      </c>
      <c r="D1199" t="s">
        <v>276</v>
      </c>
      <c r="E1199" s="10">
        <v>46131.333333333336</v>
      </c>
      <c r="F1199" s="10">
        <v>46131.702777777777</v>
      </c>
      <c r="G1199">
        <v>7.8666666666666671</v>
      </c>
      <c r="H1199" s="9">
        <f t="shared" si="54"/>
        <v>4.2000000000000003E-2</v>
      </c>
      <c r="J1199">
        <v>4.2000000000000003E-2</v>
      </c>
      <c r="M1199" t="s">
        <v>77</v>
      </c>
      <c r="N1199" t="s">
        <v>40</v>
      </c>
      <c r="O1199" t="s">
        <v>247</v>
      </c>
      <c r="P1199" t="s">
        <v>30</v>
      </c>
      <c r="Q1199" t="s">
        <v>31</v>
      </c>
      <c r="R1199">
        <v>82630</v>
      </c>
      <c r="S1199" t="s">
        <v>32</v>
      </c>
      <c r="T1199">
        <v>82611</v>
      </c>
      <c r="U1199" t="s">
        <v>43</v>
      </c>
      <c r="V1199" t="s">
        <v>43</v>
      </c>
      <c r="W1199" t="s">
        <v>148</v>
      </c>
      <c r="X1199" t="s">
        <v>171</v>
      </c>
      <c r="Y1199" s="9">
        <f t="shared" si="55"/>
        <v>4.2000000000000003E-2</v>
      </c>
      <c r="Z1199" t="str">
        <f t="shared" si="56"/>
        <v>สแกนต่าง Cost</v>
      </c>
    </row>
    <row r="1200" spans="1:26" x14ac:dyDescent="0.45">
      <c r="B1200" t="s">
        <v>26</v>
      </c>
      <c r="C1200">
        <v>20167851</v>
      </c>
      <c r="D1200" t="s">
        <v>63</v>
      </c>
      <c r="E1200" s="10">
        <v>46131.333333333336</v>
      </c>
      <c r="F1200" s="10">
        <v>46131.70208333333</v>
      </c>
      <c r="G1200">
        <v>7.85</v>
      </c>
      <c r="H1200" s="9">
        <f t="shared" si="54"/>
        <v>4.2000000000000003E-2</v>
      </c>
      <c r="J1200">
        <v>4.2000000000000003E-2</v>
      </c>
      <c r="M1200" t="s">
        <v>77</v>
      </c>
      <c r="N1200" t="s">
        <v>40</v>
      </c>
      <c r="O1200" t="s">
        <v>247</v>
      </c>
      <c r="P1200" t="s">
        <v>30</v>
      </c>
      <c r="Q1200" t="s">
        <v>31</v>
      </c>
      <c r="R1200">
        <v>82640</v>
      </c>
      <c r="S1200" t="s">
        <v>42</v>
      </c>
      <c r="T1200">
        <v>82611</v>
      </c>
      <c r="U1200" t="s">
        <v>43</v>
      </c>
      <c r="V1200" t="s">
        <v>43</v>
      </c>
      <c r="W1200" t="s">
        <v>44</v>
      </c>
      <c r="X1200" t="s">
        <v>44</v>
      </c>
      <c r="Y1200" s="9">
        <f t="shared" si="55"/>
        <v>4.2000000000000003E-2</v>
      </c>
      <c r="Z1200" t="str">
        <f t="shared" si="56"/>
        <v>สแกนต่าง Cost</v>
      </c>
    </row>
    <row r="1201" spans="1:26" x14ac:dyDescent="0.45">
      <c r="B1201" t="s">
        <v>53</v>
      </c>
      <c r="C1201">
        <v>20198745</v>
      </c>
      <c r="D1201" t="s">
        <v>286</v>
      </c>
      <c r="E1201" s="10">
        <v>46131.333333333336</v>
      </c>
      <c r="F1201" s="10">
        <v>46131.618750000001</v>
      </c>
      <c r="G1201">
        <v>5.85</v>
      </c>
      <c r="H1201" s="9">
        <f t="shared" si="54"/>
        <v>3.1E-2</v>
      </c>
      <c r="J1201">
        <v>3.1E-2</v>
      </c>
      <c r="M1201" t="s">
        <v>77</v>
      </c>
      <c r="N1201" t="s">
        <v>40</v>
      </c>
      <c r="O1201" t="s">
        <v>245</v>
      </c>
      <c r="P1201" t="s">
        <v>30</v>
      </c>
      <c r="Q1201" t="s">
        <v>31</v>
      </c>
      <c r="R1201">
        <v>82630</v>
      </c>
      <c r="S1201" t="s">
        <v>32</v>
      </c>
      <c r="T1201">
        <v>82611</v>
      </c>
      <c r="U1201" t="s">
        <v>43</v>
      </c>
      <c r="V1201" t="s">
        <v>43</v>
      </c>
      <c r="W1201" t="s">
        <v>148</v>
      </c>
      <c r="X1201" t="s">
        <v>171</v>
      </c>
      <c r="Y1201" s="9">
        <f t="shared" si="55"/>
        <v>3.1E-2</v>
      </c>
      <c r="Z1201" t="str">
        <f t="shared" si="56"/>
        <v>สแกนต่าง Cost</v>
      </c>
    </row>
    <row r="1202" spans="1:26" x14ac:dyDescent="0.45">
      <c r="B1202" t="s">
        <v>26</v>
      </c>
      <c r="C1202">
        <v>20220651</v>
      </c>
      <c r="D1202" t="s">
        <v>216</v>
      </c>
      <c r="E1202" s="10">
        <v>46131.333333333336</v>
      </c>
      <c r="F1202" s="10">
        <v>46131.703472222223</v>
      </c>
      <c r="G1202">
        <v>7.8833333333333329</v>
      </c>
      <c r="H1202" s="9">
        <f t="shared" si="54"/>
        <v>4.2000000000000003E-2</v>
      </c>
      <c r="J1202">
        <v>4.2000000000000003E-2</v>
      </c>
      <c r="M1202" t="s">
        <v>77</v>
      </c>
      <c r="N1202" t="s">
        <v>40</v>
      </c>
      <c r="O1202" t="s">
        <v>247</v>
      </c>
      <c r="P1202" t="s">
        <v>30</v>
      </c>
      <c r="Q1202" t="s">
        <v>31</v>
      </c>
      <c r="R1202">
        <v>82640</v>
      </c>
      <c r="S1202" t="s">
        <v>42</v>
      </c>
      <c r="T1202">
        <v>82611</v>
      </c>
      <c r="U1202" t="s">
        <v>43</v>
      </c>
      <c r="V1202" t="s">
        <v>43</v>
      </c>
      <c r="W1202" t="s">
        <v>42</v>
      </c>
      <c r="X1202" t="s">
        <v>38</v>
      </c>
      <c r="Y1202" s="9">
        <f t="shared" si="55"/>
        <v>4.2000000000000003E-2</v>
      </c>
      <c r="Z1202" t="str">
        <f t="shared" si="56"/>
        <v>สแกนต่าง Cost</v>
      </c>
    </row>
    <row r="1203" spans="1:26" x14ac:dyDescent="0.45">
      <c r="B1203" t="s">
        <v>26</v>
      </c>
      <c r="C1203">
        <v>20233956</v>
      </c>
      <c r="D1203" t="s">
        <v>219</v>
      </c>
      <c r="E1203" s="10">
        <v>46131.333333333336</v>
      </c>
      <c r="F1203" s="10">
        <v>46131.729166666664</v>
      </c>
      <c r="G1203">
        <v>8.5</v>
      </c>
      <c r="H1203" s="9">
        <f t="shared" si="54"/>
        <v>4.4999999999999998E-2</v>
      </c>
      <c r="J1203">
        <v>4.4999999999999998E-2</v>
      </c>
      <c r="M1203" t="s">
        <v>77</v>
      </c>
      <c r="N1203" t="s">
        <v>40</v>
      </c>
      <c r="O1203" t="s">
        <v>78</v>
      </c>
      <c r="P1203" t="s">
        <v>30</v>
      </c>
      <c r="Q1203" t="s">
        <v>31</v>
      </c>
      <c r="R1203">
        <v>82680</v>
      </c>
      <c r="S1203" t="s">
        <v>50</v>
      </c>
      <c r="T1203">
        <v>82658</v>
      </c>
      <c r="U1203" t="s">
        <v>33</v>
      </c>
      <c r="V1203" t="s">
        <v>33</v>
      </c>
      <c r="W1203" t="s">
        <v>51</v>
      </c>
      <c r="X1203" t="s">
        <v>52</v>
      </c>
      <c r="Y1203" s="9">
        <f t="shared" si="55"/>
        <v>4.4999999999999998E-2</v>
      </c>
      <c r="Z1203" t="str">
        <f t="shared" si="56"/>
        <v>สแกนต่าง Cost</v>
      </c>
    </row>
    <row r="1204" spans="1:26" x14ac:dyDescent="0.45">
      <c r="B1204" t="s">
        <v>26</v>
      </c>
      <c r="C1204">
        <v>20244923</v>
      </c>
      <c r="D1204" t="s">
        <v>246</v>
      </c>
      <c r="E1204" s="10">
        <v>46131.333333333336</v>
      </c>
      <c r="F1204" s="10">
        <v>46131.702777777777</v>
      </c>
      <c r="G1204">
        <v>7.8666666666666671</v>
      </c>
      <c r="H1204" s="9">
        <f t="shared" si="54"/>
        <v>4.2000000000000003E-2</v>
      </c>
      <c r="J1204">
        <v>4.2000000000000003E-2</v>
      </c>
      <c r="M1204" t="s">
        <v>77</v>
      </c>
      <c r="N1204" t="s">
        <v>40</v>
      </c>
      <c r="O1204" t="s">
        <v>183</v>
      </c>
      <c r="P1204" t="s">
        <v>30</v>
      </c>
      <c r="Q1204" t="s">
        <v>31</v>
      </c>
      <c r="R1204">
        <v>82640</v>
      </c>
      <c r="S1204" t="s">
        <v>42</v>
      </c>
      <c r="T1204">
        <v>82611</v>
      </c>
      <c r="U1204" t="s">
        <v>43</v>
      </c>
      <c r="V1204" t="s">
        <v>43</v>
      </c>
      <c r="W1204" t="s">
        <v>44</v>
      </c>
      <c r="X1204" t="s">
        <v>44</v>
      </c>
      <c r="Y1204" s="9">
        <f t="shared" si="55"/>
        <v>4.2000000000000003E-2</v>
      </c>
      <c r="Z1204" t="str">
        <f t="shared" si="56"/>
        <v>สแกนต่าง Cost</v>
      </c>
    </row>
    <row r="1205" spans="1:26" x14ac:dyDescent="0.45">
      <c r="B1205" t="s">
        <v>53</v>
      </c>
      <c r="C1205">
        <v>20282543</v>
      </c>
      <c r="D1205" t="s">
        <v>311</v>
      </c>
      <c r="E1205" s="10">
        <v>46131.333333333336</v>
      </c>
      <c r="F1205" s="10">
        <v>46131.70208333333</v>
      </c>
      <c r="G1205">
        <v>7.85</v>
      </c>
      <c r="H1205" s="9">
        <f t="shared" si="54"/>
        <v>4.2000000000000003E-2</v>
      </c>
      <c r="J1205">
        <v>4.2000000000000003E-2</v>
      </c>
      <c r="M1205" t="s">
        <v>77</v>
      </c>
      <c r="N1205" t="s">
        <v>40</v>
      </c>
      <c r="O1205" t="s">
        <v>247</v>
      </c>
      <c r="P1205" t="s">
        <v>30</v>
      </c>
      <c r="Q1205" t="s">
        <v>31</v>
      </c>
      <c r="R1205">
        <v>82630</v>
      </c>
      <c r="S1205" t="s">
        <v>32</v>
      </c>
      <c r="T1205">
        <v>82611</v>
      </c>
      <c r="U1205" t="s">
        <v>43</v>
      </c>
      <c r="V1205" t="s">
        <v>43</v>
      </c>
      <c r="W1205" t="s">
        <v>148</v>
      </c>
      <c r="X1205" t="s">
        <v>171</v>
      </c>
      <c r="Y1205" s="9">
        <f t="shared" si="55"/>
        <v>4.2000000000000003E-2</v>
      </c>
      <c r="Z1205" t="str">
        <f t="shared" si="56"/>
        <v>สแกนต่าง Cost</v>
      </c>
    </row>
    <row r="1206" spans="1:26" x14ac:dyDescent="0.45">
      <c r="B1206" t="s">
        <v>53</v>
      </c>
      <c r="C1206">
        <v>20282546</v>
      </c>
      <c r="D1206" t="s">
        <v>312</v>
      </c>
      <c r="E1206" s="10">
        <v>46131.333333333336</v>
      </c>
      <c r="F1206" s="10">
        <v>46131.701388888891</v>
      </c>
      <c r="G1206">
        <v>7.8333333333333339</v>
      </c>
      <c r="H1206" s="9">
        <f t="shared" si="54"/>
        <v>4.2000000000000003E-2</v>
      </c>
      <c r="J1206">
        <v>4.2000000000000003E-2</v>
      </c>
      <c r="M1206" t="s">
        <v>77</v>
      </c>
      <c r="N1206" t="s">
        <v>40</v>
      </c>
      <c r="O1206" t="s">
        <v>247</v>
      </c>
      <c r="P1206" t="s">
        <v>30</v>
      </c>
      <c r="Q1206" t="s">
        <v>31</v>
      </c>
      <c r="R1206">
        <v>82630</v>
      </c>
      <c r="S1206" t="s">
        <v>32</v>
      </c>
      <c r="T1206">
        <v>82611</v>
      </c>
      <c r="U1206" t="s">
        <v>43</v>
      </c>
      <c r="V1206" t="s">
        <v>43</v>
      </c>
      <c r="W1206" t="s">
        <v>148</v>
      </c>
      <c r="X1206" t="s">
        <v>171</v>
      </c>
      <c r="Y1206" s="9">
        <f t="shared" si="55"/>
        <v>4.2000000000000003E-2</v>
      </c>
      <c r="Z1206" t="str">
        <f t="shared" si="56"/>
        <v>สแกนต่าง Cost</v>
      </c>
    </row>
    <row r="1207" spans="1:26" x14ac:dyDescent="0.45">
      <c r="B1207" t="s">
        <v>53</v>
      </c>
      <c r="C1207">
        <v>20310532</v>
      </c>
      <c r="D1207" t="s">
        <v>61</v>
      </c>
      <c r="E1207" s="10">
        <v>46131.333333333336</v>
      </c>
      <c r="F1207" s="10">
        <v>46131.703472222223</v>
      </c>
      <c r="G1207">
        <v>7.8833333333333329</v>
      </c>
      <c r="H1207" s="9">
        <f t="shared" si="54"/>
        <v>4.2000000000000003E-2</v>
      </c>
      <c r="J1207">
        <v>4.2000000000000003E-2</v>
      </c>
      <c r="M1207" t="s">
        <v>77</v>
      </c>
      <c r="N1207" t="s">
        <v>40</v>
      </c>
      <c r="O1207" t="s">
        <v>251</v>
      </c>
      <c r="P1207" t="s">
        <v>30</v>
      </c>
      <c r="Q1207" t="s">
        <v>31</v>
      </c>
      <c r="R1207">
        <v>82640</v>
      </c>
      <c r="S1207" t="s">
        <v>42</v>
      </c>
      <c r="T1207">
        <v>82630</v>
      </c>
      <c r="U1207" t="s">
        <v>32</v>
      </c>
      <c r="V1207" t="s">
        <v>70</v>
      </c>
      <c r="W1207" t="s">
        <v>44</v>
      </c>
      <c r="X1207" t="s">
        <v>44</v>
      </c>
      <c r="Y1207" s="9">
        <f t="shared" si="55"/>
        <v>4.2000000000000003E-2</v>
      </c>
      <c r="Z1207" t="str">
        <f t="shared" si="56"/>
        <v>สแกนต่าง Cost</v>
      </c>
    </row>
    <row r="1208" spans="1:26" x14ac:dyDescent="0.45">
      <c r="B1208" t="s">
        <v>26</v>
      </c>
      <c r="C1208">
        <v>20344534</v>
      </c>
      <c r="D1208" t="s">
        <v>278</v>
      </c>
      <c r="E1208" s="10">
        <v>46131.333333333336</v>
      </c>
      <c r="F1208" s="10">
        <v>46131.729166666664</v>
      </c>
      <c r="G1208">
        <v>8.5</v>
      </c>
      <c r="H1208" s="9">
        <f t="shared" si="54"/>
        <v>4.4999999999999998E-2</v>
      </c>
      <c r="J1208">
        <v>4.4999999999999998E-2</v>
      </c>
      <c r="M1208" t="s">
        <v>77</v>
      </c>
      <c r="N1208" t="s">
        <v>40</v>
      </c>
      <c r="O1208" t="s">
        <v>78</v>
      </c>
      <c r="P1208" t="s">
        <v>30</v>
      </c>
      <c r="Q1208" t="s">
        <v>31</v>
      </c>
      <c r="R1208">
        <v>82680</v>
      </c>
      <c r="S1208" t="s">
        <v>50</v>
      </c>
      <c r="T1208">
        <v>82658</v>
      </c>
      <c r="U1208" t="s">
        <v>33</v>
      </c>
      <c r="V1208" t="s">
        <v>33</v>
      </c>
      <c r="W1208" t="s">
        <v>51</v>
      </c>
      <c r="X1208" t="s">
        <v>52</v>
      </c>
      <c r="Y1208" s="9">
        <f t="shared" si="55"/>
        <v>4.4999999999999998E-2</v>
      </c>
      <c r="Z1208" t="str">
        <f t="shared" si="56"/>
        <v>สแกนต่าง Cost</v>
      </c>
    </row>
    <row r="1209" spans="1:26" x14ac:dyDescent="0.45">
      <c r="B1209" t="s">
        <v>26</v>
      </c>
      <c r="C1209">
        <v>20344817</v>
      </c>
      <c r="D1209" t="s">
        <v>217</v>
      </c>
      <c r="E1209" s="10">
        <v>46131.333333333336</v>
      </c>
      <c r="F1209" s="10">
        <v>46131.729166666664</v>
      </c>
      <c r="G1209">
        <v>8.5</v>
      </c>
      <c r="H1209" s="9">
        <f t="shared" si="54"/>
        <v>4.4999999999999998E-2</v>
      </c>
      <c r="J1209">
        <v>4.4999999999999998E-2</v>
      </c>
      <c r="M1209" t="s">
        <v>77</v>
      </c>
      <c r="N1209" t="s">
        <v>40</v>
      </c>
      <c r="O1209" t="s">
        <v>78</v>
      </c>
      <c r="P1209" t="s">
        <v>30</v>
      </c>
      <c r="Q1209" t="s">
        <v>31</v>
      </c>
      <c r="R1209">
        <v>82655</v>
      </c>
      <c r="S1209" t="s">
        <v>59</v>
      </c>
      <c r="T1209">
        <v>82658</v>
      </c>
      <c r="U1209" t="s">
        <v>33</v>
      </c>
      <c r="V1209" t="s">
        <v>33</v>
      </c>
      <c r="W1209" t="s">
        <v>51</v>
      </c>
      <c r="X1209" t="s">
        <v>52</v>
      </c>
      <c r="Y1209" s="9">
        <f t="shared" si="55"/>
        <v>4.4999999999999998E-2</v>
      </c>
      <c r="Z1209" t="str">
        <f t="shared" si="56"/>
        <v>สแกนต่าง Cost</v>
      </c>
    </row>
    <row r="1210" spans="1:26" x14ac:dyDescent="0.45">
      <c r="B1210" t="s">
        <v>53</v>
      </c>
      <c r="C1210">
        <v>20363689</v>
      </c>
      <c r="D1210" t="s">
        <v>287</v>
      </c>
      <c r="E1210" s="10">
        <v>46131.333333333336</v>
      </c>
      <c r="F1210" s="10">
        <v>46131.618750000001</v>
      </c>
      <c r="G1210">
        <v>5.85</v>
      </c>
      <c r="H1210" s="9">
        <f t="shared" si="54"/>
        <v>3.1E-2</v>
      </c>
      <c r="J1210">
        <v>3.1E-2</v>
      </c>
      <c r="M1210" t="s">
        <v>77</v>
      </c>
      <c r="N1210" t="s">
        <v>40</v>
      </c>
      <c r="O1210" t="s">
        <v>245</v>
      </c>
      <c r="P1210" t="s">
        <v>30</v>
      </c>
      <c r="Q1210" t="s">
        <v>31</v>
      </c>
      <c r="R1210">
        <v>82630</v>
      </c>
      <c r="S1210" t="s">
        <v>32</v>
      </c>
      <c r="T1210">
        <v>82611</v>
      </c>
      <c r="U1210" t="s">
        <v>43</v>
      </c>
      <c r="V1210" t="s">
        <v>43</v>
      </c>
      <c r="W1210" t="s">
        <v>148</v>
      </c>
      <c r="X1210" t="s">
        <v>171</v>
      </c>
      <c r="Y1210" s="9">
        <f t="shared" si="55"/>
        <v>3.1E-2</v>
      </c>
      <c r="Z1210" t="str">
        <f t="shared" si="56"/>
        <v>สแกนต่าง Cost</v>
      </c>
    </row>
    <row r="1211" spans="1:26" x14ac:dyDescent="0.45">
      <c r="B1211" t="s">
        <v>53</v>
      </c>
      <c r="C1211">
        <v>20369751</v>
      </c>
      <c r="D1211" t="s">
        <v>313</v>
      </c>
      <c r="E1211" s="10">
        <v>46131.333333333336</v>
      </c>
      <c r="F1211" s="10">
        <v>46131.702777777777</v>
      </c>
      <c r="G1211">
        <v>7.8666666666666671</v>
      </c>
      <c r="H1211" s="9">
        <f t="shared" si="54"/>
        <v>4.2000000000000003E-2</v>
      </c>
      <c r="J1211">
        <v>4.2000000000000003E-2</v>
      </c>
      <c r="M1211" t="s">
        <v>77</v>
      </c>
      <c r="N1211" t="s">
        <v>40</v>
      </c>
      <c r="O1211" t="s">
        <v>247</v>
      </c>
      <c r="P1211" t="s">
        <v>30</v>
      </c>
      <c r="Q1211" t="s">
        <v>31</v>
      </c>
      <c r="R1211">
        <v>82630</v>
      </c>
      <c r="S1211" t="s">
        <v>32</v>
      </c>
      <c r="T1211">
        <v>82611</v>
      </c>
      <c r="U1211" t="s">
        <v>43</v>
      </c>
      <c r="V1211" t="s">
        <v>43</v>
      </c>
      <c r="W1211" t="s">
        <v>148</v>
      </c>
      <c r="X1211" t="s">
        <v>171</v>
      </c>
      <c r="Y1211" s="9">
        <f t="shared" si="55"/>
        <v>4.2000000000000003E-2</v>
      </c>
      <c r="Z1211" t="str">
        <f t="shared" si="56"/>
        <v>สแกนต่าง Cost</v>
      </c>
    </row>
    <row r="1212" spans="1:26" x14ac:dyDescent="0.45">
      <c r="B1212" t="s">
        <v>26</v>
      </c>
      <c r="C1212">
        <v>20403261</v>
      </c>
      <c r="E1212" s="10">
        <v>46131.333333333336</v>
      </c>
      <c r="F1212" s="10">
        <v>46131.709027777775</v>
      </c>
      <c r="G1212">
        <v>8.0166666666666675</v>
      </c>
      <c r="H1212" s="9">
        <f t="shared" si="54"/>
        <v>4.2999999999999997E-2</v>
      </c>
      <c r="I1212">
        <v>4.2999999999999997E-2</v>
      </c>
      <c r="M1212" t="s">
        <v>48</v>
      </c>
      <c r="N1212" t="s">
        <v>48</v>
      </c>
      <c r="P1212" t="s">
        <v>30</v>
      </c>
      <c r="R1212">
        <v>82680</v>
      </c>
      <c r="T1212">
        <v>82658</v>
      </c>
      <c r="U1212" t="s">
        <v>33</v>
      </c>
      <c r="V1212" t="s">
        <v>33</v>
      </c>
      <c r="W1212" t="s">
        <v>51</v>
      </c>
      <c r="X1212" t="s">
        <v>52</v>
      </c>
      <c r="Y1212" s="9">
        <f t="shared" si="55"/>
        <v>0</v>
      </c>
      <c r="Z1212" t="str">
        <f t="shared" si="56"/>
        <v>สแกนต่าง Cost</v>
      </c>
    </row>
    <row r="1213" spans="1:26" x14ac:dyDescent="0.45">
      <c r="B1213" t="s">
        <v>26</v>
      </c>
      <c r="C1213">
        <v>20403445</v>
      </c>
      <c r="E1213" s="10">
        <v>46131.333333333336</v>
      </c>
      <c r="F1213" s="10">
        <v>46131.729166666664</v>
      </c>
      <c r="G1213">
        <v>8.5</v>
      </c>
      <c r="H1213" s="9">
        <f t="shared" si="54"/>
        <v>4.4999999999999998E-2</v>
      </c>
      <c r="J1213">
        <v>4.4999999999999998E-2</v>
      </c>
      <c r="M1213" t="s">
        <v>77</v>
      </c>
      <c r="N1213" t="s">
        <v>40</v>
      </c>
      <c r="O1213" t="s">
        <v>78</v>
      </c>
      <c r="P1213" t="s">
        <v>30</v>
      </c>
      <c r="R1213">
        <v>82680</v>
      </c>
      <c r="T1213">
        <v>82658</v>
      </c>
      <c r="U1213" t="s">
        <v>33</v>
      </c>
      <c r="V1213" t="s">
        <v>33</v>
      </c>
      <c r="W1213" t="s">
        <v>51</v>
      </c>
      <c r="X1213" t="s">
        <v>52</v>
      </c>
      <c r="Y1213" s="9">
        <f t="shared" si="55"/>
        <v>4.4999999999999998E-2</v>
      </c>
      <c r="Z1213" t="str">
        <f t="shared" si="56"/>
        <v>สแกนต่าง Cost</v>
      </c>
    </row>
    <row r="1214" spans="1:26" x14ac:dyDescent="0.45">
      <c r="A1214">
        <v>26635</v>
      </c>
      <c r="B1214" t="s">
        <v>53</v>
      </c>
      <c r="C1214">
        <v>20344551</v>
      </c>
      <c r="D1214" t="s">
        <v>110</v>
      </c>
      <c r="E1214" s="10">
        <v>46131.331250000003</v>
      </c>
      <c r="F1214" s="10">
        <v>46131.729166666664</v>
      </c>
      <c r="G1214">
        <v>8.5500000000000007</v>
      </c>
      <c r="H1214" s="9">
        <f t="shared" si="54"/>
        <v>4.5999999999999999E-2</v>
      </c>
      <c r="J1214">
        <v>4.5999999999999999E-2</v>
      </c>
      <c r="M1214" t="s">
        <v>77</v>
      </c>
      <c r="N1214" t="s">
        <v>40</v>
      </c>
      <c r="O1214" t="s">
        <v>78</v>
      </c>
      <c r="P1214" t="s">
        <v>30</v>
      </c>
      <c r="Q1214" t="s">
        <v>31</v>
      </c>
      <c r="R1214">
        <v>82655</v>
      </c>
      <c r="S1214" t="s">
        <v>59</v>
      </c>
      <c r="T1214">
        <v>82664</v>
      </c>
      <c r="U1214" t="s">
        <v>75</v>
      </c>
      <c r="V1214" t="s">
        <v>75</v>
      </c>
      <c r="W1214" t="s">
        <v>37</v>
      </c>
      <c r="X1214" t="s">
        <v>111</v>
      </c>
      <c r="Y1214" s="9">
        <f t="shared" si="55"/>
        <v>4.5999999999999999E-2</v>
      </c>
      <c r="Z1214" t="str">
        <f t="shared" si="56"/>
        <v>สแกนต่าง Cost</v>
      </c>
    </row>
    <row r="1215" spans="1:26" x14ac:dyDescent="0.45">
      <c r="A1215">
        <v>26636</v>
      </c>
      <c r="B1215" t="s">
        <v>53</v>
      </c>
      <c r="C1215">
        <v>20344552</v>
      </c>
      <c r="D1215" t="s">
        <v>112</v>
      </c>
      <c r="E1215" s="10">
        <v>46131.331250000003</v>
      </c>
      <c r="F1215" s="10">
        <v>46131.729166666664</v>
      </c>
      <c r="G1215">
        <v>8.5500000000000007</v>
      </c>
      <c r="H1215" s="9">
        <f t="shared" si="54"/>
        <v>4.5999999999999999E-2</v>
      </c>
      <c r="J1215">
        <v>4.5999999999999999E-2</v>
      </c>
      <c r="M1215" t="s">
        <v>77</v>
      </c>
      <c r="N1215" t="s">
        <v>40</v>
      </c>
      <c r="O1215" t="s">
        <v>78</v>
      </c>
      <c r="P1215" t="s">
        <v>30</v>
      </c>
      <c r="Q1215" t="s">
        <v>31</v>
      </c>
      <c r="R1215">
        <v>82655</v>
      </c>
      <c r="S1215" t="s">
        <v>59</v>
      </c>
      <c r="T1215">
        <v>82664</v>
      </c>
      <c r="U1215" t="s">
        <v>75</v>
      </c>
      <c r="V1215" t="s">
        <v>75</v>
      </c>
      <c r="W1215" t="s">
        <v>37</v>
      </c>
      <c r="X1215" t="s">
        <v>111</v>
      </c>
      <c r="Y1215" s="9">
        <f t="shared" si="55"/>
        <v>4.5999999999999999E-2</v>
      </c>
      <c r="Z1215" t="str">
        <f t="shared" si="56"/>
        <v>สแกนต่าง Cost</v>
      </c>
    </row>
    <row r="1216" spans="1:26" x14ac:dyDescent="0.45">
      <c r="B1216" t="s">
        <v>53</v>
      </c>
      <c r="C1216">
        <v>20034535</v>
      </c>
      <c r="D1216" t="s">
        <v>99</v>
      </c>
      <c r="E1216" s="10">
        <v>46131.32916666667</v>
      </c>
      <c r="F1216" s="10">
        <v>46131.701388888891</v>
      </c>
      <c r="G1216">
        <v>7.9333333333333336</v>
      </c>
      <c r="H1216" s="9">
        <f t="shared" si="54"/>
        <v>4.2000000000000003E-2</v>
      </c>
      <c r="J1216">
        <v>4.2000000000000003E-2</v>
      </c>
      <c r="M1216" t="s">
        <v>77</v>
      </c>
      <c r="N1216" t="s">
        <v>40</v>
      </c>
      <c r="O1216" t="s">
        <v>247</v>
      </c>
      <c r="P1216" t="s">
        <v>30</v>
      </c>
      <c r="Q1216" t="s">
        <v>31</v>
      </c>
      <c r="R1216">
        <v>82630</v>
      </c>
      <c r="S1216" t="s">
        <v>32</v>
      </c>
      <c r="T1216">
        <v>82611</v>
      </c>
      <c r="U1216" t="s">
        <v>43</v>
      </c>
      <c r="V1216" t="s">
        <v>43</v>
      </c>
      <c r="W1216" t="s">
        <v>148</v>
      </c>
      <c r="X1216" t="s">
        <v>171</v>
      </c>
      <c r="Y1216" s="9">
        <f t="shared" si="55"/>
        <v>4.2000000000000003E-2</v>
      </c>
      <c r="Z1216" t="str">
        <f t="shared" si="56"/>
        <v>สแกนต่าง Cost</v>
      </c>
    </row>
    <row r="1217" spans="1:26" x14ac:dyDescent="0.45">
      <c r="B1217" t="s">
        <v>53</v>
      </c>
      <c r="C1217">
        <v>20074651</v>
      </c>
      <c r="D1217" t="s">
        <v>314</v>
      </c>
      <c r="E1217" s="10">
        <v>46131.32916666667</v>
      </c>
      <c r="F1217" s="10">
        <v>46131.703472222223</v>
      </c>
      <c r="G1217">
        <v>7.9833333333333325</v>
      </c>
      <c r="H1217" s="9">
        <f t="shared" si="54"/>
        <v>4.2999999999999997E-2</v>
      </c>
      <c r="J1217">
        <v>4.2999999999999997E-2</v>
      </c>
      <c r="M1217" t="s">
        <v>77</v>
      </c>
      <c r="N1217" t="s">
        <v>40</v>
      </c>
      <c r="O1217" t="s">
        <v>247</v>
      </c>
      <c r="P1217" t="s">
        <v>133</v>
      </c>
      <c r="Q1217" t="s">
        <v>31</v>
      </c>
      <c r="R1217">
        <v>82630</v>
      </c>
      <c r="S1217" t="s">
        <v>32</v>
      </c>
      <c r="T1217">
        <v>82611</v>
      </c>
      <c r="U1217" t="s">
        <v>43</v>
      </c>
      <c r="V1217" t="s">
        <v>43</v>
      </c>
      <c r="W1217" t="s">
        <v>148</v>
      </c>
      <c r="X1217" t="s">
        <v>171</v>
      </c>
      <c r="Y1217" s="9">
        <f t="shared" si="55"/>
        <v>4.2999999999999997E-2</v>
      </c>
      <c r="Z1217" t="str">
        <f t="shared" si="56"/>
        <v>สแกนต่าง Cost</v>
      </c>
    </row>
    <row r="1218" spans="1:26" x14ac:dyDescent="0.45">
      <c r="B1218" t="s">
        <v>53</v>
      </c>
      <c r="C1218">
        <v>20074652</v>
      </c>
      <c r="D1218" t="s">
        <v>162</v>
      </c>
      <c r="E1218" s="10">
        <v>46131.32916666667</v>
      </c>
      <c r="F1218" s="10">
        <v>46131.701388888891</v>
      </c>
      <c r="G1218">
        <v>7.9333333333333336</v>
      </c>
      <c r="H1218" s="9">
        <f t="shared" si="54"/>
        <v>4.2000000000000003E-2</v>
      </c>
      <c r="J1218">
        <v>4.2000000000000003E-2</v>
      </c>
      <c r="M1218" t="s">
        <v>77</v>
      </c>
      <c r="N1218" t="s">
        <v>40</v>
      </c>
      <c r="O1218" t="s">
        <v>247</v>
      </c>
      <c r="P1218" t="s">
        <v>30</v>
      </c>
      <c r="Q1218" t="s">
        <v>31</v>
      </c>
      <c r="R1218">
        <v>82630</v>
      </c>
      <c r="S1218" t="s">
        <v>32</v>
      </c>
      <c r="T1218">
        <v>82611</v>
      </c>
      <c r="U1218" t="s">
        <v>43</v>
      </c>
      <c r="V1218" t="s">
        <v>43</v>
      </c>
      <c r="W1218" t="s">
        <v>148</v>
      </c>
      <c r="X1218" t="s">
        <v>171</v>
      </c>
      <c r="Y1218" s="9">
        <f t="shared" si="55"/>
        <v>4.2000000000000003E-2</v>
      </c>
      <c r="Z1218" t="str">
        <f t="shared" si="56"/>
        <v>สแกนต่าง Cost</v>
      </c>
    </row>
    <row r="1219" spans="1:26" x14ac:dyDescent="0.45">
      <c r="B1219" t="s">
        <v>53</v>
      </c>
      <c r="C1219">
        <v>20029099</v>
      </c>
      <c r="D1219" t="s">
        <v>163</v>
      </c>
      <c r="E1219" s="10">
        <v>46131.328472222223</v>
      </c>
      <c r="F1219" s="10">
        <v>46131.701388888891</v>
      </c>
      <c r="G1219">
        <v>7.9499999999999993</v>
      </c>
      <c r="H1219" s="9">
        <f t="shared" ref="H1219:H1282" si="57">SUM(I1219:L1219)</f>
        <v>4.2999999999999997E-2</v>
      </c>
      <c r="J1219">
        <v>4.2999999999999997E-2</v>
      </c>
      <c r="M1219" t="s">
        <v>77</v>
      </c>
      <c r="N1219" t="s">
        <v>40</v>
      </c>
      <c r="O1219" t="s">
        <v>247</v>
      </c>
      <c r="P1219" t="s">
        <v>30</v>
      </c>
      <c r="Q1219" t="s">
        <v>31</v>
      </c>
      <c r="R1219">
        <v>82630</v>
      </c>
      <c r="S1219" t="s">
        <v>32</v>
      </c>
      <c r="T1219">
        <v>82611</v>
      </c>
      <c r="U1219" t="s">
        <v>43</v>
      </c>
      <c r="V1219" t="s">
        <v>43</v>
      </c>
      <c r="W1219" t="s">
        <v>148</v>
      </c>
      <c r="X1219" t="s">
        <v>171</v>
      </c>
      <c r="Y1219" s="9">
        <f t="shared" ref="Y1219:Y1282" si="58">SUM(J1219:L1219)</f>
        <v>4.2999999999999997E-2</v>
      </c>
      <c r="Z1219" t="str">
        <f t="shared" ref="Z1219:Z1282" si="59">IF(R1219=T1219,"สแกน Cost ตัวเอง","สแกนต่าง Cost")</f>
        <v>สแกนต่าง Cost</v>
      </c>
    </row>
    <row r="1220" spans="1:26" x14ac:dyDescent="0.45">
      <c r="B1220" t="s">
        <v>53</v>
      </c>
      <c r="C1220">
        <v>20156338</v>
      </c>
      <c r="D1220" t="s">
        <v>102</v>
      </c>
      <c r="E1220" s="10">
        <v>46131.328472222223</v>
      </c>
      <c r="F1220" s="10">
        <v>46131.701388888891</v>
      </c>
      <c r="G1220">
        <v>7.9499999999999993</v>
      </c>
      <c r="H1220" s="9">
        <f t="shared" si="57"/>
        <v>4.2999999999999997E-2</v>
      </c>
      <c r="J1220">
        <v>4.2999999999999997E-2</v>
      </c>
      <c r="M1220" t="s">
        <v>77</v>
      </c>
      <c r="N1220" t="s">
        <v>40</v>
      </c>
      <c r="O1220" t="s">
        <v>247</v>
      </c>
      <c r="P1220" t="s">
        <v>30</v>
      </c>
      <c r="Q1220" t="s">
        <v>31</v>
      </c>
      <c r="R1220">
        <v>82630</v>
      </c>
      <c r="S1220" t="s">
        <v>32</v>
      </c>
      <c r="T1220">
        <v>82611</v>
      </c>
      <c r="U1220" t="s">
        <v>43</v>
      </c>
      <c r="V1220" t="s">
        <v>43</v>
      </c>
      <c r="W1220" t="s">
        <v>148</v>
      </c>
      <c r="X1220" t="s">
        <v>171</v>
      </c>
      <c r="Y1220" s="9">
        <f t="shared" si="58"/>
        <v>4.2999999999999997E-2</v>
      </c>
      <c r="Z1220" t="str">
        <f t="shared" si="59"/>
        <v>สแกนต่าง Cost</v>
      </c>
    </row>
    <row r="1221" spans="1:26" x14ac:dyDescent="0.45">
      <c r="A1221">
        <v>26840</v>
      </c>
      <c r="B1221" t="s">
        <v>53</v>
      </c>
      <c r="C1221">
        <v>20198835</v>
      </c>
      <c r="D1221" t="s">
        <v>129</v>
      </c>
      <c r="E1221" s="10">
        <v>46131.327777777777</v>
      </c>
      <c r="F1221" s="10">
        <v>46131.729166666664</v>
      </c>
      <c r="G1221">
        <v>8.6333333333333329</v>
      </c>
      <c r="H1221" s="9">
        <f t="shared" si="57"/>
        <v>4.5999999999999999E-2</v>
      </c>
      <c r="J1221">
        <v>4.5999999999999999E-2</v>
      </c>
      <c r="M1221" t="s">
        <v>77</v>
      </c>
      <c r="N1221" t="s">
        <v>40</v>
      </c>
      <c r="O1221" t="s">
        <v>78</v>
      </c>
      <c r="P1221" t="s">
        <v>30</v>
      </c>
      <c r="Q1221" t="s">
        <v>31</v>
      </c>
      <c r="R1221">
        <v>82658</v>
      </c>
      <c r="S1221" t="s">
        <v>33</v>
      </c>
      <c r="T1221">
        <v>82664</v>
      </c>
      <c r="U1221" t="s">
        <v>75</v>
      </c>
      <c r="V1221" t="s">
        <v>75</v>
      </c>
      <c r="W1221" t="s">
        <v>37</v>
      </c>
      <c r="X1221" t="s">
        <v>111</v>
      </c>
      <c r="Y1221" s="9">
        <f t="shared" si="58"/>
        <v>4.5999999999999999E-2</v>
      </c>
      <c r="Z1221" t="str">
        <f t="shared" si="59"/>
        <v>สแกนต่าง Cost</v>
      </c>
    </row>
    <row r="1222" spans="1:26" x14ac:dyDescent="0.45">
      <c r="A1222">
        <v>26634</v>
      </c>
      <c r="B1222" t="s">
        <v>53</v>
      </c>
      <c r="C1222">
        <v>20372709</v>
      </c>
      <c r="D1222" t="s">
        <v>130</v>
      </c>
      <c r="E1222" s="10">
        <v>46131.327777777777</v>
      </c>
      <c r="F1222" s="10">
        <v>46131.729166666664</v>
      </c>
      <c r="G1222">
        <v>8.6333333333333329</v>
      </c>
      <c r="H1222" s="9">
        <f t="shared" si="57"/>
        <v>4.5999999999999999E-2</v>
      </c>
      <c r="J1222">
        <v>4.5999999999999999E-2</v>
      </c>
      <c r="M1222" t="s">
        <v>77</v>
      </c>
      <c r="N1222" t="s">
        <v>40</v>
      </c>
      <c r="O1222" t="s">
        <v>78</v>
      </c>
      <c r="P1222" t="s">
        <v>30</v>
      </c>
      <c r="Q1222" t="s">
        <v>31</v>
      </c>
      <c r="R1222">
        <v>82658</v>
      </c>
      <c r="S1222" t="s">
        <v>33</v>
      </c>
      <c r="T1222">
        <v>82664</v>
      </c>
      <c r="U1222" t="s">
        <v>75</v>
      </c>
      <c r="V1222" t="s">
        <v>75</v>
      </c>
      <c r="W1222" t="s">
        <v>37</v>
      </c>
      <c r="X1222" t="s">
        <v>111</v>
      </c>
      <c r="Y1222" s="9">
        <f t="shared" si="58"/>
        <v>4.5999999999999999E-2</v>
      </c>
      <c r="Z1222" t="str">
        <f t="shared" si="59"/>
        <v>สแกนต่าง Cost</v>
      </c>
    </row>
    <row r="1223" spans="1:26" x14ac:dyDescent="0.45">
      <c r="B1223" t="s">
        <v>26</v>
      </c>
      <c r="C1223">
        <v>20027956</v>
      </c>
      <c r="D1223" t="s">
        <v>214</v>
      </c>
      <c r="E1223" s="10">
        <v>46131.32708333333</v>
      </c>
      <c r="F1223" s="10">
        <v>46131.70208333333</v>
      </c>
      <c r="G1223">
        <v>8</v>
      </c>
      <c r="H1223" s="9">
        <f t="shared" si="57"/>
        <v>4.2999999999999997E-2</v>
      </c>
      <c r="J1223">
        <v>4.2999999999999997E-2</v>
      </c>
      <c r="M1223" t="s">
        <v>77</v>
      </c>
      <c r="N1223" t="s">
        <v>40</v>
      </c>
      <c r="O1223" t="s">
        <v>247</v>
      </c>
      <c r="P1223" t="s">
        <v>30</v>
      </c>
      <c r="Q1223" t="s">
        <v>31</v>
      </c>
      <c r="R1223">
        <v>82640</v>
      </c>
      <c r="S1223" t="s">
        <v>42</v>
      </c>
      <c r="T1223">
        <v>82611</v>
      </c>
      <c r="U1223" t="s">
        <v>43</v>
      </c>
      <c r="V1223" t="s">
        <v>43</v>
      </c>
      <c r="W1223" t="s">
        <v>44</v>
      </c>
      <c r="X1223" t="s">
        <v>44</v>
      </c>
      <c r="Y1223" s="9">
        <f t="shared" si="58"/>
        <v>4.2999999999999997E-2</v>
      </c>
      <c r="Z1223" t="str">
        <f t="shared" si="59"/>
        <v>สแกนต่าง Cost</v>
      </c>
    </row>
    <row r="1224" spans="1:26" x14ac:dyDescent="0.45">
      <c r="B1224" t="s">
        <v>26</v>
      </c>
      <c r="C1224">
        <v>20060579</v>
      </c>
      <c r="D1224" t="s">
        <v>39</v>
      </c>
      <c r="E1224" s="10">
        <v>46131.32708333333</v>
      </c>
      <c r="F1224" s="10">
        <v>46131.70208333333</v>
      </c>
      <c r="G1224">
        <v>8</v>
      </c>
      <c r="H1224" s="9">
        <f t="shared" si="57"/>
        <v>4.2999999999999997E-2</v>
      </c>
      <c r="J1224">
        <v>4.2999999999999997E-2</v>
      </c>
      <c r="M1224" t="s">
        <v>77</v>
      </c>
      <c r="N1224" t="s">
        <v>40</v>
      </c>
      <c r="O1224" t="s">
        <v>247</v>
      </c>
      <c r="P1224" t="s">
        <v>30</v>
      </c>
      <c r="Q1224" t="s">
        <v>31</v>
      </c>
      <c r="R1224">
        <v>82640</v>
      </c>
      <c r="S1224" t="s">
        <v>42</v>
      </c>
      <c r="T1224">
        <v>82611</v>
      </c>
      <c r="U1224" t="s">
        <v>43</v>
      </c>
      <c r="V1224" t="s">
        <v>43</v>
      </c>
      <c r="W1224" t="s">
        <v>44</v>
      </c>
      <c r="X1224" t="s">
        <v>44</v>
      </c>
      <c r="Y1224" s="9">
        <f t="shared" si="58"/>
        <v>4.2999999999999997E-2</v>
      </c>
      <c r="Z1224" t="str">
        <f t="shared" si="59"/>
        <v>สแกนต่าง Cost</v>
      </c>
    </row>
    <row r="1225" spans="1:26" x14ac:dyDescent="0.45">
      <c r="B1225" t="s">
        <v>53</v>
      </c>
      <c r="C1225">
        <v>20076991</v>
      </c>
      <c r="D1225" t="s">
        <v>76</v>
      </c>
      <c r="E1225" s="10">
        <v>46131.32708333333</v>
      </c>
      <c r="F1225" s="10">
        <v>46131.704861111109</v>
      </c>
      <c r="G1225">
        <v>8.0666666666666664</v>
      </c>
      <c r="H1225" s="9">
        <f t="shared" si="57"/>
        <v>4.2999999999999997E-2</v>
      </c>
      <c r="J1225">
        <v>4.2999999999999997E-2</v>
      </c>
      <c r="M1225" t="s">
        <v>77</v>
      </c>
      <c r="N1225" t="s">
        <v>40</v>
      </c>
      <c r="O1225" t="s">
        <v>247</v>
      </c>
      <c r="P1225" t="s">
        <v>30</v>
      </c>
      <c r="Q1225" t="s">
        <v>31</v>
      </c>
      <c r="R1225">
        <v>82308</v>
      </c>
      <c r="S1225" t="s">
        <v>69</v>
      </c>
      <c r="T1225">
        <v>82611</v>
      </c>
      <c r="U1225" t="s">
        <v>43</v>
      </c>
      <c r="V1225" t="s">
        <v>43</v>
      </c>
      <c r="W1225" t="s">
        <v>42</v>
      </c>
      <c r="X1225" t="s">
        <v>38</v>
      </c>
      <c r="Y1225" s="9">
        <f t="shared" si="58"/>
        <v>4.2999999999999997E-2</v>
      </c>
      <c r="Z1225" t="str">
        <f t="shared" si="59"/>
        <v>สแกนต่าง Cost</v>
      </c>
    </row>
    <row r="1226" spans="1:26" x14ac:dyDescent="0.45">
      <c r="B1226" t="s">
        <v>53</v>
      </c>
      <c r="C1226">
        <v>20016435</v>
      </c>
      <c r="D1226" t="s">
        <v>315</v>
      </c>
      <c r="E1226" s="10">
        <v>46131.321527777778</v>
      </c>
      <c r="F1226" s="10">
        <v>46131.70208333333</v>
      </c>
      <c r="G1226">
        <v>8.1333333333333329</v>
      </c>
      <c r="H1226" s="9">
        <f t="shared" si="57"/>
        <v>4.2999999999999997E-2</v>
      </c>
      <c r="J1226">
        <v>4.2999999999999997E-2</v>
      </c>
      <c r="M1226" t="s">
        <v>77</v>
      </c>
      <c r="N1226" t="s">
        <v>40</v>
      </c>
      <c r="O1226" t="s">
        <v>247</v>
      </c>
      <c r="P1226" t="s">
        <v>30</v>
      </c>
      <c r="Q1226" t="s">
        <v>31</v>
      </c>
      <c r="R1226">
        <v>82630</v>
      </c>
      <c r="S1226" t="s">
        <v>32</v>
      </c>
      <c r="T1226">
        <v>82611</v>
      </c>
      <c r="U1226" t="s">
        <v>43</v>
      </c>
      <c r="V1226" t="s">
        <v>43</v>
      </c>
      <c r="W1226" t="s">
        <v>148</v>
      </c>
      <c r="X1226" t="s">
        <v>171</v>
      </c>
      <c r="Y1226" s="9">
        <f t="shared" si="58"/>
        <v>4.2999999999999997E-2</v>
      </c>
      <c r="Z1226" t="str">
        <f t="shared" si="59"/>
        <v>สแกนต่าง Cost</v>
      </c>
    </row>
    <row r="1227" spans="1:26" x14ac:dyDescent="0.45">
      <c r="B1227" t="s">
        <v>53</v>
      </c>
      <c r="C1227">
        <v>20019820</v>
      </c>
      <c r="D1227" t="s">
        <v>316</v>
      </c>
      <c r="E1227" s="10">
        <v>46131.321527777778</v>
      </c>
      <c r="F1227" s="10">
        <v>46131.701388888891</v>
      </c>
      <c r="G1227">
        <v>8.1166666666666671</v>
      </c>
      <c r="H1227" s="9">
        <f t="shared" si="57"/>
        <v>4.2999999999999997E-2</v>
      </c>
      <c r="J1227">
        <v>4.2999999999999997E-2</v>
      </c>
      <c r="M1227" t="s">
        <v>77</v>
      </c>
      <c r="N1227" t="s">
        <v>40</v>
      </c>
      <c r="O1227" t="s">
        <v>247</v>
      </c>
      <c r="P1227" t="s">
        <v>30</v>
      </c>
      <c r="Q1227" t="s">
        <v>31</v>
      </c>
      <c r="R1227">
        <v>82630</v>
      </c>
      <c r="S1227" t="s">
        <v>32</v>
      </c>
      <c r="T1227">
        <v>82611</v>
      </c>
      <c r="U1227" t="s">
        <v>43</v>
      </c>
      <c r="V1227" t="s">
        <v>43</v>
      </c>
      <c r="W1227" t="s">
        <v>148</v>
      </c>
      <c r="X1227" t="s">
        <v>171</v>
      </c>
      <c r="Y1227" s="9">
        <f t="shared" si="58"/>
        <v>4.2999999999999997E-2</v>
      </c>
      <c r="Z1227" t="str">
        <f t="shared" si="59"/>
        <v>สแกนต่าง Cost</v>
      </c>
    </row>
    <row r="1228" spans="1:26" x14ac:dyDescent="0.45">
      <c r="B1228" t="s">
        <v>53</v>
      </c>
      <c r="C1228">
        <v>20198747</v>
      </c>
      <c r="D1228" t="s">
        <v>180</v>
      </c>
      <c r="E1228" s="10">
        <v>46131.321527777778</v>
      </c>
      <c r="F1228" s="10">
        <v>46131.701388888891</v>
      </c>
      <c r="G1228">
        <v>8.1166666666666671</v>
      </c>
      <c r="H1228" s="9">
        <f t="shared" si="57"/>
        <v>4.2999999999999997E-2</v>
      </c>
      <c r="J1228">
        <v>4.2999999999999997E-2</v>
      </c>
      <c r="M1228" t="s">
        <v>77</v>
      </c>
      <c r="N1228" t="s">
        <v>40</v>
      </c>
      <c r="O1228" t="s">
        <v>247</v>
      </c>
      <c r="P1228" t="s">
        <v>30</v>
      </c>
      <c r="Q1228" t="s">
        <v>31</v>
      </c>
      <c r="R1228">
        <v>82630</v>
      </c>
      <c r="S1228" t="s">
        <v>32</v>
      </c>
      <c r="T1228">
        <v>82611</v>
      </c>
      <c r="U1228" t="s">
        <v>43</v>
      </c>
      <c r="V1228" t="s">
        <v>43</v>
      </c>
      <c r="W1228" t="s">
        <v>148</v>
      </c>
      <c r="X1228" t="s">
        <v>171</v>
      </c>
      <c r="Y1228" s="9">
        <f t="shared" si="58"/>
        <v>4.2999999999999997E-2</v>
      </c>
      <c r="Z1228" t="str">
        <f t="shared" si="59"/>
        <v>สแกนต่าง Cost</v>
      </c>
    </row>
    <row r="1229" spans="1:26" x14ac:dyDescent="0.45">
      <c r="A1229">
        <v>26839</v>
      </c>
      <c r="B1229" t="s">
        <v>53</v>
      </c>
      <c r="C1229">
        <v>20030021</v>
      </c>
      <c r="D1229" t="s">
        <v>317</v>
      </c>
      <c r="E1229" s="10">
        <v>46131.313888888886</v>
      </c>
      <c r="F1229" s="10">
        <v>46131.729166666664</v>
      </c>
      <c r="G1229">
        <v>8.9666666666666668</v>
      </c>
      <c r="H1229" s="9">
        <f t="shared" si="57"/>
        <v>4.8000000000000001E-2</v>
      </c>
      <c r="J1229">
        <v>4.8000000000000001E-2</v>
      </c>
      <c r="M1229" t="s">
        <v>77</v>
      </c>
      <c r="N1229" t="s">
        <v>40</v>
      </c>
      <c r="O1229" t="s">
        <v>247</v>
      </c>
      <c r="P1229" t="s">
        <v>30</v>
      </c>
      <c r="Q1229" t="s">
        <v>31</v>
      </c>
      <c r="R1229">
        <v>82409</v>
      </c>
      <c r="S1229" t="s">
        <v>74</v>
      </c>
      <c r="T1229">
        <v>82664</v>
      </c>
      <c r="U1229" t="s">
        <v>75</v>
      </c>
      <c r="V1229" t="s">
        <v>75</v>
      </c>
      <c r="W1229" t="s">
        <v>74</v>
      </c>
      <c r="X1229" t="s">
        <v>74</v>
      </c>
      <c r="Y1229" s="9">
        <f t="shared" si="58"/>
        <v>4.8000000000000001E-2</v>
      </c>
      <c r="Z1229" t="str">
        <f t="shared" si="59"/>
        <v>สแกนต่าง Cost</v>
      </c>
    </row>
    <row r="1230" spans="1:26" x14ac:dyDescent="0.45">
      <c r="B1230" t="s">
        <v>26</v>
      </c>
      <c r="C1230">
        <v>20045785</v>
      </c>
      <c r="D1230" t="s">
        <v>318</v>
      </c>
      <c r="E1230" s="10">
        <v>46130.833333333336</v>
      </c>
      <c r="F1230" s="10">
        <v>46131.229166666664</v>
      </c>
      <c r="G1230">
        <v>8.5</v>
      </c>
      <c r="H1230" s="9">
        <f t="shared" si="57"/>
        <v>4.4999999999999998E-2</v>
      </c>
      <c r="I1230">
        <v>4.4999999999999998E-2</v>
      </c>
      <c r="M1230" t="s">
        <v>65</v>
      </c>
      <c r="N1230" t="s">
        <v>29</v>
      </c>
      <c r="P1230" t="s">
        <v>30</v>
      </c>
      <c r="Q1230" t="s">
        <v>31</v>
      </c>
      <c r="R1230">
        <v>82640</v>
      </c>
      <c r="S1230" t="s">
        <v>42</v>
      </c>
      <c r="T1230">
        <v>82611</v>
      </c>
      <c r="U1230" t="s">
        <v>43</v>
      </c>
      <c r="V1230" t="s">
        <v>43</v>
      </c>
      <c r="W1230" t="s">
        <v>42</v>
      </c>
      <c r="X1230" t="s">
        <v>38</v>
      </c>
      <c r="Y1230" s="9">
        <f t="shared" si="58"/>
        <v>0</v>
      </c>
      <c r="Z1230" t="str">
        <f t="shared" si="59"/>
        <v>สแกนต่าง Cost</v>
      </c>
    </row>
    <row r="1231" spans="1:26" x14ac:dyDescent="0.45">
      <c r="B1231" t="s">
        <v>26</v>
      </c>
      <c r="C1231">
        <v>20311573</v>
      </c>
      <c r="D1231" t="s">
        <v>319</v>
      </c>
      <c r="E1231" s="10">
        <v>46130.833333333336</v>
      </c>
      <c r="F1231" s="10">
        <v>46131.229166666664</v>
      </c>
      <c r="G1231">
        <v>8.5</v>
      </c>
      <c r="H1231" s="9">
        <f t="shared" si="57"/>
        <v>4.4999999999999998E-2</v>
      </c>
      <c r="I1231">
        <v>4.4999999999999998E-2</v>
      </c>
      <c r="M1231" t="s">
        <v>65</v>
      </c>
      <c r="N1231" t="s">
        <v>29</v>
      </c>
      <c r="P1231" t="s">
        <v>30</v>
      </c>
      <c r="Q1231" t="s">
        <v>31</v>
      </c>
      <c r="R1231">
        <v>82640</v>
      </c>
      <c r="S1231" t="s">
        <v>42</v>
      </c>
      <c r="T1231">
        <v>82611</v>
      </c>
      <c r="U1231" t="s">
        <v>43</v>
      </c>
      <c r="V1231" t="s">
        <v>43</v>
      </c>
      <c r="W1231" t="s">
        <v>42</v>
      </c>
      <c r="X1231" t="s">
        <v>38</v>
      </c>
      <c r="Y1231" s="9">
        <f t="shared" si="58"/>
        <v>0</v>
      </c>
      <c r="Z1231" t="str">
        <f t="shared" si="59"/>
        <v>สแกนต่าง Cost</v>
      </c>
    </row>
    <row r="1232" spans="1:26" x14ac:dyDescent="0.45">
      <c r="B1232" t="s">
        <v>26</v>
      </c>
      <c r="C1232">
        <v>20320529</v>
      </c>
      <c r="D1232" t="s">
        <v>320</v>
      </c>
      <c r="E1232" s="10">
        <v>46130.833333333336</v>
      </c>
      <c r="F1232" s="10">
        <v>46131.229166666664</v>
      </c>
      <c r="G1232">
        <v>8.5</v>
      </c>
      <c r="H1232" s="9">
        <f t="shared" si="57"/>
        <v>4.4999999999999998E-2</v>
      </c>
      <c r="I1232">
        <v>4.4999999999999998E-2</v>
      </c>
      <c r="M1232" t="s">
        <v>65</v>
      </c>
      <c r="N1232" t="s">
        <v>29</v>
      </c>
      <c r="P1232" t="s">
        <v>30</v>
      </c>
      <c r="Q1232" t="s">
        <v>31</v>
      </c>
      <c r="R1232">
        <v>82640</v>
      </c>
      <c r="S1232" t="s">
        <v>42</v>
      </c>
      <c r="T1232">
        <v>82611</v>
      </c>
      <c r="U1232" t="s">
        <v>43</v>
      </c>
      <c r="V1232" t="s">
        <v>43</v>
      </c>
      <c r="W1232" t="s">
        <v>42</v>
      </c>
      <c r="X1232" t="s">
        <v>38</v>
      </c>
      <c r="Y1232" s="9">
        <f t="shared" si="58"/>
        <v>0</v>
      </c>
      <c r="Z1232" t="str">
        <f t="shared" si="59"/>
        <v>สแกนต่าง Cost</v>
      </c>
    </row>
    <row r="1233" spans="1:26" x14ac:dyDescent="0.45">
      <c r="B1233" t="s">
        <v>26</v>
      </c>
      <c r="C1233">
        <v>20362726</v>
      </c>
      <c r="D1233" t="s">
        <v>321</v>
      </c>
      <c r="E1233" s="10">
        <v>46130.833333333336</v>
      </c>
      <c r="F1233" s="10">
        <v>46131.229166666664</v>
      </c>
      <c r="G1233">
        <v>8.5</v>
      </c>
      <c r="H1233" s="9">
        <f t="shared" si="57"/>
        <v>4.4999999999999998E-2</v>
      </c>
      <c r="I1233">
        <v>4.4999999999999998E-2</v>
      </c>
      <c r="M1233" t="s">
        <v>65</v>
      </c>
      <c r="N1233" t="s">
        <v>29</v>
      </c>
      <c r="P1233" t="s">
        <v>30</v>
      </c>
      <c r="Q1233" t="s">
        <v>31</v>
      </c>
      <c r="R1233">
        <v>82640</v>
      </c>
      <c r="S1233" t="s">
        <v>42</v>
      </c>
      <c r="T1233">
        <v>82611</v>
      </c>
      <c r="U1233" t="s">
        <v>43</v>
      </c>
      <c r="V1233" t="s">
        <v>43</v>
      </c>
      <c r="W1233" t="s">
        <v>42</v>
      </c>
      <c r="X1233" t="s">
        <v>38</v>
      </c>
      <c r="Y1233" s="9">
        <f t="shared" si="58"/>
        <v>0</v>
      </c>
      <c r="Z1233" t="str">
        <f t="shared" si="59"/>
        <v>สแกนต่าง Cost</v>
      </c>
    </row>
    <row r="1234" spans="1:26" x14ac:dyDescent="0.45">
      <c r="A1234">
        <v>26630</v>
      </c>
      <c r="B1234" t="s">
        <v>53</v>
      </c>
      <c r="C1234">
        <v>20002861</v>
      </c>
      <c r="D1234" t="s">
        <v>322</v>
      </c>
      <c r="E1234" s="10">
        <v>46130.788888888892</v>
      </c>
      <c r="F1234" s="10">
        <v>46130.986805555556</v>
      </c>
      <c r="G1234">
        <v>4.75</v>
      </c>
      <c r="H1234" s="9">
        <f t="shared" si="57"/>
        <v>2.5000000000000001E-2</v>
      </c>
      <c r="K1234">
        <v>2.5000000000000001E-2</v>
      </c>
      <c r="M1234" t="s">
        <v>28</v>
      </c>
      <c r="N1234" t="s">
        <v>40</v>
      </c>
      <c r="O1234" t="s">
        <v>227</v>
      </c>
      <c r="P1234" t="s">
        <v>30</v>
      </c>
      <c r="Q1234" t="s">
        <v>31</v>
      </c>
      <c r="R1234">
        <v>82409</v>
      </c>
      <c r="S1234" t="s">
        <v>74</v>
      </c>
      <c r="T1234">
        <v>82664</v>
      </c>
      <c r="U1234" t="s">
        <v>75</v>
      </c>
      <c r="V1234" t="s">
        <v>75</v>
      </c>
      <c r="W1234" t="s">
        <v>74</v>
      </c>
      <c r="X1234" t="s">
        <v>74</v>
      </c>
      <c r="Y1234" s="9">
        <f t="shared" si="58"/>
        <v>2.5000000000000001E-2</v>
      </c>
      <c r="Z1234" t="str">
        <f t="shared" si="59"/>
        <v>สแกนต่าง Cost</v>
      </c>
    </row>
    <row r="1235" spans="1:26" x14ac:dyDescent="0.45">
      <c r="B1235" t="s">
        <v>53</v>
      </c>
      <c r="C1235">
        <v>20027956</v>
      </c>
      <c r="D1235" t="s">
        <v>214</v>
      </c>
      <c r="E1235" s="10">
        <v>46130.6875</v>
      </c>
      <c r="F1235" s="10">
        <v>46130.729166666664</v>
      </c>
      <c r="G1235">
        <v>1</v>
      </c>
      <c r="H1235" s="9">
        <f t="shared" si="57"/>
        <v>5.0000000000000001E-3</v>
      </c>
      <c r="J1235">
        <v>5.0000000000000001E-3</v>
      </c>
      <c r="M1235" t="s">
        <v>77</v>
      </c>
      <c r="N1235" t="s">
        <v>40</v>
      </c>
      <c r="O1235" t="s">
        <v>78</v>
      </c>
      <c r="P1235" t="s">
        <v>30</v>
      </c>
      <c r="Q1235" t="s">
        <v>31</v>
      </c>
      <c r="R1235">
        <v>82640</v>
      </c>
      <c r="S1235" t="s">
        <v>42</v>
      </c>
      <c r="T1235">
        <v>82612</v>
      </c>
      <c r="U1235" t="s">
        <v>153</v>
      </c>
      <c r="V1235" t="s">
        <v>66</v>
      </c>
      <c r="W1235" t="s">
        <v>44</v>
      </c>
      <c r="X1235" t="s">
        <v>44</v>
      </c>
      <c r="Y1235" s="9">
        <f t="shared" si="58"/>
        <v>5.0000000000000001E-3</v>
      </c>
      <c r="Z1235" t="str">
        <f t="shared" si="59"/>
        <v>สแกนต่าง Cost</v>
      </c>
    </row>
    <row r="1236" spans="1:26" x14ac:dyDescent="0.45">
      <c r="B1236" t="s">
        <v>53</v>
      </c>
      <c r="C1236">
        <v>20368087</v>
      </c>
      <c r="D1236" t="s">
        <v>260</v>
      </c>
      <c r="E1236" s="10">
        <v>46130.6875</v>
      </c>
      <c r="F1236" s="10">
        <v>46130.729166666664</v>
      </c>
      <c r="G1236">
        <v>1</v>
      </c>
      <c r="H1236" s="9">
        <f t="shared" si="57"/>
        <v>5.0000000000000001E-3</v>
      </c>
      <c r="I1236">
        <v>5.0000000000000001E-3</v>
      </c>
      <c r="M1236" t="s">
        <v>65</v>
      </c>
      <c r="N1236" t="s">
        <v>29</v>
      </c>
      <c r="P1236" t="s">
        <v>30</v>
      </c>
      <c r="Q1236" t="s">
        <v>31</v>
      </c>
      <c r="R1236">
        <v>82640</v>
      </c>
      <c r="S1236" t="s">
        <v>42</v>
      </c>
      <c r="T1236">
        <v>82612</v>
      </c>
      <c r="U1236" t="s">
        <v>153</v>
      </c>
      <c r="V1236" t="s">
        <v>66</v>
      </c>
      <c r="W1236" t="s">
        <v>44</v>
      </c>
      <c r="X1236" t="s">
        <v>44</v>
      </c>
      <c r="Y1236" s="9">
        <f t="shared" si="58"/>
        <v>0</v>
      </c>
      <c r="Z1236" t="str">
        <f t="shared" si="59"/>
        <v>สแกนต่าง Cost</v>
      </c>
    </row>
    <row r="1237" spans="1:26" x14ac:dyDescent="0.45">
      <c r="B1237" t="s">
        <v>53</v>
      </c>
      <c r="C1237">
        <v>20026534</v>
      </c>
      <c r="D1237" t="s">
        <v>279</v>
      </c>
      <c r="E1237" s="10">
        <v>46130.645833333336</v>
      </c>
      <c r="F1237" s="10">
        <v>46130.708333333336</v>
      </c>
      <c r="G1237">
        <v>1.5</v>
      </c>
      <c r="H1237" s="9">
        <f t="shared" si="57"/>
        <v>8.0000000000000002E-3</v>
      </c>
      <c r="I1237">
        <v>8.0000000000000002E-3</v>
      </c>
      <c r="M1237" t="s">
        <v>65</v>
      </c>
      <c r="N1237" t="s">
        <v>29</v>
      </c>
      <c r="P1237" t="s">
        <v>30</v>
      </c>
      <c r="Q1237" t="s">
        <v>31</v>
      </c>
      <c r="R1237">
        <v>82640</v>
      </c>
      <c r="S1237" t="s">
        <v>42</v>
      </c>
      <c r="T1237">
        <v>82611</v>
      </c>
      <c r="U1237" t="s">
        <v>43</v>
      </c>
      <c r="V1237" t="s">
        <v>66</v>
      </c>
      <c r="W1237" t="s">
        <v>44</v>
      </c>
      <c r="X1237" t="s">
        <v>44</v>
      </c>
      <c r="Y1237" s="9">
        <f t="shared" si="58"/>
        <v>0</v>
      </c>
      <c r="Z1237" t="str">
        <f t="shared" si="59"/>
        <v>สแกนต่าง Cost</v>
      </c>
    </row>
    <row r="1238" spans="1:26" x14ac:dyDescent="0.45">
      <c r="B1238" t="s">
        <v>53</v>
      </c>
      <c r="C1238">
        <v>20027956</v>
      </c>
      <c r="D1238" t="s">
        <v>214</v>
      </c>
      <c r="E1238" s="10">
        <v>46130.625</v>
      </c>
      <c r="F1238" s="10">
        <v>46130.6875</v>
      </c>
      <c r="G1238">
        <v>1.5</v>
      </c>
      <c r="H1238" s="9">
        <f t="shared" si="57"/>
        <v>8.0000000000000002E-3</v>
      </c>
      <c r="J1238">
        <v>8.0000000000000002E-3</v>
      </c>
      <c r="M1238" t="s">
        <v>77</v>
      </c>
      <c r="N1238" t="s">
        <v>40</v>
      </c>
      <c r="O1238" t="s">
        <v>78</v>
      </c>
      <c r="P1238" t="s">
        <v>30</v>
      </c>
      <c r="Q1238" t="s">
        <v>31</v>
      </c>
      <c r="R1238">
        <v>82640</v>
      </c>
      <c r="S1238" t="s">
        <v>42</v>
      </c>
      <c r="T1238">
        <v>82611</v>
      </c>
      <c r="U1238" t="s">
        <v>43</v>
      </c>
      <c r="V1238" t="s">
        <v>66</v>
      </c>
      <c r="W1238" t="s">
        <v>44</v>
      </c>
      <c r="X1238" t="s">
        <v>44</v>
      </c>
      <c r="Y1238" s="9">
        <f t="shared" si="58"/>
        <v>8.0000000000000002E-3</v>
      </c>
      <c r="Z1238" t="str">
        <f t="shared" si="59"/>
        <v>สแกนต่าง Cost</v>
      </c>
    </row>
    <row r="1239" spans="1:26" x14ac:dyDescent="0.45">
      <c r="B1239" t="s">
        <v>53</v>
      </c>
      <c r="C1239">
        <v>20060579</v>
      </c>
      <c r="D1239" t="s">
        <v>39</v>
      </c>
      <c r="E1239" s="10">
        <v>46130.625</v>
      </c>
      <c r="F1239" s="10">
        <v>46130.729166666664</v>
      </c>
      <c r="G1239">
        <v>2.5</v>
      </c>
      <c r="H1239" s="9">
        <f t="shared" si="57"/>
        <v>1.2999999999999999E-2</v>
      </c>
      <c r="I1239">
        <v>1.2999999999999999E-2</v>
      </c>
      <c r="M1239" t="s">
        <v>65</v>
      </c>
      <c r="N1239" t="s">
        <v>29</v>
      </c>
      <c r="P1239" t="s">
        <v>30</v>
      </c>
      <c r="Q1239" t="s">
        <v>31</v>
      </c>
      <c r="R1239">
        <v>82640</v>
      </c>
      <c r="S1239" t="s">
        <v>42</v>
      </c>
      <c r="T1239">
        <v>82630</v>
      </c>
      <c r="U1239" t="s">
        <v>32</v>
      </c>
      <c r="V1239" t="s">
        <v>66</v>
      </c>
      <c r="W1239" t="s">
        <v>44</v>
      </c>
      <c r="X1239" t="s">
        <v>44</v>
      </c>
      <c r="Y1239" s="9">
        <f t="shared" si="58"/>
        <v>0</v>
      </c>
      <c r="Z1239" t="str">
        <f t="shared" si="59"/>
        <v>สแกนต่าง Cost</v>
      </c>
    </row>
    <row r="1240" spans="1:26" x14ac:dyDescent="0.45">
      <c r="B1240" t="s">
        <v>53</v>
      </c>
      <c r="C1240">
        <v>20368087</v>
      </c>
      <c r="D1240" t="s">
        <v>260</v>
      </c>
      <c r="E1240" s="10">
        <v>46130.625</v>
      </c>
      <c r="F1240" s="10">
        <v>46130.6875</v>
      </c>
      <c r="G1240">
        <v>1.5</v>
      </c>
      <c r="H1240" s="9">
        <f t="shared" si="57"/>
        <v>8.0000000000000002E-3</v>
      </c>
      <c r="I1240">
        <v>8.0000000000000002E-3</v>
      </c>
      <c r="M1240" t="s">
        <v>65</v>
      </c>
      <c r="N1240" t="s">
        <v>29</v>
      </c>
      <c r="P1240" t="s">
        <v>30</v>
      </c>
      <c r="Q1240" t="s">
        <v>31</v>
      </c>
      <c r="R1240">
        <v>82640</v>
      </c>
      <c r="S1240" t="s">
        <v>42</v>
      </c>
      <c r="T1240">
        <v>82611</v>
      </c>
      <c r="U1240" t="s">
        <v>43</v>
      </c>
      <c r="V1240" t="s">
        <v>66</v>
      </c>
      <c r="W1240" t="s">
        <v>44</v>
      </c>
      <c r="X1240" t="s">
        <v>44</v>
      </c>
      <c r="Y1240" s="9">
        <f t="shared" si="58"/>
        <v>0</v>
      </c>
      <c r="Z1240" t="str">
        <f t="shared" si="59"/>
        <v>สแกนต่าง Cost</v>
      </c>
    </row>
    <row r="1241" spans="1:26" x14ac:dyDescent="0.45">
      <c r="B1241" t="s">
        <v>26</v>
      </c>
      <c r="C1241">
        <v>20197492</v>
      </c>
      <c r="D1241" t="s">
        <v>268</v>
      </c>
      <c r="E1241" s="10">
        <v>46130.609722222223</v>
      </c>
      <c r="F1241" s="10">
        <v>46130.729166666664</v>
      </c>
      <c r="G1241">
        <v>2.8666666666666667</v>
      </c>
      <c r="H1241" s="9">
        <f t="shared" si="57"/>
        <v>1.4999999999999999E-2</v>
      </c>
      <c r="J1241">
        <v>1.4999999999999999E-2</v>
      </c>
      <c r="M1241" t="s">
        <v>77</v>
      </c>
      <c r="N1241" t="s">
        <v>40</v>
      </c>
      <c r="O1241" t="s">
        <v>78</v>
      </c>
      <c r="P1241" t="s">
        <v>30</v>
      </c>
      <c r="Q1241" t="s">
        <v>31</v>
      </c>
      <c r="R1241">
        <v>82652</v>
      </c>
      <c r="S1241" t="s">
        <v>46</v>
      </c>
      <c r="T1241">
        <v>82658</v>
      </c>
      <c r="U1241" t="s">
        <v>33</v>
      </c>
      <c r="V1241" t="s">
        <v>33</v>
      </c>
      <c r="W1241" t="s">
        <v>37</v>
      </c>
      <c r="X1241" t="s">
        <v>38</v>
      </c>
      <c r="Y1241" s="9">
        <f t="shared" si="58"/>
        <v>1.4999999999999999E-2</v>
      </c>
      <c r="Z1241" t="str">
        <f t="shared" si="59"/>
        <v>สแกนต่าง Cost</v>
      </c>
    </row>
    <row r="1242" spans="1:26" x14ac:dyDescent="0.45">
      <c r="B1242" t="s">
        <v>53</v>
      </c>
      <c r="C1242">
        <v>20167851</v>
      </c>
      <c r="D1242" t="s">
        <v>63</v>
      </c>
      <c r="E1242" s="10">
        <v>46130.604166666664</v>
      </c>
      <c r="F1242" s="10">
        <v>46130.729166666664</v>
      </c>
      <c r="G1242">
        <v>3</v>
      </c>
      <c r="H1242" s="9">
        <f t="shared" si="57"/>
        <v>1.6E-2</v>
      </c>
      <c r="J1242">
        <v>1.6E-2</v>
      </c>
      <c r="M1242" t="s">
        <v>77</v>
      </c>
      <c r="N1242" t="s">
        <v>40</v>
      </c>
      <c r="O1242" t="s">
        <v>78</v>
      </c>
      <c r="P1242" t="s">
        <v>30</v>
      </c>
      <c r="Q1242" t="s">
        <v>31</v>
      </c>
      <c r="R1242">
        <v>82640</v>
      </c>
      <c r="S1242" t="s">
        <v>42</v>
      </c>
      <c r="T1242">
        <v>82630</v>
      </c>
      <c r="U1242" t="s">
        <v>32</v>
      </c>
      <c r="V1242" t="s">
        <v>66</v>
      </c>
      <c r="W1242" t="s">
        <v>44</v>
      </c>
      <c r="X1242" t="s">
        <v>44</v>
      </c>
      <c r="Y1242" s="9">
        <f t="shared" si="58"/>
        <v>1.6E-2</v>
      </c>
      <c r="Z1242" t="str">
        <f t="shared" si="59"/>
        <v>สแกนต่าง Cost</v>
      </c>
    </row>
    <row r="1243" spans="1:26" x14ac:dyDescent="0.45">
      <c r="B1243" t="s">
        <v>53</v>
      </c>
      <c r="C1243">
        <v>20060579</v>
      </c>
      <c r="D1243" t="s">
        <v>39</v>
      </c>
      <c r="E1243" s="10">
        <v>46130.583333333336</v>
      </c>
      <c r="F1243" s="10">
        <v>46130.604166666664</v>
      </c>
      <c r="G1243">
        <v>0.5</v>
      </c>
      <c r="H1243" s="9">
        <f t="shared" si="57"/>
        <v>3.0000000000000001E-3</v>
      </c>
      <c r="I1243">
        <v>3.0000000000000001E-3</v>
      </c>
      <c r="M1243" t="s">
        <v>65</v>
      </c>
      <c r="N1243" t="s">
        <v>29</v>
      </c>
      <c r="P1243" t="s">
        <v>30</v>
      </c>
      <c r="Q1243" t="s">
        <v>31</v>
      </c>
      <c r="R1243">
        <v>82640</v>
      </c>
      <c r="S1243" t="s">
        <v>42</v>
      </c>
      <c r="T1243">
        <v>82612</v>
      </c>
      <c r="U1243" t="s">
        <v>153</v>
      </c>
      <c r="V1243" t="s">
        <v>66</v>
      </c>
      <c r="W1243" t="s">
        <v>44</v>
      </c>
      <c r="X1243" t="s">
        <v>44</v>
      </c>
      <c r="Y1243" s="9">
        <f t="shared" si="58"/>
        <v>0</v>
      </c>
      <c r="Z1243" t="str">
        <f t="shared" si="59"/>
        <v>สแกนต่าง Cost</v>
      </c>
    </row>
    <row r="1244" spans="1:26" x14ac:dyDescent="0.45">
      <c r="B1244" t="s">
        <v>53</v>
      </c>
      <c r="C1244">
        <v>20167851</v>
      </c>
      <c r="D1244" t="s">
        <v>63</v>
      </c>
      <c r="E1244" s="10">
        <v>46130.583333333336</v>
      </c>
      <c r="F1244" s="10">
        <v>46130.604166666664</v>
      </c>
      <c r="G1244">
        <v>0.5</v>
      </c>
      <c r="H1244" s="9">
        <f t="shared" si="57"/>
        <v>3.0000000000000001E-3</v>
      </c>
      <c r="J1244">
        <v>3.0000000000000001E-3</v>
      </c>
      <c r="M1244" t="s">
        <v>77</v>
      </c>
      <c r="N1244" t="s">
        <v>40</v>
      </c>
      <c r="O1244" t="s">
        <v>78</v>
      </c>
      <c r="P1244" t="s">
        <v>30</v>
      </c>
      <c r="Q1244" t="s">
        <v>31</v>
      </c>
      <c r="R1244">
        <v>82640</v>
      </c>
      <c r="S1244" t="s">
        <v>42</v>
      </c>
      <c r="T1244">
        <v>82611</v>
      </c>
      <c r="U1244" t="s">
        <v>43</v>
      </c>
      <c r="V1244" t="s">
        <v>66</v>
      </c>
      <c r="W1244" t="s">
        <v>44</v>
      </c>
      <c r="X1244" t="s">
        <v>44</v>
      </c>
      <c r="Y1244" s="9">
        <f t="shared" si="58"/>
        <v>3.0000000000000001E-3</v>
      </c>
      <c r="Z1244" t="str">
        <f t="shared" si="59"/>
        <v>สแกนต่าง Cost</v>
      </c>
    </row>
    <row r="1245" spans="1:26" x14ac:dyDescent="0.45">
      <c r="B1245" t="s">
        <v>53</v>
      </c>
      <c r="C1245">
        <v>20060579</v>
      </c>
      <c r="D1245" t="s">
        <v>39</v>
      </c>
      <c r="E1245" s="10">
        <v>46130.5625</v>
      </c>
      <c r="F1245" s="10">
        <v>46130.583333333336</v>
      </c>
      <c r="G1245">
        <v>0.5</v>
      </c>
      <c r="H1245" s="9">
        <f t="shared" si="57"/>
        <v>3.0000000000000001E-3</v>
      </c>
      <c r="I1245">
        <v>3.0000000000000001E-3</v>
      </c>
      <c r="M1245" t="s">
        <v>65</v>
      </c>
      <c r="N1245" t="s">
        <v>29</v>
      </c>
      <c r="P1245" t="s">
        <v>30</v>
      </c>
      <c r="Q1245" t="s">
        <v>31</v>
      </c>
      <c r="R1245">
        <v>82640</v>
      </c>
      <c r="S1245" t="s">
        <v>42</v>
      </c>
      <c r="T1245">
        <v>82630</v>
      </c>
      <c r="U1245" t="s">
        <v>32</v>
      </c>
      <c r="V1245" t="s">
        <v>66</v>
      </c>
      <c r="W1245" t="s">
        <v>44</v>
      </c>
      <c r="X1245" t="s">
        <v>44</v>
      </c>
      <c r="Y1245" s="9">
        <f t="shared" si="58"/>
        <v>0</v>
      </c>
      <c r="Z1245" t="str">
        <f t="shared" si="59"/>
        <v>สแกนต่าง Cost</v>
      </c>
    </row>
    <row r="1246" spans="1:26" x14ac:dyDescent="0.45">
      <c r="A1246">
        <v>26629</v>
      </c>
      <c r="B1246" t="s">
        <v>53</v>
      </c>
      <c r="C1246">
        <v>20273451</v>
      </c>
      <c r="D1246" t="s">
        <v>248</v>
      </c>
      <c r="E1246" s="10">
        <v>46130.5625</v>
      </c>
      <c r="F1246" s="10">
        <v>46130.729166666664</v>
      </c>
      <c r="G1246">
        <v>4</v>
      </c>
      <c r="H1246" s="9">
        <f t="shared" si="57"/>
        <v>2.1000000000000001E-2</v>
      </c>
      <c r="I1246">
        <v>2.1000000000000001E-2</v>
      </c>
      <c r="M1246" t="s">
        <v>65</v>
      </c>
      <c r="N1246" t="s">
        <v>29</v>
      </c>
      <c r="P1246" t="s">
        <v>30</v>
      </c>
      <c r="Q1246" t="s">
        <v>31</v>
      </c>
      <c r="R1246">
        <v>82640</v>
      </c>
      <c r="S1246" t="s">
        <v>42</v>
      </c>
      <c r="T1246">
        <v>82611</v>
      </c>
      <c r="U1246" t="s">
        <v>43</v>
      </c>
      <c r="V1246" t="s">
        <v>43</v>
      </c>
      <c r="W1246" t="s">
        <v>47</v>
      </c>
      <c r="X1246" t="s">
        <v>192</v>
      </c>
      <c r="Y1246" s="9">
        <f t="shared" si="58"/>
        <v>0</v>
      </c>
      <c r="Z1246" t="str">
        <f t="shared" si="59"/>
        <v>สแกนต่าง Cost</v>
      </c>
    </row>
    <row r="1247" spans="1:26" x14ac:dyDescent="0.45">
      <c r="B1247" t="s">
        <v>53</v>
      </c>
      <c r="C1247">
        <v>20026534</v>
      </c>
      <c r="D1247" t="s">
        <v>279</v>
      </c>
      <c r="E1247" s="10">
        <v>46130.541666666664</v>
      </c>
      <c r="F1247" s="10">
        <v>46130.645833333336</v>
      </c>
      <c r="G1247">
        <v>2.5</v>
      </c>
      <c r="H1247" s="9">
        <f t="shared" si="57"/>
        <v>1.2999999999999999E-2</v>
      </c>
      <c r="I1247">
        <v>1.2999999999999999E-2</v>
      </c>
      <c r="M1247" t="s">
        <v>65</v>
      </c>
      <c r="N1247" t="s">
        <v>29</v>
      </c>
      <c r="P1247" t="s">
        <v>30</v>
      </c>
      <c r="Q1247" t="s">
        <v>31</v>
      </c>
      <c r="R1247">
        <v>82640</v>
      </c>
      <c r="S1247" t="s">
        <v>42</v>
      </c>
      <c r="T1247">
        <v>82630</v>
      </c>
      <c r="U1247" t="s">
        <v>32</v>
      </c>
      <c r="V1247" t="s">
        <v>66</v>
      </c>
      <c r="W1247" t="s">
        <v>44</v>
      </c>
      <c r="X1247" t="s">
        <v>44</v>
      </c>
      <c r="Y1247" s="9">
        <f t="shared" si="58"/>
        <v>0</v>
      </c>
      <c r="Z1247" t="str">
        <f t="shared" si="59"/>
        <v>สแกนต่าง Cost</v>
      </c>
    </row>
    <row r="1248" spans="1:26" x14ac:dyDescent="0.45">
      <c r="B1248" t="s">
        <v>53</v>
      </c>
      <c r="C1248">
        <v>20310530</v>
      </c>
      <c r="D1248" t="s">
        <v>220</v>
      </c>
      <c r="E1248" s="10">
        <v>46130.541666666664</v>
      </c>
      <c r="F1248" s="10">
        <v>46130.604166666664</v>
      </c>
      <c r="G1248">
        <v>1.5</v>
      </c>
      <c r="H1248" s="9">
        <f t="shared" si="57"/>
        <v>8.0000000000000002E-3</v>
      </c>
      <c r="I1248">
        <v>8.0000000000000002E-3</v>
      </c>
      <c r="M1248" t="s">
        <v>65</v>
      </c>
      <c r="N1248" t="s">
        <v>29</v>
      </c>
      <c r="P1248" t="s">
        <v>30</v>
      </c>
      <c r="Q1248" t="s">
        <v>31</v>
      </c>
      <c r="R1248">
        <v>82640</v>
      </c>
      <c r="S1248" t="s">
        <v>42</v>
      </c>
      <c r="T1248">
        <v>82630</v>
      </c>
      <c r="U1248" t="s">
        <v>32</v>
      </c>
      <c r="V1248" t="s">
        <v>66</v>
      </c>
      <c r="W1248" t="s">
        <v>44</v>
      </c>
      <c r="X1248" t="s">
        <v>44</v>
      </c>
      <c r="Y1248" s="9">
        <f t="shared" si="58"/>
        <v>0</v>
      </c>
      <c r="Z1248" t="str">
        <f t="shared" si="59"/>
        <v>สแกนต่าง Cost</v>
      </c>
    </row>
    <row r="1249" spans="1:26" x14ac:dyDescent="0.45">
      <c r="B1249" t="s">
        <v>53</v>
      </c>
      <c r="C1249">
        <v>20310530</v>
      </c>
      <c r="D1249" t="s">
        <v>220</v>
      </c>
      <c r="E1249" s="10">
        <v>46130.541666666664</v>
      </c>
      <c r="F1249" s="10">
        <v>46130.729166666664</v>
      </c>
      <c r="G1249">
        <v>4.5</v>
      </c>
      <c r="H1249" s="9">
        <f t="shared" si="57"/>
        <v>2.4E-2</v>
      </c>
      <c r="I1249">
        <v>2.4E-2</v>
      </c>
      <c r="M1249" t="s">
        <v>65</v>
      </c>
      <c r="N1249" t="s">
        <v>29</v>
      </c>
      <c r="P1249" t="s">
        <v>30</v>
      </c>
      <c r="Q1249" t="s">
        <v>31</v>
      </c>
      <c r="R1249">
        <v>82640</v>
      </c>
      <c r="S1249" t="s">
        <v>42</v>
      </c>
      <c r="T1249">
        <v>82630</v>
      </c>
      <c r="U1249" t="s">
        <v>32</v>
      </c>
      <c r="V1249" t="s">
        <v>66</v>
      </c>
      <c r="W1249" t="s">
        <v>44</v>
      </c>
      <c r="X1249" t="s">
        <v>44</v>
      </c>
      <c r="Y1249" s="9">
        <f t="shared" si="58"/>
        <v>0</v>
      </c>
      <c r="Z1249" t="str">
        <f t="shared" si="59"/>
        <v>สแกนต่าง Cost</v>
      </c>
    </row>
    <row r="1250" spans="1:26" x14ac:dyDescent="0.45">
      <c r="B1250" t="s">
        <v>53</v>
      </c>
      <c r="C1250">
        <v>20310532</v>
      </c>
      <c r="D1250" t="s">
        <v>61</v>
      </c>
      <c r="E1250" s="10">
        <v>46130.541666666664</v>
      </c>
      <c r="F1250" s="10">
        <v>46130.625</v>
      </c>
      <c r="G1250">
        <v>2</v>
      </c>
      <c r="H1250" s="9">
        <f t="shared" si="57"/>
        <v>1.0999999999999999E-2</v>
      </c>
      <c r="J1250">
        <v>1.0999999999999999E-2</v>
      </c>
      <c r="M1250" t="s">
        <v>77</v>
      </c>
      <c r="N1250" t="s">
        <v>40</v>
      </c>
      <c r="O1250" t="s">
        <v>323</v>
      </c>
      <c r="P1250" t="s">
        <v>30</v>
      </c>
      <c r="Q1250" t="s">
        <v>31</v>
      </c>
      <c r="R1250">
        <v>82640</v>
      </c>
      <c r="S1250" t="s">
        <v>42</v>
      </c>
      <c r="T1250">
        <v>82630</v>
      </c>
      <c r="U1250" t="s">
        <v>32</v>
      </c>
      <c r="V1250" t="s">
        <v>66</v>
      </c>
      <c r="W1250" t="s">
        <v>44</v>
      </c>
      <c r="X1250" t="s">
        <v>44</v>
      </c>
      <c r="Y1250" s="9">
        <f t="shared" si="58"/>
        <v>1.0999999999999999E-2</v>
      </c>
      <c r="Z1250" t="str">
        <f t="shared" si="59"/>
        <v>สแกนต่าง Cost</v>
      </c>
    </row>
    <row r="1251" spans="1:26" x14ac:dyDescent="0.45">
      <c r="B1251" t="s">
        <v>53</v>
      </c>
      <c r="C1251">
        <v>20340657</v>
      </c>
      <c r="D1251" t="s">
        <v>221</v>
      </c>
      <c r="E1251" s="10">
        <v>46130.541666666664</v>
      </c>
      <c r="F1251" s="10">
        <v>46130.729166666664</v>
      </c>
      <c r="G1251">
        <v>4.5</v>
      </c>
      <c r="H1251" s="9">
        <f t="shared" si="57"/>
        <v>2.4E-2</v>
      </c>
      <c r="J1251">
        <v>2.4E-2</v>
      </c>
      <c r="M1251" t="s">
        <v>77</v>
      </c>
      <c r="N1251" t="s">
        <v>40</v>
      </c>
      <c r="O1251" t="s">
        <v>78</v>
      </c>
      <c r="P1251" t="s">
        <v>30</v>
      </c>
      <c r="Q1251" t="s">
        <v>31</v>
      </c>
      <c r="R1251">
        <v>82640</v>
      </c>
      <c r="S1251" t="s">
        <v>42</v>
      </c>
      <c r="T1251">
        <v>82630</v>
      </c>
      <c r="U1251" t="s">
        <v>32</v>
      </c>
      <c r="V1251" t="s">
        <v>66</v>
      </c>
      <c r="W1251" t="s">
        <v>44</v>
      </c>
      <c r="X1251" t="s">
        <v>44</v>
      </c>
      <c r="Y1251" s="9">
        <f t="shared" si="58"/>
        <v>2.4E-2</v>
      </c>
      <c r="Z1251" t="str">
        <f t="shared" si="59"/>
        <v>สแกนต่าง Cost</v>
      </c>
    </row>
    <row r="1252" spans="1:26" x14ac:dyDescent="0.45">
      <c r="B1252" t="s">
        <v>53</v>
      </c>
      <c r="C1252">
        <v>20368087</v>
      </c>
      <c r="D1252" t="s">
        <v>260</v>
      </c>
      <c r="E1252" s="10">
        <v>46130.541666666664</v>
      </c>
      <c r="F1252" s="10">
        <v>46130.625</v>
      </c>
      <c r="G1252">
        <v>2</v>
      </c>
      <c r="H1252" s="9">
        <f t="shared" si="57"/>
        <v>1.0999999999999999E-2</v>
      </c>
      <c r="I1252">
        <v>1.0999999999999999E-2</v>
      </c>
      <c r="M1252" t="s">
        <v>65</v>
      </c>
      <c r="N1252" t="s">
        <v>29</v>
      </c>
      <c r="P1252" t="s">
        <v>30</v>
      </c>
      <c r="Q1252" t="s">
        <v>31</v>
      </c>
      <c r="R1252">
        <v>82640</v>
      </c>
      <c r="S1252" t="s">
        <v>42</v>
      </c>
      <c r="T1252">
        <v>82630</v>
      </c>
      <c r="U1252" t="s">
        <v>32</v>
      </c>
      <c r="V1252" t="s">
        <v>66</v>
      </c>
      <c r="W1252" t="s">
        <v>44</v>
      </c>
      <c r="X1252" t="s">
        <v>44</v>
      </c>
      <c r="Y1252" s="9">
        <f t="shared" si="58"/>
        <v>0</v>
      </c>
      <c r="Z1252" t="str">
        <f t="shared" si="59"/>
        <v>สแกนต่าง Cost</v>
      </c>
    </row>
    <row r="1253" spans="1:26" x14ac:dyDescent="0.45">
      <c r="A1253">
        <v>26628</v>
      </c>
      <c r="B1253" t="s">
        <v>53</v>
      </c>
      <c r="C1253">
        <v>20342024</v>
      </c>
      <c r="D1253" t="s">
        <v>304</v>
      </c>
      <c r="E1253" s="10">
        <v>46130.5</v>
      </c>
      <c r="F1253" s="10">
        <v>46130.729166666664</v>
      </c>
      <c r="G1253">
        <v>4.5</v>
      </c>
      <c r="H1253" s="9">
        <f t="shared" si="57"/>
        <v>2.4E-2</v>
      </c>
      <c r="I1253">
        <v>2.4E-2</v>
      </c>
      <c r="M1253" t="s">
        <v>65</v>
      </c>
      <c r="N1253" t="s">
        <v>29</v>
      </c>
      <c r="P1253" t="s">
        <v>30</v>
      </c>
      <c r="Q1253" t="s">
        <v>31</v>
      </c>
      <c r="R1253">
        <v>82640</v>
      </c>
      <c r="S1253" t="s">
        <v>42</v>
      </c>
      <c r="T1253">
        <v>82622</v>
      </c>
      <c r="U1253" t="s">
        <v>147</v>
      </c>
      <c r="V1253" t="s">
        <v>147</v>
      </c>
      <c r="W1253" t="s">
        <v>47</v>
      </c>
      <c r="X1253" t="s">
        <v>95</v>
      </c>
      <c r="Y1253" s="9">
        <f t="shared" si="58"/>
        <v>0</v>
      </c>
      <c r="Z1253" t="str">
        <f t="shared" si="59"/>
        <v>สแกนต่าง Cost</v>
      </c>
    </row>
    <row r="1254" spans="1:26" x14ac:dyDescent="0.45">
      <c r="B1254" t="s">
        <v>53</v>
      </c>
      <c r="C1254">
        <v>20060579</v>
      </c>
      <c r="D1254" t="s">
        <v>39</v>
      </c>
      <c r="E1254" s="10">
        <v>46130.458333333336</v>
      </c>
      <c r="F1254" s="10">
        <v>46130.5</v>
      </c>
      <c r="G1254">
        <v>1</v>
      </c>
      <c r="H1254" s="9">
        <f t="shared" si="57"/>
        <v>5.0000000000000001E-3</v>
      </c>
      <c r="I1254">
        <v>5.0000000000000001E-3</v>
      </c>
      <c r="M1254" t="s">
        <v>65</v>
      </c>
      <c r="N1254" t="s">
        <v>29</v>
      </c>
      <c r="P1254" t="s">
        <v>30</v>
      </c>
      <c r="Q1254" t="s">
        <v>31</v>
      </c>
      <c r="R1254">
        <v>82640</v>
      </c>
      <c r="S1254" t="s">
        <v>42</v>
      </c>
      <c r="T1254">
        <v>82611</v>
      </c>
      <c r="U1254" t="s">
        <v>43</v>
      </c>
      <c r="V1254" t="s">
        <v>66</v>
      </c>
      <c r="W1254" t="s">
        <v>44</v>
      </c>
      <c r="X1254" t="s">
        <v>44</v>
      </c>
      <c r="Y1254" s="9">
        <f t="shared" si="58"/>
        <v>0</v>
      </c>
      <c r="Z1254" t="str">
        <f t="shared" si="59"/>
        <v>สแกนต่าง Cost</v>
      </c>
    </row>
    <row r="1255" spans="1:26" x14ac:dyDescent="0.45">
      <c r="B1255" t="s">
        <v>53</v>
      </c>
      <c r="C1255">
        <v>20167851</v>
      </c>
      <c r="D1255" t="s">
        <v>63</v>
      </c>
      <c r="E1255" s="10">
        <v>46130.458333333336</v>
      </c>
      <c r="F1255" s="10">
        <v>46130.479166666664</v>
      </c>
      <c r="G1255">
        <v>0.5</v>
      </c>
      <c r="H1255" s="9">
        <f t="shared" si="57"/>
        <v>3.0000000000000001E-3</v>
      </c>
      <c r="J1255">
        <v>3.0000000000000001E-3</v>
      </c>
      <c r="M1255" t="s">
        <v>77</v>
      </c>
      <c r="N1255" t="s">
        <v>40</v>
      </c>
      <c r="O1255" t="s">
        <v>78</v>
      </c>
      <c r="P1255" t="s">
        <v>30</v>
      </c>
      <c r="Q1255" t="s">
        <v>31</v>
      </c>
      <c r="R1255">
        <v>82640</v>
      </c>
      <c r="S1255" t="s">
        <v>42</v>
      </c>
      <c r="T1255">
        <v>82630</v>
      </c>
      <c r="U1255" t="s">
        <v>32</v>
      </c>
      <c r="V1255" t="s">
        <v>66</v>
      </c>
      <c r="W1255" t="s">
        <v>44</v>
      </c>
      <c r="X1255" t="s">
        <v>44</v>
      </c>
      <c r="Y1255" s="9">
        <f t="shared" si="58"/>
        <v>3.0000000000000001E-3</v>
      </c>
      <c r="Z1255" t="str">
        <f t="shared" si="59"/>
        <v>สแกนต่าง Cost</v>
      </c>
    </row>
    <row r="1256" spans="1:26" x14ac:dyDescent="0.45">
      <c r="A1256">
        <v>26522</v>
      </c>
      <c r="B1256" t="s">
        <v>53</v>
      </c>
      <c r="C1256">
        <v>20190547</v>
      </c>
      <c r="D1256" t="s">
        <v>68</v>
      </c>
      <c r="E1256" s="10">
        <v>46130.457638888889</v>
      </c>
      <c r="F1256" s="10">
        <v>46130.473611111112</v>
      </c>
      <c r="G1256">
        <v>0.38333333333333336</v>
      </c>
      <c r="H1256" s="9">
        <f t="shared" si="57"/>
        <v>2E-3</v>
      </c>
      <c r="I1256">
        <v>2E-3</v>
      </c>
      <c r="M1256" t="s">
        <v>65</v>
      </c>
      <c r="N1256" t="s">
        <v>29</v>
      </c>
      <c r="P1256" t="s">
        <v>30</v>
      </c>
      <c r="Q1256" t="s">
        <v>31</v>
      </c>
      <c r="R1256">
        <v>82308</v>
      </c>
      <c r="S1256" t="s">
        <v>69</v>
      </c>
      <c r="T1256">
        <v>82640</v>
      </c>
      <c r="U1256" t="s">
        <v>42</v>
      </c>
      <c r="V1256" t="s">
        <v>70</v>
      </c>
      <c r="W1256" t="s">
        <v>71</v>
      </c>
      <c r="X1256" t="s">
        <v>72</v>
      </c>
      <c r="Y1256" s="9">
        <f t="shared" si="58"/>
        <v>0</v>
      </c>
      <c r="Z1256" t="str">
        <f t="shared" si="59"/>
        <v>สแกนต่าง Cost</v>
      </c>
    </row>
    <row r="1257" spans="1:26" x14ac:dyDescent="0.45">
      <c r="B1257" t="s">
        <v>53</v>
      </c>
      <c r="C1257">
        <v>20220650</v>
      </c>
      <c r="D1257" t="s">
        <v>291</v>
      </c>
      <c r="E1257" s="10">
        <v>46130.4375</v>
      </c>
      <c r="F1257" s="10">
        <v>46130.458333333336</v>
      </c>
      <c r="G1257">
        <v>0.5</v>
      </c>
      <c r="H1257" s="9">
        <f t="shared" si="57"/>
        <v>3.0000000000000001E-3</v>
      </c>
      <c r="I1257">
        <v>3.0000000000000001E-3</v>
      </c>
      <c r="M1257" t="s">
        <v>65</v>
      </c>
      <c r="N1257" t="s">
        <v>29</v>
      </c>
      <c r="P1257" t="s">
        <v>30</v>
      </c>
      <c r="Q1257" t="s">
        <v>31</v>
      </c>
      <c r="R1257">
        <v>82640</v>
      </c>
      <c r="S1257" t="s">
        <v>42</v>
      </c>
      <c r="T1257">
        <v>82611</v>
      </c>
      <c r="U1257" t="s">
        <v>43</v>
      </c>
      <c r="V1257" t="s">
        <v>66</v>
      </c>
      <c r="W1257" t="s">
        <v>44</v>
      </c>
      <c r="X1257" t="s">
        <v>44</v>
      </c>
      <c r="Y1257" s="9">
        <f t="shared" si="58"/>
        <v>0</v>
      </c>
      <c r="Z1257" t="str">
        <f t="shared" si="59"/>
        <v>สแกนต่าง Cost</v>
      </c>
    </row>
    <row r="1258" spans="1:26" x14ac:dyDescent="0.45">
      <c r="B1258" t="s">
        <v>53</v>
      </c>
      <c r="C1258">
        <v>20060579</v>
      </c>
      <c r="D1258" t="s">
        <v>39</v>
      </c>
      <c r="E1258" s="10">
        <v>46130.416666666664</v>
      </c>
      <c r="F1258" s="10">
        <v>46130.458333333336</v>
      </c>
      <c r="G1258">
        <v>1</v>
      </c>
      <c r="H1258" s="9">
        <f t="shared" si="57"/>
        <v>5.0000000000000001E-3</v>
      </c>
      <c r="I1258">
        <v>5.0000000000000001E-3</v>
      </c>
      <c r="M1258" t="s">
        <v>65</v>
      </c>
      <c r="N1258" t="s">
        <v>29</v>
      </c>
      <c r="P1258" t="s">
        <v>30</v>
      </c>
      <c r="Q1258" t="s">
        <v>31</v>
      </c>
      <c r="R1258">
        <v>82640</v>
      </c>
      <c r="S1258" t="s">
        <v>42</v>
      </c>
      <c r="T1258">
        <v>82630</v>
      </c>
      <c r="U1258" t="s">
        <v>32</v>
      </c>
      <c r="V1258" t="s">
        <v>66</v>
      </c>
      <c r="W1258" t="s">
        <v>44</v>
      </c>
      <c r="X1258" t="s">
        <v>44</v>
      </c>
      <c r="Y1258" s="9">
        <f t="shared" si="58"/>
        <v>0</v>
      </c>
      <c r="Z1258" t="str">
        <f t="shared" si="59"/>
        <v>สแกนต่าง Cost</v>
      </c>
    </row>
    <row r="1259" spans="1:26" x14ac:dyDescent="0.45">
      <c r="B1259" t="s">
        <v>53</v>
      </c>
      <c r="C1259">
        <v>20403251</v>
      </c>
      <c r="D1259" t="s">
        <v>324</v>
      </c>
      <c r="E1259" s="10">
        <v>46130.416666666664</v>
      </c>
      <c r="F1259" s="10">
        <v>46130.729166666664</v>
      </c>
      <c r="G1259">
        <v>6.5</v>
      </c>
      <c r="H1259" s="9">
        <f t="shared" si="57"/>
        <v>3.5000000000000003E-2</v>
      </c>
      <c r="I1259">
        <v>3.5000000000000003E-2</v>
      </c>
      <c r="M1259" t="s">
        <v>48</v>
      </c>
      <c r="N1259" t="s">
        <v>48</v>
      </c>
      <c r="P1259" t="s">
        <v>30</v>
      </c>
      <c r="Q1259" t="s">
        <v>31</v>
      </c>
      <c r="R1259">
        <v>82640</v>
      </c>
      <c r="S1259" t="s">
        <v>42</v>
      </c>
      <c r="T1259">
        <v>82622</v>
      </c>
      <c r="U1259" t="s">
        <v>147</v>
      </c>
      <c r="V1259" t="s">
        <v>147</v>
      </c>
      <c r="W1259" t="s">
        <v>47</v>
      </c>
      <c r="X1259" t="s">
        <v>95</v>
      </c>
      <c r="Y1259" s="9">
        <f t="shared" si="58"/>
        <v>0</v>
      </c>
      <c r="Z1259" t="str">
        <f t="shared" si="59"/>
        <v>สแกนต่าง Cost</v>
      </c>
    </row>
    <row r="1260" spans="1:26" x14ac:dyDescent="0.45">
      <c r="B1260" t="s">
        <v>53</v>
      </c>
      <c r="C1260">
        <v>20060579</v>
      </c>
      <c r="D1260" t="s">
        <v>39</v>
      </c>
      <c r="E1260" s="10">
        <v>46130.375</v>
      </c>
      <c r="F1260" s="10">
        <v>46130.395833333336</v>
      </c>
      <c r="G1260">
        <v>0.5</v>
      </c>
      <c r="H1260" s="9">
        <f t="shared" si="57"/>
        <v>3.0000000000000001E-3</v>
      </c>
      <c r="I1260">
        <v>3.0000000000000001E-3</v>
      </c>
      <c r="M1260" t="s">
        <v>65</v>
      </c>
      <c r="N1260" t="s">
        <v>29</v>
      </c>
      <c r="P1260" t="s">
        <v>30</v>
      </c>
      <c r="Q1260" t="s">
        <v>31</v>
      </c>
      <c r="R1260">
        <v>82640</v>
      </c>
      <c r="S1260" t="s">
        <v>42</v>
      </c>
      <c r="T1260">
        <v>82630</v>
      </c>
      <c r="U1260" t="s">
        <v>32</v>
      </c>
      <c r="V1260" t="s">
        <v>66</v>
      </c>
      <c r="W1260" t="s">
        <v>44</v>
      </c>
      <c r="X1260" t="s">
        <v>44</v>
      </c>
      <c r="Y1260" s="9">
        <f t="shared" si="58"/>
        <v>0</v>
      </c>
      <c r="Z1260" t="str">
        <f t="shared" si="59"/>
        <v>สแกนต่าง Cost</v>
      </c>
    </row>
    <row r="1261" spans="1:26" x14ac:dyDescent="0.45">
      <c r="B1261" t="s">
        <v>53</v>
      </c>
      <c r="C1261">
        <v>20310532</v>
      </c>
      <c r="D1261" t="s">
        <v>61</v>
      </c>
      <c r="E1261" s="10">
        <v>46130.375</v>
      </c>
      <c r="F1261" s="10">
        <v>46130.5</v>
      </c>
      <c r="G1261">
        <v>3</v>
      </c>
      <c r="H1261" s="9">
        <f t="shared" si="57"/>
        <v>1.6E-2</v>
      </c>
      <c r="J1261">
        <v>1.6E-2</v>
      </c>
      <c r="M1261" t="s">
        <v>77</v>
      </c>
      <c r="N1261" t="s">
        <v>40</v>
      </c>
      <c r="O1261" t="s">
        <v>323</v>
      </c>
      <c r="P1261" t="s">
        <v>30</v>
      </c>
      <c r="Q1261" t="s">
        <v>31</v>
      </c>
      <c r="R1261">
        <v>82640</v>
      </c>
      <c r="S1261" t="s">
        <v>42</v>
      </c>
      <c r="T1261">
        <v>82630</v>
      </c>
      <c r="U1261" t="s">
        <v>32</v>
      </c>
      <c r="V1261" t="s">
        <v>66</v>
      </c>
      <c r="W1261" t="s">
        <v>44</v>
      </c>
      <c r="X1261" t="s">
        <v>44</v>
      </c>
      <c r="Y1261" s="9">
        <f t="shared" si="58"/>
        <v>1.6E-2</v>
      </c>
      <c r="Z1261" t="str">
        <f t="shared" si="59"/>
        <v>สแกนต่าง Cost</v>
      </c>
    </row>
    <row r="1262" spans="1:26" x14ac:dyDescent="0.45">
      <c r="B1262" t="s">
        <v>53</v>
      </c>
      <c r="C1262">
        <v>20368087</v>
      </c>
      <c r="D1262" t="s">
        <v>260</v>
      </c>
      <c r="E1262" s="10">
        <v>46130.375</v>
      </c>
      <c r="F1262" s="10">
        <v>46130.4375</v>
      </c>
      <c r="G1262">
        <v>1.5</v>
      </c>
      <c r="H1262" s="9">
        <f t="shared" si="57"/>
        <v>8.0000000000000002E-3</v>
      </c>
      <c r="I1262">
        <v>8.0000000000000002E-3</v>
      </c>
      <c r="M1262" t="s">
        <v>65</v>
      </c>
      <c r="N1262" t="s">
        <v>29</v>
      </c>
      <c r="P1262" t="s">
        <v>30</v>
      </c>
      <c r="Q1262" t="s">
        <v>31</v>
      </c>
      <c r="R1262">
        <v>82640</v>
      </c>
      <c r="S1262" t="s">
        <v>42</v>
      </c>
      <c r="T1262">
        <v>82612</v>
      </c>
      <c r="U1262" t="s">
        <v>153</v>
      </c>
      <c r="V1262" t="s">
        <v>66</v>
      </c>
      <c r="W1262" t="s">
        <v>44</v>
      </c>
      <c r="X1262" t="s">
        <v>44</v>
      </c>
      <c r="Y1262" s="9">
        <f t="shared" si="58"/>
        <v>0</v>
      </c>
      <c r="Z1262" t="str">
        <f t="shared" si="59"/>
        <v>สแกนต่าง Cost</v>
      </c>
    </row>
    <row r="1263" spans="1:26" x14ac:dyDescent="0.45">
      <c r="B1263" t="s">
        <v>53</v>
      </c>
      <c r="C1263">
        <v>20026534</v>
      </c>
      <c r="D1263" t="s">
        <v>279</v>
      </c>
      <c r="E1263" s="10">
        <v>46130.354166666664</v>
      </c>
      <c r="F1263" s="10">
        <v>46130.5</v>
      </c>
      <c r="G1263">
        <v>3.5</v>
      </c>
      <c r="H1263" s="9">
        <f t="shared" si="57"/>
        <v>1.9E-2</v>
      </c>
      <c r="I1263">
        <v>1.9E-2</v>
      </c>
      <c r="M1263" t="s">
        <v>65</v>
      </c>
      <c r="N1263" t="s">
        <v>29</v>
      </c>
      <c r="P1263" t="s">
        <v>30</v>
      </c>
      <c r="Q1263" t="s">
        <v>31</v>
      </c>
      <c r="R1263">
        <v>82640</v>
      </c>
      <c r="S1263" t="s">
        <v>42</v>
      </c>
      <c r="T1263">
        <v>82630</v>
      </c>
      <c r="U1263" t="s">
        <v>32</v>
      </c>
      <c r="V1263" t="s">
        <v>66</v>
      </c>
      <c r="W1263" t="s">
        <v>44</v>
      </c>
      <c r="X1263" t="s">
        <v>44</v>
      </c>
      <c r="Y1263" s="9">
        <f t="shared" si="58"/>
        <v>0</v>
      </c>
      <c r="Z1263" t="str">
        <f t="shared" si="59"/>
        <v>สแกนต่าง Cost</v>
      </c>
    </row>
    <row r="1264" spans="1:26" x14ac:dyDescent="0.45">
      <c r="B1264" t="s">
        <v>53</v>
      </c>
      <c r="C1264">
        <v>20310530</v>
      </c>
      <c r="D1264" t="s">
        <v>220</v>
      </c>
      <c r="E1264" s="10">
        <v>46130.354166666664</v>
      </c>
      <c r="F1264" s="10">
        <v>46130.5</v>
      </c>
      <c r="G1264">
        <v>3.5</v>
      </c>
      <c r="H1264" s="9">
        <f t="shared" si="57"/>
        <v>1.9E-2</v>
      </c>
      <c r="I1264">
        <v>1.9E-2</v>
      </c>
      <c r="M1264" t="s">
        <v>65</v>
      </c>
      <c r="N1264" t="s">
        <v>29</v>
      </c>
      <c r="P1264" t="s">
        <v>30</v>
      </c>
      <c r="Q1264" t="s">
        <v>31</v>
      </c>
      <c r="R1264">
        <v>82640</v>
      </c>
      <c r="S1264" t="s">
        <v>42</v>
      </c>
      <c r="T1264">
        <v>82630</v>
      </c>
      <c r="U1264" t="s">
        <v>32</v>
      </c>
      <c r="V1264" t="s">
        <v>66</v>
      </c>
      <c r="W1264" t="s">
        <v>44</v>
      </c>
      <c r="X1264" t="s">
        <v>44</v>
      </c>
      <c r="Y1264" s="9">
        <f t="shared" si="58"/>
        <v>0</v>
      </c>
      <c r="Z1264" t="str">
        <f t="shared" si="59"/>
        <v>สแกนต่าง Cost</v>
      </c>
    </row>
    <row r="1265" spans="1:26" x14ac:dyDescent="0.45">
      <c r="B1265" t="s">
        <v>53</v>
      </c>
      <c r="C1265">
        <v>20340657</v>
      </c>
      <c r="D1265" t="s">
        <v>221</v>
      </c>
      <c r="E1265" s="10">
        <v>46130.354166666664</v>
      </c>
      <c r="F1265" s="10">
        <v>46130.5</v>
      </c>
      <c r="G1265">
        <v>3.5</v>
      </c>
      <c r="H1265" s="9">
        <f t="shared" si="57"/>
        <v>1.9E-2</v>
      </c>
      <c r="J1265">
        <v>1.9E-2</v>
      </c>
      <c r="M1265" t="s">
        <v>77</v>
      </c>
      <c r="N1265" t="s">
        <v>40</v>
      </c>
      <c r="O1265" t="s">
        <v>78</v>
      </c>
      <c r="P1265" t="s">
        <v>30</v>
      </c>
      <c r="Q1265" t="s">
        <v>31</v>
      </c>
      <c r="R1265">
        <v>82640</v>
      </c>
      <c r="S1265" t="s">
        <v>42</v>
      </c>
      <c r="T1265">
        <v>82612</v>
      </c>
      <c r="U1265" t="s">
        <v>153</v>
      </c>
      <c r="V1265" t="s">
        <v>66</v>
      </c>
      <c r="W1265" t="s">
        <v>44</v>
      </c>
      <c r="X1265" t="s">
        <v>44</v>
      </c>
      <c r="Y1265" s="9">
        <f t="shared" si="58"/>
        <v>1.9E-2</v>
      </c>
      <c r="Z1265" t="str">
        <f t="shared" si="59"/>
        <v>สแกนต่าง Cost</v>
      </c>
    </row>
    <row r="1266" spans="1:26" x14ac:dyDescent="0.45">
      <c r="A1266">
        <v>26520</v>
      </c>
      <c r="B1266" t="s">
        <v>53</v>
      </c>
      <c r="C1266">
        <v>20240123</v>
      </c>
      <c r="D1266" t="s">
        <v>263</v>
      </c>
      <c r="E1266" s="10">
        <v>46130.348611111112</v>
      </c>
      <c r="F1266" s="10">
        <v>46130.718055555553</v>
      </c>
      <c r="G1266">
        <v>7.8666666666666671</v>
      </c>
      <c r="H1266" s="9">
        <f t="shared" si="57"/>
        <v>4.2000000000000003E-2</v>
      </c>
      <c r="J1266">
        <v>4.2000000000000003E-2</v>
      </c>
      <c r="M1266" t="s">
        <v>77</v>
      </c>
      <c r="N1266" t="s">
        <v>29</v>
      </c>
      <c r="P1266" t="s">
        <v>30</v>
      </c>
      <c r="Q1266" t="s">
        <v>31</v>
      </c>
      <c r="R1266">
        <v>82306</v>
      </c>
      <c r="S1266" t="s">
        <v>55</v>
      </c>
      <c r="T1266">
        <v>82920</v>
      </c>
      <c r="U1266" t="s">
        <v>158</v>
      </c>
      <c r="V1266" t="s">
        <v>158</v>
      </c>
      <c r="W1266" t="s">
        <v>159</v>
      </c>
      <c r="X1266" t="s">
        <v>160</v>
      </c>
      <c r="Y1266" s="9">
        <f t="shared" si="58"/>
        <v>4.2000000000000003E-2</v>
      </c>
      <c r="Z1266" t="str">
        <f t="shared" si="59"/>
        <v>สแกนต่าง Cost</v>
      </c>
    </row>
    <row r="1267" spans="1:26" x14ac:dyDescent="0.45">
      <c r="B1267" t="s">
        <v>26</v>
      </c>
      <c r="C1267">
        <v>20075988</v>
      </c>
      <c r="D1267" t="s">
        <v>325</v>
      </c>
      <c r="E1267" s="10">
        <v>46130.34652777778</v>
      </c>
      <c r="F1267" s="10">
        <v>46130.62222222222</v>
      </c>
      <c r="G1267">
        <v>5.6166666666666663</v>
      </c>
      <c r="H1267" s="9">
        <f t="shared" si="57"/>
        <v>0.03</v>
      </c>
      <c r="I1267">
        <v>0.03</v>
      </c>
      <c r="M1267" t="s">
        <v>77</v>
      </c>
      <c r="N1267" t="s">
        <v>29</v>
      </c>
      <c r="P1267" t="s">
        <v>30</v>
      </c>
      <c r="Q1267" t="s">
        <v>31</v>
      </c>
      <c r="R1267">
        <v>82607</v>
      </c>
      <c r="S1267" t="s">
        <v>168</v>
      </c>
      <c r="T1267">
        <v>82622</v>
      </c>
      <c r="U1267" t="s">
        <v>147</v>
      </c>
      <c r="V1267" t="s">
        <v>147</v>
      </c>
      <c r="W1267" t="s">
        <v>326</v>
      </c>
      <c r="X1267" t="s">
        <v>34</v>
      </c>
      <c r="Y1267" s="9">
        <f t="shared" si="58"/>
        <v>0</v>
      </c>
      <c r="Z1267" t="str">
        <f t="shared" si="59"/>
        <v>สแกนต่าง Cost</v>
      </c>
    </row>
    <row r="1268" spans="1:26" x14ac:dyDescent="0.45">
      <c r="A1268">
        <v>26524</v>
      </c>
      <c r="B1268" t="s">
        <v>53</v>
      </c>
      <c r="C1268">
        <v>20004913</v>
      </c>
      <c r="D1268" t="s">
        <v>87</v>
      </c>
      <c r="E1268" s="10">
        <v>46130.333333333336</v>
      </c>
      <c r="F1268" s="10">
        <v>46130.729166666664</v>
      </c>
      <c r="G1268">
        <v>8.5</v>
      </c>
      <c r="H1268" s="9">
        <f t="shared" si="57"/>
        <v>4.4999999999999998E-2</v>
      </c>
      <c r="I1268">
        <v>4.4999999999999998E-2</v>
      </c>
      <c r="M1268" t="s">
        <v>65</v>
      </c>
      <c r="N1268" t="s">
        <v>29</v>
      </c>
      <c r="P1268" t="s">
        <v>30</v>
      </c>
      <c r="Q1268" t="s">
        <v>31</v>
      </c>
      <c r="R1268">
        <v>82301</v>
      </c>
      <c r="S1268" t="s">
        <v>79</v>
      </c>
      <c r="T1268">
        <v>82308</v>
      </c>
      <c r="U1268" t="s">
        <v>69</v>
      </c>
      <c r="V1268" t="s">
        <v>69</v>
      </c>
      <c r="W1268" t="s">
        <v>69</v>
      </c>
      <c r="X1268" t="s">
        <v>88</v>
      </c>
      <c r="Y1268" s="9">
        <f t="shared" si="58"/>
        <v>0</v>
      </c>
      <c r="Z1268" t="str">
        <f t="shared" si="59"/>
        <v>สแกนต่าง Cost</v>
      </c>
    </row>
    <row r="1269" spans="1:26" x14ac:dyDescent="0.45">
      <c r="B1269" t="s">
        <v>53</v>
      </c>
      <c r="C1269">
        <v>20023163</v>
      </c>
      <c r="D1269" t="s">
        <v>169</v>
      </c>
      <c r="E1269" s="10">
        <v>46130.333333333336</v>
      </c>
      <c r="F1269" s="10">
        <v>46130.729166666664</v>
      </c>
      <c r="G1269">
        <v>8.5</v>
      </c>
      <c r="H1269" s="9">
        <f t="shared" si="57"/>
        <v>4.4999999999999998E-2</v>
      </c>
      <c r="J1269">
        <v>4.4999999999999998E-2</v>
      </c>
      <c r="M1269" t="s">
        <v>77</v>
      </c>
      <c r="N1269" t="s">
        <v>40</v>
      </c>
      <c r="O1269" t="s">
        <v>78</v>
      </c>
      <c r="P1269" t="s">
        <v>30</v>
      </c>
      <c r="Q1269" t="s">
        <v>31</v>
      </c>
      <c r="R1269">
        <v>82630</v>
      </c>
      <c r="S1269" t="s">
        <v>32</v>
      </c>
      <c r="T1269">
        <v>82640</v>
      </c>
      <c r="U1269" t="s">
        <v>42</v>
      </c>
      <c r="V1269" t="s">
        <v>70</v>
      </c>
      <c r="W1269" t="s">
        <v>170</v>
      </c>
      <c r="X1269" t="s">
        <v>171</v>
      </c>
      <c r="Y1269" s="9">
        <f t="shared" si="58"/>
        <v>4.4999999999999998E-2</v>
      </c>
      <c r="Z1269" t="str">
        <f t="shared" si="59"/>
        <v>สแกนต่าง Cost</v>
      </c>
    </row>
    <row r="1270" spans="1:26" x14ac:dyDescent="0.45">
      <c r="B1270" t="s">
        <v>26</v>
      </c>
      <c r="C1270">
        <v>20024254</v>
      </c>
      <c r="D1270" t="s">
        <v>233</v>
      </c>
      <c r="E1270" s="10">
        <v>46130.333333333336</v>
      </c>
      <c r="F1270" s="10">
        <v>46130.729166666664</v>
      </c>
      <c r="G1270">
        <v>8.5</v>
      </c>
      <c r="H1270" s="9">
        <f t="shared" si="57"/>
        <v>4.4999999999999998E-2</v>
      </c>
      <c r="I1270">
        <v>4.4999999999999998E-2</v>
      </c>
      <c r="M1270" t="s">
        <v>77</v>
      </c>
      <c r="N1270" t="s">
        <v>29</v>
      </c>
      <c r="P1270" t="s">
        <v>30</v>
      </c>
      <c r="Q1270" t="s">
        <v>31</v>
      </c>
      <c r="R1270">
        <v>82910</v>
      </c>
      <c r="S1270" t="s">
        <v>201</v>
      </c>
      <c r="T1270">
        <v>82605</v>
      </c>
      <c r="U1270" t="s">
        <v>202</v>
      </c>
      <c r="V1270" t="s">
        <v>202</v>
      </c>
      <c r="W1270" t="s">
        <v>37</v>
      </c>
      <c r="X1270" t="s">
        <v>47</v>
      </c>
      <c r="Y1270" s="9">
        <f t="shared" si="58"/>
        <v>0</v>
      </c>
      <c r="Z1270" t="str">
        <f t="shared" si="59"/>
        <v>สแกนต่าง Cost</v>
      </c>
    </row>
    <row r="1271" spans="1:26" x14ac:dyDescent="0.45">
      <c r="B1271" t="s">
        <v>26</v>
      </c>
      <c r="C1271">
        <v>20025986</v>
      </c>
      <c r="D1271" t="s">
        <v>200</v>
      </c>
      <c r="E1271" s="10">
        <v>46130.333333333336</v>
      </c>
      <c r="F1271" s="10">
        <v>46130.729166666664</v>
      </c>
      <c r="G1271">
        <v>8.5</v>
      </c>
      <c r="H1271" s="9">
        <f t="shared" si="57"/>
        <v>4.4999999999999998E-2</v>
      </c>
      <c r="I1271">
        <v>4.4999999999999998E-2</v>
      </c>
      <c r="M1271" t="s">
        <v>65</v>
      </c>
      <c r="N1271" t="s">
        <v>29</v>
      </c>
      <c r="P1271" t="s">
        <v>30</v>
      </c>
      <c r="Q1271" t="s">
        <v>31</v>
      </c>
      <c r="R1271">
        <v>82910</v>
      </c>
      <c r="S1271" t="s">
        <v>201</v>
      </c>
      <c r="T1271">
        <v>82605</v>
      </c>
      <c r="U1271" t="s">
        <v>202</v>
      </c>
      <c r="V1271" t="s">
        <v>202</v>
      </c>
      <c r="W1271" t="s">
        <v>37</v>
      </c>
      <c r="X1271" t="s">
        <v>47</v>
      </c>
      <c r="Y1271" s="9">
        <f t="shared" si="58"/>
        <v>0</v>
      </c>
      <c r="Z1271" t="str">
        <f t="shared" si="59"/>
        <v>สแกนต่าง Cost</v>
      </c>
    </row>
    <row r="1272" spans="1:26" x14ac:dyDescent="0.45">
      <c r="B1272" t="s">
        <v>53</v>
      </c>
      <c r="C1272">
        <v>20034535</v>
      </c>
      <c r="D1272" t="s">
        <v>99</v>
      </c>
      <c r="E1272" s="10">
        <v>46130.333333333336</v>
      </c>
      <c r="F1272" s="10">
        <v>46130.729166666664</v>
      </c>
      <c r="G1272">
        <v>8.5</v>
      </c>
      <c r="H1272" s="9">
        <f t="shared" si="57"/>
        <v>4.4999999999999998E-2</v>
      </c>
      <c r="J1272">
        <v>4.4999999999999998E-2</v>
      </c>
      <c r="M1272" t="s">
        <v>77</v>
      </c>
      <c r="N1272" t="s">
        <v>29</v>
      </c>
      <c r="P1272" t="s">
        <v>30</v>
      </c>
      <c r="Q1272" t="s">
        <v>31</v>
      </c>
      <c r="R1272">
        <v>82630</v>
      </c>
      <c r="S1272" t="s">
        <v>32</v>
      </c>
      <c r="T1272">
        <v>82611</v>
      </c>
      <c r="U1272" t="s">
        <v>43</v>
      </c>
      <c r="V1272" t="s">
        <v>43</v>
      </c>
      <c r="W1272" t="s">
        <v>170</v>
      </c>
      <c r="X1272" t="s">
        <v>171</v>
      </c>
      <c r="Y1272" s="9">
        <f t="shared" si="58"/>
        <v>4.4999999999999998E-2</v>
      </c>
      <c r="Z1272" t="str">
        <f t="shared" si="59"/>
        <v>สแกนต่าง Cost</v>
      </c>
    </row>
    <row r="1273" spans="1:26" x14ac:dyDescent="0.45">
      <c r="B1273" t="s">
        <v>53</v>
      </c>
      <c r="C1273">
        <v>20037938</v>
      </c>
      <c r="D1273" t="s">
        <v>172</v>
      </c>
      <c r="E1273" s="10">
        <v>46130.333333333336</v>
      </c>
      <c r="F1273" s="10">
        <v>46130.729166666664</v>
      </c>
      <c r="G1273">
        <v>8.5</v>
      </c>
      <c r="H1273" s="9">
        <f t="shared" si="57"/>
        <v>4.4999999999999998E-2</v>
      </c>
      <c r="J1273">
        <v>4.4999999999999998E-2</v>
      </c>
      <c r="M1273" t="s">
        <v>77</v>
      </c>
      <c r="N1273" t="s">
        <v>40</v>
      </c>
      <c r="O1273" t="s">
        <v>78</v>
      </c>
      <c r="P1273" t="s">
        <v>30</v>
      </c>
      <c r="Q1273" t="s">
        <v>31</v>
      </c>
      <c r="R1273">
        <v>82630</v>
      </c>
      <c r="S1273" t="s">
        <v>32</v>
      </c>
      <c r="T1273">
        <v>82611</v>
      </c>
      <c r="U1273" t="s">
        <v>43</v>
      </c>
      <c r="V1273" t="s">
        <v>43</v>
      </c>
      <c r="W1273" t="s">
        <v>170</v>
      </c>
      <c r="X1273" t="s">
        <v>171</v>
      </c>
      <c r="Y1273" s="9">
        <f t="shared" si="58"/>
        <v>4.4999999999999998E-2</v>
      </c>
      <c r="Z1273" t="str">
        <f t="shared" si="59"/>
        <v>สแกนต่าง Cost</v>
      </c>
    </row>
    <row r="1274" spans="1:26" x14ac:dyDescent="0.45">
      <c r="B1274" t="s">
        <v>53</v>
      </c>
      <c r="C1274">
        <v>20041131</v>
      </c>
      <c r="D1274" t="s">
        <v>173</v>
      </c>
      <c r="E1274" s="10">
        <v>46130.333333333336</v>
      </c>
      <c r="F1274" s="10">
        <v>46130.729166666664</v>
      </c>
      <c r="G1274">
        <v>8.5</v>
      </c>
      <c r="H1274" s="9">
        <f t="shared" si="57"/>
        <v>4.4999999999999998E-2</v>
      </c>
      <c r="I1274">
        <v>4.4999999999999998E-2</v>
      </c>
      <c r="M1274" t="s">
        <v>65</v>
      </c>
      <c r="N1274" t="s">
        <v>29</v>
      </c>
      <c r="P1274" t="s">
        <v>30</v>
      </c>
      <c r="Q1274" t="s">
        <v>31</v>
      </c>
      <c r="R1274">
        <v>82630</v>
      </c>
      <c r="S1274" t="s">
        <v>32</v>
      </c>
      <c r="T1274">
        <v>82611</v>
      </c>
      <c r="U1274" t="s">
        <v>43</v>
      </c>
      <c r="V1274" t="s">
        <v>43</v>
      </c>
      <c r="W1274" t="s">
        <v>170</v>
      </c>
      <c r="X1274" t="s">
        <v>171</v>
      </c>
      <c r="Y1274" s="9">
        <f t="shared" si="58"/>
        <v>0</v>
      </c>
      <c r="Z1274" t="str">
        <f t="shared" si="59"/>
        <v>สแกนต่าง Cost</v>
      </c>
    </row>
    <row r="1275" spans="1:26" x14ac:dyDescent="0.45">
      <c r="B1275" t="s">
        <v>26</v>
      </c>
      <c r="C1275">
        <v>20066762</v>
      </c>
      <c r="D1275" t="s">
        <v>203</v>
      </c>
      <c r="E1275" s="10">
        <v>46130.333333333336</v>
      </c>
      <c r="F1275" s="10">
        <v>46130.729166666664</v>
      </c>
      <c r="G1275">
        <v>8.5</v>
      </c>
      <c r="H1275" s="9">
        <f t="shared" si="57"/>
        <v>4.4999999999999998E-2</v>
      </c>
      <c r="I1275">
        <v>4.4999999999999998E-2</v>
      </c>
      <c r="M1275" t="s">
        <v>65</v>
      </c>
      <c r="N1275" t="s">
        <v>29</v>
      </c>
      <c r="P1275" t="s">
        <v>30</v>
      </c>
      <c r="Q1275" t="s">
        <v>31</v>
      </c>
      <c r="R1275">
        <v>82910</v>
      </c>
      <c r="S1275" t="s">
        <v>201</v>
      </c>
      <c r="T1275">
        <v>82605</v>
      </c>
      <c r="U1275" t="s">
        <v>202</v>
      </c>
      <c r="V1275" t="s">
        <v>202</v>
      </c>
      <c r="W1275" t="s">
        <v>37</v>
      </c>
      <c r="X1275" t="s">
        <v>47</v>
      </c>
      <c r="Y1275" s="9">
        <f t="shared" si="58"/>
        <v>0</v>
      </c>
      <c r="Z1275" t="str">
        <f t="shared" si="59"/>
        <v>สแกนต่าง Cost</v>
      </c>
    </row>
    <row r="1276" spans="1:26" x14ac:dyDescent="0.45">
      <c r="B1276" t="s">
        <v>53</v>
      </c>
      <c r="C1276">
        <v>20074473</v>
      </c>
      <c r="D1276" t="s">
        <v>276</v>
      </c>
      <c r="E1276" s="10">
        <v>46130.333333333336</v>
      </c>
      <c r="F1276" s="10">
        <v>46130.729166666664</v>
      </c>
      <c r="G1276">
        <v>8.5</v>
      </c>
      <c r="H1276" s="9">
        <f t="shared" si="57"/>
        <v>4.4999999999999998E-2</v>
      </c>
      <c r="J1276">
        <v>4.4999999999999998E-2</v>
      </c>
      <c r="M1276" t="s">
        <v>77</v>
      </c>
      <c r="N1276" t="s">
        <v>40</v>
      </c>
      <c r="O1276" t="s">
        <v>78</v>
      </c>
      <c r="P1276" t="s">
        <v>30</v>
      </c>
      <c r="Q1276" t="s">
        <v>31</v>
      </c>
      <c r="R1276">
        <v>82630</v>
      </c>
      <c r="S1276" t="s">
        <v>32</v>
      </c>
      <c r="T1276">
        <v>82640</v>
      </c>
      <c r="U1276" t="s">
        <v>42</v>
      </c>
      <c r="V1276" t="s">
        <v>70</v>
      </c>
      <c r="W1276" t="s">
        <v>170</v>
      </c>
      <c r="X1276" t="s">
        <v>171</v>
      </c>
      <c r="Y1276" s="9">
        <f t="shared" si="58"/>
        <v>4.4999999999999998E-2</v>
      </c>
      <c r="Z1276" t="str">
        <f t="shared" si="59"/>
        <v>สแกนต่าง Cost</v>
      </c>
    </row>
    <row r="1277" spans="1:26" x14ac:dyDescent="0.45">
      <c r="A1277">
        <v>26519</v>
      </c>
      <c r="B1277" t="s">
        <v>53</v>
      </c>
      <c r="C1277">
        <v>20074796</v>
      </c>
      <c r="D1277" t="s">
        <v>189</v>
      </c>
      <c r="E1277" s="10">
        <v>46130.333333333336</v>
      </c>
      <c r="F1277" s="10">
        <v>46130.718055555553</v>
      </c>
      <c r="G1277">
        <v>8.2333333333333325</v>
      </c>
      <c r="H1277" s="9">
        <f t="shared" si="57"/>
        <v>4.3999999999999997E-2</v>
      </c>
      <c r="J1277">
        <v>4.3999999999999997E-2</v>
      </c>
      <c r="M1277" t="s">
        <v>77</v>
      </c>
      <c r="N1277" t="s">
        <v>40</v>
      </c>
      <c r="O1277" t="s">
        <v>78</v>
      </c>
      <c r="P1277" t="s">
        <v>30</v>
      </c>
      <c r="Q1277" t="s">
        <v>31</v>
      </c>
      <c r="R1277">
        <v>82306</v>
      </c>
      <c r="S1277" t="s">
        <v>55</v>
      </c>
      <c r="T1277">
        <v>82920</v>
      </c>
      <c r="U1277" t="s">
        <v>158</v>
      </c>
      <c r="V1277" t="s">
        <v>158</v>
      </c>
      <c r="W1277" t="s">
        <v>159</v>
      </c>
      <c r="X1277" t="s">
        <v>160</v>
      </c>
      <c r="Y1277" s="9">
        <f t="shared" si="58"/>
        <v>4.3999999999999997E-2</v>
      </c>
      <c r="Z1277" t="str">
        <f t="shared" si="59"/>
        <v>สแกนต่าง Cost</v>
      </c>
    </row>
    <row r="1278" spans="1:26" x14ac:dyDescent="0.45">
      <c r="A1278">
        <v>26710</v>
      </c>
      <c r="B1278" t="s">
        <v>53</v>
      </c>
      <c r="C1278">
        <v>20076436</v>
      </c>
      <c r="D1278" t="s">
        <v>131</v>
      </c>
      <c r="E1278" s="10">
        <v>46130.333333333336</v>
      </c>
      <c r="F1278" s="10">
        <v>46130.729166666664</v>
      </c>
      <c r="G1278">
        <v>8.5</v>
      </c>
      <c r="H1278" s="9">
        <f t="shared" si="57"/>
        <v>4.4999999999999998E-2</v>
      </c>
      <c r="I1278">
        <v>4.4999999999999998E-2</v>
      </c>
      <c r="M1278" t="s">
        <v>65</v>
      </c>
      <c r="N1278" t="s">
        <v>29</v>
      </c>
      <c r="P1278" t="s">
        <v>30</v>
      </c>
      <c r="Q1278" t="s">
        <v>31</v>
      </c>
      <c r="R1278">
        <v>82301</v>
      </c>
      <c r="S1278" t="s">
        <v>79</v>
      </c>
      <c r="T1278">
        <v>82308</v>
      </c>
      <c r="U1278" t="s">
        <v>69</v>
      </c>
      <c r="V1278" t="s">
        <v>69</v>
      </c>
      <c r="W1278" t="s">
        <v>69</v>
      </c>
      <c r="X1278" t="s">
        <v>95</v>
      </c>
      <c r="Y1278" s="9">
        <f t="shared" si="58"/>
        <v>0</v>
      </c>
      <c r="Z1278" t="str">
        <f t="shared" si="59"/>
        <v>สแกนต่าง Cost</v>
      </c>
    </row>
    <row r="1279" spans="1:26" x14ac:dyDescent="0.45">
      <c r="A1279">
        <v>26517</v>
      </c>
      <c r="B1279" t="s">
        <v>53</v>
      </c>
      <c r="C1279">
        <v>20076492</v>
      </c>
      <c r="D1279" t="s">
        <v>193</v>
      </c>
      <c r="E1279" s="10">
        <v>46130.333333333336</v>
      </c>
      <c r="F1279" s="10">
        <v>46130.718055555553</v>
      </c>
      <c r="G1279">
        <v>8.2333333333333325</v>
      </c>
      <c r="H1279" s="9">
        <f t="shared" si="57"/>
        <v>4.3999999999999997E-2</v>
      </c>
      <c r="J1279">
        <v>4.3999999999999997E-2</v>
      </c>
      <c r="M1279" t="s">
        <v>77</v>
      </c>
      <c r="N1279" t="s">
        <v>40</v>
      </c>
      <c r="O1279" t="s">
        <v>78</v>
      </c>
      <c r="P1279" t="s">
        <v>30</v>
      </c>
      <c r="Q1279" t="s">
        <v>31</v>
      </c>
      <c r="R1279">
        <v>82306</v>
      </c>
      <c r="S1279" t="s">
        <v>55</v>
      </c>
      <c r="T1279">
        <v>82920</v>
      </c>
      <c r="U1279" t="s">
        <v>158</v>
      </c>
      <c r="V1279" t="s">
        <v>158</v>
      </c>
      <c r="W1279" t="s">
        <v>159</v>
      </c>
      <c r="X1279" t="s">
        <v>160</v>
      </c>
      <c r="Y1279" s="9">
        <f t="shared" si="58"/>
        <v>4.3999999999999997E-2</v>
      </c>
      <c r="Z1279" t="str">
        <f t="shared" si="59"/>
        <v>สแกนต่าง Cost</v>
      </c>
    </row>
    <row r="1280" spans="1:26" x14ac:dyDescent="0.45">
      <c r="A1280">
        <v>26518</v>
      </c>
      <c r="B1280" t="s">
        <v>53</v>
      </c>
      <c r="C1280">
        <v>20076571</v>
      </c>
      <c r="D1280" t="s">
        <v>327</v>
      </c>
      <c r="E1280" s="10">
        <v>46130.333333333336</v>
      </c>
      <c r="F1280" s="10">
        <v>46130.718055555553</v>
      </c>
      <c r="G1280">
        <v>8.2333333333333325</v>
      </c>
      <c r="H1280" s="9">
        <f t="shared" si="57"/>
        <v>4.3999999999999997E-2</v>
      </c>
      <c r="J1280">
        <v>4.3999999999999997E-2</v>
      </c>
      <c r="M1280" t="s">
        <v>77</v>
      </c>
      <c r="N1280" t="s">
        <v>40</v>
      </c>
      <c r="O1280" t="s">
        <v>78</v>
      </c>
      <c r="P1280" t="s">
        <v>30</v>
      </c>
      <c r="Q1280" t="s">
        <v>31</v>
      </c>
      <c r="R1280">
        <v>82306</v>
      </c>
      <c r="S1280" t="s">
        <v>55</v>
      </c>
      <c r="T1280">
        <v>82920</v>
      </c>
      <c r="U1280" t="s">
        <v>158</v>
      </c>
      <c r="V1280" t="s">
        <v>158</v>
      </c>
      <c r="W1280" t="s">
        <v>159</v>
      </c>
      <c r="X1280" t="s">
        <v>160</v>
      </c>
      <c r="Y1280" s="9">
        <f t="shared" si="58"/>
        <v>4.3999999999999997E-2</v>
      </c>
      <c r="Z1280" t="str">
        <f t="shared" si="59"/>
        <v>สแกนต่าง Cost</v>
      </c>
    </row>
    <row r="1281" spans="1:26" x14ac:dyDescent="0.45">
      <c r="B1281" t="s">
        <v>53</v>
      </c>
      <c r="C1281">
        <v>20167851</v>
      </c>
      <c r="D1281" t="s">
        <v>63</v>
      </c>
      <c r="E1281" s="10">
        <v>46130.333333333336</v>
      </c>
      <c r="F1281" s="10">
        <v>46130.458333333336</v>
      </c>
      <c r="G1281">
        <v>3</v>
      </c>
      <c r="H1281" s="9">
        <f t="shared" si="57"/>
        <v>1.6E-2</v>
      </c>
      <c r="J1281">
        <v>1.6E-2</v>
      </c>
      <c r="M1281" t="s">
        <v>77</v>
      </c>
      <c r="N1281" t="s">
        <v>40</v>
      </c>
      <c r="O1281" t="s">
        <v>78</v>
      </c>
      <c r="P1281" t="s">
        <v>30</v>
      </c>
      <c r="Q1281" t="s">
        <v>31</v>
      </c>
      <c r="R1281">
        <v>82640</v>
      </c>
      <c r="S1281" t="s">
        <v>42</v>
      </c>
      <c r="T1281">
        <v>82612</v>
      </c>
      <c r="U1281" t="s">
        <v>153</v>
      </c>
      <c r="V1281" t="s">
        <v>66</v>
      </c>
      <c r="W1281" t="s">
        <v>44</v>
      </c>
      <c r="X1281" t="s">
        <v>44</v>
      </c>
      <c r="Y1281" s="9">
        <f t="shared" si="58"/>
        <v>1.6E-2</v>
      </c>
      <c r="Z1281" t="str">
        <f t="shared" si="59"/>
        <v>สแกนต่าง Cost</v>
      </c>
    </row>
    <row r="1282" spans="1:26" x14ac:dyDescent="0.45">
      <c r="B1282" t="s">
        <v>53</v>
      </c>
      <c r="C1282">
        <v>20198711</v>
      </c>
      <c r="D1282" t="s">
        <v>178</v>
      </c>
      <c r="E1282" s="10">
        <v>46130.333333333336</v>
      </c>
      <c r="F1282" s="10">
        <v>46130.729166666664</v>
      </c>
      <c r="G1282">
        <v>8.5</v>
      </c>
      <c r="H1282" s="9">
        <f t="shared" si="57"/>
        <v>4.4999999999999998E-2</v>
      </c>
      <c r="I1282">
        <v>4.4999999999999998E-2</v>
      </c>
      <c r="M1282" t="s">
        <v>65</v>
      </c>
      <c r="N1282" t="s">
        <v>29</v>
      </c>
      <c r="P1282" t="s">
        <v>30</v>
      </c>
      <c r="Q1282" t="s">
        <v>31</v>
      </c>
      <c r="R1282">
        <v>82630</v>
      </c>
      <c r="S1282" t="s">
        <v>32</v>
      </c>
      <c r="T1282">
        <v>82611</v>
      </c>
      <c r="U1282" t="s">
        <v>43</v>
      </c>
      <c r="V1282" t="s">
        <v>43</v>
      </c>
      <c r="W1282" t="s">
        <v>170</v>
      </c>
      <c r="X1282" t="s">
        <v>171</v>
      </c>
      <c r="Y1282" s="9">
        <f t="shared" si="58"/>
        <v>0</v>
      </c>
      <c r="Z1282" t="str">
        <f t="shared" si="59"/>
        <v>สแกนต่าง Cost</v>
      </c>
    </row>
    <row r="1283" spans="1:26" x14ac:dyDescent="0.45">
      <c r="B1283" t="s">
        <v>53</v>
      </c>
      <c r="C1283">
        <v>20198715</v>
      </c>
      <c r="D1283" t="s">
        <v>179</v>
      </c>
      <c r="E1283" s="10">
        <v>46130.333333333336</v>
      </c>
      <c r="F1283" s="10">
        <v>46130.729166666664</v>
      </c>
      <c r="G1283">
        <v>8.5</v>
      </c>
      <c r="H1283" s="9">
        <f t="shared" ref="H1283:H1346" si="60">SUM(I1283:L1283)</f>
        <v>4.4999999999999998E-2</v>
      </c>
      <c r="J1283">
        <v>4.4999999999999998E-2</v>
      </c>
      <c r="M1283" t="s">
        <v>77</v>
      </c>
      <c r="N1283" t="s">
        <v>29</v>
      </c>
      <c r="P1283" t="s">
        <v>30</v>
      </c>
      <c r="Q1283" t="s">
        <v>31</v>
      </c>
      <c r="R1283">
        <v>82630</v>
      </c>
      <c r="S1283" t="s">
        <v>32</v>
      </c>
      <c r="T1283">
        <v>82611</v>
      </c>
      <c r="U1283" t="s">
        <v>43</v>
      </c>
      <c r="V1283" t="s">
        <v>43</v>
      </c>
      <c r="W1283" t="s">
        <v>170</v>
      </c>
      <c r="X1283" t="s">
        <v>171</v>
      </c>
      <c r="Y1283" s="9">
        <f t="shared" ref="Y1283:Y1346" si="61">SUM(J1283:L1283)</f>
        <v>4.4999999999999998E-2</v>
      </c>
      <c r="Z1283" t="str">
        <f t="shared" ref="Z1283:Z1346" si="62">IF(R1283=T1283,"สแกน Cost ตัวเอง","สแกนต่าง Cost")</f>
        <v>สแกนต่าง Cost</v>
      </c>
    </row>
    <row r="1284" spans="1:26" x14ac:dyDescent="0.45">
      <c r="B1284" t="s">
        <v>53</v>
      </c>
      <c r="C1284">
        <v>20198747</v>
      </c>
      <c r="D1284" t="s">
        <v>180</v>
      </c>
      <c r="E1284" s="10">
        <v>46130.333333333336</v>
      </c>
      <c r="F1284" s="10">
        <v>46130.729166666664</v>
      </c>
      <c r="G1284">
        <v>8.5</v>
      </c>
      <c r="H1284" s="9">
        <f t="shared" si="60"/>
        <v>4.4999999999999998E-2</v>
      </c>
      <c r="J1284">
        <v>4.4999999999999998E-2</v>
      </c>
      <c r="M1284" t="s">
        <v>77</v>
      </c>
      <c r="N1284" t="s">
        <v>40</v>
      </c>
      <c r="O1284" t="s">
        <v>78</v>
      </c>
      <c r="P1284" t="s">
        <v>30</v>
      </c>
      <c r="Q1284" t="s">
        <v>31</v>
      </c>
      <c r="R1284">
        <v>82630</v>
      </c>
      <c r="S1284" t="s">
        <v>32</v>
      </c>
      <c r="T1284">
        <v>82640</v>
      </c>
      <c r="U1284" t="s">
        <v>42</v>
      </c>
      <c r="V1284" t="s">
        <v>70</v>
      </c>
      <c r="W1284" t="s">
        <v>170</v>
      </c>
      <c r="X1284" t="s">
        <v>171</v>
      </c>
      <c r="Y1284" s="9">
        <f t="shared" si="61"/>
        <v>4.4999999999999998E-2</v>
      </c>
      <c r="Z1284" t="str">
        <f t="shared" si="62"/>
        <v>สแกนต่าง Cost</v>
      </c>
    </row>
    <row r="1285" spans="1:26" x14ac:dyDescent="0.45">
      <c r="A1285">
        <v>26516</v>
      </c>
      <c r="B1285" t="s">
        <v>53</v>
      </c>
      <c r="C1285">
        <v>20238364</v>
      </c>
      <c r="D1285" t="s">
        <v>198</v>
      </c>
      <c r="E1285" s="10">
        <v>46130.333333333336</v>
      </c>
      <c r="F1285" s="10">
        <v>46130.718055555553</v>
      </c>
      <c r="G1285">
        <v>8.2333333333333325</v>
      </c>
      <c r="H1285" s="9">
        <f t="shared" si="60"/>
        <v>4.3999999999999997E-2</v>
      </c>
      <c r="J1285">
        <v>4.3999999999999997E-2</v>
      </c>
      <c r="M1285" t="s">
        <v>77</v>
      </c>
      <c r="N1285" t="s">
        <v>40</v>
      </c>
      <c r="O1285" t="s">
        <v>78</v>
      </c>
      <c r="P1285" t="s">
        <v>30</v>
      </c>
      <c r="Q1285" t="s">
        <v>31</v>
      </c>
      <c r="R1285">
        <v>82306</v>
      </c>
      <c r="S1285" t="s">
        <v>55</v>
      </c>
      <c r="T1285">
        <v>82920</v>
      </c>
      <c r="U1285" t="s">
        <v>158</v>
      </c>
      <c r="V1285" t="s">
        <v>158</v>
      </c>
      <c r="W1285" t="s">
        <v>159</v>
      </c>
      <c r="X1285" t="s">
        <v>160</v>
      </c>
      <c r="Y1285" s="9">
        <f t="shared" si="61"/>
        <v>4.3999999999999997E-2</v>
      </c>
      <c r="Z1285" t="str">
        <f t="shared" si="62"/>
        <v>สแกนต่าง Cost</v>
      </c>
    </row>
    <row r="1286" spans="1:26" x14ac:dyDescent="0.45">
      <c r="B1286" t="s">
        <v>53</v>
      </c>
      <c r="C1286">
        <v>20310532</v>
      </c>
      <c r="D1286" t="s">
        <v>61</v>
      </c>
      <c r="E1286" s="10">
        <v>46130.333333333336</v>
      </c>
      <c r="F1286" s="10">
        <v>46130.375</v>
      </c>
      <c r="G1286">
        <v>1</v>
      </c>
      <c r="H1286" s="9">
        <f t="shared" si="60"/>
        <v>5.0000000000000001E-3</v>
      </c>
      <c r="J1286">
        <v>5.0000000000000001E-3</v>
      </c>
      <c r="M1286" t="s">
        <v>77</v>
      </c>
      <c r="N1286" t="s">
        <v>40</v>
      </c>
      <c r="O1286" t="s">
        <v>323</v>
      </c>
      <c r="P1286" t="s">
        <v>30</v>
      </c>
      <c r="Q1286" t="s">
        <v>31</v>
      </c>
      <c r="R1286">
        <v>82640</v>
      </c>
      <c r="S1286" t="s">
        <v>42</v>
      </c>
      <c r="T1286">
        <v>82612</v>
      </c>
      <c r="U1286" t="s">
        <v>153</v>
      </c>
      <c r="V1286" t="s">
        <v>66</v>
      </c>
      <c r="W1286" t="s">
        <v>44</v>
      </c>
      <c r="X1286" t="s">
        <v>44</v>
      </c>
      <c r="Y1286" s="9">
        <f t="shared" si="61"/>
        <v>5.0000000000000001E-3</v>
      </c>
      <c r="Z1286" t="str">
        <f t="shared" si="62"/>
        <v>สแกนต่าง Cost</v>
      </c>
    </row>
    <row r="1287" spans="1:26" x14ac:dyDescent="0.45">
      <c r="B1287" t="s">
        <v>53</v>
      </c>
      <c r="C1287">
        <v>20319535</v>
      </c>
      <c r="D1287" t="s">
        <v>36</v>
      </c>
      <c r="E1287" s="10">
        <v>46130.333333333336</v>
      </c>
      <c r="F1287" s="10">
        <v>46130.729166666664</v>
      </c>
      <c r="G1287">
        <v>9.5</v>
      </c>
      <c r="H1287" s="9">
        <f t="shared" si="60"/>
        <v>4.9999999999999996E-2</v>
      </c>
      <c r="I1287">
        <v>4.4999999999999998E-2</v>
      </c>
      <c r="K1287">
        <v>5.0000000000000001E-3</v>
      </c>
      <c r="M1287" t="s">
        <v>28</v>
      </c>
      <c r="N1287" t="s">
        <v>29</v>
      </c>
      <c r="P1287" t="s">
        <v>30</v>
      </c>
      <c r="Q1287" t="s">
        <v>31</v>
      </c>
      <c r="R1287">
        <v>82630</v>
      </c>
      <c r="S1287" t="s">
        <v>32</v>
      </c>
      <c r="T1287">
        <v>82611</v>
      </c>
      <c r="U1287" t="s">
        <v>43</v>
      </c>
      <c r="V1287" t="s">
        <v>43</v>
      </c>
      <c r="W1287" t="s">
        <v>170</v>
      </c>
      <c r="X1287" t="s">
        <v>171</v>
      </c>
      <c r="Y1287" s="9">
        <f t="shared" si="61"/>
        <v>5.0000000000000001E-3</v>
      </c>
      <c r="Z1287" t="str">
        <f t="shared" si="62"/>
        <v>สแกนต่าง Cost</v>
      </c>
    </row>
    <row r="1288" spans="1:26" x14ac:dyDescent="0.45">
      <c r="B1288" t="s">
        <v>26</v>
      </c>
      <c r="C1288">
        <v>20328003</v>
      </c>
      <c r="D1288" t="s">
        <v>107</v>
      </c>
      <c r="E1288" s="10">
        <v>46130.333333333336</v>
      </c>
      <c r="F1288" s="10">
        <v>46130.729166666664</v>
      </c>
      <c r="G1288">
        <v>8.5</v>
      </c>
      <c r="H1288" s="9">
        <f t="shared" si="60"/>
        <v>4.4999999999999998E-2</v>
      </c>
      <c r="I1288">
        <v>4.4999999999999998E-2</v>
      </c>
      <c r="M1288" t="s">
        <v>65</v>
      </c>
      <c r="N1288" t="s">
        <v>29</v>
      </c>
      <c r="P1288" t="s">
        <v>30</v>
      </c>
      <c r="Q1288" t="s">
        <v>31</v>
      </c>
      <c r="R1288">
        <v>82400</v>
      </c>
      <c r="S1288" t="s">
        <v>83</v>
      </c>
      <c r="T1288">
        <v>82690</v>
      </c>
      <c r="U1288" t="s">
        <v>90</v>
      </c>
      <c r="V1288" t="s">
        <v>90</v>
      </c>
      <c r="W1288" t="s">
        <v>91</v>
      </c>
      <c r="X1288" t="s">
        <v>92</v>
      </c>
      <c r="Y1288" s="9">
        <f t="shared" si="61"/>
        <v>0</v>
      </c>
      <c r="Z1288" t="str">
        <f t="shared" si="62"/>
        <v>สแกนต่าง Cost</v>
      </c>
    </row>
    <row r="1289" spans="1:26" x14ac:dyDescent="0.45">
      <c r="B1289" t="s">
        <v>53</v>
      </c>
      <c r="C1289">
        <v>20344532</v>
      </c>
      <c r="D1289" t="s">
        <v>186</v>
      </c>
      <c r="E1289" s="10">
        <v>46130.333333333336</v>
      </c>
      <c r="F1289" s="10">
        <v>46130.729166666664</v>
      </c>
      <c r="G1289">
        <v>9.5</v>
      </c>
      <c r="H1289" s="9">
        <f t="shared" si="60"/>
        <v>4.9999999999999996E-2</v>
      </c>
      <c r="I1289">
        <v>4.4999999999999998E-2</v>
      </c>
      <c r="K1289">
        <v>5.0000000000000001E-3</v>
      </c>
      <c r="M1289" t="s">
        <v>28</v>
      </c>
      <c r="N1289" t="s">
        <v>29</v>
      </c>
      <c r="P1289" t="s">
        <v>30</v>
      </c>
      <c r="Q1289" t="s">
        <v>31</v>
      </c>
      <c r="R1289">
        <v>82630</v>
      </c>
      <c r="S1289" t="s">
        <v>32</v>
      </c>
      <c r="T1289">
        <v>82611</v>
      </c>
      <c r="U1289" t="s">
        <v>43</v>
      </c>
      <c r="V1289" t="s">
        <v>43</v>
      </c>
      <c r="W1289" t="s">
        <v>170</v>
      </c>
      <c r="X1289" t="s">
        <v>171</v>
      </c>
      <c r="Y1289" s="9">
        <f t="shared" si="61"/>
        <v>5.0000000000000001E-3</v>
      </c>
      <c r="Z1289" t="str">
        <f t="shared" si="62"/>
        <v>สแกนต่าง Cost</v>
      </c>
    </row>
    <row r="1290" spans="1:26" x14ac:dyDescent="0.45">
      <c r="A1290">
        <v>26621</v>
      </c>
      <c r="B1290" t="s">
        <v>53</v>
      </c>
      <c r="C1290">
        <v>20344551</v>
      </c>
      <c r="D1290" t="s">
        <v>110</v>
      </c>
      <c r="E1290" s="10">
        <v>46130.333333333336</v>
      </c>
      <c r="F1290" s="10">
        <v>46130.789583333331</v>
      </c>
      <c r="G1290">
        <v>10.95</v>
      </c>
      <c r="H1290" s="9">
        <f t="shared" si="60"/>
        <v>5.7999999999999996E-2</v>
      </c>
      <c r="I1290">
        <v>4.4999999999999998E-2</v>
      </c>
      <c r="K1290">
        <v>1.2999999999999999E-2</v>
      </c>
      <c r="M1290" t="s">
        <v>28</v>
      </c>
      <c r="N1290" t="s">
        <v>40</v>
      </c>
      <c r="O1290" t="s">
        <v>181</v>
      </c>
      <c r="P1290" t="s">
        <v>30</v>
      </c>
      <c r="Q1290" t="s">
        <v>31</v>
      </c>
      <c r="R1290">
        <v>82655</v>
      </c>
      <c r="S1290" t="s">
        <v>59</v>
      </c>
      <c r="T1290">
        <v>82664</v>
      </c>
      <c r="U1290" t="s">
        <v>75</v>
      </c>
      <c r="V1290" t="s">
        <v>75</v>
      </c>
      <c r="W1290" t="s">
        <v>37</v>
      </c>
      <c r="X1290" t="s">
        <v>111</v>
      </c>
      <c r="Y1290" s="9">
        <f t="shared" si="61"/>
        <v>1.2999999999999999E-2</v>
      </c>
      <c r="Z1290" t="str">
        <f t="shared" si="62"/>
        <v>สแกนต่าง Cost</v>
      </c>
    </row>
    <row r="1291" spans="1:26" x14ac:dyDescent="0.45">
      <c r="A1291">
        <v>26622</v>
      </c>
      <c r="B1291" t="s">
        <v>53</v>
      </c>
      <c r="C1291">
        <v>20344552</v>
      </c>
      <c r="D1291" t="s">
        <v>112</v>
      </c>
      <c r="E1291" s="10">
        <v>46130.333333333336</v>
      </c>
      <c r="F1291" s="10">
        <v>46130.789583333331</v>
      </c>
      <c r="G1291">
        <v>10.95</v>
      </c>
      <c r="H1291" s="9">
        <f t="shared" si="60"/>
        <v>5.7999999999999996E-2</v>
      </c>
      <c r="I1291">
        <v>4.4999999999999998E-2</v>
      </c>
      <c r="K1291">
        <v>1.2999999999999999E-2</v>
      </c>
      <c r="M1291" t="s">
        <v>28</v>
      </c>
      <c r="N1291" t="s">
        <v>40</v>
      </c>
      <c r="O1291" t="s">
        <v>181</v>
      </c>
      <c r="P1291" t="s">
        <v>30</v>
      </c>
      <c r="Q1291" t="s">
        <v>31</v>
      </c>
      <c r="R1291">
        <v>82655</v>
      </c>
      <c r="S1291" t="s">
        <v>59</v>
      </c>
      <c r="T1291">
        <v>82664</v>
      </c>
      <c r="U1291" t="s">
        <v>75</v>
      </c>
      <c r="V1291" t="s">
        <v>75</v>
      </c>
      <c r="W1291" t="s">
        <v>37</v>
      </c>
      <c r="X1291" t="s">
        <v>111</v>
      </c>
      <c r="Y1291" s="9">
        <f t="shared" si="61"/>
        <v>1.2999999999999999E-2</v>
      </c>
      <c r="Z1291" t="str">
        <f t="shared" si="62"/>
        <v>สแกนต่าง Cost</v>
      </c>
    </row>
    <row r="1292" spans="1:26" x14ac:dyDescent="0.45">
      <c r="B1292" t="s">
        <v>53</v>
      </c>
      <c r="C1292">
        <v>20352276</v>
      </c>
      <c r="D1292" t="s">
        <v>187</v>
      </c>
      <c r="E1292" s="10">
        <v>46130.333333333336</v>
      </c>
      <c r="F1292" s="10">
        <v>46130.729166666664</v>
      </c>
      <c r="G1292">
        <v>8.5</v>
      </c>
      <c r="H1292" s="9">
        <f t="shared" si="60"/>
        <v>4.4999999999999998E-2</v>
      </c>
      <c r="J1292">
        <v>4.4999999999999998E-2</v>
      </c>
      <c r="M1292" t="s">
        <v>77</v>
      </c>
      <c r="N1292" t="s">
        <v>40</v>
      </c>
      <c r="O1292" t="s">
        <v>78</v>
      </c>
      <c r="P1292" t="s">
        <v>30</v>
      </c>
      <c r="Q1292" t="s">
        <v>31</v>
      </c>
      <c r="R1292">
        <v>82630</v>
      </c>
      <c r="S1292" t="s">
        <v>32</v>
      </c>
      <c r="T1292">
        <v>82611</v>
      </c>
      <c r="U1292" t="s">
        <v>43</v>
      </c>
      <c r="V1292" t="s">
        <v>43</v>
      </c>
      <c r="W1292" t="s">
        <v>170</v>
      </c>
      <c r="X1292" t="s">
        <v>171</v>
      </c>
      <c r="Y1292" s="9">
        <f t="shared" si="61"/>
        <v>4.4999999999999998E-2</v>
      </c>
      <c r="Z1292" t="str">
        <f t="shared" si="62"/>
        <v>สแกนต่าง Cost</v>
      </c>
    </row>
    <row r="1293" spans="1:26" x14ac:dyDescent="0.45">
      <c r="B1293" t="s">
        <v>53</v>
      </c>
      <c r="C1293">
        <v>20368087</v>
      </c>
      <c r="D1293" t="s">
        <v>260</v>
      </c>
      <c r="E1293" s="10">
        <v>46130.333333333336</v>
      </c>
      <c r="F1293" s="10">
        <v>46130.375</v>
      </c>
      <c r="G1293">
        <v>1</v>
      </c>
      <c r="H1293" s="9">
        <f t="shared" si="60"/>
        <v>5.0000000000000001E-3</v>
      </c>
      <c r="I1293">
        <v>5.0000000000000001E-3</v>
      </c>
      <c r="M1293" t="s">
        <v>65</v>
      </c>
      <c r="N1293" t="s">
        <v>29</v>
      </c>
      <c r="P1293" t="s">
        <v>30</v>
      </c>
      <c r="Q1293" t="s">
        <v>31</v>
      </c>
      <c r="R1293">
        <v>82640</v>
      </c>
      <c r="S1293" t="s">
        <v>42</v>
      </c>
      <c r="T1293">
        <v>82630</v>
      </c>
      <c r="U1293" t="s">
        <v>32</v>
      </c>
      <c r="V1293" t="s">
        <v>66</v>
      </c>
      <c r="W1293" t="s">
        <v>44</v>
      </c>
      <c r="X1293" t="s">
        <v>44</v>
      </c>
      <c r="Y1293" s="9">
        <f t="shared" si="61"/>
        <v>0</v>
      </c>
      <c r="Z1293" t="str">
        <f t="shared" si="62"/>
        <v>สแกนต่าง Cost</v>
      </c>
    </row>
    <row r="1294" spans="1:26" x14ac:dyDescent="0.45">
      <c r="B1294" t="s">
        <v>26</v>
      </c>
      <c r="C1294">
        <v>20372079</v>
      </c>
      <c r="D1294" t="s">
        <v>116</v>
      </c>
      <c r="E1294" s="10">
        <v>46130.333333333336</v>
      </c>
      <c r="F1294" s="10">
        <v>46130.729166666664</v>
      </c>
      <c r="G1294">
        <v>8.5</v>
      </c>
      <c r="H1294" s="9">
        <f t="shared" si="60"/>
        <v>4.4999999999999998E-2</v>
      </c>
      <c r="I1294">
        <v>4.4999999999999998E-2</v>
      </c>
      <c r="M1294" t="s">
        <v>65</v>
      </c>
      <c r="N1294" t="s">
        <v>29</v>
      </c>
      <c r="P1294" t="s">
        <v>30</v>
      </c>
      <c r="Q1294" t="s">
        <v>31</v>
      </c>
      <c r="R1294">
        <v>82400</v>
      </c>
      <c r="S1294" t="s">
        <v>83</v>
      </c>
      <c r="T1294">
        <v>82690</v>
      </c>
      <c r="U1294" t="s">
        <v>90</v>
      </c>
      <c r="V1294" t="s">
        <v>90</v>
      </c>
      <c r="W1294" t="s">
        <v>91</v>
      </c>
      <c r="X1294" t="s">
        <v>92</v>
      </c>
      <c r="Y1294" s="9">
        <f t="shared" si="61"/>
        <v>0</v>
      </c>
      <c r="Z1294" t="str">
        <f t="shared" si="62"/>
        <v>สแกนต่าง Cost</v>
      </c>
    </row>
    <row r="1295" spans="1:26" x14ac:dyDescent="0.45">
      <c r="B1295" t="s">
        <v>26</v>
      </c>
      <c r="C1295">
        <v>20373210</v>
      </c>
      <c r="D1295" t="s">
        <v>206</v>
      </c>
      <c r="E1295" s="10">
        <v>46130.333333333336</v>
      </c>
      <c r="F1295" s="10">
        <v>46130.729166666664</v>
      </c>
      <c r="G1295">
        <v>8.5</v>
      </c>
      <c r="H1295" s="9">
        <f t="shared" si="60"/>
        <v>4.4999999999999998E-2</v>
      </c>
      <c r="I1295">
        <v>4.4999999999999998E-2</v>
      </c>
      <c r="M1295" t="s">
        <v>65</v>
      </c>
      <c r="N1295" t="s">
        <v>29</v>
      </c>
      <c r="P1295" t="s">
        <v>30</v>
      </c>
      <c r="Q1295" t="s">
        <v>31</v>
      </c>
      <c r="R1295">
        <v>82910</v>
      </c>
      <c r="S1295" t="s">
        <v>201</v>
      </c>
      <c r="T1295">
        <v>82605</v>
      </c>
      <c r="U1295" t="s">
        <v>202</v>
      </c>
      <c r="V1295" t="s">
        <v>202</v>
      </c>
      <c r="W1295" t="s">
        <v>37</v>
      </c>
      <c r="X1295" t="s">
        <v>47</v>
      </c>
      <c r="Y1295" s="9">
        <f t="shared" si="61"/>
        <v>0</v>
      </c>
      <c r="Z1295" t="str">
        <f t="shared" si="62"/>
        <v>สแกนต่าง Cost</v>
      </c>
    </row>
    <row r="1296" spans="1:26" x14ac:dyDescent="0.45">
      <c r="B1296" t="s">
        <v>26</v>
      </c>
      <c r="C1296">
        <v>20403261</v>
      </c>
      <c r="E1296" s="10">
        <v>46130.333333333336</v>
      </c>
      <c r="F1296" s="10">
        <v>46130.709027777775</v>
      </c>
      <c r="G1296">
        <v>8.0166666666666675</v>
      </c>
      <c r="H1296" s="9">
        <f t="shared" si="60"/>
        <v>4.2999999999999997E-2</v>
      </c>
      <c r="I1296">
        <v>4.2999999999999997E-2</v>
      </c>
      <c r="M1296" t="s">
        <v>48</v>
      </c>
      <c r="N1296" t="s">
        <v>48</v>
      </c>
      <c r="P1296" t="s">
        <v>30</v>
      </c>
      <c r="R1296">
        <v>82680</v>
      </c>
      <c r="T1296">
        <v>82658</v>
      </c>
      <c r="U1296" t="s">
        <v>33</v>
      </c>
      <c r="V1296" t="s">
        <v>33</v>
      </c>
      <c r="W1296" t="s">
        <v>51</v>
      </c>
      <c r="X1296" t="s">
        <v>52</v>
      </c>
      <c r="Y1296" s="9">
        <f t="shared" si="61"/>
        <v>0</v>
      </c>
      <c r="Z1296" t="str">
        <f t="shared" si="62"/>
        <v>สแกนต่าง Cost</v>
      </c>
    </row>
    <row r="1297" spans="1:26" x14ac:dyDescent="0.45">
      <c r="A1297">
        <v>26619</v>
      </c>
      <c r="B1297" t="s">
        <v>53</v>
      </c>
      <c r="C1297">
        <v>20198835</v>
      </c>
      <c r="D1297" t="s">
        <v>129</v>
      </c>
      <c r="E1297" s="10">
        <v>46130.331944444442</v>
      </c>
      <c r="F1297" s="10">
        <v>46130.729166666664</v>
      </c>
      <c r="G1297">
        <v>8.5333333333333332</v>
      </c>
      <c r="H1297" s="9">
        <f t="shared" si="60"/>
        <v>4.5999999999999999E-2</v>
      </c>
      <c r="J1297">
        <v>4.5999999999999999E-2</v>
      </c>
      <c r="M1297" t="s">
        <v>77</v>
      </c>
      <c r="N1297" t="s">
        <v>40</v>
      </c>
      <c r="O1297" t="s">
        <v>78</v>
      </c>
      <c r="P1297" t="s">
        <v>30</v>
      </c>
      <c r="Q1297" t="s">
        <v>31</v>
      </c>
      <c r="R1297">
        <v>82658</v>
      </c>
      <c r="S1297" t="s">
        <v>33</v>
      </c>
      <c r="T1297">
        <v>82664</v>
      </c>
      <c r="U1297" t="s">
        <v>75</v>
      </c>
      <c r="V1297" t="s">
        <v>75</v>
      </c>
      <c r="W1297" t="s">
        <v>37</v>
      </c>
      <c r="X1297" t="s">
        <v>111</v>
      </c>
      <c r="Y1297" s="9">
        <f t="shared" si="61"/>
        <v>4.5999999999999999E-2</v>
      </c>
      <c r="Z1297" t="str">
        <f t="shared" si="62"/>
        <v>สแกนต่าง Cost</v>
      </c>
    </row>
    <row r="1298" spans="1:26" x14ac:dyDescent="0.45">
      <c r="A1298">
        <v>26620</v>
      </c>
      <c r="B1298" t="s">
        <v>53</v>
      </c>
      <c r="C1298">
        <v>20372709</v>
      </c>
      <c r="D1298" t="s">
        <v>130</v>
      </c>
      <c r="E1298" s="10">
        <v>46130.331944444442</v>
      </c>
      <c r="F1298" s="10">
        <v>46130.729166666664</v>
      </c>
      <c r="G1298">
        <v>8.5333333333333332</v>
      </c>
      <c r="H1298" s="9">
        <f t="shared" si="60"/>
        <v>4.5999999999999999E-2</v>
      </c>
      <c r="J1298">
        <v>4.5999999999999999E-2</v>
      </c>
      <c r="M1298" t="s">
        <v>77</v>
      </c>
      <c r="N1298" t="s">
        <v>40</v>
      </c>
      <c r="O1298" t="s">
        <v>78</v>
      </c>
      <c r="P1298" t="s">
        <v>30</v>
      </c>
      <c r="Q1298" t="s">
        <v>31</v>
      </c>
      <c r="R1298">
        <v>82658</v>
      </c>
      <c r="S1298" t="s">
        <v>33</v>
      </c>
      <c r="T1298">
        <v>82664</v>
      </c>
      <c r="U1298" t="s">
        <v>75</v>
      </c>
      <c r="V1298" t="s">
        <v>75</v>
      </c>
      <c r="W1298" t="s">
        <v>37</v>
      </c>
      <c r="X1298" t="s">
        <v>111</v>
      </c>
      <c r="Y1298" s="9">
        <f t="shared" si="61"/>
        <v>4.5999999999999999E-2</v>
      </c>
      <c r="Z1298" t="str">
        <f t="shared" si="62"/>
        <v>สแกนต่าง Cost</v>
      </c>
    </row>
    <row r="1299" spans="1:26" x14ac:dyDescent="0.45">
      <c r="A1299">
        <v>26618</v>
      </c>
      <c r="B1299" t="s">
        <v>53</v>
      </c>
      <c r="C1299">
        <v>20267288</v>
      </c>
      <c r="D1299" t="s">
        <v>127</v>
      </c>
      <c r="E1299" s="10">
        <v>46130.329861111109</v>
      </c>
      <c r="F1299" s="10">
        <v>46130.795138888891</v>
      </c>
      <c r="G1299">
        <v>11.166666666666666</v>
      </c>
      <c r="H1299" s="9">
        <f t="shared" si="60"/>
        <v>5.8999999999999997E-2</v>
      </c>
      <c r="I1299">
        <v>4.4999999999999998E-2</v>
      </c>
      <c r="K1299">
        <v>1.4E-2</v>
      </c>
      <c r="M1299" t="s">
        <v>28</v>
      </c>
      <c r="N1299" t="s">
        <v>40</v>
      </c>
      <c r="O1299" t="s">
        <v>181</v>
      </c>
      <c r="P1299" t="s">
        <v>30</v>
      </c>
      <c r="Q1299" t="s">
        <v>31</v>
      </c>
      <c r="R1299">
        <v>82409</v>
      </c>
      <c r="S1299" t="s">
        <v>74</v>
      </c>
      <c r="T1299">
        <v>82664</v>
      </c>
      <c r="U1299" t="s">
        <v>75</v>
      </c>
      <c r="V1299" t="s">
        <v>75</v>
      </c>
      <c r="W1299" t="s">
        <v>74</v>
      </c>
      <c r="X1299" t="s">
        <v>74</v>
      </c>
      <c r="Y1299" s="9">
        <f t="shared" si="61"/>
        <v>1.4E-2</v>
      </c>
      <c r="Z1299" t="str">
        <f t="shared" si="62"/>
        <v>สแกนต่าง Cost</v>
      </c>
    </row>
    <row r="1300" spans="1:26" x14ac:dyDescent="0.45">
      <c r="A1300">
        <v>26515</v>
      </c>
      <c r="B1300" t="s">
        <v>53</v>
      </c>
      <c r="C1300">
        <v>20396242</v>
      </c>
      <c r="D1300" t="s">
        <v>328</v>
      </c>
      <c r="E1300" s="10">
        <v>46130.32916666667</v>
      </c>
      <c r="F1300" s="10">
        <v>46130.718055555553</v>
      </c>
      <c r="G1300">
        <v>8.3333333333333339</v>
      </c>
      <c r="H1300" s="9">
        <f t="shared" si="60"/>
        <v>4.4999999999999998E-2</v>
      </c>
      <c r="J1300">
        <v>4.4999999999999998E-2</v>
      </c>
      <c r="M1300" t="s">
        <v>77</v>
      </c>
      <c r="N1300" t="s">
        <v>29</v>
      </c>
      <c r="P1300" t="s">
        <v>30</v>
      </c>
      <c r="Q1300" t="s">
        <v>31</v>
      </c>
      <c r="R1300">
        <v>82306</v>
      </c>
      <c r="S1300" t="s">
        <v>55</v>
      </c>
      <c r="T1300">
        <v>82920</v>
      </c>
      <c r="U1300" t="s">
        <v>158</v>
      </c>
      <c r="V1300" t="s">
        <v>158</v>
      </c>
      <c r="W1300" t="s">
        <v>159</v>
      </c>
      <c r="X1300" t="s">
        <v>160</v>
      </c>
      <c r="Y1300" s="9">
        <f t="shared" si="61"/>
        <v>4.4999999999999998E-2</v>
      </c>
      <c r="Z1300" t="str">
        <f t="shared" si="62"/>
        <v>สแกนต่าง Cost</v>
      </c>
    </row>
    <row r="1301" spans="1:26" x14ac:dyDescent="0.45">
      <c r="B1301" t="s">
        <v>26</v>
      </c>
      <c r="C1301">
        <v>20038749</v>
      </c>
      <c r="D1301" t="s">
        <v>218</v>
      </c>
      <c r="E1301" s="10">
        <v>46130.326388888891</v>
      </c>
      <c r="F1301" s="10">
        <v>46130.729166666664</v>
      </c>
      <c r="G1301">
        <v>8.6666666666666661</v>
      </c>
      <c r="H1301" s="9">
        <f t="shared" si="60"/>
        <v>4.5999999999999999E-2</v>
      </c>
      <c r="J1301">
        <v>4.5999999999999999E-2</v>
      </c>
      <c r="M1301" t="s">
        <v>77</v>
      </c>
      <c r="N1301" t="s">
        <v>40</v>
      </c>
      <c r="O1301" t="s">
        <v>78</v>
      </c>
      <c r="P1301" t="s">
        <v>30</v>
      </c>
      <c r="Q1301" t="s">
        <v>31</v>
      </c>
      <c r="R1301">
        <v>82680</v>
      </c>
      <c r="S1301" t="s">
        <v>50</v>
      </c>
      <c r="T1301">
        <v>82658</v>
      </c>
      <c r="U1301" t="s">
        <v>33</v>
      </c>
      <c r="V1301" t="s">
        <v>33</v>
      </c>
      <c r="W1301" t="s">
        <v>51</v>
      </c>
      <c r="X1301" t="s">
        <v>52</v>
      </c>
      <c r="Y1301" s="9">
        <f t="shared" si="61"/>
        <v>4.5999999999999999E-2</v>
      </c>
      <c r="Z1301" t="str">
        <f t="shared" si="62"/>
        <v>สแกนต่าง Cost</v>
      </c>
    </row>
    <row r="1302" spans="1:26" x14ac:dyDescent="0.45">
      <c r="B1302" t="s">
        <v>26</v>
      </c>
      <c r="C1302">
        <v>20233956</v>
      </c>
      <c r="D1302" t="s">
        <v>219</v>
      </c>
      <c r="E1302" s="10">
        <v>46130.326388888891</v>
      </c>
      <c r="F1302" s="10">
        <v>46130.729166666664</v>
      </c>
      <c r="G1302">
        <v>8.6666666666666661</v>
      </c>
      <c r="H1302" s="9">
        <f t="shared" si="60"/>
        <v>4.5999999999999999E-2</v>
      </c>
      <c r="J1302">
        <v>4.5999999999999999E-2</v>
      </c>
      <c r="M1302" t="s">
        <v>77</v>
      </c>
      <c r="N1302" t="s">
        <v>40</v>
      </c>
      <c r="O1302" t="s">
        <v>78</v>
      </c>
      <c r="P1302" t="s">
        <v>30</v>
      </c>
      <c r="Q1302" t="s">
        <v>31</v>
      </c>
      <c r="R1302">
        <v>82680</v>
      </c>
      <c r="S1302" t="s">
        <v>50</v>
      </c>
      <c r="T1302">
        <v>82658</v>
      </c>
      <c r="U1302" t="s">
        <v>33</v>
      </c>
      <c r="V1302" t="s">
        <v>33</v>
      </c>
      <c r="W1302" t="s">
        <v>51</v>
      </c>
      <c r="X1302" t="s">
        <v>52</v>
      </c>
      <c r="Y1302" s="9">
        <f t="shared" si="61"/>
        <v>4.5999999999999999E-2</v>
      </c>
      <c r="Z1302" t="str">
        <f t="shared" si="62"/>
        <v>สแกนต่าง Cost</v>
      </c>
    </row>
    <row r="1303" spans="1:26" x14ac:dyDescent="0.45">
      <c r="A1303">
        <v>26617</v>
      </c>
      <c r="B1303" t="s">
        <v>53</v>
      </c>
      <c r="C1303">
        <v>20214280</v>
      </c>
      <c r="D1303" t="s">
        <v>136</v>
      </c>
      <c r="E1303" s="10">
        <v>46130.247916666667</v>
      </c>
      <c r="F1303" s="10">
        <v>46130.652083333334</v>
      </c>
      <c r="G1303">
        <v>8.6999999999999993</v>
      </c>
      <c r="H1303" s="9">
        <f t="shared" si="60"/>
        <v>4.7E-2</v>
      </c>
      <c r="I1303">
        <v>4.7E-2</v>
      </c>
      <c r="M1303" t="s">
        <v>65</v>
      </c>
      <c r="N1303" t="s">
        <v>29</v>
      </c>
      <c r="P1303" t="s">
        <v>30</v>
      </c>
      <c r="Q1303" t="s">
        <v>31</v>
      </c>
      <c r="R1303">
        <v>82415</v>
      </c>
      <c r="S1303" t="s">
        <v>137</v>
      </c>
      <c r="T1303">
        <v>82664</v>
      </c>
      <c r="U1303" t="s">
        <v>75</v>
      </c>
      <c r="V1303" t="s">
        <v>75</v>
      </c>
      <c r="W1303" t="s">
        <v>74</v>
      </c>
      <c r="X1303" t="s">
        <v>74</v>
      </c>
      <c r="Y1303" s="9">
        <f t="shared" si="61"/>
        <v>0</v>
      </c>
      <c r="Z1303" t="str">
        <f t="shared" si="62"/>
        <v>สแกนต่าง Cost</v>
      </c>
    </row>
    <row r="1304" spans="1:26" x14ac:dyDescent="0.45">
      <c r="B1304" t="s">
        <v>53</v>
      </c>
      <c r="C1304">
        <v>20287913</v>
      </c>
      <c r="D1304" t="s">
        <v>329</v>
      </c>
      <c r="E1304" s="10">
        <v>46130.041666666664</v>
      </c>
      <c r="F1304" s="10">
        <v>46130.229166666664</v>
      </c>
      <c r="G1304">
        <v>4.5</v>
      </c>
      <c r="H1304" s="9">
        <f t="shared" si="60"/>
        <v>2.4E-2</v>
      </c>
      <c r="K1304">
        <v>2.4E-2</v>
      </c>
      <c r="M1304" t="s">
        <v>28</v>
      </c>
      <c r="N1304" t="s">
        <v>29</v>
      </c>
      <c r="P1304" t="s">
        <v>30</v>
      </c>
      <c r="Q1304" t="s">
        <v>31</v>
      </c>
      <c r="R1304">
        <v>82640</v>
      </c>
      <c r="S1304" t="s">
        <v>42</v>
      </c>
      <c r="T1304">
        <v>82630</v>
      </c>
      <c r="U1304" t="s">
        <v>32</v>
      </c>
      <c r="V1304" t="s">
        <v>66</v>
      </c>
      <c r="W1304" t="s">
        <v>44</v>
      </c>
      <c r="X1304" t="s">
        <v>44</v>
      </c>
      <c r="Y1304" s="9">
        <f t="shared" si="61"/>
        <v>2.4E-2</v>
      </c>
      <c r="Z1304" t="str">
        <f t="shared" si="62"/>
        <v>สแกนต่าง Cost</v>
      </c>
    </row>
    <row r="1305" spans="1:26" x14ac:dyDescent="0.45">
      <c r="A1305">
        <v>26610</v>
      </c>
      <c r="B1305" t="s">
        <v>53</v>
      </c>
      <c r="C1305">
        <v>20045785</v>
      </c>
      <c r="D1305" t="s">
        <v>318</v>
      </c>
      <c r="E1305" s="10">
        <v>46129.833333333336</v>
      </c>
      <c r="F1305" s="10">
        <v>46130.23333333333</v>
      </c>
      <c r="G1305">
        <v>8.6</v>
      </c>
      <c r="H1305" s="9">
        <f t="shared" si="60"/>
        <v>4.5999999999999999E-2</v>
      </c>
      <c r="I1305">
        <v>4.5999999999999999E-2</v>
      </c>
      <c r="M1305" t="s">
        <v>65</v>
      </c>
      <c r="N1305" t="s">
        <v>29</v>
      </c>
      <c r="P1305" t="s">
        <v>30</v>
      </c>
      <c r="Q1305" t="s">
        <v>31</v>
      </c>
      <c r="R1305">
        <v>82640</v>
      </c>
      <c r="S1305" t="s">
        <v>42</v>
      </c>
      <c r="T1305">
        <v>82622</v>
      </c>
      <c r="U1305" t="s">
        <v>147</v>
      </c>
      <c r="V1305" t="s">
        <v>147</v>
      </c>
      <c r="W1305" t="s">
        <v>47</v>
      </c>
      <c r="X1305" t="s">
        <v>95</v>
      </c>
      <c r="Y1305" s="9">
        <f t="shared" si="61"/>
        <v>0</v>
      </c>
      <c r="Z1305" t="str">
        <f t="shared" si="62"/>
        <v>สแกนต่าง Cost</v>
      </c>
    </row>
    <row r="1306" spans="1:26" x14ac:dyDescent="0.45">
      <c r="B1306" t="s">
        <v>53</v>
      </c>
      <c r="C1306">
        <v>20287913</v>
      </c>
      <c r="D1306" t="s">
        <v>329</v>
      </c>
      <c r="E1306" s="10">
        <v>46129.833333333336</v>
      </c>
      <c r="F1306" s="10">
        <v>46130</v>
      </c>
      <c r="G1306">
        <v>4</v>
      </c>
      <c r="H1306" s="9">
        <f t="shared" si="60"/>
        <v>2.1000000000000001E-2</v>
      </c>
      <c r="I1306">
        <v>2.1000000000000001E-2</v>
      </c>
      <c r="M1306" t="s">
        <v>65</v>
      </c>
      <c r="N1306" t="s">
        <v>29</v>
      </c>
      <c r="P1306" t="s">
        <v>30</v>
      </c>
      <c r="Q1306" t="s">
        <v>31</v>
      </c>
      <c r="R1306">
        <v>82640</v>
      </c>
      <c r="S1306" t="s">
        <v>42</v>
      </c>
      <c r="T1306">
        <v>82630</v>
      </c>
      <c r="U1306" t="s">
        <v>32</v>
      </c>
      <c r="V1306" t="s">
        <v>66</v>
      </c>
      <c r="W1306" t="s">
        <v>44</v>
      </c>
      <c r="X1306" t="s">
        <v>44</v>
      </c>
      <c r="Y1306" s="9">
        <f t="shared" si="61"/>
        <v>0</v>
      </c>
      <c r="Z1306" t="str">
        <f t="shared" si="62"/>
        <v>สแกนต่าง Cost</v>
      </c>
    </row>
    <row r="1307" spans="1:26" x14ac:dyDescent="0.45">
      <c r="A1307">
        <v>26611</v>
      </c>
      <c r="B1307" t="s">
        <v>53</v>
      </c>
      <c r="C1307">
        <v>20311573</v>
      </c>
      <c r="D1307" t="s">
        <v>319</v>
      </c>
      <c r="E1307" s="10">
        <v>46129.833333333336</v>
      </c>
      <c r="F1307" s="10">
        <v>46130.229166666664</v>
      </c>
      <c r="G1307">
        <v>8.5</v>
      </c>
      <c r="H1307" s="9">
        <f t="shared" si="60"/>
        <v>4.4999999999999998E-2</v>
      </c>
      <c r="I1307">
        <v>4.4999999999999998E-2</v>
      </c>
      <c r="M1307" t="s">
        <v>65</v>
      </c>
      <c r="N1307" t="s">
        <v>29</v>
      </c>
      <c r="P1307" t="s">
        <v>30</v>
      </c>
      <c r="Q1307" t="s">
        <v>31</v>
      </c>
      <c r="R1307">
        <v>82640</v>
      </c>
      <c r="S1307" t="s">
        <v>42</v>
      </c>
      <c r="T1307">
        <v>82622</v>
      </c>
      <c r="U1307" t="s">
        <v>147</v>
      </c>
      <c r="V1307" t="s">
        <v>147</v>
      </c>
      <c r="W1307" t="s">
        <v>47</v>
      </c>
      <c r="X1307" t="s">
        <v>95</v>
      </c>
      <c r="Y1307" s="9">
        <f t="shared" si="61"/>
        <v>0</v>
      </c>
      <c r="Z1307" t="str">
        <f t="shared" si="62"/>
        <v>สแกนต่าง Cost</v>
      </c>
    </row>
    <row r="1308" spans="1:26" x14ac:dyDescent="0.45">
      <c r="A1308">
        <v>26612</v>
      </c>
      <c r="B1308" t="s">
        <v>53</v>
      </c>
      <c r="C1308">
        <v>20320529</v>
      </c>
      <c r="D1308" t="s">
        <v>320</v>
      </c>
      <c r="E1308" s="10">
        <v>46129.833333333336</v>
      </c>
      <c r="F1308" s="10">
        <v>46130.229166666664</v>
      </c>
      <c r="G1308">
        <v>8.5</v>
      </c>
      <c r="H1308" s="9">
        <f t="shared" si="60"/>
        <v>4.4999999999999998E-2</v>
      </c>
      <c r="I1308">
        <v>4.4999999999999998E-2</v>
      </c>
      <c r="M1308" t="s">
        <v>65</v>
      </c>
      <c r="N1308" t="s">
        <v>29</v>
      </c>
      <c r="P1308" t="s">
        <v>30</v>
      </c>
      <c r="Q1308" t="s">
        <v>31</v>
      </c>
      <c r="R1308">
        <v>82640</v>
      </c>
      <c r="S1308" t="s">
        <v>42</v>
      </c>
      <c r="T1308">
        <v>82622</v>
      </c>
      <c r="U1308" t="s">
        <v>147</v>
      </c>
      <c r="V1308" t="s">
        <v>147</v>
      </c>
      <c r="W1308" t="s">
        <v>47</v>
      </c>
      <c r="X1308" t="s">
        <v>95</v>
      </c>
      <c r="Y1308" s="9">
        <f t="shared" si="61"/>
        <v>0</v>
      </c>
      <c r="Z1308" t="str">
        <f t="shared" si="62"/>
        <v>สแกนต่าง Cost</v>
      </c>
    </row>
    <row r="1309" spans="1:26" x14ac:dyDescent="0.45">
      <c r="B1309" t="s">
        <v>26</v>
      </c>
      <c r="C1309">
        <v>20363689</v>
      </c>
      <c r="D1309" t="s">
        <v>287</v>
      </c>
      <c r="E1309" s="10">
        <v>46129.827777777777</v>
      </c>
      <c r="F1309" s="10">
        <v>46129.729166666664</v>
      </c>
      <c r="G1309">
        <v>-2.3666666666666667</v>
      </c>
      <c r="H1309" s="9">
        <f t="shared" si="60"/>
        <v>-1.2999999999999999E-2</v>
      </c>
      <c r="I1309">
        <v>-1.2999999999999999E-2</v>
      </c>
      <c r="M1309" t="s">
        <v>65</v>
      </c>
      <c r="N1309" t="s">
        <v>29</v>
      </c>
      <c r="P1309" t="s">
        <v>30</v>
      </c>
      <c r="Q1309" t="s">
        <v>31</v>
      </c>
      <c r="R1309">
        <v>82630</v>
      </c>
      <c r="S1309" t="s">
        <v>32</v>
      </c>
      <c r="T1309">
        <v>82611</v>
      </c>
      <c r="U1309" t="s">
        <v>43</v>
      </c>
      <c r="V1309" t="s">
        <v>43</v>
      </c>
      <c r="W1309" t="s">
        <v>148</v>
      </c>
      <c r="X1309" t="s">
        <v>171</v>
      </c>
      <c r="Y1309" s="9">
        <f t="shared" si="61"/>
        <v>0</v>
      </c>
      <c r="Z1309" t="str">
        <f t="shared" si="62"/>
        <v>สแกนต่าง Cost</v>
      </c>
    </row>
    <row r="1310" spans="1:26" x14ac:dyDescent="0.45">
      <c r="B1310" t="s">
        <v>26</v>
      </c>
      <c r="C1310">
        <v>20074473</v>
      </c>
      <c r="D1310" t="s">
        <v>276</v>
      </c>
      <c r="E1310" s="10">
        <v>46129.82708333333</v>
      </c>
      <c r="F1310" s="10">
        <v>46129.729166666664</v>
      </c>
      <c r="G1310">
        <v>-2.35</v>
      </c>
      <c r="H1310" s="9">
        <f t="shared" si="60"/>
        <v>-1.2999999999999999E-2</v>
      </c>
      <c r="I1310">
        <v>-1.2999999999999999E-2</v>
      </c>
      <c r="M1310" t="s">
        <v>65</v>
      </c>
      <c r="N1310" t="s">
        <v>29</v>
      </c>
      <c r="P1310" t="s">
        <v>30</v>
      </c>
      <c r="Q1310" t="s">
        <v>31</v>
      </c>
      <c r="R1310">
        <v>82630</v>
      </c>
      <c r="S1310" t="s">
        <v>32</v>
      </c>
      <c r="T1310">
        <v>82611</v>
      </c>
      <c r="U1310" t="s">
        <v>43</v>
      </c>
      <c r="V1310" t="s">
        <v>43</v>
      </c>
      <c r="W1310" t="s">
        <v>148</v>
      </c>
      <c r="X1310" t="s">
        <v>171</v>
      </c>
      <c r="Y1310" s="9">
        <f t="shared" si="61"/>
        <v>0</v>
      </c>
      <c r="Z1310" t="str">
        <f t="shared" si="62"/>
        <v>สแกนต่าง Cost</v>
      </c>
    </row>
    <row r="1311" spans="1:26" x14ac:dyDescent="0.45">
      <c r="B1311" t="s">
        <v>26</v>
      </c>
      <c r="C1311">
        <v>20060579</v>
      </c>
      <c r="D1311" t="s">
        <v>39</v>
      </c>
      <c r="E1311" s="10">
        <v>46129.739583333336</v>
      </c>
      <c r="F1311" s="10">
        <v>46129.827777777777</v>
      </c>
      <c r="G1311">
        <v>2.1166666666666667</v>
      </c>
      <c r="H1311" s="9">
        <f t="shared" si="60"/>
        <v>1.0999999999999999E-2</v>
      </c>
      <c r="K1311">
        <v>1.0999999999999999E-2</v>
      </c>
      <c r="M1311" t="s">
        <v>28</v>
      </c>
      <c r="N1311" t="s">
        <v>40</v>
      </c>
      <c r="O1311" t="s">
        <v>41</v>
      </c>
      <c r="P1311" t="s">
        <v>30</v>
      </c>
      <c r="Q1311" t="s">
        <v>31</v>
      </c>
      <c r="R1311">
        <v>82640</v>
      </c>
      <c r="S1311" t="s">
        <v>42</v>
      </c>
      <c r="T1311">
        <v>82611</v>
      </c>
      <c r="U1311" t="s">
        <v>43</v>
      </c>
      <c r="V1311" t="s">
        <v>43</v>
      </c>
      <c r="W1311" t="s">
        <v>44</v>
      </c>
      <c r="X1311" t="s">
        <v>44</v>
      </c>
      <c r="Y1311" s="9">
        <f t="shared" si="61"/>
        <v>1.0999999999999999E-2</v>
      </c>
      <c r="Z1311" t="str">
        <f t="shared" si="62"/>
        <v>สแกนต่าง Cost</v>
      </c>
    </row>
    <row r="1312" spans="1:26" x14ac:dyDescent="0.45">
      <c r="A1312">
        <v>26964</v>
      </c>
      <c r="B1312" t="s">
        <v>53</v>
      </c>
      <c r="C1312">
        <v>20403203</v>
      </c>
      <c r="E1312" s="10">
        <v>46129.738194444442</v>
      </c>
      <c r="F1312" s="10">
        <v>46129.828472222223</v>
      </c>
      <c r="G1312">
        <v>2.1666666666666665</v>
      </c>
      <c r="H1312" s="9">
        <f t="shared" si="60"/>
        <v>1.2E-2</v>
      </c>
      <c r="I1312">
        <v>1.2E-2</v>
      </c>
      <c r="M1312" t="s">
        <v>48</v>
      </c>
      <c r="N1312" t="s">
        <v>48</v>
      </c>
      <c r="P1312" t="s">
        <v>30</v>
      </c>
      <c r="R1312">
        <v>82652</v>
      </c>
      <c r="S1312" t="s">
        <v>46</v>
      </c>
      <c r="T1312">
        <v>82658</v>
      </c>
      <c r="U1312" t="s">
        <v>33</v>
      </c>
      <c r="V1312" t="s">
        <v>33</v>
      </c>
      <c r="W1312" t="s">
        <v>37</v>
      </c>
      <c r="X1312" t="s">
        <v>60</v>
      </c>
      <c r="Y1312" s="9">
        <f t="shared" si="61"/>
        <v>0</v>
      </c>
      <c r="Z1312" t="str">
        <f t="shared" si="62"/>
        <v>สแกนต่าง Cost</v>
      </c>
    </row>
    <row r="1313" spans="1:26" x14ac:dyDescent="0.45">
      <c r="B1313" t="s">
        <v>26</v>
      </c>
      <c r="C1313">
        <v>20344534</v>
      </c>
      <c r="D1313" t="s">
        <v>278</v>
      </c>
      <c r="E1313" s="10">
        <v>46129.73541666667</v>
      </c>
      <c r="F1313" s="10">
        <v>46129.826388888891</v>
      </c>
      <c r="G1313">
        <v>2.1833333333333331</v>
      </c>
      <c r="H1313" s="9">
        <f t="shared" si="60"/>
        <v>1.2E-2</v>
      </c>
      <c r="K1313">
        <v>1.2E-2</v>
      </c>
      <c r="M1313" t="s">
        <v>28</v>
      </c>
      <c r="N1313" t="s">
        <v>40</v>
      </c>
      <c r="O1313" t="s">
        <v>41</v>
      </c>
      <c r="P1313" t="s">
        <v>30</v>
      </c>
      <c r="Q1313" t="s">
        <v>31</v>
      </c>
      <c r="R1313">
        <v>82680</v>
      </c>
      <c r="S1313" t="s">
        <v>50</v>
      </c>
      <c r="T1313">
        <v>82658</v>
      </c>
      <c r="U1313" t="s">
        <v>33</v>
      </c>
      <c r="V1313" t="s">
        <v>33</v>
      </c>
      <c r="W1313" t="s">
        <v>51</v>
      </c>
      <c r="X1313" t="s">
        <v>52</v>
      </c>
      <c r="Y1313" s="9">
        <f t="shared" si="61"/>
        <v>1.2E-2</v>
      </c>
      <c r="Z1313" t="str">
        <f t="shared" si="62"/>
        <v>สแกนต่าง Cost</v>
      </c>
    </row>
    <row r="1314" spans="1:26" x14ac:dyDescent="0.45">
      <c r="B1314" t="s">
        <v>26</v>
      </c>
      <c r="C1314">
        <v>20403261</v>
      </c>
      <c r="E1314" s="10">
        <v>46129.73541666667</v>
      </c>
      <c r="F1314" s="10">
        <v>46129.82708333333</v>
      </c>
      <c r="G1314">
        <v>2.2000000000000002</v>
      </c>
      <c r="H1314" s="9">
        <f t="shared" si="60"/>
        <v>1.2E-2</v>
      </c>
      <c r="I1314">
        <v>1.2E-2</v>
      </c>
      <c r="M1314" t="s">
        <v>48</v>
      </c>
      <c r="N1314" t="s">
        <v>48</v>
      </c>
      <c r="P1314" t="s">
        <v>30</v>
      </c>
      <c r="R1314">
        <v>82680</v>
      </c>
      <c r="T1314">
        <v>82658</v>
      </c>
      <c r="U1314" t="s">
        <v>33</v>
      </c>
      <c r="V1314" t="s">
        <v>33</v>
      </c>
      <c r="W1314" t="s">
        <v>51</v>
      </c>
      <c r="X1314" t="s">
        <v>52</v>
      </c>
      <c r="Y1314" s="9">
        <f t="shared" si="61"/>
        <v>0</v>
      </c>
      <c r="Z1314" t="str">
        <f t="shared" si="62"/>
        <v>สแกนต่าง Cost</v>
      </c>
    </row>
    <row r="1315" spans="1:26" x14ac:dyDescent="0.45">
      <c r="B1315" t="s">
        <v>26</v>
      </c>
      <c r="C1315">
        <v>20403445</v>
      </c>
      <c r="E1315" s="10">
        <v>46129.73541666667</v>
      </c>
      <c r="F1315" s="10">
        <v>46129.82708333333</v>
      </c>
      <c r="G1315">
        <v>2.2000000000000002</v>
      </c>
      <c r="H1315" s="9">
        <f t="shared" si="60"/>
        <v>1.2E-2</v>
      </c>
      <c r="K1315">
        <v>1.2E-2</v>
      </c>
      <c r="M1315" t="s">
        <v>28</v>
      </c>
      <c r="N1315" t="s">
        <v>40</v>
      </c>
      <c r="O1315" t="s">
        <v>41</v>
      </c>
      <c r="P1315" t="s">
        <v>30</v>
      </c>
      <c r="R1315">
        <v>82680</v>
      </c>
      <c r="T1315">
        <v>82658</v>
      </c>
      <c r="U1315" t="s">
        <v>33</v>
      </c>
      <c r="V1315" t="s">
        <v>33</v>
      </c>
      <c r="W1315" t="s">
        <v>51</v>
      </c>
      <c r="X1315" t="s">
        <v>52</v>
      </c>
      <c r="Y1315" s="9">
        <f t="shared" si="61"/>
        <v>1.2E-2</v>
      </c>
      <c r="Z1315" t="str">
        <f t="shared" si="62"/>
        <v>สแกนต่าง Cost</v>
      </c>
    </row>
    <row r="1316" spans="1:26" x14ac:dyDescent="0.45">
      <c r="B1316" t="s">
        <v>26</v>
      </c>
      <c r="C1316">
        <v>20038749</v>
      </c>
      <c r="D1316" t="s">
        <v>218</v>
      </c>
      <c r="E1316" s="10">
        <v>46129.728472222225</v>
      </c>
      <c r="F1316" s="10">
        <v>46129.82708333333</v>
      </c>
      <c r="G1316">
        <v>2.3666666666666667</v>
      </c>
      <c r="H1316" s="9">
        <f t="shared" si="60"/>
        <v>1.2999999999999999E-2</v>
      </c>
      <c r="K1316">
        <v>1.2999999999999999E-2</v>
      </c>
      <c r="M1316" t="s">
        <v>28</v>
      </c>
      <c r="N1316" t="s">
        <v>40</v>
      </c>
      <c r="O1316" t="s">
        <v>41</v>
      </c>
      <c r="P1316" t="s">
        <v>30</v>
      </c>
      <c r="Q1316" t="s">
        <v>31</v>
      </c>
      <c r="R1316">
        <v>82680</v>
      </c>
      <c r="S1316" t="s">
        <v>50</v>
      </c>
      <c r="T1316">
        <v>82658</v>
      </c>
      <c r="U1316" t="s">
        <v>33</v>
      </c>
      <c r="V1316" t="s">
        <v>33</v>
      </c>
      <c r="W1316" t="s">
        <v>51</v>
      </c>
      <c r="X1316" t="s">
        <v>52</v>
      </c>
      <c r="Y1316" s="9">
        <f t="shared" si="61"/>
        <v>1.2999999999999999E-2</v>
      </c>
      <c r="Z1316" t="str">
        <f t="shared" si="62"/>
        <v>สแกนต่าง Cost</v>
      </c>
    </row>
    <row r="1317" spans="1:26" x14ac:dyDescent="0.45">
      <c r="B1317" t="s">
        <v>53</v>
      </c>
      <c r="C1317">
        <v>20019647</v>
      </c>
      <c r="D1317" t="s">
        <v>152</v>
      </c>
      <c r="E1317" s="10">
        <v>46129.727083333331</v>
      </c>
      <c r="F1317" s="10">
        <v>46129.82708333333</v>
      </c>
      <c r="G1317">
        <v>2.4</v>
      </c>
      <c r="H1317" s="9">
        <f t="shared" si="60"/>
        <v>1.2999999999999999E-2</v>
      </c>
      <c r="K1317">
        <v>1.2999999999999999E-2</v>
      </c>
      <c r="M1317" t="s">
        <v>28</v>
      </c>
      <c r="N1317" t="s">
        <v>40</v>
      </c>
      <c r="O1317" t="s">
        <v>41</v>
      </c>
      <c r="P1317" t="s">
        <v>30</v>
      </c>
      <c r="Q1317" t="s">
        <v>31</v>
      </c>
      <c r="R1317">
        <v>82630</v>
      </c>
      <c r="S1317" t="s">
        <v>32</v>
      </c>
      <c r="T1317">
        <v>82611</v>
      </c>
      <c r="U1317" t="s">
        <v>43</v>
      </c>
      <c r="V1317" t="s">
        <v>43</v>
      </c>
      <c r="W1317" t="s">
        <v>148</v>
      </c>
      <c r="X1317" t="s">
        <v>171</v>
      </c>
      <c r="Y1317" s="9">
        <f t="shared" si="61"/>
        <v>1.2999999999999999E-2</v>
      </c>
      <c r="Z1317" t="str">
        <f t="shared" si="62"/>
        <v>สแกนต่าง Cost</v>
      </c>
    </row>
    <row r="1318" spans="1:26" x14ac:dyDescent="0.45">
      <c r="B1318" t="s">
        <v>26</v>
      </c>
      <c r="C1318">
        <v>20198826</v>
      </c>
      <c r="D1318" t="s">
        <v>49</v>
      </c>
      <c r="E1318" s="10">
        <v>46129.727083333331</v>
      </c>
      <c r="F1318" s="10">
        <v>46129.826388888891</v>
      </c>
      <c r="G1318">
        <v>2.3833333333333333</v>
      </c>
      <c r="H1318" s="9">
        <f t="shared" si="60"/>
        <v>1.2999999999999999E-2</v>
      </c>
      <c r="K1318">
        <v>1.2999999999999999E-2</v>
      </c>
      <c r="M1318" t="s">
        <v>28</v>
      </c>
      <c r="N1318" t="s">
        <v>40</v>
      </c>
      <c r="O1318" t="s">
        <v>41</v>
      </c>
      <c r="P1318" t="s">
        <v>30</v>
      </c>
      <c r="Q1318" t="s">
        <v>31</v>
      </c>
      <c r="R1318">
        <v>82680</v>
      </c>
      <c r="S1318" t="s">
        <v>50</v>
      </c>
      <c r="T1318">
        <v>82655</v>
      </c>
      <c r="U1318" t="s">
        <v>59</v>
      </c>
      <c r="V1318" t="s">
        <v>59</v>
      </c>
      <c r="W1318" t="s">
        <v>51</v>
      </c>
      <c r="X1318" t="s">
        <v>52</v>
      </c>
      <c r="Y1318" s="9">
        <f t="shared" si="61"/>
        <v>1.2999999999999999E-2</v>
      </c>
      <c r="Z1318" t="str">
        <f t="shared" si="62"/>
        <v>สแกนต่าง Cost</v>
      </c>
    </row>
    <row r="1319" spans="1:26" x14ac:dyDescent="0.45">
      <c r="B1319" t="s">
        <v>26</v>
      </c>
      <c r="C1319">
        <v>20047023</v>
      </c>
      <c r="D1319" t="s">
        <v>271</v>
      </c>
      <c r="E1319" s="10">
        <v>46129.724305555559</v>
      </c>
      <c r="F1319" s="10">
        <v>46129.82708333333</v>
      </c>
      <c r="G1319">
        <v>2.4666666666666668</v>
      </c>
      <c r="H1319" s="9">
        <f t="shared" si="60"/>
        <v>1.2999999999999999E-2</v>
      </c>
      <c r="I1319">
        <v>1.2999999999999999E-2</v>
      </c>
      <c r="M1319" t="s">
        <v>28</v>
      </c>
      <c r="N1319" t="s">
        <v>40</v>
      </c>
      <c r="O1319" t="s">
        <v>41</v>
      </c>
      <c r="P1319" t="s">
        <v>30</v>
      </c>
      <c r="Q1319" t="s">
        <v>31</v>
      </c>
      <c r="R1319">
        <v>82607</v>
      </c>
      <c r="S1319" t="s">
        <v>168</v>
      </c>
      <c r="T1319">
        <v>82611</v>
      </c>
      <c r="U1319" t="s">
        <v>43</v>
      </c>
      <c r="V1319" t="s">
        <v>43</v>
      </c>
      <c r="W1319" t="s">
        <v>148</v>
      </c>
      <c r="X1319" t="s">
        <v>171</v>
      </c>
      <c r="Y1319" s="9">
        <f t="shared" si="61"/>
        <v>0</v>
      </c>
      <c r="Z1319" t="str">
        <f t="shared" si="62"/>
        <v>สแกนต่าง Cost</v>
      </c>
    </row>
    <row r="1320" spans="1:26" x14ac:dyDescent="0.45">
      <c r="B1320" t="s">
        <v>53</v>
      </c>
      <c r="C1320">
        <v>20023373</v>
      </c>
      <c r="D1320" t="s">
        <v>97</v>
      </c>
      <c r="E1320" s="10">
        <v>46129.722916666666</v>
      </c>
      <c r="F1320" s="10">
        <v>46129.82708333333</v>
      </c>
      <c r="G1320">
        <v>2.5</v>
      </c>
      <c r="H1320" s="9">
        <f t="shared" si="60"/>
        <v>1.2999999999999999E-2</v>
      </c>
      <c r="K1320">
        <v>1.2999999999999999E-2</v>
      </c>
      <c r="M1320" t="s">
        <v>28</v>
      </c>
      <c r="N1320" t="s">
        <v>40</v>
      </c>
      <c r="O1320" t="s">
        <v>41</v>
      </c>
      <c r="P1320" t="s">
        <v>30</v>
      </c>
      <c r="Q1320" t="s">
        <v>31</v>
      </c>
      <c r="R1320">
        <v>82630</v>
      </c>
      <c r="S1320" t="s">
        <v>32</v>
      </c>
      <c r="T1320">
        <v>82611</v>
      </c>
      <c r="U1320" t="s">
        <v>43</v>
      </c>
      <c r="V1320" t="s">
        <v>43</v>
      </c>
      <c r="W1320" t="s">
        <v>148</v>
      </c>
      <c r="X1320" t="s">
        <v>171</v>
      </c>
      <c r="Y1320" s="9">
        <f t="shared" si="61"/>
        <v>1.2999999999999999E-2</v>
      </c>
      <c r="Z1320" t="str">
        <f t="shared" si="62"/>
        <v>สแกนต่าง Cost</v>
      </c>
    </row>
    <row r="1321" spans="1:26" x14ac:dyDescent="0.45">
      <c r="B1321" t="s">
        <v>26</v>
      </c>
      <c r="C1321">
        <v>20027956</v>
      </c>
      <c r="D1321" t="s">
        <v>214</v>
      </c>
      <c r="E1321" s="10">
        <v>46129.722916666666</v>
      </c>
      <c r="F1321" s="10">
        <v>46129.827777777777</v>
      </c>
      <c r="G1321">
        <v>2.5166666666666666</v>
      </c>
      <c r="H1321" s="9">
        <f t="shared" si="60"/>
        <v>1.2999999999999999E-2</v>
      </c>
      <c r="K1321">
        <v>1.2999999999999999E-2</v>
      </c>
      <c r="M1321" t="s">
        <v>28</v>
      </c>
      <c r="N1321" t="s">
        <v>40</v>
      </c>
      <c r="O1321" t="s">
        <v>41</v>
      </c>
      <c r="P1321" t="s">
        <v>30</v>
      </c>
      <c r="Q1321" t="s">
        <v>31</v>
      </c>
      <c r="R1321">
        <v>82640</v>
      </c>
      <c r="S1321" t="s">
        <v>42</v>
      </c>
      <c r="T1321">
        <v>82611</v>
      </c>
      <c r="U1321" t="s">
        <v>43</v>
      </c>
      <c r="V1321" t="s">
        <v>43</v>
      </c>
      <c r="W1321" t="s">
        <v>44</v>
      </c>
      <c r="X1321" t="s">
        <v>44</v>
      </c>
      <c r="Y1321" s="9">
        <f t="shared" si="61"/>
        <v>1.2999999999999999E-2</v>
      </c>
      <c r="Z1321" t="str">
        <f t="shared" si="62"/>
        <v>สแกนต่าง Cost</v>
      </c>
    </row>
    <row r="1322" spans="1:26" x14ac:dyDescent="0.45">
      <c r="B1322" t="s">
        <v>53</v>
      </c>
      <c r="C1322">
        <v>20029099</v>
      </c>
      <c r="D1322" t="s">
        <v>163</v>
      </c>
      <c r="E1322" s="10">
        <v>46129.722916666666</v>
      </c>
      <c r="F1322" s="10">
        <v>46129.826388888891</v>
      </c>
      <c r="G1322">
        <v>2.4833333333333334</v>
      </c>
      <c r="H1322" s="9">
        <f t="shared" si="60"/>
        <v>1.2999999999999999E-2</v>
      </c>
      <c r="K1322">
        <v>1.2999999999999999E-2</v>
      </c>
      <c r="M1322" t="s">
        <v>28</v>
      </c>
      <c r="N1322" t="s">
        <v>40</v>
      </c>
      <c r="O1322" t="s">
        <v>41</v>
      </c>
      <c r="P1322" t="s">
        <v>30</v>
      </c>
      <c r="Q1322" t="s">
        <v>31</v>
      </c>
      <c r="R1322">
        <v>82630</v>
      </c>
      <c r="S1322" t="s">
        <v>32</v>
      </c>
      <c r="T1322">
        <v>82611</v>
      </c>
      <c r="U1322" t="s">
        <v>43</v>
      </c>
      <c r="V1322" t="s">
        <v>43</v>
      </c>
      <c r="W1322" t="s">
        <v>148</v>
      </c>
      <c r="X1322" t="s">
        <v>171</v>
      </c>
      <c r="Y1322" s="9">
        <f t="shared" si="61"/>
        <v>1.2999999999999999E-2</v>
      </c>
      <c r="Z1322" t="str">
        <f t="shared" si="62"/>
        <v>สแกนต่าง Cost</v>
      </c>
    </row>
    <row r="1323" spans="1:26" x14ac:dyDescent="0.45">
      <c r="B1323" t="s">
        <v>53</v>
      </c>
      <c r="C1323">
        <v>20056406</v>
      </c>
      <c r="D1323" t="s">
        <v>85</v>
      </c>
      <c r="E1323" s="10">
        <v>46129.722916666666</v>
      </c>
      <c r="F1323" s="10">
        <v>46129.826388888891</v>
      </c>
      <c r="G1323">
        <v>2.4833333333333334</v>
      </c>
      <c r="H1323" s="9">
        <f t="shared" si="60"/>
        <v>1.2999999999999999E-2</v>
      </c>
      <c r="K1323">
        <v>1.2999999999999999E-2</v>
      </c>
      <c r="M1323" t="s">
        <v>28</v>
      </c>
      <c r="N1323" t="s">
        <v>40</v>
      </c>
      <c r="O1323" t="s">
        <v>41</v>
      </c>
      <c r="P1323" t="s">
        <v>30</v>
      </c>
      <c r="Q1323" t="s">
        <v>31</v>
      </c>
      <c r="R1323">
        <v>82630</v>
      </c>
      <c r="S1323" t="s">
        <v>32</v>
      </c>
      <c r="T1323">
        <v>82611</v>
      </c>
      <c r="U1323" t="s">
        <v>43</v>
      </c>
      <c r="V1323" t="s">
        <v>43</v>
      </c>
      <c r="W1323" t="s">
        <v>148</v>
      </c>
      <c r="X1323" t="s">
        <v>171</v>
      </c>
      <c r="Y1323" s="9">
        <f t="shared" si="61"/>
        <v>1.2999999999999999E-2</v>
      </c>
      <c r="Z1323" t="str">
        <f t="shared" si="62"/>
        <v>สแกนต่าง Cost</v>
      </c>
    </row>
    <row r="1324" spans="1:26" x14ac:dyDescent="0.45">
      <c r="B1324" t="s">
        <v>53</v>
      </c>
      <c r="C1324">
        <v>20074652</v>
      </c>
      <c r="D1324" t="s">
        <v>162</v>
      </c>
      <c r="E1324" s="10">
        <v>46129.722916666666</v>
      </c>
      <c r="F1324" s="10">
        <v>46129.82708333333</v>
      </c>
      <c r="G1324">
        <v>2.5</v>
      </c>
      <c r="H1324" s="9">
        <f t="shared" si="60"/>
        <v>1.2999999999999999E-2</v>
      </c>
      <c r="K1324">
        <v>1.2999999999999999E-2</v>
      </c>
      <c r="M1324" t="s">
        <v>28</v>
      </c>
      <c r="N1324" t="s">
        <v>40</v>
      </c>
      <c r="O1324" t="s">
        <v>41</v>
      </c>
      <c r="P1324" t="s">
        <v>30</v>
      </c>
      <c r="Q1324" t="s">
        <v>31</v>
      </c>
      <c r="R1324">
        <v>82630</v>
      </c>
      <c r="S1324" t="s">
        <v>32</v>
      </c>
      <c r="T1324">
        <v>82611</v>
      </c>
      <c r="U1324" t="s">
        <v>43</v>
      </c>
      <c r="V1324" t="s">
        <v>43</v>
      </c>
      <c r="W1324" t="s">
        <v>148</v>
      </c>
      <c r="X1324" t="s">
        <v>171</v>
      </c>
      <c r="Y1324" s="9">
        <f t="shared" si="61"/>
        <v>1.2999999999999999E-2</v>
      </c>
      <c r="Z1324" t="str">
        <f t="shared" si="62"/>
        <v>สแกนต่าง Cost</v>
      </c>
    </row>
    <row r="1325" spans="1:26" x14ac:dyDescent="0.45">
      <c r="B1325" t="s">
        <v>53</v>
      </c>
      <c r="C1325">
        <v>20156338</v>
      </c>
      <c r="D1325" t="s">
        <v>102</v>
      </c>
      <c r="E1325" s="10">
        <v>46129.722916666666</v>
      </c>
      <c r="F1325" s="10">
        <v>46129.826388888891</v>
      </c>
      <c r="G1325">
        <v>2.4833333333333334</v>
      </c>
      <c r="H1325" s="9">
        <f t="shared" si="60"/>
        <v>1.2999999999999999E-2</v>
      </c>
      <c r="K1325">
        <v>1.2999999999999999E-2</v>
      </c>
      <c r="M1325" t="s">
        <v>28</v>
      </c>
      <c r="N1325" t="s">
        <v>40</v>
      </c>
      <c r="O1325" t="s">
        <v>41</v>
      </c>
      <c r="P1325" t="s">
        <v>30</v>
      </c>
      <c r="Q1325" t="s">
        <v>31</v>
      </c>
      <c r="R1325">
        <v>82630</v>
      </c>
      <c r="S1325" t="s">
        <v>32</v>
      </c>
      <c r="T1325">
        <v>82611</v>
      </c>
      <c r="U1325" t="s">
        <v>43</v>
      </c>
      <c r="V1325" t="s">
        <v>43</v>
      </c>
      <c r="W1325" t="s">
        <v>148</v>
      </c>
      <c r="X1325" t="s">
        <v>171</v>
      </c>
      <c r="Y1325" s="9">
        <f t="shared" si="61"/>
        <v>1.2999999999999999E-2</v>
      </c>
      <c r="Z1325" t="str">
        <f t="shared" si="62"/>
        <v>สแกนต่าง Cost</v>
      </c>
    </row>
    <row r="1326" spans="1:26" x14ac:dyDescent="0.45">
      <c r="B1326" t="s">
        <v>26</v>
      </c>
      <c r="C1326">
        <v>20167851</v>
      </c>
      <c r="D1326" t="s">
        <v>63</v>
      </c>
      <c r="E1326" s="10">
        <v>46129.722916666666</v>
      </c>
      <c r="F1326" s="10">
        <v>46129.827777777777</v>
      </c>
      <c r="G1326">
        <v>2.5166666666666666</v>
      </c>
      <c r="H1326" s="9">
        <f t="shared" si="60"/>
        <v>1.2999999999999999E-2</v>
      </c>
      <c r="K1326">
        <v>1.2999999999999999E-2</v>
      </c>
      <c r="M1326" t="s">
        <v>28</v>
      </c>
      <c r="N1326" t="s">
        <v>40</v>
      </c>
      <c r="O1326" t="s">
        <v>41</v>
      </c>
      <c r="P1326" t="s">
        <v>30</v>
      </c>
      <c r="Q1326" t="s">
        <v>31</v>
      </c>
      <c r="R1326">
        <v>82640</v>
      </c>
      <c r="S1326" t="s">
        <v>42</v>
      </c>
      <c r="T1326">
        <v>82611</v>
      </c>
      <c r="U1326" t="s">
        <v>43</v>
      </c>
      <c r="V1326" t="s">
        <v>43</v>
      </c>
      <c r="W1326" t="s">
        <v>44</v>
      </c>
      <c r="X1326" t="s">
        <v>44</v>
      </c>
      <c r="Y1326" s="9">
        <f t="shared" si="61"/>
        <v>1.2999999999999999E-2</v>
      </c>
      <c r="Z1326" t="str">
        <f t="shared" si="62"/>
        <v>สแกนต่าง Cost</v>
      </c>
    </row>
    <row r="1327" spans="1:26" x14ac:dyDescent="0.45">
      <c r="B1327" t="s">
        <v>53</v>
      </c>
      <c r="C1327">
        <v>20240959</v>
      </c>
      <c r="D1327" t="s">
        <v>105</v>
      </c>
      <c r="E1327" s="10">
        <v>46129.722916666666</v>
      </c>
      <c r="F1327" s="10">
        <v>46129.82708333333</v>
      </c>
      <c r="G1327">
        <v>2.5</v>
      </c>
      <c r="H1327" s="9">
        <f t="shared" si="60"/>
        <v>1.2999999999999999E-2</v>
      </c>
      <c r="K1327">
        <v>1.2999999999999999E-2</v>
      </c>
      <c r="M1327" t="s">
        <v>28</v>
      </c>
      <c r="N1327" t="s">
        <v>40</v>
      </c>
      <c r="O1327" t="s">
        <v>41</v>
      </c>
      <c r="P1327" t="s">
        <v>30</v>
      </c>
      <c r="Q1327" t="s">
        <v>31</v>
      </c>
      <c r="R1327">
        <v>82630</v>
      </c>
      <c r="S1327" t="s">
        <v>32</v>
      </c>
      <c r="T1327">
        <v>82611</v>
      </c>
      <c r="U1327" t="s">
        <v>43</v>
      </c>
      <c r="V1327" t="s">
        <v>43</v>
      </c>
      <c r="W1327" t="s">
        <v>148</v>
      </c>
      <c r="X1327" t="s">
        <v>171</v>
      </c>
      <c r="Y1327" s="9">
        <f t="shared" si="61"/>
        <v>1.2999999999999999E-2</v>
      </c>
      <c r="Z1327" t="str">
        <f t="shared" si="62"/>
        <v>สแกนต่าง Cost</v>
      </c>
    </row>
    <row r="1328" spans="1:26" x14ac:dyDescent="0.45">
      <c r="A1328">
        <v>26513</v>
      </c>
      <c r="B1328" t="s">
        <v>53</v>
      </c>
      <c r="C1328">
        <v>20310536</v>
      </c>
      <c r="D1328" t="s">
        <v>330</v>
      </c>
      <c r="E1328" s="10">
        <v>46129.722916666666</v>
      </c>
      <c r="F1328" s="10">
        <v>46129.82708333333</v>
      </c>
      <c r="G1328">
        <v>2.5</v>
      </c>
      <c r="H1328" s="9">
        <f t="shared" si="60"/>
        <v>1.2999999999999999E-2</v>
      </c>
      <c r="K1328">
        <v>1.2999999999999999E-2</v>
      </c>
      <c r="M1328" t="s">
        <v>28</v>
      </c>
      <c r="N1328" t="s">
        <v>40</v>
      </c>
      <c r="O1328" t="s">
        <v>41</v>
      </c>
      <c r="P1328" t="s">
        <v>30</v>
      </c>
      <c r="Q1328" t="s">
        <v>31</v>
      </c>
      <c r="R1328">
        <v>82611</v>
      </c>
      <c r="S1328" t="s">
        <v>43</v>
      </c>
      <c r="T1328">
        <v>82640</v>
      </c>
      <c r="U1328" t="s">
        <v>42</v>
      </c>
      <c r="V1328" t="s">
        <v>70</v>
      </c>
      <c r="W1328" t="s">
        <v>71</v>
      </c>
      <c r="X1328" t="s">
        <v>331</v>
      </c>
      <c r="Y1328" s="9">
        <f t="shared" si="61"/>
        <v>1.2999999999999999E-2</v>
      </c>
      <c r="Z1328" t="str">
        <f t="shared" si="62"/>
        <v>สแกนต่าง Cost</v>
      </c>
    </row>
    <row r="1329" spans="2:26" x14ac:dyDescent="0.45">
      <c r="B1329" t="s">
        <v>53</v>
      </c>
      <c r="C1329">
        <v>20240961</v>
      </c>
      <c r="D1329" t="s">
        <v>239</v>
      </c>
      <c r="E1329" s="10">
        <v>46129.722222222219</v>
      </c>
      <c r="F1329" s="10">
        <v>46129.826388888891</v>
      </c>
      <c r="G1329">
        <v>2.5</v>
      </c>
      <c r="H1329" s="9">
        <f t="shared" si="60"/>
        <v>1.2999999999999999E-2</v>
      </c>
      <c r="K1329">
        <v>1.2999999999999999E-2</v>
      </c>
      <c r="M1329" t="s">
        <v>28</v>
      </c>
      <c r="N1329" t="s">
        <v>40</v>
      </c>
      <c r="O1329" t="s">
        <v>41</v>
      </c>
      <c r="P1329" t="s">
        <v>30</v>
      </c>
      <c r="Q1329" t="s">
        <v>31</v>
      </c>
      <c r="R1329">
        <v>82630</v>
      </c>
      <c r="S1329" t="s">
        <v>32</v>
      </c>
      <c r="T1329">
        <v>82611</v>
      </c>
      <c r="U1329" t="s">
        <v>43</v>
      </c>
      <c r="V1329" t="s">
        <v>43</v>
      </c>
      <c r="W1329" t="s">
        <v>148</v>
      </c>
      <c r="X1329" t="s">
        <v>171</v>
      </c>
      <c r="Y1329" s="9">
        <f t="shared" si="61"/>
        <v>1.2999999999999999E-2</v>
      </c>
      <c r="Z1329" t="str">
        <f t="shared" si="62"/>
        <v>สแกนต่าง Cost</v>
      </c>
    </row>
    <row r="1330" spans="2:26" x14ac:dyDescent="0.45">
      <c r="B1330" t="s">
        <v>53</v>
      </c>
      <c r="C1330">
        <v>20310530</v>
      </c>
      <c r="D1330" t="s">
        <v>220</v>
      </c>
      <c r="E1330" s="10">
        <v>46129.6875</v>
      </c>
      <c r="F1330" s="10">
        <v>46129.708333333336</v>
      </c>
      <c r="G1330">
        <v>0.5</v>
      </c>
      <c r="H1330" s="9">
        <f t="shared" si="60"/>
        <v>3.0000000000000001E-3</v>
      </c>
      <c r="I1330">
        <v>3.0000000000000001E-3</v>
      </c>
      <c r="M1330" t="s">
        <v>65</v>
      </c>
      <c r="N1330" t="s">
        <v>29</v>
      </c>
      <c r="P1330" t="s">
        <v>30</v>
      </c>
      <c r="Q1330" t="s">
        <v>31</v>
      </c>
      <c r="R1330">
        <v>82640</v>
      </c>
      <c r="S1330" t="s">
        <v>42</v>
      </c>
      <c r="T1330">
        <v>82622</v>
      </c>
      <c r="U1330" t="s">
        <v>147</v>
      </c>
      <c r="V1330" t="s">
        <v>66</v>
      </c>
      <c r="W1330" t="s">
        <v>44</v>
      </c>
      <c r="X1330" t="s">
        <v>44</v>
      </c>
      <c r="Y1330" s="9">
        <f t="shared" si="61"/>
        <v>0</v>
      </c>
      <c r="Z1330" t="str">
        <f t="shared" si="62"/>
        <v>สแกนต่าง Cost</v>
      </c>
    </row>
    <row r="1331" spans="2:26" x14ac:dyDescent="0.45">
      <c r="B1331" t="s">
        <v>53</v>
      </c>
      <c r="C1331">
        <v>20027956</v>
      </c>
      <c r="D1331" t="s">
        <v>214</v>
      </c>
      <c r="E1331" s="10">
        <v>46129.666666666664</v>
      </c>
      <c r="F1331" s="10">
        <v>46129.729166666664</v>
      </c>
      <c r="G1331">
        <v>1.5</v>
      </c>
      <c r="H1331" s="9">
        <f t="shared" si="60"/>
        <v>8.0000000000000002E-3</v>
      </c>
      <c r="I1331">
        <v>8.0000000000000002E-3</v>
      </c>
      <c r="M1331" t="s">
        <v>65</v>
      </c>
      <c r="N1331" t="s">
        <v>29</v>
      </c>
      <c r="P1331" t="s">
        <v>30</v>
      </c>
      <c r="Q1331" t="s">
        <v>31</v>
      </c>
      <c r="R1331">
        <v>82640</v>
      </c>
      <c r="S1331" t="s">
        <v>42</v>
      </c>
      <c r="T1331">
        <v>82611</v>
      </c>
      <c r="U1331" t="s">
        <v>43</v>
      </c>
      <c r="V1331" t="s">
        <v>66</v>
      </c>
      <c r="W1331" t="s">
        <v>44</v>
      </c>
      <c r="X1331" t="s">
        <v>44</v>
      </c>
      <c r="Y1331" s="9">
        <f t="shared" si="61"/>
        <v>0</v>
      </c>
      <c r="Z1331" t="str">
        <f t="shared" si="62"/>
        <v>สแกนต่าง Cost</v>
      </c>
    </row>
    <row r="1332" spans="2:26" x14ac:dyDescent="0.45">
      <c r="B1332" t="s">
        <v>53</v>
      </c>
      <c r="C1332">
        <v>20167851</v>
      </c>
      <c r="D1332" t="s">
        <v>63</v>
      </c>
      <c r="E1332" s="10">
        <v>46129.666666666664</v>
      </c>
      <c r="F1332" s="10">
        <v>46129.708333333336</v>
      </c>
      <c r="G1332">
        <v>1</v>
      </c>
      <c r="H1332" s="9">
        <f t="shared" si="60"/>
        <v>5.0000000000000001E-3</v>
      </c>
      <c r="I1332">
        <v>5.0000000000000001E-3</v>
      </c>
      <c r="M1332" t="s">
        <v>65</v>
      </c>
      <c r="N1332" t="s">
        <v>29</v>
      </c>
      <c r="P1332" t="s">
        <v>30</v>
      </c>
      <c r="Q1332" t="s">
        <v>31</v>
      </c>
      <c r="R1332">
        <v>82640</v>
      </c>
      <c r="S1332" t="s">
        <v>42</v>
      </c>
      <c r="T1332">
        <v>82611</v>
      </c>
      <c r="U1332" t="s">
        <v>43</v>
      </c>
      <c r="V1332" t="s">
        <v>66</v>
      </c>
      <c r="W1332" t="s">
        <v>44</v>
      </c>
      <c r="X1332" t="s">
        <v>44</v>
      </c>
      <c r="Y1332" s="9">
        <f t="shared" si="61"/>
        <v>0</v>
      </c>
      <c r="Z1332" t="str">
        <f t="shared" si="62"/>
        <v>สแกนต่าง Cost</v>
      </c>
    </row>
    <row r="1333" spans="2:26" x14ac:dyDescent="0.45">
      <c r="B1333" t="s">
        <v>53</v>
      </c>
      <c r="C1333">
        <v>20198839</v>
      </c>
      <c r="D1333" t="s">
        <v>258</v>
      </c>
      <c r="E1333" s="10">
        <v>46129.666666666664</v>
      </c>
      <c r="F1333" s="10">
        <v>46129.729166666664</v>
      </c>
      <c r="G1333">
        <v>1.5</v>
      </c>
      <c r="H1333" s="9">
        <f t="shared" si="60"/>
        <v>8.0000000000000002E-3</v>
      </c>
      <c r="I1333">
        <v>8.0000000000000002E-3</v>
      </c>
      <c r="M1333" t="s">
        <v>65</v>
      </c>
      <c r="N1333" t="s">
        <v>29</v>
      </c>
      <c r="P1333" t="s">
        <v>30</v>
      </c>
      <c r="Q1333" t="s">
        <v>31</v>
      </c>
      <c r="R1333">
        <v>82640</v>
      </c>
      <c r="S1333" t="s">
        <v>42</v>
      </c>
      <c r="T1333">
        <v>82611</v>
      </c>
      <c r="U1333" t="s">
        <v>43</v>
      </c>
      <c r="V1333" t="s">
        <v>66</v>
      </c>
      <c r="W1333" t="s">
        <v>44</v>
      </c>
      <c r="X1333" t="s">
        <v>44</v>
      </c>
      <c r="Y1333" s="9">
        <f t="shared" si="61"/>
        <v>0</v>
      </c>
      <c r="Z1333" t="str">
        <f t="shared" si="62"/>
        <v>สแกนต่าง Cost</v>
      </c>
    </row>
    <row r="1334" spans="2:26" x14ac:dyDescent="0.45">
      <c r="B1334" t="s">
        <v>53</v>
      </c>
      <c r="C1334">
        <v>20280718</v>
      </c>
      <c r="D1334" t="s">
        <v>256</v>
      </c>
      <c r="E1334" s="10">
        <v>46129.666666666664</v>
      </c>
      <c r="F1334" s="10">
        <v>46129.729166666664</v>
      </c>
      <c r="G1334">
        <v>1.5</v>
      </c>
      <c r="H1334" s="9">
        <f t="shared" si="60"/>
        <v>8.0000000000000002E-3</v>
      </c>
      <c r="I1334">
        <v>8.0000000000000002E-3</v>
      </c>
      <c r="M1334" t="s">
        <v>65</v>
      </c>
      <c r="N1334" t="s">
        <v>29</v>
      </c>
      <c r="P1334" t="s">
        <v>30</v>
      </c>
      <c r="Q1334" t="s">
        <v>31</v>
      </c>
      <c r="R1334">
        <v>82640</v>
      </c>
      <c r="S1334" t="s">
        <v>42</v>
      </c>
      <c r="T1334">
        <v>82630</v>
      </c>
      <c r="U1334" t="s">
        <v>32</v>
      </c>
      <c r="V1334" t="s">
        <v>66</v>
      </c>
      <c r="W1334" t="s">
        <v>44</v>
      </c>
      <c r="X1334" t="s">
        <v>44</v>
      </c>
      <c r="Y1334" s="9">
        <f t="shared" si="61"/>
        <v>0</v>
      </c>
      <c r="Z1334" t="str">
        <f t="shared" si="62"/>
        <v>สแกนต่าง Cost</v>
      </c>
    </row>
    <row r="1335" spans="2:26" x14ac:dyDescent="0.45">
      <c r="B1335" t="s">
        <v>53</v>
      </c>
      <c r="C1335">
        <v>20310530</v>
      </c>
      <c r="D1335" t="s">
        <v>220</v>
      </c>
      <c r="E1335" s="10">
        <v>46129.666666666664</v>
      </c>
      <c r="F1335" s="10">
        <v>46129.6875</v>
      </c>
      <c r="G1335">
        <v>0.5</v>
      </c>
      <c r="H1335" s="9">
        <f t="shared" si="60"/>
        <v>3.0000000000000001E-3</v>
      </c>
      <c r="I1335">
        <v>3.0000000000000001E-3</v>
      </c>
      <c r="M1335" t="s">
        <v>65</v>
      </c>
      <c r="N1335" t="s">
        <v>29</v>
      </c>
      <c r="P1335" t="s">
        <v>30</v>
      </c>
      <c r="Q1335" t="s">
        <v>31</v>
      </c>
      <c r="R1335">
        <v>82640</v>
      </c>
      <c r="S1335" t="s">
        <v>42</v>
      </c>
      <c r="T1335">
        <v>82611</v>
      </c>
      <c r="U1335" t="s">
        <v>43</v>
      </c>
      <c r="V1335" t="s">
        <v>66</v>
      </c>
      <c r="W1335" t="s">
        <v>44</v>
      </c>
      <c r="X1335" t="s">
        <v>44</v>
      </c>
      <c r="Y1335" s="9">
        <f t="shared" si="61"/>
        <v>0</v>
      </c>
      <c r="Z1335" t="str">
        <f t="shared" si="62"/>
        <v>สแกนต่าง Cost</v>
      </c>
    </row>
    <row r="1336" spans="2:26" x14ac:dyDescent="0.45">
      <c r="B1336" t="s">
        <v>53</v>
      </c>
      <c r="C1336">
        <v>20060579</v>
      </c>
      <c r="D1336" t="s">
        <v>39</v>
      </c>
      <c r="E1336" s="10">
        <v>46129.645833333336</v>
      </c>
      <c r="F1336" s="10">
        <v>46129.729166666664</v>
      </c>
      <c r="G1336">
        <v>2</v>
      </c>
      <c r="H1336" s="9">
        <f t="shared" si="60"/>
        <v>1.0999999999999999E-2</v>
      </c>
      <c r="I1336">
        <v>1.0999999999999999E-2</v>
      </c>
      <c r="M1336" t="s">
        <v>65</v>
      </c>
      <c r="N1336" t="s">
        <v>29</v>
      </c>
      <c r="P1336" t="s">
        <v>30</v>
      </c>
      <c r="Q1336" t="s">
        <v>31</v>
      </c>
      <c r="R1336">
        <v>82640</v>
      </c>
      <c r="S1336" t="s">
        <v>42</v>
      </c>
      <c r="T1336">
        <v>82630</v>
      </c>
      <c r="U1336" t="s">
        <v>32</v>
      </c>
      <c r="V1336" t="s">
        <v>66</v>
      </c>
      <c r="W1336" t="s">
        <v>44</v>
      </c>
      <c r="X1336" t="s">
        <v>44</v>
      </c>
      <c r="Y1336" s="9">
        <f t="shared" si="61"/>
        <v>0</v>
      </c>
      <c r="Z1336" t="str">
        <f t="shared" si="62"/>
        <v>สแกนต่าง Cost</v>
      </c>
    </row>
    <row r="1337" spans="2:26" x14ac:dyDescent="0.45">
      <c r="B1337" t="s">
        <v>53</v>
      </c>
      <c r="C1337">
        <v>20310530</v>
      </c>
      <c r="D1337" t="s">
        <v>220</v>
      </c>
      <c r="E1337" s="10">
        <v>46129.645833333336</v>
      </c>
      <c r="F1337" s="10">
        <v>46129.666666666664</v>
      </c>
      <c r="G1337">
        <v>0.5</v>
      </c>
      <c r="H1337" s="9">
        <f t="shared" si="60"/>
        <v>3.0000000000000001E-3</v>
      </c>
      <c r="I1337">
        <v>3.0000000000000001E-3</v>
      </c>
      <c r="M1337" t="s">
        <v>65</v>
      </c>
      <c r="N1337" t="s">
        <v>29</v>
      </c>
      <c r="P1337" t="s">
        <v>30</v>
      </c>
      <c r="Q1337" t="s">
        <v>31</v>
      </c>
      <c r="R1337">
        <v>82640</v>
      </c>
      <c r="S1337" t="s">
        <v>42</v>
      </c>
      <c r="T1337">
        <v>82612</v>
      </c>
      <c r="U1337" t="s">
        <v>153</v>
      </c>
      <c r="V1337" t="s">
        <v>66</v>
      </c>
      <c r="W1337" t="s">
        <v>44</v>
      </c>
      <c r="X1337" t="s">
        <v>44</v>
      </c>
      <c r="Y1337" s="9">
        <f t="shared" si="61"/>
        <v>0</v>
      </c>
      <c r="Z1337" t="str">
        <f t="shared" si="62"/>
        <v>สแกนต่าง Cost</v>
      </c>
    </row>
    <row r="1338" spans="2:26" x14ac:dyDescent="0.45">
      <c r="B1338" t="s">
        <v>53</v>
      </c>
      <c r="C1338">
        <v>20060579</v>
      </c>
      <c r="D1338" t="s">
        <v>39</v>
      </c>
      <c r="E1338" s="10">
        <v>46129.625</v>
      </c>
      <c r="F1338" s="10">
        <v>46129.645833333336</v>
      </c>
      <c r="G1338">
        <v>0.5</v>
      </c>
      <c r="H1338" s="9">
        <f t="shared" si="60"/>
        <v>3.0000000000000001E-3</v>
      </c>
      <c r="I1338">
        <v>3.0000000000000001E-3</v>
      </c>
      <c r="M1338" t="s">
        <v>65</v>
      </c>
      <c r="N1338" t="s">
        <v>29</v>
      </c>
      <c r="P1338" t="s">
        <v>30</v>
      </c>
      <c r="Q1338" t="s">
        <v>31</v>
      </c>
      <c r="R1338">
        <v>82640</v>
      </c>
      <c r="S1338" t="s">
        <v>42</v>
      </c>
      <c r="T1338">
        <v>82612</v>
      </c>
      <c r="U1338" t="s">
        <v>153</v>
      </c>
      <c r="V1338" t="s">
        <v>66</v>
      </c>
      <c r="W1338" t="s">
        <v>44</v>
      </c>
      <c r="X1338" t="s">
        <v>44</v>
      </c>
      <c r="Y1338" s="9">
        <f t="shared" si="61"/>
        <v>0</v>
      </c>
      <c r="Z1338" t="str">
        <f t="shared" si="62"/>
        <v>สแกนต่าง Cost</v>
      </c>
    </row>
    <row r="1339" spans="2:26" x14ac:dyDescent="0.45">
      <c r="B1339" t="s">
        <v>53</v>
      </c>
      <c r="C1339">
        <v>20280718</v>
      </c>
      <c r="D1339" t="s">
        <v>256</v>
      </c>
      <c r="E1339" s="10">
        <v>46129.625</v>
      </c>
      <c r="F1339" s="10">
        <v>46129.645833333336</v>
      </c>
      <c r="G1339">
        <v>0.5</v>
      </c>
      <c r="H1339" s="9">
        <f t="shared" si="60"/>
        <v>3.0000000000000001E-3</v>
      </c>
      <c r="I1339">
        <v>3.0000000000000001E-3</v>
      </c>
      <c r="M1339" t="s">
        <v>65</v>
      </c>
      <c r="N1339" t="s">
        <v>29</v>
      </c>
      <c r="P1339" t="s">
        <v>30</v>
      </c>
      <c r="Q1339" t="s">
        <v>31</v>
      </c>
      <c r="R1339">
        <v>82640</v>
      </c>
      <c r="S1339" t="s">
        <v>42</v>
      </c>
      <c r="T1339">
        <v>82630</v>
      </c>
      <c r="U1339" t="s">
        <v>32</v>
      </c>
      <c r="V1339" t="s">
        <v>66</v>
      </c>
      <c r="W1339" t="s">
        <v>44</v>
      </c>
      <c r="X1339" t="s">
        <v>44</v>
      </c>
      <c r="Y1339" s="9">
        <f t="shared" si="61"/>
        <v>0</v>
      </c>
      <c r="Z1339" t="str">
        <f t="shared" si="62"/>
        <v>สแกนต่าง Cost</v>
      </c>
    </row>
    <row r="1340" spans="2:26" x14ac:dyDescent="0.45">
      <c r="B1340" t="s">
        <v>53</v>
      </c>
      <c r="C1340">
        <v>20368087</v>
      </c>
      <c r="D1340" t="s">
        <v>260</v>
      </c>
      <c r="E1340" s="10">
        <v>46129.625</v>
      </c>
      <c r="F1340" s="10">
        <v>46129.729166666664</v>
      </c>
      <c r="G1340">
        <v>2.5</v>
      </c>
      <c r="H1340" s="9">
        <f t="shared" si="60"/>
        <v>1.2999999999999999E-2</v>
      </c>
      <c r="I1340">
        <v>1.2999999999999999E-2</v>
      </c>
      <c r="M1340" t="s">
        <v>65</v>
      </c>
      <c r="N1340" t="s">
        <v>29</v>
      </c>
      <c r="P1340" t="s">
        <v>30</v>
      </c>
      <c r="Q1340" t="s">
        <v>31</v>
      </c>
      <c r="R1340">
        <v>82640</v>
      </c>
      <c r="S1340" t="s">
        <v>42</v>
      </c>
      <c r="T1340">
        <v>82612</v>
      </c>
      <c r="U1340" t="s">
        <v>153</v>
      </c>
      <c r="V1340" t="s">
        <v>66</v>
      </c>
      <c r="W1340" t="s">
        <v>44</v>
      </c>
      <c r="X1340" t="s">
        <v>44</v>
      </c>
      <c r="Y1340" s="9">
        <f t="shared" si="61"/>
        <v>0</v>
      </c>
      <c r="Z1340" t="str">
        <f t="shared" si="62"/>
        <v>สแกนต่าง Cost</v>
      </c>
    </row>
    <row r="1341" spans="2:26" x14ac:dyDescent="0.45">
      <c r="B1341" t="s">
        <v>53</v>
      </c>
      <c r="C1341">
        <v>20167851</v>
      </c>
      <c r="D1341" t="s">
        <v>63</v>
      </c>
      <c r="E1341" s="10">
        <v>46129.604166666664</v>
      </c>
      <c r="F1341" s="10">
        <v>46129.625</v>
      </c>
      <c r="G1341">
        <v>0.5</v>
      </c>
      <c r="H1341" s="9">
        <f t="shared" si="60"/>
        <v>3.0000000000000001E-3</v>
      </c>
      <c r="I1341">
        <v>3.0000000000000001E-3</v>
      </c>
      <c r="M1341" t="s">
        <v>65</v>
      </c>
      <c r="N1341" t="s">
        <v>29</v>
      </c>
      <c r="P1341" t="s">
        <v>30</v>
      </c>
      <c r="Q1341" t="s">
        <v>31</v>
      </c>
      <c r="R1341">
        <v>82640</v>
      </c>
      <c r="S1341" t="s">
        <v>42</v>
      </c>
      <c r="T1341">
        <v>82612</v>
      </c>
      <c r="U1341" t="s">
        <v>153</v>
      </c>
      <c r="V1341" t="s">
        <v>66</v>
      </c>
      <c r="W1341" t="s">
        <v>44</v>
      </c>
      <c r="X1341" t="s">
        <v>44</v>
      </c>
      <c r="Y1341" s="9">
        <f t="shared" si="61"/>
        <v>0</v>
      </c>
      <c r="Z1341" t="str">
        <f t="shared" si="62"/>
        <v>สแกนต่าง Cost</v>
      </c>
    </row>
    <row r="1342" spans="2:26" x14ac:dyDescent="0.45">
      <c r="B1342" t="s">
        <v>53</v>
      </c>
      <c r="C1342">
        <v>20280718</v>
      </c>
      <c r="D1342" t="s">
        <v>256</v>
      </c>
      <c r="E1342" s="10">
        <v>46129.604166666664</v>
      </c>
      <c r="F1342" s="10">
        <v>46129.625</v>
      </c>
      <c r="G1342">
        <v>0.5</v>
      </c>
      <c r="H1342" s="9">
        <f t="shared" si="60"/>
        <v>3.0000000000000001E-3</v>
      </c>
      <c r="I1342">
        <v>3.0000000000000001E-3</v>
      </c>
      <c r="M1342" t="s">
        <v>65</v>
      </c>
      <c r="N1342" t="s">
        <v>29</v>
      </c>
      <c r="P1342" t="s">
        <v>30</v>
      </c>
      <c r="Q1342" t="s">
        <v>31</v>
      </c>
      <c r="R1342">
        <v>82640</v>
      </c>
      <c r="S1342" t="s">
        <v>42</v>
      </c>
      <c r="T1342">
        <v>82612</v>
      </c>
      <c r="U1342" t="s">
        <v>153</v>
      </c>
      <c r="V1342" t="s">
        <v>66</v>
      </c>
      <c r="W1342" t="s">
        <v>44</v>
      </c>
      <c r="X1342" t="s">
        <v>44</v>
      </c>
      <c r="Y1342" s="9">
        <f t="shared" si="61"/>
        <v>0</v>
      </c>
      <c r="Z1342" t="str">
        <f t="shared" si="62"/>
        <v>สแกนต่าง Cost</v>
      </c>
    </row>
    <row r="1343" spans="2:26" x14ac:dyDescent="0.45">
      <c r="B1343" t="s">
        <v>53</v>
      </c>
      <c r="C1343">
        <v>20310530</v>
      </c>
      <c r="D1343" t="s">
        <v>220</v>
      </c>
      <c r="E1343" s="10">
        <v>46129.604166666664</v>
      </c>
      <c r="F1343" s="10">
        <v>46129.645833333336</v>
      </c>
      <c r="G1343">
        <v>1</v>
      </c>
      <c r="H1343" s="9">
        <f t="shared" si="60"/>
        <v>5.0000000000000001E-3</v>
      </c>
      <c r="I1343">
        <v>5.0000000000000001E-3</v>
      </c>
      <c r="M1343" t="s">
        <v>65</v>
      </c>
      <c r="N1343" t="s">
        <v>29</v>
      </c>
      <c r="P1343" t="s">
        <v>30</v>
      </c>
      <c r="Q1343" t="s">
        <v>31</v>
      </c>
      <c r="R1343">
        <v>82640</v>
      </c>
      <c r="S1343" t="s">
        <v>42</v>
      </c>
      <c r="T1343">
        <v>82611</v>
      </c>
      <c r="U1343" t="s">
        <v>43</v>
      </c>
      <c r="V1343" t="s">
        <v>66</v>
      </c>
      <c r="W1343" t="s">
        <v>44</v>
      </c>
      <c r="X1343" t="s">
        <v>44</v>
      </c>
      <c r="Y1343" s="9">
        <f t="shared" si="61"/>
        <v>0</v>
      </c>
      <c r="Z1343" t="str">
        <f t="shared" si="62"/>
        <v>สแกนต่าง Cost</v>
      </c>
    </row>
    <row r="1344" spans="2:26" x14ac:dyDescent="0.45">
      <c r="B1344" t="s">
        <v>53</v>
      </c>
      <c r="C1344">
        <v>20310530</v>
      </c>
      <c r="D1344" t="s">
        <v>220</v>
      </c>
      <c r="E1344" s="10">
        <v>46129.583333333336</v>
      </c>
      <c r="F1344" s="10">
        <v>46129.604166666664</v>
      </c>
      <c r="G1344">
        <v>0.5</v>
      </c>
      <c r="H1344" s="9">
        <f t="shared" si="60"/>
        <v>3.0000000000000001E-3</v>
      </c>
      <c r="I1344">
        <v>3.0000000000000001E-3</v>
      </c>
      <c r="M1344" t="s">
        <v>65</v>
      </c>
      <c r="N1344" t="s">
        <v>29</v>
      </c>
      <c r="P1344" t="s">
        <v>30</v>
      </c>
      <c r="Q1344" t="s">
        <v>31</v>
      </c>
      <c r="R1344">
        <v>82640</v>
      </c>
      <c r="S1344" t="s">
        <v>42</v>
      </c>
      <c r="T1344">
        <v>82622</v>
      </c>
      <c r="U1344" t="s">
        <v>147</v>
      </c>
      <c r="V1344" t="s">
        <v>66</v>
      </c>
      <c r="W1344" t="s">
        <v>44</v>
      </c>
      <c r="X1344" t="s">
        <v>44</v>
      </c>
      <c r="Y1344" s="9">
        <f t="shared" si="61"/>
        <v>0</v>
      </c>
      <c r="Z1344" t="str">
        <f t="shared" si="62"/>
        <v>สแกนต่าง Cost</v>
      </c>
    </row>
    <row r="1345" spans="1:26" x14ac:dyDescent="0.45">
      <c r="A1345">
        <v>26609</v>
      </c>
      <c r="B1345" t="s">
        <v>53</v>
      </c>
      <c r="C1345">
        <v>20048905</v>
      </c>
      <c r="D1345" t="s">
        <v>73</v>
      </c>
      <c r="E1345" s="10">
        <v>46129.566666666666</v>
      </c>
      <c r="F1345" s="10">
        <v>46129.979166666664</v>
      </c>
      <c r="G1345">
        <v>8.9</v>
      </c>
      <c r="H1345" s="9">
        <f t="shared" si="60"/>
        <v>4.8000000000000001E-2</v>
      </c>
      <c r="I1345">
        <v>4.8000000000000001E-2</v>
      </c>
      <c r="M1345" t="s">
        <v>65</v>
      </c>
      <c r="N1345" t="s">
        <v>29</v>
      </c>
      <c r="P1345" t="s">
        <v>30</v>
      </c>
      <c r="Q1345" t="s">
        <v>31</v>
      </c>
      <c r="R1345">
        <v>82409</v>
      </c>
      <c r="S1345" t="s">
        <v>74</v>
      </c>
      <c r="T1345">
        <v>82664</v>
      </c>
      <c r="U1345" t="s">
        <v>75</v>
      </c>
      <c r="V1345" t="s">
        <v>75</v>
      </c>
      <c r="W1345" t="s">
        <v>74</v>
      </c>
      <c r="X1345" t="s">
        <v>74</v>
      </c>
      <c r="Y1345" s="9">
        <f t="shared" si="61"/>
        <v>0</v>
      </c>
      <c r="Z1345" t="str">
        <f t="shared" si="62"/>
        <v>สแกนต่าง Cost</v>
      </c>
    </row>
    <row r="1346" spans="1:26" x14ac:dyDescent="0.45">
      <c r="B1346" t="s">
        <v>53</v>
      </c>
      <c r="C1346">
        <v>20167851</v>
      </c>
      <c r="D1346" t="s">
        <v>63</v>
      </c>
      <c r="E1346" s="10">
        <v>46129.5625</v>
      </c>
      <c r="F1346" s="10">
        <v>46129.604166666664</v>
      </c>
      <c r="G1346">
        <v>1</v>
      </c>
      <c r="H1346" s="9">
        <f t="shared" si="60"/>
        <v>5.0000000000000001E-3</v>
      </c>
      <c r="I1346">
        <v>5.0000000000000001E-3</v>
      </c>
      <c r="M1346" t="s">
        <v>65</v>
      </c>
      <c r="N1346" t="s">
        <v>29</v>
      </c>
      <c r="P1346" t="s">
        <v>30</v>
      </c>
      <c r="Q1346" t="s">
        <v>31</v>
      </c>
      <c r="R1346">
        <v>82640</v>
      </c>
      <c r="S1346" t="s">
        <v>42</v>
      </c>
      <c r="T1346">
        <v>82630</v>
      </c>
      <c r="U1346" t="s">
        <v>32</v>
      </c>
      <c r="V1346" t="s">
        <v>66</v>
      </c>
      <c r="W1346" t="s">
        <v>44</v>
      </c>
      <c r="X1346" t="s">
        <v>44</v>
      </c>
      <c r="Y1346" s="9">
        <f t="shared" si="61"/>
        <v>0</v>
      </c>
      <c r="Z1346" t="str">
        <f t="shared" si="62"/>
        <v>สแกนต่าง Cost</v>
      </c>
    </row>
    <row r="1347" spans="1:26" x14ac:dyDescent="0.45">
      <c r="B1347" t="s">
        <v>53</v>
      </c>
      <c r="C1347">
        <v>20018899</v>
      </c>
      <c r="D1347" t="s">
        <v>64</v>
      </c>
      <c r="E1347" s="10">
        <v>46129.541666666664</v>
      </c>
      <c r="F1347" s="10">
        <v>46129.729166666664</v>
      </c>
      <c r="G1347">
        <v>4.5</v>
      </c>
      <c r="H1347" s="9">
        <f t="shared" ref="H1347:H1410" si="63">SUM(I1347:L1347)</f>
        <v>2.4E-2</v>
      </c>
      <c r="I1347">
        <v>2.4E-2</v>
      </c>
      <c r="M1347" t="s">
        <v>65</v>
      </c>
      <c r="N1347" t="s">
        <v>29</v>
      </c>
      <c r="P1347" t="s">
        <v>30</v>
      </c>
      <c r="Q1347" t="s">
        <v>31</v>
      </c>
      <c r="R1347">
        <v>82640</v>
      </c>
      <c r="S1347" t="s">
        <v>42</v>
      </c>
      <c r="T1347">
        <v>82652</v>
      </c>
      <c r="U1347" t="s">
        <v>46</v>
      </c>
      <c r="V1347" t="s">
        <v>66</v>
      </c>
      <c r="W1347" t="s">
        <v>37</v>
      </c>
      <c r="X1347" t="s">
        <v>34</v>
      </c>
      <c r="Y1347" s="9">
        <f t="shared" ref="Y1347:Y1410" si="64">SUM(J1347:L1347)</f>
        <v>0</v>
      </c>
      <c r="Z1347" t="str">
        <f t="shared" ref="Z1347:Z1410" si="65">IF(R1347=T1347,"สแกน Cost ตัวเอง","สแกนต่าง Cost")</f>
        <v>สแกนต่าง Cost</v>
      </c>
    </row>
    <row r="1348" spans="1:26" x14ac:dyDescent="0.45">
      <c r="B1348" t="s">
        <v>53</v>
      </c>
      <c r="C1348">
        <v>20022740</v>
      </c>
      <c r="D1348" t="s">
        <v>259</v>
      </c>
      <c r="E1348" s="10">
        <v>46129.541666666664</v>
      </c>
      <c r="F1348" s="10">
        <v>46129.5625</v>
      </c>
      <c r="G1348">
        <v>0.5</v>
      </c>
      <c r="H1348" s="9">
        <f t="shared" si="63"/>
        <v>3.0000000000000001E-3</v>
      </c>
      <c r="I1348">
        <v>3.0000000000000001E-3</v>
      </c>
      <c r="M1348" t="s">
        <v>65</v>
      </c>
      <c r="N1348" t="s">
        <v>29</v>
      </c>
      <c r="P1348" t="s">
        <v>30</v>
      </c>
      <c r="Q1348" t="s">
        <v>31</v>
      </c>
      <c r="R1348">
        <v>82640</v>
      </c>
      <c r="S1348" t="s">
        <v>42</v>
      </c>
      <c r="T1348">
        <v>82611</v>
      </c>
      <c r="U1348" t="s">
        <v>43</v>
      </c>
      <c r="V1348" t="s">
        <v>66</v>
      </c>
      <c r="W1348" t="s">
        <v>44</v>
      </c>
      <c r="X1348" t="s">
        <v>44</v>
      </c>
      <c r="Y1348" s="9">
        <f t="shared" si="64"/>
        <v>0</v>
      </c>
      <c r="Z1348" t="str">
        <f t="shared" si="65"/>
        <v>สแกนต่าง Cost</v>
      </c>
    </row>
    <row r="1349" spans="1:26" x14ac:dyDescent="0.45">
      <c r="B1349" t="s">
        <v>53</v>
      </c>
      <c r="C1349">
        <v>20060579</v>
      </c>
      <c r="D1349" t="s">
        <v>39</v>
      </c>
      <c r="E1349" s="10">
        <v>46129.541666666664</v>
      </c>
      <c r="F1349" s="10">
        <v>46129.583333333336</v>
      </c>
      <c r="G1349">
        <v>1</v>
      </c>
      <c r="H1349" s="9">
        <f t="shared" si="63"/>
        <v>5.0000000000000001E-3</v>
      </c>
      <c r="I1349">
        <v>5.0000000000000001E-3</v>
      </c>
      <c r="M1349" t="s">
        <v>65</v>
      </c>
      <c r="N1349" t="s">
        <v>29</v>
      </c>
      <c r="P1349" t="s">
        <v>30</v>
      </c>
      <c r="Q1349" t="s">
        <v>31</v>
      </c>
      <c r="R1349">
        <v>82640</v>
      </c>
      <c r="S1349" t="s">
        <v>42</v>
      </c>
      <c r="T1349">
        <v>82630</v>
      </c>
      <c r="U1349" t="s">
        <v>32</v>
      </c>
      <c r="V1349" t="s">
        <v>66</v>
      </c>
      <c r="W1349" t="s">
        <v>44</v>
      </c>
      <c r="X1349" t="s">
        <v>44</v>
      </c>
      <c r="Y1349" s="9">
        <f t="shared" si="64"/>
        <v>0</v>
      </c>
      <c r="Z1349" t="str">
        <f t="shared" si="65"/>
        <v>สแกนต่าง Cost</v>
      </c>
    </row>
    <row r="1350" spans="1:26" x14ac:dyDescent="0.45">
      <c r="B1350" t="s">
        <v>53</v>
      </c>
      <c r="C1350">
        <v>20167851</v>
      </c>
      <c r="D1350" t="s">
        <v>63</v>
      </c>
      <c r="E1350" s="10">
        <v>46129.541666666664</v>
      </c>
      <c r="F1350" s="10">
        <v>46129.5625</v>
      </c>
      <c r="G1350">
        <v>0.5</v>
      </c>
      <c r="H1350" s="9">
        <f t="shared" si="63"/>
        <v>3.0000000000000001E-3</v>
      </c>
      <c r="I1350">
        <v>3.0000000000000001E-3</v>
      </c>
      <c r="M1350" t="s">
        <v>65</v>
      </c>
      <c r="N1350" t="s">
        <v>29</v>
      </c>
      <c r="P1350" t="s">
        <v>30</v>
      </c>
      <c r="Q1350" t="s">
        <v>31</v>
      </c>
      <c r="R1350">
        <v>82640</v>
      </c>
      <c r="S1350" t="s">
        <v>42</v>
      </c>
      <c r="T1350">
        <v>82611</v>
      </c>
      <c r="U1350" t="s">
        <v>43</v>
      </c>
      <c r="V1350" t="s">
        <v>66</v>
      </c>
      <c r="W1350" t="s">
        <v>44</v>
      </c>
      <c r="X1350" t="s">
        <v>44</v>
      </c>
      <c r="Y1350" s="9">
        <f t="shared" si="64"/>
        <v>0</v>
      </c>
      <c r="Z1350" t="str">
        <f t="shared" si="65"/>
        <v>สแกนต่าง Cost</v>
      </c>
    </row>
    <row r="1351" spans="1:26" x14ac:dyDescent="0.45">
      <c r="B1351" t="s">
        <v>53</v>
      </c>
      <c r="C1351">
        <v>20198839</v>
      </c>
      <c r="D1351" t="s">
        <v>258</v>
      </c>
      <c r="E1351" s="10">
        <v>46129.541666666664</v>
      </c>
      <c r="F1351" s="10">
        <v>46129.625</v>
      </c>
      <c r="G1351">
        <v>2</v>
      </c>
      <c r="H1351" s="9">
        <f t="shared" si="63"/>
        <v>1.0999999999999999E-2</v>
      </c>
      <c r="I1351">
        <v>1.0999999999999999E-2</v>
      </c>
      <c r="M1351" t="s">
        <v>65</v>
      </c>
      <c r="N1351" t="s">
        <v>29</v>
      </c>
      <c r="P1351" t="s">
        <v>30</v>
      </c>
      <c r="Q1351" t="s">
        <v>31</v>
      </c>
      <c r="R1351">
        <v>82640</v>
      </c>
      <c r="S1351" t="s">
        <v>42</v>
      </c>
      <c r="T1351">
        <v>82611</v>
      </c>
      <c r="U1351" t="s">
        <v>43</v>
      </c>
      <c r="V1351" t="s">
        <v>66</v>
      </c>
      <c r="W1351" t="s">
        <v>44</v>
      </c>
      <c r="X1351" t="s">
        <v>44</v>
      </c>
      <c r="Y1351" s="9">
        <f t="shared" si="64"/>
        <v>0</v>
      </c>
      <c r="Z1351" t="str">
        <f t="shared" si="65"/>
        <v>สแกนต่าง Cost</v>
      </c>
    </row>
    <row r="1352" spans="1:26" x14ac:dyDescent="0.45">
      <c r="B1352" t="s">
        <v>53</v>
      </c>
      <c r="C1352">
        <v>20220646</v>
      </c>
      <c r="D1352" t="s">
        <v>67</v>
      </c>
      <c r="E1352" s="10">
        <v>46129.541666666664</v>
      </c>
      <c r="F1352" s="10">
        <v>46129.729166666664</v>
      </c>
      <c r="G1352">
        <v>4.5</v>
      </c>
      <c r="H1352" s="9">
        <f t="shared" si="63"/>
        <v>2.4E-2</v>
      </c>
      <c r="I1352">
        <v>2.4E-2</v>
      </c>
      <c r="M1352" t="s">
        <v>65</v>
      </c>
      <c r="N1352" t="s">
        <v>29</v>
      </c>
      <c r="P1352" t="s">
        <v>30</v>
      </c>
      <c r="Q1352" t="s">
        <v>31</v>
      </c>
      <c r="R1352">
        <v>82640</v>
      </c>
      <c r="S1352" t="s">
        <v>42</v>
      </c>
      <c r="T1352">
        <v>82652</v>
      </c>
      <c r="U1352" t="s">
        <v>46</v>
      </c>
      <c r="V1352" t="s">
        <v>66</v>
      </c>
      <c r="W1352" t="s">
        <v>37</v>
      </c>
      <c r="X1352" t="s">
        <v>34</v>
      </c>
      <c r="Y1352" s="9">
        <f t="shared" si="64"/>
        <v>0</v>
      </c>
      <c r="Z1352" t="str">
        <f t="shared" si="65"/>
        <v>สแกนต่าง Cost</v>
      </c>
    </row>
    <row r="1353" spans="1:26" x14ac:dyDescent="0.45">
      <c r="B1353" t="s">
        <v>53</v>
      </c>
      <c r="C1353">
        <v>20244923</v>
      </c>
      <c r="D1353" t="s">
        <v>246</v>
      </c>
      <c r="E1353" s="10">
        <v>46129.541666666664</v>
      </c>
      <c r="F1353" s="10">
        <v>46129.729166666664</v>
      </c>
      <c r="G1353">
        <v>4.5</v>
      </c>
      <c r="H1353" s="9">
        <f t="shared" si="63"/>
        <v>2.4E-2</v>
      </c>
      <c r="I1353">
        <v>2.4E-2</v>
      </c>
      <c r="M1353" t="s">
        <v>65</v>
      </c>
      <c r="N1353" t="s">
        <v>29</v>
      </c>
      <c r="P1353" t="s">
        <v>30</v>
      </c>
      <c r="Q1353" t="s">
        <v>31</v>
      </c>
      <c r="R1353">
        <v>82640</v>
      </c>
      <c r="S1353" t="s">
        <v>42</v>
      </c>
      <c r="T1353">
        <v>82630</v>
      </c>
      <c r="U1353" t="s">
        <v>32</v>
      </c>
      <c r="V1353" t="s">
        <v>66</v>
      </c>
      <c r="W1353" t="s">
        <v>44</v>
      </c>
      <c r="X1353" t="s">
        <v>44</v>
      </c>
      <c r="Y1353" s="9">
        <f t="shared" si="64"/>
        <v>0</v>
      </c>
      <c r="Z1353" t="str">
        <f t="shared" si="65"/>
        <v>สแกนต่าง Cost</v>
      </c>
    </row>
    <row r="1354" spans="1:26" x14ac:dyDescent="0.45">
      <c r="B1354" t="s">
        <v>53</v>
      </c>
      <c r="C1354">
        <v>20280718</v>
      </c>
      <c r="D1354" t="s">
        <v>256</v>
      </c>
      <c r="E1354" s="10">
        <v>46129.541666666664</v>
      </c>
      <c r="F1354" s="10">
        <v>46129.583333333336</v>
      </c>
      <c r="G1354">
        <v>1</v>
      </c>
      <c r="H1354" s="9">
        <f t="shared" si="63"/>
        <v>5.0000000000000001E-3</v>
      </c>
      <c r="I1354">
        <v>5.0000000000000001E-3</v>
      </c>
      <c r="M1354" t="s">
        <v>65</v>
      </c>
      <c r="N1354" t="s">
        <v>29</v>
      </c>
      <c r="P1354" t="s">
        <v>30</v>
      </c>
      <c r="Q1354" t="s">
        <v>31</v>
      </c>
      <c r="R1354">
        <v>82640</v>
      </c>
      <c r="S1354" t="s">
        <v>42</v>
      </c>
      <c r="T1354">
        <v>82630</v>
      </c>
      <c r="U1354" t="s">
        <v>32</v>
      </c>
      <c r="V1354" t="s">
        <v>66</v>
      </c>
      <c r="W1354" t="s">
        <v>44</v>
      </c>
      <c r="X1354" t="s">
        <v>44</v>
      </c>
      <c r="Y1354" s="9">
        <f t="shared" si="64"/>
        <v>0</v>
      </c>
      <c r="Z1354" t="str">
        <f t="shared" si="65"/>
        <v>สแกนต่าง Cost</v>
      </c>
    </row>
    <row r="1355" spans="1:26" x14ac:dyDescent="0.45">
      <c r="B1355" t="s">
        <v>53</v>
      </c>
      <c r="C1355">
        <v>20310530</v>
      </c>
      <c r="D1355" t="s">
        <v>220</v>
      </c>
      <c r="E1355" s="10">
        <v>46129.541666666664</v>
      </c>
      <c r="F1355" s="10">
        <v>46129.5625</v>
      </c>
      <c r="G1355">
        <v>0.5</v>
      </c>
      <c r="H1355" s="9">
        <f t="shared" si="63"/>
        <v>3.0000000000000001E-3</v>
      </c>
      <c r="I1355">
        <v>3.0000000000000001E-3</v>
      </c>
      <c r="M1355" t="s">
        <v>65</v>
      </c>
      <c r="N1355" t="s">
        <v>29</v>
      </c>
      <c r="P1355" t="s">
        <v>30</v>
      </c>
      <c r="Q1355" t="s">
        <v>31</v>
      </c>
      <c r="R1355">
        <v>82640</v>
      </c>
      <c r="S1355" t="s">
        <v>42</v>
      </c>
      <c r="T1355">
        <v>82630</v>
      </c>
      <c r="U1355" t="s">
        <v>32</v>
      </c>
      <c r="V1355" t="s">
        <v>66</v>
      </c>
      <c r="W1355" t="s">
        <v>44</v>
      </c>
      <c r="X1355" t="s">
        <v>44</v>
      </c>
      <c r="Y1355" s="9">
        <f t="shared" si="64"/>
        <v>0</v>
      </c>
      <c r="Z1355" t="str">
        <f t="shared" si="65"/>
        <v>สแกนต่าง Cost</v>
      </c>
    </row>
    <row r="1356" spans="1:26" x14ac:dyDescent="0.45">
      <c r="B1356" t="s">
        <v>53</v>
      </c>
      <c r="C1356">
        <v>20310532</v>
      </c>
      <c r="D1356" t="s">
        <v>61</v>
      </c>
      <c r="E1356" s="10">
        <v>46129.541666666664</v>
      </c>
      <c r="F1356" s="10">
        <v>46129.729166666664</v>
      </c>
      <c r="G1356">
        <v>4.5</v>
      </c>
      <c r="H1356" s="9">
        <f t="shared" si="63"/>
        <v>2.4E-2</v>
      </c>
      <c r="I1356">
        <v>2.4E-2</v>
      </c>
      <c r="M1356" t="s">
        <v>65</v>
      </c>
      <c r="N1356" t="s">
        <v>29</v>
      </c>
      <c r="P1356" t="s">
        <v>30</v>
      </c>
      <c r="Q1356" t="s">
        <v>31</v>
      </c>
      <c r="R1356">
        <v>82640</v>
      </c>
      <c r="S1356" t="s">
        <v>42</v>
      </c>
      <c r="T1356">
        <v>82630</v>
      </c>
      <c r="U1356" t="s">
        <v>32</v>
      </c>
      <c r="V1356" t="s">
        <v>66</v>
      </c>
      <c r="W1356" t="s">
        <v>44</v>
      </c>
      <c r="X1356" t="s">
        <v>44</v>
      </c>
      <c r="Y1356" s="9">
        <f t="shared" si="64"/>
        <v>0</v>
      </c>
      <c r="Z1356" t="str">
        <f t="shared" si="65"/>
        <v>สแกนต่าง Cost</v>
      </c>
    </row>
    <row r="1357" spans="1:26" x14ac:dyDescent="0.45">
      <c r="B1357" t="s">
        <v>53</v>
      </c>
      <c r="C1357">
        <v>20332134</v>
      </c>
      <c r="D1357" t="s">
        <v>156</v>
      </c>
      <c r="E1357" s="10">
        <v>46129.541666666664</v>
      </c>
      <c r="F1357" s="10">
        <v>46129.729166666664</v>
      </c>
      <c r="G1357">
        <v>4.5</v>
      </c>
      <c r="H1357" s="9">
        <f t="shared" si="63"/>
        <v>2.4E-2</v>
      </c>
      <c r="I1357">
        <v>2.4E-2</v>
      </c>
      <c r="M1357" t="s">
        <v>65</v>
      </c>
      <c r="N1357" t="s">
        <v>29</v>
      </c>
      <c r="P1357" t="s">
        <v>30</v>
      </c>
      <c r="Q1357" t="s">
        <v>31</v>
      </c>
      <c r="R1357">
        <v>82640</v>
      </c>
      <c r="S1357" t="s">
        <v>42</v>
      </c>
      <c r="T1357">
        <v>82630</v>
      </c>
      <c r="U1357" t="s">
        <v>32</v>
      </c>
      <c r="V1357" t="s">
        <v>66</v>
      </c>
      <c r="W1357" t="s">
        <v>44</v>
      </c>
      <c r="X1357" t="s">
        <v>44</v>
      </c>
      <c r="Y1357" s="9">
        <f t="shared" si="64"/>
        <v>0</v>
      </c>
      <c r="Z1357" t="str">
        <f t="shared" si="65"/>
        <v>สแกนต่าง Cost</v>
      </c>
    </row>
    <row r="1358" spans="1:26" x14ac:dyDescent="0.45">
      <c r="B1358" t="s">
        <v>53</v>
      </c>
      <c r="C1358">
        <v>20340657</v>
      </c>
      <c r="D1358" t="s">
        <v>221</v>
      </c>
      <c r="E1358" s="10">
        <v>46129.541666666664</v>
      </c>
      <c r="F1358" s="10">
        <v>46129.729166666664</v>
      </c>
      <c r="G1358">
        <v>4.5</v>
      </c>
      <c r="H1358" s="9">
        <f t="shared" si="63"/>
        <v>2.4E-2</v>
      </c>
      <c r="I1358">
        <v>2.4E-2</v>
      </c>
      <c r="M1358" t="s">
        <v>65</v>
      </c>
      <c r="N1358" t="s">
        <v>29</v>
      </c>
      <c r="P1358" t="s">
        <v>30</v>
      </c>
      <c r="Q1358" t="s">
        <v>31</v>
      </c>
      <c r="R1358">
        <v>82640</v>
      </c>
      <c r="S1358" t="s">
        <v>42</v>
      </c>
      <c r="T1358">
        <v>82612</v>
      </c>
      <c r="U1358" t="s">
        <v>153</v>
      </c>
      <c r="V1358" t="s">
        <v>66</v>
      </c>
      <c r="W1358" t="s">
        <v>44</v>
      </c>
      <c r="X1358" t="s">
        <v>44</v>
      </c>
      <c r="Y1358" s="9">
        <f t="shared" si="64"/>
        <v>0</v>
      </c>
      <c r="Z1358" t="str">
        <f t="shared" si="65"/>
        <v>สแกนต่าง Cost</v>
      </c>
    </row>
    <row r="1359" spans="1:26" x14ac:dyDescent="0.45">
      <c r="A1359">
        <v>26608</v>
      </c>
      <c r="B1359" t="s">
        <v>53</v>
      </c>
      <c r="C1359">
        <v>20198660</v>
      </c>
      <c r="D1359" t="s">
        <v>150</v>
      </c>
      <c r="E1359" s="10">
        <v>46129.5</v>
      </c>
      <c r="F1359" s="10">
        <v>46129.729166666664</v>
      </c>
      <c r="G1359">
        <v>4.5</v>
      </c>
      <c r="H1359" s="9">
        <f t="shared" si="63"/>
        <v>2.4E-2</v>
      </c>
      <c r="I1359">
        <v>2.4E-2</v>
      </c>
      <c r="M1359" t="s">
        <v>65</v>
      </c>
      <c r="N1359" t="s">
        <v>29</v>
      </c>
      <c r="P1359" t="s">
        <v>30</v>
      </c>
      <c r="Q1359" t="s">
        <v>31</v>
      </c>
      <c r="R1359">
        <v>82640</v>
      </c>
      <c r="S1359" t="s">
        <v>42</v>
      </c>
      <c r="T1359">
        <v>82611</v>
      </c>
      <c r="U1359" t="s">
        <v>43</v>
      </c>
      <c r="V1359" t="s">
        <v>43</v>
      </c>
      <c r="W1359" t="s">
        <v>47</v>
      </c>
      <c r="X1359" t="s">
        <v>192</v>
      </c>
      <c r="Y1359" s="9">
        <f t="shared" si="64"/>
        <v>0</v>
      </c>
      <c r="Z1359" t="str">
        <f t="shared" si="65"/>
        <v>สแกนต่าง Cost</v>
      </c>
    </row>
    <row r="1360" spans="1:26" x14ac:dyDescent="0.45">
      <c r="B1360" t="s">
        <v>53</v>
      </c>
      <c r="C1360">
        <v>20022740</v>
      </c>
      <c r="D1360" t="s">
        <v>259</v>
      </c>
      <c r="E1360" s="10">
        <v>46129.458333333336</v>
      </c>
      <c r="F1360" s="10">
        <v>46129.5</v>
      </c>
      <c r="G1360">
        <v>1</v>
      </c>
      <c r="H1360" s="9">
        <f t="shared" si="63"/>
        <v>5.0000000000000001E-3</v>
      </c>
      <c r="I1360">
        <v>5.0000000000000001E-3</v>
      </c>
      <c r="M1360" t="s">
        <v>65</v>
      </c>
      <c r="N1360" t="s">
        <v>29</v>
      </c>
      <c r="P1360" t="s">
        <v>30</v>
      </c>
      <c r="Q1360" t="s">
        <v>31</v>
      </c>
      <c r="R1360">
        <v>82640</v>
      </c>
      <c r="S1360" t="s">
        <v>42</v>
      </c>
      <c r="T1360">
        <v>82611</v>
      </c>
      <c r="U1360" t="s">
        <v>43</v>
      </c>
      <c r="V1360" t="s">
        <v>66</v>
      </c>
      <c r="W1360" t="s">
        <v>44</v>
      </c>
      <c r="X1360" t="s">
        <v>44</v>
      </c>
      <c r="Y1360" s="9">
        <f t="shared" si="64"/>
        <v>0</v>
      </c>
      <c r="Z1360" t="str">
        <f t="shared" si="65"/>
        <v>สแกนต่าง Cost</v>
      </c>
    </row>
    <row r="1361" spans="1:26" x14ac:dyDescent="0.45">
      <c r="B1361" t="s">
        <v>53</v>
      </c>
      <c r="C1361">
        <v>20280718</v>
      </c>
      <c r="D1361" t="s">
        <v>256</v>
      </c>
      <c r="E1361" s="10">
        <v>46129.4375</v>
      </c>
      <c r="F1361" s="10">
        <v>46129.5</v>
      </c>
      <c r="G1361">
        <v>1.5</v>
      </c>
      <c r="H1361" s="9">
        <f t="shared" si="63"/>
        <v>8.0000000000000002E-3</v>
      </c>
      <c r="I1361">
        <v>8.0000000000000002E-3</v>
      </c>
      <c r="M1361" t="s">
        <v>65</v>
      </c>
      <c r="N1361" t="s">
        <v>29</v>
      </c>
      <c r="P1361" t="s">
        <v>30</v>
      </c>
      <c r="Q1361" t="s">
        <v>31</v>
      </c>
      <c r="R1361">
        <v>82640</v>
      </c>
      <c r="S1361" t="s">
        <v>42</v>
      </c>
      <c r="T1361">
        <v>82611</v>
      </c>
      <c r="U1361" t="s">
        <v>43</v>
      </c>
      <c r="V1361" t="s">
        <v>66</v>
      </c>
      <c r="W1361" t="s">
        <v>44</v>
      </c>
      <c r="X1361" t="s">
        <v>44</v>
      </c>
      <c r="Y1361" s="9">
        <f t="shared" si="64"/>
        <v>0</v>
      </c>
      <c r="Z1361" t="str">
        <f t="shared" si="65"/>
        <v>สแกนต่าง Cost</v>
      </c>
    </row>
    <row r="1362" spans="1:26" x14ac:dyDescent="0.45">
      <c r="B1362" t="s">
        <v>53</v>
      </c>
      <c r="C1362">
        <v>20167851</v>
      </c>
      <c r="D1362" t="s">
        <v>63</v>
      </c>
      <c r="E1362" s="10">
        <v>46129.416666666664</v>
      </c>
      <c r="F1362" s="10">
        <v>46129.458333333336</v>
      </c>
      <c r="G1362">
        <v>1</v>
      </c>
      <c r="H1362" s="9">
        <f t="shared" si="63"/>
        <v>5.0000000000000001E-3</v>
      </c>
      <c r="I1362">
        <v>5.0000000000000001E-3</v>
      </c>
      <c r="M1362" t="s">
        <v>65</v>
      </c>
      <c r="N1362" t="s">
        <v>29</v>
      </c>
      <c r="P1362" t="s">
        <v>30</v>
      </c>
      <c r="Q1362" t="s">
        <v>31</v>
      </c>
      <c r="R1362">
        <v>82640</v>
      </c>
      <c r="S1362" t="s">
        <v>42</v>
      </c>
      <c r="T1362">
        <v>82630</v>
      </c>
      <c r="U1362" t="s">
        <v>32</v>
      </c>
      <c r="V1362" t="s">
        <v>66</v>
      </c>
      <c r="W1362" t="s">
        <v>44</v>
      </c>
      <c r="X1362" t="s">
        <v>44</v>
      </c>
      <c r="Y1362" s="9">
        <f t="shared" si="64"/>
        <v>0</v>
      </c>
      <c r="Z1362" t="str">
        <f t="shared" si="65"/>
        <v>สแกนต่าง Cost</v>
      </c>
    </row>
    <row r="1363" spans="1:26" x14ac:dyDescent="0.45">
      <c r="B1363" t="s">
        <v>53</v>
      </c>
      <c r="C1363">
        <v>20280718</v>
      </c>
      <c r="D1363" t="s">
        <v>256</v>
      </c>
      <c r="E1363" s="10">
        <v>46129.416666666664</v>
      </c>
      <c r="F1363" s="10">
        <v>46129.4375</v>
      </c>
      <c r="G1363">
        <v>0.5</v>
      </c>
      <c r="H1363" s="9">
        <f t="shared" si="63"/>
        <v>3.0000000000000001E-3</v>
      </c>
      <c r="I1363">
        <v>3.0000000000000001E-3</v>
      </c>
      <c r="M1363" t="s">
        <v>65</v>
      </c>
      <c r="N1363" t="s">
        <v>29</v>
      </c>
      <c r="P1363" t="s">
        <v>30</v>
      </c>
      <c r="Q1363" t="s">
        <v>31</v>
      </c>
      <c r="R1363">
        <v>82640</v>
      </c>
      <c r="S1363" t="s">
        <v>42</v>
      </c>
      <c r="T1363">
        <v>82630</v>
      </c>
      <c r="U1363" t="s">
        <v>32</v>
      </c>
      <c r="V1363" t="s">
        <v>66</v>
      </c>
      <c r="W1363" t="s">
        <v>44</v>
      </c>
      <c r="X1363" t="s">
        <v>44</v>
      </c>
      <c r="Y1363" s="9">
        <f t="shared" si="64"/>
        <v>0</v>
      </c>
      <c r="Z1363" t="str">
        <f t="shared" si="65"/>
        <v>สแกนต่าง Cost</v>
      </c>
    </row>
    <row r="1364" spans="1:26" x14ac:dyDescent="0.45">
      <c r="B1364" t="s">
        <v>53</v>
      </c>
      <c r="C1364">
        <v>20332134</v>
      </c>
      <c r="D1364" t="s">
        <v>156</v>
      </c>
      <c r="E1364" s="10">
        <v>46129.416666666664</v>
      </c>
      <c r="F1364" s="10">
        <v>46129.5</v>
      </c>
      <c r="G1364">
        <v>2</v>
      </c>
      <c r="H1364" s="9">
        <f t="shared" si="63"/>
        <v>1.0999999999999999E-2</v>
      </c>
      <c r="I1364">
        <v>1.0999999999999999E-2</v>
      </c>
      <c r="M1364" t="s">
        <v>65</v>
      </c>
      <c r="N1364" t="s">
        <v>29</v>
      </c>
      <c r="P1364" t="s">
        <v>30</v>
      </c>
      <c r="Q1364" t="s">
        <v>31</v>
      </c>
      <c r="R1364">
        <v>82640</v>
      </c>
      <c r="S1364" t="s">
        <v>42</v>
      </c>
      <c r="T1364">
        <v>82612</v>
      </c>
      <c r="U1364" t="s">
        <v>153</v>
      </c>
      <c r="V1364" t="s">
        <v>66</v>
      </c>
      <c r="W1364" t="s">
        <v>44</v>
      </c>
      <c r="X1364" t="s">
        <v>44</v>
      </c>
      <c r="Y1364" s="9">
        <f t="shared" si="64"/>
        <v>0</v>
      </c>
      <c r="Z1364" t="str">
        <f t="shared" si="65"/>
        <v>สแกนต่าง Cost</v>
      </c>
    </row>
    <row r="1365" spans="1:26" x14ac:dyDescent="0.45">
      <c r="B1365" t="s">
        <v>53</v>
      </c>
      <c r="C1365">
        <v>20198839</v>
      </c>
      <c r="D1365" t="s">
        <v>258</v>
      </c>
      <c r="E1365" s="10">
        <v>46129.395833333336</v>
      </c>
      <c r="F1365" s="10">
        <v>46129.4375</v>
      </c>
      <c r="G1365">
        <v>1</v>
      </c>
      <c r="H1365" s="9">
        <f t="shared" si="63"/>
        <v>5.0000000000000001E-3</v>
      </c>
      <c r="I1365">
        <v>5.0000000000000001E-3</v>
      </c>
      <c r="M1365" t="s">
        <v>65</v>
      </c>
      <c r="N1365" t="s">
        <v>29</v>
      </c>
      <c r="P1365" t="s">
        <v>30</v>
      </c>
      <c r="Q1365" t="s">
        <v>31</v>
      </c>
      <c r="R1365">
        <v>82640</v>
      </c>
      <c r="S1365" t="s">
        <v>42</v>
      </c>
      <c r="T1365">
        <v>82611</v>
      </c>
      <c r="U1365" t="s">
        <v>43</v>
      </c>
      <c r="V1365" t="s">
        <v>66</v>
      </c>
      <c r="W1365" t="s">
        <v>44</v>
      </c>
      <c r="X1365" t="s">
        <v>44</v>
      </c>
      <c r="Y1365" s="9">
        <f t="shared" si="64"/>
        <v>0</v>
      </c>
      <c r="Z1365" t="str">
        <f t="shared" si="65"/>
        <v>สแกนต่าง Cost</v>
      </c>
    </row>
    <row r="1366" spans="1:26" x14ac:dyDescent="0.45">
      <c r="A1366">
        <v>26606</v>
      </c>
      <c r="B1366" t="s">
        <v>53</v>
      </c>
      <c r="C1366">
        <v>20015676</v>
      </c>
      <c r="D1366" t="s">
        <v>332</v>
      </c>
      <c r="E1366" s="10">
        <v>46129.375</v>
      </c>
      <c r="F1366" s="10">
        <v>46129.729166666664</v>
      </c>
      <c r="G1366">
        <v>7.5</v>
      </c>
      <c r="H1366" s="9">
        <f t="shared" si="63"/>
        <v>0.04</v>
      </c>
      <c r="I1366">
        <v>0.04</v>
      </c>
      <c r="M1366" t="s">
        <v>65</v>
      </c>
      <c r="N1366" t="s">
        <v>29</v>
      </c>
      <c r="P1366" t="s">
        <v>30</v>
      </c>
      <c r="Q1366" t="s">
        <v>31</v>
      </c>
      <c r="R1366">
        <v>82640</v>
      </c>
      <c r="S1366" t="s">
        <v>42</v>
      </c>
      <c r="T1366">
        <v>82622</v>
      </c>
      <c r="U1366" t="s">
        <v>147</v>
      </c>
      <c r="V1366" t="s">
        <v>147</v>
      </c>
      <c r="W1366" t="s">
        <v>47</v>
      </c>
      <c r="X1366" t="s">
        <v>95</v>
      </c>
      <c r="Y1366" s="9">
        <f t="shared" si="64"/>
        <v>0</v>
      </c>
      <c r="Z1366" t="str">
        <f t="shared" si="65"/>
        <v>สแกนต่าง Cost</v>
      </c>
    </row>
    <row r="1367" spans="1:26" x14ac:dyDescent="0.45">
      <c r="B1367" t="s">
        <v>53</v>
      </c>
      <c r="C1367">
        <v>20244923</v>
      </c>
      <c r="D1367" t="s">
        <v>246</v>
      </c>
      <c r="E1367" s="10">
        <v>46129.375</v>
      </c>
      <c r="F1367" s="10">
        <v>46129.5</v>
      </c>
      <c r="G1367">
        <v>3</v>
      </c>
      <c r="H1367" s="9">
        <f t="shared" si="63"/>
        <v>1.6E-2</v>
      </c>
      <c r="I1367">
        <v>1.6E-2</v>
      </c>
      <c r="M1367" t="s">
        <v>65</v>
      </c>
      <c r="N1367" t="s">
        <v>29</v>
      </c>
      <c r="P1367" t="s">
        <v>30</v>
      </c>
      <c r="Q1367" t="s">
        <v>31</v>
      </c>
      <c r="R1367">
        <v>82640</v>
      </c>
      <c r="S1367" t="s">
        <v>42</v>
      </c>
      <c r="T1367">
        <v>82630</v>
      </c>
      <c r="U1367" t="s">
        <v>32</v>
      </c>
      <c r="V1367" t="s">
        <v>66</v>
      </c>
      <c r="W1367" t="s">
        <v>44</v>
      </c>
      <c r="X1367" t="s">
        <v>44</v>
      </c>
      <c r="Y1367" s="9">
        <f t="shared" si="64"/>
        <v>0</v>
      </c>
      <c r="Z1367" t="str">
        <f t="shared" si="65"/>
        <v>สแกนต่าง Cost</v>
      </c>
    </row>
    <row r="1368" spans="1:26" x14ac:dyDescent="0.45">
      <c r="B1368" t="s">
        <v>53</v>
      </c>
      <c r="C1368">
        <v>20280718</v>
      </c>
      <c r="D1368" t="s">
        <v>256</v>
      </c>
      <c r="E1368" s="10">
        <v>46129.375</v>
      </c>
      <c r="F1368" s="10">
        <v>46129.416666666664</v>
      </c>
      <c r="G1368">
        <v>1</v>
      </c>
      <c r="H1368" s="9">
        <f t="shared" si="63"/>
        <v>5.0000000000000001E-3</v>
      </c>
      <c r="I1368">
        <v>5.0000000000000001E-3</v>
      </c>
      <c r="M1368" t="s">
        <v>65</v>
      </c>
      <c r="N1368" t="s">
        <v>29</v>
      </c>
      <c r="P1368" t="s">
        <v>30</v>
      </c>
      <c r="Q1368" t="s">
        <v>31</v>
      </c>
      <c r="R1368">
        <v>82640</v>
      </c>
      <c r="S1368" t="s">
        <v>42</v>
      </c>
      <c r="T1368">
        <v>82611</v>
      </c>
      <c r="U1368" t="s">
        <v>43</v>
      </c>
      <c r="V1368" t="s">
        <v>66</v>
      </c>
      <c r="W1368" t="s">
        <v>44</v>
      </c>
      <c r="X1368" t="s">
        <v>44</v>
      </c>
      <c r="Y1368" s="9">
        <f t="shared" si="64"/>
        <v>0</v>
      </c>
      <c r="Z1368" t="str">
        <f t="shared" si="65"/>
        <v>สแกนต่าง Cost</v>
      </c>
    </row>
    <row r="1369" spans="1:26" x14ac:dyDescent="0.45">
      <c r="A1369">
        <v>26607</v>
      </c>
      <c r="B1369" t="s">
        <v>53</v>
      </c>
      <c r="C1369">
        <v>20311577</v>
      </c>
      <c r="D1369" t="s">
        <v>333</v>
      </c>
      <c r="E1369" s="10">
        <v>46129.375</v>
      </c>
      <c r="F1369" s="10">
        <v>46129.729166666664</v>
      </c>
      <c r="G1369">
        <v>7.5</v>
      </c>
      <c r="H1369" s="9">
        <f t="shared" si="63"/>
        <v>0.04</v>
      </c>
      <c r="I1369">
        <v>0.04</v>
      </c>
      <c r="M1369" t="s">
        <v>65</v>
      </c>
      <c r="N1369" t="s">
        <v>29</v>
      </c>
      <c r="P1369" t="s">
        <v>30</v>
      </c>
      <c r="Q1369" t="s">
        <v>31</v>
      </c>
      <c r="R1369">
        <v>82640</v>
      </c>
      <c r="S1369" t="s">
        <v>42</v>
      </c>
      <c r="T1369">
        <v>82622</v>
      </c>
      <c r="U1369" t="s">
        <v>147</v>
      </c>
      <c r="V1369" t="s">
        <v>147</v>
      </c>
      <c r="W1369" t="s">
        <v>47</v>
      </c>
      <c r="X1369" t="s">
        <v>95</v>
      </c>
      <c r="Y1369" s="9">
        <f t="shared" si="64"/>
        <v>0</v>
      </c>
      <c r="Z1369" t="str">
        <f t="shared" si="65"/>
        <v>สแกนต่าง Cost</v>
      </c>
    </row>
    <row r="1370" spans="1:26" x14ac:dyDescent="0.45">
      <c r="B1370" t="s">
        <v>53</v>
      </c>
      <c r="C1370">
        <v>20399641</v>
      </c>
      <c r="D1370" t="s">
        <v>334</v>
      </c>
      <c r="E1370" s="10">
        <v>46129.375</v>
      </c>
      <c r="F1370" s="10">
        <v>46129.729166666664</v>
      </c>
      <c r="G1370">
        <v>7.5</v>
      </c>
      <c r="H1370" s="9">
        <f t="shared" si="63"/>
        <v>0.04</v>
      </c>
      <c r="I1370">
        <v>0.04</v>
      </c>
      <c r="M1370" t="s">
        <v>65</v>
      </c>
      <c r="N1370" t="s">
        <v>29</v>
      </c>
      <c r="P1370" t="s">
        <v>30</v>
      </c>
      <c r="Q1370" t="s">
        <v>31</v>
      </c>
      <c r="R1370">
        <v>82640</v>
      </c>
      <c r="S1370" t="s">
        <v>42</v>
      </c>
      <c r="T1370">
        <v>82622</v>
      </c>
      <c r="U1370" t="s">
        <v>147</v>
      </c>
      <c r="V1370" t="s">
        <v>147</v>
      </c>
      <c r="W1370" t="s">
        <v>47</v>
      </c>
      <c r="X1370" t="s">
        <v>95</v>
      </c>
      <c r="Y1370" s="9">
        <f t="shared" si="64"/>
        <v>0</v>
      </c>
      <c r="Z1370" t="str">
        <f t="shared" si="65"/>
        <v>สแกนต่าง Cost</v>
      </c>
    </row>
    <row r="1371" spans="1:26" x14ac:dyDescent="0.45">
      <c r="B1371" t="s">
        <v>53</v>
      </c>
      <c r="C1371">
        <v>20244923</v>
      </c>
      <c r="D1371" t="s">
        <v>246</v>
      </c>
      <c r="E1371" s="10">
        <v>46129.354166666664</v>
      </c>
      <c r="F1371" s="10">
        <v>46129.375</v>
      </c>
      <c r="G1371">
        <v>0.5</v>
      </c>
      <c r="H1371" s="9">
        <f t="shared" si="63"/>
        <v>3.0000000000000001E-3</v>
      </c>
      <c r="I1371">
        <v>3.0000000000000001E-3</v>
      </c>
      <c r="M1371" t="s">
        <v>65</v>
      </c>
      <c r="N1371" t="s">
        <v>29</v>
      </c>
      <c r="P1371" t="s">
        <v>30</v>
      </c>
      <c r="Q1371" t="s">
        <v>31</v>
      </c>
      <c r="R1371">
        <v>82640</v>
      </c>
      <c r="S1371" t="s">
        <v>42</v>
      </c>
      <c r="T1371">
        <v>82611</v>
      </c>
      <c r="U1371" t="s">
        <v>43</v>
      </c>
      <c r="V1371" t="s">
        <v>66</v>
      </c>
      <c r="W1371" t="s">
        <v>44</v>
      </c>
      <c r="X1371" t="s">
        <v>44</v>
      </c>
      <c r="Y1371" s="9">
        <f t="shared" si="64"/>
        <v>0</v>
      </c>
      <c r="Z1371" t="str">
        <f t="shared" si="65"/>
        <v>สแกนต่าง Cost</v>
      </c>
    </row>
    <row r="1372" spans="1:26" x14ac:dyDescent="0.45">
      <c r="B1372" t="s">
        <v>53</v>
      </c>
      <c r="C1372">
        <v>20280718</v>
      </c>
      <c r="D1372" t="s">
        <v>256</v>
      </c>
      <c r="E1372" s="10">
        <v>46129.354166666664</v>
      </c>
      <c r="F1372" s="10">
        <v>46129.375</v>
      </c>
      <c r="G1372">
        <v>0.5</v>
      </c>
      <c r="H1372" s="9">
        <f t="shared" si="63"/>
        <v>3.0000000000000001E-3</v>
      </c>
      <c r="I1372">
        <v>3.0000000000000001E-3</v>
      </c>
      <c r="M1372" t="s">
        <v>65</v>
      </c>
      <c r="N1372" t="s">
        <v>29</v>
      </c>
      <c r="P1372" t="s">
        <v>30</v>
      </c>
      <c r="Q1372" t="s">
        <v>31</v>
      </c>
      <c r="R1372">
        <v>82640</v>
      </c>
      <c r="S1372" t="s">
        <v>42</v>
      </c>
      <c r="T1372">
        <v>82630</v>
      </c>
      <c r="U1372" t="s">
        <v>32</v>
      </c>
      <c r="V1372" t="s">
        <v>66</v>
      </c>
      <c r="W1372" t="s">
        <v>44</v>
      </c>
      <c r="X1372" t="s">
        <v>44</v>
      </c>
      <c r="Y1372" s="9">
        <f t="shared" si="64"/>
        <v>0</v>
      </c>
      <c r="Z1372" t="str">
        <f t="shared" si="65"/>
        <v>สแกนต่าง Cost</v>
      </c>
    </row>
    <row r="1373" spans="1:26" x14ac:dyDescent="0.45">
      <c r="B1373" t="s">
        <v>53</v>
      </c>
      <c r="C1373">
        <v>20340657</v>
      </c>
      <c r="D1373" t="s">
        <v>221</v>
      </c>
      <c r="E1373" s="10">
        <v>46129.354166666664</v>
      </c>
      <c r="F1373" s="10">
        <v>46129.5</v>
      </c>
      <c r="G1373">
        <v>3.5</v>
      </c>
      <c r="H1373" s="9">
        <f t="shared" si="63"/>
        <v>1.9E-2</v>
      </c>
      <c r="I1373">
        <v>1.9E-2</v>
      </c>
      <c r="M1373" t="s">
        <v>65</v>
      </c>
      <c r="N1373" t="s">
        <v>29</v>
      </c>
      <c r="P1373" t="s">
        <v>30</v>
      </c>
      <c r="Q1373" t="s">
        <v>31</v>
      </c>
      <c r="R1373">
        <v>82640</v>
      </c>
      <c r="S1373" t="s">
        <v>42</v>
      </c>
      <c r="T1373">
        <v>82612</v>
      </c>
      <c r="U1373" t="s">
        <v>153</v>
      </c>
      <c r="V1373" t="s">
        <v>66</v>
      </c>
      <c r="W1373" t="s">
        <v>44</v>
      </c>
      <c r="X1373" t="s">
        <v>44</v>
      </c>
      <c r="Y1373" s="9">
        <f t="shared" si="64"/>
        <v>0</v>
      </c>
      <c r="Z1373" t="str">
        <f t="shared" si="65"/>
        <v>สแกนต่าง Cost</v>
      </c>
    </row>
    <row r="1374" spans="1:26" x14ac:dyDescent="0.45">
      <c r="A1374">
        <v>26509</v>
      </c>
      <c r="B1374" t="s">
        <v>53</v>
      </c>
      <c r="C1374">
        <v>20238364</v>
      </c>
      <c r="D1374" t="s">
        <v>198</v>
      </c>
      <c r="E1374" s="10">
        <v>46129.353472222225</v>
      </c>
      <c r="F1374" s="10">
        <v>46129.729166666664</v>
      </c>
      <c r="G1374">
        <v>8.0166666666666675</v>
      </c>
      <c r="H1374" s="9">
        <f t="shared" si="63"/>
        <v>4.2999999999999997E-2</v>
      </c>
      <c r="I1374">
        <v>4.2999999999999997E-2</v>
      </c>
      <c r="M1374" t="s">
        <v>65</v>
      </c>
      <c r="N1374" t="s">
        <v>29</v>
      </c>
      <c r="P1374" t="s">
        <v>30</v>
      </c>
      <c r="Q1374" t="s">
        <v>31</v>
      </c>
      <c r="R1374">
        <v>82306</v>
      </c>
      <c r="S1374" t="s">
        <v>55</v>
      </c>
      <c r="T1374">
        <v>82920</v>
      </c>
      <c r="U1374" t="s">
        <v>158</v>
      </c>
      <c r="V1374" t="s">
        <v>158</v>
      </c>
      <c r="W1374" t="s">
        <v>159</v>
      </c>
      <c r="X1374" t="s">
        <v>160</v>
      </c>
      <c r="Y1374" s="9">
        <f t="shared" si="64"/>
        <v>0</v>
      </c>
      <c r="Z1374" t="str">
        <f t="shared" si="65"/>
        <v>สแกนต่าง Cost</v>
      </c>
    </row>
    <row r="1375" spans="1:26" x14ac:dyDescent="0.45">
      <c r="B1375" t="s">
        <v>26</v>
      </c>
      <c r="C1375">
        <v>20403252</v>
      </c>
      <c r="D1375" t="s">
        <v>124</v>
      </c>
      <c r="E1375" s="10">
        <v>46129.352083333331</v>
      </c>
      <c r="F1375" s="10">
        <v>46129.830555555556</v>
      </c>
      <c r="G1375">
        <v>10.483333333333333</v>
      </c>
      <c r="H1375" s="9">
        <f t="shared" si="63"/>
        <v>5.6000000000000001E-2</v>
      </c>
      <c r="I1375">
        <v>5.6000000000000001E-2</v>
      </c>
      <c r="M1375" t="s">
        <v>48</v>
      </c>
      <c r="N1375" t="s">
        <v>48</v>
      </c>
      <c r="P1375" t="s">
        <v>30</v>
      </c>
      <c r="Q1375" t="s">
        <v>31</v>
      </c>
      <c r="R1375">
        <v>82400</v>
      </c>
      <c r="S1375" t="s">
        <v>83</v>
      </c>
      <c r="T1375">
        <v>82658</v>
      </c>
      <c r="U1375" t="s">
        <v>33</v>
      </c>
      <c r="V1375" t="s">
        <v>33</v>
      </c>
      <c r="W1375" t="s">
        <v>34</v>
      </c>
      <c r="X1375" t="s">
        <v>34</v>
      </c>
      <c r="Y1375" s="9">
        <f t="shared" si="64"/>
        <v>0</v>
      </c>
      <c r="Z1375" t="str">
        <f t="shared" si="65"/>
        <v>สแกนต่าง Cost</v>
      </c>
    </row>
    <row r="1376" spans="1:26" x14ac:dyDescent="0.45">
      <c r="B1376" t="s">
        <v>26</v>
      </c>
      <c r="C1376">
        <v>20403253</v>
      </c>
      <c r="D1376" t="s">
        <v>125</v>
      </c>
      <c r="E1376" s="10">
        <v>46129.352083333331</v>
      </c>
      <c r="F1376" s="10">
        <v>46129.831250000003</v>
      </c>
      <c r="G1376">
        <v>10.5</v>
      </c>
      <c r="H1376" s="9">
        <f t="shared" si="63"/>
        <v>5.6000000000000001E-2</v>
      </c>
      <c r="I1376">
        <v>5.6000000000000001E-2</v>
      </c>
      <c r="M1376" t="s">
        <v>48</v>
      </c>
      <c r="N1376" t="s">
        <v>48</v>
      </c>
      <c r="P1376" t="s">
        <v>30</v>
      </c>
      <c r="Q1376" t="s">
        <v>31</v>
      </c>
      <c r="R1376">
        <v>82400</v>
      </c>
      <c r="S1376" t="s">
        <v>83</v>
      </c>
      <c r="T1376">
        <v>82658</v>
      </c>
      <c r="U1376" t="s">
        <v>33</v>
      </c>
      <c r="V1376" t="s">
        <v>33</v>
      </c>
      <c r="W1376" t="s">
        <v>34</v>
      </c>
      <c r="X1376" t="s">
        <v>34</v>
      </c>
      <c r="Y1376" s="9">
        <f t="shared" si="64"/>
        <v>0</v>
      </c>
      <c r="Z1376" t="str">
        <f t="shared" si="65"/>
        <v>สแกนต่าง Cost</v>
      </c>
    </row>
    <row r="1377" spans="1:26" x14ac:dyDescent="0.45">
      <c r="B1377" t="s">
        <v>26</v>
      </c>
      <c r="C1377">
        <v>20403191</v>
      </c>
      <c r="D1377" t="s">
        <v>122</v>
      </c>
      <c r="E1377" s="10">
        <v>46129.351388888892</v>
      </c>
      <c r="F1377" s="10">
        <v>46129.717361111114</v>
      </c>
      <c r="G1377">
        <v>7.7833333333333332</v>
      </c>
      <c r="H1377" s="9">
        <f t="shared" si="63"/>
        <v>4.2000000000000003E-2</v>
      </c>
      <c r="I1377">
        <v>4.2000000000000003E-2</v>
      </c>
      <c r="M1377" t="s">
        <v>48</v>
      </c>
      <c r="N1377" t="s">
        <v>48</v>
      </c>
      <c r="P1377" t="s">
        <v>30</v>
      </c>
      <c r="Q1377" t="s">
        <v>31</v>
      </c>
      <c r="R1377">
        <v>82400</v>
      </c>
      <c r="S1377" t="s">
        <v>83</v>
      </c>
      <c r="T1377">
        <v>82658</v>
      </c>
      <c r="U1377" t="s">
        <v>33</v>
      </c>
      <c r="V1377" t="s">
        <v>33</v>
      </c>
      <c r="W1377" t="s">
        <v>34</v>
      </c>
      <c r="X1377" t="s">
        <v>34</v>
      </c>
      <c r="Y1377" s="9">
        <f t="shared" si="64"/>
        <v>0</v>
      </c>
      <c r="Z1377" t="str">
        <f t="shared" si="65"/>
        <v>สแกนต่าง Cost</v>
      </c>
    </row>
    <row r="1378" spans="1:26" x14ac:dyDescent="0.45">
      <c r="B1378" t="s">
        <v>26</v>
      </c>
      <c r="C1378">
        <v>20403192</v>
      </c>
      <c r="D1378" t="s">
        <v>123</v>
      </c>
      <c r="E1378" s="10">
        <v>46129.351388888892</v>
      </c>
      <c r="F1378" s="10">
        <v>46129.717361111114</v>
      </c>
      <c r="G1378">
        <v>7.7833333333333332</v>
      </c>
      <c r="H1378" s="9">
        <f t="shared" si="63"/>
        <v>4.2000000000000003E-2</v>
      </c>
      <c r="I1378">
        <v>4.2000000000000003E-2</v>
      </c>
      <c r="M1378" t="s">
        <v>48</v>
      </c>
      <c r="N1378" t="s">
        <v>48</v>
      </c>
      <c r="P1378" t="s">
        <v>30</v>
      </c>
      <c r="Q1378" t="s">
        <v>31</v>
      </c>
      <c r="R1378">
        <v>82400</v>
      </c>
      <c r="S1378" t="s">
        <v>83</v>
      </c>
      <c r="T1378">
        <v>82658</v>
      </c>
      <c r="U1378" t="s">
        <v>33</v>
      </c>
      <c r="V1378" t="s">
        <v>33</v>
      </c>
      <c r="W1378" t="s">
        <v>34</v>
      </c>
      <c r="X1378" t="s">
        <v>34</v>
      </c>
      <c r="Y1378" s="9">
        <f t="shared" si="64"/>
        <v>0</v>
      </c>
      <c r="Z1378" t="str">
        <f t="shared" si="65"/>
        <v>สแกนต่าง Cost</v>
      </c>
    </row>
    <row r="1379" spans="1:26" x14ac:dyDescent="0.45">
      <c r="B1379" t="s">
        <v>26</v>
      </c>
      <c r="C1379">
        <v>20328003</v>
      </c>
      <c r="D1379" t="s">
        <v>107</v>
      </c>
      <c r="E1379" s="10">
        <v>46129.350694444445</v>
      </c>
      <c r="F1379" s="10">
        <v>46129.729166666664</v>
      </c>
      <c r="G1379">
        <v>8.0833333333333339</v>
      </c>
      <c r="H1379" s="9">
        <f t="shared" si="63"/>
        <v>4.2999999999999997E-2</v>
      </c>
      <c r="I1379">
        <v>4.2999999999999997E-2</v>
      </c>
      <c r="M1379" t="s">
        <v>65</v>
      </c>
      <c r="N1379" t="s">
        <v>29</v>
      </c>
      <c r="P1379" t="s">
        <v>30</v>
      </c>
      <c r="Q1379" t="s">
        <v>31</v>
      </c>
      <c r="R1379">
        <v>82400</v>
      </c>
      <c r="S1379" t="s">
        <v>83</v>
      </c>
      <c r="T1379">
        <v>82658</v>
      </c>
      <c r="U1379" t="s">
        <v>33</v>
      </c>
      <c r="V1379" t="s">
        <v>33</v>
      </c>
      <c r="W1379" t="s">
        <v>34</v>
      </c>
      <c r="X1379" t="s">
        <v>34</v>
      </c>
      <c r="Y1379" s="9">
        <f t="shared" si="64"/>
        <v>0</v>
      </c>
      <c r="Z1379" t="str">
        <f t="shared" si="65"/>
        <v>สแกนต่าง Cost</v>
      </c>
    </row>
    <row r="1380" spans="1:26" x14ac:dyDescent="0.45">
      <c r="B1380" t="s">
        <v>26</v>
      </c>
      <c r="C1380">
        <v>20331986</v>
      </c>
      <c r="D1380" t="s">
        <v>108</v>
      </c>
      <c r="E1380" s="10">
        <v>46129.350694444445</v>
      </c>
      <c r="F1380" s="10">
        <v>46129.729166666664</v>
      </c>
      <c r="G1380">
        <v>8.0833333333333339</v>
      </c>
      <c r="H1380" s="9">
        <f t="shared" si="63"/>
        <v>4.2999999999999997E-2</v>
      </c>
      <c r="I1380">
        <v>4.2999999999999997E-2</v>
      </c>
      <c r="M1380" t="s">
        <v>65</v>
      </c>
      <c r="N1380" t="s">
        <v>29</v>
      </c>
      <c r="P1380" t="s">
        <v>30</v>
      </c>
      <c r="Q1380" t="s">
        <v>31</v>
      </c>
      <c r="R1380">
        <v>82400</v>
      </c>
      <c r="S1380" t="s">
        <v>83</v>
      </c>
      <c r="T1380">
        <v>82658</v>
      </c>
      <c r="U1380" t="s">
        <v>33</v>
      </c>
      <c r="V1380" t="s">
        <v>33</v>
      </c>
      <c r="W1380" t="s">
        <v>34</v>
      </c>
      <c r="X1380" t="s">
        <v>34</v>
      </c>
      <c r="Y1380" s="9">
        <f t="shared" si="64"/>
        <v>0</v>
      </c>
      <c r="Z1380" t="str">
        <f t="shared" si="65"/>
        <v>สแกนต่าง Cost</v>
      </c>
    </row>
    <row r="1381" spans="1:26" x14ac:dyDescent="0.45">
      <c r="B1381" t="s">
        <v>26</v>
      </c>
      <c r="C1381">
        <v>20352282</v>
      </c>
      <c r="D1381" t="s">
        <v>84</v>
      </c>
      <c r="E1381" s="10">
        <v>46129.350694444445</v>
      </c>
      <c r="F1381" s="10">
        <v>46129.729166666664</v>
      </c>
      <c r="G1381">
        <v>8.0833333333333339</v>
      </c>
      <c r="H1381" s="9">
        <f t="shared" si="63"/>
        <v>4.2999999999999997E-2</v>
      </c>
      <c r="I1381">
        <v>4.2999999999999997E-2</v>
      </c>
      <c r="M1381" t="s">
        <v>65</v>
      </c>
      <c r="N1381" t="s">
        <v>29</v>
      </c>
      <c r="P1381" t="s">
        <v>30</v>
      </c>
      <c r="Q1381" t="s">
        <v>31</v>
      </c>
      <c r="R1381">
        <v>82400</v>
      </c>
      <c r="S1381" t="s">
        <v>83</v>
      </c>
      <c r="T1381">
        <v>82658</v>
      </c>
      <c r="U1381" t="s">
        <v>33</v>
      </c>
      <c r="V1381" t="s">
        <v>33</v>
      </c>
      <c r="W1381" t="s">
        <v>34</v>
      </c>
      <c r="X1381" t="s">
        <v>34</v>
      </c>
      <c r="Y1381" s="9">
        <f t="shared" si="64"/>
        <v>0</v>
      </c>
      <c r="Z1381" t="str">
        <f t="shared" si="65"/>
        <v>สแกนต่าง Cost</v>
      </c>
    </row>
    <row r="1382" spans="1:26" x14ac:dyDescent="0.45">
      <c r="B1382" t="s">
        <v>26</v>
      </c>
      <c r="C1382">
        <v>20403254</v>
      </c>
      <c r="D1382" t="s">
        <v>126</v>
      </c>
      <c r="E1382" s="10">
        <v>46129.350694444445</v>
      </c>
      <c r="F1382" s="10">
        <v>46129.717361111114</v>
      </c>
      <c r="G1382">
        <v>7.8000000000000007</v>
      </c>
      <c r="H1382" s="9">
        <f t="shared" si="63"/>
        <v>4.2000000000000003E-2</v>
      </c>
      <c r="I1382">
        <v>4.2000000000000003E-2</v>
      </c>
      <c r="M1382" t="s">
        <v>48</v>
      </c>
      <c r="N1382" t="s">
        <v>48</v>
      </c>
      <c r="P1382" t="s">
        <v>30</v>
      </c>
      <c r="Q1382" t="s">
        <v>31</v>
      </c>
      <c r="R1382">
        <v>82400</v>
      </c>
      <c r="S1382" t="s">
        <v>83</v>
      </c>
      <c r="T1382">
        <v>82658</v>
      </c>
      <c r="U1382" t="s">
        <v>33</v>
      </c>
      <c r="V1382" t="s">
        <v>33</v>
      </c>
      <c r="W1382" t="s">
        <v>34</v>
      </c>
      <c r="X1382" t="s">
        <v>34</v>
      </c>
      <c r="Y1382" s="9">
        <f t="shared" si="64"/>
        <v>0</v>
      </c>
      <c r="Z1382" t="str">
        <f t="shared" si="65"/>
        <v>สแกนต่าง Cost</v>
      </c>
    </row>
    <row r="1383" spans="1:26" x14ac:dyDescent="0.45">
      <c r="A1383">
        <v>26523</v>
      </c>
      <c r="B1383" t="s">
        <v>53</v>
      </c>
      <c r="C1383">
        <v>20004913</v>
      </c>
      <c r="D1383" t="s">
        <v>87</v>
      </c>
      <c r="E1383" s="10">
        <v>46129.333333333336</v>
      </c>
      <c r="F1383" s="10">
        <v>46129.729166666664</v>
      </c>
      <c r="G1383">
        <v>8.5</v>
      </c>
      <c r="H1383" s="9">
        <f t="shared" si="63"/>
        <v>4.4999999999999998E-2</v>
      </c>
      <c r="I1383">
        <v>4.4999999999999998E-2</v>
      </c>
      <c r="M1383" t="s">
        <v>65</v>
      </c>
      <c r="N1383" t="s">
        <v>29</v>
      </c>
      <c r="P1383" t="s">
        <v>30</v>
      </c>
      <c r="Q1383" t="s">
        <v>31</v>
      </c>
      <c r="R1383">
        <v>82301</v>
      </c>
      <c r="S1383" t="s">
        <v>79</v>
      </c>
      <c r="T1383">
        <v>82308</v>
      </c>
      <c r="U1383" t="s">
        <v>69</v>
      </c>
      <c r="V1383" t="s">
        <v>69</v>
      </c>
      <c r="W1383" t="s">
        <v>69</v>
      </c>
      <c r="X1383" t="s">
        <v>88</v>
      </c>
      <c r="Y1383" s="9">
        <f t="shared" si="64"/>
        <v>0</v>
      </c>
      <c r="Z1383" t="str">
        <f t="shared" si="65"/>
        <v>สแกนต่าง Cost</v>
      </c>
    </row>
    <row r="1384" spans="1:26" x14ac:dyDescent="0.45">
      <c r="A1384">
        <v>26633</v>
      </c>
      <c r="B1384" t="s">
        <v>53</v>
      </c>
      <c r="C1384">
        <v>20014916</v>
      </c>
      <c r="D1384" t="s">
        <v>167</v>
      </c>
      <c r="E1384" s="10">
        <v>46129.333333333336</v>
      </c>
      <c r="F1384" s="10">
        <v>46129.729166666664</v>
      </c>
      <c r="G1384">
        <v>8.5</v>
      </c>
      <c r="H1384" s="9">
        <f t="shared" si="63"/>
        <v>4.4999999999999998E-2</v>
      </c>
      <c r="I1384">
        <v>4.4999999999999998E-2</v>
      </c>
      <c r="M1384" t="s">
        <v>65</v>
      </c>
      <c r="N1384" t="s">
        <v>29</v>
      </c>
      <c r="P1384" t="s">
        <v>133</v>
      </c>
      <c r="Q1384" t="s">
        <v>31</v>
      </c>
      <c r="R1384">
        <v>82607</v>
      </c>
      <c r="S1384" t="s">
        <v>168</v>
      </c>
      <c r="T1384">
        <v>82640</v>
      </c>
      <c r="U1384" t="s">
        <v>42</v>
      </c>
      <c r="V1384" t="s">
        <v>155</v>
      </c>
      <c r="W1384" t="s">
        <v>47</v>
      </c>
      <c r="X1384" t="s">
        <v>95</v>
      </c>
      <c r="Y1384" s="9">
        <f t="shared" si="64"/>
        <v>0</v>
      </c>
      <c r="Z1384" t="str">
        <f t="shared" si="65"/>
        <v>สแกนต่าง Cost</v>
      </c>
    </row>
    <row r="1385" spans="1:26" x14ac:dyDescent="0.45">
      <c r="A1385">
        <v>26683</v>
      </c>
      <c r="B1385" t="s">
        <v>53</v>
      </c>
      <c r="C1385">
        <v>20017430</v>
      </c>
      <c r="D1385" t="s">
        <v>94</v>
      </c>
      <c r="E1385" s="10">
        <v>46129.333333333336</v>
      </c>
      <c r="F1385" s="10">
        <v>46129.772222222222</v>
      </c>
      <c r="G1385">
        <v>10.533333333333333</v>
      </c>
      <c r="H1385" s="9">
        <f t="shared" si="63"/>
        <v>5.5999999999999994E-2</v>
      </c>
      <c r="I1385">
        <v>4.4999999999999998E-2</v>
      </c>
      <c r="K1385">
        <v>1.0999999999999999E-2</v>
      </c>
      <c r="M1385" t="s">
        <v>28</v>
      </c>
      <c r="N1385" t="s">
        <v>29</v>
      </c>
      <c r="P1385" t="s">
        <v>30</v>
      </c>
      <c r="Q1385" t="s">
        <v>31</v>
      </c>
      <c r="R1385">
        <v>82301</v>
      </c>
      <c r="S1385" t="s">
        <v>79</v>
      </c>
      <c r="T1385">
        <v>82308</v>
      </c>
      <c r="U1385" t="s">
        <v>69</v>
      </c>
      <c r="V1385" t="s">
        <v>69</v>
      </c>
      <c r="W1385" t="s">
        <v>69</v>
      </c>
      <c r="X1385" t="s">
        <v>95</v>
      </c>
      <c r="Y1385" s="9">
        <f t="shared" si="64"/>
        <v>1.0999999999999999E-2</v>
      </c>
      <c r="Z1385" t="str">
        <f t="shared" si="65"/>
        <v>สแกนต่าง Cost</v>
      </c>
    </row>
    <row r="1386" spans="1:26" x14ac:dyDescent="0.45">
      <c r="B1386" t="s">
        <v>53</v>
      </c>
      <c r="C1386">
        <v>20018899</v>
      </c>
      <c r="D1386" t="s">
        <v>64</v>
      </c>
      <c r="E1386" s="10">
        <v>46129.333333333336</v>
      </c>
      <c r="F1386" s="10">
        <v>46129.5</v>
      </c>
      <c r="G1386">
        <v>4</v>
      </c>
      <c r="H1386" s="9">
        <f t="shared" si="63"/>
        <v>2.1000000000000001E-2</v>
      </c>
      <c r="I1386">
        <v>2.1000000000000001E-2</v>
      </c>
      <c r="M1386" t="s">
        <v>65</v>
      </c>
      <c r="N1386" t="s">
        <v>29</v>
      </c>
      <c r="P1386" t="s">
        <v>30</v>
      </c>
      <c r="Q1386" t="s">
        <v>31</v>
      </c>
      <c r="R1386">
        <v>82640</v>
      </c>
      <c r="S1386" t="s">
        <v>42</v>
      </c>
      <c r="T1386">
        <v>82652</v>
      </c>
      <c r="U1386" t="s">
        <v>46</v>
      </c>
      <c r="V1386" t="s">
        <v>66</v>
      </c>
      <c r="W1386" t="s">
        <v>37</v>
      </c>
      <c r="X1386" t="s">
        <v>34</v>
      </c>
      <c r="Y1386" s="9">
        <f t="shared" si="64"/>
        <v>0</v>
      </c>
      <c r="Z1386" t="str">
        <f t="shared" si="65"/>
        <v>สแกนต่าง Cost</v>
      </c>
    </row>
    <row r="1387" spans="1:26" x14ac:dyDescent="0.45">
      <c r="B1387" t="s">
        <v>53</v>
      </c>
      <c r="C1387">
        <v>20023163</v>
      </c>
      <c r="D1387" t="s">
        <v>169</v>
      </c>
      <c r="E1387" s="10">
        <v>46129.333333333336</v>
      </c>
      <c r="F1387" s="10">
        <v>46129.729166666664</v>
      </c>
      <c r="G1387">
        <v>8.5</v>
      </c>
      <c r="H1387" s="9">
        <f t="shared" si="63"/>
        <v>4.4999999999999998E-2</v>
      </c>
      <c r="I1387">
        <v>4.4999999999999998E-2</v>
      </c>
      <c r="M1387" t="s">
        <v>65</v>
      </c>
      <c r="N1387" t="s">
        <v>29</v>
      </c>
      <c r="P1387" t="s">
        <v>30</v>
      </c>
      <c r="Q1387" t="s">
        <v>31</v>
      </c>
      <c r="R1387">
        <v>82630</v>
      </c>
      <c r="S1387" t="s">
        <v>32</v>
      </c>
      <c r="T1387">
        <v>82640</v>
      </c>
      <c r="U1387" t="s">
        <v>42</v>
      </c>
      <c r="V1387" t="s">
        <v>70</v>
      </c>
      <c r="W1387" t="s">
        <v>170</v>
      </c>
      <c r="X1387" t="s">
        <v>171</v>
      </c>
      <c r="Y1387" s="9">
        <f t="shared" si="64"/>
        <v>0</v>
      </c>
      <c r="Z1387" t="str">
        <f t="shared" si="65"/>
        <v>สแกนต่าง Cost</v>
      </c>
    </row>
    <row r="1388" spans="1:26" x14ac:dyDescent="0.45">
      <c r="B1388" t="s">
        <v>26</v>
      </c>
      <c r="C1388">
        <v>20024254</v>
      </c>
      <c r="D1388" t="s">
        <v>233</v>
      </c>
      <c r="E1388" s="10">
        <v>46129.333333333336</v>
      </c>
      <c r="F1388" s="10">
        <v>46129.729166666664</v>
      </c>
      <c r="G1388">
        <v>8.5</v>
      </c>
      <c r="H1388" s="9">
        <f t="shared" si="63"/>
        <v>4.4999999999999998E-2</v>
      </c>
      <c r="I1388">
        <v>4.4999999999999998E-2</v>
      </c>
      <c r="M1388" t="s">
        <v>65</v>
      </c>
      <c r="N1388" t="s">
        <v>29</v>
      </c>
      <c r="P1388" t="s">
        <v>30</v>
      </c>
      <c r="Q1388" t="s">
        <v>31</v>
      </c>
      <c r="R1388">
        <v>82910</v>
      </c>
      <c r="S1388" t="s">
        <v>201</v>
      </c>
      <c r="T1388">
        <v>82605</v>
      </c>
      <c r="U1388" t="s">
        <v>202</v>
      </c>
      <c r="V1388" t="s">
        <v>202</v>
      </c>
      <c r="W1388" t="s">
        <v>37</v>
      </c>
      <c r="X1388" t="s">
        <v>47</v>
      </c>
      <c r="Y1388" s="9">
        <f t="shared" si="64"/>
        <v>0</v>
      </c>
      <c r="Z1388" t="str">
        <f t="shared" si="65"/>
        <v>สแกนต่าง Cost</v>
      </c>
    </row>
    <row r="1389" spans="1:26" x14ac:dyDescent="0.45">
      <c r="B1389" t="s">
        <v>26</v>
      </c>
      <c r="C1389">
        <v>20025986</v>
      </c>
      <c r="D1389" t="s">
        <v>200</v>
      </c>
      <c r="E1389" s="10">
        <v>46129.333333333336</v>
      </c>
      <c r="F1389" s="10">
        <v>46129.729166666664</v>
      </c>
      <c r="G1389">
        <v>8.5</v>
      </c>
      <c r="H1389" s="9">
        <f t="shared" si="63"/>
        <v>4.4999999999999998E-2</v>
      </c>
      <c r="I1389">
        <v>4.4999999999999998E-2</v>
      </c>
      <c r="M1389" t="s">
        <v>77</v>
      </c>
      <c r="N1389" t="s">
        <v>29</v>
      </c>
      <c r="P1389" t="s">
        <v>30</v>
      </c>
      <c r="Q1389" t="s">
        <v>31</v>
      </c>
      <c r="R1389">
        <v>82910</v>
      </c>
      <c r="S1389" t="s">
        <v>201</v>
      </c>
      <c r="T1389">
        <v>82605</v>
      </c>
      <c r="U1389" t="s">
        <v>202</v>
      </c>
      <c r="V1389" t="s">
        <v>202</v>
      </c>
      <c r="W1389" t="s">
        <v>37</v>
      </c>
      <c r="X1389" t="s">
        <v>47</v>
      </c>
      <c r="Y1389" s="9">
        <f t="shared" si="64"/>
        <v>0</v>
      </c>
      <c r="Z1389" t="str">
        <f t="shared" si="65"/>
        <v>สแกนต่าง Cost</v>
      </c>
    </row>
    <row r="1390" spans="1:26" x14ac:dyDescent="0.45">
      <c r="B1390" t="s">
        <v>53</v>
      </c>
      <c r="C1390">
        <v>20034535</v>
      </c>
      <c r="D1390" t="s">
        <v>99</v>
      </c>
      <c r="E1390" s="10">
        <v>46129.333333333336</v>
      </c>
      <c r="F1390" s="10">
        <v>46129.729166666664</v>
      </c>
      <c r="G1390">
        <v>8.5</v>
      </c>
      <c r="H1390" s="9">
        <f t="shared" si="63"/>
        <v>4.4999999999999998E-2</v>
      </c>
      <c r="I1390">
        <v>4.4999999999999998E-2</v>
      </c>
      <c r="M1390" t="s">
        <v>65</v>
      </c>
      <c r="N1390" t="s">
        <v>29</v>
      </c>
      <c r="P1390" t="s">
        <v>30</v>
      </c>
      <c r="Q1390" t="s">
        <v>31</v>
      </c>
      <c r="R1390">
        <v>82630</v>
      </c>
      <c r="S1390" t="s">
        <v>32</v>
      </c>
      <c r="T1390">
        <v>82611</v>
      </c>
      <c r="U1390" t="s">
        <v>43</v>
      </c>
      <c r="V1390" t="s">
        <v>43</v>
      </c>
      <c r="W1390" t="s">
        <v>170</v>
      </c>
      <c r="X1390" t="s">
        <v>171</v>
      </c>
      <c r="Y1390" s="9">
        <f t="shared" si="64"/>
        <v>0</v>
      </c>
      <c r="Z1390" t="str">
        <f t="shared" si="65"/>
        <v>สแกนต่าง Cost</v>
      </c>
    </row>
    <row r="1391" spans="1:26" x14ac:dyDescent="0.45">
      <c r="B1391" t="s">
        <v>53</v>
      </c>
      <c r="C1391">
        <v>20037938</v>
      </c>
      <c r="D1391" t="s">
        <v>172</v>
      </c>
      <c r="E1391" s="10">
        <v>46129.333333333336</v>
      </c>
      <c r="F1391" s="10">
        <v>46129.729166666664</v>
      </c>
      <c r="G1391">
        <v>8.5</v>
      </c>
      <c r="H1391" s="9">
        <f t="shared" si="63"/>
        <v>4.4999999999999998E-2</v>
      </c>
      <c r="I1391">
        <v>4.4999999999999998E-2</v>
      </c>
      <c r="M1391" t="s">
        <v>65</v>
      </c>
      <c r="N1391" t="s">
        <v>29</v>
      </c>
      <c r="P1391" t="s">
        <v>30</v>
      </c>
      <c r="Q1391" t="s">
        <v>31</v>
      </c>
      <c r="R1391">
        <v>82630</v>
      </c>
      <c r="S1391" t="s">
        <v>32</v>
      </c>
      <c r="T1391">
        <v>82611</v>
      </c>
      <c r="U1391" t="s">
        <v>43</v>
      </c>
      <c r="V1391" t="s">
        <v>43</v>
      </c>
      <c r="W1391" t="s">
        <v>170</v>
      </c>
      <c r="X1391" t="s">
        <v>171</v>
      </c>
      <c r="Y1391" s="9">
        <f t="shared" si="64"/>
        <v>0</v>
      </c>
      <c r="Z1391" t="str">
        <f t="shared" si="65"/>
        <v>สแกนต่าง Cost</v>
      </c>
    </row>
    <row r="1392" spans="1:26" x14ac:dyDescent="0.45">
      <c r="B1392" t="s">
        <v>53</v>
      </c>
      <c r="C1392">
        <v>20041131</v>
      </c>
      <c r="D1392" t="s">
        <v>173</v>
      </c>
      <c r="E1392" s="10">
        <v>46129.333333333336</v>
      </c>
      <c r="F1392" s="10">
        <v>46129.729166666664</v>
      </c>
      <c r="G1392">
        <v>8.5</v>
      </c>
      <c r="H1392" s="9">
        <f t="shared" si="63"/>
        <v>4.4999999999999998E-2</v>
      </c>
      <c r="I1392">
        <v>4.4999999999999998E-2</v>
      </c>
      <c r="M1392" t="s">
        <v>65</v>
      </c>
      <c r="N1392" t="s">
        <v>29</v>
      </c>
      <c r="P1392" t="s">
        <v>30</v>
      </c>
      <c r="Q1392" t="s">
        <v>31</v>
      </c>
      <c r="R1392">
        <v>82630</v>
      </c>
      <c r="S1392" t="s">
        <v>32</v>
      </c>
      <c r="T1392">
        <v>82611</v>
      </c>
      <c r="U1392" t="s">
        <v>43</v>
      </c>
      <c r="V1392" t="s">
        <v>43</v>
      </c>
      <c r="W1392" t="s">
        <v>170</v>
      </c>
      <c r="X1392" t="s">
        <v>171</v>
      </c>
      <c r="Y1392" s="9">
        <f t="shared" si="64"/>
        <v>0</v>
      </c>
      <c r="Z1392" t="str">
        <f t="shared" si="65"/>
        <v>สแกนต่าง Cost</v>
      </c>
    </row>
    <row r="1393" spans="1:26" x14ac:dyDescent="0.45">
      <c r="B1393" t="s">
        <v>53</v>
      </c>
      <c r="C1393">
        <v>20047023</v>
      </c>
      <c r="D1393" t="s">
        <v>271</v>
      </c>
      <c r="E1393" s="10">
        <v>46129.333333333336</v>
      </c>
      <c r="F1393" s="10">
        <v>46129.729166666664</v>
      </c>
      <c r="G1393">
        <v>8.5</v>
      </c>
      <c r="H1393" s="9">
        <f t="shared" si="63"/>
        <v>4.4999999999999998E-2</v>
      </c>
      <c r="I1393">
        <v>4.4999999999999998E-2</v>
      </c>
      <c r="M1393" t="s">
        <v>65</v>
      </c>
      <c r="N1393" t="s">
        <v>29</v>
      </c>
      <c r="P1393" t="s">
        <v>30</v>
      </c>
      <c r="Q1393" t="s">
        <v>31</v>
      </c>
      <c r="R1393">
        <v>82607</v>
      </c>
      <c r="S1393" t="s">
        <v>168</v>
      </c>
      <c r="T1393">
        <v>82630</v>
      </c>
      <c r="U1393" t="s">
        <v>32</v>
      </c>
      <c r="V1393" t="s">
        <v>155</v>
      </c>
      <c r="W1393" t="s">
        <v>148</v>
      </c>
      <c r="X1393" t="s">
        <v>95</v>
      </c>
      <c r="Y1393" s="9">
        <f t="shared" si="64"/>
        <v>0</v>
      </c>
      <c r="Z1393" t="str">
        <f t="shared" si="65"/>
        <v>สแกนต่าง Cost</v>
      </c>
    </row>
    <row r="1394" spans="1:26" x14ac:dyDescent="0.45">
      <c r="B1394" t="s">
        <v>26</v>
      </c>
      <c r="C1394">
        <v>20066762</v>
      </c>
      <c r="D1394" t="s">
        <v>203</v>
      </c>
      <c r="E1394" s="10">
        <v>46129.333333333336</v>
      </c>
      <c r="F1394" s="10">
        <v>46129.729166666664</v>
      </c>
      <c r="G1394">
        <v>8.5</v>
      </c>
      <c r="H1394" s="9">
        <f t="shared" si="63"/>
        <v>4.4999999999999998E-2</v>
      </c>
      <c r="I1394">
        <v>4.4999999999999998E-2</v>
      </c>
      <c r="M1394" t="s">
        <v>65</v>
      </c>
      <c r="N1394" t="s">
        <v>29</v>
      </c>
      <c r="P1394" t="s">
        <v>30</v>
      </c>
      <c r="Q1394" t="s">
        <v>31</v>
      </c>
      <c r="R1394">
        <v>82910</v>
      </c>
      <c r="S1394" t="s">
        <v>201</v>
      </c>
      <c r="T1394">
        <v>82605</v>
      </c>
      <c r="U1394" t="s">
        <v>202</v>
      </c>
      <c r="V1394" t="s">
        <v>202</v>
      </c>
      <c r="W1394" t="s">
        <v>37</v>
      </c>
      <c r="X1394" t="s">
        <v>47</v>
      </c>
      <c r="Y1394" s="9">
        <f t="shared" si="64"/>
        <v>0</v>
      </c>
      <c r="Z1394" t="str">
        <f t="shared" si="65"/>
        <v>สแกนต่าง Cost</v>
      </c>
    </row>
    <row r="1395" spans="1:26" x14ac:dyDescent="0.45">
      <c r="B1395" t="s">
        <v>53</v>
      </c>
      <c r="C1395">
        <v>20074473</v>
      </c>
      <c r="D1395" t="s">
        <v>276</v>
      </c>
      <c r="E1395" s="10">
        <v>46129.333333333336</v>
      </c>
      <c r="F1395" s="10">
        <v>46129.729166666664</v>
      </c>
      <c r="G1395">
        <v>8.5</v>
      </c>
      <c r="H1395" s="9">
        <f t="shared" si="63"/>
        <v>4.4999999999999998E-2</v>
      </c>
      <c r="I1395">
        <v>4.4999999999999998E-2</v>
      </c>
      <c r="M1395" t="s">
        <v>65</v>
      </c>
      <c r="N1395" t="s">
        <v>29</v>
      </c>
      <c r="P1395" t="s">
        <v>30</v>
      </c>
      <c r="Q1395" t="s">
        <v>31</v>
      </c>
      <c r="R1395">
        <v>82630</v>
      </c>
      <c r="S1395" t="s">
        <v>32</v>
      </c>
      <c r="T1395">
        <v>82640</v>
      </c>
      <c r="U1395" t="s">
        <v>42</v>
      </c>
      <c r="V1395" t="s">
        <v>70</v>
      </c>
      <c r="W1395" t="s">
        <v>170</v>
      </c>
      <c r="X1395" t="s">
        <v>171</v>
      </c>
      <c r="Y1395" s="9">
        <f t="shared" si="64"/>
        <v>0</v>
      </c>
      <c r="Z1395" t="str">
        <f t="shared" si="65"/>
        <v>สแกนต่าง Cost</v>
      </c>
    </row>
    <row r="1396" spans="1:26" x14ac:dyDescent="0.45">
      <c r="A1396">
        <v>26709</v>
      </c>
      <c r="B1396" t="s">
        <v>53</v>
      </c>
      <c r="C1396">
        <v>20076436</v>
      </c>
      <c r="D1396" t="s">
        <v>131</v>
      </c>
      <c r="E1396" s="10">
        <v>46129.333333333336</v>
      </c>
      <c r="F1396" s="10">
        <v>46129.729166666664</v>
      </c>
      <c r="G1396">
        <v>8.5</v>
      </c>
      <c r="H1396" s="9">
        <f t="shared" si="63"/>
        <v>4.4999999999999998E-2</v>
      </c>
      <c r="I1396">
        <v>4.4999999999999998E-2</v>
      </c>
      <c r="M1396" t="s">
        <v>65</v>
      </c>
      <c r="N1396" t="s">
        <v>29</v>
      </c>
      <c r="P1396" t="s">
        <v>30</v>
      </c>
      <c r="Q1396" t="s">
        <v>31</v>
      </c>
      <c r="R1396">
        <v>82301</v>
      </c>
      <c r="S1396" t="s">
        <v>79</v>
      </c>
      <c r="T1396">
        <v>82308</v>
      </c>
      <c r="U1396" t="s">
        <v>69</v>
      </c>
      <c r="V1396" t="s">
        <v>69</v>
      </c>
      <c r="W1396" t="s">
        <v>69</v>
      </c>
      <c r="X1396" t="s">
        <v>95</v>
      </c>
      <c r="Y1396" s="9">
        <f t="shared" si="64"/>
        <v>0</v>
      </c>
      <c r="Z1396" t="str">
        <f t="shared" si="65"/>
        <v>สแกนต่าง Cost</v>
      </c>
    </row>
    <row r="1397" spans="1:26" x14ac:dyDescent="0.45">
      <c r="B1397" t="s">
        <v>53</v>
      </c>
      <c r="C1397">
        <v>20167851</v>
      </c>
      <c r="D1397" t="s">
        <v>63</v>
      </c>
      <c r="E1397" s="10">
        <v>46129.333333333336</v>
      </c>
      <c r="F1397" s="10">
        <v>46129.416666666664</v>
      </c>
      <c r="G1397">
        <v>2</v>
      </c>
      <c r="H1397" s="9">
        <f t="shared" si="63"/>
        <v>1.0999999999999999E-2</v>
      </c>
      <c r="I1397">
        <v>1.0999999999999999E-2</v>
      </c>
      <c r="M1397" t="s">
        <v>65</v>
      </c>
      <c r="N1397" t="s">
        <v>29</v>
      </c>
      <c r="P1397" t="s">
        <v>30</v>
      </c>
      <c r="Q1397" t="s">
        <v>31</v>
      </c>
      <c r="R1397">
        <v>82640</v>
      </c>
      <c r="S1397" t="s">
        <v>42</v>
      </c>
      <c r="T1397">
        <v>82612</v>
      </c>
      <c r="U1397" t="s">
        <v>153</v>
      </c>
      <c r="V1397" t="s">
        <v>66</v>
      </c>
      <c r="W1397" t="s">
        <v>44</v>
      </c>
      <c r="X1397" t="s">
        <v>44</v>
      </c>
      <c r="Y1397" s="9">
        <f t="shared" si="64"/>
        <v>0</v>
      </c>
      <c r="Z1397" t="str">
        <f t="shared" si="65"/>
        <v>สแกนต่าง Cost</v>
      </c>
    </row>
    <row r="1398" spans="1:26" x14ac:dyDescent="0.45">
      <c r="B1398" t="s">
        <v>53</v>
      </c>
      <c r="C1398">
        <v>20198711</v>
      </c>
      <c r="D1398" t="s">
        <v>178</v>
      </c>
      <c r="E1398" s="10">
        <v>46129.333333333336</v>
      </c>
      <c r="F1398" s="10">
        <v>46129.729166666664</v>
      </c>
      <c r="G1398">
        <v>8.5</v>
      </c>
      <c r="H1398" s="9">
        <f t="shared" si="63"/>
        <v>4.4999999999999998E-2</v>
      </c>
      <c r="I1398">
        <v>4.4999999999999998E-2</v>
      </c>
      <c r="M1398" t="s">
        <v>65</v>
      </c>
      <c r="N1398" t="s">
        <v>29</v>
      </c>
      <c r="P1398" t="s">
        <v>30</v>
      </c>
      <c r="Q1398" t="s">
        <v>31</v>
      </c>
      <c r="R1398">
        <v>82630</v>
      </c>
      <c r="S1398" t="s">
        <v>32</v>
      </c>
      <c r="T1398">
        <v>82611</v>
      </c>
      <c r="U1398" t="s">
        <v>43</v>
      </c>
      <c r="V1398" t="s">
        <v>43</v>
      </c>
      <c r="W1398" t="s">
        <v>170</v>
      </c>
      <c r="X1398" t="s">
        <v>171</v>
      </c>
      <c r="Y1398" s="9">
        <f t="shared" si="64"/>
        <v>0</v>
      </c>
      <c r="Z1398" t="str">
        <f t="shared" si="65"/>
        <v>สแกนต่าง Cost</v>
      </c>
    </row>
    <row r="1399" spans="1:26" x14ac:dyDescent="0.45">
      <c r="B1399" t="s">
        <v>53</v>
      </c>
      <c r="C1399">
        <v>20198715</v>
      </c>
      <c r="D1399" t="s">
        <v>179</v>
      </c>
      <c r="E1399" s="10">
        <v>46129.333333333336</v>
      </c>
      <c r="F1399" s="10">
        <v>46129.729166666664</v>
      </c>
      <c r="G1399">
        <v>8.5</v>
      </c>
      <c r="H1399" s="9">
        <f t="shared" si="63"/>
        <v>4.4999999999999998E-2</v>
      </c>
      <c r="I1399">
        <v>4.4999999999999998E-2</v>
      </c>
      <c r="M1399" t="s">
        <v>65</v>
      </c>
      <c r="N1399" t="s">
        <v>29</v>
      </c>
      <c r="P1399" t="s">
        <v>30</v>
      </c>
      <c r="Q1399" t="s">
        <v>31</v>
      </c>
      <c r="R1399">
        <v>82630</v>
      </c>
      <c r="S1399" t="s">
        <v>32</v>
      </c>
      <c r="T1399">
        <v>82611</v>
      </c>
      <c r="U1399" t="s">
        <v>43</v>
      </c>
      <c r="V1399" t="s">
        <v>43</v>
      </c>
      <c r="W1399" t="s">
        <v>170</v>
      </c>
      <c r="X1399" t="s">
        <v>171</v>
      </c>
      <c r="Y1399" s="9">
        <f t="shared" si="64"/>
        <v>0</v>
      </c>
      <c r="Z1399" t="str">
        <f t="shared" si="65"/>
        <v>สแกนต่าง Cost</v>
      </c>
    </row>
    <row r="1400" spans="1:26" x14ac:dyDescent="0.45">
      <c r="B1400" t="s">
        <v>53</v>
      </c>
      <c r="C1400">
        <v>20198747</v>
      </c>
      <c r="D1400" t="s">
        <v>180</v>
      </c>
      <c r="E1400" s="10">
        <v>46129.333333333336</v>
      </c>
      <c r="F1400" s="10">
        <v>46129.729166666664</v>
      </c>
      <c r="G1400">
        <v>8.5</v>
      </c>
      <c r="H1400" s="9">
        <f t="shared" si="63"/>
        <v>4.4999999999999998E-2</v>
      </c>
      <c r="I1400">
        <v>4.4999999999999998E-2</v>
      </c>
      <c r="M1400" t="s">
        <v>65</v>
      </c>
      <c r="N1400" t="s">
        <v>29</v>
      </c>
      <c r="P1400" t="s">
        <v>30</v>
      </c>
      <c r="Q1400" t="s">
        <v>31</v>
      </c>
      <c r="R1400">
        <v>82630</v>
      </c>
      <c r="S1400" t="s">
        <v>32</v>
      </c>
      <c r="T1400">
        <v>82640</v>
      </c>
      <c r="U1400" t="s">
        <v>42</v>
      </c>
      <c r="V1400" t="s">
        <v>70</v>
      </c>
      <c r="W1400" t="s">
        <v>170</v>
      </c>
      <c r="X1400" t="s">
        <v>171</v>
      </c>
      <c r="Y1400" s="9">
        <f t="shared" si="64"/>
        <v>0</v>
      </c>
      <c r="Z1400" t="str">
        <f t="shared" si="65"/>
        <v>สแกนต่าง Cost</v>
      </c>
    </row>
    <row r="1401" spans="1:26" x14ac:dyDescent="0.45">
      <c r="A1401">
        <v>26603</v>
      </c>
      <c r="B1401" t="s">
        <v>53</v>
      </c>
      <c r="C1401">
        <v>20198835</v>
      </c>
      <c r="D1401" t="s">
        <v>129</v>
      </c>
      <c r="E1401" s="10">
        <v>46129.333333333336</v>
      </c>
      <c r="F1401" s="10">
        <v>46129.854166666664</v>
      </c>
      <c r="G1401">
        <v>12.5</v>
      </c>
      <c r="H1401" s="9">
        <f t="shared" si="63"/>
        <v>6.6000000000000003E-2</v>
      </c>
      <c r="I1401">
        <v>4.4999999999999998E-2</v>
      </c>
      <c r="K1401">
        <v>2.1000000000000001E-2</v>
      </c>
      <c r="M1401" t="s">
        <v>28</v>
      </c>
      <c r="N1401" t="s">
        <v>40</v>
      </c>
      <c r="O1401" t="s">
        <v>190</v>
      </c>
      <c r="P1401" t="s">
        <v>30</v>
      </c>
      <c r="Q1401" t="s">
        <v>31</v>
      </c>
      <c r="R1401">
        <v>82658</v>
      </c>
      <c r="S1401" t="s">
        <v>33</v>
      </c>
      <c r="T1401">
        <v>82664</v>
      </c>
      <c r="U1401" t="s">
        <v>75</v>
      </c>
      <c r="V1401" t="s">
        <v>75</v>
      </c>
      <c r="W1401" t="s">
        <v>37</v>
      </c>
      <c r="X1401" t="s">
        <v>111</v>
      </c>
      <c r="Y1401" s="9">
        <f t="shared" si="64"/>
        <v>2.1000000000000001E-2</v>
      </c>
      <c r="Z1401" t="str">
        <f t="shared" si="65"/>
        <v>สแกนต่าง Cost</v>
      </c>
    </row>
    <row r="1402" spans="1:26" x14ac:dyDescent="0.45">
      <c r="B1402" t="s">
        <v>53</v>
      </c>
      <c r="C1402">
        <v>20220646</v>
      </c>
      <c r="D1402" t="s">
        <v>67</v>
      </c>
      <c r="E1402" s="10">
        <v>46129.333333333336</v>
      </c>
      <c r="F1402" s="10">
        <v>46129.5</v>
      </c>
      <c r="G1402">
        <v>4</v>
      </c>
      <c r="H1402" s="9">
        <f t="shared" si="63"/>
        <v>2.1000000000000001E-2</v>
      </c>
      <c r="I1402">
        <v>2.1000000000000001E-2</v>
      </c>
      <c r="M1402" t="s">
        <v>65</v>
      </c>
      <c r="N1402" t="s">
        <v>29</v>
      </c>
      <c r="P1402" t="s">
        <v>30</v>
      </c>
      <c r="Q1402" t="s">
        <v>31</v>
      </c>
      <c r="R1402">
        <v>82640</v>
      </c>
      <c r="S1402" t="s">
        <v>42</v>
      </c>
      <c r="T1402">
        <v>82652</v>
      </c>
      <c r="U1402" t="s">
        <v>46</v>
      </c>
      <c r="V1402" t="s">
        <v>66</v>
      </c>
      <c r="W1402" t="s">
        <v>37</v>
      </c>
      <c r="X1402" t="s">
        <v>34</v>
      </c>
      <c r="Y1402" s="9">
        <f t="shared" si="64"/>
        <v>0</v>
      </c>
      <c r="Z1402" t="str">
        <f t="shared" si="65"/>
        <v>สแกนต่าง Cost</v>
      </c>
    </row>
    <row r="1403" spans="1:26" x14ac:dyDescent="0.45">
      <c r="B1403" t="s">
        <v>53</v>
      </c>
      <c r="C1403">
        <v>20225092</v>
      </c>
      <c r="D1403" t="s">
        <v>335</v>
      </c>
      <c r="E1403" s="10">
        <v>46129.333333333336</v>
      </c>
      <c r="F1403" s="10">
        <v>46129.729166666664</v>
      </c>
      <c r="G1403">
        <v>8.5</v>
      </c>
      <c r="H1403" s="9">
        <f t="shared" si="63"/>
        <v>4.4999999999999998E-2</v>
      </c>
      <c r="I1403">
        <v>4.4999999999999998E-2</v>
      </c>
      <c r="M1403" t="s">
        <v>65</v>
      </c>
      <c r="N1403" t="s">
        <v>29</v>
      </c>
      <c r="P1403" t="s">
        <v>133</v>
      </c>
      <c r="Q1403" t="s">
        <v>31</v>
      </c>
      <c r="R1403">
        <v>82400</v>
      </c>
      <c r="S1403" t="s">
        <v>83</v>
      </c>
      <c r="T1403">
        <v>82664</v>
      </c>
      <c r="U1403" t="s">
        <v>75</v>
      </c>
      <c r="V1403" t="s">
        <v>336</v>
      </c>
      <c r="W1403" t="s">
        <v>44</v>
      </c>
      <c r="X1403" t="s">
        <v>44</v>
      </c>
      <c r="Y1403" s="9">
        <f t="shared" si="64"/>
        <v>0</v>
      </c>
      <c r="Z1403" t="str">
        <f t="shared" si="65"/>
        <v>สแกนต่าง Cost</v>
      </c>
    </row>
    <row r="1404" spans="1:26" x14ac:dyDescent="0.45">
      <c r="B1404" t="s">
        <v>53</v>
      </c>
      <c r="C1404">
        <v>20244923</v>
      </c>
      <c r="D1404" t="s">
        <v>246</v>
      </c>
      <c r="E1404" s="10">
        <v>46129.333333333336</v>
      </c>
      <c r="F1404" s="10">
        <v>46129.354166666664</v>
      </c>
      <c r="G1404">
        <v>0.5</v>
      </c>
      <c r="H1404" s="9">
        <f t="shared" si="63"/>
        <v>3.0000000000000001E-3</v>
      </c>
      <c r="I1404">
        <v>3.0000000000000001E-3</v>
      </c>
      <c r="M1404" t="s">
        <v>65</v>
      </c>
      <c r="N1404" t="s">
        <v>29</v>
      </c>
      <c r="P1404" t="s">
        <v>30</v>
      </c>
      <c r="Q1404" t="s">
        <v>31</v>
      </c>
      <c r="R1404">
        <v>82640</v>
      </c>
      <c r="S1404" t="s">
        <v>42</v>
      </c>
      <c r="T1404">
        <v>82612</v>
      </c>
      <c r="U1404" t="s">
        <v>153</v>
      </c>
      <c r="V1404" t="s">
        <v>66</v>
      </c>
      <c r="W1404" t="s">
        <v>44</v>
      </c>
      <c r="X1404" t="s">
        <v>44</v>
      </c>
      <c r="Y1404" s="9">
        <f t="shared" si="64"/>
        <v>0</v>
      </c>
      <c r="Z1404" t="str">
        <f t="shared" si="65"/>
        <v>สแกนต่าง Cost</v>
      </c>
    </row>
    <row r="1405" spans="1:26" x14ac:dyDescent="0.45">
      <c r="A1405">
        <v>26605</v>
      </c>
      <c r="B1405" t="s">
        <v>53</v>
      </c>
      <c r="C1405">
        <v>20273451</v>
      </c>
      <c r="D1405" t="s">
        <v>248</v>
      </c>
      <c r="E1405" s="10">
        <v>46129.333333333336</v>
      </c>
      <c r="F1405" s="10">
        <v>46129.729166666664</v>
      </c>
      <c r="G1405">
        <v>8.5</v>
      </c>
      <c r="H1405" s="9">
        <f t="shared" si="63"/>
        <v>4.4999999999999998E-2</v>
      </c>
      <c r="J1405">
        <v>4.4999999999999998E-2</v>
      </c>
      <c r="M1405" t="s">
        <v>77</v>
      </c>
      <c r="N1405" t="s">
        <v>40</v>
      </c>
      <c r="O1405" t="s">
        <v>78</v>
      </c>
      <c r="P1405" t="s">
        <v>30</v>
      </c>
      <c r="Q1405" t="s">
        <v>31</v>
      </c>
      <c r="R1405">
        <v>82640</v>
      </c>
      <c r="S1405" t="s">
        <v>42</v>
      </c>
      <c r="T1405">
        <v>82611</v>
      </c>
      <c r="U1405" t="s">
        <v>43</v>
      </c>
      <c r="V1405" t="s">
        <v>43</v>
      </c>
      <c r="W1405" t="s">
        <v>47</v>
      </c>
      <c r="X1405" t="s">
        <v>192</v>
      </c>
      <c r="Y1405" s="9">
        <f t="shared" si="64"/>
        <v>4.4999999999999998E-2</v>
      </c>
      <c r="Z1405" t="str">
        <f t="shared" si="65"/>
        <v>สแกนต่าง Cost</v>
      </c>
    </row>
    <row r="1406" spans="1:26" x14ac:dyDescent="0.45">
      <c r="B1406" t="s">
        <v>53</v>
      </c>
      <c r="C1406">
        <v>20310532</v>
      </c>
      <c r="D1406" t="s">
        <v>61</v>
      </c>
      <c r="E1406" s="10">
        <v>46129.333333333336</v>
      </c>
      <c r="F1406" s="10">
        <v>46129.5</v>
      </c>
      <c r="G1406">
        <v>4</v>
      </c>
      <c r="H1406" s="9">
        <f t="shared" si="63"/>
        <v>2.1000000000000001E-2</v>
      </c>
      <c r="I1406">
        <v>2.1000000000000001E-2</v>
      </c>
      <c r="M1406" t="s">
        <v>65</v>
      </c>
      <c r="N1406" t="s">
        <v>29</v>
      </c>
      <c r="P1406" t="s">
        <v>30</v>
      </c>
      <c r="Q1406" t="s">
        <v>31</v>
      </c>
      <c r="R1406">
        <v>82640</v>
      </c>
      <c r="S1406" t="s">
        <v>42</v>
      </c>
      <c r="T1406">
        <v>82630</v>
      </c>
      <c r="U1406" t="s">
        <v>32</v>
      </c>
      <c r="V1406" t="s">
        <v>66</v>
      </c>
      <c r="W1406" t="s">
        <v>44</v>
      </c>
      <c r="X1406" t="s">
        <v>44</v>
      </c>
      <c r="Y1406" s="9">
        <f t="shared" si="64"/>
        <v>0</v>
      </c>
      <c r="Z1406" t="str">
        <f t="shared" si="65"/>
        <v>สแกนต่าง Cost</v>
      </c>
    </row>
    <row r="1407" spans="1:26" x14ac:dyDescent="0.45">
      <c r="B1407" t="s">
        <v>53</v>
      </c>
      <c r="C1407">
        <v>20319535</v>
      </c>
      <c r="D1407" t="s">
        <v>36</v>
      </c>
      <c r="E1407" s="10">
        <v>46129.333333333336</v>
      </c>
      <c r="F1407" s="10">
        <v>46129.729166666664</v>
      </c>
      <c r="G1407">
        <v>9.5</v>
      </c>
      <c r="H1407" s="9">
        <f t="shared" si="63"/>
        <v>5.0000000000000001E-3</v>
      </c>
      <c r="L1407">
        <v>5.0000000000000001E-3</v>
      </c>
      <c r="M1407" t="s">
        <v>255</v>
      </c>
      <c r="N1407" t="s">
        <v>29</v>
      </c>
      <c r="P1407" t="s">
        <v>30</v>
      </c>
      <c r="Q1407" t="s">
        <v>31</v>
      </c>
      <c r="R1407">
        <v>82630</v>
      </c>
      <c r="S1407" t="s">
        <v>32</v>
      </c>
      <c r="T1407">
        <v>82611</v>
      </c>
      <c r="U1407" t="s">
        <v>43</v>
      </c>
      <c r="V1407" t="s">
        <v>43</v>
      </c>
      <c r="W1407" t="s">
        <v>170</v>
      </c>
      <c r="X1407" t="s">
        <v>171</v>
      </c>
      <c r="Y1407" s="9">
        <f t="shared" si="64"/>
        <v>5.0000000000000001E-3</v>
      </c>
      <c r="Z1407" t="str">
        <f t="shared" si="65"/>
        <v>สแกนต่าง Cost</v>
      </c>
    </row>
    <row r="1408" spans="1:26" x14ac:dyDescent="0.45">
      <c r="B1408" t="s">
        <v>53</v>
      </c>
      <c r="C1408">
        <v>20332134</v>
      </c>
      <c r="D1408" t="s">
        <v>156</v>
      </c>
      <c r="E1408" s="10">
        <v>46129.333333333336</v>
      </c>
      <c r="F1408" s="10">
        <v>46129.416666666664</v>
      </c>
      <c r="G1408">
        <v>2</v>
      </c>
      <c r="H1408" s="9">
        <f t="shared" si="63"/>
        <v>1.0999999999999999E-2</v>
      </c>
      <c r="I1408">
        <v>1.0999999999999999E-2</v>
      </c>
      <c r="M1408" t="s">
        <v>65</v>
      </c>
      <c r="N1408" t="s">
        <v>29</v>
      </c>
      <c r="P1408" t="s">
        <v>30</v>
      </c>
      <c r="Q1408" t="s">
        <v>31</v>
      </c>
      <c r="R1408">
        <v>82640</v>
      </c>
      <c r="S1408" t="s">
        <v>42</v>
      </c>
      <c r="T1408">
        <v>82630</v>
      </c>
      <c r="U1408" t="s">
        <v>32</v>
      </c>
      <c r="V1408" t="s">
        <v>66</v>
      </c>
      <c r="W1408" t="s">
        <v>44</v>
      </c>
      <c r="X1408" t="s">
        <v>44</v>
      </c>
      <c r="Y1408" s="9">
        <f t="shared" si="64"/>
        <v>0</v>
      </c>
      <c r="Z1408" t="str">
        <f t="shared" si="65"/>
        <v>สแกนต่าง Cost</v>
      </c>
    </row>
    <row r="1409" spans="1:26" x14ac:dyDescent="0.45">
      <c r="B1409" t="s">
        <v>53</v>
      </c>
      <c r="C1409">
        <v>20344532</v>
      </c>
      <c r="D1409" t="s">
        <v>186</v>
      </c>
      <c r="E1409" s="10">
        <v>46129.333333333336</v>
      </c>
      <c r="F1409" s="10">
        <v>46129.729166666664</v>
      </c>
      <c r="G1409">
        <v>9.5</v>
      </c>
      <c r="H1409" s="9">
        <f t="shared" si="63"/>
        <v>4.9999999999999996E-2</v>
      </c>
      <c r="I1409">
        <v>4.4999999999999998E-2</v>
      </c>
      <c r="K1409">
        <v>5.0000000000000001E-3</v>
      </c>
      <c r="M1409" t="s">
        <v>28</v>
      </c>
      <c r="N1409" t="s">
        <v>29</v>
      </c>
      <c r="P1409" t="s">
        <v>30</v>
      </c>
      <c r="Q1409" t="s">
        <v>31</v>
      </c>
      <c r="R1409">
        <v>82630</v>
      </c>
      <c r="S1409" t="s">
        <v>32</v>
      </c>
      <c r="T1409">
        <v>82611</v>
      </c>
      <c r="U1409" t="s">
        <v>43</v>
      </c>
      <c r="V1409" t="s">
        <v>43</v>
      </c>
      <c r="W1409" t="s">
        <v>170</v>
      </c>
      <c r="X1409" t="s">
        <v>171</v>
      </c>
      <c r="Y1409" s="9">
        <f t="shared" si="64"/>
        <v>5.0000000000000001E-3</v>
      </c>
      <c r="Z1409" t="str">
        <f t="shared" si="65"/>
        <v>สแกนต่าง Cost</v>
      </c>
    </row>
    <row r="1410" spans="1:26" x14ac:dyDescent="0.45">
      <c r="A1410">
        <v>26631</v>
      </c>
      <c r="B1410" t="s">
        <v>53</v>
      </c>
      <c r="C1410">
        <v>20344551</v>
      </c>
      <c r="D1410" t="s">
        <v>110</v>
      </c>
      <c r="E1410" s="10">
        <v>46129.333333333336</v>
      </c>
      <c r="F1410" s="10">
        <v>46129.729166666664</v>
      </c>
      <c r="G1410">
        <v>8.5</v>
      </c>
      <c r="H1410" s="9">
        <f t="shared" si="63"/>
        <v>4.4999999999999998E-2</v>
      </c>
      <c r="I1410">
        <v>4.4999999999999998E-2</v>
      </c>
      <c r="M1410" t="s">
        <v>65</v>
      </c>
      <c r="N1410" t="s">
        <v>29</v>
      </c>
      <c r="P1410" t="s">
        <v>30</v>
      </c>
      <c r="Q1410" t="s">
        <v>31</v>
      </c>
      <c r="R1410">
        <v>82655</v>
      </c>
      <c r="S1410" t="s">
        <v>59</v>
      </c>
      <c r="T1410">
        <v>82664</v>
      </c>
      <c r="U1410" t="s">
        <v>75</v>
      </c>
      <c r="V1410" t="s">
        <v>75</v>
      </c>
      <c r="W1410" t="s">
        <v>37</v>
      </c>
      <c r="X1410" t="s">
        <v>111</v>
      </c>
      <c r="Y1410" s="9">
        <f t="shared" si="64"/>
        <v>0</v>
      </c>
      <c r="Z1410" t="str">
        <f t="shared" si="65"/>
        <v>สแกนต่าง Cost</v>
      </c>
    </row>
    <row r="1411" spans="1:26" x14ac:dyDescent="0.45">
      <c r="A1411">
        <v>26632</v>
      </c>
      <c r="B1411" t="s">
        <v>53</v>
      </c>
      <c r="C1411">
        <v>20344552</v>
      </c>
      <c r="D1411" t="s">
        <v>112</v>
      </c>
      <c r="E1411" s="10">
        <v>46129.333333333336</v>
      </c>
      <c r="F1411" s="10">
        <v>46129.729166666664</v>
      </c>
      <c r="G1411">
        <v>8.5</v>
      </c>
      <c r="H1411" s="9">
        <f t="shared" ref="H1411:H1474" si="66">SUM(I1411:L1411)</f>
        <v>4.4999999999999998E-2</v>
      </c>
      <c r="I1411">
        <v>4.4999999999999998E-2</v>
      </c>
      <c r="M1411" t="s">
        <v>65</v>
      </c>
      <c r="N1411" t="s">
        <v>29</v>
      </c>
      <c r="P1411" t="s">
        <v>30</v>
      </c>
      <c r="Q1411" t="s">
        <v>31</v>
      </c>
      <c r="R1411">
        <v>82655</v>
      </c>
      <c r="S1411" t="s">
        <v>59</v>
      </c>
      <c r="T1411">
        <v>82664</v>
      </c>
      <c r="U1411" t="s">
        <v>75</v>
      </c>
      <c r="V1411" t="s">
        <v>75</v>
      </c>
      <c r="W1411" t="s">
        <v>37</v>
      </c>
      <c r="X1411" t="s">
        <v>111</v>
      </c>
      <c r="Y1411" s="9">
        <f t="shared" ref="Y1411:Y1474" si="67">SUM(J1411:L1411)</f>
        <v>0</v>
      </c>
      <c r="Z1411" t="str">
        <f t="shared" ref="Z1411:Z1474" si="68">IF(R1411=T1411,"สแกน Cost ตัวเอง","สแกนต่าง Cost")</f>
        <v>สแกนต่าง Cost</v>
      </c>
    </row>
    <row r="1412" spans="1:26" x14ac:dyDescent="0.45">
      <c r="B1412" t="s">
        <v>53</v>
      </c>
      <c r="C1412">
        <v>20352276</v>
      </c>
      <c r="D1412" t="s">
        <v>187</v>
      </c>
      <c r="E1412" s="10">
        <v>46129.333333333336</v>
      </c>
      <c r="F1412" s="10">
        <v>46129.729166666664</v>
      </c>
      <c r="G1412">
        <v>8.5</v>
      </c>
      <c r="H1412" s="9">
        <f t="shared" si="66"/>
        <v>4.4999999999999998E-2</v>
      </c>
      <c r="I1412">
        <v>4.4999999999999998E-2</v>
      </c>
      <c r="M1412" t="s">
        <v>65</v>
      </c>
      <c r="N1412" t="s">
        <v>29</v>
      </c>
      <c r="P1412" t="s">
        <v>30</v>
      </c>
      <c r="Q1412" t="s">
        <v>31</v>
      </c>
      <c r="R1412">
        <v>82630</v>
      </c>
      <c r="S1412" t="s">
        <v>32</v>
      </c>
      <c r="T1412">
        <v>82611</v>
      </c>
      <c r="U1412" t="s">
        <v>43</v>
      </c>
      <c r="V1412" t="s">
        <v>43</v>
      </c>
      <c r="W1412" t="s">
        <v>170</v>
      </c>
      <c r="X1412" t="s">
        <v>171</v>
      </c>
      <c r="Y1412" s="9">
        <f t="shared" si="67"/>
        <v>0</v>
      </c>
      <c r="Z1412" t="str">
        <f t="shared" si="68"/>
        <v>สแกนต่าง Cost</v>
      </c>
    </row>
    <row r="1413" spans="1:26" x14ac:dyDescent="0.45">
      <c r="B1413" t="s">
        <v>53</v>
      </c>
      <c r="C1413">
        <v>20368087</v>
      </c>
      <c r="D1413" t="s">
        <v>260</v>
      </c>
      <c r="E1413" s="10">
        <v>46129.333333333336</v>
      </c>
      <c r="F1413" s="10">
        <v>46129.5</v>
      </c>
      <c r="G1413">
        <v>4</v>
      </c>
      <c r="H1413" s="9">
        <f t="shared" si="66"/>
        <v>2.1000000000000001E-2</v>
      </c>
      <c r="I1413">
        <v>2.1000000000000001E-2</v>
      </c>
      <c r="M1413" t="s">
        <v>65</v>
      </c>
      <c r="N1413" t="s">
        <v>29</v>
      </c>
      <c r="P1413" t="s">
        <v>30</v>
      </c>
      <c r="Q1413" t="s">
        <v>31</v>
      </c>
      <c r="R1413">
        <v>82640</v>
      </c>
      <c r="S1413" t="s">
        <v>42</v>
      </c>
      <c r="T1413">
        <v>82630</v>
      </c>
      <c r="U1413" t="s">
        <v>32</v>
      </c>
      <c r="V1413" t="s">
        <v>66</v>
      </c>
      <c r="W1413" t="s">
        <v>44</v>
      </c>
      <c r="X1413" t="s">
        <v>44</v>
      </c>
      <c r="Y1413" s="9">
        <f t="shared" si="67"/>
        <v>0</v>
      </c>
      <c r="Z1413" t="str">
        <f t="shared" si="68"/>
        <v>สแกนต่าง Cost</v>
      </c>
    </row>
    <row r="1414" spans="1:26" x14ac:dyDescent="0.45">
      <c r="A1414">
        <v>26604</v>
      </c>
      <c r="B1414" t="s">
        <v>53</v>
      </c>
      <c r="C1414">
        <v>20372709</v>
      </c>
      <c r="D1414" t="s">
        <v>130</v>
      </c>
      <c r="E1414" s="10">
        <v>46129.333333333336</v>
      </c>
      <c r="F1414" s="10">
        <v>46129.854166666664</v>
      </c>
      <c r="G1414">
        <v>12.5</v>
      </c>
      <c r="H1414" s="9">
        <f t="shared" si="66"/>
        <v>6.6000000000000003E-2</v>
      </c>
      <c r="I1414">
        <v>4.4999999999999998E-2</v>
      </c>
      <c r="K1414">
        <v>2.1000000000000001E-2</v>
      </c>
      <c r="M1414" t="s">
        <v>28</v>
      </c>
      <c r="N1414" t="s">
        <v>40</v>
      </c>
      <c r="O1414" t="s">
        <v>190</v>
      </c>
      <c r="P1414" t="s">
        <v>30</v>
      </c>
      <c r="Q1414" t="s">
        <v>31</v>
      </c>
      <c r="R1414">
        <v>82658</v>
      </c>
      <c r="S1414" t="s">
        <v>33</v>
      </c>
      <c r="T1414">
        <v>82664</v>
      </c>
      <c r="U1414" t="s">
        <v>75</v>
      </c>
      <c r="V1414" t="s">
        <v>75</v>
      </c>
      <c r="W1414" t="s">
        <v>37</v>
      </c>
      <c r="X1414" t="s">
        <v>111</v>
      </c>
      <c r="Y1414" s="9">
        <f t="shared" si="67"/>
        <v>2.1000000000000001E-2</v>
      </c>
      <c r="Z1414" t="str">
        <f t="shared" si="68"/>
        <v>สแกนต่าง Cost</v>
      </c>
    </row>
    <row r="1415" spans="1:26" x14ac:dyDescent="0.45">
      <c r="B1415" t="s">
        <v>26</v>
      </c>
      <c r="C1415">
        <v>20373210</v>
      </c>
      <c r="D1415" t="s">
        <v>206</v>
      </c>
      <c r="E1415" s="10">
        <v>46129.333333333336</v>
      </c>
      <c r="F1415" s="10">
        <v>46129.729166666664</v>
      </c>
      <c r="G1415">
        <v>8.5</v>
      </c>
      <c r="H1415" s="9">
        <f t="shared" si="66"/>
        <v>4.4999999999999998E-2</v>
      </c>
      <c r="I1415">
        <v>4.4999999999999998E-2</v>
      </c>
      <c r="M1415" t="s">
        <v>65</v>
      </c>
      <c r="N1415" t="s">
        <v>29</v>
      </c>
      <c r="P1415" t="s">
        <v>30</v>
      </c>
      <c r="Q1415" t="s">
        <v>31</v>
      </c>
      <c r="R1415">
        <v>82910</v>
      </c>
      <c r="S1415" t="s">
        <v>201</v>
      </c>
      <c r="T1415">
        <v>82605</v>
      </c>
      <c r="U1415" t="s">
        <v>202</v>
      </c>
      <c r="V1415" t="s">
        <v>202</v>
      </c>
      <c r="W1415" t="s">
        <v>37</v>
      </c>
      <c r="X1415" t="s">
        <v>47</v>
      </c>
      <c r="Y1415" s="9">
        <f t="shared" si="67"/>
        <v>0</v>
      </c>
      <c r="Z1415" t="str">
        <f t="shared" si="68"/>
        <v>สแกนต่าง Cost</v>
      </c>
    </row>
    <row r="1416" spans="1:26" x14ac:dyDescent="0.45">
      <c r="A1416">
        <v>26602</v>
      </c>
      <c r="B1416" t="s">
        <v>53</v>
      </c>
      <c r="C1416">
        <v>20267288</v>
      </c>
      <c r="D1416" t="s">
        <v>127</v>
      </c>
      <c r="E1416" s="10">
        <v>46129.326388888891</v>
      </c>
      <c r="F1416" s="10">
        <v>46129.827777777777</v>
      </c>
      <c r="G1416">
        <v>12.033333333333333</v>
      </c>
      <c r="H1416" s="9">
        <f t="shared" si="66"/>
        <v>6.4000000000000001E-2</v>
      </c>
      <c r="I1416">
        <v>4.4999999999999998E-2</v>
      </c>
      <c r="K1416">
        <v>1.9E-2</v>
      </c>
      <c r="M1416" t="s">
        <v>28</v>
      </c>
      <c r="N1416" t="s">
        <v>40</v>
      </c>
      <c r="O1416" t="s">
        <v>41</v>
      </c>
      <c r="P1416" t="s">
        <v>30</v>
      </c>
      <c r="Q1416" t="s">
        <v>31</v>
      </c>
      <c r="R1416">
        <v>82409</v>
      </c>
      <c r="S1416" t="s">
        <v>74</v>
      </c>
      <c r="T1416">
        <v>82664</v>
      </c>
      <c r="U1416" t="s">
        <v>75</v>
      </c>
      <c r="V1416" t="s">
        <v>75</v>
      </c>
      <c r="W1416" t="s">
        <v>74</v>
      </c>
      <c r="X1416" t="s">
        <v>74</v>
      </c>
      <c r="Y1416" s="9">
        <f t="shared" si="67"/>
        <v>1.9E-2</v>
      </c>
      <c r="Z1416" t="str">
        <f t="shared" si="68"/>
        <v>สแกนต่าง Cost</v>
      </c>
    </row>
    <row r="1417" spans="1:26" x14ac:dyDescent="0.45">
      <c r="A1417">
        <v>26601</v>
      </c>
      <c r="B1417" t="s">
        <v>53</v>
      </c>
      <c r="C1417">
        <v>20214280</v>
      </c>
      <c r="D1417" t="s">
        <v>136</v>
      </c>
      <c r="E1417" s="10">
        <v>46129.247916666667</v>
      </c>
      <c r="F1417" s="10">
        <v>46129.729166666664</v>
      </c>
      <c r="G1417">
        <v>11.55</v>
      </c>
      <c r="H1417" s="9">
        <f t="shared" si="66"/>
        <v>6.0999999999999999E-2</v>
      </c>
      <c r="I1417">
        <v>4.4999999999999998E-2</v>
      </c>
      <c r="K1417">
        <v>1.6E-2</v>
      </c>
      <c r="M1417" t="s">
        <v>28</v>
      </c>
      <c r="N1417" t="s">
        <v>40</v>
      </c>
      <c r="O1417" t="s">
        <v>41</v>
      </c>
      <c r="P1417" t="s">
        <v>30</v>
      </c>
      <c r="Q1417" t="s">
        <v>31</v>
      </c>
      <c r="R1417">
        <v>82415</v>
      </c>
      <c r="S1417" t="s">
        <v>137</v>
      </c>
      <c r="T1417">
        <v>82664</v>
      </c>
      <c r="U1417" t="s">
        <v>75</v>
      </c>
      <c r="V1417" t="s">
        <v>75</v>
      </c>
      <c r="W1417" t="s">
        <v>74</v>
      </c>
      <c r="X1417" t="s">
        <v>74</v>
      </c>
      <c r="Y1417" s="9">
        <f t="shared" si="67"/>
        <v>1.6E-2</v>
      </c>
      <c r="Z1417" t="str">
        <f t="shared" si="68"/>
        <v>สแกนต่าง Cost</v>
      </c>
    </row>
    <row r="1418" spans="1:26" x14ac:dyDescent="0.45">
      <c r="B1418" t="s">
        <v>53</v>
      </c>
      <c r="C1418">
        <v>20287913</v>
      </c>
      <c r="D1418" t="s">
        <v>329</v>
      </c>
      <c r="E1418" s="10">
        <v>46129.041666666664</v>
      </c>
      <c r="F1418" s="10">
        <v>46129.229166666664</v>
      </c>
      <c r="G1418">
        <v>4.5</v>
      </c>
      <c r="H1418" s="9">
        <f t="shared" si="66"/>
        <v>2.4E-2</v>
      </c>
      <c r="K1418">
        <v>2.4E-2</v>
      </c>
      <c r="M1418" t="s">
        <v>28</v>
      </c>
      <c r="N1418" t="s">
        <v>29</v>
      </c>
      <c r="P1418" t="s">
        <v>30</v>
      </c>
      <c r="Q1418" t="s">
        <v>31</v>
      </c>
      <c r="R1418">
        <v>82640</v>
      </c>
      <c r="S1418" t="s">
        <v>42</v>
      </c>
      <c r="T1418">
        <v>82630</v>
      </c>
      <c r="U1418" t="s">
        <v>32</v>
      </c>
      <c r="V1418" t="s">
        <v>66</v>
      </c>
      <c r="W1418" t="s">
        <v>44</v>
      </c>
      <c r="X1418" t="s">
        <v>44</v>
      </c>
      <c r="Y1418" s="9">
        <f t="shared" si="67"/>
        <v>2.4E-2</v>
      </c>
      <c r="Z1418" t="str">
        <f t="shared" si="68"/>
        <v>สแกนต่าง Cost</v>
      </c>
    </row>
    <row r="1419" spans="1:26" x14ac:dyDescent="0.45">
      <c r="B1419" t="s">
        <v>53</v>
      </c>
      <c r="C1419">
        <v>20287913</v>
      </c>
      <c r="D1419" t="s">
        <v>329</v>
      </c>
      <c r="E1419" s="10">
        <v>46128.833333333336</v>
      </c>
      <c r="F1419" s="10">
        <v>46129</v>
      </c>
      <c r="G1419">
        <v>4</v>
      </c>
      <c r="H1419" s="9">
        <f t="shared" si="66"/>
        <v>2.1000000000000001E-2</v>
      </c>
      <c r="I1419">
        <v>2.1000000000000001E-2</v>
      </c>
      <c r="M1419" t="s">
        <v>65</v>
      </c>
      <c r="N1419" t="s">
        <v>29</v>
      </c>
      <c r="P1419" t="s">
        <v>30</v>
      </c>
      <c r="Q1419" t="s">
        <v>31</v>
      </c>
      <c r="R1419">
        <v>82640</v>
      </c>
      <c r="S1419" t="s">
        <v>42</v>
      </c>
      <c r="T1419">
        <v>82630</v>
      </c>
      <c r="U1419" t="s">
        <v>32</v>
      </c>
      <c r="V1419" t="s">
        <v>66</v>
      </c>
      <c r="W1419" t="s">
        <v>44</v>
      </c>
      <c r="X1419" t="s">
        <v>44</v>
      </c>
      <c r="Y1419" s="9">
        <f t="shared" si="67"/>
        <v>0</v>
      </c>
      <c r="Z1419" t="str">
        <f t="shared" si="68"/>
        <v>สแกนต่าง Cost</v>
      </c>
    </row>
    <row r="1420" spans="1:26" x14ac:dyDescent="0.45">
      <c r="B1420" t="s">
        <v>26</v>
      </c>
      <c r="C1420">
        <v>20198813</v>
      </c>
      <c r="D1420" t="s">
        <v>45</v>
      </c>
      <c r="E1420" s="10">
        <v>46128.743055555555</v>
      </c>
      <c r="F1420" s="10">
        <v>46128.830555555556</v>
      </c>
      <c r="G1420">
        <v>2.1</v>
      </c>
      <c r="H1420" s="9">
        <f t="shared" si="66"/>
        <v>1.0999999999999999E-2</v>
      </c>
      <c r="K1420">
        <v>1.0999999999999999E-2</v>
      </c>
      <c r="M1420" t="s">
        <v>28</v>
      </c>
      <c r="N1420" t="s">
        <v>40</v>
      </c>
      <c r="O1420" t="s">
        <v>41</v>
      </c>
      <c r="P1420" t="s">
        <v>30</v>
      </c>
      <c r="Q1420" t="s">
        <v>31</v>
      </c>
      <c r="R1420">
        <v>82652</v>
      </c>
      <c r="S1420" t="s">
        <v>46</v>
      </c>
      <c r="T1420">
        <v>82655</v>
      </c>
      <c r="U1420" t="s">
        <v>59</v>
      </c>
      <c r="V1420" t="s">
        <v>59</v>
      </c>
      <c r="W1420" t="s">
        <v>37</v>
      </c>
      <c r="X1420" t="s">
        <v>38</v>
      </c>
      <c r="Y1420" s="9">
        <f t="shared" si="67"/>
        <v>1.0999999999999999E-2</v>
      </c>
      <c r="Z1420" t="str">
        <f t="shared" si="68"/>
        <v>สแกนต่าง Cost</v>
      </c>
    </row>
    <row r="1421" spans="1:26" x14ac:dyDescent="0.45">
      <c r="B1421" t="s">
        <v>26</v>
      </c>
      <c r="C1421">
        <v>20344534</v>
      </c>
      <c r="D1421" t="s">
        <v>278</v>
      </c>
      <c r="E1421" s="10">
        <v>46128.734722222223</v>
      </c>
      <c r="F1421" s="10">
        <v>46128.82708333333</v>
      </c>
      <c r="G1421">
        <v>2.2166666666666668</v>
      </c>
      <c r="H1421" s="9">
        <f t="shared" si="66"/>
        <v>1.2E-2</v>
      </c>
      <c r="K1421">
        <v>1.2E-2</v>
      </c>
      <c r="M1421" t="s">
        <v>28</v>
      </c>
      <c r="N1421" t="s">
        <v>40</v>
      </c>
      <c r="O1421" t="s">
        <v>41</v>
      </c>
      <c r="P1421" t="s">
        <v>30</v>
      </c>
      <c r="Q1421" t="s">
        <v>31</v>
      </c>
      <c r="R1421">
        <v>82680</v>
      </c>
      <c r="S1421" t="s">
        <v>50</v>
      </c>
      <c r="T1421">
        <v>82658</v>
      </c>
      <c r="U1421" t="s">
        <v>33</v>
      </c>
      <c r="V1421" t="s">
        <v>33</v>
      </c>
      <c r="W1421" t="s">
        <v>51</v>
      </c>
      <c r="X1421" t="s">
        <v>52</v>
      </c>
      <c r="Y1421" s="9">
        <f t="shared" si="67"/>
        <v>1.2E-2</v>
      </c>
      <c r="Z1421" t="str">
        <f t="shared" si="68"/>
        <v>สแกนต่าง Cost</v>
      </c>
    </row>
    <row r="1422" spans="1:26" x14ac:dyDescent="0.45">
      <c r="B1422" t="s">
        <v>26</v>
      </c>
      <c r="C1422">
        <v>20403445</v>
      </c>
      <c r="E1422" s="10">
        <v>46128.729861111111</v>
      </c>
      <c r="F1422" s="10">
        <v>46128.826388888891</v>
      </c>
      <c r="G1422">
        <v>2.3166666666666669</v>
      </c>
      <c r="H1422" s="9">
        <f t="shared" si="66"/>
        <v>1.2E-2</v>
      </c>
      <c r="K1422">
        <v>1.2E-2</v>
      </c>
      <c r="M1422" t="s">
        <v>28</v>
      </c>
      <c r="N1422" t="s">
        <v>40</v>
      </c>
      <c r="O1422" t="s">
        <v>41</v>
      </c>
      <c r="P1422" t="s">
        <v>30</v>
      </c>
      <c r="R1422">
        <v>82680</v>
      </c>
      <c r="T1422">
        <v>82658</v>
      </c>
      <c r="U1422" t="s">
        <v>33</v>
      </c>
      <c r="V1422" t="s">
        <v>33</v>
      </c>
      <c r="W1422" t="s">
        <v>51</v>
      </c>
      <c r="X1422" t="s">
        <v>52</v>
      </c>
      <c r="Y1422" s="9">
        <f t="shared" si="67"/>
        <v>1.2E-2</v>
      </c>
      <c r="Z1422" t="str">
        <f t="shared" si="68"/>
        <v>สแกนต่าง Cost</v>
      </c>
    </row>
    <row r="1423" spans="1:26" x14ac:dyDescent="0.45">
      <c r="B1423" t="s">
        <v>26</v>
      </c>
      <c r="C1423">
        <v>20038749</v>
      </c>
      <c r="D1423" t="s">
        <v>218</v>
      </c>
      <c r="E1423" s="10">
        <v>46128.729166666664</v>
      </c>
      <c r="F1423" s="10">
        <v>46128.826388888891</v>
      </c>
      <c r="G1423">
        <v>2.3333333333333335</v>
      </c>
      <c r="H1423" s="9">
        <f t="shared" si="66"/>
        <v>1.2E-2</v>
      </c>
      <c r="K1423">
        <v>1.2E-2</v>
      </c>
      <c r="M1423" t="s">
        <v>28</v>
      </c>
      <c r="N1423" t="s">
        <v>40</v>
      </c>
      <c r="O1423" t="s">
        <v>41</v>
      </c>
      <c r="P1423" t="s">
        <v>30</v>
      </c>
      <c r="Q1423" t="s">
        <v>31</v>
      </c>
      <c r="R1423">
        <v>82680</v>
      </c>
      <c r="S1423" t="s">
        <v>50</v>
      </c>
      <c r="T1423">
        <v>82658</v>
      </c>
      <c r="U1423" t="s">
        <v>33</v>
      </c>
      <c r="V1423" t="s">
        <v>33</v>
      </c>
      <c r="W1423" t="s">
        <v>51</v>
      </c>
      <c r="X1423" t="s">
        <v>52</v>
      </c>
      <c r="Y1423" s="9">
        <f t="shared" si="67"/>
        <v>1.2E-2</v>
      </c>
      <c r="Z1423" t="str">
        <f t="shared" si="68"/>
        <v>สแกนต่าง Cost</v>
      </c>
    </row>
    <row r="1424" spans="1:26" x14ac:dyDescent="0.45">
      <c r="B1424" t="s">
        <v>26</v>
      </c>
      <c r="C1424">
        <v>20198826</v>
      </c>
      <c r="D1424" t="s">
        <v>49</v>
      </c>
      <c r="E1424" s="10">
        <v>46128.725694444445</v>
      </c>
      <c r="F1424" s="10">
        <v>46128.826388888891</v>
      </c>
      <c r="G1424">
        <v>2.4166666666666665</v>
      </c>
      <c r="H1424" s="9">
        <f t="shared" si="66"/>
        <v>1.2999999999999999E-2</v>
      </c>
      <c r="K1424">
        <v>1.2999999999999999E-2</v>
      </c>
      <c r="M1424" t="s">
        <v>28</v>
      </c>
      <c r="N1424" t="s">
        <v>40</v>
      </c>
      <c r="O1424" t="s">
        <v>41</v>
      </c>
      <c r="P1424" t="s">
        <v>30</v>
      </c>
      <c r="Q1424" t="s">
        <v>31</v>
      </c>
      <c r="R1424">
        <v>82680</v>
      </c>
      <c r="S1424" t="s">
        <v>50</v>
      </c>
      <c r="T1424">
        <v>82655</v>
      </c>
      <c r="U1424" t="s">
        <v>59</v>
      </c>
      <c r="V1424" t="s">
        <v>59</v>
      </c>
      <c r="W1424" t="s">
        <v>51</v>
      </c>
      <c r="X1424" t="s">
        <v>52</v>
      </c>
      <c r="Y1424" s="9">
        <f t="shared" si="67"/>
        <v>1.2999999999999999E-2</v>
      </c>
      <c r="Z1424" t="str">
        <f t="shared" si="68"/>
        <v>สแกนต่าง Cost</v>
      </c>
    </row>
    <row r="1425" spans="1:26" x14ac:dyDescent="0.45">
      <c r="B1425" t="s">
        <v>26</v>
      </c>
      <c r="C1425">
        <v>20027956</v>
      </c>
      <c r="D1425" t="s">
        <v>214</v>
      </c>
      <c r="E1425" s="10">
        <v>46128.724305555559</v>
      </c>
      <c r="F1425" s="10">
        <v>46128.82708333333</v>
      </c>
      <c r="G1425">
        <v>2.4666666666666668</v>
      </c>
      <c r="H1425" s="9">
        <f t="shared" si="66"/>
        <v>1.2999999999999999E-2</v>
      </c>
      <c r="K1425">
        <v>1.2999999999999999E-2</v>
      </c>
      <c r="M1425" t="s">
        <v>28</v>
      </c>
      <c r="N1425" t="s">
        <v>40</v>
      </c>
      <c r="O1425" t="s">
        <v>41</v>
      </c>
      <c r="P1425" t="s">
        <v>30</v>
      </c>
      <c r="Q1425" t="s">
        <v>31</v>
      </c>
      <c r="R1425">
        <v>82640</v>
      </c>
      <c r="S1425" t="s">
        <v>42</v>
      </c>
      <c r="T1425">
        <v>82611</v>
      </c>
      <c r="U1425" t="s">
        <v>43</v>
      </c>
      <c r="V1425" t="s">
        <v>43</v>
      </c>
      <c r="W1425" t="s">
        <v>44</v>
      </c>
      <c r="X1425" t="s">
        <v>44</v>
      </c>
      <c r="Y1425" s="9">
        <f t="shared" si="67"/>
        <v>1.2999999999999999E-2</v>
      </c>
      <c r="Z1425" t="str">
        <f t="shared" si="68"/>
        <v>สแกนต่าง Cost</v>
      </c>
    </row>
    <row r="1426" spans="1:26" x14ac:dyDescent="0.45">
      <c r="B1426" t="s">
        <v>26</v>
      </c>
      <c r="C1426">
        <v>20167851</v>
      </c>
      <c r="D1426" t="s">
        <v>63</v>
      </c>
      <c r="E1426" s="10">
        <v>46128.724305555559</v>
      </c>
      <c r="F1426" s="10">
        <v>46128.827777777777</v>
      </c>
      <c r="G1426">
        <v>2.4833333333333334</v>
      </c>
      <c r="H1426" s="9">
        <f t="shared" si="66"/>
        <v>1.2999999999999999E-2</v>
      </c>
      <c r="K1426">
        <v>1.2999999999999999E-2</v>
      </c>
      <c r="M1426" t="s">
        <v>28</v>
      </c>
      <c r="N1426" t="s">
        <v>29</v>
      </c>
      <c r="P1426" t="s">
        <v>30</v>
      </c>
      <c r="Q1426" t="s">
        <v>31</v>
      </c>
      <c r="R1426">
        <v>82640</v>
      </c>
      <c r="S1426" t="s">
        <v>42</v>
      </c>
      <c r="T1426">
        <v>82611</v>
      </c>
      <c r="U1426" t="s">
        <v>43</v>
      </c>
      <c r="V1426" t="s">
        <v>43</v>
      </c>
      <c r="W1426" t="s">
        <v>44</v>
      </c>
      <c r="X1426" t="s">
        <v>44</v>
      </c>
      <c r="Y1426" s="9">
        <f t="shared" si="67"/>
        <v>1.2999999999999999E-2</v>
      </c>
      <c r="Z1426" t="str">
        <f t="shared" si="68"/>
        <v>สแกนต่าง Cost</v>
      </c>
    </row>
    <row r="1427" spans="1:26" x14ac:dyDescent="0.45">
      <c r="B1427" t="s">
        <v>53</v>
      </c>
      <c r="C1427">
        <v>20019647</v>
      </c>
      <c r="D1427" t="s">
        <v>152</v>
      </c>
      <c r="E1427" s="10">
        <v>46128.723611111112</v>
      </c>
      <c r="F1427" s="10">
        <v>46128.826388888891</v>
      </c>
      <c r="G1427">
        <v>2.4666666666666668</v>
      </c>
      <c r="H1427" s="9">
        <f t="shared" si="66"/>
        <v>1.2999999999999999E-2</v>
      </c>
      <c r="K1427">
        <v>1.2999999999999999E-2</v>
      </c>
      <c r="M1427" t="s">
        <v>28</v>
      </c>
      <c r="N1427" t="s">
        <v>40</v>
      </c>
      <c r="O1427" t="s">
        <v>41</v>
      </c>
      <c r="P1427" t="s">
        <v>30</v>
      </c>
      <c r="Q1427" t="s">
        <v>31</v>
      </c>
      <c r="R1427">
        <v>82630</v>
      </c>
      <c r="S1427" t="s">
        <v>32</v>
      </c>
      <c r="T1427">
        <v>82611</v>
      </c>
      <c r="U1427" t="s">
        <v>43</v>
      </c>
      <c r="V1427" t="s">
        <v>43</v>
      </c>
      <c r="W1427" t="s">
        <v>148</v>
      </c>
      <c r="X1427" t="s">
        <v>171</v>
      </c>
      <c r="Y1427" s="9">
        <f t="shared" si="67"/>
        <v>1.2999999999999999E-2</v>
      </c>
      <c r="Z1427" t="str">
        <f t="shared" si="68"/>
        <v>สแกนต่าง Cost</v>
      </c>
    </row>
    <row r="1428" spans="1:26" x14ac:dyDescent="0.45">
      <c r="B1428" t="s">
        <v>53</v>
      </c>
      <c r="C1428">
        <v>20074652</v>
      </c>
      <c r="D1428" t="s">
        <v>162</v>
      </c>
      <c r="E1428" s="10">
        <v>46128.723611111112</v>
      </c>
      <c r="F1428" s="10">
        <v>46128.826388888891</v>
      </c>
      <c r="G1428">
        <v>2.4666666666666668</v>
      </c>
      <c r="H1428" s="9">
        <f t="shared" si="66"/>
        <v>1.2999999999999999E-2</v>
      </c>
      <c r="K1428">
        <v>1.2999999999999999E-2</v>
      </c>
      <c r="M1428" t="s">
        <v>28</v>
      </c>
      <c r="N1428" t="s">
        <v>40</v>
      </c>
      <c r="O1428" t="s">
        <v>41</v>
      </c>
      <c r="P1428" t="s">
        <v>30</v>
      </c>
      <c r="Q1428" t="s">
        <v>31</v>
      </c>
      <c r="R1428">
        <v>82630</v>
      </c>
      <c r="S1428" t="s">
        <v>32</v>
      </c>
      <c r="T1428">
        <v>82611</v>
      </c>
      <c r="U1428" t="s">
        <v>43</v>
      </c>
      <c r="V1428" t="s">
        <v>43</v>
      </c>
      <c r="W1428" t="s">
        <v>148</v>
      </c>
      <c r="X1428" t="s">
        <v>171</v>
      </c>
      <c r="Y1428" s="9">
        <f t="shared" si="67"/>
        <v>1.2999999999999999E-2</v>
      </c>
      <c r="Z1428" t="str">
        <f t="shared" si="68"/>
        <v>สแกนต่าง Cost</v>
      </c>
    </row>
    <row r="1429" spans="1:26" x14ac:dyDescent="0.45">
      <c r="B1429" t="s">
        <v>53</v>
      </c>
      <c r="C1429">
        <v>20240959</v>
      </c>
      <c r="D1429" t="s">
        <v>105</v>
      </c>
      <c r="E1429" s="10">
        <v>46128.723611111112</v>
      </c>
      <c r="F1429" s="10">
        <v>46128.826388888891</v>
      </c>
      <c r="G1429">
        <v>2.4666666666666668</v>
      </c>
      <c r="H1429" s="9">
        <f t="shared" si="66"/>
        <v>1.2999999999999999E-2</v>
      </c>
      <c r="L1429">
        <v>1.2999999999999999E-2</v>
      </c>
      <c r="M1429" t="s">
        <v>255</v>
      </c>
      <c r="N1429" t="s">
        <v>29</v>
      </c>
      <c r="P1429" t="s">
        <v>30</v>
      </c>
      <c r="Q1429" t="s">
        <v>31</v>
      </c>
      <c r="R1429">
        <v>82630</v>
      </c>
      <c r="S1429" t="s">
        <v>32</v>
      </c>
      <c r="T1429">
        <v>82611</v>
      </c>
      <c r="U1429" t="s">
        <v>43</v>
      </c>
      <c r="V1429" t="s">
        <v>43</v>
      </c>
      <c r="W1429" t="s">
        <v>148</v>
      </c>
      <c r="X1429" t="s">
        <v>171</v>
      </c>
      <c r="Y1429" s="9">
        <f t="shared" si="67"/>
        <v>1.2999999999999999E-2</v>
      </c>
      <c r="Z1429" t="str">
        <f t="shared" si="68"/>
        <v>สแกนต่าง Cost</v>
      </c>
    </row>
    <row r="1430" spans="1:26" x14ac:dyDescent="0.45">
      <c r="B1430" t="s">
        <v>53</v>
      </c>
      <c r="C1430">
        <v>20029099</v>
      </c>
      <c r="D1430" t="s">
        <v>163</v>
      </c>
      <c r="E1430" s="10">
        <v>46128.722916666666</v>
      </c>
      <c r="F1430" s="10">
        <v>46128.826388888891</v>
      </c>
      <c r="G1430">
        <v>2.4833333333333334</v>
      </c>
      <c r="H1430" s="9">
        <f t="shared" si="66"/>
        <v>1.2999999999999999E-2</v>
      </c>
      <c r="K1430">
        <v>1.2999999999999999E-2</v>
      </c>
      <c r="M1430" t="s">
        <v>28</v>
      </c>
      <c r="N1430" t="s">
        <v>40</v>
      </c>
      <c r="O1430" t="s">
        <v>41</v>
      </c>
      <c r="P1430" t="s">
        <v>30</v>
      </c>
      <c r="Q1430" t="s">
        <v>31</v>
      </c>
      <c r="R1430">
        <v>82630</v>
      </c>
      <c r="S1430" t="s">
        <v>32</v>
      </c>
      <c r="T1430">
        <v>82611</v>
      </c>
      <c r="U1430" t="s">
        <v>43</v>
      </c>
      <c r="V1430" t="s">
        <v>43</v>
      </c>
      <c r="W1430" t="s">
        <v>148</v>
      </c>
      <c r="X1430" t="s">
        <v>171</v>
      </c>
      <c r="Y1430" s="9">
        <f t="shared" si="67"/>
        <v>1.2999999999999999E-2</v>
      </c>
      <c r="Z1430" t="str">
        <f t="shared" si="68"/>
        <v>สแกนต่าง Cost</v>
      </c>
    </row>
    <row r="1431" spans="1:26" x14ac:dyDescent="0.45">
      <c r="B1431" t="s">
        <v>53</v>
      </c>
      <c r="C1431">
        <v>20056406</v>
      </c>
      <c r="D1431" t="s">
        <v>85</v>
      </c>
      <c r="E1431" s="10">
        <v>46128.722916666666</v>
      </c>
      <c r="F1431" s="10">
        <v>46128.826388888891</v>
      </c>
      <c r="G1431">
        <v>2.4833333333333334</v>
      </c>
      <c r="H1431" s="9">
        <f t="shared" si="66"/>
        <v>1.2999999999999999E-2</v>
      </c>
      <c r="K1431">
        <v>1.2999999999999999E-2</v>
      </c>
      <c r="M1431" t="s">
        <v>28</v>
      </c>
      <c r="N1431" t="s">
        <v>40</v>
      </c>
      <c r="O1431" t="s">
        <v>41</v>
      </c>
      <c r="P1431" t="s">
        <v>30</v>
      </c>
      <c r="Q1431" t="s">
        <v>31</v>
      </c>
      <c r="R1431">
        <v>82630</v>
      </c>
      <c r="S1431" t="s">
        <v>32</v>
      </c>
      <c r="T1431">
        <v>82611</v>
      </c>
      <c r="U1431" t="s">
        <v>43</v>
      </c>
      <c r="V1431" t="s">
        <v>43</v>
      </c>
      <c r="W1431" t="s">
        <v>148</v>
      </c>
      <c r="X1431" t="s">
        <v>171</v>
      </c>
      <c r="Y1431" s="9">
        <f t="shared" si="67"/>
        <v>1.2999999999999999E-2</v>
      </c>
      <c r="Z1431" t="str">
        <f t="shared" si="68"/>
        <v>สแกนต่าง Cost</v>
      </c>
    </row>
    <row r="1432" spans="1:26" x14ac:dyDescent="0.45">
      <c r="B1432" t="s">
        <v>53</v>
      </c>
      <c r="C1432">
        <v>20156338</v>
      </c>
      <c r="D1432" t="s">
        <v>102</v>
      </c>
      <c r="E1432" s="10">
        <v>46128.722916666666</v>
      </c>
      <c r="F1432" s="10">
        <v>46128.826388888891</v>
      </c>
      <c r="G1432">
        <v>2.4833333333333334</v>
      </c>
      <c r="H1432" s="9">
        <f t="shared" si="66"/>
        <v>1.2999999999999999E-2</v>
      </c>
      <c r="K1432">
        <v>1.2999999999999999E-2</v>
      </c>
      <c r="M1432" t="s">
        <v>28</v>
      </c>
      <c r="N1432" t="s">
        <v>40</v>
      </c>
      <c r="O1432" t="s">
        <v>41</v>
      </c>
      <c r="P1432" t="s">
        <v>30</v>
      </c>
      <c r="Q1432" t="s">
        <v>31</v>
      </c>
      <c r="R1432">
        <v>82630</v>
      </c>
      <c r="S1432" t="s">
        <v>32</v>
      </c>
      <c r="T1432">
        <v>82611</v>
      </c>
      <c r="U1432" t="s">
        <v>43</v>
      </c>
      <c r="V1432" t="s">
        <v>43</v>
      </c>
      <c r="W1432" t="s">
        <v>148</v>
      </c>
      <c r="X1432" t="s">
        <v>171</v>
      </c>
      <c r="Y1432" s="9">
        <f t="shared" si="67"/>
        <v>1.2999999999999999E-2</v>
      </c>
      <c r="Z1432" t="str">
        <f t="shared" si="68"/>
        <v>สแกนต่าง Cost</v>
      </c>
    </row>
    <row r="1433" spans="1:26" x14ac:dyDescent="0.45">
      <c r="B1433" t="s">
        <v>53</v>
      </c>
      <c r="C1433">
        <v>20240961</v>
      </c>
      <c r="D1433" t="s">
        <v>239</v>
      </c>
      <c r="E1433" s="10">
        <v>46128.722916666666</v>
      </c>
      <c r="F1433" s="10">
        <v>46128.826388888891</v>
      </c>
      <c r="G1433">
        <v>2.4833333333333334</v>
      </c>
      <c r="H1433" s="9">
        <f t="shared" si="66"/>
        <v>1.2999999999999999E-2</v>
      </c>
      <c r="K1433">
        <v>1.2999999999999999E-2</v>
      </c>
      <c r="M1433" t="s">
        <v>28</v>
      </c>
      <c r="N1433" t="s">
        <v>40</v>
      </c>
      <c r="O1433" t="s">
        <v>41</v>
      </c>
      <c r="P1433" t="s">
        <v>30</v>
      </c>
      <c r="Q1433" t="s">
        <v>31</v>
      </c>
      <c r="R1433">
        <v>82630</v>
      </c>
      <c r="S1433" t="s">
        <v>32</v>
      </c>
      <c r="T1433">
        <v>82611</v>
      </c>
      <c r="U1433" t="s">
        <v>43</v>
      </c>
      <c r="V1433" t="s">
        <v>43</v>
      </c>
      <c r="W1433" t="s">
        <v>148</v>
      </c>
      <c r="X1433" t="s">
        <v>171</v>
      </c>
      <c r="Y1433" s="9">
        <f t="shared" si="67"/>
        <v>1.2999999999999999E-2</v>
      </c>
      <c r="Z1433" t="str">
        <f t="shared" si="68"/>
        <v>สแกนต่าง Cost</v>
      </c>
    </row>
    <row r="1434" spans="1:26" x14ac:dyDescent="0.45">
      <c r="B1434" t="s">
        <v>26</v>
      </c>
      <c r="C1434">
        <v>20270047</v>
      </c>
      <c r="D1434" t="s">
        <v>337</v>
      </c>
      <c r="E1434" s="10">
        <v>46128.722916666666</v>
      </c>
      <c r="F1434" s="10">
        <v>46128.729166666664</v>
      </c>
      <c r="G1434">
        <v>0.15</v>
      </c>
      <c r="H1434" s="9">
        <f t="shared" si="66"/>
        <v>1E-3</v>
      </c>
      <c r="I1434">
        <v>1E-3</v>
      </c>
      <c r="M1434" t="s">
        <v>65</v>
      </c>
      <c r="N1434" t="s">
        <v>29</v>
      </c>
      <c r="P1434" t="s">
        <v>30</v>
      </c>
      <c r="Q1434" t="s">
        <v>31</v>
      </c>
      <c r="R1434">
        <v>82640</v>
      </c>
      <c r="S1434" t="s">
        <v>42</v>
      </c>
      <c r="T1434">
        <v>82658</v>
      </c>
      <c r="U1434" t="s">
        <v>33</v>
      </c>
      <c r="V1434" t="s">
        <v>33</v>
      </c>
      <c r="W1434" t="s">
        <v>34</v>
      </c>
      <c r="X1434" t="s">
        <v>34</v>
      </c>
      <c r="Y1434" s="9">
        <f t="shared" si="67"/>
        <v>0</v>
      </c>
      <c r="Z1434" t="str">
        <f t="shared" si="68"/>
        <v>สแกนต่าง Cost</v>
      </c>
    </row>
    <row r="1435" spans="1:26" x14ac:dyDescent="0.45">
      <c r="A1435">
        <v>26508</v>
      </c>
      <c r="B1435" t="s">
        <v>53</v>
      </c>
      <c r="C1435">
        <v>20310536</v>
      </c>
      <c r="D1435" t="s">
        <v>330</v>
      </c>
      <c r="E1435" s="10">
        <v>46128.722916666666</v>
      </c>
      <c r="F1435" s="10">
        <v>46128.828472222223</v>
      </c>
      <c r="G1435">
        <v>2.5333333333333332</v>
      </c>
      <c r="H1435" s="9">
        <f t="shared" si="66"/>
        <v>1.4E-2</v>
      </c>
      <c r="K1435">
        <v>1.4E-2</v>
      </c>
      <c r="M1435" t="s">
        <v>28</v>
      </c>
      <c r="N1435" t="s">
        <v>40</v>
      </c>
      <c r="O1435" t="s">
        <v>41</v>
      </c>
      <c r="P1435" t="s">
        <v>30</v>
      </c>
      <c r="Q1435" t="s">
        <v>31</v>
      </c>
      <c r="R1435">
        <v>82611</v>
      </c>
      <c r="S1435" t="s">
        <v>43</v>
      </c>
      <c r="T1435">
        <v>82640</v>
      </c>
      <c r="U1435" t="s">
        <v>42</v>
      </c>
      <c r="V1435" t="s">
        <v>70</v>
      </c>
      <c r="W1435" t="s">
        <v>71</v>
      </c>
      <c r="X1435" t="s">
        <v>331</v>
      </c>
      <c r="Y1435" s="9">
        <f t="shared" si="67"/>
        <v>1.4E-2</v>
      </c>
      <c r="Z1435" t="str">
        <f t="shared" si="68"/>
        <v>สแกนต่าง Cost</v>
      </c>
    </row>
    <row r="1436" spans="1:26" x14ac:dyDescent="0.45">
      <c r="B1436" t="s">
        <v>26</v>
      </c>
      <c r="C1436">
        <v>20031838</v>
      </c>
      <c r="D1436" t="s">
        <v>143</v>
      </c>
      <c r="E1436" s="10">
        <v>46128.722222222219</v>
      </c>
      <c r="F1436" s="10">
        <v>46128.729166666664</v>
      </c>
      <c r="G1436">
        <v>0.16666666666666666</v>
      </c>
      <c r="H1436" s="9">
        <f t="shared" si="66"/>
        <v>1E-3</v>
      </c>
      <c r="I1436">
        <v>1E-3</v>
      </c>
      <c r="M1436" t="s">
        <v>65</v>
      </c>
      <c r="N1436" t="s">
        <v>29</v>
      </c>
      <c r="P1436" t="s">
        <v>30</v>
      </c>
      <c r="Q1436" t="s">
        <v>31</v>
      </c>
      <c r="R1436">
        <v>82652</v>
      </c>
      <c r="S1436" t="s">
        <v>46</v>
      </c>
      <c r="T1436">
        <v>82658</v>
      </c>
      <c r="U1436" t="s">
        <v>33</v>
      </c>
      <c r="V1436" t="s">
        <v>33</v>
      </c>
      <c r="W1436" t="s">
        <v>37</v>
      </c>
      <c r="X1436" t="s">
        <v>38</v>
      </c>
      <c r="Y1436" s="9">
        <f t="shared" si="67"/>
        <v>0</v>
      </c>
      <c r="Z1436" t="str">
        <f t="shared" si="68"/>
        <v>สแกนต่าง Cost</v>
      </c>
    </row>
    <row r="1437" spans="1:26" x14ac:dyDescent="0.45">
      <c r="B1437" t="s">
        <v>26</v>
      </c>
      <c r="C1437">
        <v>20198813</v>
      </c>
      <c r="D1437" t="s">
        <v>45</v>
      </c>
      <c r="E1437" s="10">
        <v>46128.711111111108</v>
      </c>
      <c r="F1437" s="10">
        <v>46128.729166666664</v>
      </c>
      <c r="G1437">
        <v>0.43333333333333335</v>
      </c>
      <c r="H1437" s="9">
        <f t="shared" si="66"/>
        <v>2E-3</v>
      </c>
      <c r="I1437">
        <v>2E-3</v>
      </c>
      <c r="M1437" t="s">
        <v>65</v>
      </c>
      <c r="N1437" t="s">
        <v>29</v>
      </c>
      <c r="P1437" t="s">
        <v>30</v>
      </c>
      <c r="Q1437" t="s">
        <v>31</v>
      </c>
      <c r="R1437">
        <v>82652</v>
      </c>
      <c r="S1437" t="s">
        <v>46</v>
      </c>
      <c r="T1437">
        <v>82658</v>
      </c>
      <c r="U1437" t="s">
        <v>33</v>
      </c>
      <c r="V1437" t="s">
        <v>33</v>
      </c>
      <c r="W1437" t="s">
        <v>37</v>
      </c>
      <c r="X1437" t="s">
        <v>38</v>
      </c>
      <c r="Y1437" s="9">
        <f t="shared" si="67"/>
        <v>0</v>
      </c>
      <c r="Z1437" t="str">
        <f t="shared" si="68"/>
        <v>สแกนต่าง Cost</v>
      </c>
    </row>
    <row r="1438" spans="1:26" x14ac:dyDescent="0.45">
      <c r="B1438" t="s">
        <v>26</v>
      </c>
      <c r="C1438">
        <v>20403258</v>
      </c>
      <c r="E1438" s="10">
        <v>46128.709722222222</v>
      </c>
      <c r="F1438" s="10">
        <v>46128.711805555555</v>
      </c>
      <c r="G1438">
        <v>0.05</v>
      </c>
      <c r="H1438" s="9">
        <f t="shared" si="66"/>
        <v>0</v>
      </c>
      <c r="I1438">
        <v>0</v>
      </c>
      <c r="M1438" t="s">
        <v>48</v>
      </c>
      <c r="N1438" t="s">
        <v>48</v>
      </c>
      <c r="P1438" t="s">
        <v>30</v>
      </c>
      <c r="R1438">
        <v>82640</v>
      </c>
      <c r="T1438">
        <v>82658</v>
      </c>
      <c r="U1438" t="s">
        <v>33</v>
      </c>
      <c r="V1438" t="s">
        <v>33</v>
      </c>
      <c r="W1438" t="s">
        <v>34</v>
      </c>
      <c r="X1438" t="s">
        <v>34</v>
      </c>
      <c r="Y1438" s="9">
        <f t="shared" si="67"/>
        <v>0</v>
      </c>
      <c r="Z1438" t="str">
        <f t="shared" si="68"/>
        <v>สแกนต่าง Cost</v>
      </c>
    </row>
    <row r="1439" spans="1:26" x14ac:dyDescent="0.45">
      <c r="B1439" t="s">
        <v>53</v>
      </c>
      <c r="C1439">
        <v>20060579</v>
      </c>
      <c r="D1439" t="s">
        <v>39</v>
      </c>
      <c r="E1439" s="10">
        <v>46128.6875</v>
      </c>
      <c r="F1439" s="10">
        <v>46128.708333333336</v>
      </c>
      <c r="G1439">
        <v>0.5</v>
      </c>
      <c r="H1439" s="9">
        <f t="shared" si="66"/>
        <v>3.0000000000000001E-3</v>
      </c>
      <c r="I1439">
        <v>3.0000000000000001E-3</v>
      </c>
      <c r="M1439" t="s">
        <v>65</v>
      </c>
      <c r="N1439" t="s">
        <v>29</v>
      </c>
      <c r="P1439" t="s">
        <v>30</v>
      </c>
      <c r="Q1439" t="s">
        <v>31</v>
      </c>
      <c r="R1439">
        <v>82640</v>
      </c>
      <c r="S1439" t="s">
        <v>42</v>
      </c>
      <c r="T1439">
        <v>82612</v>
      </c>
      <c r="U1439" t="s">
        <v>153</v>
      </c>
      <c r="V1439" t="s">
        <v>66</v>
      </c>
      <c r="W1439" t="s">
        <v>44</v>
      </c>
      <c r="X1439" t="s">
        <v>44</v>
      </c>
      <c r="Y1439" s="9">
        <f t="shared" si="67"/>
        <v>0</v>
      </c>
      <c r="Z1439" t="str">
        <f t="shared" si="68"/>
        <v>สแกนต่าง Cost</v>
      </c>
    </row>
    <row r="1440" spans="1:26" x14ac:dyDescent="0.45">
      <c r="B1440" t="s">
        <v>53</v>
      </c>
      <c r="C1440">
        <v>20280718</v>
      </c>
      <c r="D1440" t="s">
        <v>256</v>
      </c>
      <c r="E1440" s="10">
        <v>46128.6875</v>
      </c>
      <c r="F1440" s="10">
        <v>46128.729166666664</v>
      </c>
      <c r="G1440">
        <v>1</v>
      </c>
      <c r="H1440" s="9">
        <f t="shared" si="66"/>
        <v>5.0000000000000001E-3</v>
      </c>
      <c r="I1440">
        <v>5.0000000000000001E-3</v>
      </c>
      <c r="M1440" t="s">
        <v>65</v>
      </c>
      <c r="N1440" t="s">
        <v>29</v>
      </c>
      <c r="P1440" t="s">
        <v>30</v>
      </c>
      <c r="Q1440" t="s">
        <v>31</v>
      </c>
      <c r="R1440">
        <v>82640</v>
      </c>
      <c r="S1440" t="s">
        <v>42</v>
      </c>
      <c r="T1440">
        <v>82630</v>
      </c>
      <c r="U1440" t="s">
        <v>32</v>
      </c>
      <c r="V1440" t="s">
        <v>66</v>
      </c>
      <c r="W1440" t="s">
        <v>44</v>
      </c>
      <c r="X1440" t="s">
        <v>44</v>
      </c>
      <c r="Y1440" s="9">
        <f t="shared" si="67"/>
        <v>0</v>
      </c>
      <c r="Z1440" t="str">
        <f t="shared" si="68"/>
        <v>สแกนต่าง Cost</v>
      </c>
    </row>
    <row r="1441" spans="1:26" x14ac:dyDescent="0.45">
      <c r="B1441" t="s">
        <v>53</v>
      </c>
      <c r="C1441">
        <v>20368087</v>
      </c>
      <c r="D1441" t="s">
        <v>260</v>
      </c>
      <c r="E1441" s="10">
        <v>46128.6875</v>
      </c>
      <c r="F1441" s="10">
        <v>46128.729166666664</v>
      </c>
      <c r="G1441">
        <v>1</v>
      </c>
      <c r="H1441" s="9">
        <f t="shared" si="66"/>
        <v>5.0000000000000001E-3</v>
      </c>
      <c r="I1441">
        <v>5.0000000000000001E-3</v>
      </c>
      <c r="M1441" t="s">
        <v>65</v>
      </c>
      <c r="N1441" t="s">
        <v>29</v>
      </c>
      <c r="P1441" t="s">
        <v>30</v>
      </c>
      <c r="Q1441" t="s">
        <v>31</v>
      </c>
      <c r="R1441">
        <v>82640</v>
      </c>
      <c r="S1441" t="s">
        <v>42</v>
      </c>
      <c r="T1441">
        <v>82630</v>
      </c>
      <c r="U1441" t="s">
        <v>32</v>
      </c>
      <c r="V1441" t="s">
        <v>66</v>
      </c>
      <c r="W1441" t="s">
        <v>44</v>
      </c>
      <c r="X1441" t="s">
        <v>44</v>
      </c>
      <c r="Y1441" s="9">
        <f t="shared" si="67"/>
        <v>0</v>
      </c>
      <c r="Z1441" t="str">
        <f t="shared" si="68"/>
        <v>สแกนต่าง Cost</v>
      </c>
    </row>
    <row r="1442" spans="1:26" x14ac:dyDescent="0.45">
      <c r="A1442">
        <v>26396</v>
      </c>
      <c r="B1442" t="s">
        <v>53</v>
      </c>
      <c r="C1442">
        <v>20076727</v>
      </c>
      <c r="D1442" t="s">
        <v>157</v>
      </c>
      <c r="E1442" s="10">
        <v>46128.677083333336</v>
      </c>
      <c r="F1442" s="10">
        <v>46128.729166666664</v>
      </c>
      <c r="G1442">
        <v>1.25</v>
      </c>
      <c r="H1442" s="9">
        <f t="shared" si="66"/>
        <v>7.0000000000000001E-3</v>
      </c>
      <c r="I1442">
        <v>7.0000000000000001E-3</v>
      </c>
      <c r="M1442" t="s">
        <v>65</v>
      </c>
      <c r="N1442" t="s">
        <v>29</v>
      </c>
      <c r="P1442" t="s">
        <v>133</v>
      </c>
      <c r="Q1442" t="s">
        <v>31</v>
      </c>
      <c r="R1442">
        <v>82306</v>
      </c>
      <c r="S1442" t="s">
        <v>55</v>
      </c>
      <c r="T1442">
        <v>82920</v>
      </c>
      <c r="U1442" t="s">
        <v>158</v>
      </c>
      <c r="V1442" t="s">
        <v>158</v>
      </c>
      <c r="W1442" t="s">
        <v>159</v>
      </c>
      <c r="X1442" t="s">
        <v>160</v>
      </c>
      <c r="Y1442" s="9">
        <f t="shared" si="67"/>
        <v>0</v>
      </c>
      <c r="Z1442" t="str">
        <f t="shared" si="68"/>
        <v>สแกนต่าง Cost</v>
      </c>
    </row>
    <row r="1443" spans="1:26" x14ac:dyDescent="0.45">
      <c r="A1443">
        <v>26397</v>
      </c>
      <c r="B1443" t="s">
        <v>53</v>
      </c>
      <c r="C1443">
        <v>20155781</v>
      </c>
      <c r="D1443" t="s">
        <v>338</v>
      </c>
      <c r="E1443" s="10">
        <v>46128.677083333336</v>
      </c>
      <c r="F1443" s="10">
        <v>46128.729166666664</v>
      </c>
      <c r="G1443">
        <v>1.25</v>
      </c>
      <c r="H1443" s="9">
        <f t="shared" si="66"/>
        <v>7.0000000000000001E-3</v>
      </c>
      <c r="I1443">
        <v>7.0000000000000001E-3</v>
      </c>
      <c r="M1443" t="s">
        <v>65</v>
      </c>
      <c r="N1443" t="s">
        <v>29</v>
      </c>
      <c r="P1443" t="s">
        <v>30</v>
      </c>
      <c r="Q1443" t="s">
        <v>31</v>
      </c>
      <c r="R1443">
        <v>82306</v>
      </c>
      <c r="S1443" t="s">
        <v>55</v>
      </c>
      <c r="T1443">
        <v>82920</v>
      </c>
      <c r="U1443" t="s">
        <v>158</v>
      </c>
      <c r="V1443" t="s">
        <v>158</v>
      </c>
      <c r="W1443" t="s">
        <v>159</v>
      </c>
      <c r="X1443" t="s">
        <v>160</v>
      </c>
      <c r="Y1443" s="9">
        <f t="shared" si="67"/>
        <v>0</v>
      </c>
      <c r="Z1443" t="str">
        <f t="shared" si="68"/>
        <v>สแกนต่าง Cost</v>
      </c>
    </row>
    <row r="1444" spans="1:26" x14ac:dyDescent="0.45">
      <c r="A1444">
        <v>26394</v>
      </c>
      <c r="B1444" t="s">
        <v>53</v>
      </c>
      <c r="C1444">
        <v>20076571</v>
      </c>
      <c r="D1444" t="s">
        <v>327</v>
      </c>
      <c r="E1444" s="10">
        <v>46128.676388888889</v>
      </c>
      <c r="F1444" s="10">
        <v>46128.729166666664</v>
      </c>
      <c r="G1444">
        <v>1.2666666666666666</v>
      </c>
      <c r="H1444" s="9">
        <f t="shared" si="66"/>
        <v>7.0000000000000001E-3</v>
      </c>
      <c r="I1444">
        <v>7.0000000000000001E-3</v>
      </c>
      <c r="M1444" t="s">
        <v>65</v>
      </c>
      <c r="N1444" t="s">
        <v>29</v>
      </c>
      <c r="P1444" t="s">
        <v>30</v>
      </c>
      <c r="Q1444" t="s">
        <v>31</v>
      </c>
      <c r="R1444">
        <v>82306</v>
      </c>
      <c r="S1444" t="s">
        <v>55</v>
      </c>
      <c r="T1444">
        <v>82920</v>
      </c>
      <c r="U1444" t="s">
        <v>158</v>
      </c>
      <c r="V1444" t="s">
        <v>158</v>
      </c>
      <c r="W1444" t="s">
        <v>159</v>
      </c>
      <c r="X1444" t="s">
        <v>160</v>
      </c>
      <c r="Y1444" s="9">
        <f t="shared" si="67"/>
        <v>0</v>
      </c>
      <c r="Z1444" t="str">
        <f t="shared" si="68"/>
        <v>สแกนต่าง Cost</v>
      </c>
    </row>
    <row r="1445" spans="1:26" x14ac:dyDescent="0.45">
      <c r="A1445">
        <v>26395</v>
      </c>
      <c r="B1445" t="s">
        <v>53</v>
      </c>
      <c r="C1445">
        <v>20238364</v>
      </c>
      <c r="D1445" t="s">
        <v>198</v>
      </c>
      <c r="E1445" s="10">
        <v>46128.676388888889</v>
      </c>
      <c r="F1445" s="10">
        <v>46128.729166666664</v>
      </c>
      <c r="G1445">
        <v>1.2666666666666666</v>
      </c>
      <c r="H1445" s="9">
        <f t="shared" si="66"/>
        <v>7.0000000000000001E-3</v>
      </c>
      <c r="I1445">
        <v>7.0000000000000001E-3</v>
      </c>
      <c r="M1445" t="s">
        <v>65</v>
      </c>
      <c r="N1445" t="s">
        <v>29</v>
      </c>
      <c r="P1445" t="s">
        <v>30</v>
      </c>
      <c r="Q1445" t="s">
        <v>31</v>
      </c>
      <c r="R1445">
        <v>82306</v>
      </c>
      <c r="S1445" t="s">
        <v>55</v>
      </c>
      <c r="T1445">
        <v>82920</v>
      </c>
      <c r="U1445" t="s">
        <v>158</v>
      </c>
      <c r="V1445" t="s">
        <v>158</v>
      </c>
      <c r="W1445" t="s">
        <v>159</v>
      </c>
      <c r="X1445" t="s">
        <v>160</v>
      </c>
      <c r="Y1445" s="9">
        <f t="shared" si="67"/>
        <v>0</v>
      </c>
      <c r="Z1445" t="str">
        <f t="shared" si="68"/>
        <v>สแกนต่าง Cost</v>
      </c>
    </row>
    <row r="1446" spans="1:26" x14ac:dyDescent="0.45">
      <c r="B1446" t="s">
        <v>53</v>
      </c>
      <c r="C1446">
        <v>20167851</v>
      </c>
      <c r="D1446" t="s">
        <v>63</v>
      </c>
      <c r="E1446" s="10">
        <v>46128.666666666664</v>
      </c>
      <c r="F1446" s="10">
        <v>46128.708333333336</v>
      </c>
      <c r="G1446">
        <v>1</v>
      </c>
      <c r="H1446" s="9">
        <f t="shared" si="66"/>
        <v>5.0000000000000001E-3</v>
      </c>
      <c r="I1446">
        <v>5.0000000000000001E-3</v>
      </c>
      <c r="M1446" t="s">
        <v>65</v>
      </c>
      <c r="N1446" t="s">
        <v>29</v>
      </c>
      <c r="P1446" t="s">
        <v>30</v>
      </c>
      <c r="Q1446" t="s">
        <v>31</v>
      </c>
      <c r="R1446">
        <v>82640</v>
      </c>
      <c r="S1446" t="s">
        <v>42</v>
      </c>
      <c r="T1446">
        <v>82612</v>
      </c>
      <c r="U1446" t="s">
        <v>153</v>
      </c>
      <c r="V1446" t="s">
        <v>66</v>
      </c>
      <c r="W1446" t="s">
        <v>44</v>
      </c>
      <c r="X1446" t="s">
        <v>44</v>
      </c>
      <c r="Y1446" s="9">
        <f t="shared" si="67"/>
        <v>0</v>
      </c>
      <c r="Z1446" t="str">
        <f t="shared" si="68"/>
        <v>สแกนต่าง Cost</v>
      </c>
    </row>
    <row r="1447" spans="1:26" x14ac:dyDescent="0.45">
      <c r="B1447" t="s">
        <v>53</v>
      </c>
      <c r="C1447">
        <v>20027956</v>
      </c>
      <c r="D1447" t="s">
        <v>214</v>
      </c>
      <c r="E1447" s="10">
        <v>46128.645833333336</v>
      </c>
      <c r="F1447" s="10">
        <v>46128.729166666664</v>
      </c>
      <c r="G1447">
        <v>2</v>
      </c>
      <c r="H1447" s="9">
        <f t="shared" si="66"/>
        <v>1.0999999999999999E-2</v>
      </c>
      <c r="I1447">
        <v>1.0999999999999999E-2</v>
      </c>
      <c r="M1447" t="s">
        <v>65</v>
      </c>
      <c r="N1447" t="s">
        <v>29</v>
      </c>
      <c r="P1447" t="s">
        <v>30</v>
      </c>
      <c r="Q1447" t="s">
        <v>31</v>
      </c>
      <c r="R1447">
        <v>82640</v>
      </c>
      <c r="S1447" t="s">
        <v>42</v>
      </c>
      <c r="T1447">
        <v>82611</v>
      </c>
      <c r="U1447" t="s">
        <v>43</v>
      </c>
      <c r="V1447" t="s">
        <v>66</v>
      </c>
      <c r="W1447" t="s">
        <v>44</v>
      </c>
      <c r="X1447" t="s">
        <v>44</v>
      </c>
      <c r="Y1447" s="9">
        <f t="shared" si="67"/>
        <v>0</v>
      </c>
      <c r="Z1447" t="str">
        <f t="shared" si="68"/>
        <v>สแกนต่าง Cost</v>
      </c>
    </row>
    <row r="1448" spans="1:26" x14ac:dyDescent="0.45">
      <c r="B1448" t="s">
        <v>53</v>
      </c>
      <c r="C1448">
        <v>20280718</v>
      </c>
      <c r="D1448" t="s">
        <v>256</v>
      </c>
      <c r="E1448" s="10">
        <v>46128.645833333336</v>
      </c>
      <c r="F1448" s="10">
        <v>46128.6875</v>
      </c>
      <c r="G1448">
        <v>1</v>
      </c>
      <c r="H1448" s="9">
        <f t="shared" si="66"/>
        <v>5.0000000000000001E-3</v>
      </c>
      <c r="I1448">
        <v>5.0000000000000001E-3</v>
      </c>
      <c r="M1448" t="s">
        <v>65</v>
      </c>
      <c r="N1448" t="s">
        <v>29</v>
      </c>
      <c r="P1448" t="s">
        <v>30</v>
      </c>
      <c r="Q1448" t="s">
        <v>31</v>
      </c>
      <c r="R1448">
        <v>82640</v>
      </c>
      <c r="S1448" t="s">
        <v>42</v>
      </c>
      <c r="T1448">
        <v>82611</v>
      </c>
      <c r="U1448" t="s">
        <v>43</v>
      </c>
      <c r="V1448" t="s">
        <v>66</v>
      </c>
      <c r="W1448" t="s">
        <v>44</v>
      </c>
      <c r="X1448" t="s">
        <v>44</v>
      </c>
      <c r="Y1448" s="9">
        <f t="shared" si="67"/>
        <v>0</v>
      </c>
      <c r="Z1448" t="str">
        <f t="shared" si="68"/>
        <v>สแกนต่าง Cost</v>
      </c>
    </row>
    <row r="1449" spans="1:26" x14ac:dyDescent="0.45">
      <c r="B1449" t="s">
        <v>53</v>
      </c>
      <c r="C1449">
        <v>20060579</v>
      </c>
      <c r="D1449" t="s">
        <v>39</v>
      </c>
      <c r="E1449" s="10">
        <v>46128.625</v>
      </c>
      <c r="F1449" s="10">
        <v>46128.6875</v>
      </c>
      <c r="G1449">
        <v>1.5</v>
      </c>
      <c r="H1449" s="9">
        <f t="shared" si="66"/>
        <v>8.0000000000000002E-3</v>
      </c>
      <c r="I1449">
        <v>8.0000000000000002E-3</v>
      </c>
      <c r="M1449" t="s">
        <v>65</v>
      </c>
      <c r="N1449" t="s">
        <v>29</v>
      </c>
      <c r="P1449" t="s">
        <v>30</v>
      </c>
      <c r="Q1449" t="s">
        <v>31</v>
      </c>
      <c r="R1449">
        <v>82640</v>
      </c>
      <c r="S1449" t="s">
        <v>42</v>
      </c>
      <c r="T1449">
        <v>82630</v>
      </c>
      <c r="U1449" t="s">
        <v>32</v>
      </c>
      <c r="V1449" t="s">
        <v>66</v>
      </c>
      <c r="W1449" t="s">
        <v>44</v>
      </c>
      <c r="X1449" t="s">
        <v>44</v>
      </c>
      <c r="Y1449" s="9">
        <f t="shared" si="67"/>
        <v>0</v>
      </c>
      <c r="Z1449" t="str">
        <f t="shared" si="68"/>
        <v>สแกนต่าง Cost</v>
      </c>
    </row>
    <row r="1450" spans="1:26" x14ac:dyDescent="0.45">
      <c r="B1450" t="s">
        <v>53</v>
      </c>
      <c r="C1450">
        <v>20198839</v>
      </c>
      <c r="D1450" t="s">
        <v>258</v>
      </c>
      <c r="E1450" s="10">
        <v>46128.625</v>
      </c>
      <c r="F1450" s="10">
        <v>46128.729166666664</v>
      </c>
      <c r="G1450">
        <v>2.5</v>
      </c>
      <c r="H1450" s="9">
        <f t="shared" si="66"/>
        <v>1.2999999999999999E-2</v>
      </c>
      <c r="J1450">
        <v>1.2999999999999999E-2</v>
      </c>
      <c r="M1450" t="s">
        <v>77</v>
      </c>
      <c r="N1450" t="s">
        <v>40</v>
      </c>
      <c r="O1450" t="s">
        <v>78</v>
      </c>
      <c r="P1450" t="s">
        <v>30</v>
      </c>
      <c r="Q1450" t="s">
        <v>31</v>
      </c>
      <c r="R1450">
        <v>82640</v>
      </c>
      <c r="S1450" t="s">
        <v>42</v>
      </c>
      <c r="T1450">
        <v>82611</v>
      </c>
      <c r="U1450" t="s">
        <v>43</v>
      </c>
      <c r="V1450" t="s">
        <v>66</v>
      </c>
      <c r="W1450" t="s">
        <v>44</v>
      </c>
      <c r="X1450" t="s">
        <v>44</v>
      </c>
      <c r="Y1450" s="9">
        <f t="shared" si="67"/>
        <v>1.2999999999999999E-2</v>
      </c>
      <c r="Z1450" t="str">
        <f t="shared" si="68"/>
        <v>สแกนต่าง Cost</v>
      </c>
    </row>
    <row r="1451" spans="1:26" x14ac:dyDescent="0.45">
      <c r="B1451" t="s">
        <v>53</v>
      </c>
      <c r="C1451">
        <v>20368087</v>
      </c>
      <c r="D1451" t="s">
        <v>260</v>
      </c>
      <c r="E1451" s="10">
        <v>46128.625</v>
      </c>
      <c r="F1451" s="10">
        <v>46128.6875</v>
      </c>
      <c r="G1451">
        <v>1.5</v>
      </c>
      <c r="H1451" s="9">
        <f t="shared" si="66"/>
        <v>8.0000000000000002E-3</v>
      </c>
      <c r="I1451">
        <v>8.0000000000000002E-3</v>
      </c>
      <c r="M1451" t="s">
        <v>65</v>
      </c>
      <c r="N1451" t="s">
        <v>29</v>
      </c>
      <c r="P1451" t="s">
        <v>30</v>
      </c>
      <c r="Q1451" t="s">
        <v>31</v>
      </c>
      <c r="R1451">
        <v>82640</v>
      </c>
      <c r="S1451" t="s">
        <v>42</v>
      </c>
      <c r="T1451">
        <v>82612</v>
      </c>
      <c r="U1451" t="s">
        <v>153</v>
      </c>
      <c r="V1451" t="s">
        <v>66</v>
      </c>
      <c r="W1451" t="s">
        <v>44</v>
      </c>
      <c r="X1451" t="s">
        <v>44</v>
      </c>
      <c r="Y1451" s="9">
        <f t="shared" si="67"/>
        <v>0</v>
      </c>
      <c r="Z1451" t="str">
        <f t="shared" si="68"/>
        <v>สแกนต่าง Cost</v>
      </c>
    </row>
    <row r="1452" spans="1:26" x14ac:dyDescent="0.45">
      <c r="B1452" t="s">
        <v>53</v>
      </c>
      <c r="C1452">
        <v>20280718</v>
      </c>
      <c r="D1452" t="s">
        <v>256</v>
      </c>
      <c r="E1452" s="10">
        <v>46128.604166666664</v>
      </c>
      <c r="F1452" s="10">
        <v>46128.645833333336</v>
      </c>
      <c r="G1452">
        <v>1</v>
      </c>
      <c r="H1452" s="9">
        <f t="shared" si="66"/>
        <v>5.0000000000000001E-3</v>
      </c>
      <c r="I1452">
        <v>5.0000000000000001E-3</v>
      </c>
      <c r="M1452" t="s">
        <v>65</v>
      </c>
      <c r="N1452" t="s">
        <v>29</v>
      </c>
      <c r="P1452" t="s">
        <v>30</v>
      </c>
      <c r="Q1452" t="s">
        <v>31</v>
      </c>
      <c r="R1452">
        <v>82640</v>
      </c>
      <c r="S1452" t="s">
        <v>42</v>
      </c>
      <c r="T1452">
        <v>82630</v>
      </c>
      <c r="U1452" t="s">
        <v>32</v>
      </c>
      <c r="V1452" t="s">
        <v>66</v>
      </c>
      <c r="W1452" t="s">
        <v>44</v>
      </c>
      <c r="X1452" t="s">
        <v>44</v>
      </c>
      <c r="Y1452" s="9">
        <f t="shared" si="67"/>
        <v>0</v>
      </c>
      <c r="Z1452" t="str">
        <f t="shared" si="68"/>
        <v>สแกนต่าง Cost</v>
      </c>
    </row>
    <row r="1453" spans="1:26" x14ac:dyDescent="0.45">
      <c r="B1453" t="s">
        <v>53</v>
      </c>
      <c r="C1453">
        <v>20060579</v>
      </c>
      <c r="D1453" t="s">
        <v>39</v>
      </c>
      <c r="E1453" s="10">
        <v>46128.583333333336</v>
      </c>
      <c r="F1453" s="10">
        <v>46128.625</v>
      </c>
      <c r="G1453">
        <v>1</v>
      </c>
      <c r="H1453" s="9">
        <f t="shared" si="66"/>
        <v>5.0000000000000001E-3</v>
      </c>
      <c r="I1453">
        <v>5.0000000000000001E-3</v>
      </c>
      <c r="M1453" t="s">
        <v>65</v>
      </c>
      <c r="N1453" t="s">
        <v>29</v>
      </c>
      <c r="P1453" t="s">
        <v>30</v>
      </c>
      <c r="Q1453" t="s">
        <v>31</v>
      </c>
      <c r="R1453">
        <v>82640</v>
      </c>
      <c r="S1453" t="s">
        <v>42</v>
      </c>
      <c r="T1453">
        <v>82611</v>
      </c>
      <c r="U1453" t="s">
        <v>43</v>
      </c>
      <c r="V1453" t="s">
        <v>66</v>
      </c>
      <c r="W1453" t="s">
        <v>44</v>
      </c>
      <c r="X1453" t="s">
        <v>44</v>
      </c>
      <c r="Y1453" s="9">
        <f t="shared" si="67"/>
        <v>0</v>
      </c>
      <c r="Z1453" t="str">
        <f t="shared" si="68"/>
        <v>สแกนต่าง Cost</v>
      </c>
    </row>
    <row r="1454" spans="1:26" x14ac:dyDescent="0.45">
      <c r="B1454" t="s">
        <v>26</v>
      </c>
      <c r="C1454">
        <v>20039177</v>
      </c>
      <c r="D1454" t="s">
        <v>188</v>
      </c>
      <c r="E1454" s="10">
        <v>46128.573611111111</v>
      </c>
      <c r="F1454" s="10">
        <v>46128.979166666664</v>
      </c>
      <c r="G1454">
        <v>8.7333333333333325</v>
      </c>
      <c r="H1454" s="9">
        <f t="shared" si="66"/>
        <v>4.7E-2</v>
      </c>
      <c r="I1454">
        <v>4.7E-2</v>
      </c>
      <c r="M1454" t="s">
        <v>65</v>
      </c>
      <c r="N1454" t="s">
        <v>29</v>
      </c>
      <c r="P1454" t="s">
        <v>30</v>
      </c>
      <c r="Q1454" t="s">
        <v>31</v>
      </c>
      <c r="R1454">
        <v>82655</v>
      </c>
      <c r="S1454" t="s">
        <v>59</v>
      </c>
      <c r="T1454">
        <v>82658</v>
      </c>
      <c r="U1454" t="s">
        <v>33</v>
      </c>
      <c r="V1454" t="s">
        <v>33</v>
      </c>
      <c r="W1454" t="s">
        <v>37</v>
      </c>
      <c r="X1454" t="s">
        <v>38</v>
      </c>
      <c r="Y1454" s="9">
        <f t="shared" si="67"/>
        <v>0</v>
      </c>
      <c r="Z1454" t="str">
        <f t="shared" si="68"/>
        <v>สแกนต่าง Cost</v>
      </c>
    </row>
    <row r="1455" spans="1:26" x14ac:dyDescent="0.45">
      <c r="B1455" t="s">
        <v>53</v>
      </c>
      <c r="C1455">
        <v>20167851</v>
      </c>
      <c r="D1455" t="s">
        <v>63</v>
      </c>
      <c r="E1455" s="10">
        <v>46128.5625</v>
      </c>
      <c r="F1455" s="10">
        <v>46128.666666666664</v>
      </c>
      <c r="G1455">
        <v>2.5</v>
      </c>
      <c r="H1455" s="9">
        <f t="shared" si="66"/>
        <v>1.2999999999999999E-2</v>
      </c>
      <c r="I1455">
        <v>1.2999999999999999E-2</v>
      </c>
      <c r="M1455" t="s">
        <v>65</v>
      </c>
      <c r="N1455" t="s">
        <v>29</v>
      </c>
      <c r="P1455" t="s">
        <v>30</v>
      </c>
      <c r="Q1455" t="s">
        <v>31</v>
      </c>
      <c r="R1455">
        <v>82640</v>
      </c>
      <c r="S1455" t="s">
        <v>42</v>
      </c>
      <c r="T1455">
        <v>82630</v>
      </c>
      <c r="U1455" t="s">
        <v>32</v>
      </c>
      <c r="V1455" t="s">
        <v>66</v>
      </c>
      <c r="W1455" t="s">
        <v>44</v>
      </c>
      <c r="X1455" t="s">
        <v>44</v>
      </c>
      <c r="Y1455" s="9">
        <f t="shared" si="67"/>
        <v>0</v>
      </c>
      <c r="Z1455" t="str">
        <f t="shared" si="68"/>
        <v>สแกนต่าง Cost</v>
      </c>
    </row>
    <row r="1456" spans="1:26" x14ac:dyDescent="0.45">
      <c r="B1456" t="s">
        <v>53</v>
      </c>
      <c r="C1456">
        <v>20280718</v>
      </c>
      <c r="D1456" t="s">
        <v>256</v>
      </c>
      <c r="E1456" s="10">
        <v>46128.5625</v>
      </c>
      <c r="F1456" s="10">
        <v>46128.583333333336</v>
      </c>
      <c r="G1456">
        <v>0.5</v>
      </c>
      <c r="H1456" s="9">
        <f t="shared" si="66"/>
        <v>3.0000000000000001E-3</v>
      </c>
      <c r="I1456">
        <v>3.0000000000000001E-3</v>
      </c>
      <c r="M1456" t="s">
        <v>65</v>
      </c>
      <c r="N1456" t="s">
        <v>29</v>
      </c>
      <c r="P1456" t="s">
        <v>30</v>
      </c>
      <c r="Q1456" t="s">
        <v>31</v>
      </c>
      <c r="R1456">
        <v>82640</v>
      </c>
      <c r="S1456" t="s">
        <v>42</v>
      </c>
      <c r="T1456">
        <v>82611</v>
      </c>
      <c r="U1456" t="s">
        <v>43</v>
      </c>
      <c r="V1456" t="s">
        <v>66</v>
      </c>
      <c r="W1456" t="s">
        <v>44</v>
      </c>
      <c r="X1456" t="s">
        <v>44</v>
      </c>
      <c r="Y1456" s="9">
        <f t="shared" si="67"/>
        <v>0</v>
      </c>
      <c r="Z1456" t="str">
        <f t="shared" si="68"/>
        <v>สแกนต่าง Cost</v>
      </c>
    </row>
    <row r="1457" spans="1:26" x14ac:dyDescent="0.45">
      <c r="B1457" t="s">
        <v>53</v>
      </c>
      <c r="C1457">
        <v>20018899</v>
      </c>
      <c r="D1457" t="s">
        <v>64</v>
      </c>
      <c r="E1457" s="10">
        <v>46128.541666666664</v>
      </c>
      <c r="F1457" s="10">
        <v>46128.729166666664</v>
      </c>
      <c r="G1457">
        <v>4.5</v>
      </c>
      <c r="H1457" s="9">
        <f t="shared" si="66"/>
        <v>2.4E-2</v>
      </c>
      <c r="I1457">
        <v>2.4E-2</v>
      </c>
      <c r="M1457" t="s">
        <v>65</v>
      </c>
      <c r="N1457" t="s">
        <v>29</v>
      </c>
      <c r="P1457" t="s">
        <v>30</v>
      </c>
      <c r="Q1457" t="s">
        <v>31</v>
      </c>
      <c r="R1457">
        <v>82640</v>
      </c>
      <c r="S1457" t="s">
        <v>42</v>
      </c>
      <c r="T1457">
        <v>82652</v>
      </c>
      <c r="U1457" t="s">
        <v>46</v>
      </c>
      <c r="V1457" t="s">
        <v>66</v>
      </c>
      <c r="W1457" t="s">
        <v>37</v>
      </c>
      <c r="X1457" t="s">
        <v>34</v>
      </c>
      <c r="Y1457" s="9">
        <f t="shared" si="67"/>
        <v>0</v>
      </c>
      <c r="Z1457" t="str">
        <f t="shared" si="68"/>
        <v>สแกนต่าง Cost</v>
      </c>
    </row>
    <row r="1458" spans="1:26" x14ac:dyDescent="0.45">
      <c r="B1458" t="s">
        <v>53</v>
      </c>
      <c r="C1458">
        <v>20220646</v>
      </c>
      <c r="D1458" t="s">
        <v>67</v>
      </c>
      <c r="E1458" s="10">
        <v>46128.541666666664</v>
      </c>
      <c r="F1458" s="10">
        <v>46128.729166666664</v>
      </c>
      <c r="G1458">
        <v>4.5</v>
      </c>
      <c r="H1458" s="9">
        <f t="shared" si="66"/>
        <v>2.4E-2</v>
      </c>
      <c r="I1458">
        <v>2.4E-2</v>
      </c>
      <c r="M1458" t="s">
        <v>65</v>
      </c>
      <c r="N1458" t="s">
        <v>29</v>
      </c>
      <c r="P1458" t="s">
        <v>30</v>
      </c>
      <c r="Q1458" t="s">
        <v>31</v>
      </c>
      <c r="R1458">
        <v>82640</v>
      </c>
      <c r="S1458" t="s">
        <v>42</v>
      </c>
      <c r="T1458">
        <v>82652</v>
      </c>
      <c r="U1458" t="s">
        <v>46</v>
      </c>
      <c r="V1458" t="s">
        <v>66</v>
      </c>
      <c r="W1458" t="s">
        <v>37</v>
      </c>
      <c r="X1458" t="s">
        <v>34</v>
      </c>
      <c r="Y1458" s="9">
        <f t="shared" si="67"/>
        <v>0</v>
      </c>
      <c r="Z1458" t="str">
        <f t="shared" si="68"/>
        <v>สแกนต่าง Cost</v>
      </c>
    </row>
    <row r="1459" spans="1:26" x14ac:dyDescent="0.45">
      <c r="B1459" t="s">
        <v>53</v>
      </c>
      <c r="C1459">
        <v>20280718</v>
      </c>
      <c r="D1459" t="s">
        <v>256</v>
      </c>
      <c r="E1459" s="10">
        <v>46128.541666666664</v>
      </c>
      <c r="F1459" s="10">
        <v>46128.5625</v>
      </c>
      <c r="G1459">
        <v>0.5</v>
      </c>
      <c r="H1459" s="9">
        <f t="shared" si="66"/>
        <v>3.0000000000000001E-3</v>
      </c>
      <c r="I1459">
        <v>3.0000000000000001E-3</v>
      </c>
      <c r="M1459" t="s">
        <v>65</v>
      </c>
      <c r="N1459" t="s">
        <v>29</v>
      </c>
      <c r="P1459" t="s">
        <v>30</v>
      </c>
      <c r="Q1459" t="s">
        <v>31</v>
      </c>
      <c r="R1459">
        <v>82640</v>
      </c>
      <c r="S1459" t="s">
        <v>42</v>
      </c>
      <c r="T1459">
        <v>82630</v>
      </c>
      <c r="U1459" t="s">
        <v>32</v>
      </c>
      <c r="V1459" t="s">
        <v>66</v>
      </c>
      <c r="W1459" t="s">
        <v>44</v>
      </c>
      <c r="X1459" t="s">
        <v>44</v>
      </c>
      <c r="Y1459" s="9">
        <f t="shared" si="67"/>
        <v>0</v>
      </c>
      <c r="Z1459" t="str">
        <f t="shared" si="68"/>
        <v>สแกนต่าง Cost</v>
      </c>
    </row>
    <row r="1460" spans="1:26" x14ac:dyDescent="0.45">
      <c r="B1460" t="s">
        <v>53</v>
      </c>
      <c r="C1460">
        <v>20310532</v>
      </c>
      <c r="D1460" t="s">
        <v>61</v>
      </c>
      <c r="E1460" s="10">
        <v>46128.541666666664</v>
      </c>
      <c r="F1460" s="10">
        <v>46128.729166666664</v>
      </c>
      <c r="G1460">
        <v>4.5</v>
      </c>
      <c r="H1460" s="9">
        <f t="shared" si="66"/>
        <v>2.4E-2</v>
      </c>
      <c r="I1460">
        <v>2.4E-2</v>
      </c>
      <c r="M1460" t="s">
        <v>65</v>
      </c>
      <c r="N1460" t="s">
        <v>29</v>
      </c>
      <c r="P1460" t="s">
        <v>30</v>
      </c>
      <c r="Q1460" t="s">
        <v>31</v>
      </c>
      <c r="R1460">
        <v>82640</v>
      </c>
      <c r="S1460" t="s">
        <v>42</v>
      </c>
      <c r="T1460">
        <v>82630</v>
      </c>
      <c r="U1460" t="s">
        <v>32</v>
      </c>
      <c r="V1460" t="s">
        <v>66</v>
      </c>
      <c r="W1460" t="s">
        <v>44</v>
      </c>
      <c r="X1460" t="s">
        <v>44</v>
      </c>
      <c r="Y1460" s="9">
        <f t="shared" si="67"/>
        <v>0</v>
      </c>
      <c r="Z1460" t="str">
        <f t="shared" si="68"/>
        <v>สแกนต่าง Cost</v>
      </c>
    </row>
    <row r="1461" spans="1:26" x14ac:dyDescent="0.45">
      <c r="B1461" t="s">
        <v>53</v>
      </c>
      <c r="C1461">
        <v>20340657</v>
      </c>
      <c r="D1461" t="s">
        <v>221</v>
      </c>
      <c r="E1461" s="10">
        <v>46128.541666666664</v>
      </c>
      <c r="F1461" s="10">
        <v>46128.729166666664</v>
      </c>
      <c r="G1461">
        <v>4.5</v>
      </c>
      <c r="H1461" s="9">
        <f t="shared" si="66"/>
        <v>2.4E-2</v>
      </c>
      <c r="I1461">
        <v>2.4E-2</v>
      </c>
      <c r="M1461" t="s">
        <v>65</v>
      </c>
      <c r="N1461" t="s">
        <v>29</v>
      </c>
      <c r="P1461" t="s">
        <v>30</v>
      </c>
      <c r="Q1461" t="s">
        <v>31</v>
      </c>
      <c r="R1461">
        <v>82640</v>
      </c>
      <c r="S1461" t="s">
        <v>42</v>
      </c>
      <c r="T1461">
        <v>82612</v>
      </c>
      <c r="U1461" t="s">
        <v>153</v>
      </c>
      <c r="V1461" t="s">
        <v>66</v>
      </c>
      <c r="W1461" t="s">
        <v>44</v>
      </c>
      <c r="X1461" t="s">
        <v>44</v>
      </c>
      <c r="Y1461" s="9">
        <f t="shared" si="67"/>
        <v>0</v>
      </c>
      <c r="Z1461" t="str">
        <f t="shared" si="68"/>
        <v>สแกนต่าง Cost</v>
      </c>
    </row>
    <row r="1462" spans="1:26" x14ac:dyDescent="0.45">
      <c r="A1462">
        <v>26600</v>
      </c>
      <c r="B1462" t="s">
        <v>53</v>
      </c>
      <c r="C1462">
        <v>20048905</v>
      </c>
      <c r="D1462" t="s">
        <v>73</v>
      </c>
      <c r="E1462" s="10">
        <v>46128.530555555553</v>
      </c>
      <c r="F1462" s="10">
        <v>46128.981944444444</v>
      </c>
      <c r="G1462">
        <v>10.833333333333334</v>
      </c>
      <c r="H1462" s="9">
        <f t="shared" si="66"/>
        <v>5.6999999999999995E-2</v>
      </c>
      <c r="I1462">
        <v>4.4999999999999998E-2</v>
      </c>
      <c r="K1462">
        <v>1.2E-2</v>
      </c>
      <c r="M1462" t="s">
        <v>28</v>
      </c>
      <c r="N1462" t="s">
        <v>40</v>
      </c>
      <c r="O1462" t="s">
        <v>181</v>
      </c>
      <c r="P1462" t="s">
        <v>30</v>
      </c>
      <c r="Q1462" t="s">
        <v>31</v>
      </c>
      <c r="R1462">
        <v>82409</v>
      </c>
      <c r="S1462" t="s">
        <v>74</v>
      </c>
      <c r="T1462">
        <v>82664</v>
      </c>
      <c r="U1462" t="s">
        <v>75</v>
      </c>
      <c r="V1462" t="s">
        <v>75</v>
      </c>
      <c r="W1462" t="s">
        <v>74</v>
      </c>
      <c r="X1462" t="s">
        <v>74</v>
      </c>
      <c r="Y1462" s="9">
        <f t="shared" si="67"/>
        <v>1.2E-2</v>
      </c>
      <c r="Z1462" t="str">
        <f t="shared" si="68"/>
        <v>สแกนต่าง Cost</v>
      </c>
    </row>
    <row r="1463" spans="1:26" x14ac:dyDescent="0.45">
      <c r="B1463" t="s">
        <v>53</v>
      </c>
      <c r="C1463">
        <v>20167851</v>
      </c>
      <c r="D1463" t="s">
        <v>63</v>
      </c>
      <c r="E1463" s="10">
        <v>46128.458333333336</v>
      </c>
      <c r="F1463" s="10">
        <v>46128.5</v>
      </c>
      <c r="G1463">
        <v>1</v>
      </c>
      <c r="H1463" s="9">
        <f t="shared" si="66"/>
        <v>5.0000000000000001E-3</v>
      </c>
      <c r="I1463">
        <v>5.0000000000000001E-3</v>
      </c>
      <c r="M1463" t="s">
        <v>65</v>
      </c>
      <c r="N1463" t="s">
        <v>29</v>
      </c>
      <c r="P1463" t="s">
        <v>30</v>
      </c>
      <c r="Q1463" t="s">
        <v>31</v>
      </c>
      <c r="R1463">
        <v>82640</v>
      </c>
      <c r="S1463" t="s">
        <v>42</v>
      </c>
      <c r="T1463">
        <v>82630</v>
      </c>
      <c r="U1463" t="s">
        <v>32</v>
      </c>
      <c r="V1463" t="s">
        <v>66</v>
      </c>
      <c r="W1463" t="s">
        <v>44</v>
      </c>
      <c r="X1463" t="s">
        <v>44</v>
      </c>
      <c r="Y1463" s="9">
        <f t="shared" si="67"/>
        <v>0</v>
      </c>
      <c r="Z1463" t="str">
        <f t="shared" si="68"/>
        <v>สแกนต่าง Cost</v>
      </c>
    </row>
    <row r="1464" spans="1:26" x14ac:dyDescent="0.45">
      <c r="B1464" t="s">
        <v>53</v>
      </c>
      <c r="C1464">
        <v>20060579</v>
      </c>
      <c r="D1464" t="s">
        <v>39</v>
      </c>
      <c r="E1464" s="10">
        <v>46128.4375</v>
      </c>
      <c r="F1464" s="10">
        <v>46128.479166666664</v>
      </c>
      <c r="G1464">
        <v>1</v>
      </c>
      <c r="H1464" s="9">
        <f t="shared" si="66"/>
        <v>5.0000000000000001E-3</v>
      </c>
      <c r="I1464">
        <v>5.0000000000000001E-3</v>
      </c>
      <c r="M1464" t="s">
        <v>65</v>
      </c>
      <c r="N1464" t="s">
        <v>29</v>
      </c>
      <c r="P1464" t="s">
        <v>30</v>
      </c>
      <c r="Q1464" t="s">
        <v>31</v>
      </c>
      <c r="R1464">
        <v>82640</v>
      </c>
      <c r="S1464" t="s">
        <v>42</v>
      </c>
      <c r="T1464">
        <v>82630</v>
      </c>
      <c r="U1464" t="s">
        <v>32</v>
      </c>
      <c r="V1464" t="s">
        <v>66</v>
      </c>
      <c r="W1464" t="s">
        <v>44</v>
      </c>
      <c r="X1464" t="s">
        <v>44</v>
      </c>
      <c r="Y1464" s="9">
        <f t="shared" si="67"/>
        <v>0</v>
      </c>
      <c r="Z1464" t="str">
        <f t="shared" si="68"/>
        <v>สแกนต่าง Cost</v>
      </c>
    </row>
    <row r="1465" spans="1:26" x14ac:dyDescent="0.45">
      <c r="B1465" t="s">
        <v>53</v>
      </c>
      <c r="C1465">
        <v>20198839</v>
      </c>
      <c r="D1465" t="s">
        <v>258</v>
      </c>
      <c r="E1465" s="10">
        <v>46128.4375</v>
      </c>
      <c r="F1465" s="10">
        <v>46128.479166666664</v>
      </c>
      <c r="G1465">
        <v>1</v>
      </c>
      <c r="H1465" s="9">
        <f t="shared" si="66"/>
        <v>5.0000000000000001E-3</v>
      </c>
      <c r="J1465">
        <v>5.0000000000000001E-3</v>
      </c>
      <c r="M1465" t="s">
        <v>77</v>
      </c>
      <c r="N1465" t="s">
        <v>40</v>
      </c>
      <c r="O1465" t="s">
        <v>78</v>
      </c>
      <c r="P1465" t="s">
        <v>30</v>
      </c>
      <c r="Q1465" t="s">
        <v>31</v>
      </c>
      <c r="R1465">
        <v>82640</v>
      </c>
      <c r="S1465" t="s">
        <v>42</v>
      </c>
      <c r="T1465">
        <v>82611</v>
      </c>
      <c r="U1465" t="s">
        <v>43</v>
      </c>
      <c r="V1465" t="s">
        <v>66</v>
      </c>
      <c r="W1465" t="s">
        <v>44</v>
      </c>
      <c r="X1465" t="s">
        <v>44</v>
      </c>
      <c r="Y1465" s="9">
        <f t="shared" si="67"/>
        <v>5.0000000000000001E-3</v>
      </c>
      <c r="Z1465" t="str">
        <f t="shared" si="68"/>
        <v>สแกนต่าง Cost</v>
      </c>
    </row>
    <row r="1466" spans="1:26" x14ac:dyDescent="0.45">
      <c r="B1466" t="s">
        <v>53</v>
      </c>
      <c r="C1466">
        <v>20280718</v>
      </c>
      <c r="D1466" t="s">
        <v>256</v>
      </c>
      <c r="E1466" s="10">
        <v>46128.4375</v>
      </c>
      <c r="F1466" s="10">
        <v>46128.5</v>
      </c>
      <c r="G1466">
        <v>1.5</v>
      </c>
      <c r="H1466" s="9">
        <f t="shared" si="66"/>
        <v>8.0000000000000002E-3</v>
      </c>
      <c r="I1466">
        <v>8.0000000000000002E-3</v>
      </c>
      <c r="M1466" t="s">
        <v>65</v>
      </c>
      <c r="N1466" t="s">
        <v>29</v>
      </c>
      <c r="P1466" t="s">
        <v>30</v>
      </c>
      <c r="Q1466" t="s">
        <v>31</v>
      </c>
      <c r="R1466">
        <v>82640</v>
      </c>
      <c r="S1466" t="s">
        <v>42</v>
      </c>
      <c r="T1466">
        <v>82630</v>
      </c>
      <c r="U1466" t="s">
        <v>32</v>
      </c>
      <c r="V1466" t="s">
        <v>66</v>
      </c>
      <c r="W1466" t="s">
        <v>44</v>
      </c>
      <c r="X1466" t="s">
        <v>44</v>
      </c>
      <c r="Y1466" s="9">
        <f t="shared" si="67"/>
        <v>0</v>
      </c>
      <c r="Z1466" t="str">
        <f t="shared" si="68"/>
        <v>สแกนต่าง Cost</v>
      </c>
    </row>
    <row r="1467" spans="1:26" x14ac:dyDescent="0.45">
      <c r="B1467" t="s">
        <v>53</v>
      </c>
      <c r="C1467">
        <v>20060579</v>
      </c>
      <c r="D1467" t="s">
        <v>39</v>
      </c>
      <c r="E1467" s="10">
        <v>46128.416666666664</v>
      </c>
      <c r="F1467" s="10">
        <v>46128.4375</v>
      </c>
      <c r="G1467">
        <v>0.5</v>
      </c>
      <c r="H1467" s="9">
        <f t="shared" si="66"/>
        <v>3.0000000000000001E-3</v>
      </c>
      <c r="I1467">
        <v>3.0000000000000001E-3</v>
      </c>
      <c r="M1467" t="s">
        <v>65</v>
      </c>
      <c r="N1467" t="s">
        <v>29</v>
      </c>
      <c r="P1467" t="s">
        <v>30</v>
      </c>
      <c r="Q1467" t="s">
        <v>31</v>
      </c>
      <c r="R1467">
        <v>82640</v>
      </c>
      <c r="S1467" t="s">
        <v>42</v>
      </c>
      <c r="T1467">
        <v>82611</v>
      </c>
      <c r="U1467" t="s">
        <v>43</v>
      </c>
      <c r="V1467" t="s">
        <v>66</v>
      </c>
      <c r="W1467" t="s">
        <v>44</v>
      </c>
      <c r="X1467" t="s">
        <v>44</v>
      </c>
      <c r="Y1467" s="9">
        <f t="shared" si="67"/>
        <v>0</v>
      </c>
      <c r="Z1467" t="str">
        <f t="shared" si="68"/>
        <v>สแกนต่าง Cost</v>
      </c>
    </row>
    <row r="1468" spans="1:26" x14ac:dyDescent="0.45">
      <c r="B1468" t="s">
        <v>53</v>
      </c>
      <c r="C1468">
        <v>20280718</v>
      </c>
      <c r="D1468" t="s">
        <v>256</v>
      </c>
      <c r="E1468" s="10">
        <v>46128.416666666664</v>
      </c>
      <c r="F1468" s="10">
        <v>46128.4375</v>
      </c>
      <c r="G1468">
        <v>0.5</v>
      </c>
      <c r="H1468" s="9">
        <f t="shared" si="66"/>
        <v>3.0000000000000001E-3</v>
      </c>
      <c r="I1468">
        <v>3.0000000000000001E-3</v>
      </c>
      <c r="M1468" t="s">
        <v>65</v>
      </c>
      <c r="N1468" t="s">
        <v>29</v>
      </c>
      <c r="P1468" t="s">
        <v>30</v>
      </c>
      <c r="Q1468" t="s">
        <v>31</v>
      </c>
      <c r="R1468">
        <v>82640</v>
      </c>
      <c r="S1468" t="s">
        <v>42</v>
      </c>
      <c r="T1468">
        <v>82611</v>
      </c>
      <c r="U1468" t="s">
        <v>43</v>
      </c>
      <c r="V1468" t="s">
        <v>66</v>
      </c>
      <c r="W1468" t="s">
        <v>44</v>
      </c>
      <c r="X1468" t="s">
        <v>44</v>
      </c>
      <c r="Y1468" s="9">
        <f t="shared" si="67"/>
        <v>0</v>
      </c>
      <c r="Z1468" t="str">
        <f t="shared" si="68"/>
        <v>สแกนต่าง Cost</v>
      </c>
    </row>
    <row r="1469" spans="1:26" x14ac:dyDescent="0.45">
      <c r="B1469" t="s">
        <v>26</v>
      </c>
      <c r="C1469">
        <v>20334399</v>
      </c>
      <c r="D1469" t="s">
        <v>237</v>
      </c>
      <c r="E1469" s="10">
        <v>46128.405555555553</v>
      </c>
      <c r="F1469" s="10">
        <v>46128.767361111109</v>
      </c>
      <c r="G1469">
        <v>7.6833333333333336</v>
      </c>
      <c r="H1469" s="9">
        <f t="shared" si="66"/>
        <v>4.1000000000000002E-2</v>
      </c>
      <c r="J1469">
        <v>4.1000000000000002E-2</v>
      </c>
      <c r="M1469" t="s">
        <v>77</v>
      </c>
      <c r="N1469" t="s">
        <v>29</v>
      </c>
      <c r="P1469" t="s">
        <v>30</v>
      </c>
      <c r="Q1469" t="s">
        <v>31</v>
      </c>
      <c r="R1469">
        <v>82301</v>
      </c>
      <c r="S1469" t="s">
        <v>79</v>
      </c>
      <c r="T1469">
        <v>82658</v>
      </c>
      <c r="U1469" t="s">
        <v>33</v>
      </c>
      <c r="V1469" t="s">
        <v>33</v>
      </c>
      <c r="W1469" t="s">
        <v>34</v>
      </c>
      <c r="X1469" t="s">
        <v>34</v>
      </c>
      <c r="Y1469" s="9">
        <f t="shared" si="67"/>
        <v>4.1000000000000002E-2</v>
      </c>
      <c r="Z1469" t="str">
        <f t="shared" si="68"/>
        <v>สแกนต่าง Cost</v>
      </c>
    </row>
    <row r="1470" spans="1:26" x14ac:dyDescent="0.45">
      <c r="B1470" t="s">
        <v>26</v>
      </c>
      <c r="C1470">
        <v>20377125</v>
      </c>
      <c r="D1470" t="s">
        <v>194</v>
      </c>
      <c r="E1470" s="10">
        <v>46128.404861111114</v>
      </c>
      <c r="F1470" s="10">
        <v>46128.767361111109</v>
      </c>
      <c r="G1470">
        <v>7.6999999999999993</v>
      </c>
      <c r="H1470" s="9">
        <f t="shared" si="66"/>
        <v>4.1000000000000002E-2</v>
      </c>
      <c r="I1470">
        <v>4.1000000000000002E-2</v>
      </c>
      <c r="M1470" t="s">
        <v>65</v>
      </c>
      <c r="N1470" t="s">
        <v>29</v>
      </c>
      <c r="P1470" t="s">
        <v>30</v>
      </c>
      <c r="Q1470" t="s">
        <v>31</v>
      </c>
      <c r="R1470">
        <v>82301</v>
      </c>
      <c r="S1470" t="s">
        <v>79</v>
      </c>
      <c r="T1470">
        <v>82658</v>
      </c>
      <c r="U1470" t="s">
        <v>33</v>
      </c>
      <c r="V1470" t="s">
        <v>33</v>
      </c>
      <c r="W1470" t="s">
        <v>34</v>
      </c>
      <c r="X1470" t="s">
        <v>34</v>
      </c>
      <c r="Y1470" s="9">
        <f t="shared" si="67"/>
        <v>0</v>
      </c>
      <c r="Z1470" t="str">
        <f t="shared" si="68"/>
        <v>สแกนต่าง Cost</v>
      </c>
    </row>
    <row r="1471" spans="1:26" x14ac:dyDescent="0.45">
      <c r="B1471" t="s">
        <v>53</v>
      </c>
      <c r="C1471">
        <v>20280718</v>
      </c>
      <c r="D1471" t="s">
        <v>256</v>
      </c>
      <c r="E1471" s="10">
        <v>46128.395833333336</v>
      </c>
      <c r="F1471" s="10">
        <v>46128.416666666664</v>
      </c>
      <c r="G1471">
        <v>0.5</v>
      </c>
      <c r="H1471" s="9">
        <f t="shared" si="66"/>
        <v>3.0000000000000001E-3</v>
      </c>
      <c r="I1471">
        <v>3.0000000000000001E-3</v>
      </c>
      <c r="M1471" t="s">
        <v>65</v>
      </c>
      <c r="N1471" t="s">
        <v>29</v>
      </c>
      <c r="P1471" t="s">
        <v>30</v>
      </c>
      <c r="Q1471" t="s">
        <v>31</v>
      </c>
      <c r="R1471">
        <v>82640</v>
      </c>
      <c r="S1471" t="s">
        <v>42</v>
      </c>
      <c r="T1471">
        <v>82630</v>
      </c>
      <c r="U1471" t="s">
        <v>32</v>
      </c>
      <c r="V1471" t="s">
        <v>66</v>
      </c>
      <c r="W1471" t="s">
        <v>44</v>
      </c>
      <c r="X1471" t="s">
        <v>44</v>
      </c>
      <c r="Y1471" s="9">
        <f t="shared" si="67"/>
        <v>0</v>
      </c>
      <c r="Z1471" t="str">
        <f t="shared" si="68"/>
        <v>สแกนต่าง Cost</v>
      </c>
    </row>
    <row r="1472" spans="1:26" x14ac:dyDescent="0.45">
      <c r="B1472" t="s">
        <v>53</v>
      </c>
      <c r="C1472">
        <v>20310532</v>
      </c>
      <c r="D1472" t="s">
        <v>61</v>
      </c>
      <c r="E1472" s="10">
        <v>46128.395833333336</v>
      </c>
      <c r="F1472" s="10">
        <v>46128.5</v>
      </c>
      <c r="G1472">
        <v>2.5</v>
      </c>
      <c r="H1472" s="9">
        <f t="shared" si="66"/>
        <v>1.2999999999999999E-2</v>
      </c>
      <c r="I1472">
        <v>1.2999999999999999E-2</v>
      </c>
      <c r="M1472" t="s">
        <v>65</v>
      </c>
      <c r="N1472" t="s">
        <v>29</v>
      </c>
      <c r="P1472" t="s">
        <v>30</v>
      </c>
      <c r="Q1472" t="s">
        <v>31</v>
      </c>
      <c r="R1472">
        <v>82640</v>
      </c>
      <c r="S1472" t="s">
        <v>42</v>
      </c>
      <c r="T1472">
        <v>82630</v>
      </c>
      <c r="U1472" t="s">
        <v>32</v>
      </c>
      <c r="V1472" t="s">
        <v>66</v>
      </c>
      <c r="W1472" t="s">
        <v>44</v>
      </c>
      <c r="X1472" t="s">
        <v>44</v>
      </c>
      <c r="Y1472" s="9">
        <f t="shared" si="67"/>
        <v>0</v>
      </c>
      <c r="Z1472" t="str">
        <f t="shared" si="68"/>
        <v>สแกนต่าง Cost</v>
      </c>
    </row>
    <row r="1473" spans="1:26" x14ac:dyDescent="0.45">
      <c r="B1473" t="s">
        <v>53</v>
      </c>
      <c r="C1473">
        <v>20368087</v>
      </c>
      <c r="D1473" t="s">
        <v>260</v>
      </c>
      <c r="E1473" s="10">
        <v>46128.395833333336</v>
      </c>
      <c r="F1473" s="10">
        <v>46128.5</v>
      </c>
      <c r="G1473">
        <v>2.5</v>
      </c>
      <c r="H1473" s="9">
        <f t="shared" si="66"/>
        <v>1.2999999999999999E-2</v>
      </c>
      <c r="I1473">
        <v>1.2999999999999999E-2</v>
      </c>
      <c r="M1473" t="s">
        <v>65</v>
      </c>
      <c r="N1473" t="s">
        <v>29</v>
      </c>
      <c r="P1473" t="s">
        <v>30</v>
      </c>
      <c r="Q1473" t="s">
        <v>31</v>
      </c>
      <c r="R1473">
        <v>82640</v>
      </c>
      <c r="S1473" t="s">
        <v>42</v>
      </c>
      <c r="T1473">
        <v>82612</v>
      </c>
      <c r="U1473" t="s">
        <v>153</v>
      </c>
      <c r="V1473" t="s">
        <v>66</v>
      </c>
      <c r="W1473" t="s">
        <v>44</v>
      </c>
      <c r="X1473" t="s">
        <v>44</v>
      </c>
      <c r="Y1473" s="9">
        <f t="shared" si="67"/>
        <v>0</v>
      </c>
      <c r="Z1473" t="str">
        <f t="shared" si="68"/>
        <v>สแกนต่าง Cost</v>
      </c>
    </row>
    <row r="1474" spans="1:26" x14ac:dyDescent="0.45">
      <c r="B1474" t="s">
        <v>53</v>
      </c>
      <c r="C1474">
        <v>20244923</v>
      </c>
      <c r="D1474" t="s">
        <v>246</v>
      </c>
      <c r="E1474" s="10">
        <v>46128.375</v>
      </c>
      <c r="F1474" s="10">
        <v>46128.5</v>
      </c>
      <c r="G1474">
        <v>3</v>
      </c>
      <c r="H1474" s="9">
        <f t="shared" si="66"/>
        <v>1.6E-2</v>
      </c>
      <c r="I1474">
        <v>1.6E-2</v>
      </c>
      <c r="M1474" t="s">
        <v>65</v>
      </c>
      <c r="N1474" t="s">
        <v>29</v>
      </c>
      <c r="P1474" t="s">
        <v>30</v>
      </c>
      <c r="Q1474" t="s">
        <v>31</v>
      </c>
      <c r="R1474">
        <v>82640</v>
      </c>
      <c r="S1474" t="s">
        <v>42</v>
      </c>
      <c r="T1474">
        <v>82630</v>
      </c>
      <c r="U1474" t="s">
        <v>32</v>
      </c>
      <c r="V1474" t="s">
        <v>66</v>
      </c>
      <c r="W1474" t="s">
        <v>44</v>
      </c>
      <c r="X1474" t="s">
        <v>44</v>
      </c>
      <c r="Y1474" s="9">
        <f t="shared" si="67"/>
        <v>0</v>
      </c>
      <c r="Z1474" t="str">
        <f t="shared" si="68"/>
        <v>สแกนต่าง Cost</v>
      </c>
    </row>
    <row r="1475" spans="1:26" x14ac:dyDescent="0.45">
      <c r="B1475" t="s">
        <v>53</v>
      </c>
      <c r="C1475">
        <v>20280718</v>
      </c>
      <c r="D1475" t="s">
        <v>256</v>
      </c>
      <c r="E1475" s="10">
        <v>46128.375</v>
      </c>
      <c r="F1475" s="10">
        <v>46128.395833333336</v>
      </c>
      <c r="G1475">
        <v>0.5</v>
      </c>
      <c r="H1475" s="9">
        <f t="shared" ref="H1475:H1538" si="69">SUM(I1475:L1475)</f>
        <v>3.0000000000000001E-3</v>
      </c>
      <c r="I1475">
        <v>3.0000000000000001E-3</v>
      </c>
      <c r="M1475" t="s">
        <v>65</v>
      </c>
      <c r="N1475" t="s">
        <v>29</v>
      </c>
      <c r="P1475" t="s">
        <v>30</v>
      </c>
      <c r="Q1475" t="s">
        <v>31</v>
      </c>
      <c r="R1475">
        <v>82640</v>
      </c>
      <c r="S1475" t="s">
        <v>42</v>
      </c>
      <c r="T1475">
        <v>82612</v>
      </c>
      <c r="U1475" t="s">
        <v>153</v>
      </c>
      <c r="V1475" t="s">
        <v>66</v>
      </c>
      <c r="W1475" t="s">
        <v>44</v>
      </c>
      <c r="X1475" t="s">
        <v>44</v>
      </c>
      <c r="Y1475" s="9">
        <f t="shared" ref="Y1475:Y1538" si="70">SUM(J1475:L1475)</f>
        <v>0</v>
      </c>
      <c r="Z1475" t="str">
        <f t="shared" ref="Z1475:Z1538" si="71">IF(R1475=T1475,"สแกน Cost ตัวเอง","สแกนต่าง Cost")</f>
        <v>สแกนต่าง Cost</v>
      </c>
    </row>
    <row r="1476" spans="1:26" x14ac:dyDescent="0.45">
      <c r="B1476" t="s">
        <v>26</v>
      </c>
      <c r="C1476">
        <v>20075988</v>
      </c>
      <c r="D1476" t="s">
        <v>325</v>
      </c>
      <c r="E1476" s="10">
        <v>46128.366666666669</v>
      </c>
      <c r="F1476" s="10">
        <v>46128.629861111112</v>
      </c>
      <c r="G1476">
        <v>5.3166666666666664</v>
      </c>
      <c r="H1476" s="9">
        <f t="shared" si="69"/>
        <v>2.8000000000000001E-2</v>
      </c>
      <c r="I1476">
        <v>2.8000000000000001E-2</v>
      </c>
      <c r="M1476" t="s">
        <v>65</v>
      </c>
      <c r="N1476" t="s">
        <v>29</v>
      </c>
      <c r="P1476" t="s">
        <v>30</v>
      </c>
      <c r="Q1476" t="s">
        <v>31</v>
      </c>
      <c r="R1476">
        <v>82607</v>
      </c>
      <c r="S1476" t="s">
        <v>168</v>
      </c>
      <c r="T1476">
        <v>82622</v>
      </c>
      <c r="U1476" t="s">
        <v>147</v>
      </c>
      <c r="V1476" t="s">
        <v>147</v>
      </c>
      <c r="W1476" t="s">
        <v>326</v>
      </c>
      <c r="X1476" t="s">
        <v>34</v>
      </c>
      <c r="Y1476" s="9">
        <f t="shared" si="70"/>
        <v>0</v>
      </c>
      <c r="Z1476" t="str">
        <f t="shared" si="71"/>
        <v>สแกนต่าง Cost</v>
      </c>
    </row>
    <row r="1477" spans="1:26" x14ac:dyDescent="0.45">
      <c r="B1477" t="s">
        <v>26</v>
      </c>
      <c r="C1477">
        <v>20403192</v>
      </c>
      <c r="D1477" t="s">
        <v>123</v>
      </c>
      <c r="E1477" s="10">
        <v>46128.365277777775</v>
      </c>
      <c r="F1477" s="10">
        <v>46128.729166666664</v>
      </c>
      <c r="G1477">
        <v>7.7333333333333325</v>
      </c>
      <c r="H1477" s="9">
        <f t="shared" si="69"/>
        <v>4.1000000000000002E-2</v>
      </c>
      <c r="I1477">
        <v>4.1000000000000002E-2</v>
      </c>
      <c r="M1477" t="s">
        <v>48</v>
      </c>
      <c r="N1477" t="s">
        <v>48</v>
      </c>
      <c r="P1477" t="s">
        <v>30</v>
      </c>
      <c r="Q1477" t="s">
        <v>31</v>
      </c>
      <c r="R1477">
        <v>82400</v>
      </c>
      <c r="S1477" t="s">
        <v>83</v>
      </c>
      <c r="T1477">
        <v>82658</v>
      </c>
      <c r="U1477" t="s">
        <v>33</v>
      </c>
      <c r="V1477" t="s">
        <v>33</v>
      </c>
      <c r="W1477" t="s">
        <v>34</v>
      </c>
      <c r="X1477" t="s">
        <v>34</v>
      </c>
      <c r="Y1477" s="9">
        <f t="shared" si="70"/>
        <v>0</v>
      </c>
      <c r="Z1477" t="str">
        <f t="shared" si="71"/>
        <v>สแกนต่าง Cost</v>
      </c>
    </row>
    <row r="1478" spans="1:26" x14ac:dyDescent="0.45">
      <c r="B1478" t="s">
        <v>26</v>
      </c>
      <c r="C1478">
        <v>20198661</v>
      </c>
      <c r="D1478" t="s">
        <v>146</v>
      </c>
      <c r="E1478" s="10">
        <v>46128.364583333336</v>
      </c>
      <c r="F1478" s="10">
        <v>46128.729166666664</v>
      </c>
      <c r="G1478">
        <v>7.75</v>
      </c>
      <c r="H1478" s="9">
        <f t="shared" si="69"/>
        <v>4.1000000000000002E-2</v>
      </c>
      <c r="I1478">
        <v>4.1000000000000002E-2</v>
      </c>
      <c r="M1478" t="s">
        <v>65</v>
      </c>
      <c r="N1478" t="s">
        <v>29</v>
      </c>
      <c r="P1478" t="s">
        <v>30</v>
      </c>
      <c r="Q1478" t="s">
        <v>31</v>
      </c>
      <c r="R1478">
        <v>82640</v>
      </c>
      <c r="S1478" t="s">
        <v>42</v>
      </c>
      <c r="T1478">
        <v>82658</v>
      </c>
      <c r="U1478" t="s">
        <v>33</v>
      </c>
      <c r="V1478" t="s">
        <v>33</v>
      </c>
      <c r="W1478" t="s">
        <v>34</v>
      </c>
      <c r="X1478" t="s">
        <v>34</v>
      </c>
      <c r="Y1478" s="9">
        <f t="shared" si="70"/>
        <v>0</v>
      </c>
      <c r="Z1478" t="str">
        <f t="shared" si="71"/>
        <v>สแกนต่าง Cost</v>
      </c>
    </row>
    <row r="1479" spans="1:26" x14ac:dyDescent="0.45">
      <c r="B1479" t="s">
        <v>26</v>
      </c>
      <c r="C1479">
        <v>20311577</v>
      </c>
      <c r="D1479" t="s">
        <v>333</v>
      </c>
      <c r="E1479" s="10">
        <v>46128.364583333336</v>
      </c>
      <c r="F1479" s="10">
        <v>46128.729166666664</v>
      </c>
      <c r="G1479">
        <v>7.75</v>
      </c>
      <c r="H1479" s="9">
        <f t="shared" si="69"/>
        <v>4.1000000000000002E-2</v>
      </c>
      <c r="I1479">
        <v>4.1000000000000002E-2</v>
      </c>
      <c r="M1479" t="s">
        <v>65</v>
      </c>
      <c r="N1479" t="s">
        <v>29</v>
      </c>
      <c r="P1479" t="s">
        <v>30</v>
      </c>
      <c r="Q1479" t="s">
        <v>31</v>
      </c>
      <c r="R1479">
        <v>82640</v>
      </c>
      <c r="S1479" t="s">
        <v>42</v>
      </c>
      <c r="T1479">
        <v>82658</v>
      </c>
      <c r="U1479" t="s">
        <v>33</v>
      </c>
      <c r="V1479" t="s">
        <v>33</v>
      </c>
      <c r="W1479" t="s">
        <v>34</v>
      </c>
      <c r="X1479" t="s">
        <v>34</v>
      </c>
      <c r="Y1479" s="9">
        <f t="shared" si="70"/>
        <v>0</v>
      </c>
      <c r="Z1479" t="str">
        <f t="shared" si="71"/>
        <v>สแกนต่าง Cost</v>
      </c>
    </row>
    <row r="1480" spans="1:26" x14ac:dyDescent="0.45">
      <c r="B1480" t="s">
        <v>26</v>
      </c>
      <c r="C1480">
        <v>20403191</v>
      </c>
      <c r="D1480" t="s">
        <v>122</v>
      </c>
      <c r="E1480" s="10">
        <v>46128.364583333336</v>
      </c>
      <c r="F1480" s="10">
        <v>46128.716666666667</v>
      </c>
      <c r="G1480">
        <v>7.4499999999999993</v>
      </c>
      <c r="H1480" s="9">
        <f t="shared" si="69"/>
        <v>0.04</v>
      </c>
      <c r="I1480">
        <v>0.04</v>
      </c>
      <c r="M1480" t="s">
        <v>48</v>
      </c>
      <c r="N1480" t="s">
        <v>48</v>
      </c>
      <c r="P1480" t="s">
        <v>30</v>
      </c>
      <c r="Q1480" t="s">
        <v>31</v>
      </c>
      <c r="R1480">
        <v>82400</v>
      </c>
      <c r="S1480" t="s">
        <v>83</v>
      </c>
      <c r="T1480">
        <v>82658</v>
      </c>
      <c r="U1480" t="s">
        <v>33</v>
      </c>
      <c r="V1480" t="s">
        <v>33</v>
      </c>
      <c r="W1480" t="s">
        <v>34</v>
      </c>
      <c r="X1480" t="s">
        <v>34</v>
      </c>
      <c r="Y1480" s="9">
        <f t="shared" si="70"/>
        <v>0</v>
      </c>
      <c r="Z1480" t="str">
        <f t="shared" si="71"/>
        <v>สแกนต่าง Cost</v>
      </c>
    </row>
    <row r="1481" spans="1:26" x14ac:dyDescent="0.45">
      <c r="B1481" t="s">
        <v>26</v>
      </c>
      <c r="C1481">
        <v>20403254</v>
      </c>
      <c r="D1481" t="s">
        <v>126</v>
      </c>
      <c r="E1481" s="10">
        <v>46128.364583333336</v>
      </c>
      <c r="F1481" s="10">
        <v>46128.708333333336</v>
      </c>
      <c r="G1481">
        <v>7.25</v>
      </c>
      <c r="H1481" s="9">
        <f t="shared" si="69"/>
        <v>3.9E-2</v>
      </c>
      <c r="I1481">
        <v>3.9E-2</v>
      </c>
      <c r="M1481" t="s">
        <v>48</v>
      </c>
      <c r="N1481" t="s">
        <v>48</v>
      </c>
      <c r="P1481" t="s">
        <v>30</v>
      </c>
      <c r="Q1481" t="s">
        <v>31</v>
      </c>
      <c r="R1481">
        <v>82400</v>
      </c>
      <c r="S1481" t="s">
        <v>83</v>
      </c>
      <c r="T1481">
        <v>82658</v>
      </c>
      <c r="U1481" t="s">
        <v>33</v>
      </c>
      <c r="V1481" t="s">
        <v>33</v>
      </c>
      <c r="W1481" t="s">
        <v>34</v>
      </c>
      <c r="X1481" t="s">
        <v>34</v>
      </c>
      <c r="Y1481" s="9">
        <f t="shared" si="70"/>
        <v>0</v>
      </c>
      <c r="Z1481" t="str">
        <f t="shared" si="71"/>
        <v>สแกนต่าง Cost</v>
      </c>
    </row>
    <row r="1482" spans="1:26" x14ac:dyDescent="0.45">
      <c r="B1482" t="s">
        <v>26</v>
      </c>
      <c r="C1482">
        <v>20403253</v>
      </c>
      <c r="D1482" t="s">
        <v>125</v>
      </c>
      <c r="E1482" s="10">
        <v>46128.362500000003</v>
      </c>
      <c r="F1482" s="10">
        <v>46128.70416666667</v>
      </c>
      <c r="G1482">
        <v>7.1999999999999993</v>
      </c>
      <c r="H1482" s="9">
        <f t="shared" si="69"/>
        <v>3.9E-2</v>
      </c>
      <c r="I1482">
        <v>3.9E-2</v>
      </c>
      <c r="M1482" t="s">
        <v>48</v>
      </c>
      <c r="N1482" t="s">
        <v>48</v>
      </c>
      <c r="P1482" t="s">
        <v>30</v>
      </c>
      <c r="Q1482" t="s">
        <v>31</v>
      </c>
      <c r="R1482">
        <v>82400</v>
      </c>
      <c r="S1482" t="s">
        <v>83</v>
      </c>
      <c r="T1482">
        <v>82658</v>
      </c>
      <c r="U1482" t="s">
        <v>33</v>
      </c>
      <c r="V1482" t="s">
        <v>33</v>
      </c>
      <c r="W1482" t="s">
        <v>34</v>
      </c>
      <c r="X1482" t="s">
        <v>34</v>
      </c>
      <c r="Y1482" s="9">
        <f t="shared" si="70"/>
        <v>0</v>
      </c>
      <c r="Z1482" t="str">
        <f t="shared" si="71"/>
        <v>สแกนต่าง Cost</v>
      </c>
    </row>
    <row r="1483" spans="1:26" x14ac:dyDescent="0.45">
      <c r="A1483">
        <v>26598</v>
      </c>
      <c r="B1483" t="s">
        <v>53</v>
      </c>
      <c r="C1483">
        <v>20338280</v>
      </c>
      <c r="D1483" t="s">
        <v>303</v>
      </c>
      <c r="E1483" s="10">
        <v>46128.354861111111</v>
      </c>
      <c r="F1483" s="10">
        <v>46128.830555555556</v>
      </c>
      <c r="G1483">
        <v>11.416666666666666</v>
      </c>
      <c r="H1483" s="9">
        <f t="shared" si="69"/>
        <v>6.0999999999999999E-2</v>
      </c>
      <c r="I1483">
        <v>4.4999999999999998E-2</v>
      </c>
      <c r="K1483">
        <v>1.6E-2</v>
      </c>
      <c r="M1483" t="s">
        <v>28</v>
      </c>
      <c r="N1483" t="s">
        <v>40</v>
      </c>
      <c r="O1483" t="s">
        <v>41</v>
      </c>
      <c r="P1483" t="s">
        <v>30</v>
      </c>
      <c r="Q1483" t="s">
        <v>31</v>
      </c>
      <c r="R1483">
        <v>82409</v>
      </c>
      <c r="S1483" t="s">
        <v>74</v>
      </c>
      <c r="T1483">
        <v>82664</v>
      </c>
      <c r="U1483" t="s">
        <v>75</v>
      </c>
      <c r="V1483" t="s">
        <v>75</v>
      </c>
      <c r="W1483" t="s">
        <v>74</v>
      </c>
      <c r="X1483" t="s">
        <v>74</v>
      </c>
      <c r="Y1483" s="9">
        <f t="shared" si="70"/>
        <v>1.6E-2</v>
      </c>
      <c r="Z1483" t="str">
        <f t="shared" si="71"/>
        <v>สแกนต่าง Cost</v>
      </c>
    </row>
    <row r="1484" spans="1:26" x14ac:dyDescent="0.45">
      <c r="A1484">
        <v>26597</v>
      </c>
      <c r="B1484" t="s">
        <v>53</v>
      </c>
      <c r="C1484">
        <v>20075031</v>
      </c>
      <c r="D1484" t="s">
        <v>191</v>
      </c>
      <c r="E1484" s="10">
        <v>46128.354166666664</v>
      </c>
      <c r="F1484" s="10">
        <v>46128.729166666664</v>
      </c>
      <c r="G1484">
        <v>8</v>
      </c>
      <c r="H1484" s="9">
        <f t="shared" si="69"/>
        <v>4.2999999999999997E-2</v>
      </c>
      <c r="I1484">
        <v>4.2999999999999997E-2</v>
      </c>
      <c r="M1484" t="s">
        <v>65</v>
      </c>
      <c r="N1484" t="s">
        <v>29</v>
      </c>
      <c r="P1484" t="s">
        <v>30</v>
      </c>
      <c r="Q1484" t="s">
        <v>31</v>
      </c>
      <c r="R1484">
        <v>82640</v>
      </c>
      <c r="S1484" t="s">
        <v>42</v>
      </c>
      <c r="T1484">
        <v>82611</v>
      </c>
      <c r="U1484" t="s">
        <v>43</v>
      </c>
      <c r="V1484" t="s">
        <v>43</v>
      </c>
      <c r="W1484" t="s">
        <v>47</v>
      </c>
      <c r="X1484" t="s">
        <v>192</v>
      </c>
      <c r="Y1484" s="9">
        <f t="shared" si="70"/>
        <v>0</v>
      </c>
      <c r="Z1484" t="str">
        <f t="shared" si="71"/>
        <v>สแกนต่าง Cost</v>
      </c>
    </row>
    <row r="1485" spans="1:26" x14ac:dyDescent="0.45">
      <c r="B1485" t="s">
        <v>53</v>
      </c>
      <c r="C1485">
        <v>20244923</v>
      </c>
      <c r="D1485" t="s">
        <v>246</v>
      </c>
      <c r="E1485" s="10">
        <v>46128.354166666664</v>
      </c>
      <c r="F1485" s="10">
        <v>46128.375</v>
      </c>
      <c r="G1485">
        <v>0.5</v>
      </c>
      <c r="H1485" s="9">
        <f t="shared" si="69"/>
        <v>3.0000000000000001E-3</v>
      </c>
      <c r="I1485">
        <v>3.0000000000000001E-3</v>
      </c>
      <c r="M1485" t="s">
        <v>65</v>
      </c>
      <c r="N1485" t="s">
        <v>29</v>
      </c>
      <c r="P1485" t="s">
        <v>30</v>
      </c>
      <c r="Q1485" t="s">
        <v>31</v>
      </c>
      <c r="R1485">
        <v>82640</v>
      </c>
      <c r="S1485" t="s">
        <v>42</v>
      </c>
      <c r="T1485">
        <v>82611</v>
      </c>
      <c r="U1485" t="s">
        <v>43</v>
      </c>
      <c r="V1485" t="s">
        <v>66</v>
      </c>
      <c r="W1485" t="s">
        <v>44</v>
      </c>
      <c r="X1485" t="s">
        <v>44</v>
      </c>
      <c r="Y1485" s="9">
        <f t="shared" si="70"/>
        <v>0</v>
      </c>
      <c r="Z1485" t="str">
        <f t="shared" si="71"/>
        <v>สแกนต่าง Cost</v>
      </c>
    </row>
    <row r="1486" spans="1:26" x14ac:dyDescent="0.45">
      <c r="A1486">
        <v>26599</v>
      </c>
      <c r="B1486" t="s">
        <v>53</v>
      </c>
      <c r="C1486">
        <v>20273451</v>
      </c>
      <c r="D1486" t="s">
        <v>248</v>
      </c>
      <c r="E1486" s="10">
        <v>46128.354166666664</v>
      </c>
      <c r="F1486" s="10">
        <v>46128.729166666664</v>
      </c>
      <c r="G1486">
        <v>8</v>
      </c>
      <c r="H1486" s="9">
        <f t="shared" si="69"/>
        <v>4.2999999999999997E-2</v>
      </c>
      <c r="I1486">
        <v>4.2999999999999997E-2</v>
      </c>
      <c r="M1486" t="s">
        <v>65</v>
      </c>
      <c r="N1486" t="s">
        <v>29</v>
      </c>
      <c r="P1486" t="s">
        <v>30</v>
      </c>
      <c r="Q1486" t="s">
        <v>31</v>
      </c>
      <c r="R1486">
        <v>82640</v>
      </c>
      <c r="S1486" t="s">
        <v>42</v>
      </c>
      <c r="T1486">
        <v>82611</v>
      </c>
      <c r="U1486" t="s">
        <v>43</v>
      </c>
      <c r="V1486" t="s">
        <v>43</v>
      </c>
      <c r="W1486" t="s">
        <v>47</v>
      </c>
      <c r="X1486" t="s">
        <v>192</v>
      </c>
      <c r="Y1486" s="9">
        <f t="shared" si="70"/>
        <v>0</v>
      </c>
      <c r="Z1486" t="str">
        <f t="shared" si="71"/>
        <v>สแกนต่าง Cost</v>
      </c>
    </row>
    <row r="1487" spans="1:26" x14ac:dyDescent="0.45">
      <c r="B1487" t="s">
        <v>53</v>
      </c>
      <c r="C1487">
        <v>20310532</v>
      </c>
      <c r="D1487" t="s">
        <v>61</v>
      </c>
      <c r="E1487" s="10">
        <v>46128.354166666664</v>
      </c>
      <c r="F1487" s="10">
        <v>46128.395833333336</v>
      </c>
      <c r="G1487">
        <v>1</v>
      </c>
      <c r="H1487" s="9">
        <f t="shared" si="69"/>
        <v>5.0000000000000001E-3</v>
      </c>
      <c r="I1487">
        <v>5.0000000000000001E-3</v>
      </c>
      <c r="M1487" t="s">
        <v>65</v>
      </c>
      <c r="N1487" t="s">
        <v>29</v>
      </c>
      <c r="P1487" t="s">
        <v>30</v>
      </c>
      <c r="Q1487" t="s">
        <v>31</v>
      </c>
      <c r="R1487">
        <v>82640</v>
      </c>
      <c r="S1487" t="s">
        <v>42</v>
      </c>
      <c r="T1487">
        <v>82612</v>
      </c>
      <c r="U1487" t="s">
        <v>153</v>
      </c>
      <c r="V1487" t="s">
        <v>66</v>
      </c>
      <c r="W1487" t="s">
        <v>44</v>
      </c>
      <c r="X1487" t="s">
        <v>44</v>
      </c>
      <c r="Y1487" s="9">
        <f t="shared" si="70"/>
        <v>0</v>
      </c>
      <c r="Z1487" t="str">
        <f t="shared" si="71"/>
        <v>สแกนต่าง Cost</v>
      </c>
    </row>
    <row r="1488" spans="1:26" x14ac:dyDescent="0.45">
      <c r="B1488" t="s">
        <v>53</v>
      </c>
      <c r="C1488">
        <v>20340657</v>
      </c>
      <c r="D1488" t="s">
        <v>221</v>
      </c>
      <c r="E1488" s="10">
        <v>46128.354166666664</v>
      </c>
      <c r="F1488" s="10">
        <v>46128.5</v>
      </c>
      <c r="G1488">
        <v>3.5</v>
      </c>
      <c r="H1488" s="9">
        <f t="shared" si="69"/>
        <v>1.9E-2</v>
      </c>
      <c r="I1488">
        <v>1.9E-2</v>
      </c>
      <c r="M1488" t="s">
        <v>65</v>
      </c>
      <c r="N1488" t="s">
        <v>29</v>
      </c>
      <c r="P1488" t="s">
        <v>30</v>
      </c>
      <c r="Q1488" t="s">
        <v>31</v>
      </c>
      <c r="R1488">
        <v>82640</v>
      </c>
      <c r="S1488" t="s">
        <v>42</v>
      </c>
      <c r="T1488">
        <v>82612</v>
      </c>
      <c r="U1488" t="s">
        <v>153</v>
      </c>
      <c r="V1488" t="s">
        <v>66</v>
      </c>
      <c r="W1488" t="s">
        <v>44</v>
      </c>
      <c r="X1488" t="s">
        <v>44</v>
      </c>
      <c r="Y1488" s="9">
        <f t="shared" si="70"/>
        <v>0</v>
      </c>
      <c r="Z1488" t="str">
        <f t="shared" si="71"/>
        <v>สแกนต่าง Cost</v>
      </c>
    </row>
    <row r="1489" spans="1:26" x14ac:dyDescent="0.45">
      <c r="B1489" t="s">
        <v>53</v>
      </c>
      <c r="C1489">
        <v>20340659</v>
      </c>
      <c r="D1489" t="s">
        <v>339</v>
      </c>
      <c r="E1489" s="10">
        <v>46128.354166666664</v>
      </c>
      <c r="F1489" s="10">
        <v>46128.375</v>
      </c>
      <c r="G1489">
        <v>0.5</v>
      </c>
      <c r="H1489" s="9">
        <f t="shared" si="69"/>
        <v>3.0000000000000001E-3</v>
      </c>
      <c r="I1489">
        <v>3.0000000000000001E-3</v>
      </c>
      <c r="M1489" t="s">
        <v>65</v>
      </c>
      <c r="N1489" t="s">
        <v>29</v>
      </c>
      <c r="P1489" t="s">
        <v>30</v>
      </c>
      <c r="Q1489" t="s">
        <v>31</v>
      </c>
      <c r="R1489">
        <v>82640</v>
      </c>
      <c r="S1489" t="s">
        <v>42</v>
      </c>
      <c r="T1489">
        <v>82630</v>
      </c>
      <c r="U1489" t="s">
        <v>32</v>
      </c>
      <c r="V1489" t="s">
        <v>66</v>
      </c>
      <c r="W1489" t="s">
        <v>44</v>
      </c>
      <c r="X1489" t="s">
        <v>44</v>
      </c>
      <c r="Y1489" s="9">
        <f t="shared" si="70"/>
        <v>0</v>
      </c>
      <c r="Z1489" t="str">
        <f t="shared" si="71"/>
        <v>สแกนต่าง Cost</v>
      </c>
    </row>
    <row r="1490" spans="1:26" x14ac:dyDescent="0.45">
      <c r="B1490" t="s">
        <v>26</v>
      </c>
      <c r="C1490">
        <v>20403258</v>
      </c>
      <c r="E1490" s="10">
        <v>46128.354166666664</v>
      </c>
      <c r="F1490" s="10">
        <v>46128.365277777775</v>
      </c>
      <c r="G1490">
        <v>0.26666666666666666</v>
      </c>
      <c r="H1490" s="9">
        <f t="shared" si="69"/>
        <v>1E-3</v>
      </c>
      <c r="I1490">
        <v>1E-3</v>
      </c>
      <c r="M1490" t="s">
        <v>48</v>
      </c>
      <c r="N1490" t="s">
        <v>48</v>
      </c>
      <c r="P1490" t="s">
        <v>30</v>
      </c>
      <c r="R1490">
        <v>82640</v>
      </c>
      <c r="T1490">
        <v>82658</v>
      </c>
      <c r="U1490" t="s">
        <v>33</v>
      </c>
      <c r="V1490" t="s">
        <v>33</v>
      </c>
      <c r="W1490" t="s">
        <v>37</v>
      </c>
      <c r="X1490" t="s">
        <v>38</v>
      </c>
      <c r="Y1490" s="9">
        <f t="shared" si="70"/>
        <v>0</v>
      </c>
      <c r="Z1490" t="str">
        <f t="shared" si="71"/>
        <v>สแกนต่าง Cost</v>
      </c>
    </row>
    <row r="1491" spans="1:26" x14ac:dyDescent="0.45">
      <c r="B1491" t="s">
        <v>26</v>
      </c>
      <c r="C1491">
        <v>20403259</v>
      </c>
      <c r="E1491" s="10">
        <v>46128.354166666664</v>
      </c>
      <c r="F1491" s="10">
        <v>46128.366666666669</v>
      </c>
      <c r="G1491">
        <v>0.3</v>
      </c>
      <c r="H1491" s="9">
        <f t="shared" si="69"/>
        <v>2E-3</v>
      </c>
      <c r="I1491">
        <v>2E-3</v>
      </c>
      <c r="M1491" t="s">
        <v>48</v>
      </c>
      <c r="N1491" t="s">
        <v>48</v>
      </c>
      <c r="P1491" t="s">
        <v>30</v>
      </c>
      <c r="R1491">
        <v>82640</v>
      </c>
      <c r="T1491">
        <v>82658</v>
      </c>
      <c r="U1491" t="s">
        <v>33</v>
      </c>
      <c r="V1491" t="s">
        <v>33</v>
      </c>
      <c r="W1491" t="s">
        <v>37</v>
      </c>
      <c r="X1491" t="s">
        <v>38</v>
      </c>
      <c r="Y1491" s="9">
        <f t="shared" si="70"/>
        <v>0</v>
      </c>
      <c r="Z1491" t="str">
        <f t="shared" si="71"/>
        <v>สแกนต่าง Cost</v>
      </c>
    </row>
    <row r="1492" spans="1:26" x14ac:dyDescent="0.45">
      <c r="B1492" t="s">
        <v>26</v>
      </c>
      <c r="C1492">
        <v>20003999</v>
      </c>
      <c r="D1492" t="s">
        <v>340</v>
      </c>
      <c r="E1492" s="10">
        <v>46128.352777777778</v>
      </c>
      <c r="F1492" s="10">
        <v>46128.729166666664</v>
      </c>
      <c r="G1492">
        <v>8.0333333333333332</v>
      </c>
      <c r="H1492" s="9">
        <f t="shared" si="69"/>
        <v>4.2999999999999997E-2</v>
      </c>
      <c r="J1492">
        <v>4.2999999999999997E-2</v>
      </c>
      <c r="M1492" t="s">
        <v>77</v>
      </c>
      <c r="N1492" t="s">
        <v>40</v>
      </c>
      <c r="O1492" t="s">
        <v>78</v>
      </c>
      <c r="P1492" t="s">
        <v>30</v>
      </c>
      <c r="Q1492" t="s">
        <v>31</v>
      </c>
      <c r="R1492">
        <v>82301</v>
      </c>
      <c r="S1492" t="s">
        <v>79</v>
      </c>
      <c r="T1492">
        <v>82658</v>
      </c>
      <c r="U1492" t="s">
        <v>33</v>
      </c>
      <c r="V1492" t="s">
        <v>33</v>
      </c>
      <c r="W1492" t="s">
        <v>34</v>
      </c>
      <c r="X1492" t="s">
        <v>34</v>
      </c>
      <c r="Y1492" s="9">
        <f t="shared" si="70"/>
        <v>4.2999999999999997E-2</v>
      </c>
      <c r="Z1492" t="str">
        <f t="shared" si="71"/>
        <v>สแกนต่าง Cost</v>
      </c>
    </row>
    <row r="1493" spans="1:26" x14ac:dyDescent="0.45">
      <c r="B1493" t="s">
        <v>26</v>
      </c>
      <c r="C1493">
        <v>20023073</v>
      </c>
      <c r="D1493" t="s">
        <v>199</v>
      </c>
      <c r="E1493" s="10">
        <v>46128.352777777778</v>
      </c>
      <c r="F1493" s="10">
        <v>46128.729166666664</v>
      </c>
      <c r="G1493">
        <v>8.0333333333333332</v>
      </c>
      <c r="H1493" s="9">
        <f t="shared" si="69"/>
        <v>4.2999999999999997E-2</v>
      </c>
      <c r="J1493">
        <v>4.2999999999999997E-2</v>
      </c>
      <c r="M1493" t="s">
        <v>77</v>
      </c>
      <c r="N1493" t="s">
        <v>40</v>
      </c>
      <c r="O1493" t="s">
        <v>78</v>
      </c>
      <c r="P1493" t="s">
        <v>30</v>
      </c>
      <c r="Q1493" t="s">
        <v>31</v>
      </c>
      <c r="R1493">
        <v>82301</v>
      </c>
      <c r="S1493" t="s">
        <v>79</v>
      </c>
      <c r="T1493">
        <v>82658</v>
      </c>
      <c r="U1493" t="s">
        <v>33</v>
      </c>
      <c r="V1493" t="s">
        <v>33</v>
      </c>
      <c r="W1493" t="s">
        <v>34</v>
      </c>
      <c r="X1493" t="s">
        <v>34</v>
      </c>
      <c r="Y1493" s="9">
        <f t="shared" si="70"/>
        <v>4.2999999999999997E-2</v>
      </c>
      <c r="Z1493" t="str">
        <f t="shared" si="71"/>
        <v>สแกนต่าง Cost</v>
      </c>
    </row>
    <row r="1494" spans="1:26" x14ac:dyDescent="0.45">
      <c r="B1494" t="s">
        <v>26</v>
      </c>
      <c r="C1494">
        <v>20025699</v>
      </c>
      <c r="D1494" t="s">
        <v>234</v>
      </c>
      <c r="E1494" s="10">
        <v>46128.352777777778</v>
      </c>
      <c r="F1494" s="10">
        <v>46128.729166666664</v>
      </c>
      <c r="G1494">
        <v>8.0333333333333332</v>
      </c>
      <c r="H1494" s="9">
        <f t="shared" si="69"/>
        <v>4.2999999999999997E-2</v>
      </c>
      <c r="I1494">
        <v>4.2999999999999997E-2</v>
      </c>
      <c r="M1494" t="s">
        <v>65</v>
      </c>
      <c r="N1494" t="s">
        <v>29</v>
      </c>
      <c r="P1494" t="s">
        <v>30</v>
      </c>
      <c r="Q1494" t="s">
        <v>31</v>
      </c>
      <c r="R1494">
        <v>82301</v>
      </c>
      <c r="S1494" t="s">
        <v>79</v>
      </c>
      <c r="T1494">
        <v>82658</v>
      </c>
      <c r="U1494" t="s">
        <v>33</v>
      </c>
      <c r="V1494" t="s">
        <v>33</v>
      </c>
      <c r="W1494" t="s">
        <v>34</v>
      </c>
      <c r="X1494" t="s">
        <v>34</v>
      </c>
      <c r="Y1494" s="9">
        <f t="shared" si="70"/>
        <v>0</v>
      </c>
      <c r="Z1494" t="str">
        <f t="shared" si="71"/>
        <v>สแกนต่าง Cost</v>
      </c>
    </row>
    <row r="1495" spans="1:26" x14ac:dyDescent="0.45">
      <c r="B1495" t="s">
        <v>26</v>
      </c>
      <c r="C1495">
        <v>20276266</v>
      </c>
      <c r="D1495" t="s">
        <v>292</v>
      </c>
      <c r="E1495" s="10">
        <v>46128.352777777778</v>
      </c>
      <c r="F1495" s="10">
        <v>46128.729166666664</v>
      </c>
      <c r="G1495">
        <v>8.0333333333333332</v>
      </c>
      <c r="H1495" s="9">
        <f t="shared" si="69"/>
        <v>4.2999999999999997E-2</v>
      </c>
      <c r="I1495">
        <v>4.2999999999999997E-2</v>
      </c>
      <c r="M1495" t="s">
        <v>65</v>
      </c>
      <c r="N1495" t="s">
        <v>29</v>
      </c>
      <c r="P1495" t="s">
        <v>30</v>
      </c>
      <c r="Q1495" t="s">
        <v>31</v>
      </c>
      <c r="R1495">
        <v>82301</v>
      </c>
      <c r="S1495" t="s">
        <v>79</v>
      </c>
      <c r="T1495">
        <v>82658</v>
      </c>
      <c r="U1495" t="s">
        <v>33</v>
      </c>
      <c r="V1495" t="s">
        <v>33</v>
      </c>
      <c r="W1495" t="s">
        <v>34</v>
      </c>
      <c r="X1495" t="s">
        <v>34</v>
      </c>
      <c r="Y1495" s="9">
        <f t="shared" si="70"/>
        <v>0</v>
      </c>
      <c r="Z1495" t="str">
        <f t="shared" si="71"/>
        <v>สแกนต่าง Cost</v>
      </c>
    </row>
    <row r="1496" spans="1:26" x14ac:dyDescent="0.45">
      <c r="B1496" t="s">
        <v>26</v>
      </c>
      <c r="C1496">
        <v>20292379</v>
      </c>
      <c r="D1496" t="s">
        <v>341</v>
      </c>
      <c r="E1496" s="10">
        <v>46128.352777777778</v>
      </c>
      <c r="F1496" s="10">
        <v>46128.729166666664</v>
      </c>
      <c r="G1496">
        <v>9.0333333333333332</v>
      </c>
      <c r="H1496" s="9">
        <f t="shared" si="69"/>
        <v>4.8000000000000001E-2</v>
      </c>
      <c r="I1496">
        <v>4.4999999999999998E-2</v>
      </c>
      <c r="K1496">
        <v>3.0000000000000001E-3</v>
      </c>
      <c r="M1496" t="s">
        <v>28</v>
      </c>
      <c r="N1496" t="s">
        <v>29</v>
      </c>
      <c r="P1496" t="s">
        <v>30</v>
      </c>
      <c r="Q1496" t="s">
        <v>31</v>
      </c>
      <c r="R1496">
        <v>82301</v>
      </c>
      <c r="S1496" t="s">
        <v>79</v>
      </c>
      <c r="T1496">
        <v>82658</v>
      </c>
      <c r="U1496" t="s">
        <v>33</v>
      </c>
      <c r="V1496" t="s">
        <v>33</v>
      </c>
      <c r="W1496" t="s">
        <v>34</v>
      </c>
      <c r="X1496" t="s">
        <v>34</v>
      </c>
      <c r="Y1496" s="9">
        <f t="shared" si="70"/>
        <v>3.0000000000000001E-3</v>
      </c>
      <c r="Z1496" t="str">
        <f t="shared" si="71"/>
        <v>สแกนต่าง Cost</v>
      </c>
    </row>
    <row r="1497" spans="1:26" x14ac:dyDescent="0.45">
      <c r="B1497" t="s">
        <v>26</v>
      </c>
      <c r="C1497">
        <v>20198811</v>
      </c>
      <c r="D1497" t="s">
        <v>144</v>
      </c>
      <c r="E1497" s="10">
        <v>46128.34652777778</v>
      </c>
      <c r="F1497" s="10">
        <v>46128.729166666664</v>
      </c>
      <c r="G1497">
        <v>8.1833333333333336</v>
      </c>
      <c r="H1497" s="9">
        <f t="shared" si="69"/>
        <v>4.3999999999999997E-2</v>
      </c>
      <c r="I1497">
        <v>4.3999999999999997E-2</v>
      </c>
      <c r="M1497" t="s">
        <v>65</v>
      </c>
      <c r="N1497" t="s">
        <v>29</v>
      </c>
      <c r="P1497" t="s">
        <v>30</v>
      </c>
      <c r="Q1497" t="s">
        <v>31</v>
      </c>
      <c r="R1497">
        <v>82652</v>
      </c>
      <c r="S1497" t="s">
        <v>46</v>
      </c>
      <c r="T1497">
        <v>82658</v>
      </c>
      <c r="U1497" t="s">
        <v>33</v>
      </c>
      <c r="V1497" t="s">
        <v>33</v>
      </c>
      <c r="W1497" t="s">
        <v>37</v>
      </c>
      <c r="X1497" t="s">
        <v>38</v>
      </c>
      <c r="Y1497" s="9">
        <f t="shared" si="70"/>
        <v>0</v>
      </c>
      <c r="Z1497" t="str">
        <f t="shared" si="71"/>
        <v>สแกนต่าง Cost</v>
      </c>
    </row>
    <row r="1498" spans="1:26" x14ac:dyDescent="0.45">
      <c r="B1498" t="s">
        <v>26</v>
      </c>
      <c r="C1498">
        <v>20198813</v>
      </c>
      <c r="D1498" t="s">
        <v>45</v>
      </c>
      <c r="E1498" s="10">
        <v>46128.344444444447</v>
      </c>
      <c r="F1498" s="10">
        <v>46128.350694444445</v>
      </c>
      <c r="G1498">
        <v>0.15</v>
      </c>
      <c r="H1498" s="9">
        <f t="shared" si="69"/>
        <v>1E-3</v>
      </c>
      <c r="I1498">
        <v>1E-3</v>
      </c>
      <c r="M1498" t="s">
        <v>65</v>
      </c>
      <c r="N1498" t="s">
        <v>29</v>
      </c>
      <c r="P1498" t="s">
        <v>30</v>
      </c>
      <c r="Q1498" t="s">
        <v>31</v>
      </c>
      <c r="R1498">
        <v>82652</v>
      </c>
      <c r="S1498" t="s">
        <v>46</v>
      </c>
      <c r="T1498">
        <v>82655</v>
      </c>
      <c r="U1498" t="s">
        <v>59</v>
      </c>
      <c r="V1498" t="s">
        <v>59</v>
      </c>
      <c r="W1498" t="s">
        <v>37</v>
      </c>
      <c r="X1498" t="s">
        <v>38</v>
      </c>
      <c r="Y1498" s="9">
        <f t="shared" si="70"/>
        <v>0</v>
      </c>
      <c r="Z1498" t="str">
        <f t="shared" si="71"/>
        <v>สแกนต่าง Cost</v>
      </c>
    </row>
    <row r="1499" spans="1:26" x14ac:dyDescent="0.45">
      <c r="A1499">
        <v>26370</v>
      </c>
      <c r="B1499" t="s">
        <v>53</v>
      </c>
      <c r="C1499">
        <v>20004913</v>
      </c>
      <c r="D1499" t="s">
        <v>87</v>
      </c>
      <c r="E1499" s="10">
        <v>46128.333333333336</v>
      </c>
      <c r="F1499" s="10">
        <v>46128.729166666664</v>
      </c>
      <c r="G1499">
        <v>8.5</v>
      </c>
      <c r="H1499" s="9">
        <f t="shared" si="69"/>
        <v>4.4999999999999998E-2</v>
      </c>
      <c r="I1499">
        <v>4.4999999999999998E-2</v>
      </c>
      <c r="M1499" t="s">
        <v>65</v>
      </c>
      <c r="N1499" t="s">
        <v>29</v>
      </c>
      <c r="P1499" t="s">
        <v>30</v>
      </c>
      <c r="Q1499" t="s">
        <v>31</v>
      </c>
      <c r="R1499">
        <v>82301</v>
      </c>
      <c r="S1499" t="s">
        <v>79</v>
      </c>
      <c r="T1499">
        <v>82308</v>
      </c>
      <c r="U1499" t="s">
        <v>69</v>
      </c>
      <c r="V1499" t="s">
        <v>69</v>
      </c>
      <c r="W1499" t="s">
        <v>69</v>
      </c>
      <c r="X1499" t="s">
        <v>88</v>
      </c>
      <c r="Y1499" s="9">
        <f t="shared" si="70"/>
        <v>0</v>
      </c>
      <c r="Z1499" t="str">
        <f t="shared" si="71"/>
        <v>สแกนต่าง Cost</v>
      </c>
    </row>
    <row r="1500" spans="1:26" x14ac:dyDescent="0.45">
      <c r="A1500">
        <v>26596</v>
      </c>
      <c r="B1500" t="s">
        <v>53</v>
      </c>
      <c r="C1500">
        <v>20014916</v>
      </c>
      <c r="D1500" t="s">
        <v>167</v>
      </c>
      <c r="E1500" s="10">
        <v>46128.333333333336</v>
      </c>
      <c r="F1500" s="10">
        <v>46128.729166666664</v>
      </c>
      <c r="G1500">
        <v>8.5</v>
      </c>
      <c r="H1500" s="9">
        <f t="shared" si="69"/>
        <v>4.4999999999999998E-2</v>
      </c>
      <c r="I1500">
        <v>4.4999999999999998E-2</v>
      </c>
      <c r="M1500" t="s">
        <v>65</v>
      </c>
      <c r="N1500" t="s">
        <v>29</v>
      </c>
      <c r="P1500" t="s">
        <v>133</v>
      </c>
      <c r="Q1500" t="s">
        <v>31</v>
      </c>
      <c r="R1500">
        <v>82607</v>
      </c>
      <c r="S1500" t="s">
        <v>168</v>
      </c>
      <c r="T1500">
        <v>82640</v>
      </c>
      <c r="U1500" t="s">
        <v>42</v>
      </c>
      <c r="V1500" t="s">
        <v>155</v>
      </c>
      <c r="W1500" t="s">
        <v>47</v>
      </c>
      <c r="X1500" t="s">
        <v>95</v>
      </c>
      <c r="Y1500" s="9">
        <f t="shared" si="70"/>
        <v>0</v>
      </c>
      <c r="Z1500" t="str">
        <f t="shared" si="71"/>
        <v>สแกนต่าง Cost</v>
      </c>
    </row>
    <row r="1501" spans="1:26" x14ac:dyDescent="0.45">
      <c r="B1501" t="s">
        <v>53</v>
      </c>
      <c r="C1501">
        <v>20018899</v>
      </c>
      <c r="D1501" t="s">
        <v>64</v>
      </c>
      <c r="E1501" s="10">
        <v>46128.333333333336</v>
      </c>
      <c r="F1501" s="10">
        <v>46128.5</v>
      </c>
      <c r="G1501">
        <v>4</v>
      </c>
      <c r="H1501" s="9">
        <f t="shared" si="69"/>
        <v>2.1000000000000001E-2</v>
      </c>
      <c r="I1501">
        <v>2.1000000000000001E-2</v>
      </c>
      <c r="M1501" t="s">
        <v>65</v>
      </c>
      <c r="N1501" t="s">
        <v>29</v>
      </c>
      <c r="P1501" t="s">
        <v>30</v>
      </c>
      <c r="Q1501" t="s">
        <v>31</v>
      </c>
      <c r="R1501">
        <v>82640</v>
      </c>
      <c r="S1501" t="s">
        <v>42</v>
      </c>
      <c r="T1501">
        <v>82652</v>
      </c>
      <c r="U1501" t="s">
        <v>46</v>
      </c>
      <c r="V1501" t="s">
        <v>66</v>
      </c>
      <c r="W1501" t="s">
        <v>37</v>
      </c>
      <c r="X1501" t="s">
        <v>34</v>
      </c>
      <c r="Y1501" s="9">
        <f t="shared" si="70"/>
        <v>0</v>
      </c>
      <c r="Z1501" t="str">
        <f t="shared" si="71"/>
        <v>สแกนต่าง Cost</v>
      </c>
    </row>
    <row r="1502" spans="1:26" x14ac:dyDescent="0.45">
      <c r="B1502" t="s">
        <v>53</v>
      </c>
      <c r="C1502">
        <v>20023163</v>
      </c>
      <c r="D1502" t="s">
        <v>169</v>
      </c>
      <c r="E1502" s="10">
        <v>46128.333333333336</v>
      </c>
      <c r="F1502" s="10">
        <v>46128.729166666664</v>
      </c>
      <c r="G1502">
        <v>8.5</v>
      </c>
      <c r="H1502" s="9">
        <f t="shared" si="69"/>
        <v>4.4999999999999998E-2</v>
      </c>
      <c r="I1502">
        <v>4.4999999999999998E-2</v>
      </c>
      <c r="M1502" t="s">
        <v>65</v>
      </c>
      <c r="N1502" t="s">
        <v>29</v>
      </c>
      <c r="P1502" t="s">
        <v>30</v>
      </c>
      <c r="Q1502" t="s">
        <v>31</v>
      </c>
      <c r="R1502">
        <v>82630</v>
      </c>
      <c r="S1502" t="s">
        <v>32</v>
      </c>
      <c r="T1502">
        <v>82640</v>
      </c>
      <c r="U1502" t="s">
        <v>42</v>
      </c>
      <c r="V1502" t="s">
        <v>70</v>
      </c>
      <c r="W1502" t="s">
        <v>170</v>
      </c>
      <c r="X1502" t="s">
        <v>171</v>
      </c>
      <c r="Y1502" s="9">
        <f t="shared" si="70"/>
        <v>0</v>
      </c>
      <c r="Z1502" t="str">
        <f t="shared" si="71"/>
        <v>สแกนต่าง Cost</v>
      </c>
    </row>
    <row r="1503" spans="1:26" x14ac:dyDescent="0.45">
      <c r="B1503" t="s">
        <v>26</v>
      </c>
      <c r="C1503">
        <v>20025986</v>
      </c>
      <c r="D1503" t="s">
        <v>200</v>
      </c>
      <c r="E1503" s="10">
        <v>46128.333333333336</v>
      </c>
      <c r="F1503" s="10">
        <v>46128.729166666664</v>
      </c>
      <c r="G1503">
        <v>8.5</v>
      </c>
      <c r="H1503" s="9">
        <f t="shared" si="69"/>
        <v>4.4999999999999998E-2</v>
      </c>
      <c r="I1503">
        <v>4.4999999999999998E-2</v>
      </c>
      <c r="M1503" t="s">
        <v>65</v>
      </c>
      <c r="N1503" t="s">
        <v>29</v>
      </c>
      <c r="P1503" t="s">
        <v>30</v>
      </c>
      <c r="Q1503" t="s">
        <v>31</v>
      </c>
      <c r="R1503">
        <v>82910</v>
      </c>
      <c r="S1503" t="s">
        <v>201</v>
      </c>
      <c r="T1503">
        <v>82605</v>
      </c>
      <c r="U1503" t="s">
        <v>202</v>
      </c>
      <c r="V1503" t="s">
        <v>202</v>
      </c>
      <c r="W1503" t="s">
        <v>37</v>
      </c>
      <c r="X1503" t="s">
        <v>47</v>
      </c>
      <c r="Y1503" s="9">
        <f t="shared" si="70"/>
        <v>0</v>
      </c>
      <c r="Z1503" t="str">
        <f t="shared" si="71"/>
        <v>สแกนต่าง Cost</v>
      </c>
    </row>
    <row r="1504" spans="1:26" x14ac:dyDescent="0.45">
      <c r="B1504" t="s">
        <v>26</v>
      </c>
      <c r="C1504">
        <v>20028097</v>
      </c>
      <c r="D1504" t="s">
        <v>139</v>
      </c>
      <c r="E1504" s="10">
        <v>46128.333333333336</v>
      </c>
      <c r="F1504" s="10">
        <v>46128.729166666664</v>
      </c>
      <c r="G1504">
        <v>8.5</v>
      </c>
      <c r="H1504" s="9">
        <f t="shared" si="69"/>
        <v>4.4999999999999998E-2</v>
      </c>
      <c r="I1504">
        <v>4.4999999999999998E-2</v>
      </c>
      <c r="M1504" t="s">
        <v>65</v>
      </c>
      <c r="N1504" t="s">
        <v>29</v>
      </c>
      <c r="P1504" t="s">
        <v>30</v>
      </c>
      <c r="Q1504" t="s">
        <v>31</v>
      </c>
      <c r="R1504">
        <v>82652</v>
      </c>
      <c r="S1504" t="s">
        <v>46</v>
      </c>
      <c r="T1504">
        <v>82658</v>
      </c>
      <c r="U1504" t="s">
        <v>33</v>
      </c>
      <c r="V1504" t="s">
        <v>33</v>
      </c>
      <c r="W1504" t="s">
        <v>37</v>
      </c>
      <c r="X1504" t="s">
        <v>38</v>
      </c>
      <c r="Y1504" s="9">
        <f t="shared" si="70"/>
        <v>0</v>
      </c>
      <c r="Z1504" t="str">
        <f t="shared" si="71"/>
        <v>สแกนต่าง Cost</v>
      </c>
    </row>
    <row r="1505" spans="1:26" x14ac:dyDescent="0.45">
      <c r="B1505" t="s">
        <v>26</v>
      </c>
      <c r="C1505">
        <v>20031153</v>
      </c>
      <c r="D1505" t="s">
        <v>142</v>
      </c>
      <c r="E1505" s="10">
        <v>46128.333333333336</v>
      </c>
      <c r="F1505" s="10">
        <v>46128.729166666664</v>
      </c>
      <c r="G1505">
        <v>8.5</v>
      </c>
      <c r="H1505" s="9">
        <f t="shared" si="69"/>
        <v>4.4999999999999998E-2</v>
      </c>
      <c r="I1505">
        <v>4.4999999999999998E-2</v>
      </c>
      <c r="M1505" t="s">
        <v>65</v>
      </c>
      <c r="N1505" t="s">
        <v>29</v>
      </c>
      <c r="P1505" t="s">
        <v>30</v>
      </c>
      <c r="Q1505" t="s">
        <v>31</v>
      </c>
      <c r="R1505">
        <v>82652</v>
      </c>
      <c r="S1505" t="s">
        <v>46</v>
      </c>
      <c r="T1505">
        <v>82658</v>
      </c>
      <c r="U1505" t="s">
        <v>33</v>
      </c>
      <c r="V1505" t="s">
        <v>33</v>
      </c>
      <c r="W1505" t="s">
        <v>37</v>
      </c>
      <c r="X1505" t="s">
        <v>38</v>
      </c>
      <c r="Y1505" s="9">
        <f t="shared" si="70"/>
        <v>0</v>
      </c>
      <c r="Z1505" t="str">
        <f t="shared" si="71"/>
        <v>สแกนต่าง Cost</v>
      </c>
    </row>
    <row r="1506" spans="1:26" x14ac:dyDescent="0.45">
      <c r="B1506" t="s">
        <v>53</v>
      </c>
      <c r="C1506">
        <v>20034535</v>
      </c>
      <c r="D1506" t="s">
        <v>99</v>
      </c>
      <c r="E1506" s="10">
        <v>46128.333333333336</v>
      </c>
      <c r="F1506" s="10">
        <v>46128.729166666664</v>
      </c>
      <c r="G1506">
        <v>8.5</v>
      </c>
      <c r="H1506" s="9">
        <f t="shared" si="69"/>
        <v>4.4999999999999998E-2</v>
      </c>
      <c r="I1506">
        <v>4.4999999999999998E-2</v>
      </c>
      <c r="M1506" t="s">
        <v>65</v>
      </c>
      <c r="N1506" t="s">
        <v>29</v>
      </c>
      <c r="P1506" t="s">
        <v>30</v>
      </c>
      <c r="Q1506" t="s">
        <v>31</v>
      </c>
      <c r="R1506">
        <v>82630</v>
      </c>
      <c r="S1506" t="s">
        <v>32</v>
      </c>
      <c r="T1506">
        <v>82611</v>
      </c>
      <c r="U1506" t="s">
        <v>43</v>
      </c>
      <c r="V1506" t="s">
        <v>43</v>
      </c>
      <c r="W1506" t="s">
        <v>170</v>
      </c>
      <c r="X1506" t="s">
        <v>171</v>
      </c>
      <c r="Y1506" s="9">
        <f t="shared" si="70"/>
        <v>0</v>
      </c>
      <c r="Z1506" t="str">
        <f t="shared" si="71"/>
        <v>สแกนต่าง Cost</v>
      </c>
    </row>
    <row r="1507" spans="1:26" x14ac:dyDescent="0.45">
      <c r="B1507" t="s">
        <v>53</v>
      </c>
      <c r="C1507">
        <v>20037938</v>
      </c>
      <c r="D1507" t="s">
        <v>172</v>
      </c>
      <c r="E1507" s="10">
        <v>46128.333333333336</v>
      </c>
      <c r="F1507" s="10">
        <v>46128.729166666664</v>
      </c>
      <c r="G1507">
        <v>8.5</v>
      </c>
      <c r="H1507" s="9">
        <f t="shared" si="69"/>
        <v>4.4999999999999998E-2</v>
      </c>
      <c r="I1507">
        <v>4.4999999999999998E-2</v>
      </c>
      <c r="M1507" t="s">
        <v>65</v>
      </c>
      <c r="N1507" t="s">
        <v>29</v>
      </c>
      <c r="P1507" t="s">
        <v>30</v>
      </c>
      <c r="Q1507" t="s">
        <v>31</v>
      </c>
      <c r="R1507">
        <v>82630</v>
      </c>
      <c r="S1507" t="s">
        <v>32</v>
      </c>
      <c r="T1507">
        <v>82611</v>
      </c>
      <c r="U1507" t="s">
        <v>43</v>
      </c>
      <c r="V1507" t="s">
        <v>43</v>
      </c>
      <c r="W1507" t="s">
        <v>170</v>
      </c>
      <c r="X1507" t="s">
        <v>171</v>
      </c>
      <c r="Y1507" s="9">
        <f t="shared" si="70"/>
        <v>0</v>
      </c>
      <c r="Z1507" t="str">
        <f t="shared" si="71"/>
        <v>สแกนต่าง Cost</v>
      </c>
    </row>
    <row r="1508" spans="1:26" x14ac:dyDescent="0.45">
      <c r="B1508" t="s">
        <v>53</v>
      </c>
      <c r="C1508">
        <v>20041131</v>
      </c>
      <c r="D1508" t="s">
        <v>173</v>
      </c>
      <c r="E1508" s="10">
        <v>46128.333333333336</v>
      </c>
      <c r="F1508" s="10">
        <v>46128.729166666664</v>
      </c>
      <c r="G1508">
        <v>8.5</v>
      </c>
      <c r="H1508" s="9">
        <f t="shared" si="69"/>
        <v>4.4999999999999998E-2</v>
      </c>
      <c r="J1508">
        <v>4.4999999999999998E-2</v>
      </c>
      <c r="M1508" t="s">
        <v>77</v>
      </c>
      <c r="N1508" t="s">
        <v>40</v>
      </c>
      <c r="O1508" t="s">
        <v>78</v>
      </c>
      <c r="P1508" t="s">
        <v>30</v>
      </c>
      <c r="Q1508" t="s">
        <v>31</v>
      </c>
      <c r="R1508">
        <v>82630</v>
      </c>
      <c r="S1508" t="s">
        <v>32</v>
      </c>
      <c r="T1508">
        <v>82611</v>
      </c>
      <c r="U1508" t="s">
        <v>43</v>
      </c>
      <c r="V1508" t="s">
        <v>43</v>
      </c>
      <c r="W1508" t="s">
        <v>170</v>
      </c>
      <c r="X1508" t="s">
        <v>171</v>
      </c>
      <c r="Y1508" s="9">
        <f t="shared" si="70"/>
        <v>4.4999999999999998E-2</v>
      </c>
      <c r="Z1508" t="str">
        <f t="shared" si="71"/>
        <v>สแกนต่าง Cost</v>
      </c>
    </row>
    <row r="1509" spans="1:26" x14ac:dyDescent="0.45">
      <c r="B1509" t="s">
        <v>53</v>
      </c>
      <c r="C1509">
        <v>20047023</v>
      </c>
      <c r="D1509" t="s">
        <v>271</v>
      </c>
      <c r="E1509" s="10">
        <v>46128.333333333336</v>
      </c>
      <c r="F1509" s="10">
        <v>46128.729166666664</v>
      </c>
      <c r="G1509">
        <v>8.5</v>
      </c>
      <c r="H1509" s="9">
        <f t="shared" si="69"/>
        <v>4.4999999999999998E-2</v>
      </c>
      <c r="I1509">
        <v>4.4999999999999998E-2</v>
      </c>
      <c r="M1509" t="s">
        <v>65</v>
      </c>
      <c r="N1509" t="s">
        <v>29</v>
      </c>
      <c r="P1509" t="s">
        <v>30</v>
      </c>
      <c r="Q1509" t="s">
        <v>31</v>
      </c>
      <c r="R1509">
        <v>82607</v>
      </c>
      <c r="S1509" t="s">
        <v>168</v>
      </c>
      <c r="T1509">
        <v>82630</v>
      </c>
      <c r="U1509" t="s">
        <v>32</v>
      </c>
      <c r="V1509" t="s">
        <v>155</v>
      </c>
      <c r="W1509" t="s">
        <v>148</v>
      </c>
      <c r="X1509" t="s">
        <v>95</v>
      </c>
      <c r="Y1509" s="9">
        <f t="shared" si="70"/>
        <v>0</v>
      </c>
      <c r="Z1509" t="str">
        <f t="shared" si="71"/>
        <v>สแกนต่าง Cost</v>
      </c>
    </row>
    <row r="1510" spans="1:26" x14ac:dyDescent="0.45">
      <c r="B1510" t="s">
        <v>26</v>
      </c>
      <c r="C1510">
        <v>20066762</v>
      </c>
      <c r="D1510" t="s">
        <v>203</v>
      </c>
      <c r="E1510" s="10">
        <v>46128.333333333336</v>
      </c>
      <c r="F1510" s="10">
        <v>46128.729166666664</v>
      </c>
      <c r="G1510">
        <v>8.5</v>
      </c>
      <c r="H1510" s="9">
        <f t="shared" si="69"/>
        <v>4.4999999999999998E-2</v>
      </c>
      <c r="I1510">
        <v>4.4999999999999998E-2</v>
      </c>
      <c r="M1510" t="s">
        <v>77</v>
      </c>
      <c r="N1510" t="s">
        <v>29</v>
      </c>
      <c r="P1510" t="s">
        <v>30</v>
      </c>
      <c r="Q1510" t="s">
        <v>31</v>
      </c>
      <c r="R1510">
        <v>82910</v>
      </c>
      <c r="S1510" t="s">
        <v>201</v>
      </c>
      <c r="T1510">
        <v>82605</v>
      </c>
      <c r="U1510" t="s">
        <v>202</v>
      </c>
      <c r="V1510" t="s">
        <v>202</v>
      </c>
      <c r="W1510" t="s">
        <v>37</v>
      </c>
      <c r="X1510" t="s">
        <v>47</v>
      </c>
      <c r="Y1510" s="9">
        <f t="shared" si="70"/>
        <v>0</v>
      </c>
      <c r="Z1510" t="str">
        <f t="shared" si="71"/>
        <v>สแกนต่าง Cost</v>
      </c>
    </row>
    <row r="1511" spans="1:26" x14ac:dyDescent="0.45">
      <c r="B1511" t="s">
        <v>53</v>
      </c>
      <c r="C1511">
        <v>20074473</v>
      </c>
      <c r="D1511" t="s">
        <v>276</v>
      </c>
      <c r="E1511" s="10">
        <v>46128.333333333336</v>
      </c>
      <c r="F1511" s="10">
        <v>46128.729166666664</v>
      </c>
      <c r="G1511">
        <v>8.5</v>
      </c>
      <c r="H1511" s="9">
        <f t="shared" si="69"/>
        <v>4.4999999999999998E-2</v>
      </c>
      <c r="I1511">
        <v>4.4999999999999998E-2</v>
      </c>
      <c r="M1511" t="s">
        <v>65</v>
      </c>
      <c r="N1511" t="s">
        <v>29</v>
      </c>
      <c r="P1511" t="s">
        <v>30</v>
      </c>
      <c r="Q1511" t="s">
        <v>31</v>
      </c>
      <c r="R1511">
        <v>82630</v>
      </c>
      <c r="S1511" t="s">
        <v>32</v>
      </c>
      <c r="T1511">
        <v>82640</v>
      </c>
      <c r="U1511" t="s">
        <v>42</v>
      </c>
      <c r="V1511" t="s">
        <v>70</v>
      </c>
      <c r="W1511" t="s">
        <v>170</v>
      </c>
      <c r="X1511" t="s">
        <v>171</v>
      </c>
      <c r="Y1511" s="9">
        <f t="shared" si="70"/>
        <v>0</v>
      </c>
      <c r="Z1511" t="str">
        <f t="shared" si="71"/>
        <v>สแกนต่าง Cost</v>
      </c>
    </row>
    <row r="1512" spans="1:26" x14ac:dyDescent="0.45">
      <c r="A1512">
        <v>26708</v>
      </c>
      <c r="B1512" t="s">
        <v>53</v>
      </c>
      <c r="C1512">
        <v>20076436</v>
      </c>
      <c r="D1512" t="s">
        <v>131</v>
      </c>
      <c r="E1512" s="10">
        <v>46128.333333333336</v>
      </c>
      <c r="F1512" s="10">
        <v>46128.729166666664</v>
      </c>
      <c r="G1512">
        <v>8.5</v>
      </c>
      <c r="H1512" s="9">
        <f t="shared" si="69"/>
        <v>4.4999999999999998E-2</v>
      </c>
      <c r="I1512">
        <v>4.4999999999999998E-2</v>
      </c>
      <c r="M1512" t="s">
        <v>65</v>
      </c>
      <c r="N1512" t="s">
        <v>29</v>
      </c>
      <c r="P1512" t="s">
        <v>30</v>
      </c>
      <c r="Q1512" t="s">
        <v>31</v>
      </c>
      <c r="R1512">
        <v>82301</v>
      </c>
      <c r="S1512" t="s">
        <v>79</v>
      </c>
      <c r="T1512">
        <v>82308</v>
      </c>
      <c r="U1512" t="s">
        <v>69</v>
      </c>
      <c r="V1512" t="s">
        <v>69</v>
      </c>
      <c r="W1512" t="s">
        <v>69</v>
      </c>
      <c r="X1512" t="s">
        <v>95</v>
      </c>
      <c r="Y1512" s="9">
        <f t="shared" si="70"/>
        <v>0</v>
      </c>
      <c r="Z1512" t="str">
        <f t="shared" si="71"/>
        <v>สแกนต่าง Cost</v>
      </c>
    </row>
    <row r="1513" spans="1:26" x14ac:dyDescent="0.45">
      <c r="B1513" t="s">
        <v>53</v>
      </c>
      <c r="C1513">
        <v>20167851</v>
      </c>
      <c r="D1513" t="s">
        <v>63</v>
      </c>
      <c r="E1513" s="10">
        <v>46128.333333333336</v>
      </c>
      <c r="F1513" s="10">
        <v>46128.458333333336</v>
      </c>
      <c r="G1513">
        <v>3</v>
      </c>
      <c r="H1513" s="9">
        <f t="shared" si="69"/>
        <v>1.6E-2</v>
      </c>
      <c r="I1513">
        <v>1.6E-2</v>
      </c>
      <c r="M1513" t="s">
        <v>65</v>
      </c>
      <c r="N1513" t="s">
        <v>29</v>
      </c>
      <c r="P1513" t="s">
        <v>30</v>
      </c>
      <c r="Q1513" t="s">
        <v>31</v>
      </c>
      <c r="R1513">
        <v>82640</v>
      </c>
      <c r="S1513" t="s">
        <v>42</v>
      </c>
      <c r="T1513">
        <v>82612</v>
      </c>
      <c r="U1513" t="s">
        <v>153</v>
      </c>
      <c r="V1513" t="s">
        <v>66</v>
      </c>
      <c r="W1513" t="s">
        <v>44</v>
      </c>
      <c r="X1513" t="s">
        <v>44</v>
      </c>
      <c r="Y1513" s="9">
        <f t="shared" si="70"/>
        <v>0</v>
      </c>
      <c r="Z1513" t="str">
        <f t="shared" si="71"/>
        <v>สแกนต่าง Cost</v>
      </c>
    </row>
    <row r="1514" spans="1:26" x14ac:dyDescent="0.45">
      <c r="B1514" t="s">
        <v>53</v>
      </c>
      <c r="C1514">
        <v>20198711</v>
      </c>
      <c r="D1514" t="s">
        <v>178</v>
      </c>
      <c r="E1514" s="10">
        <v>46128.333333333336</v>
      </c>
      <c r="F1514" s="10">
        <v>46128.729166666664</v>
      </c>
      <c r="G1514">
        <v>8.5</v>
      </c>
      <c r="H1514" s="9">
        <f t="shared" si="69"/>
        <v>4.4999999999999998E-2</v>
      </c>
      <c r="I1514">
        <v>4.4999999999999998E-2</v>
      </c>
      <c r="M1514" t="s">
        <v>65</v>
      </c>
      <c r="N1514" t="s">
        <v>29</v>
      </c>
      <c r="P1514" t="s">
        <v>30</v>
      </c>
      <c r="Q1514" t="s">
        <v>31</v>
      </c>
      <c r="R1514">
        <v>82630</v>
      </c>
      <c r="S1514" t="s">
        <v>32</v>
      </c>
      <c r="T1514">
        <v>82611</v>
      </c>
      <c r="U1514" t="s">
        <v>43</v>
      </c>
      <c r="V1514" t="s">
        <v>43</v>
      </c>
      <c r="W1514" t="s">
        <v>170</v>
      </c>
      <c r="X1514" t="s">
        <v>171</v>
      </c>
      <c r="Y1514" s="9">
        <f t="shared" si="70"/>
        <v>0</v>
      </c>
      <c r="Z1514" t="str">
        <f t="shared" si="71"/>
        <v>สแกนต่าง Cost</v>
      </c>
    </row>
    <row r="1515" spans="1:26" x14ac:dyDescent="0.45">
      <c r="B1515" t="s">
        <v>53</v>
      </c>
      <c r="C1515">
        <v>20198715</v>
      </c>
      <c r="D1515" t="s">
        <v>179</v>
      </c>
      <c r="E1515" s="10">
        <v>46128.333333333336</v>
      </c>
      <c r="F1515" s="10">
        <v>46128.729166666664</v>
      </c>
      <c r="G1515">
        <v>8.5</v>
      </c>
      <c r="H1515" s="9">
        <f t="shared" si="69"/>
        <v>4.4999999999999998E-2</v>
      </c>
      <c r="I1515">
        <v>4.4999999999999998E-2</v>
      </c>
      <c r="M1515" t="s">
        <v>65</v>
      </c>
      <c r="N1515" t="s">
        <v>29</v>
      </c>
      <c r="P1515" t="s">
        <v>30</v>
      </c>
      <c r="Q1515" t="s">
        <v>31</v>
      </c>
      <c r="R1515">
        <v>82630</v>
      </c>
      <c r="S1515" t="s">
        <v>32</v>
      </c>
      <c r="T1515">
        <v>82611</v>
      </c>
      <c r="U1515" t="s">
        <v>43</v>
      </c>
      <c r="V1515" t="s">
        <v>43</v>
      </c>
      <c r="W1515" t="s">
        <v>170</v>
      </c>
      <c r="X1515" t="s">
        <v>171</v>
      </c>
      <c r="Y1515" s="9">
        <f t="shared" si="70"/>
        <v>0</v>
      </c>
      <c r="Z1515" t="str">
        <f t="shared" si="71"/>
        <v>สแกนต่าง Cost</v>
      </c>
    </row>
    <row r="1516" spans="1:26" x14ac:dyDescent="0.45">
      <c r="B1516" t="s">
        <v>53</v>
      </c>
      <c r="C1516">
        <v>20198747</v>
      </c>
      <c r="D1516" t="s">
        <v>180</v>
      </c>
      <c r="E1516" s="10">
        <v>46128.333333333336</v>
      </c>
      <c r="F1516" s="10">
        <v>46128.729166666664</v>
      </c>
      <c r="G1516">
        <v>8.5</v>
      </c>
      <c r="H1516" s="9">
        <f t="shared" si="69"/>
        <v>4.4999999999999998E-2</v>
      </c>
      <c r="I1516">
        <v>4.4999999999999998E-2</v>
      </c>
      <c r="M1516" t="s">
        <v>65</v>
      </c>
      <c r="N1516" t="s">
        <v>29</v>
      </c>
      <c r="P1516" t="s">
        <v>30</v>
      </c>
      <c r="Q1516" t="s">
        <v>31</v>
      </c>
      <c r="R1516">
        <v>82630</v>
      </c>
      <c r="S1516" t="s">
        <v>32</v>
      </c>
      <c r="T1516">
        <v>82640</v>
      </c>
      <c r="U1516" t="s">
        <v>42</v>
      </c>
      <c r="V1516" t="s">
        <v>70</v>
      </c>
      <c r="W1516" t="s">
        <v>170</v>
      </c>
      <c r="X1516" t="s">
        <v>171</v>
      </c>
      <c r="Y1516" s="9">
        <f t="shared" si="70"/>
        <v>0</v>
      </c>
      <c r="Z1516" t="str">
        <f t="shared" si="71"/>
        <v>สแกนต่าง Cost</v>
      </c>
    </row>
    <row r="1517" spans="1:26" x14ac:dyDescent="0.45">
      <c r="B1517" t="s">
        <v>53</v>
      </c>
      <c r="C1517">
        <v>20220646</v>
      </c>
      <c r="D1517" t="s">
        <v>67</v>
      </c>
      <c r="E1517" s="10">
        <v>46128.333333333336</v>
      </c>
      <c r="F1517" s="10">
        <v>46128.5</v>
      </c>
      <c r="G1517">
        <v>4</v>
      </c>
      <c r="H1517" s="9">
        <f t="shared" si="69"/>
        <v>2.1000000000000001E-2</v>
      </c>
      <c r="I1517">
        <v>2.1000000000000001E-2</v>
      </c>
      <c r="M1517" t="s">
        <v>65</v>
      </c>
      <c r="N1517" t="s">
        <v>29</v>
      </c>
      <c r="P1517" t="s">
        <v>30</v>
      </c>
      <c r="Q1517" t="s">
        <v>31</v>
      </c>
      <c r="R1517">
        <v>82640</v>
      </c>
      <c r="S1517" t="s">
        <v>42</v>
      </c>
      <c r="T1517">
        <v>82652</v>
      </c>
      <c r="U1517" t="s">
        <v>46</v>
      </c>
      <c r="V1517" t="s">
        <v>66</v>
      </c>
      <c r="W1517" t="s">
        <v>37</v>
      </c>
      <c r="X1517" t="s">
        <v>34</v>
      </c>
      <c r="Y1517" s="9">
        <f t="shared" si="70"/>
        <v>0</v>
      </c>
      <c r="Z1517" t="str">
        <f t="shared" si="71"/>
        <v>สแกนต่าง Cost</v>
      </c>
    </row>
    <row r="1518" spans="1:26" x14ac:dyDescent="0.45">
      <c r="B1518" t="s">
        <v>53</v>
      </c>
      <c r="C1518">
        <v>20225092</v>
      </c>
      <c r="D1518" t="s">
        <v>335</v>
      </c>
      <c r="E1518" s="10">
        <v>46128.333333333336</v>
      </c>
      <c r="F1518" s="10">
        <v>46128.729166666664</v>
      </c>
      <c r="G1518">
        <v>8.5</v>
      </c>
      <c r="H1518" s="9">
        <f t="shared" si="69"/>
        <v>4.4999999999999998E-2</v>
      </c>
      <c r="I1518">
        <v>4.4999999999999998E-2</v>
      </c>
      <c r="M1518" t="s">
        <v>65</v>
      </c>
      <c r="N1518" t="s">
        <v>29</v>
      </c>
      <c r="P1518" t="s">
        <v>133</v>
      </c>
      <c r="Q1518" t="s">
        <v>31</v>
      </c>
      <c r="R1518">
        <v>82400</v>
      </c>
      <c r="S1518" t="s">
        <v>83</v>
      </c>
      <c r="T1518">
        <v>82664</v>
      </c>
      <c r="U1518" t="s">
        <v>75</v>
      </c>
      <c r="V1518" t="s">
        <v>336</v>
      </c>
      <c r="W1518" t="s">
        <v>44</v>
      </c>
      <c r="X1518" t="s">
        <v>44</v>
      </c>
      <c r="Y1518" s="9">
        <f t="shared" si="70"/>
        <v>0</v>
      </c>
      <c r="Z1518" t="str">
        <f t="shared" si="71"/>
        <v>สแกนต่าง Cost</v>
      </c>
    </row>
    <row r="1519" spans="1:26" x14ac:dyDescent="0.45">
      <c r="B1519" t="s">
        <v>53</v>
      </c>
      <c r="C1519">
        <v>20244923</v>
      </c>
      <c r="D1519" t="s">
        <v>246</v>
      </c>
      <c r="E1519" s="10">
        <v>46128.333333333336</v>
      </c>
      <c r="F1519" s="10">
        <v>46128.354166666664</v>
      </c>
      <c r="G1519">
        <v>0.5</v>
      </c>
      <c r="H1519" s="9">
        <f t="shared" si="69"/>
        <v>3.0000000000000001E-3</v>
      </c>
      <c r="I1519">
        <v>3.0000000000000001E-3</v>
      </c>
      <c r="M1519" t="s">
        <v>65</v>
      </c>
      <c r="N1519" t="s">
        <v>29</v>
      </c>
      <c r="P1519" t="s">
        <v>30</v>
      </c>
      <c r="Q1519" t="s">
        <v>31</v>
      </c>
      <c r="R1519">
        <v>82640</v>
      </c>
      <c r="S1519" t="s">
        <v>42</v>
      </c>
      <c r="T1519">
        <v>82612</v>
      </c>
      <c r="U1519" t="s">
        <v>153</v>
      </c>
      <c r="V1519" t="s">
        <v>66</v>
      </c>
      <c r="W1519" t="s">
        <v>44</v>
      </c>
      <c r="X1519" t="s">
        <v>44</v>
      </c>
      <c r="Y1519" s="9">
        <f t="shared" si="70"/>
        <v>0</v>
      </c>
      <c r="Z1519" t="str">
        <f t="shared" si="71"/>
        <v>สแกนต่าง Cost</v>
      </c>
    </row>
    <row r="1520" spans="1:26" x14ac:dyDescent="0.45">
      <c r="B1520" t="s">
        <v>26</v>
      </c>
      <c r="C1520">
        <v>20270047</v>
      </c>
      <c r="D1520" t="s">
        <v>337</v>
      </c>
      <c r="E1520" s="10">
        <v>46128.333333333336</v>
      </c>
      <c r="F1520" s="10">
        <v>46128.364583333336</v>
      </c>
      <c r="G1520">
        <v>0.75</v>
      </c>
      <c r="H1520" s="9">
        <f t="shared" si="69"/>
        <v>4.0000000000000001E-3</v>
      </c>
      <c r="I1520">
        <v>4.0000000000000001E-3</v>
      </c>
      <c r="M1520" t="s">
        <v>65</v>
      </c>
      <c r="N1520" t="s">
        <v>29</v>
      </c>
      <c r="P1520" t="s">
        <v>30</v>
      </c>
      <c r="Q1520" t="s">
        <v>31</v>
      </c>
      <c r="R1520">
        <v>82640</v>
      </c>
      <c r="S1520" t="s">
        <v>42</v>
      </c>
      <c r="T1520">
        <v>82658</v>
      </c>
      <c r="U1520" t="s">
        <v>33</v>
      </c>
      <c r="V1520" t="s">
        <v>33</v>
      </c>
      <c r="W1520" t="s">
        <v>37</v>
      </c>
      <c r="X1520" t="s">
        <v>38</v>
      </c>
      <c r="Y1520" s="9">
        <f t="shared" si="70"/>
        <v>0</v>
      </c>
      <c r="Z1520" t="str">
        <f t="shared" si="71"/>
        <v>สแกนต่าง Cost</v>
      </c>
    </row>
    <row r="1521" spans="1:26" x14ac:dyDescent="0.45">
      <c r="B1521" t="s">
        <v>53</v>
      </c>
      <c r="C1521">
        <v>20310532</v>
      </c>
      <c r="D1521" t="s">
        <v>61</v>
      </c>
      <c r="E1521" s="10">
        <v>46128.333333333336</v>
      </c>
      <c r="F1521" s="10">
        <v>46128.354166666664</v>
      </c>
      <c r="G1521">
        <v>0.5</v>
      </c>
      <c r="H1521" s="9">
        <f t="shared" si="69"/>
        <v>3.0000000000000001E-3</v>
      </c>
      <c r="I1521">
        <v>3.0000000000000001E-3</v>
      </c>
      <c r="M1521" t="s">
        <v>65</v>
      </c>
      <c r="N1521" t="s">
        <v>29</v>
      </c>
      <c r="P1521" t="s">
        <v>30</v>
      </c>
      <c r="Q1521" t="s">
        <v>31</v>
      </c>
      <c r="R1521">
        <v>82640</v>
      </c>
      <c r="S1521" t="s">
        <v>42</v>
      </c>
      <c r="T1521">
        <v>82630</v>
      </c>
      <c r="U1521" t="s">
        <v>32</v>
      </c>
      <c r="V1521" t="s">
        <v>66</v>
      </c>
      <c r="W1521" t="s">
        <v>44</v>
      </c>
      <c r="X1521" t="s">
        <v>44</v>
      </c>
      <c r="Y1521" s="9">
        <f t="shared" si="70"/>
        <v>0</v>
      </c>
      <c r="Z1521" t="str">
        <f t="shared" si="71"/>
        <v>สแกนต่าง Cost</v>
      </c>
    </row>
    <row r="1522" spans="1:26" x14ac:dyDescent="0.45">
      <c r="B1522" t="s">
        <v>53</v>
      </c>
      <c r="C1522">
        <v>20319535</v>
      </c>
      <c r="D1522" t="s">
        <v>36</v>
      </c>
      <c r="E1522" s="10">
        <v>46128.333333333336</v>
      </c>
      <c r="F1522" s="10">
        <v>46128.729166666664</v>
      </c>
      <c r="G1522">
        <v>9.5</v>
      </c>
      <c r="H1522" s="9">
        <f t="shared" si="69"/>
        <v>4.9999999999999996E-2</v>
      </c>
      <c r="I1522">
        <v>4.4999999999999998E-2</v>
      </c>
      <c r="K1522">
        <v>5.0000000000000001E-3</v>
      </c>
      <c r="M1522" t="s">
        <v>28</v>
      </c>
      <c r="N1522" t="s">
        <v>29</v>
      </c>
      <c r="P1522" t="s">
        <v>30</v>
      </c>
      <c r="Q1522" t="s">
        <v>31</v>
      </c>
      <c r="R1522">
        <v>82630</v>
      </c>
      <c r="S1522" t="s">
        <v>32</v>
      </c>
      <c r="T1522">
        <v>82611</v>
      </c>
      <c r="U1522" t="s">
        <v>43</v>
      </c>
      <c r="V1522" t="s">
        <v>43</v>
      </c>
      <c r="W1522" t="s">
        <v>170</v>
      </c>
      <c r="X1522" t="s">
        <v>171</v>
      </c>
      <c r="Y1522" s="9">
        <f t="shared" si="70"/>
        <v>5.0000000000000001E-3</v>
      </c>
      <c r="Z1522" t="str">
        <f t="shared" si="71"/>
        <v>สแกนต่าง Cost</v>
      </c>
    </row>
    <row r="1523" spans="1:26" x14ac:dyDescent="0.45">
      <c r="B1523" t="s">
        <v>26</v>
      </c>
      <c r="C1523">
        <v>20330032</v>
      </c>
      <c r="D1523" t="s">
        <v>204</v>
      </c>
      <c r="E1523" s="10">
        <v>46128.333333333336</v>
      </c>
      <c r="F1523" s="10">
        <v>46128.729166666664</v>
      </c>
      <c r="G1523">
        <v>8.5</v>
      </c>
      <c r="H1523" s="9">
        <f t="shared" si="69"/>
        <v>4.4999999999999998E-2</v>
      </c>
      <c r="I1523">
        <v>4.4999999999999998E-2</v>
      </c>
      <c r="M1523" t="s">
        <v>65</v>
      </c>
      <c r="N1523" t="s">
        <v>29</v>
      </c>
      <c r="P1523" t="s">
        <v>30</v>
      </c>
      <c r="Q1523" t="s">
        <v>31</v>
      </c>
      <c r="R1523">
        <v>82910</v>
      </c>
      <c r="S1523" t="s">
        <v>201</v>
      </c>
      <c r="T1523">
        <v>82605</v>
      </c>
      <c r="U1523" t="s">
        <v>202</v>
      </c>
      <c r="V1523" t="s">
        <v>202</v>
      </c>
      <c r="W1523" t="s">
        <v>37</v>
      </c>
      <c r="X1523" t="s">
        <v>47</v>
      </c>
      <c r="Y1523" s="9">
        <f t="shared" si="70"/>
        <v>0</v>
      </c>
      <c r="Z1523" t="str">
        <f t="shared" si="71"/>
        <v>สแกนต่าง Cost</v>
      </c>
    </row>
    <row r="1524" spans="1:26" x14ac:dyDescent="0.45">
      <c r="B1524" t="s">
        <v>53</v>
      </c>
      <c r="C1524">
        <v>20344532</v>
      </c>
      <c r="D1524" t="s">
        <v>186</v>
      </c>
      <c r="E1524" s="10">
        <v>46128.333333333336</v>
      </c>
      <c r="F1524" s="10">
        <v>46128.729166666664</v>
      </c>
      <c r="G1524">
        <v>9.5</v>
      </c>
      <c r="H1524" s="9">
        <f t="shared" si="69"/>
        <v>5.0000000000000001E-3</v>
      </c>
      <c r="L1524">
        <v>5.0000000000000001E-3</v>
      </c>
      <c r="M1524" t="s">
        <v>255</v>
      </c>
      <c r="N1524" t="s">
        <v>29</v>
      </c>
      <c r="P1524" t="s">
        <v>30</v>
      </c>
      <c r="Q1524" t="s">
        <v>31</v>
      </c>
      <c r="R1524">
        <v>82630</v>
      </c>
      <c r="S1524" t="s">
        <v>32</v>
      </c>
      <c r="T1524">
        <v>82611</v>
      </c>
      <c r="U1524" t="s">
        <v>43</v>
      </c>
      <c r="V1524" t="s">
        <v>43</v>
      </c>
      <c r="W1524" t="s">
        <v>170</v>
      </c>
      <c r="X1524" t="s">
        <v>171</v>
      </c>
      <c r="Y1524" s="9">
        <f t="shared" si="70"/>
        <v>5.0000000000000001E-3</v>
      </c>
      <c r="Z1524" t="str">
        <f t="shared" si="71"/>
        <v>สแกนต่าง Cost</v>
      </c>
    </row>
    <row r="1525" spans="1:26" x14ac:dyDescent="0.45">
      <c r="A1525">
        <v>26594</v>
      </c>
      <c r="B1525" t="s">
        <v>53</v>
      </c>
      <c r="C1525">
        <v>20344551</v>
      </c>
      <c r="D1525" t="s">
        <v>110</v>
      </c>
      <c r="E1525" s="10">
        <v>46128.333333333336</v>
      </c>
      <c r="F1525" s="10">
        <v>46128.954861111109</v>
      </c>
      <c r="G1525">
        <v>14.916666666666666</v>
      </c>
      <c r="H1525" s="9">
        <f t="shared" si="69"/>
        <v>7.9000000000000001E-2</v>
      </c>
      <c r="I1525">
        <v>4.4999999999999998E-2</v>
      </c>
      <c r="K1525">
        <v>3.4000000000000002E-2</v>
      </c>
      <c r="M1525" t="s">
        <v>28</v>
      </c>
      <c r="N1525" t="s">
        <v>40</v>
      </c>
      <c r="O1525" t="s">
        <v>265</v>
      </c>
      <c r="P1525" t="s">
        <v>30</v>
      </c>
      <c r="Q1525" t="s">
        <v>31</v>
      </c>
      <c r="R1525">
        <v>82655</v>
      </c>
      <c r="S1525" t="s">
        <v>59</v>
      </c>
      <c r="T1525">
        <v>82664</v>
      </c>
      <c r="U1525" t="s">
        <v>75</v>
      </c>
      <c r="V1525" t="s">
        <v>75</v>
      </c>
      <c r="W1525" t="s">
        <v>205</v>
      </c>
      <c r="X1525" t="s">
        <v>38</v>
      </c>
      <c r="Y1525" s="9">
        <f t="shared" si="70"/>
        <v>3.4000000000000002E-2</v>
      </c>
      <c r="Z1525" t="str">
        <f t="shared" si="71"/>
        <v>สแกนต่าง Cost</v>
      </c>
    </row>
    <row r="1526" spans="1:26" x14ac:dyDescent="0.45">
      <c r="A1526">
        <v>26595</v>
      </c>
      <c r="B1526" t="s">
        <v>53</v>
      </c>
      <c r="C1526">
        <v>20344552</v>
      </c>
      <c r="D1526" t="s">
        <v>112</v>
      </c>
      <c r="E1526" s="10">
        <v>46128.333333333336</v>
      </c>
      <c r="F1526" s="10">
        <v>46128.954861111109</v>
      </c>
      <c r="G1526">
        <v>14.916666666666666</v>
      </c>
      <c r="H1526" s="9">
        <f t="shared" si="69"/>
        <v>7.9000000000000001E-2</v>
      </c>
      <c r="I1526">
        <v>4.4999999999999998E-2</v>
      </c>
      <c r="K1526">
        <v>3.4000000000000002E-2</v>
      </c>
      <c r="M1526" t="s">
        <v>28</v>
      </c>
      <c r="N1526" t="s">
        <v>40</v>
      </c>
      <c r="O1526" t="s">
        <v>265</v>
      </c>
      <c r="P1526" t="s">
        <v>30</v>
      </c>
      <c r="Q1526" t="s">
        <v>31</v>
      </c>
      <c r="R1526">
        <v>82655</v>
      </c>
      <c r="S1526" t="s">
        <v>59</v>
      </c>
      <c r="T1526">
        <v>82664</v>
      </c>
      <c r="U1526" t="s">
        <v>75</v>
      </c>
      <c r="V1526" t="s">
        <v>75</v>
      </c>
      <c r="W1526" t="s">
        <v>205</v>
      </c>
      <c r="X1526" t="s">
        <v>38</v>
      </c>
      <c r="Y1526" s="9">
        <f t="shared" si="70"/>
        <v>3.4000000000000002E-2</v>
      </c>
      <c r="Z1526" t="str">
        <f t="shared" si="71"/>
        <v>สแกนต่าง Cost</v>
      </c>
    </row>
    <row r="1527" spans="1:26" x14ac:dyDescent="0.45">
      <c r="B1527" t="s">
        <v>53</v>
      </c>
      <c r="C1527">
        <v>20352276</v>
      </c>
      <c r="D1527" t="s">
        <v>187</v>
      </c>
      <c r="E1527" s="10">
        <v>46128.333333333336</v>
      </c>
      <c r="F1527" s="10">
        <v>46128.729166666664</v>
      </c>
      <c r="G1527">
        <v>8.5</v>
      </c>
      <c r="H1527" s="9">
        <f t="shared" si="69"/>
        <v>4.4999999999999998E-2</v>
      </c>
      <c r="I1527">
        <v>4.4999999999999998E-2</v>
      </c>
      <c r="M1527" t="s">
        <v>65</v>
      </c>
      <c r="N1527" t="s">
        <v>29</v>
      </c>
      <c r="P1527" t="s">
        <v>30</v>
      </c>
      <c r="Q1527" t="s">
        <v>31</v>
      </c>
      <c r="R1527">
        <v>82630</v>
      </c>
      <c r="S1527" t="s">
        <v>32</v>
      </c>
      <c r="T1527">
        <v>82611</v>
      </c>
      <c r="U1527" t="s">
        <v>43</v>
      </c>
      <c r="V1527" t="s">
        <v>43</v>
      </c>
      <c r="W1527" t="s">
        <v>170</v>
      </c>
      <c r="X1527" t="s">
        <v>171</v>
      </c>
      <c r="Y1527" s="9">
        <f t="shared" si="70"/>
        <v>0</v>
      </c>
      <c r="Z1527" t="str">
        <f t="shared" si="71"/>
        <v>สแกนต่าง Cost</v>
      </c>
    </row>
    <row r="1528" spans="1:26" x14ac:dyDescent="0.45">
      <c r="B1528" t="s">
        <v>53</v>
      </c>
      <c r="C1528">
        <v>20368087</v>
      </c>
      <c r="D1528" t="s">
        <v>260</v>
      </c>
      <c r="E1528" s="10">
        <v>46128.333333333336</v>
      </c>
      <c r="F1528" s="10">
        <v>46128.395833333336</v>
      </c>
      <c r="G1528">
        <v>1.5</v>
      </c>
      <c r="H1528" s="9">
        <f t="shared" si="69"/>
        <v>8.0000000000000002E-3</v>
      </c>
      <c r="I1528">
        <v>8.0000000000000002E-3</v>
      </c>
      <c r="M1528" t="s">
        <v>65</v>
      </c>
      <c r="N1528" t="s">
        <v>29</v>
      </c>
      <c r="P1528" t="s">
        <v>30</v>
      </c>
      <c r="Q1528" t="s">
        <v>31</v>
      </c>
      <c r="R1528">
        <v>82640</v>
      </c>
      <c r="S1528" t="s">
        <v>42</v>
      </c>
      <c r="T1528">
        <v>82630</v>
      </c>
      <c r="U1528" t="s">
        <v>32</v>
      </c>
      <c r="V1528" t="s">
        <v>66</v>
      </c>
      <c r="W1528" t="s">
        <v>44</v>
      </c>
      <c r="X1528" t="s">
        <v>44</v>
      </c>
      <c r="Y1528" s="9">
        <f t="shared" si="70"/>
        <v>0</v>
      </c>
      <c r="Z1528" t="str">
        <f t="shared" si="71"/>
        <v>สแกนต่าง Cost</v>
      </c>
    </row>
    <row r="1529" spans="1:26" x14ac:dyDescent="0.45">
      <c r="B1529" t="s">
        <v>26</v>
      </c>
      <c r="C1529">
        <v>20373210</v>
      </c>
      <c r="D1529" t="s">
        <v>206</v>
      </c>
      <c r="E1529" s="10">
        <v>46128.333333333336</v>
      </c>
      <c r="F1529" s="10">
        <v>46128.729166666664</v>
      </c>
      <c r="G1529">
        <v>8.5</v>
      </c>
      <c r="H1529" s="9">
        <f t="shared" si="69"/>
        <v>4.4999999999999998E-2</v>
      </c>
      <c r="I1529">
        <v>4.4999999999999998E-2</v>
      </c>
      <c r="M1529" t="s">
        <v>65</v>
      </c>
      <c r="N1529" t="s">
        <v>29</v>
      </c>
      <c r="P1529" t="s">
        <v>30</v>
      </c>
      <c r="Q1529" t="s">
        <v>31</v>
      </c>
      <c r="R1529">
        <v>82910</v>
      </c>
      <c r="S1529" t="s">
        <v>201</v>
      </c>
      <c r="T1529">
        <v>82605</v>
      </c>
      <c r="U1529" t="s">
        <v>202</v>
      </c>
      <c r="V1529" t="s">
        <v>202</v>
      </c>
      <c r="W1529" t="s">
        <v>37</v>
      </c>
      <c r="X1529" t="s">
        <v>47</v>
      </c>
      <c r="Y1529" s="9">
        <f t="shared" si="70"/>
        <v>0</v>
      </c>
      <c r="Z1529" t="str">
        <f t="shared" si="71"/>
        <v>สแกนต่าง Cost</v>
      </c>
    </row>
    <row r="1530" spans="1:26" x14ac:dyDescent="0.45">
      <c r="B1530" t="s">
        <v>26</v>
      </c>
      <c r="C1530">
        <v>20386851</v>
      </c>
      <c r="D1530" t="s">
        <v>48</v>
      </c>
      <c r="E1530" s="10">
        <v>46128.333333333336</v>
      </c>
      <c r="F1530" s="10">
        <v>46128.729166666664</v>
      </c>
      <c r="G1530">
        <v>8.5</v>
      </c>
      <c r="H1530" s="9">
        <f t="shared" si="69"/>
        <v>4.4999999999999998E-2</v>
      </c>
      <c r="I1530">
        <v>4.4999999999999998E-2</v>
      </c>
      <c r="M1530" t="s">
        <v>65</v>
      </c>
      <c r="N1530" t="s">
        <v>29</v>
      </c>
      <c r="P1530" t="s">
        <v>30</v>
      </c>
      <c r="Q1530" t="s">
        <v>31</v>
      </c>
      <c r="R1530">
        <v>82652</v>
      </c>
      <c r="S1530" t="s">
        <v>46</v>
      </c>
      <c r="T1530">
        <v>82658</v>
      </c>
      <c r="U1530" t="s">
        <v>33</v>
      </c>
      <c r="V1530" t="s">
        <v>33</v>
      </c>
      <c r="W1530" t="s">
        <v>37</v>
      </c>
      <c r="X1530" t="s">
        <v>38</v>
      </c>
      <c r="Y1530" s="9">
        <f t="shared" si="70"/>
        <v>0</v>
      </c>
      <c r="Z1530" t="str">
        <f t="shared" si="71"/>
        <v>สแกนต่าง Cost</v>
      </c>
    </row>
    <row r="1531" spans="1:26" x14ac:dyDescent="0.45">
      <c r="A1531">
        <v>26593</v>
      </c>
      <c r="B1531" t="s">
        <v>53</v>
      </c>
      <c r="C1531">
        <v>20214280</v>
      </c>
      <c r="D1531" t="s">
        <v>136</v>
      </c>
      <c r="E1531" s="10">
        <v>46128.250694444447</v>
      </c>
      <c r="F1531" s="10">
        <v>46128.729166666664</v>
      </c>
      <c r="G1531">
        <v>11.483333333333333</v>
      </c>
      <c r="H1531" s="9">
        <f t="shared" si="69"/>
        <v>6.0999999999999999E-2</v>
      </c>
      <c r="I1531">
        <v>4.4999999999999998E-2</v>
      </c>
      <c r="K1531">
        <v>1.6E-2</v>
      </c>
      <c r="M1531" t="s">
        <v>28</v>
      </c>
      <c r="N1531" t="s">
        <v>40</v>
      </c>
      <c r="O1531" t="s">
        <v>41</v>
      </c>
      <c r="P1531" t="s">
        <v>30</v>
      </c>
      <c r="Q1531" t="s">
        <v>31</v>
      </c>
      <c r="R1531">
        <v>82415</v>
      </c>
      <c r="S1531" t="s">
        <v>137</v>
      </c>
      <c r="T1531">
        <v>82664</v>
      </c>
      <c r="U1531" t="s">
        <v>75</v>
      </c>
      <c r="V1531" t="s">
        <v>75</v>
      </c>
      <c r="W1531" t="s">
        <v>74</v>
      </c>
      <c r="X1531" t="s">
        <v>74</v>
      </c>
      <c r="Y1531" s="9">
        <f t="shared" si="70"/>
        <v>1.6E-2</v>
      </c>
      <c r="Z1531" t="str">
        <f t="shared" si="71"/>
        <v>สแกนต่าง Cost</v>
      </c>
    </row>
    <row r="1532" spans="1:26" x14ac:dyDescent="0.45">
      <c r="B1532" t="s">
        <v>26</v>
      </c>
      <c r="C1532">
        <v>20197492</v>
      </c>
      <c r="D1532" t="s">
        <v>268</v>
      </c>
      <c r="E1532" s="10">
        <v>46127.913194444445</v>
      </c>
      <c r="F1532" s="10">
        <v>46127.970138888886</v>
      </c>
      <c r="G1532">
        <v>1.3666666666666667</v>
      </c>
      <c r="H1532" s="9">
        <f t="shared" si="69"/>
        <v>7.0000000000000001E-3</v>
      </c>
      <c r="I1532">
        <v>7.0000000000000001E-3</v>
      </c>
      <c r="M1532" t="s">
        <v>65</v>
      </c>
      <c r="N1532" t="s">
        <v>29</v>
      </c>
      <c r="P1532" t="s">
        <v>30</v>
      </c>
      <c r="Q1532" t="s">
        <v>31</v>
      </c>
      <c r="R1532">
        <v>82652</v>
      </c>
      <c r="S1532" t="s">
        <v>46</v>
      </c>
      <c r="T1532">
        <v>82658</v>
      </c>
      <c r="U1532" t="s">
        <v>33</v>
      </c>
      <c r="V1532" t="s">
        <v>33</v>
      </c>
      <c r="W1532" t="s">
        <v>37</v>
      </c>
      <c r="X1532" t="s">
        <v>38</v>
      </c>
      <c r="Y1532" s="9">
        <f t="shared" si="70"/>
        <v>0</v>
      </c>
      <c r="Z1532" t="str">
        <f t="shared" si="71"/>
        <v>สแกนต่าง Cost</v>
      </c>
    </row>
    <row r="1533" spans="1:26" x14ac:dyDescent="0.45">
      <c r="B1533" t="s">
        <v>26</v>
      </c>
      <c r="C1533">
        <v>20343502</v>
      </c>
      <c r="D1533" t="s">
        <v>281</v>
      </c>
      <c r="E1533" s="10">
        <v>46127.833333333336</v>
      </c>
      <c r="F1533" s="10">
        <v>46127.729166666664</v>
      </c>
      <c r="G1533">
        <v>-2.5</v>
      </c>
      <c r="H1533" s="9">
        <f t="shared" si="69"/>
        <v>-1.2999999999999999E-2</v>
      </c>
      <c r="I1533">
        <v>-1.2999999999999999E-2</v>
      </c>
      <c r="M1533" t="s">
        <v>65</v>
      </c>
      <c r="N1533" t="s">
        <v>29</v>
      </c>
      <c r="P1533" t="s">
        <v>30</v>
      </c>
      <c r="Q1533" t="s">
        <v>31</v>
      </c>
      <c r="R1533">
        <v>82652</v>
      </c>
      <c r="S1533" t="s">
        <v>46</v>
      </c>
      <c r="T1533">
        <v>82658</v>
      </c>
      <c r="U1533" t="s">
        <v>33</v>
      </c>
      <c r="V1533" t="s">
        <v>33</v>
      </c>
      <c r="W1533" t="s">
        <v>37</v>
      </c>
      <c r="X1533" t="s">
        <v>38</v>
      </c>
      <c r="Y1533" s="9">
        <f t="shared" si="70"/>
        <v>0</v>
      </c>
      <c r="Z1533" t="str">
        <f t="shared" si="71"/>
        <v>สแกนต่าง Cost</v>
      </c>
    </row>
    <row r="1534" spans="1:26" x14ac:dyDescent="0.45">
      <c r="B1534" t="s">
        <v>26</v>
      </c>
      <c r="C1534">
        <v>20045685</v>
      </c>
      <c r="D1534" t="s">
        <v>262</v>
      </c>
      <c r="E1534" s="10">
        <v>46127.743055555555</v>
      </c>
      <c r="F1534" s="10">
        <v>46127.919444444444</v>
      </c>
      <c r="G1534">
        <v>4.2333333333333334</v>
      </c>
      <c r="H1534" s="9">
        <f t="shared" si="69"/>
        <v>2.3E-2</v>
      </c>
      <c r="K1534">
        <v>2.3E-2</v>
      </c>
      <c r="M1534" t="s">
        <v>28</v>
      </c>
      <c r="N1534" t="s">
        <v>40</v>
      </c>
      <c r="O1534" t="s">
        <v>140</v>
      </c>
      <c r="P1534" t="s">
        <v>30</v>
      </c>
      <c r="Q1534" t="s">
        <v>31</v>
      </c>
      <c r="R1534">
        <v>82652</v>
      </c>
      <c r="S1534" t="s">
        <v>46</v>
      </c>
      <c r="T1534">
        <v>82658</v>
      </c>
      <c r="U1534" t="s">
        <v>33</v>
      </c>
      <c r="V1534" t="s">
        <v>33</v>
      </c>
      <c r="W1534" t="s">
        <v>37</v>
      </c>
      <c r="X1534" t="s">
        <v>38</v>
      </c>
      <c r="Y1534" s="9">
        <f t="shared" si="70"/>
        <v>2.3E-2</v>
      </c>
      <c r="Z1534" t="str">
        <f t="shared" si="71"/>
        <v>สแกนต่าง Cost</v>
      </c>
    </row>
    <row r="1535" spans="1:26" x14ac:dyDescent="0.45">
      <c r="B1535" t="s">
        <v>26</v>
      </c>
      <c r="C1535">
        <v>20198826</v>
      </c>
      <c r="D1535" t="s">
        <v>49</v>
      </c>
      <c r="E1535" s="10">
        <v>46127.727777777778</v>
      </c>
      <c r="F1535" s="10">
        <v>46127.826388888891</v>
      </c>
      <c r="G1535">
        <v>2.3666666666666667</v>
      </c>
      <c r="H1535" s="9">
        <f t="shared" si="69"/>
        <v>1.2999999999999999E-2</v>
      </c>
      <c r="K1535">
        <v>1.2999999999999999E-2</v>
      </c>
      <c r="M1535" t="s">
        <v>28</v>
      </c>
      <c r="N1535" t="s">
        <v>40</v>
      </c>
      <c r="O1535" t="s">
        <v>41</v>
      </c>
      <c r="P1535" t="s">
        <v>30</v>
      </c>
      <c r="Q1535" t="s">
        <v>31</v>
      </c>
      <c r="R1535">
        <v>82680</v>
      </c>
      <c r="S1535" t="s">
        <v>50</v>
      </c>
      <c r="T1535">
        <v>82658</v>
      </c>
      <c r="U1535" t="s">
        <v>33</v>
      </c>
      <c r="V1535" t="s">
        <v>33</v>
      </c>
      <c r="W1535" t="s">
        <v>34</v>
      </c>
      <c r="X1535" t="s">
        <v>34</v>
      </c>
      <c r="Y1535" s="9">
        <f t="shared" si="70"/>
        <v>1.2999999999999999E-2</v>
      </c>
      <c r="Z1535" t="str">
        <f t="shared" si="71"/>
        <v>สแกนต่าง Cost</v>
      </c>
    </row>
    <row r="1536" spans="1:26" x14ac:dyDescent="0.45">
      <c r="B1536" t="s">
        <v>26</v>
      </c>
      <c r="C1536">
        <v>20403261</v>
      </c>
      <c r="E1536" s="10">
        <v>46127.727777777778</v>
      </c>
      <c r="F1536" s="10">
        <v>46127.826388888891</v>
      </c>
      <c r="G1536">
        <v>2.3666666666666667</v>
      </c>
      <c r="H1536" s="9">
        <f t="shared" si="69"/>
        <v>1.2999999999999999E-2</v>
      </c>
      <c r="I1536">
        <v>1.2999999999999999E-2</v>
      </c>
      <c r="M1536" t="s">
        <v>48</v>
      </c>
      <c r="N1536" t="s">
        <v>48</v>
      </c>
      <c r="P1536" t="s">
        <v>30</v>
      </c>
      <c r="R1536">
        <v>82680</v>
      </c>
      <c r="T1536">
        <v>82658</v>
      </c>
      <c r="U1536" t="s">
        <v>33</v>
      </c>
      <c r="V1536" t="s">
        <v>33</v>
      </c>
      <c r="W1536" t="s">
        <v>34</v>
      </c>
      <c r="X1536" t="s">
        <v>34</v>
      </c>
      <c r="Y1536" s="9">
        <f t="shared" si="70"/>
        <v>0</v>
      </c>
      <c r="Z1536" t="str">
        <f t="shared" si="71"/>
        <v>สแกนต่าง Cost</v>
      </c>
    </row>
    <row r="1537" spans="2:26" x14ac:dyDescent="0.45">
      <c r="B1537" t="s">
        <v>26</v>
      </c>
      <c r="C1537">
        <v>20038749</v>
      </c>
      <c r="D1537" t="s">
        <v>218</v>
      </c>
      <c r="E1537" s="10">
        <v>46127.727083333331</v>
      </c>
      <c r="F1537" s="10">
        <v>46127.82708333333</v>
      </c>
      <c r="G1537">
        <v>2.4</v>
      </c>
      <c r="H1537" s="9">
        <f t="shared" si="69"/>
        <v>1.2999999999999999E-2</v>
      </c>
      <c r="K1537">
        <v>1.2999999999999999E-2</v>
      </c>
      <c r="M1537" t="s">
        <v>28</v>
      </c>
      <c r="N1537" t="s">
        <v>40</v>
      </c>
      <c r="O1537" t="s">
        <v>41</v>
      </c>
      <c r="P1537" t="s">
        <v>30</v>
      </c>
      <c r="Q1537" t="s">
        <v>31</v>
      </c>
      <c r="R1537">
        <v>82680</v>
      </c>
      <c r="S1537" t="s">
        <v>50</v>
      </c>
      <c r="T1537">
        <v>82658</v>
      </c>
      <c r="U1537" t="s">
        <v>33</v>
      </c>
      <c r="V1537" t="s">
        <v>33</v>
      </c>
      <c r="W1537" t="s">
        <v>34</v>
      </c>
      <c r="X1537" t="s">
        <v>34</v>
      </c>
      <c r="Y1537" s="9">
        <f t="shared" si="70"/>
        <v>1.2999999999999999E-2</v>
      </c>
      <c r="Z1537" t="str">
        <f t="shared" si="71"/>
        <v>สแกนต่าง Cost</v>
      </c>
    </row>
    <row r="1538" spans="2:26" x14ac:dyDescent="0.45">
      <c r="B1538" t="s">
        <v>26</v>
      </c>
      <c r="C1538">
        <v>20344817</v>
      </c>
      <c r="D1538" t="s">
        <v>217</v>
      </c>
      <c r="E1538" s="10">
        <v>46127.727083333331</v>
      </c>
      <c r="F1538" s="10">
        <v>46127.826388888891</v>
      </c>
      <c r="G1538">
        <v>2.3833333333333333</v>
      </c>
      <c r="H1538" s="9">
        <f t="shared" si="69"/>
        <v>1.2999999999999999E-2</v>
      </c>
      <c r="K1538">
        <v>1.2999999999999999E-2</v>
      </c>
      <c r="M1538" t="s">
        <v>28</v>
      </c>
      <c r="N1538" t="s">
        <v>40</v>
      </c>
      <c r="O1538" t="s">
        <v>41</v>
      </c>
      <c r="P1538" t="s">
        <v>30</v>
      </c>
      <c r="Q1538" t="s">
        <v>31</v>
      </c>
      <c r="R1538">
        <v>82655</v>
      </c>
      <c r="S1538" t="s">
        <v>59</v>
      </c>
      <c r="T1538">
        <v>82658</v>
      </c>
      <c r="U1538" t="s">
        <v>33</v>
      </c>
      <c r="V1538" t="s">
        <v>33</v>
      </c>
      <c r="W1538" t="s">
        <v>34</v>
      </c>
      <c r="X1538" t="s">
        <v>34</v>
      </c>
      <c r="Y1538" s="9">
        <f t="shared" si="70"/>
        <v>1.2999999999999999E-2</v>
      </c>
      <c r="Z1538" t="str">
        <f t="shared" si="71"/>
        <v>สแกนต่าง Cost</v>
      </c>
    </row>
    <row r="1539" spans="2:26" x14ac:dyDescent="0.45">
      <c r="B1539" t="s">
        <v>26</v>
      </c>
      <c r="C1539">
        <v>20403445</v>
      </c>
      <c r="E1539" s="10">
        <v>46127.727083333331</v>
      </c>
      <c r="F1539" s="10">
        <v>46127.826388888891</v>
      </c>
      <c r="G1539">
        <v>2.3833333333333333</v>
      </c>
      <c r="H1539" s="9">
        <f t="shared" ref="H1539:H1602" si="72">SUM(I1539:L1539)</f>
        <v>1.2999999999999999E-2</v>
      </c>
      <c r="K1539">
        <v>1.2999999999999999E-2</v>
      </c>
      <c r="M1539" t="s">
        <v>28</v>
      </c>
      <c r="N1539" t="s">
        <v>40</v>
      </c>
      <c r="O1539" t="s">
        <v>41</v>
      </c>
      <c r="P1539" t="s">
        <v>30</v>
      </c>
      <c r="R1539">
        <v>82680</v>
      </c>
      <c r="T1539">
        <v>82658</v>
      </c>
      <c r="U1539" t="s">
        <v>33</v>
      </c>
      <c r="V1539" t="s">
        <v>33</v>
      </c>
      <c r="W1539" t="s">
        <v>34</v>
      </c>
      <c r="X1539" t="s">
        <v>34</v>
      </c>
      <c r="Y1539" s="9">
        <f t="shared" ref="Y1539:Y1602" si="73">SUM(J1539:L1539)</f>
        <v>1.2999999999999999E-2</v>
      </c>
      <c r="Z1539" t="str">
        <f t="shared" ref="Z1539:Z1602" si="74">IF(R1539=T1539,"สแกน Cost ตัวเอง","สแกนต่าง Cost")</f>
        <v>สแกนต่าง Cost</v>
      </c>
    </row>
    <row r="1540" spans="2:26" x14ac:dyDescent="0.45">
      <c r="B1540" t="s">
        <v>26</v>
      </c>
      <c r="C1540">
        <v>20165524</v>
      </c>
      <c r="D1540" t="s">
        <v>306</v>
      </c>
      <c r="E1540" s="10">
        <v>46127.722916666666</v>
      </c>
      <c r="F1540" s="10">
        <v>46127.729166666664</v>
      </c>
      <c r="G1540">
        <v>0.15</v>
      </c>
      <c r="H1540" s="9">
        <f t="shared" si="72"/>
        <v>1E-3</v>
      </c>
      <c r="J1540">
        <v>1E-3</v>
      </c>
      <c r="M1540" t="s">
        <v>77</v>
      </c>
      <c r="N1540" t="s">
        <v>40</v>
      </c>
      <c r="O1540" t="s">
        <v>78</v>
      </c>
      <c r="P1540" t="s">
        <v>30</v>
      </c>
      <c r="Q1540" t="s">
        <v>31</v>
      </c>
      <c r="R1540">
        <v>82640</v>
      </c>
      <c r="S1540" t="s">
        <v>42</v>
      </c>
      <c r="T1540">
        <v>82658</v>
      </c>
      <c r="U1540" t="s">
        <v>33</v>
      </c>
      <c r="V1540" t="s">
        <v>33</v>
      </c>
      <c r="W1540" t="s">
        <v>37</v>
      </c>
      <c r="X1540" t="s">
        <v>38</v>
      </c>
      <c r="Y1540" s="9">
        <f t="shared" si="73"/>
        <v>1E-3</v>
      </c>
      <c r="Z1540" t="str">
        <f t="shared" si="74"/>
        <v>สแกนต่าง Cost</v>
      </c>
    </row>
    <row r="1541" spans="2:26" x14ac:dyDescent="0.45">
      <c r="B1541" t="s">
        <v>53</v>
      </c>
      <c r="C1541">
        <v>20060579</v>
      </c>
      <c r="D1541" t="s">
        <v>39</v>
      </c>
      <c r="E1541" s="10">
        <v>46127.6875</v>
      </c>
      <c r="F1541" s="10">
        <v>46127.729166666664</v>
      </c>
      <c r="G1541">
        <v>1</v>
      </c>
      <c r="H1541" s="9">
        <f t="shared" si="72"/>
        <v>5.0000000000000001E-3</v>
      </c>
      <c r="J1541">
        <v>5.0000000000000001E-3</v>
      </c>
      <c r="M1541" t="s">
        <v>77</v>
      </c>
      <c r="N1541" t="s">
        <v>29</v>
      </c>
      <c r="P1541" t="s">
        <v>30</v>
      </c>
      <c r="Q1541" t="s">
        <v>31</v>
      </c>
      <c r="R1541">
        <v>82640</v>
      </c>
      <c r="S1541" t="s">
        <v>42</v>
      </c>
      <c r="T1541">
        <v>82612</v>
      </c>
      <c r="U1541" t="s">
        <v>153</v>
      </c>
      <c r="V1541" t="s">
        <v>66</v>
      </c>
      <c r="W1541" t="s">
        <v>44</v>
      </c>
      <c r="X1541" t="s">
        <v>44</v>
      </c>
      <c r="Y1541" s="9">
        <f t="shared" si="73"/>
        <v>5.0000000000000001E-3</v>
      </c>
      <c r="Z1541" t="str">
        <f t="shared" si="74"/>
        <v>สแกนต่าง Cost</v>
      </c>
    </row>
    <row r="1542" spans="2:26" x14ac:dyDescent="0.45">
      <c r="B1542" t="s">
        <v>53</v>
      </c>
      <c r="C1542">
        <v>20198839</v>
      </c>
      <c r="D1542" t="s">
        <v>258</v>
      </c>
      <c r="E1542" s="10">
        <v>46127.666666666664</v>
      </c>
      <c r="F1542" s="10">
        <v>46127.708333333336</v>
      </c>
      <c r="G1542">
        <v>1</v>
      </c>
      <c r="H1542" s="9">
        <f t="shared" si="72"/>
        <v>5.0000000000000001E-3</v>
      </c>
      <c r="I1542">
        <v>5.0000000000000001E-3</v>
      </c>
      <c r="M1542" t="s">
        <v>65</v>
      </c>
      <c r="N1542" t="s">
        <v>29</v>
      </c>
      <c r="P1542" t="s">
        <v>30</v>
      </c>
      <c r="Q1542" t="s">
        <v>31</v>
      </c>
      <c r="R1542">
        <v>82640</v>
      </c>
      <c r="S1542" t="s">
        <v>42</v>
      </c>
      <c r="T1542">
        <v>82611</v>
      </c>
      <c r="U1542" t="s">
        <v>43</v>
      </c>
      <c r="V1542" t="s">
        <v>66</v>
      </c>
      <c r="W1542" t="s">
        <v>44</v>
      </c>
      <c r="X1542" t="s">
        <v>44</v>
      </c>
      <c r="Y1542" s="9">
        <f t="shared" si="73"/>
        <v>0</v>
      </c>
      <c r="Z1542" t="str">
        <f t="shared" si="74"/>
        <v>สแกนต่าง Cost</v>
      </c>
    </row>
    <row r="1543" spans="2:26" x14ac:dyDescent="0.45">
      <c r="B1543" t="s">
        <v>53</v>
      </c>
      <c r="C1543">
        <v>20368087</v>
      </c>
      <c r="D1543" t="s">
        <v>260</v>
      </c>
      <c r="E1543" s="10">
        <v>46127.645833333336</v>
      </c>
      <c r="F1543" s="10">
        <v>46127.729166666664</v>
      </c>
      <c r="G1543">
        <v>2</v>
      </c>
      <c r="H1543" s="9">
        <f t="shared" si="72"/>
        <v>1.0999999999999999E-2</v>
      </c>
      <c r="J1543">
        <v>1.0999999999999999E-2</v>
      </c>
      <c r="M1543" t="s">
        <v>77</v>
      </c>
      <c r="N1543" t="s">
        <v>40</v>
      </c>
      <c r="O1543" t="s">
        <v>78</v>
      </c>
      <c r="P1543" t="s">
        <v>30</v>
      </c>
      <c r="Q1543" t="s">
        <v>31</v>
      </c>
      <c r="R1543">
        <v>82640</v>
      </c>
      <c r="S1543" t="s">
        <v>42</v>
      </c>
      <c r="T1543">
        <v>82612</v>
      </c>
      <c r="U1543" t="s">
        <v>153</v>
      </c>
      <c r="V1543" t="s">
        <v>66</v>
      </c>
      <c r="W1543" t="s">
        <v>44</v>
      </c>
      <c r="X1543" t="s">
        <v>44</v>
      </c>
      <c r="Y1543" s="9">
        <f t="shared" si="73"/>
        <v>1.0999999999999999E-2</v>
      </c>
      <c r="Z1543" t="str">
        <f t="shared" si="74"/>
        <v>สแกนต่าง Cost</v>
      </c>
    </row>
    <row r="1544" spans="2:26" x14ac:dyDescent="0.45">
      <c r="B1544" t="s">
        <v>53</v>
      </c>
      <c r="C1544">
        <v>20167851</v>
      </c>
      <c r="D1544" t="s">
        <v>63</v>
      </c>
      <c r="E1544" s="10">
        <v>46127.625</v>
      </c>
      <c r="F1544" s="10">
        <v>46127.708333333336</v>
      </c>
      <c r="G1544">
        <v>2</v>
      </c>
      <c r="H1544" s="9">
        <f t="shared" si="72"/>
        <v>1.0999999999999999E-2</v>
      </c>
      <c r="I1544">
        <v>1.0999999999999999E-2</v>
      </c>
      <c r="M1544" t="s">
        <v>65</v>
      </c>
      <c r="N1544" t="s">
        <v>29</v>
      </c>
      <c r="P1544" t="s">
        <v>30</v>
      </c>
      <c r="Q1544" t="s">
        <v>31</v>
      </c>
      <c r="R1544">
        <v>82640</v>
      </c>
      <c r="S1544" t="s">
        <v>42</v>
      </c>
      <c r="T1544">
        <v>82611</v>
      </c>
      <c r="U1544" t="s">
        <v>43</v>
      </c>
      <c r="V1544" t="s">
        <v>66</v>
      </c>
      <c r="W1544" t="s">
        <v>44</v>
      </c>
      <c r="X1544" t="s">
        <v>44</v>
      </c>
      <c r="Y1544" s="9">
        <f t="shared" si="73"/>
        <v>0</v>
      </c>
      <c r="Z1544" t="str">
        <f t="shared" si="74"/>
        <v>สแกนต่าง Cost</v>
      </c>
    </row>
    <row r="1545" spans="2:26" x14ac:dyDescent="0.45">
      <c r="B1545" t="s">
        <v>53</v>
      </c>
      <c r="C1545">
        <v>20060579</v>
      </c>
      <c r="D1545" t="s">
        <v>39</v>
      </c>
      <c r="E1545" s="10">
        <v>46127.604166666664</v>
      </c>
      <c r="F1545" s="10">
        <v>46127.6875</v>
      </c>
      <c r="G1545">
        <v>2</v>
      </c>
      <c r="H1545" s="9">
        <f t="shared" si="72"/>
        <v>1.0999999999999999E-2</v>
      </c>
      <c r="J1545">
        <v>1.0999999999999999E-2</v>
      </c>
      <c r="M1545" t="s">
        <v>77</v>
      </c>
      <c r="N1545" t="s">
        <v>29</v>
      </c>
      <c r="P1545" t="s">
        <v>30</v>
      </c>
      <c r="Q1545" t="s">
        <v>31</v>
      </c>
      <c r="R1545">
        <v>82640</v>
      </c>
      <c r="S1545" t="s">
        <v>42</v>
      </c>
      <c r="T1545">
        <v>82630</v>
      </c>
      <c r="U1545" t="s">
        <v>32</v>
      </c>
      <c r="V1545" t="s">
        <v>66</v>
      </c>
      <c r="W1545" t="s">
        <v>44</v>
      </c>
      <c r="X1545" t="s">
        <v>44</v>
      </c>
      <c r="Y1545" s="9">
        <f t="shared" si="73"/>
        <v>1.0999999999999999E-2</v>
      </c>
      <c r="Z1545" t="str">
        <f t="shared" si="74"/>
        <v>สแกนต่าง Cost</v>
      </c>
    </row>
    <row r="1546" spans="2:26" x14ac:dyDescent="0.45">
      <c r="B1546" t="s">
        <v>53</v>
      </c>
      <c r="C1546">
        <v>20368087</v>
      </c>
      <c r="D1546" t="s">
        <v>260</v>
      </c>
      <c r="E1546" s="10">
        <v>46127.583333333336</v>
      </c>
      <c r="F1546" s="10">
        <v>46127.645833333336</v>
      </c>
      <c r="G1546">
        <v>1.5</v>
      </c>
      <c r="H1546" s="9">
        <f t="shared" si="72"/>
        <v>8.0000000000000002E-3</v>
      </c>
      <c r="J1546">
        <v>8.0000000000000002E-3</v>
      </c>
      <c r="M1546" t="s">
        <v>77</v>
      </c>
      <c r="N1546" t="s">
        <v>40</v>
      </c>
      <c r="O1546" t="s">
        <v>78</v>
      </c>
      <c r="P1546" t="s">
        <v>30</v>
      </c>
      <c r="Q1546" t="s">
        <v>31</v>
      </c>
      <c r="R1546">
        <v>82640</v>
      </c>
      <c r="S1546" t="s">
        <v>42</v>
      </c>
      <c r="T1546">
        <v>82630</v>
      </c>
      <c r="U1546" t="s">
        <v>32</v>
      </c>
      <c r="V1546" t="s">
        <v>66</v>
      </c>
      <c r="W1546" t="s">
        <v>44</v>
      </c>
      <c r="X1546" t="s">
        <v>44</v>
      </c>
      <c r="Y1546" s="9">
        <f t="shared" si="73"/>
        <v>8.0000000000000002E-3</v>
      </c>
      <c r="Z1546" t="str">
        <f t="shared" si="74"/>
        <v>สแกนต่าง Cost</v>
      </c>
    </row>
    <row r="1547" spans="2:26" x14ac:dyDescent="0.45">
      <c r="B1547" t="s">
        <v>53</v>
      </c>
      <c r="C1547">
        <v>20167851</v>
      </c>
      <c r="D1547" t="s">
        <v>63</v>
      </c>
      <c r="E1547" s="10">
        <v>46127.5625</v>
      </c>
      <c r="F1547" s="10">
        <v>46127.625</v>
      </c>
      <c r="G1547">
        <v>1.5</v>
      </c>
      <c r="H1547" s="9">
        <f t="shared" si="72"/>
        <v>8.0000000000000002E-3</v>
      </c>
      <c r="I1547">
        <v>8.0000000000000002E-3</v>
      </c>
      <c r="M1547" t="s">
        <v>65</v>
      </c>
      <c r="N1547" t="s">
        <v>29</v>
      </c>
      <c r="P1547" t="s">
        <v>30</v>
      </c>
      <c r="Q1547" t="s">
        <v>31</v>
      </c>
      <c r="R1547">
        <v>82640</v>
      </c>
      <c r="S1547" t="s">
        <v>42</v>
      </c>
      <c r="T1547">
        <v>82630</v>
      </c>
      <c r="U1547" t="s">
        <v>32</v>
      </c>
      <c r="V1547" t="s">
        <v>66</v>
      </c>
      <c r="W1547" t="s">
        <v>44</v>
      </c>
      <c r="X1547" t="s">
        <v>44</v>
      </c>
      <c r="Y1547" s="9">
        <f t="shared" si="73"/>
        <v>0</v>
      </c>
      <c r="Z1547" t="str">
        <f t="shared" si="74"/>
        <v>สแกนต่าง Cost</v>
      </c>
    </row>
    <row r="1548" spans="2:26" x14ac:dyDescent="0.45">
      <c r="B1548" t="s">
        <v>53</v>
      </c>
      <c r="C1548">
        <v>20078229</v>
      </c>
      <c r="D1548" t="s">
        <v>197</v>
      </c>
      <c r="E1548" s="10">
        <v>46127.556944444441</v>
      </c>
      <c r="F1548" s="10">
        <v>46127.729166666664</v>
      </c>
      <c r="G1548">
        <v>4.1333333333333337</v>
      </c>
      <c r="H1548" s="9">
        <f t="shared" si="72"/>
        <v>2.1999999999999999E-2</v>
      </c>
      <c r="I1548">
        <v>2.1999999999999999E-2</v>
      </c>
      <c r="M1548" t="s">
        <v>65</v>
      </c>
      <c r="N1548" t="s">
        <v>29</v>
      </c>
      <c r="P1548" t="s">
        <v>133</v>
      </c>
      <c r="Q1548" t="s">
        <v>31</v>
      </c>
      <c r="R1548">
        <v>82612</v>
      </c>
      <c r="S1548" t="s">
        <v>153</v>
      </c>
      <c r="T1548">
        <v>82630</v>
      </c>
      <c r="U1548" t="s">
        <v>32</v>
      </c>
      <c r="V1548" t="s">
        <v>62</v>
      </c>
      <c r="W1548" t="s">
        <v>148</v>
      </c>
      <c r="X1548" t="s">
        <v>149</v>
      </c>
      <c r="Y1548" s="9">
        <f t="shared" si="73"/>
        <v>0</v>
      </c>
      <c r="Z1548" t="str">
        <f t="shared" si="74"/>
        <v>สแกนต่าง Cost</v>
      </c>
    </row>
    <row r="1549" spans="2:26" x14ac:dyDescent="0.45">
      <c r="B1549" t="s">
        <v>53</v>
      </c>
      <c r="C1549">
        <v>20127808</v>
      </c>
      <c r="D1549" t="s">
        <v>261</v>
      </c>
      <c r="E1549" s="10">
        <v>46127.556944444441</v>
      </c>
      <c r="F1549" s="10">
        <v>46127.729166666664</v>
      </c>
      <c r="G1549">
        <v>4.1333333333333337</v>
      </c>
      <c r="H1549" s="9">
        <f t="shared" si="72"/>
        <v>2.1999999999999999E-2</v>
      </c>
      <c r="J1549">
        <v>2.1999999999999999E-2</v>
      </c>
      <c r="M1549" t="s">
        <v>77</v>
      </c>
      <c r="N1549" t="s">
        <v>29</v>
      </c>
      <c r="P1549" t="s">
        <v>133</v>
      </c>
      <c r="Q1549" t="s">
        <v>31</v>
      </c>
      <c r="R1549">
        <v>82612</v>
      </c>
      <c r="S1549" t="s">
        <v>153</v>
      </c>
      <c r="T1549">
        <v>82630</v>
      </c>
      <c r="U1549" t="s">
        <v>32</v>
      </c>
      <c r="V1549" t="s">
        <v>62</v>
      </c>
      <c r="W1549" t="s">
        <v>148</v>
      </c>
      <c r="X1549" t="s">
        <v>149</v>
      </c>
      <c r="Y1549" s="9">
        <f t="shared" si="73"/>
        <v>2.1999999999999999E-2</v>
      </c>
      <c r="Z1549" t="str">
        <f t="shared" si="74"/>
        <v>สแกนต่าง Cost</v>
      </c>
    </row>
    <row r="1550" spans="2:26" x14ac:dyDescent="0.45">
      <c r="B1550" t="s">
        <v>53</v>
      </c>
      <c r="C1550">
        <v>20018899</v>
      </c>
      <c r="D1550" t="s">
        <v>64</v>
      </c>
      <c r="E1550" s="10">
        <v>46127.541666666664</v>
      </c>
      <c r="F1550" s="10">
        <v>46127.729166666664</v>
      </c>
      <c r="G1550">
        <v>4.5</v>
      </c>
      <c r="H1550" s="9">
        <f t="shared" si="72"/>
        <v>2.4E-2</v>
      </c>
      <c r="I1550">
        <v>2.4E-2</v>
      </c>
      <c r="M1550" t="s">
        <v>65</v>
      </c>
      <c r="N1550" t="s">
        <v>29</v>
      </c>
      <c r="P1550" t="s">
        <v>30</v>
      </c>
      <c r="Q1550" t="s">
        <v>31</v>
      </c>
      <c r="R1550">
        <v>82640</v>
      </c>
      <c r="S1550" t="s">
        <v>42</v>
      </c>
      <c r="T1550">
        <v>82652</v>
      </c>
      <c r="U1550" t="s">
        <v>46</v>
      </c>
      <c r="V1550" t="s">
        <v>66</v>
      </c>
      <c r="W1550" t="s">
        <v>37</v>
      </c>
      <c r="X1550" t="s">
        <v>34</v>
      </c>
      <c r="Y1550" s="9">
        <f t="shared" si="73"/>
        <v>0</v>
      </c>
      <c r="Z1550" t="str">
        <f t="shared" si="74"/>
        <v>สแกนต่าง Cost</v>
      </c>
    </row>
    <row r="1551" spans="2:26" x14ac:dyDescent="0.45">
      <c r="B1551" t="s">
        <v>53</v>
      </c>
      <c r="C1551">
        <v>20060579</v>
      </c>
      <c r="D1551" t="s">
        <v>39</v>
      </c>
      <c r="E1551" s="10">
        <v>46127.541666666664</v>
      </c>
      <c r="F1551" s="10">
        <v>46127.604166666664</v>
      </c>
      <c r="G1551">
        <v>1.5</v>
      </c>
      <c r="H1551" s="9">
        <f t="shared" si="72"/>
        <v>8.0000000000000002E-3</v>
      </c>
      <c r="J1551">
        <v>8.0000000000000002E-3</v>
      </c>
      <c r="M1551" t="s">
        <v>77</v>
      </c>
      <c r="N1551" t="s">
        <v>29</v>
      </c>
      <c r="P1551" t="s">
        <v>30</v>
      </c>
      <c r="Q1551" t="s">
        <v>31</v>
      </c>
      <c r="R1551">
        <v>82640</v>
      </c>
      <c r="S1551" t="s">
        <v>42</v>
      </c>
      <c r="T1551">
        <v>82612</v>
      </c>
      <c r="U1551" t="s">
        <v>153</v>
      </c>
      <c r="V1551" t="s">
        <v>66</v>
      </c>
      <c r="W1551" t="s">
        <v>44</v>
      </c>
      <c r="X1551" t="s">
        <v>44</v>
      </c>
      <c r="Y1551" s="9">
        <f t="shared" si="73"/>
        <v>8.0000000000000002E-3</v>
      </c>
      <c r="Z1551" t="str">
        <f t="shared" si="74"/>
        <v>สแกนต่าง Cost</v>
      </c>
    </row>
    <row r="1552" spans="2:26" x14ac:dyDescent="0.45">
      <c r="B1552" t="s">
        <v>53</v>
      </c>
      <c r="C1552">
        <v>20198839</v>
      </c>
      <c r="D1552" t="s">
        <v>258</v>
      </c>
      <c r="E1552" s="10">
        <v>46127.541666666664</v>
      </c>
      <c r="F1552" s="10">
        <v>46127.5625</v>
      </c>
      <c r="G1552">
        <v>0.5</v>
      </c>
      <c r="H1552" s="9">
        <f t="shared" si="72"/>
        <v>3.0000000000000001E-3</v>
      </c>
      <c r="I1552">
        <v>3.0000000000000001E-3</v>
      </c>
      <c r="M1552" t="s">
        <v>65</v>
      </c>
      <c r="N1552" t="s">
        <v>29</v>
      </c>
      <c r="P1552" t="s">
        <v>30</v>
      </c>
      <c r="Q1552" t="s">
        <v>31</v>
      </c>
      <c r="R1552">
        <v>82640</v>
      </c>
      <c r="S1552" t="s">
        <v>42</v>
      </c>
      <c r="T1552">
        <v>82611</v>
      </c>
      <c r="U1552" t="s">
        <v>43</v>
      </c>
      <c r="V1552" t="s">
        <v>66</v>
      </c>
      <c r="W1552" t="s">
        <v>44</v>
      </c>
      <c r="X1552" t="s">
        <v>44</v>
      </c>
      <c r="Y1552" s="9">
        <f t="shared" si="73"/>
        <v>0</v>
      </c>
      <c r="Z1552" t="str">
        <f t="shared" si="74"/>
        <v>สแกนต่าง Cost</v>
      </c>
    </row>
    <row r="1553" spans="1:26" x14ac:dyDescent="0.45">
      <c r="B1553" t="s">
        <v>53</v>
      </c>
      <c r="C1553">
        <v>20220646</v>
      </c>
      <c r="D1553" t="s">
        <v>67</v>
      </c>
      <c r="E1553" s="10">
        <v>46127.541666666664</v>
      </c>
      <c r="F1553" s="10">
        <v>46127.729166666664</v>
      </c>
      <c r="G1553">
        <v>4.5</v>
      </c>
      <c r="H1553" s="9">
        <f t="shared" si="72"/>
        <v>2.4E-2</v>
      </c>
      <c r="I1553">
        <v>2.4E-2</v>
      </c>
      <c r="M1553" t="s">
        <v>65</v>
      </c>
      <c r="N1553" t="s">
        <v>29</v>
      </c>
      <c r="P1553" t="s">
        <v>30</v>
      </c>
      <c r="Q1553" t="s">
        <v>31</v>
      </c>
      <c r="R1553">
        <v>82640</v>
      </c>
      <c r="S1553" t="s">
        <v>42</v>
      </c>
      <c r="T1553">
        <v>82652</v>
      </c>
      <c r="U1553" t="s">
        <v>46</v>
      </c>
      <c r="V1553" t="s">
        <v>66</v>
      </c>
      <c r="W1553" t="s">
        <v>37</v>
      </c>
      <c r="X1553" t="s">
        <v>34</v>
      </c>
      <c r="Y1553" s="9">
        <f t="shared" si="73"/>
        <v>0</v>
      </c>
      <c r="Z1553" t="str">
        <f t="shared" si="74"/>
        <v>สแกนต่าง Cost</v>
      </c>
    </row>
    <row r="1554" spans="1:26" x14ac:dyDescent="0.45">
      <c r="A1554">
        <v>26592</v>
      </c>
      <c r="B1554" t="s">
        <v>53</v>
      </c>
      <c r="C1554">
        <v>20273451</v>
      </c>
      <c r="D1554" t="s">
        <v>248</v>
      </c>
      <c r="E1554" s="10">
        <v>46127.541666666664</v>
      </c>
      <c r="F1554" s="10">
        <v>46127.729166666664</v>
      </c>
      <c r="G1554">
        <v>4.5</v>
      </c>
      <c r="H1554" s="9">
        <f t="shared" si="72"/>
        <v>2.4E-2</v>
      </c>
      <c r="I1554">
        <v>2.4E-2</v>
      </c>
      <c r="M1554" t="s">
        <v>65</v>
      </c>
      <c r="N1554" t="s">
        <v>29</v>
      </c>
      <c r="P1554" t="s">
        <v>30</v>
      </c>
      <c r="Q1554" t="s">
        <v>31</v>
      </c>
      <c r="R1554">
        <v>82640</v>
      </c>
      <c r="S1554" t="s">
        <v>42</v>
      </c>
      <c r="T1554">
        <v>82611</v>
      </c>
      <c r="U1554" t="s">
        <v>43</v>
      </c>
      <c r="V1554" t="s">
        <v>43</v>
      </c>
      <c r="W1554" t="s">
        <v>47</v>
      </c>
      <c r="X1554" t="s">
        <v>192</v>
      </c>
      <c r="Y1554" s="9">
        <f t="shared" si="73"/>
        <v>0</v>
      </c>
      <c r="Z1554" t="str">
        <f t="shared" si="74"/>
        <v>สแกนต่าง Cost</v>
      </c>
    </row>
    <row r="1555" spans="1:26" x14ac:dyDescent="0.45">
      <c r="B1555" t="s">
        <v>53</v>
      </c>
      <c r="C1555">
        <v>20280722</v>
      </c>
      <c r="D1555" t="s">
        <v>342</v>
      </c>
      <c r="E1555" s="10">
        <v>46127.541666666664</v>
      </c>
      <c r="F1555" s="10">
        <v>46127.729166666664</v>
      </c>
      <c r="G1555">
        <v>4.5</v>
      </c>
      <c r="H1555" s="9">
        <f t="shared" si="72"/>
        <v>2.4E-2</v>
      </c>
      <c r="I1555">
        <v>2.4E-2</v>
      </c>
      <c r="M1555" t="s">
        <v>65</v>
      </c>
      <c r="N1555" t="s">
        <v>29</v>
      </c>
      <c r="P1555" t="s">
        <v>30</v>
      </c>
      <c r="Q1555" t="s">
        <v>31</v>
      </c>
      <c r="R1555">
        <v>82640</v>
      </c>
      <c r="S1555" t="s">
        <v>42</v>
      </c>
      <c r="T1555">
        <v>82652</v>
      </c>
      <c r="U1555" t="s">
        <v>46</v>
      </c>
      <c r="V1555" t="s">
        <v>66</v>
      </c>
      <c r="W1555" t="s">
        <v>37</v>
      </c>
      <c r="X1555" t="s">
        <v>34</v>
      </c>
      <c r="Y1555" s="9">
        <f t="shared" si="73"/>
        <v>0</v>
      </c>
      <c r="Z1555" t="str">
        <f t="shared" si="74"/>
        <v>สแกนต่าง Cost</v>
      </c>
    </row>
    <row r="1556" spans="1:26" x14ac:dyDescent="0.45">
      <c r="B1556" t="s">
        <v>53</v>
      </c>
      <c r="C1556">
        <v>20310530</v>
      </c>
      <c r="D1556" t="s">
        <v>220</v>
      </c>
      <c r="E1556" s="10">
        <v>46127.541666666664</v>
      </c>
      <c r="F1556" s="10">
        <v>46127.729166666664</v>
      </c>
      <c r="G1556">
        <v>4.5</v>
      </c>
      <c r="H1556" s="9">
        <f t="shared" si="72"/>
        <v>2.4E-2</v>
      </c>
      <c r="I1556">
        <v>2.4E-2</v>
      </c>
      <c r="M1556" t="s">
        <v>65</v>
      </c>
      <c r="N1556" t="s">
        <v>29</v>
      </c>
      <c r="P1556" t="s">
        <v>30</v>
      </c>
      <c r="Q1556" t="s">
        <v>31</v>
      </c>
      <c r="R1556">
        <v>82640</v>
      </c>
      <c r="S1556" t="s">
        <v>42</v>
      </c>
      <c r="T1556">
        <v>82630</v>
      </c>
      <c r="U1556" t="s">
        <v>32</v>
      </c>
      <c r="V1556" t="s">
        <v>66</v>
      </c>
      <c r="W1556" t="s">
        <v>44</v>
      </c>
      <c r="X1556" t="s">
        <v>44</v>
      </c>
      <c r="Y1556" s="9">
        <f t="shared" si="73"/>
        <v>0</v>
      </c>
      <c r="Z1556" t="str">
        <f t="shared" si="74"/>
        <v>สแกนต่าง Cost</v>
      </c>
    </row>
    <row r="1557" spans="1:26" x14ac:dyDescent="0.45">
      <c r="B1557" t="s">
        <v>53</v>
      </c>
      <c r="C1557">
        <v>20340657</v>
      </c>
      <c r="D1557" t="s">
        <v>221</v>
      </c>
      <c r="E1557" s="10">
        <v>46127.541666666664</v>
      </c>
      <c r="F1557" s="10">
        <v>46127.729166666664</v>
      </c>
      <c r="G1557">
        <v>4.5</v>
      </c>
      <c r="H1557" s="9">
        <f t="shared" si="72"/>
        <v>2.4E-2</v>
      </c>
      <c r="I1557">
        <v>2.4E-2</v>
      </c>
      <c r="M1557" t="s">
        <v>65</v>
      </c>
      <c r="N1557" t="s">
        <v>29</v>
      </c>
      <c r="P1557" t="s">
        <v>30</v>
      </c>
      <c r="Q1557" t="s">
        <v>31</v>
      </c>
      <c r="R1557">
        <v>82640</v>
      </c>
      <c r="S1557" t="s">
        <v>42</v>
      </c>
      <c r="T1557">
        <v>82612</v>
      </c>
      <c r="U1557" t="s">
        <v>153</v>
      </c>
      <c r="V1557" t="s">
        <v>66</v>
      </c>
      <c r="W1557" t="s">
        <v>44</v>
      </c>
      <c r="X1557" t="s">
        <v>44</v>
      </c>
      <c r="Y1557" s="9">
        <f t="shared" si="73"/>
        <v>0</v>
      </c>
      <c r="Z1557" t="str">
        <f t="shared" si="74"/>
        <v>สแกนต่าง Cost</v>
      </c>
    </row>
    <row r="1558" spans="1:26" x14ac:dyDescent="0.45">
      <c r="A1558">
        <v>26591</v>
      </c>
      <c r="B1558" t="s">
        <v>53</v>
      </c>
      <c r="C1558">
        <v>20048905</v>
      </c>
      <c r="D1558" t="s">
        <v>73</v>
      </c>
      <c r="E1558" s="10">
        <v>46127.515277777777</v>
      </c>
      <c r="F1558" s="10">
        <v>46127.982638888891</v>
      </c>
      <c r="G1558">
        <v>11.216666666666667</v>
      </c>
      <c r="H1558" s="9">
        <f t="shared" si="72"/>
        <v>0.06</v>
      </c>
      <c r="I1558">
        <v>4.4999999999999998E-2</v>
      </c>
      <c r="K1558">
        <v>1.4999999999999999E-2</v>
      </c>
      <c r="M1558" t="s">
        <v>28</v>
      </c>
      <c r="N1558" t="s">
        <v>40</v>
      </c>
      <c r="O1558" t="s">
        <v>181</v>
      </c>
      <c r="P1558" t="s">
        <v>30</v>
      </c>
      <c r="Q1558" t="s">
        <v>31</v>
      </c>
      <c r="R1558">
        <v>82409</v>
      </c>
      <c r="S1558" t="s">
        <v>74</v>
      </c>
      <c r="T1558">
        <v>82664</v>
      </c>
      <c r="U1558" t="s">
        <v>75</v>
      </c>
      <c r="V1558" t="s">
        <v>75</v>
      </c>
      <c r="W1558" t="s">
        <v>74</v>
      </c>
      <c r="X1558" t="s">
        <v>74</v>
      </c>
      <c r="Y1558" s="9">
        <f t="shared" si="73"/>
        <v>1.4999999999999999E-2</v>
      </c>
      <c r="Z1558" t="str">
        <f t="shared" si="74"/>
        <v>สแกนต่าง Cost</v>
      </c>
    </row>
    <row r="1559" spans="1:26" x14ac:dyDescent="0.45">
      <c r="B1559" t="s">
        <v>53</v>
      </c>
      <c r="C1559">
        <v>20167851</v>
      </c>
      <c r="D1559" t="s">
        <v>63</v>
      </c>
      <c r="E1559" s="10">
        <v>46127.458333333336</v>
      </c>
      <c r="F1559" s="10">
        <v>46127.5</v>
      </c>
      <c r="G1559">
        <v>1</v>
      </c>
      <c r="H1559" s="9">
        <f t="shared" si="72"/>
        <v>5.0000000000000001E-3</v>
      </c>
      <c r="I1559">
        <v>5.0000000000000001E-3</v>
      </c>
      <c r="M1559" t="s">
        <v>65</v>
      </c>
      <c r="N1559" t="s">
        <v>29</v>
      </c>
      <c r="P1559" t="s">
        <v>30</v>
      </c>
      <c r="Q1559" t="s">
        <v>31</v>
      </c>
      <c r="R1559">
        <v>82640</v>
      </c>
      <c r="S1559" t="s">
        <v>42</v>
      </c>
      <c r="T1559">
        <v>82630</v>
      </c>
      <c r="U1559" t="s">
        <v>32</v>
      </c>
      <c r="V1559" t="s">
        <v>66</v>
      </c>
      <c r="W1559" t="s">
        <v>44</v>
      </c>
      <c r="X1559" t="s">
        <v>44</v>
      </c>
      <c r="Y1559" s="9">
        <f t="shared" si="73"/>
        <v>0</v>
      </c>
      <c r="Z1559" t="str">
        <f t="shared" si="74"/>
        <v>สแกนต่าง Cost</v>
      </c>
    </row>
    <row r="1560" spans="1:26" x14ac:dyDescent="0.45">
      <c r="B1560" t="s">
        <v>53</v>
      </c>
      <c r="C1560">
        <v>20198839</v>
      </c>
      <c r="D1560" t="s">
        <v>258</v>
      </c>
      <c r="E1560" s="10">
        <v>46127.458333333336</v>
      </c>
      <c r="F1560" s="10">
        <v>46127.5</v>
      </c>
      <c r="G1560">
        <v>1</v>
      </c>
      <c r="H1560" s="9">
        <f t="shared" si="72"/>
        <v>5.0000000000000001E-3</v>
      </c>
      <c r="I1560">
        <v>5.0000000000000001E-3</v>
      </c>
      <c r="M1560" t="s">
        <v>65</v>
      </c>
      <c r="N1560" t="s">
        <v>29</v>
      </c>
      <c r="P1560" t="s">
        <v>30</v>
      </c>
      <c r="Q1560" t="s">
        <v>31</v>
      </c>
      <c r="R1560">
        <v>82640</v>
      </c>
      <c r="S1560" t="s">
        <v>42</v>
      </c>
      <c r="T1560">
        <v>82611</v>
      </c>
      <c r="U1560" t="s">
        <v>43</v>
      </c>
      <c r="V1560" t="s">
        <v>66</v>
      </c>
      <c r="W1560" t="s">
        <v>44</v>
      </c>
      <c r="X1560" t="s">
        <v>44</v>
      </c>
      <c r="Y1560" s="9">
        <f t="shared" si="73"/>
        <v>0</v>
      </c>
      <c r="Z1560" t="str">
        <f t="shared" si="74"/>
        <v>สแกนต่าง Cost</v>
      </c>
    </row>
    <row r="1561" spans="1:26" x14ac:dyDescent="0.45">
      <c r="B1561" t="s">
        <v>53</v>
      </c>
      <c r="C1561">
        <v>20060579</v>
      </c>
      <c r="D1561" t="s">
        <v>39</v>
      </c>
      <c r="E1561" s="10">
        <v>46127.4375</v>
      </c>
      <c r="F1561" s="10">
        <v>46127.5</v>
      </c>
      <c r="G1561">
        <v>1.5</v>
      </c>
      <c r="H1561" s="9">
        <f t="shared" si="72"/>
        <v>8.0000000000000002E-3</v>
      </c>
      <c r="J1561">
        <v>8.0000000000000002E-3</v>
      </c>
      <c r="M1561" t="s">
        <v>77</v>
      </c>
      <c r="N1561" t="s">
        <v>29</v>
      </c>
      <c r="P1561" t="s">
        <v>30</v>
      </c>
      <c r="Q1561" t="s">
        <v>31</v>
      </c>
      <c r="R1561">
        <v>82640</v>
      </c>
      <c r="S1561" t="s">
        <v>42</v>
      </c>
      <c r="T1561">
        <v>82630</v>
      </c>
      <c r="U1561" t="s">
        <v>32</v>
      </c>
      <c r="V1561" t="s">
        <v>66</v>
      </c>
      <c r="W1561" t="s">
        <v>44</v>
      </c>
      <c r="X1561" t="s">
        <v>44</v>
      </c>
      <c r="Y1561" s="9">
        <f t="shared" si="73"/>
        <v>8.0000000000000002E-3</v>
      </c>
      <c r="Z1561" t="str">
        <f t="shared" si="74"/>
        <v>สแกนต่าง Cost</v>
      </c>
    </row>
    <row r="1562" spans="1:26" x14ac:dyDescent="0.45">
      <c r="B1562" t="s">
        <v>53</v>
      </c>
      <c r="C1562">
        <v>20368087</v>
      </c>
      <c r="D1562" t="s">
        <v>260</v>
      </c>
      <c r="E1562" s="10">
        <v>46127.416666666664</v>
      </c>
      <c r="F1562" s="10">
        <v>46127.5</v>
      </c>
      <c r="G1562">
        <v>2</v>
      </c>
      <c r="H1562" s="9">
        <f t="shared" si="72"/>
        <v>1.0999999999999999E-2</v>
      </c>
      <c r="J1562">
        <v>1.0999999999999999E-2</v>
      </c>
      <c r="M1562" t="s">
        <v>77</v>
      </c>
      <c r="N1562" t="s">
        <v>40</v>
      </c>
      <c r="O1562" t="s">
        <v>78</v>
      </c>
      <c r="P1562" t="s">
        <v>30</v>
      </c>
      <c r="Q1562" t="s">
        <v>31</v>
      </c>
      <c r="R1562">
        <v>82640</v>
      </c>
      <c r="S1562" t="s">
        <v>42</v>
      </c>
      <c r="T1562">
        <v>82630</v>
      </c>
      <c r="U1562" t="s">
        <v>32</v>
      </c>
      <c r="V1562" t="s">
        <v>66</v>
      </c>
      <c r="W1562" t="s">
        <v>44</v>
      </c>
      <c r="X1562" t="s">
        <v>44</v>
      </c>
      <c r="Y1562" s="9">
        <f t="shared" si="73"/>
        <v>1.0999999999999999E-2</v>
      </c>
      <c r="Z1562" t="str">
        <f t="shared" si="74"/>
        <v>สแกนต่าง Cost</v>
      </c>
    </row>
    <row r="1563" spans="1:26" x14ac:dyDescent="0.45">
      <c r="B1563" t="s">
        <v>53</v>
      </c>
      <c r="C1563">
        <v>20027956</v>
      </c>
      <c r="D1563" t="s">
        <v>214</v>
      </c>
      <c r="E1563" s="10">
        <v>46127.395833333336</v>
      </c>
      <c r="F1563" s="10">
        <v>46127.5</v>
      </c>
      <c r="G1563">
        <v>2.5</v>
      </c>
      <c r="H1563" s="9">
        <f t="shared" si="72"/>
        <v>1.2999999999999999E-2</v>
      </c>
      <c r="I1563">
        <v>1.2999999999999999E-2</v>
      </c>
      <c r="M1563" t="s">
        <v>65</v>
      </c>
      <c r="N1563" t="s">
        <v>29</v>
      </c>
      <c r="P1563" t="s">
        <v>30</v>
      </c>
      <c r="Q1563" t="s">
        <v>31</v>
      </c>
      <c r="R1563">
        <v>82640</v>
      </c>
      <c r="S1563" t="s">
        <v>42</v>
      </c>
      <c r="T1563">
        <v>82611</v>
      </c>
      <c r="U1563" t="s">
        <v>43</v>
      </c>
      <c r="V1563" t="s">
        <v>66</v>
      </c>
      <c r="W1563" t="s">
        <v>44</v>
      </c>
      <c r="X1563" t="s">
        <v>44</v>
      </c>
      <c r="Y1563" s="9">
        <f t="shared" si="73"/>
        <v>0</v>
      </c>
      <c r="Z1563" t="str">
        <f t="shared" si="74"/>
        <v>สแกนต่าง Cost</v>
      </c>
    </row>
    <row r="1564" spans="1:26" x14ac:dyDescent="0.45">
      <c r="B1564" t="s">
        <v>53</v>
      </c>
      <c r="C1564">
        <v>20198839</v>
      </c>
      <c r="D1564" t="s">
        <v>258</v>
      </c>
      <c r="E1564" s="10">
        <v>46127.395833333336</v>
      </c>
      <c r="F1564" s="10">
        <v>46127.4375</v>
      </c>
      <c r="G1564">
        <v>1</v>
      </c>
      <c r="H1564" s="9">
        <f t="shared" si="72"/>
        <v>5.0000000000000001E-3</v>
      </c>
      <c r="I1564">
        <v>5.0000000000000001E-3</v>
      </c>
      <c r="M1564" t="s">
        <v>65</v>
      </c>
      <c r="N1564" t="s">
        <v>29</v>
      </c>
      <c r="P1564" t="s">
        <v>30</v>
      </c>
      <c r="Q1564" t="s">
        <v>31</v>
      </c>
      <c r="R1564">
        <v>82640</v>
      </c>
      <c r="S1564" t="s">
        <v>42</v>
      </c>
      <c r="T1564">
        <v>82611</v>
      </c>
      <c r="U1564" t="s">
        <v>43</v>
      </c>
      <c r="V1564" t="s">
        <v>66</v>
      </c>
      <c r="W1564" t="s">
        <v>44</v>
      </c>
      <c r="X1564" t="s">
        <v>44</v>
      </c>
      <c r="Y1564" s="9">
        <f t="shared" si="73"/>
        <v>0</v>
      </c>
      <c r="Z1564" t="str">
        <f t="shared" si="74"/>
        <v>สแกนต่าง Cost</v>
      </c>
    </row>
    <row r="1565" spans="1:26" x14ac:dyDescent="0.45">
      <c r="B1565" t="s">
        <v>26</v>
      </c>
      <c r="C1565">
        <v>20372078</v>
      </c>
      <c r="D1565" t="s">
        <v>82</v>
      </c>
      <c r="E1565" s="10">
        <v>46127.388194444444</v>
      </c>
      <c r="F1565" s="10">
        <v>46127.729166666664</v>
      </c>
      <c r="G1565">
        <v>7.1833333333333336</v>
      </c>
      <c r="H1565" s="9">
        <f t="shared" si="72"/>
        <v>3.7999999999999999E-2</v>
      </c>
      <c r="I1565">
        <v>3.7999999999999999E-2</v>
      </c>
      <c r="M1565" t="s">
        <v>65</v>
      </c>
      <c r="N1565" t="s">
        <v>29</v>
      </c>
      <c r="P1565" t="s">
        <v>30</v>
      </c>
      <c r="Q1565" t="s">
        <v>31</v>
      </c>
      <c r="R1565">
        <v>82400</v>
      </c>
      <c r="S1565" t="s">
        <v>83</v>
      </c>
      <c r="T1565">
        <v>82658</v>
      </c>
      <c r="U1565" t="s">
        <v>33</v>
      </c>
      <c r="V1565" t="s">
        <v>33</v>
      </c>
      <c r="W1565" t="s">
        <v>37</v>
      </c>
      <c r="X1565" t="s">
        <v>38</v>
      </c>
      <c r="Y1565" s="9">
        <f t="shared" si="73"/>
        <v>0</v>
      </c>
      <c r="Z1565" t="str">
        <f t="shared" si="74"/>
        <v>สแกนต่าง Cost</v>
      </c>
    </row>
    <row r="1566" spans="1:26" x14ac:dyDescent="0.45">
      <c r="B1566" t="s">
        <v>26</v>
      </c>
      <c r="C1566">
        <v>20276266</v>
      </c>
      <c r="D1566" t="s">
        <v>292</v>
      </c>
      <c r="E1566" s="10">
        <v>46127.383333333331</v>
      </c>
      <c r="F1566" s="10">
        <v>46127.729166666664</v>
      </c>
      <c r="G1566">
        <v>7.3000000000000007</v>
      </c>
      <c r="H1566" s="9">
        <f t="shared" si="72"/>
        <v>3.9E-2</v>
      </c>
      <c r="J1566">
        <v>3.9E-2</v>
      </c>
      <c r="M1566" t="s">
        <v>77</v>
      </c>
      <c r="N1566" t="s">
        <v>40</v>
      </c>
      <c r="O1566" t="s">
        <v>78</v>
      </c>
      <c r="P1566" t="s">
        <v>30</v>
      </c>
      <c r="Q1566" t="s">
        <v>31</v>
      </c>
      <c r="R1566">
        <v>82301</v>
      </c>
      <c r="S1566" t="s">
        <v>79</v>
      </c>
      <c r="T1566">
        <v>82658</v>
      </c>
      <c r="U1566" t="s">
        <v>33</v>
      </c>
      <c r="V1566" t="s">
        <v>33</v>
      </c>
      <c r="W1566" t="s">
        <v>34</v>
      </c>
      <c r="X1566" t="s">
        <v>34</v>
      </c>
      <c r="Y1566" s="9">
        <f t="shared" si="73"/>
        <v>3.9E-2</v>
      </c>
      <c r="Z1566" t="str">
        <f t="shared" si="74"/>
        <v>สแกนต่าง Cost</v>
      </c>
    </row>
    <row r="1567" spans="1:26" x14ac:dyDescent="0.45">
      <c r="B1567" t="s">
        <v>26</v>
      </c>
      <c r="C1567">
        <v>20238364</v>
      </c>
      <c r="D1567" t="s">
        <v>198</v>
      </c>
      <c r="E1567" s="10">
        <v>46127.376388888886</v>
      </c>
      <c r="F1567" s="10">
        <v>46127.729166666664</v>
      </c>
      <c r="G1567">
        <v>7.4666666666666668</v>
      </c>
      <c r="H1567" s="9">
        <f t="shared" si="72"/>
        <v>0.04</v>
      </c>
      <c r="I1567">
        <v>0.04</v>
      </c>
      <c r="M1567" t="s">
        <v>65</v>
      </c>
      <c r="N1567" t="s">
        <v>29</v>
      </c>
      <c r="P1567" t="s">
        <v>30</v>
      </c>
      <c r="Q1567" t="s">
        <v>31</v>
      </c>
      <c r="R1567">
        <v>82306</v>
      </c>
      <c r="S1567" t="s">
        <v>55</v>
      </c>
      <c r="T1567">
        <v>82658</v>
      </c>
      <c r="U1567" t="s">
        <v>33</v>
      </c>
      <c r="V1567" t="s">
        <v>33</v>
      </c>
      <c r="W1567" t="s">
        <v>34</v>
      </c>
      <c r="X1567" t="s">
        <v>34</v>
      </c>
      <c r="Y1567" s="9">
        <f t="shared" si="73"/>
        <v>0</v>
      </c>
      <c r="Z1567" t="str">
        <f t="shared" si="74"/>
        <v>สแกนต่าง Cost</v>
      </c>
    </row>
    <row r="1568" spans="1:26" x14ac:dyDescent="0.45">
      <c r="B1568" t="s">
        <v>26</v>
      </c>
      <c r="C1568">
        <v>20403191</v>
      </c>
      <c r="D1568" t="s">
        <v>122</v>
      </c>
      <c r="E1568" s="10">
        <v>46127.372916666667</v>
      </c>
      <c r="F1568" s="10">
        <v>46127.716666666667</v>
      </c>
      <c r="G1568">
        <v>7.25</v>
      </c>
      <c r="H1568" s="9">
        <f t="shared" si="72"/>
        <v>3.9E-2</v>
      </c>
      <c r="I1568">
        <v>3.9E-2</v>
      </c>
      <c r="M1568" t="s">
        <v>48</v>
      </c>
      <c r="N1568" t="s">
        <v>48</v>
      </c>
      <c r="P1568" t="s">
        <v>30</v>
      </c>
      <c r="Q1568" t="s">
        <v>31</v>
      </c>
      <c r="R1568">
        <v>82400</v>
      </c>
      <c r="S1568" t="s">
        <v>83</v>
      </c>
      <c r="T1568">
        <v>82658</v>
      </c>
      <c r="U1568" t="s">
        <v>33</v>
      </c>
      <c r="V1568" t="s">
        <v>33</v>
      </c>
      <c r="W1568" t="s">
        <v>34</v>
      </c>
      <c r="X1568" t="s">
        <v>34</v>
      </c>
      <c r="Y1568" s="9">
        <f t="shared" si="73"/>
        <v>0</v>
      </c>
      <c r="Z1568" t="str">
        <f t="shared" si="74"/>
        <v>สแกนต่าง Cost</v>
      </c>
    </row>
    <row r="1569" spans="2:26" x14ac:dyDescent="0.45">
      <c r="B1569" t="s">
        <v>26</v>
      </c>
      <c r="C1569">
        <v>20403192</v>
      </c>
      <c r="D1569" t="s">
        <v>123</v>
      </c>
      <c r="E1569" s="10">
        <v>46127.372916666667</v>
      </c>
      <c r="F1569" s="10">
        <v>46127.716666666667</v>
      </c>
      <c r="G1569">
        <v>7.25</v>
      </c>
      <c r="H1569" s="9">
        <f t="shared" si="72"/>
        <v>3.9E-2</v>
      </c>
      <c r="I1569">
        <v>3.9E-2</v>
      </c>
      <c r="M1569" t="s">
        <v>48</v>
      </c>
      <c r="N1569" t="s">
        <v>48</v>
      </c>
      <c r="P1569" t="s">
        <v>30</v>
      </c>
      <c r="Q1569" t="s">
        <v>31</v>
      </c>
      <c r="R1569">
        <v>82400</v>
      </c>
      <c r="S1569" t="s">
        <v>83</v>
      </c>
      <c r="T1569">
        <v>82658</v>
      </c>
      <c r="U1569" t="s">
        <v>33</v>
      </c>
      <c r="V1569" t="s">
        <v>33</v>
      </c>
      <c r="W1569" t="s">
        <v>34</v>
      </c>
      <c r="X1569" t="s">
        <v>34</v>
      </c>
      <c r="Y1569" s="9">
        <f t="shared" si="73"/>
        <v>0</v>
      </c>
      <c r="Z1569" t="str">
        <f t="shared" si="74"/>
        <v>สแกนต่าง Cost</v>
      </c>
    </row>
    <row r="1570" spans="2:26" x14ac:dyDescent="0.45">
      <c r="B1570" t="s">
        <v>26</v>
      </c>
      <c r="C1570">
        <v>20403252</v>
      </c>
      <c r="D1570" t="s">
        <v>124</v>
      </c>
      <c r="E1570" s="10">
        <v>46127.372916666667</v>
      </c>
      <c r="F1570" s="10">
        <v>46127.70416666667</v>
      </c>
      <c r="G1570">
        <v>6.95</v>
      </c>
      <c r="H1570" s="9">
        <f t="shared" si="72"/>
        <v>3.6999999999999998E-2</v>
      </c>
      <c r="I1570">
        <v>3.6999999999999998E-2</v>
      </c>
      <c r="M1570" t="s">
        <v>48</v>
      </c>
      <c r="N1570" t="s">
        <v>48</v>
      </c>
      <c r="P1570" t="s">
        <v>30</v>
      </c>
      <c r="Q1570" t="s">
        <v>31</v>
      </c>
      <c r="R1570">
        <v>82400</v>
      </c>
      <c r="S1570" t="s">
        <v>83</v>
      </c>
      <c r="T1570">
        <v>82658</v>
      </c>
      <c r="U1570" t="s">
        <v>33</v>
      </c>
      <c r="V1570" t="s">
        <v>33</v>
      </c>
      <c r="W1570" t="s">
        <v>34</v>
      </c>
      <c r="X1570" t="s">
        <v>34</v>
      </c>
      <c r="Y1570" s="9">
        <f t="shared" si="73"/>
        <v>0</v>
      </c>
      <c r="Z1570" t="str">
        <f t="shared" si="74"/>
        <v>สแกนต่าง Cost</v>
      </c>
    </row>
    <row r="1571" spans="2:26" x14ac:dyDescent="0.45">
      <c r="B1571" t="s">
        <v>26</v>
      </c>
      <c r="C1571">
        <v>20003999</v>
      </c>
      <c r="D1571" t="s">
        <v>340</v>
      </c>
      <c r="E1571" s="10">
        <v>46127.369444444441</v>
      </c>
      <c r="F1571" s="10">
        <v>46127.729166666664</v>
      </c>
      <c r="G1571">
        <v>7.6333333333333329</v>
      </c>
      <c r="H1571" s="9">
        <f t="shared" si="72"/>
        <v>4.1000000000000002E-2</v>
      </c>
      <c r="J1571">
        <v>4.1000000000000002E-2</v>
      </c>
      <c r="M1571" t="s">
        <v>77</v>
      </c>
      <c r="N1571" t="s">
        <v>40</v>
      </c>
      <c r="O1571" t="s">
        <v>78</v>
      </c>
      <c r="P1571" t="s">
        <v>30</v>
      </c>
      <c r="Q1571" t="s">
        <v>31</v>
      </c>
      <c r="R1571">
        <v>82301</v>
      </c>
      <c r="S1571" t="s">
        <v>79</v>
      </c>
      <c r="T1571">
        <v>82658</v>
      </c>
      <c r="U1571" t="s">
        <v>33</v>
      </c>
      <c r="V1571" t="s">
        <v>33</v>
      </c>
      <c r="W1571" t="s">
        <v>34</v>
      </c>
      <c r="X1571" t="s">
        <v>34</v>
      </c>
      <c r="Y1571" s="9">
        <f t="shared" si="73"/>
        <v>4.1000000000000002E-2</v>
      </c>
      <c r="Z1571" t="str">
        <f t="shared" si="74"/>
        <v>สแกนต่าง Cost</v>
      </c>
    </row>
    <row r="1572" spans="2:26" x14ac:dyDescent="0.45">
      <c r="B1572" t="s">
        <v>26</v>
      </c>
      <c r="C1572">
        <v>20023073</v>
      </c>
      <c r="D1572" t="s">
        <v>199</v>
      </c>
      <c r="E1572" s="10">
        <v>46127.368750000001</v>
      </c>
      <c r="F1572" s="10">
        <v>46127.729166666664</v>
      </c>
      <c r="G1572">
        <v>7.65</v>
      </c>
      <c r="H1572" s="9">
        <f t="shared" si="72"/>
        <v>4.1000000000000002E-2</v>
      </c>
      <c r="J1572">
        <v>4.1000000000000002E-2</v>
      </c>
      <c r="M1572" t="s">
        <v>77</v>
      </c>
      <c r="N1572" t="s">
        <v>40</v>
      </c>
      <c r="O1572" t="s">
        <v>78</v>
      </c>
      <c r="P1572" t="s">
        <v>30</v>
      </c>
      <c r="Q1572" t="s">
        <v>31</v>
      </c>
      <c r="R1572">
        <v>82301</v>
      </c>
      <c r="S1572" t="s">
        <v>79</v>
      </c>
      <c r="T1572">
        <v>82658</v>
      </c>
      <c r="U1572" t="s">
        <v>33</v>
      </c>
      <c r="V1572" t="s">
        <v>33</v>
      </c>
      <c r="W1572" t="s">
        <v>34</v>
      </c>
      <c r="X1572" t="s">
        <v>34</v>
      </c>
      <c r="Y1572" s="9">
        <f t="shared" si="73"/>
        <v>4.1000000000000002E-2</v>
      </c>
      <c r="Z1572" t="str">
        <f t="shared" si="74"/>
        <v>สแกนต่าง Cost</v>
      </c>
    </row>
    <row r="1573" spans="2:26" x14ac:dyDescent="0.45">
      <c r="B1573" t="s">
        <v>26</v>
      </c>
      <c r="C1573">
        <v>20276264</v>
      </c>
      <c r="D1573" t="s">
        <v>236</v>
      </c>
      <c r="E1573" s="10">
        <v>46127.368750000001</v>
      </c>
      <c r="F1573" s="10">
        <v>46127.729166666664</v>
      </c>
      <c r="G1573">
        <v>7.65</v>
      </c>
      <c r="H1573" s="9">
        <f t="shared" si="72"/>
        <v>4.1000000000000002E-2</v>
      </c>
      <c r="I1573">
        <v>4.1000000000000002E-2</v>
      </c>
      <c r="M1573" t="s">
        <v>65</v>
      </c>
      <c r="N1573" t="s">
        <v>29</v>
      </c>
      <c r="P1573" t="s">
        <v>30</v>
      </c>
      <c r="Q1573" t="s">
        <v>31</v>
      </c>
      <c r="R1573">
        <v>82301</v>
      </c>
      <c r="S1573" t="s">
        <v>79</v>
      </c>
      <c r="T1573">
        <v>82658</v>
      </c>
      <c r="U1573" t="s">
        <v>33</v>
      </c>
      <c r="V1573" t="s">
        <v>33</v>
      </c>
      <c r="W1573" t="s">
        <v>34</v>
      </c>
      <c r="X1573" t="s">
        <v>34</v>
      </c>
      <c r="Y1573" s="9">
        <f t="shared" si="73"/>
        <v>0</v>
      </c>
      <c r="Z1573" t="str">
        <f t="shared" si="74"/>
        <v>สแกนต่าง Cost</v>
      </c>
    </row>
    <row r="1574" spans="2:26" x14ac:dyDescent="0.45">
      <c r="B1574" t="s">
        <v>26</v>
      </c>
      <c r="C1574">
        <v>20334399</v>
      </c>
      <c r="D1574" t="s">
        <v>237</v>
      </c>
      <c r="E1574" s="10">
        <v>46127.368750000001</v>
      </c>
      <c r="F1574" s="10">
        <v>46127.729166666664</v>
      </c>
      <c r="G1574">
        <v>7.65</v>
      </c>
      <c r="H1574" s="9">
        <f t="shared" si="72"/>
        <v>4.1000000000000002E-2</v>
      </c>
      <c r="I1574">
        <v>4.1000000000000002E-2</v>
      </c>
      <c r="M1574" t="s">
        <v>65</v>
      </c>
      <c r="N1574" t="s">
        <v>29</v>
      </c>
      <c r="P1574" t="s">
        <v>30</v>
      </c>
      <c r="Q1574" t="s">
        <v>31</v>
      </c>
      <c r="R1574">
        <v>82301</v>
      </c>
      <c r="S1574" t="s">
        <v>79</v>
      </c>
      <c r="T1574">
        <v>82658</v>
      </c>
      <c r="U1574" t="s">
        <v>33</v>
      </c>
      <c r="V1574" t="s">
        <v>33</v>
      </c>
      <c r="W1574" t="s">
        <v>34</v>
      </c>
      <c r="X1574" t="s">
        <v>34</v>
      </c>
      <c r="Y1574" s="9">
        <f t="shared" si="73"/>
        <v>0</v>
      </c>
      <c r="Z1574" t="str">
        <f t="shared" si="74"/>
        <v>สแกนต่าง Cost</v>
      </c>
    </row>
    <row r="1575" spans="2:26" x14ac:dyDescent="0.45">
      <c r="B1575" t="s">
        <v>26</v>
      </c>
      <c r="C1575">
        <v>20025699</v>
      </c>
      <c r="D1575" t="s">
        <v>234</v>
      </c>
      <c r="E1575" s="10">
        <v>46127.368055555555</v>
      </c>
      <c r="F1575" s="10">
        <v>46127.729166666664</v>
      </c>
      <c r="G1575">
        <v>7.6666666666666661</v>
      </c>
      <c r="H1575" s="9">
        <f t="shared" si="72"/>
        <v>4.1000000000000002E-2</v>
      </c>
      <c r="J1575">
        <v>4.1000000000000002E-2</v>
      </c>
      <c r="M1575" t="s">
        <v>77</v>
      </c>
      <c r="N1575" t="s">
        <v>40</v>
      </c>
      <c r="O1575" t="s">
        <v>78</v>
      </c>
      <c r="P1575" t="s">
        <v>30</v>
      </c>
      <c r="Q1575" t="s">
        <v>31</v>
      </c>
      <c r="R1575">
        <v>82301</v>
      </c>
      <c r="S1575" t="s">
        <v>79</v>
      </c>
      <c r="T1575">
        <v>82658</v>
      </c>
      <c r="U1575" t="s">
        <v>33</v>
      </c>
      <c r="V1575" t="s">
        <v>33</v>
      </c>
      <c r="W1575" t="s">
        <v>34</v>
      </c>
      <c r="X1575" t="s">
        <v>34</v>
      </c>
      <c r="Y1575" s="9">
        <f t="shared" si="73"/>
        <v>4.1000000000000002E-2</v>
      </c>
      <c r="Z1575" t="str">
        <f t="shared" si="74"/>
        <v>สแกนต่าง Cost</v>
      </c>
    </row>
    <row r="1576" spans="2:26" x14ac:dyDescent="0.45">
      <c r="B1576" t="s">
        <v>26</v>
      </c>
      <c r="C1576">
        <v>20060581</v>
      </c>
      <c r="D1576" t="s">
        <v>343</v>
      </c>
      <c r="E1576" s="10">
        <v>46127.368055555555</v>
      </c>
      <c r="F1576" s="10">
        <v>46127.729166666664</v>
      </c>
      <c r="G1576">
        <v>7.6666666666666661</v>
      </c>
      <c r="H1576" s="9">
        <f t="shared" si="72"/>
        <v>4.1000000000000002E-2</v>
      </c>
      <c r="I1576">
        <v>4.1000000000000002E-2</v>
      </c>
      <c r="M1576" t="s">
        <v>65</v>
      </c>
      <c r="N1576" t="s">
        <v>29</v>
      </c>
      <c r="P1576" t="s">
        <v>30</v>
      </c>
      <c r="Q1576" t="s">
        <v>31</v>
      </c>
      <c r="R1576">
        <v>82303</v>
      </c>
      <c r="S1576" t="s">
        <v>56</v>
      </c>
      <c r="T1576">
        <v>82658</v>
      </c>
      <c r="U1576" t="s">
        <v>33</v>
      </c>
      <c r="V1576" t="s">
        <v>33</v>
      </c>
      <c r="W1576" t="s">
        <v>34</v>
      </c>
      <c r="X1576" t="s">
        <v>34</v>
      </c>
      <c r="Y1576" s="9">
        <f t="shared" si="73"/>
        <v>0</v>
      </c>
      <c r="Z1576" t="str">
        <f t="shared" si="74"/>
        <v>สแกนต่าง Cost</v>
      </c>
    </row>
    <row r="1577" spans="2:26" x14ac:dyDescent="0.45">
      <c r="B1577" t="s">
        <v>26</v>
      </c>
      <c r="C1577">
        <v>20190541</v>
      </c>
      <c r="D1577" t="s">
        <v>344</v>
      </c>
      <c r="E1577" s="10">
        <v>46127.368055555555</v>
      </c>
      <c r="F1577" s="10">
        <v>46127.729166666664</v>
      </c>
      <c r="G1577">
        <v>7.6666666666666661</v>
      </c>
      <c r="H1577" s="9">
        <f t="shared" si="72"/>
        <v>4.1000000000000002E-2</v>
      </c>
      <c r="I1577">
        <v>4.1000000000000002E-2</v>
      </c>
      <c r="M1577" t="s">
        <v>65</v>
      </c>
      <c r="N1577" t="s">
        <v>29</v>
      </c>
      <c r="P1577" t="s">
        <v>30</v>
      </c>
      <c r="Q1577" t="s">
        <v>31</v>
      </c>
      <c r="R1577">
        <v>82303</v>
      </c>
      <c r="S1577" t="s">
        <v>56</v>
      </c>
      <c r="T1577">
        <v>82658</v>
      </c>
      <c r="U1577" t="s">
        <v>33</v>
      </c>
      <c r="V1577" t="s">
        <v>33</v>
      </c>
      <c r="W1577" t="s">
        <v>34</v>
      </c>
      <c r="X1577" t="s">
        <v>34</v>
      </c>
      <c r="Y1577" s="9">
        <f t="shared" si="73"/>
        <v>0</v>
      </c>
      <c r="Z1577" t="str">
        <f t="shared" si="74"/>
        <v>สแกนต่าง Cost</v>
      </c>
    </row>
    <row r="1578" spans="2:26" x14ac:dyDescent="0.45">
      <c r="B1578" t="s">
        <v>26</v>
      </c>
      <c r="C1578">
        <v>20352284</v>
      </c>
      <c r="D1578" t="s">
        <v>113</v>
      </c>
      <c r="E1578" s="10">
        <v>46127.361111111109</v>
      </c>
      <c r="F1578" s="10">
        <v>46127.729166666664</v>
      </c>
      <c r="G1578">
        <v>7.8333333333333339</v>
      </c>
      <c r="H1578" s="9">
        <f t="shared" si="72"/>
        <v>4.2000000000000003E-2</v>
      </c>
      <c r="I1578">
        <v>4.2000000000000003E-2</v>
      </c>
      <c r="M1578" t="s">
        <v>65</v>
      </c>
      <c r="N1578" t="s">
        <v>29</v>
      </c>
      <c r="P1578" t="s">
        <v>30</v>
      </c>
      <c r="Q1578" t="s">
        <v>31</v>
      </c>
      <c r="R1578">
        <v>82400</v>
      </c>
      <c r="S1578" t="s">
        <v>83</v>
      </c>
      <c r="T1578">
        <v>82658</v>
      </c>
      <c r="U1578" t="s">
        <v>33</v>
      </c>
      <c r="V1578" t="s">
        <v>33</v>
      </c>
      <c r="W1578" t="s">
        <v>34</v>
      </c>
      <c r="X1578" t="s">
        <v>34</v>
      </c>
      <c r="Y1578" s="9">
        <f t="shared" si="73"/>
        <v>0</v>
      </c>
      <c r="Z1578" t="str">
        <f t="shared" si="74"/>
        <v>สแกนต่าง Cost</v>
      </c>
    </row>
    <row r="1579" spans="2:26" x14ac:dyDescent="0.45">
      <c r="B1579" t="s">
        <v>53</v>
      </c>
      <c r="C1579">
        <v>20060579</v>
      </c>
      <c r="D1579" t="s">
        <v>39</v>
      </c>
      <c r="E1579" s="10">
        <v>46127.354166666664</v>
      </c>
      <c r="F1579" s="10">
        <v>46127.4375</v>
      </c>
      <c r="G1579">
        <v>2</v>
      </c>
      <c r="H1579" s="9">
        <f t="shared" si="72"/>
        <v>1.0999999999999999E-2</v>
      </c>
      <c r="J1579">
        <v>1.0999999999999999E-2</v>
      </c>
      <c r="M1579" t="s">
        <v>77</v>
      </c>
      <c r="N1579" t="s">
        <v>29</v>
      </c>
      <c r="P1579" t="s">
        <v>30</v>
      </c>
      <c r="Q1579" t="s">
        <v>31</v>
      </c>
      <c r="R1579">
        <v>82640</v>
      </c>
      <c r="S1579" t="s">
        <v>42</v>
      </c>
      <c r="T1579">
        <v>82612</v>
      </c>
      <c r="U1579" t="s">
        <v>153</v>
      </c>
      <c r="V1579" t="s">
        <v>66</v>
      </c>
      <c r="W1579" t="s">
        <v>44</v>
      </c>
      <c r="X1579" t="s">
        <v>44</v>
      </c>
      <c r="Y1579" s="9">
        <f t="shared" si="73"/>
        <v>1.0999999999999999E-2</v>
      </c>
      <c r="Z1579" t="str">
        <f t="shared" si="74"/>
        <v>สแกนต่าง Cost</v>
      </c>
    </row>
    <row r="1580" spans="2:26" x14ac:dyDescent="0.45">
      <c r="B1580" t="s">
        <v>53</v>
      </c>
      <c r="C1580">
        <v>20310530</v>
      </c>
      <c r="D1580" t="s">
        <v>220</v>
      </c>
      <c r="E1580" s="10">
        <v>46127.354166666664</v>
      </c>
      <c r="F1580" s="10">
        <v>46127.5</v>
      </c>
      <c r="G1580">
        <v>3.5</v>
      </c>
      <c r="H1580" s="9">
        <f t="shared" si="72"/>
        <v>1.9E-2</v>
      </c>
      <c r="I1580">
        <v>1.9E-2</v>
      </c>
      <c r="M1580" t="s">
        <v>65</v>
      </c>
      <c r="N1580" t="s">
        <v>29</v>
      </c>
      <c r="P1580" t="s">
        <v>30</v>
      </c>
      <c r="Q1580" t="s">
        <v>31</v>
      </c>
      <c r="R1580">
        <v>82640</v>
      </c>
      <c r="S1580" t="s">
        <v>42</v>
      </c>
      <c r="T1580">
        <v>82630</v>
      </c>
      <c r="U1580" t="s">
        <v>32</v>
      </c>
      <c r="V1580" t="s">
        <v>66</v>
      </c>
      <c r="W1580" t="s">
        <v>44</v>
      </c>
      <c r="X1580" t="s">
        <v>44</v>
      </c>
      <c r="Y1580" s="9">
        <f t="shared" si="73"/>
        <v>0</v>
      </c>
      <c r="Z1580" t="str">
        <f t="shared" si="74"/>
        <v>สแกนต่าง Cost</v>
      </c>
    </row>
    <row r="1581" spans="2:26" x14ac:dyDescent="0.45">
      <c r="B1581" t="s">
        <v>53</v>
      </c>
      <c r="C1581">
        <v>20340657</v>
      </c>
      <c r="D1581" t="s">
        <v>221</v>
      </c>
      <c r="E1581" s="10">
        <v>46127.354166666664</v>
      </c>
      <c r="F1581" s="10">
        <v>46127.5</v>
      </c>
      <c r="G1581">
        <v>3.5</v>
      </c>
      <c r="H1581" s="9">
        <f t="shared" si="72"/>
        <v>1.9E-2</v>
      </c>
      <c r="I1581">
        <v>1.9E-2</v>
      </c>
      <c r="M1581" t="s">
        <v>65</v>
      </c>
      <c r="N1581" t="s">
        <v>29</v>
      </c>
      <c r="P1581" t="s">
        <v>30</v>
      </c>
      <c r="Q1581" t="s">
        <v>31</v>
      </c>
      <c r="R1581">
        <v>82640</v>
      </c>
      <c r="S1581" t="s">
        <v>42</v>
      </c>
      <c r="T1581">
        <v>82612</v>
      </c>
      <c r="U1581" t="s">
        <v>153</v>
      </c>
      <c r="V1581" t="s">
        <v>66</v>
      </c>
      <c r="W1581" t="s">
        <v>44</v>
      </c>
      <c r="X1581" t="s">
        <v>44</v>
      </c>
      <c r="Y1581" s="9">
        <f t="shared" si="73"/>
        <v>0</v>
      </c>
      <c r="Z1581" t="str">
        <f t="shared" si="74"/>
        <v>สแกนต่าง Cost</v>
      </c>
    </row>
    <row r="1582" spans="2:26" x14ac:dyDescent="0.45">
      <c r="B1582" t="s">
        <v>26</v>
      </c>
      <c r="C1582">
        <v>20031838</v>
      </c>
      <c r="D1582" t="s">
        <v>143</v>
      </c>
      <c r="E1582" s="10">
        <v>46127.352083333331</v>
      </c>
      <c r="F1582" s="10">
        <v>46127.920138888891</v>
      </c>
      <c r="G1582">
        <v>13.633333333333333</v>
      </c>
      <c r="H1582" s="9">
        <f t="shared" si="72"/>
        <v>7.1999999999999995E-2</v>
      </c>
      <c r="I1582">
        <v>4.4999999999999998E-2</v>
      </c>
      <c r="K1582">
        <v>2.7E-2</v>
      </c>
      <c r="M1582" t="s">
        <v>28</v>
      </c>
      <c r="N1582" t="s">
        <v>40</v>
      </c>
      <c r="O1582" t="s">
        <v>140</v>
      </c>
      <c r="P1582" t="s">
        <v>30</v>
      </c>
      <c r="Q1582" t="s">
        <v>31</v>
      </c>
      <c r="R1582">
        <v>82652</v>
      </c>
      <c r="S1582" t="s">
        <v>46</v>
      </c>
      <c r="T1582">
        <v>82658</v>
      </c>
      <c r="U1582" t="s">
        <v>33</v>
      </c>
      <c r="V1582" t="s">
        <v>33</v>
      </c>
      <c r="W1582" t="s">
        <v>37</v>
      </c>
      <c r="X1582" t="s">
        <v>38</v>
      </c>
      <c r="Y1582" s="9">
        <f t="shared" si="73"/>
        <v>2.7E-2</v>
      </c>
      <c r="Z1582" t="str">
        <f t="shared" si="74"/>
        <v>สแกนต่าง Cost</v>
      </c>
    </row>
    <row r="1583" spans="2:26" x14ac:dyDescent="0.45">
      <c r="B1583" t="s">
        <v>26</v>
      </c>
      <c r="C1583">
        <v>20028097</v>
      </c>
      <c r="D1583" t="s">
        <v>139</v>
      </c>
      <c r="E1583" s="10">
        <v>46127.344444444447</v>
      </c>
      <c r="F1583" s="10">
        <v>46127.920138888891</v>
      </c>
      <c r="G1583">
        <v>13.816666666666666</v>
      </c>
      <c r="H1583" s="9">
        <f t="shared" si="72"/>
        <v>7.2999999999999995E-2</v>
      </c>
      <c r="I1583">
        <v>4.4999999999999998E-2</v>
      </c>
      <c r="K1583">
        <v>2.8000000000000001E-2</v>
      </c>
      <c r="M1583" t="s">
        <v>28</v>
      </c>
      <c r="N1583" t="s">
        <v>40</v>
      </c>
      <c r="O1583" t="s">
        <v>140</v>
      </c>
      <c r="P1583" t="s">
        <v>30</v>
      </c>
      <c r="Q1583" t="s">
        <v>31</v>
      </c>
      <c r="R1583">
        <v>82652</v>
      </c>
      <c r="S1583" t="s">
        <v>46</v>
      </c>
      <c r="T1583">
        <v>82658</v>
      </c>
      <c r="U1583" t="s">
        <v>33</v>
      </c>
      <c r="V1583" t="s">
        <v>33</v>
      </c>
      <c r="W1583" t="s">
        <v>37</v>
      </c>
      <c r="X1583" t="s">
        <v>38</v>
      </c>
      <c r="Y1583" s="9">
        <f t="shared" si="73"/>
        <v>2.8000000000000001E-2</v>
      </c>
      <c r="Z1583" t="str">
        <f t="shared" si="74"/>
        <v>สแกนต่าง Cost</v>
      </c>
    </row>
    <row r="1584" spans="2:26" x14ac:dyDescent="0.45">
      <c r="B1584" t="s">
        <v>26</v>
      </c>
      <c r="C1584">
        <v>20198811</v>
      </c>
      <c r="D1584" t="s">
        <v>144</v>
      </c>
      <c r="E1584" s="10">
        <v>46127.344444444447</v>
      </c>
      <c r="F1584" s="10">
        <v>46127.920138888891</v>
      </c>
      <c r="G1584">
        <v>13.816666666666666</v>
      </c>
      <c r="H1584" s="9">
        <f t="shared" si="72"/>
        <v>7.2999999999999995E-2</v>
      </c>
      <c r="I1584">
        <v>4.4999999999999998E-2</v>
      </c>
      <c r="K1584">
        <v>2.8000000000000001E-2</v>
      </c>
      <c r="M1584" t="s">
        <v>28</v>
      </c>
      <c r="N1584" t="s">
        <v>40</v>
      </c>
      <c r="O1584" t="s">
        <v>140</v>
      </c>
      <c r="P1584" t="s">
        <v>30</v>
      </c>
      <c r="Q1584" t="s">
        <v>31</v>
      </c>
      <c r="R1584">
        <v>82652</v>
      </c>
      <c r="S1584" t="s">
        <v>46</v>
      </c>
      <c r="T1584">
        <v>82658</v>
      </c>
      <c r="U1584" t="s">
        <v>33</v>
      </c>
      <c r="V1584" t="s">
        <v>33</v>
      </c>
      <c r="W1584" t="s">
        <v>37</v>
      </c>
      <c r="X1584" t="s">
        <v>38</v>
      </c>
      <c r="Y1584" s="9">
        <f t="shared" si="73"/>
        <v>2.8000000000000001E-2</v>
      </c>
      <c r="Z1584" t="str">
        <f t="shared" si="74"/>
        <v>สแกนต่าง Cost</v>
      </c>
    </row>
    <row r="1585" spans="1:26" x14ac:dyDescent="0.45">
      <c r="B1585" t="s">
        <v>26</v>
      </c>
      <c r="C1585">
        <v>20003999</v>
      </c>
      <c r="D1585" t="s">
        <v>340</v>
      </c>
      <c r="E1585" s="10">
        <v>46127.333333333336</v>
      </c>
      <c r="F1585" s="10">
        <v>46127.363888888889</v>
      </c>
      <c r="G1585">
        <v>0.73333333333333328</v>
      </c>
      <c r="H1585" s="9">
        <f t="shared" si="72"/>
        <v>4.0000000000000001E-3</v>
      </c>
      <c r="J1585">
        <v>4.0000000000000001E-3</v>
      </c>
      <c r="M1585" t="s">
        <v>77</v>
      </c>
      <c r="N1585" t="s">
        <v>40</v>
      </c>
      <c r="O1585" t="s">
        <v>78</v>
      </c>
      <c r="P1585" t="s">
        <v>30</v>
      </c>
      <c r="Q1585" t="s">
        <v>31</v>
      </c>
      <c r="R1585">
        <v>82301</v>
      </c>
      <c r="S1585" t="s">
        <v>79</v>
      </c>
      <c r="T1585">
        <v>82658</v>
      </c>
      <c r="U1585" t="s">
        <v>33</v>
      </c>
      <c r="V1585" t="s">
        <v>33</v>
      </c>
      <c r="W1585" t="s">
        <v>37</v>
      </c>
      <c r="X1585" t="s">
        <v>38</v>
      </c>
      <c r="Y1585" s="9">
        <f t="shared" si="73"/>
        <v>4.0000000000000001E-3</v>
      </c>
      <c r="Z1585" t="str">
        <f t="shared" si="74"/>
        <v>สแกนต่าง Cost</v>
      </c>
    </row>
    <row r="1586" spans="1:26" x14ac:dyDescent="0.45">
      <c r="A1586">
        <v>26345</v>
      </c>
      <c r="B1586" t="s">
        <v>53</v>
      </c>
      <c r="C1586">
        <v>20004913</v>
      </c>
      <c r="D1586" t="s">
        <v>87</v>
      </c>
      <c r="E1586" s="10">
        <v>46127.333333333336</v>
      </c>
      <c r="F1586" s="10">
        <v>46127.729166666664</v>
      </c>
      <c r="G1586">
        <v>8.5</v>
      </c>
      <c r="H1586" s="9">
        <f t="shared" si="72"/>
        <v>4.4999999999999998E-2</v>
      </c>
      <c r="I1586">
        <v>4.4999999999999998E-2</v>
      </c>
      <c r="M1586" t="s">
        <v>65</v>
      </c>
      <c r="N1586" t="s">
        <v>29</v>
      </c>
      <c r="P1586" t="s">
        <v>30</v>
      </c>
      <c r="Q1586" t="s">
        <v>31</v>
      </c>
      <c r="R1586">
        <v>82301</v>
      </c>
      <c r="S1586" t="s">
        <v>79</v>
      </c>
      <c r="T1586">
        <v>82308</v>
      </c>
      <c r="U1586" t="s">
        <v>69</v>
      </c>
      <c r="V1586" t="s">
        <v>69</v>
      </c>
      <c r="W1586" t="s">
        <v>69</v>
      </c>
      <c r="X1586" t="s">
        <v>88</v>
      </c>
      <c r="Y1586" s="9">
        <f t="shared" si="73"/>
        <v>0</v>
      </c>
      <c r="Z1586" t="str">
        <f t="shared" si="74"/>
        <v>สแกนต่าง Cost</v>
      </c>
    </row>
    <row r="1587" spans="1:26" x14ac:dyDescent="0.45">
      <c r="A1587">
        <v>26587</v>
      </c>
      <c r="B1587" t="s">
        <v>53</v>
      </c>
      <c r="C1587">
        <v>20014916</v>
      </c>
      <c r="D1587" t="s">
        <v>167</v>
      </c>
      <c r="E1587" s="10">
        <v>46127.333333333336</v>
      </c>
      <c r="F1587" s="10">
        <v>46127.729166666664</v>
      </c>
      <c r="G1587">
        <v>8.5</v>
      </c>
      <c r="H1587" s="9">
        <f t="shared" si="72"/>
        <v>4.4999999999999998E-2</v>
      </c>
      <c r="I1587">
        <v>4.4999999999999998E-2</v>
      </c>
      <c r="M1587" t="s">
        <v>65</v>
      </c>
      <c r="N1587" t="s">
        <v>29</v>
      </c>
      <c r="P1587" t="s">
        <v>133</v>
      </c>
      <c r="Q1587" t="s">
        <v>31</v>
      </c>
      <c r="R1587">
        <v>82607</v>
      </c>
      <c r="S1587" t="s">
        <v>168</v>
      </c>
      <c r="T1587">
        <v>82640</v>
      </c>
      <c r="U1587" t="s">
        <v>42</v>
      </c>
      <c r="V1587" t="s">
        <v>155</v>
      </c>
      <c r="W1587" t="s">
        <v>47</v>
      </c>
      <c r="X1587" t="s">
        <v>95</v>
      </c>
      <c r="Y1587" s="9">
        <f t="shared" si="73"/>
        <v>0</v>
      </c>
      <c r="Z1587" t="str">
        <f t="shared" si="74"/>
        <v>สแกนต่าง Cost</v>
      </c>
    </row>
    <row r="1588" spans="1:26" x14ac:dyDescent="0.45">
      <c r="B1588" t="s">
        <v>53</v>
      </c>
      <c r="C1588">
        <v>20018899</v>
      </c>
      <c r="D1588" t="s">
        <v>64</v>
      </c>
      <c r="E1588" s="10">
        <v>46127.333333333336</v>
      </c>
      <c r="F1588" s="10">
        <v>46127.5</v>
      </c>
      <c r="G1588">
        <v>4</v>
      </c>
      <c r="H1588" s="9">
        <f t="shared" si="72"/>
        <v>2.1000000000000001E-2</v>
      </c>
      <c r="I1588">
        <v>2.1000000000000001E-2</v>
      </c>
      <c r="M1588" t="s">
        <v>65</v>
      </c>
      <c r="N1588" t="s">
        <v>29</v>
      </c>
      <c r="P1588" t="s">
        <v>30</v>
      </c>
      <c r="Q1588" t="s">
        <v>31</v>
      </c>
      <c r="R1588">
        <v>82640</v>
      </c>
      <c r="S1588" t="s">
        <v>42</v>
      </c>
      <c r="T1588">
        <v>82652</v>
      </c>
      <c r="U1588" t="s">
        <v>46</v>
      </c>
      <c r="V1588" t="s">
        <v>66</v>
      </c>
      <c r="W1588" t="s">
        <v>37</v>
      </c>
      <c r="X1588" t="s">
        <v>34</v>
      </c>
      <c r="Y1588" s="9">
        <f t="shared" si="73"/>
        <v>0</v>
      </c>
      <c r="Z1588" t="str">
        <f t="shared" si="74"/>
        <v>สแกนต่าง Cost</v>
      </c>
    </row>
    <row r="1589" spans="1:26" x14ac:dyDescent="0.45">
      <c r="B1589" t="s">
        <v>26</v>
      </c>
      <c r="C1589">
        <v>20023073</v>
      </c>
      <c r="D1589" t="s">
        <v>199</v>
      </c>
      <c r="E1589" s="10">
        <v>46127.333333333336</v>
      </c>
      <c r="F1589" s="10">
        <v>46127.363888888889</v>
      </c>
      <c r="G1589">
        <v>0.73333333333333328</v>
      </c>
      <c r="H1589" s="9">
        <f t="shared" si="72"/>
        <v>4.0000000000000001E-3</v>
      </c>
      <c r="J1589">
        <v>4.0000000000000001E-3</v>
      </c>
      <c r="M1589" t="s">
        <v>77</v>
      </c>
      <c r="N1589" t="s">
        <v>40</v>
      </c>
      <c r="O1589" t="s">
        <v>78</v>
      </c>
      <c r="P1589" t="s">
        <v>30</v>
      </c>
      <c r="Q1589" t="s">
        <v>31</v>
      </c>
      <c r="R1589">
        <v>82301</v>
      </c>
      <c r="S1589" t="s">
        <v>79</v>
      </c>
      <c r="T1589">
        <v>82658</v>
      </c>
      <c r="U1589" t="s">
        <v>33</v>
      </c>
      <c r="V1589" t="s">
        <v>33</v>
      </c>
      <c r="W1589" t="s">
        <v>37</v>
      </c>
      <c r="X1589" t="s">
        <v>38</v>
      </c>
      <c r="Y1589" s="9">
        <f t="shared" si="73"/>
        <v>4.0000000000000001E-3</v>
      </c>
      <c r="Z1589" t="str">
        <f t="shared" si="74"/>
        <v>สแกนต่าง Cost</v>
      </c>
    </row>
    <row r="1590" spans="1:26" x14ac:dyDescent="0.45">
      <c r="B1590" t="s">
        <v>26</v>
      </c>
      <c r="C1590">
        <v>20024254</v>
      </c>
      <c r="D1590" t="s">
        <v>233</v>
      </c>
      <c r="E1590" s="10">
        <v>46127.333333333336</v>
      </c>
      <c r="F1590" s="10">
        <v>46127.729166666664</v>
      </c>
      <c r="G1590">
        <v>8.5</v>
      </c>
      <c r="H1590" s="9">
        <f t="shared" si="72"/>
        <v>4.4999999999999998E-2</v>
      </c>
      <c r="I1590">
        <v>4.4999999999999998E-2</v>
      </c>
      <c r="M1590" t="s">
        <v>65</v>
      </c>
      <c r="N1590" t="s">
        <v>29</v>
      </c>
      <c r="P1590" t="s">
        <v>30</v>
      </c>
      <c r="Q1590" t="s">
        <v>31</v>
      </c>
      <c r="R1590">
        <v>82910</v>
      </c>
      <c r="S1590" t="s">
        <v>201</v>
      </c>
      <c r="T1590">
        <v>82605</v>
      </c>
      <c r="U1590" t="s">
        <v>202</v>
      </c>
      <c r="V1590" t="s">
        <v>202</v>
      </c>
      <c r="W1590" t="s">
        <v>37</v>
      </c>
      <c r="X1590" t="s">
        <v>47</v>
      </c>
      <c r="Y1590" s="9">
        <f t="shared" si="73"/>
        <v>0</v>
      </c>
      <c r="Z1590" t="str">
        <f t="shared" si="74"/>
        <v>สแกนต่าง Cost</v>
      </c>
    </row>
    <row r="1591" spans="1:26" x14ac:dyDescent="0.45">
      <c r="B1591" t="s">
        <v>26</v>
      </c>
      <c r="C1591">
        <v>20025699</v>
      </c>
      <c r="D1591" t="s">
        <v>234</v>
      </c>
      <c r="E1591" s="10">
        <v>46127.333333333336</v>
      </c>
      <c r="F1591" s="10">
        <v>46127.363888888889</v>
      </c>
      <c r="G1591">
        <v>0.73333333333333328</v>
      </c>
      <c r="H1591" s="9">
        <f t="shared" si="72"/>
        <v>4.0000000000000001E-3</v>
      </c>
      <c r="J1591">
        <v>4.0000000000000001E-3</v>
      </c>
      <c r="M1591" t="s">
        <v>77</v>
      </c>
      <c r="N1591" t="s">
        <v>40</v>
      </c>
      <c r="O1591" t="s">
        <v>78</v>
      </c>
      <c r="P1591" t="s">
        <v>30</v>
      </c>
      <c r="Q1591" t="s">
        <v>31</v>
      </c>
      <c r="R1591">
        <v>82301</v>
      </c>
      <c r="S1591" t="s">
        <v>79</v>
      </c>
      <c r="T1591">
        <v>82658</v>
      </c>
      <c r="U1591" t="s">
        <v>33</v>
      </c>
      <c r="V1591" t="s">
        <v>33</v>
      </c>
      <c r="W1591" t="s">
        <v>37</v>
      </c>
      <c r="X1591" t="s">
        <v>38</v>
      </c>
      <c r="Y1591" s="9">
        <f t="shared" si="73"/>
        <v>4.0000000000000001E-3</v>
      </c>
      <c r="Z1591" t="str">
        <f t="shared" si="74"/>
        <v>สแกนต่าง Cost</v>
      </c>
    </row>
    <row r="1592" spans="1:26" x14ac:dyDescent="0.45">
      <c r="B1592" t="s">
        <v>26</v>
      </c>
      <c r="C1592">
        <v>20025986</v>
      </c>
      <c r="D1592" t="s">
        <v>200</v>
      </c>
      <c r="E1592" s="10">
        <v>46127.333333333336</v>
      </c>
      <c r="F1592" s="10">
        <v>46127.729166666664</v>
      </c>
      <c r="G1592">
        <v>8.5</v>
      </c>
      <c r="H1592" s="9">
        <f t="shared" si="72"/>
        <v>4.4999999999999998E-2</v>
      </c>
      <c r="I1592">
        <v>4.4999999999999998E-2</v>
      </c>
      <c r="M1592" t="s">
        <v>65</v>
      </c>
      <c r="N1592" t="s">
        <v>29</v>
      </c>
      <c r="P1592" t="s">
        <v>30</v>
      </c>
      <c r="Q1592" t="s">
        <v>31</v>
      </c>
      <c r="R1592">
        <v>82910</v>
      </c>
      <c r="S1592" t="s">
        <v>201</v>
      </c>
      <c r="T1592">
        <v>82605</v>
      </c>
      <c r="U1592" t="s">
        <v>202</v>
      </c>
      <c r="V1592" t="s">
        <v>202</v>
      </c>
      <c r="W1592" t="s">
        <v>37</v>
      </c>
      <c r="X1592" t="s">
        <v>47</v>
      </c>
      <c r="Y1592" s="9">
        <f t="shared" si="73"/>
        <v>0</v>
      </c>
      <c r="Z1592" t="str">
        <f t="shared" si="74"/>
        <v>สแกนต่าง Cost</v>
      </c>
    </row>
    <row r="1593" spans="1:26" x14ac:dyDescent="0.45">
      <c r="B1593" t="s">
        <v>53</v>
      </c>
      <c r="C1593">
        <v>20027956</v>
      </c>
      <c r="D1593" t="s">
        <v>214</v>
      </c>
      <c r="E1593" s="10">
        <v>46127.333333333336</v>
      </c>
      <c r="F1593" s="10">
        <v>46127.395833333336</v>
      </c>
      <c r="G1593">
        <v>1.5</v>
      </c>
      <c r="H1593" s="9">
        <f t="shared" si="72"/>
        <v>8.0000000000000002E-3</v>
      </c>
      <c r="I1593">
        <v>8.0000000000000002E-3</v>
      </c>
      <c r="M1593" t="s">
        <v>65</v>
      </c>
      <c r="N1593" t="s">
        <v>29</v>
      </c>
      <c r="P1593" t="s">
        <v>30</v>
      </c>
      <c r="Q1593" t="s">
        <v>31</v>
      </c>
      <c r="R1593">
        <v>82640</v>
      </c>
      <c r="S1593" t="s">
        <v>42</v>
      </c>
      <c r="T1593">
        <v>82612</v>
      </c>
      <c r="U1593" t="s">
        <v>153</v>
      </c>
      <c r="V1593" t="s">
        <v>66</v>
      </c>
      <c r="W1593" t="s">
        <v>44</v>
      </c>
      <c r="X1593" t="s">
        <v>44</v>
      </c>
      <c r="Y1593" s="9">
        <f t="shared" si="73"/>
        <v>0</v>
      </c>
      <c r="Z1593" t="str">
        <f t="shared" si="74"/>
        <v>สแกนต่าง Cost</v>
      </c>
    </row>
    <row r="1594" spans="1:26" x14ac:dyDescent="0.45">
      <c r="B1594" t="s">
        <v>53</v>
      </c>
      <c r="C1594">
        <v>20047023</v>
      </c>
      <c r="D1594" t="s">
        <v>271</v>
      </c>
      <c r="E1594" s="10">
        <v>46127.333333333336</v>
      </c>
      <c r="F1594" s="10">
        <v>46127.729166666664</v>
      </c>
      <c r="G1594">
        <v>8.5</v>
      </c>
      <c r="H1594" s="9">
        <f t="shared" si="72"/>
        <v>4.4999999999999998E-2</v>
      </c>
      <c r="I1594">
        <v>4.4999999999999998E-2</v>
      </c>
      <c r="M1594" t="s">
        <v>65</v>
      </c>
      <c r="N1594" t="s">
        <v>29</v>
      </c>
      <c r="P1594" t="s">
        <v>30</v>
      </c>
      <c r="Q1594" t="s">
        <v>31</v>
      </c>
      <c r="R1594">
        <v>82607</v>
      </c>
      <c r="S1594" t="s">
        <v>168</v>
      </c>
      <c r="T1594">
        <v>82630</v>
      </c>
      <c r="U1594" t="s">
        <v>32</v>
      </c>
      <c r="V1594" t="s">
        <v>155</v>
      </c>
      <c r="W1594" t="s">
        <v>148</v>
      </c>
      <c r="X1594" t="s">
        <v>95</v>
      </c>
      <c r="Y1594" s="9">
        <f t="shared" si="73"/>
        <v>0</v>
      </c>
      <c r="Z1594" t="str">
        <f t="shared" si="74"/>
        <v>สแกนต่าง Cost</v>
      </c>
    </row>
    <row r="1595" spans="1:26" x14ac:dyDescent="0.45">
      <c r="B1595" t="s">
        <v>26</v>
      </c>
      <c r="C1595">
        <v>20060581</v>
      </c>
      <c r="D1595" t="s">
        <v>343</v>
      </c>
      <c r="E1595" s="10">
        <v>46127.333333333336</v>
      </c>
      <c r="F1595" s="10">
        <v>46127.363194444442</v>
      </c>
      <c r="G1595">
        <v>0.71666666666666667</v>
      </c>
      <c r="H1595" s="9">
        <f t="shared" si="72"/>
        <v>4.0000000000000001E-3</v>
      </c>
      <c r="I1595">
        <v>4.0000000000000001E-3</v>
      </c>
      <c r="M1595" t="s">
        <v>65</v>
      </c>
      <c r="N1595" t="s">
        <v>29</v>
      </c>
      <c r="P1595" t="s">
        <v>30</v>
      </c>
      <c r="Q1595" t="s">
        <v>31</v>
      </c>
      <c r="R1595">
        <v>82303</v>
      </c>
      <c r="S1595" t="s">
        <v>56</v>
      </c>
      <c r="T1595">
        <v>82658</v>
      </c>
      <c r="U1595" t="s">
        <v>33</v>
      </c>
      <c r="V1595" t="s">
        <v>33</v>
      </c>
      <c r="W1595" t="s">
        <v>37</v>
      </c>
      <c r="X1595" t="s">
        <v>38</v>
      </c>
      <c r="Y1595" s="9">
        <f t="shared" si="73"/>
        <v>0</v>
      </c>
      <c r="Z1595" t="str">
        <f t="shared" si="74"/>
        <v>สแกนต่าง Cost</v>
      </c>
    </row>
    <row r="1596" spans="1:26" x14ac:dyDescent="0.45">
      <c r="B1596" t="s">
        <v>26</v>
      </c>
      <c r="C1596">
        <v>20066762</v>
      </c>
      <c r="D1596" t="s">
        <v>203</v>
      </c>
      <c r="E1596" s="10">
        <v>46127.333333333336</v>
      </c>
      <c r="F1596" s="10">
        <v>46127.729166666664</v>
      </c>
      <c r="G1596">
        <v>8.5</v>
      </c>
      <c r="H1596" s="9">
        <f t="shared" si="72"/>
        <v>4.4999999999999998E-2</v>
      </c>
      <c r="I1596">
        <v>4.4999999999999998E-2</v>
      </c>
      <c r="M1596" t="s">
        <v>65</v>
      </c>
      <c r="N1596" t="s">
        <v>29</v>
      </c>
      <c r="P1596" t="s">
        <v>30</v>
      </c>
      <c r="Q1596" t="s">
        <v>31</v>
      </c>
      <c r="R1596">
        <v>82910</v>
      </c>
      <c r="S1596" t="s">
        <v>201</v>
      </c>
      <c r="T1596">
        <v>82605</v>
      </c>
      <c r="U1596" t="s">
        <v>202</v>
      </c>
      <c r="V1596" t="s">
        <v>202</v>
      </c>
      <c r="W1596" t="s">
        <v>37</v>
      </c>
      <c r="X1596" t="s">
        <v>47</v>
      </c>
      <c r="Y1596" s="9">
        <f t="shared" si="73"/>
        <v>0</v>
      </c>
      <c r="Z1596" t="str">
        <f t="shared" si="74"/>
        <v>สแกนต่าง Cost</v>
      </c>
    </row>
    <row r="1597" spans="1:26" x14ac:dyDescent="0.45">
      <c r="B1597" t="s">
        <v>26</v>
      </c>
      <c r="C1597">
        <v>20152023</v>
      </c>
      <c r="D1597" t="s">
        <v>177</v>
      </c>
      <c r="E1597" s="10">
        <v>46127.333333333336</v>
      </c>
      <c r="F1597" s="10">
        <v>46127.729166666664</v>
      </c>
      <c r="G1597">
        <v>8.5</v>
      </c>
      <c r="H1597" s="9">
        <f t="shared" si="72"/>
        <v>4.4999999999999998E-2</v>
      </c>
      <c r="I1597">
        <v>4.4999999999999998E-2</v>
      </c>
      <c r="M1597" t="s">
        <v>65</v>
      </c>
      <c r="N1597" t="s">
        <v>29</v>
      </c>
      <c r="P1597" t="s">
        <v>30</v>
      </c>
      <c r="Q1597" t="s">
        <v>31</v>
      </c>
      <c r="R1597">
        <v>82308</v>
      </c>
      <c r="S1597" t="s">
        <v>69</v>
      </c>
      <c r="T1597">
        <v>82612</v>
      </c>
      <c r="U1597" t="s">
        <v>153</v>
      </c>
      <c r="V1597" t="s">
        <v>154</v>
      </c>
      <c r="W1597" t="s">
        <v>42</v>
      </c>
      <c r="X1597" t="s">
        <v>38</v>
      </c>
      <c r="Y1597" s="9">
        <f t="shared" si="73"/>
        <v>0</v>
      </c>
      <c r="Z1597" t="str">
        <f t="shared" si="74"/>
        <v>สแกนต่าง Cost</v>
      </c>
    </row>
    <row r="1598" spans="1:26" x14ac:dyDescent="0.45">
      <c r="B1598" t="s">
        <v>53</v>
      </c>
      <c r="C1598">
        <v>20167851</v>
      </c>
      <c r="D1598" t="s">
        <v>63</v>
      </c>
      <c r="E1598" s="10">
        <v>46127.333333333336</v>
      </c>
      <c r="F1598" s="10">
        <v>46127.416666666664</v>
      </c>
      <c r="G1598">
        <v>2</v>
      </c>
      <c r="H1598" s="9">
        <f t="shared" si="72"/>
        <v>1.0999999999999999E-2</v>
      </c>
      <c r="I1598">
        <v>1.0999999999999999E-2</v>
      </c>
      <c r="M1598" t="s">
        <v>65</v>
      </c>
      <c r="N1598" t="s">
        <v>29</v>
      </c>
      <c r="P1598" t="s">
        <v>30</v>
      </c>
      <c r="Q1598" t="s">
        <v>31</v>
      </c>
      <c r="R1598">
        <v>82640</v>
      </c>
      <c r="S1598" t="s">
        <v>42</v>
      </c>
      <c r="T1598">
        <v>82612</v>
      </c>
      <c r="U1598" t="s">
        <v>153</v>
      </c>
      <c r="V1598" t="s">
        <v>66</v>
      </c>
      <c r="W1598" t="s">
        <v>44</v>
      </c>
      <c r="X1598" t="s">
        <v>44</v>
      </c>
      <c r="Y1598" s="9">
        <f t="shared" si="73"/>
        <v>0</v>
      </c>
      <c r="Z1598" t="str">
        <f t="shared" si="74"/>
        <v>สแกนต่าง Cost</v>
      </c>
    </row>
    <row r="1599" spans="1:26" x14ac:dyDescent="0.45">
      <c r="B1599" t="s">
        <v>26</v>
      </c>
      <c r="C1599">
        <v>20190541</v>
      </c>
      <c r="D1599" t="s">
        <v>344</v>
      </c>
      <c r="E1599" s="10">
        <v>46127.333333333336</v>
      </c>
      <c r="F1599" s="10">
        <v>46127.363194444442</v>
      </c>
      <c r="G1599">
        <v>0.71666666666666667</v>
      </c>
      <c r="H1599" s="9">
        <f t="shared" si="72"/>
        <v>4.0000000000000001E-3</v>
      </c>
      <c r="I1599">
        <v>4.0000000000000001E-3</v>
      </c>
      <c r="M1599" t="s">
        <v>65</v>
      </c>
      <c r="N1599" t="s">
        <v>29</v>
      </c>
      <c r="P1599" t="s">
        <v>30</v>
      </c>
      <c r="Q1599" t="s">
        <v>31</v>
      </c>
      <c r="R1599">
        <v>82303</v>
      </c>
      <c r="S1599" t="s">
        <v>56</v>
      </c>
      <c r="T1599">
        <v>82658</v>
      </c>
      <c r="U1599" t="s">
        <v>33</v>
      </c>
      <c r="V1599" t="s">
        <v>33</v>
      </c>
      <c r="W1599" t="s">
        <v>37</v>
      </c>
      <c r="X1599" t="s">
        <v>38</v>
      </c>
      <c r="Y1599" s="9">
        <f t="shared" si="73"/>
        <v>0</v>
      </c>
      <c r="Z1599" t="str">
        <f t="shared" si="74"/>
        <v>สแกนต่าง Cost</v>
      </c>
    </row>
    <row r="1600" spans="1:26" x14ac:dyDescent="0.45">
      <c r="B1600" t="s">
        <v>26</v>
      </c>
      <c r="C1600">
        <v>20198660</v>
      </c>
      <c r="D1600" t="s">
        <v>150</v>
      </c>
      <c r="E1600" s="10">
        <v>46127.333333333336</v>
      </c>
      <c r="F1600" s="10">
        <v>46127.729166666664</v>
      </c>
      <c r="G1600">
        <v>8.5</v>
      </c>
      <c r="H1600" s="9">
        <f t="shared" si="72"/>
        <v>4.4999999999999998E-2</v>
      </c>
      <c r="J1600">
        <v>4.4999999999999998E-2</v>
      </c>
      <c r="M1600" t="s">
        <v>77</v>
      </c>
      <c r="N1600" t="s">
        <v>40</v>
      </c>
      <c r="O1600" t="s">
        <v>78</v>
      </c>
      <c r="P1600" t="s">
        <v>30</v>
      </c>
      <c r="Q1600" t="s">
        <v>31</v>
      </c>
      <c r="R1600">
        <v>82640</v>
      </c>
      <c r="S1600" t="s">
        <v>42</v>
      </c>
      <c r="T1600">
        <v>82658</v>
      </c>
      <c r="U1600" t="s">
        <v>33</v>
      </c>
      <c r="V1600" t="s">
        <v>33</v>
      </c>
      <c r="W1600" t="s">
        <v>37</v>
      </c>
      <c r="X1600" t="s">
        <v>38</v>
      </c>
      <c r="Y1600" s="9">
        <f t="shared" si="73"/>
        <v>4.4999999999999998E-2</v>
      </c>
      <c r="Z1600" t="str">
        <f t="shared" si="74"/>
        <v>สแกนต่าง Cost</v>
      </c>
    </row>
    <row r="1601" spans="1:26" x14ac:dyDescent="0.45">
      <c r="B1601" t="s">
        <v>26</v>
      </c>
      <c r="C1601">
        <v>20198813</v>
      </c>
      <c r="D1601" t="s">
        <v>45</v>
      </c>
      <c r="E1601" s="10">
        <v>46127.333333333336</v>
      </c>
      <c r="F1601" s="10">
        <v>46127.854166666664</v>
      </c>
      <c r="G1601">
        <v>12.5</v>
      </c>
      <c r="H1601" s="9">
        <f t="shared" si="72"/>
        <v>6.6000000000000003E-2</v>
      </c>
      <c r="I1601">
        <v>4.4999999999999998E-2</v>
      </c>
      <c r="K1601">
        <v>2.1000000000000001E-2</v>
      </c>
      <c r="M1601" t="s">
        <v>28</v>
      </c>
      <c r="N1601" t="s">
        <v>40</v>
      </c>
      <c r="O1601" t="s">
        <v>190</v>
      </c>
      <c r="P1601" t="s">
        <v>30</v>
      </c>
      <c r="Q1601" t="s">
        <v>31</v>
      </c>
      <c r="R1601">
        <v>82652</v>
      </c>
      <c r="S1601" t="s">
        <v>46</v>
      </c>
      <c r="T1601">
        <v>82655</v>
      </c>
      <c r="U1601" t="s">
        <v>59</v>
      </c>
      <c r="V1601" t="s">
        <v>59</v>
      </c>
      <c r="W1601" t="s">
        <v>37</v>
      </c>
      <c r="X1601" t="s">
        <v>38</v>
      </c>
      <c r="Y1601" s="9">
        <f t="shared" si="73"/>
        <v>2.1000000000000001E-2</v>
      </c>
      <c r="Z1601" t="str">
        <f t="shared" si="74"/>
        <v>สแกนต่าง Cost</v>
      </c>
    </row>
    <row r="1602" spans="1:26" x14ac:dyDescent="0.45">
      <c r="B1602" t="s">
        <v>53</v>
      </c>
      <c r="C1602">
        <v>20220646</v>
      </c>
      <c r="D1602" t="s">
        <v>67</v>
      </c>
      <c r="E1602" s="10">
        <v>46127.333333333336</v>
      </c>
      <c r="F1602" s="10">
        <v>46127.5</v>
      </c>
      <c r="G1602">
        <v>4</v>
      </c>
      <c r="H1602" s="9">
        <f t="shared" si="72"/>
        <v>2.1000000000000001E-2</v>
      </c>
      <c r="I1602">
        <v>2.1000000000000001E-2</v>
      </c>
      <c r="M1602" t="s">
        <v>65</v>
      </c>
      <c r="N1602" t="s">
        <v>29</v>
      </c>
      <c r="P1602" t="s">
        <v>30</v>
      </c>
      <c r="Q1602" t="s">
        <v>31</v>
      </c>
      <c r="R1602">
        <v>82640</v>
      </c>
      <c r="S1602" t="s">
        <v>42</v>
      </c>
      <c r="T1602">
        <v>82652</v>
      </c>
      <c r="U1602" t="s">
        <v>46</v>
      </c>
      <c r="V1602" t="s">
        <v>66</v>
      </c>
      <c r="W1602" t="s">
        <v>37</v>
      </c>
      <c r="X1602" t="s">
        <v>34</v>
      </c>
      <c r="Y1602" s="9">
        <f t="shared" si="73"/>
        <v>0</v>
      </c>
      <c r="Z1602" t="str">
        <f t="shared" si="74"/>
        <v>สแกนต่าง Cost</v>
      </c>
    </row>
    <row r="1603" spans="1:26" x14ac:dyDescent="0.45">
      <c r="B1603" t="s">
        <v>53</v>
      </c>
      <c r="C1603">
        <v>20225092</v>
      </c>
      <c r="D1603" t="s">
        <v>335</v>
      </c>
      <c r="E1603" s="10">
        <v>46127.333333333336</v>
      </c>
      <c r="F1603" s="10">
        <v>46127.729166666664</v>
      </c>
      <c r="G1603">
        <v>8.5</v>
      </c>
      <c r="H1603" s="9">
        <f t="shared" ref="H1603:H1666" si="75">SUM(I1603:L1603)</f>
        <v>4.4999999999999998E-2</v>
      </c>
      <c r="I1603">
        <v>4.4999999999999998E-2</v>
      </c>
      <c r="M1603" t="s">
        <v>65</v>
      </c>
      <c r="N1603" t="s">
        <v>29</v>
      </c>
      <c r="P1603" t="s">
        <v>133</v>
      </c>
      <c r="Q1603" t="s">
        <v>31</v>
      </c>
      <c r="R1603">
        <v>82400</v>
      </c>
      <c r="S1603" t="s">
        <v>83</v>
      </c>
      <c r="T1603">
        <v>82664</v>
      </c>
      <c r="U1603" t="s">
        <v>75</v>
      </c>
      <c r="V1603" t="s">
        <v>336</v>
      </c>
      <c r="W1603" t="s">
        <v>44</v>
      </c>
      <c r="X1603" t="s">
        <v>44</v>
      </c>
      <c r="Y1603" s="9">
        <f t="shared" ref="Y1603:Y1666" si="76">SUM(J1603:L1603)</f>
        <v>0</v>
      </c>
      <c r="Z1603" t="str">
        <f t="shared" ref="Z1603:Z1666" si="77">IF(R1603=T1603,"สแกน Cost ตัวเอง","สแกนต่าง Cost")</f>
        <v>สแกนต่าง Cost</v>
      </c>
    </row>
    <row r="1604" spans="1:26" x14ac:dyDescent="0.45">
      <c r="B1604" t="s">
        <v>26</v>
      </c>
      <c r="C1604">
        <v>20238364</v>
      </c>
      <c r="D1604" t="s">
        <v>198</v>
      </c>
      <c r="E1604" s="10">
        <v>46127.333333333336</v>
      </c>
      <c r="F1604" s="10">
        <v>46127.371527777781</v>
      </c>
      <c r="G1604">
        <v>0.91666666666666663</v>
      </c>
      <c r="H1604" s="9">
        <f t="shared" si="75"/>
        <v>5.0000000000000001E-3</v>
      </c>
      <c r="I1604">
        <v>5.0000000000000001E-3</v>
      </c>
      <c r="M1604" t="s">
        <v>65</v>
      </c>
      <c r="N1604" t="s">
        <v>29</v>
      </c>
      <c r="P1604" t="s">
        <v>30</v>
      </c>
      <c r="Q1604" t="s">
        <v>31</v>
      </c>
      <c r="R1604">
        <v>82306</v>
      </c>
      <c r="S1604" t="s">
        <v>55</v>
      </c>
      <c r="T1604">
        <v>82658</v>
      </c>
      <c r="U1604" t="s">
        <v>33</v>
      </c>
      <c r="V1604" t="s">
        <v>33</v>
      </c>
      <c r="W1604" t="s">
        <v>37</v>
      </c>
      <c r="X1604" t="s">
        <v>38</v>
      </c>
      <c r="Y1604" s="9">
        <f t="shared" si="76"/>
        <v>0</v>
      </c>
      <c r="Z1604" t="str">
        <f t="shared" si="77"/>
        <v>สแกนต่าง Cost</v>
      </c>
    </row>
    <row r="1605" spans="1:26" x14ac:dyDescent="0.45">
      <c r="B1605" t="s">
        <v>26</v>
      </c>
      <c r="C1605">
        <v>20270047</v>
      </c>
      <c r="D1605" t="s">
        <v>337</v>
      </c>
      <c r="E1605" s="10">
        <v>46127.333333333336</v>
      </c>
      <c r="F1605" s="10">
        <v>46127.729166666664</v>
      </c>
      <c r="G1605">
        <v>8.5</v>
      </c>
      <c r="H1605" s="9">
        <f t="shared" si="75"/>
        <v>4.4999999999999998E-2</v>
      </c>
      <c r="J1605">
        <v>4.4999999999999998E-2</v>
      </c>
      <c r="M1605" t="s">
        <v>77</v>
      </c>
      <c r="N1605" t="s">
        <v>40</v>
      </c>
      <c r="O1605" t="s">
        <v>78</v>
      </c>
      <c r="P1605" t="s">
        <v>30</v>
      </c>
      <c r="Q1605" t="s">
        <v>31</v>
      </c>
      <c r="R1605">
        <v>82640</v>
      </c>
      <c r="S1605" t="s">
        <v>42</v>
      </c>
      <c r="T1605">
        <v>82658</v>
      </c>
      <c r="U1605" t="s">
        <v>33</v>
      </c>
      <c r="V1605" t="s">
        <v>33</v>
      </c>
      <c r="W1605" t="s">
        <v>37</v>
      </c>
      <c r="X1605" t="s">
        <v>38</v>
      </c>
      <c r="Y1605" s="9">
        <f t="shared" si="76"/>
        <v>4.4999999999999998E-2</v>
      </c>
      <c r="Z1605" t="str">
        <f t="shared" si="77"/>
        <v>สแกนต่าง Cost</v>
      </c>
    </row>
    <row r="1606" spans="1:26" x14ac:dyDescent="0.45">
      <c r="B1606" t="s">
        <v>26</v>
      </c>
      <c r="C1606">
        <v>20276264</v>
      </c>
      <c r="D1606" t="s">
        <v>236</v>
      </c>
      <c r="E1606" s="10">
        <v>46127.333333333336</v>
      </c>
      <c r="F1606" s="10">
        <v>46127.366666666669</v>
      </c>
      <c r="G1606">
        <v>0.8</v>
      </c>
      <c r="H1606" s="9">
        <f t="shared" si="75"/>
        <v>4.0000000000000001E-3</v>
      </c>
      <c r="I1606">
        <v>4.0000000000000001E-3</v>
      </c>
      <c r="M1606" t="s">
        <v>65</v>
      </c>
      <c r="N1606" t="s">
        <v>29</v>
      </c>
      <c r="P1606" t="s">
        <v>30</v>
      </c>
      <c r="Q1606" t="s">
        <v>31</v>
      </c>
      <c r="R1606">
        <v>82301</v>
      </c>
      <c r="S1606" t="s">
        <v>79</v>
      </c>
      <c r="T1606">
        <v>82658</v>
      </c>
      <c r="U1606" t="s">
        <v>33</v>
      </c>
      <c r="V1606" t="s">
        <v>33</v>
      </c>
      <c r="W1606" t="s">
        <v>37</v>
      </c>
      <c r="X1606" t="s">
        <v>38</v>
      </c>
      <c r="Y1606" s="9">
        <f t="shared" si="76"/>
        <v>0</v>
      </c>
      <c r="Z1606" t="str">
        <f t="shared" si="77"/>
        <v>สแกนต่าง Cost</v>
      </c>
    </row>
    <row r="1607" spans="1:26" x14ac:dyDescent="0.45">
      <c r="B1607" t="s">
        <v>26</v>
      </c>
      <c r="C1607">
        <v>20276266</v>
      </c>
      <c r="D1607" t="s">
        <v>292</v>
      </c>
      <c r="E1607" s="10">
        <v>46127.333333333336</v>
      </c>
      <c r="F1607" s="10">
        <v>46127.370138888888</v>
      </c>
      <c r="G1607">
        <v>0.8833333333333333</v>
      </c>
      <c r="H1607" s="9">
        <f t="shared" si="75"/>
        <v>5.0000000000000001E-3</v>
      </c>
      <c r="J1607">
        <v>5.0000000000000001E-3</v>
      </c>
      <c r="M1607" t="s">
        <v>77</v>
      </c>
      <c r="N1607" t="s">
        <v>40</v>
      </c>
      <c r="O1607" t="s">
        <v>78</v>
      </c>
      <c r="P1607" t="s">
        <v>30</v>
      </c>
      <c r="Q1607" t="s">
        <v>31</v>
      </c>
      <c r="R1607">
        <v>82301</v>
      </c>
      <c r="S1607" t="s">
        <v>79</v>
      </c>
      <c r="T1607">
        <v>82658</v>
      </c>
      <c r="U1607" t="s">
        <v>33</v>
      </c>
      <c r="V1607" t="s">
        <v>33</v>
      </c>
      <c r="W1607" t="s">
        <v>37</v>
      </c>
      <c r="X1607" t="s">
        <v>38</v>
      </c>
      <c r="Y1607" s="9">
        <f t="shared" si="76"/>
        <v>5.0000000000000001E-3</v>
      </c>
      <c r="Z1607" t="str">
        <f t="shared" si="77"/>
        <v>สแกนต่าง Cost</v>
      </c>
    </row>
    <row r="1608" spans="1:26" x14ac:dyDescent="0.45">
      <c r="B1608" t="s">
        <v>53</v>
      </c>
      <c r="C1608">
        <v>20280722</v>
      </c>
      <c r="D1608" t="s">
        <v>342</v>
      </c>
      <c r="E1608" s="10">
        <v>46127.333333333336</v>
      </c>
      <c r="F1608" s="10">
        <v>46127.5</v>
      </c>
      <c r="G1608">
        <v>4</v>
      </c>
      <c r="H1608" s="9">
        <f t="shared" si="75"/>
        <v>2.1000000000000001E-2</v>
      </c>
      <c r="I1608">
        <v>2.1000000000000001E-2</v>
      </c>
      <c r="M1608" t="s">
        <v>65</v>
      </c>
      <c r="N1608" t="s">
        <v>29</v>
      </c>
      <c r="P1608" t="s">
        <v>30</v>
      </c>
      <c r="Q1608" t="s">
        <v>31</v>
      </c>
      <c r="R1608">
        <v>82640</v>
      </c>
      <c r="S1608" t="s">
        <v>42</v>
      </c>
      <c r="T1608">
        <v>82652</v>
      </c>
      <c r="U1608" t="s">
        <v>46</v>
      </c>
      <c r="V1608" t="s">
        <v>66</v>
      </c>
      <c r="W1608" t="s">
        <v>37</v>
      </c>
      <c r="X1608" t="s">
        <v>34</v>
      </c>
      <c r="Y1608" s="9">
        <f t="shared" si="76"/>
        <v>0</v>
      </c>
      <c r="Z1608" t="str">
        <f t="shared" si="77"/>
        <v>สแกนต่าง Cost</v>
      </c>
    </row>
    <row r="1609" spans="1:26" x14ac:dyDescent="0.45">
      <c r="B1609" t="s">
        <v>26</v>
      </c>
      <c r="C1609">
        <v>20292379</v>
      </c>
      <c r="D1609" t="s">
        <v>341</v>
      </c>
      <c r="E1609" s="10">
        <v>46127.333333333336</v>
      </c>
      <c r="F1609" s="10">
        <v>46127.729166666664</v>
      </c>
      <c r="G1609">
        <v>9.5</v>
      </c>
      <c r="H1609" s="9">
        <f t="shared" si="75"/>
        <v>4.9999999999999996E-2</v>
      </c>
      <c r="I1609">
        <v>4.4999999999999998E-2</v>
      </c>
      <c r="K1609">
        <v>5.0000000000000001E-3</v>
      </c>
      <c r="M1609" t="s">
        <v>28</v>
      </c>
      <c r="N1609" t="s">
        <v>29</v>
      </c>
      <c r="P1609" t="s">
        <v>30</v>
      </c>
      <c r="Q1609" t="s">
        <v>31</v>
      </c>
      <c r="R1609">
        <v>82301</v>
      </c>
      <c r="S1609" t="s">
        <v>79</v>
      </c>
      <c r="T1609">
        <v>82658</v>
      </c>
      <c r="U1609" t="s">
        <v>33</v>
      </c>
      <c r="V1609" t="s">
        <v>33</v>
      </c>
      <c r="W1609" t="s">
        <v>37</v>
      </c>
      <c r="X1609" t="s">
        <v>38</v>
      </c>
      <c r="Y1609" s="9">
        <f t="shared" si="76"/>
        <v>5.0000000000000001E-3</v>
      </c>
      <c r="Z1609" t="str">
        <f t="shared" si="77"/>
        <v>สแกนต่าง Cost</v>
      </c>
    </row>
    <row r="1610" spans="1:26" x14ac:dyDescent="0.45">
      <c r="B1610" t="s">
        <v>26</v>
      </c>
      <c r="C1610">
        <v>20317992</v>
      </c>
      <c r="D1610" t="s">
        <v>210</v>
      </c>
      <c r="E1610" s="10">
        <v>46127.333333333336</v>
      </c>
      <c r="F1610" s="10">
        <v>46127.729166666664</v>
      </c>
      <c r="G1610">
        <v>8.5</v>
      </c>
      <c r="H1610" s="9">
        <f t="shared" si="75"/>
        <v>4.4999999999999998E-2</v>
      </c>
      <c r="I1610">
        <v>4.4999999999999998E-2</v>
      </c>
      <c r="M1610" t="s">
        <v>65</v>
      </c>
      <c r="N1610" t="s">
        <v>29</v>
      </c>
      <c r="P1610" t="s">
        <v>30</v>
      </c>
      <c r="Q1610" t="s">
        <v>31</v>
      </c>
      <c r="R1610">
        <v>82652</v>
      </c>
      <c r="S1610" t="s">
        <v>46</v>
      </c>
      <c r="T1610">
        <v>82658</v>
      </c>
      <c r="U1610" t="s">
        <v>33</v>
      </c>
      <c r="V1610" t="s">
        <v>33</v>
      </c>
      <c r="W1610" t="s">
        <v>37</v>
      </c>
      <c r="X1610" t="s">
        <v>38</v>
      </c>
      <c r="Y1610" s="9">
        <f t="shared" si="76"/>
        <v>0</v>
      </c>
      <c r="Z1610" t="str">
        <f t="shared" si="77"/>
        <v>สแกนต่าง Cost</v>
      </c>
    </row>
    <row r="1611" spans="1:26" x14ac:dyDescent="0.45">
      <c r="B1611" t="s">
        <v>26</v>
      </c>
      <c r="C1611">
        <v>20334399</v>
      </c>
      <c r="D1611" t="s">
        <v>237</v>
      </c>
      <c r="E1611" s="10">
        <v>46127.333333333336</v>
      </c>
      <c r="F1611" s="10">
        <v>46127.363888888889</v>
      </c>
      <c r="G1611">
        <v>0.73333333333333328</v>
      </c>
      <c r="H1611" s="9">
        <f t="shared" si="75"/>
        <v>4.0000000000000001E-3</v>
      </c>
      <c r="K1611">
        <v>4.0000000000000001E-3</v>
      </c>
      <c r="M1611" t="s">
        <v>28</v>
      </c>
      <c r="N1611" t="s">
        <v>29</v>
      </c>
      <c r="P1611" t="s">
        <v>30</v>
      </c>
      <c r="Q1611" t="s">
        <v>31</v>
      </c>
      <c r="R1611">
        <v>82301</v>
      </c>
      <c r="S1611" t="s">
        <v>79</v>
      </c>
      <c r="T1611">
        <v>82658</v>
      </c>
      <c r="U1611" t="s">
        <v>33</v>
      </c>
      <c r="V1611" t="s">
        <v>33</v>
      </c>
      <c r="W1611" t="s">
        <v>37</v>
      </c>
      <c r="X1611" t="s">
        <v>38</v>
      </c>
      <c r="Y1611" s="9">
        <f t="shared" si="76"/>
        <v>4.0000000000000001E-3</v>
      </c>
      <c r="Z1611" t="str">
        <f t="shared" si="77"/>
        <v>สแกนต่าง Cost</v>
      </c>
    </row>
    <row r="1612" spans="1:26" x14ac:dyDescent="0.45">
      <c r="A1612">
        <v>26588</v>
      </c>
      <c r="B1612" t="s">
        <v>53</v>
      </c>
      <c r="C1612">
        <v>20338280</v>
      </c>
      <c r="D1612" t="s">
        <v>303</v>
      </c>
      <c r="E1612" s="10">
        <v>46127.333333333336</v>
      </c>
      <c r="F1612" s="10">
        <v>46127.791666666664</v>
      </c>
      <c r="G1612">
        <v>11</v>
      </c>
      <c r="H1612" s="9">
        <f t="shared" si="75"/>
        <v>5.7999999999999996E-2</v>
      </c>
      <c r="I1612">
        <v>4.4999999999999998E-2</v>
      </c>
      <c r="K1612">
        <v>1.2999999999999999E-2</v>
      </c>
      <c r="M1612" t="s">
        <v>28</v>
      </c>
      <c r="N1612" t="s">
        <v>40</v>
      </c>
      <c r="O1612" t="s">
        <v>181</v>
      </c>
      <c r="P1612" t="s">
        <v>30</v>
      </c>
      <c r="Q1612" t="s">
        <v>31</v>
      </c>
      <c r="R1612">
        <v>82409</v>
      </c>
      <c r="S1612" t="s">
        <v>74</v>
      </c>
      <c r="T1612">
        <v>82664</v>
      </c>
      <c r="U1612" t="s">
        <v>75</v>
      </c>
      <c r="V1612" t="s">
        <v>75</v>
      </c>
      <c r="W1612" t="s">
        <v>74</v>
      </c>
      <c r="X1612" t="s">
        <v>74</v>
      </c>
      <c r="Y1612" s="9">
        <f t="shared" si="76"/>
        <v>1.2999999999999999E-2</v>
      </c>
      <c r="Z1612" t="str">
        <f t="shared" si="77"/>
        <v>สแกนต่าง Cost</v>
      </c>
    </row>
    <row r="1613" spans="1:26" x14ac:dyDescent="0.45">
      <c r="B1613" t="s">
        <v>26</v>
      </c>
      <c r="C1613">
        <v>20339209</v>
      </c>
      <c r="D1613" t="s">
        <v>166</v>
      </c>
      <c r="E1613" s="10">
        <v>46127.333333333336</v>
      </c>
      <c r="F1613" s="10">
        <v>46127.729166666664</v>
      </c>
      <c r="G1613">
        <v>8.5</v>
      </c>
      <c r="H1613" s="9">
        <f t="shared" si="75"/>
        <v>4.4999999999999998E-2</v>
      </c>
      <c r="I1613">
        <v>4.4999999999999998E-2</v>
      </c>
      <c r="M1613" t="s">
        <v>65</v>
      </c>
      <c r="N1613" t="s">
        <v>29</v>
      </c>
      <c r="P1613" t="s">
        <v>30</v>
      </c>
      <c r="Q1613" t="s">
        <v>31</v>
      </c>
      <c r="R1613">
        <v>82308</v>
      </c>
      <c r="S1613" t="s">
        <v>69</v>
      </c>
      <c r="T1613">
        <v>82612</v>
      </c>
      <c r="U1613" t="s">
        <v>153</v>
      </c>
      <c r="V1613" t="s">
        <v>154</v>
      </c>
      <c r="W1613" t="s">
        <v>42</v>
      </c>
      <c r="X1613" t="s">
        <v>38</v>
      </c>
      <c r="Y1613" s="9">
        <f t="shared" si="76"/>
        <v>0</v>
      </c>
      <c r="Z1613" t="str">
        <f t="shared" si="77"/>
        <v>สแกนต่าง Cost</v>
      </c>
    </row>
    <row r="1614" spans="1:26" x14ac:dyDescent="0.45">
      <c r="A1614">
        <v>26589</v>
      </c>
      <c r="B1614" t="s">
        <v>53</v>
      </c>
      <c r="C1614">
        <v>20344551</v>
      </c>
      <c r="D1614" t="s">
        <v>110</v>
      </c>
      <c r="E1614" s="10">
        <v>46127.333333333336</v>
      </c>
      <c r="F1614" s="10">
        <v>46127.954861111109</v>
      </c>
      <c r="G1614">
        <v>14.916666666666666</v>
      </c>
      <c r="H1614" s="9">
        <f t="shared" si="75"/>
        <v>7.9000000000000001E-2</v>
      </c>
      <c r="I1614">
        <v>4.4999999999999998E-2</v>
      </c>
      <c r="K1614">
        <v>3.4000000000000002E-2</v>
      </c>
      <c r="M1614" t="s">
        <v>28</v>
      </c>
      <c r="N1614" t="s">
        <v>40</v>
      </c>
      <c r="O1614" t="s">
        <v>265</v>
      </c>
      <c r="P1614" t="s">
        <v>30</v>
      </c>
      <c r="Q1614" t="s">
        <v>31</v>
      </c>
      <c r="R1614">
        <v>82655</v>
      </c>
      <c r="S1614" t="s">
        <v>59</v>
      </c>
      <c r="T1614">
        <v>82664</v>
      </c>
      <c r="U1614" t="s">
        <v>75</v>
      </c>
      <c r="V1614" t="s">
        <v>75</v>
      </c>
      <c r="W1614" t="s">
        <v>205</v>
      </c>
      <c r="X1614" t="s">
        <v>38</v>
      </c>
      <c r="Y1614" s="9">
        <f t="shared" si="76"/>
        <v>3.4000000000000002E-2</v>
      </c>
      <c r="Z1614" t="str">
        <f t="shared" si="77"/>
        <v>สแกนต่าง Cost</v>
      </c>
    </row>
    <row r="1615" spans="1:26" x14ac:dyDescent="0.45">
      <c r="A1615">
        <v>26590</v>
      </c>
      <c r="B1615" t="s">
        <v>53</v>
      </c>
      <c r="C1615">
        <v>20344552</v>
      </c>
      <c r="D1615" t="s">
        <v>112</v>
      </c>
      <c r="E1615" s="10">
        <v>46127.333333333336</v>
      </c>
      <c r="F1615" s="10">
        <v>46127.954861111109</v>
      </c>
      <c r="G1615">
        <v>14.916666666666666</v>
      </c>
      <c r="H1615" s="9">
        <f t="shared" si="75"/>
        <v>7.9000000000000001E-2</v>
      </c>
      <c r="I1615">
        <v>4.4999999999999998E-2</v>
      </c>
      <c r="K1615">
        <v>3.4000000000000002E-2</v>
      </c>
      <c r="M1615" t="s">
        <v>28</v>
      </c>
      <c r="N1615" t="s">
        <v>40</v>
      </c>
      <c r="O1615" t="s">
        <v>265</v>
      </c>
      <c r="P1615" t="s">
        <v>30</v>
      </c>
      <c r="Q1615" t="s">
        <v>31</v>
      </c>
      <c r="R1615">
        <v>82655</v>
      </c>
      <c r="S1615" t="s">
        <v>59</v>
      </c>
      <c r="T1615">
        <v>82664</v>
      </c>
      <c r="U1615" t="s">
        <v>75</v>
      </c>
      <c r="V1615" t="s">
        <v>75</v>
      </c>
      <c r="W1615" t="s">
        <v>205</v>
      </c>
      <c r="X1615" t="s">
        <v>38</v>
      </c>
      <c r="Y1615" s="9">
        <f t="shared" si="76"/>
        <v>3.4000000000000002E-2</v>
      </c>
      <c r="Z1615" t="str">
        <f t="shared" si="77"/>
        <v>สแกนต่าง Cost</v>
      </c>
    </row>
    <row r="1616" spans="1:26" x14ac:dyDescent="0.45">
      <c r="B1616" t="s">
        <v>53</v>
      </c>
      <c r="C1616">
        <v>20368087</v>
      </c>
      <c r="D1616" t="s">
        <v>260</v>
      </c>
      <c r="E1616" s="10">
        <v>46127.333333333336</v>
      </c>
      <c r="F1616" s="10">
        <v>46127.416666666664</v>
      </c>
      <c r="G1616">
        <v>2</v>
      </c>
      <c r="H1616" s="9">
        <f t="shared" si="75"/>
        <v>1.0999999999999999E-2</v>
      </c>
      <c r="J1616">
        <v>1.0999999999999999E-2</v>
      </c>
      <c r="M1616" t="s">
        <v>77</v>
      </c>
      <c r="N1616" t="s">
        <v>40</v>
      </c>
      <c r="O1616" t="s">
        <v>78</v>
      </c>
      <c r="P1616" t="s">
        <v>30</v>
      </c>
      <c r="Q1616" t="s">
        <v>31</v>
      </c>
      <c r="R1616">
        <v>82640</v>
      </c>
      <c r="S1616" t="s">
        <v>42</v>
      </c>
      <c r="T1616">
        <v>82612</v>
      </c>
      <c r="U1616" t="s">
        <v>153</v>
      </c>
      <c r="V1616" t="s">
        <v>66</v>
      </c>
      <c r="W1616" t="s">
        <v>44</v>
      </c>
      <c r="X1616" t="s">
        <v>44</v>
      </c>
      <c r="Y1616" s="9">
        <f t="shared" si="76"/>
        <v>1.0999999999999999E-2</v>
      </c>
      <c r="Z1616" t="str">
        <f t="shared" si="77"/>
        <v>สแกนต่าง Cost</v>
      </c>
    </row>
    <row r="1617" spans="1:26" x14ac:dyDescent="0.45">
      <c r="B1617" t="s">
        <v>26</v>
      </c>
      <c r="C1617">
        <v>20373210</v>
      </c>
      <c r="D1617" t="s">
        <v>206</v>
      </c>
      <c r="E1617" s="10">
        <v>46127.333333333336</v>
      </c>
      <c r="F1617" s="10">
        <v>46127.729166666664</v>
      </c>
      <c r="G1617">
        <v>8.5</v>
      </c>
      <c r="H1617" s="9">
        <f t="shared" si="75"/>
        <v>4.4999999999999998E-2</v>
      </c>
      <c r="I1617">
        <v>4.4999999999999998E-2</v>
      </c>
      <c r="M1617" t="s">
        <v>77</v>
      </c>
      <c r="N1617" t="s">
        <v>29</v>
      </c>
      <c r="P1617" t="s">
        <v>30</v>
      </c>
      <c r="Q1617" t="s">
        <v>31</v>
      </c>
      <c r="R1617">
        <v>82910</v>
      </c>
      <c r="S1617" t="s">
        <v>201</v>
      </c>
      <c r="T1617">
        <v>82605</v>
      </c>
      <c r="U1617" t="s">
        <v>202</v>
      </c>
      <c r="V1617" t="s">
        <v>202</v>
      </c>
      <c r="W1617" t="s">
        <v>37</v>
      </c>
      <c r="X1617" t="s">
        <v>47</v>
      </c>
      <c r="Y1617" s="9">
        <f t="shared" si="76"/>
        <v>0</v>
      </c>
      <c r="Z1617" t="str">
        <f t="shared" si="77"/>
        <v>สแกนต่าง Cost</v>
      </c>
    </row>
    <row r="1618" spans="1:26" x14ac:dyDescent="0.45">
      <c r="B1618" t="s">
        <v>26</v>
      </c>
      <c r="C1618">
        <v>20386851</v>
      </c>
      <c r="D1618" t="s">
        <v>48</v>
      </c>
      <c r="E1618" s="10">
        <v>46127.333333333336</v>
      </c>
      <c r="F1618" s="10">
        <v>46127.729166666664</v>
      </c>
      <c r="G1618">
        <v>8.5</v>
      </c>
      <c r="H1618" s="9">
        <f t="shared" si="75"/>
        <v>4.4999999999999998E-2</v>
      </c>
      <c r="I1618">
        <v>4.4999999999999998E-2</v>
      </c>
      <c r="M1618" t="s">
        <v>65</v>
      </c>
      <c r="N1618" t="s">
        <v>29</v>
      </c>
      <c r="P1618" t="s">
        <v>30</v>
      </c>
      <c r="Q1618" t="s">
        <v>31</v>
      </c>
      <c r="R1618">
        <v>82652</v>
      </c>
      <c r="S1618" t="s">
        <v>46</v>
      </c>
      <c r="T1618">
        <v>82658</v>
      </c>
      <c r="U1618" t="s">
        <v>33</v>
      </c>
      <c r="V1618" t="s">
        <v>33</v>
      </c>
      <c r="W1618" t="s">
        <v>37</v>
      </c>
      <c r="X1618" t="s">
        <v>38</v>
      </c>
      <c r="Y1618" s="9">
        <f t="shared" si="76"/>
        <v>0</v>
      </c>
      <c r="Z1618" t="str">
        <f t="shared" si="77"/>
        <v>สแกนต่าง Cost</v>
      </c>
    </row>
    <row r="1619" spans="1:26" x14ac:dyDescent="0.45">
      <c r="B1619" t="s">
        <v>26</v>
      </c>
      <c r="C1619">
        <v>20403194</v>
      </c>
      <c r="E1619" s="10">
        <v>46127.333333333336</v>
      </c>
      <c r="F1619" s="10">
        <v>46127.379166666666</v>
      </c>
      <c r="G1619">
        <v>1.1000000000000001</v>
      </c>
      <c r="H1619" s="9">
        <f t="shared" si="75"/>
        <v>6.0000000000000001E-3</v>
      </c>
      <c r="I1619">
        <v>6.0000000000000001E-3</v>
      </c>
      <c r="M1619" t="s">
        <v>48</v>
      </c>
      <c r="N1619" t="s">
        <v>48</v>
      </c>
      <c r="P1619" t="s">
        <v>30</v>
      </c>
      <c r="R1619">
        <v>82652</v>
      </c>
      <c r="T1619">
        <v>82658</v>
      </c>
      <c r="U1619" t="s">
        <v>33</v>
      </c>
      <c r="V1619" t="s">
        <v>33</v>
      </c>
      <c r="W1619" t="s">
        <v>37</v>
      </c>
      <c r="X1619" t="s">
        <v>38</v>
      </c>
      <c r="Y1619" s="9">
        <f t="shared" si="76"/>
        <v>0</v>
      </c>
      <c r="Z1619" t="str">
        <f t="shared" si="77"/>
        <v>สแกนต่าง Cost</v>
      </c>
    </row>
    <row r="1620" spans="1:26" x14ac:dyDescent="0.45">
      <c r="B1620" t="s">
        <v>26</v>
      </c>
      <c r="C1620">
        <v>20403258</v>
      </c>
      <c r="E1620" s="10">
        <v>46127.333333333336</v>
      </c>
      <c r="F1620" s="10">
        <v>46127.706944444442</v>
      </c>
      <c r="G1620">
        <v>7.9666666666666668</v>
      </c>
      <c r="H1620" s="9">
        <f t="shared" si="75"/>
        <v>4.2999999999999997E-2</v>
      </c>
      <c r="I1620">
        <v>4.2999999999999997E-2</v>
      </c>
      <c r="M1620" t="s">
        <v>48</v>
      </c>
      <c r="N1620" t="s">
        <v>48</v>
      </c>
      <c r="P1620" t="s">
        <v>30</v>
      </c>
      <c r="R1620">
        <v>82640</v>
      </c>
      <c r="T1620">
        <v>82658</v>
      </c>
      <c r="U1620" t="s">
        <v>33</v>
      </c>
      <c r="V1620" t="s">
        <v>33</v>
      </c>
      <c r="W1620" t="s">
        <v>37</v>
      </c>
      <c r="X1620" t="s">
        <v>38</v>
      </c>
      <c r="Y1620" s="9">
        <f t="shared" si="76"/>
        <v>0</v>
      </c>
      <c r="Z1620" t="str">
        <f t="shared" si="77"/>
        <v>สแกนต่าง Cost</v>
      </c>
    </row>
    <row r="1621" spans="1:26" x14ac:dyDescent="0.45">
      <c r="B1621" t="s">
        <v>26</v>
      </c>
      <c r="C1621">
        <v>20403259</v>
      </c>
      <c r="E1621" s="10">
        <v>46127.333333333336</v>
      </c>
      <c r="F1621" s="10">
        <v>46127.706944444442</v>
      </c>
      <c r="G1621">
        <v>7.9666666666666668</v>
      </c>
      <c r="H1621" s="9">
        <f t="shared" si="75"/>
        <v>4.2999999999999997E-2</v>
      </c>
      <c r="I1621">
        <v>4.2999999999999997E-2</v>
      </c>
      <c r="M1621" t="s">
        <v>48</v>
      </c>
      <c r="N1621" t="s">
        <v>48</v>
      </c>
      <c r="P1621" t="s">
        <v>30</v>
      </c>
      <c r="R1621">
        <v>82640</v>
      </c>
      <c r="T1621">
        <v>82658</v>
      </c>
      <c r="U1621" t="s">
        <v>33</v>
      </c>
      <c r="V1621" t="s">
        <v>33</v>
      </c>
      <c r="W1621" t="s">
        <v>37</v>
      </c>
      <c r="X1621" t="s">
        <v>38</v>
      </c>
      <c r="Y1621" s="9">
        <f t="shared" si="76"/>
        <v>0</v>
      </c>
      <c r="Z1621" t="str">
        <f t="shared" si="77"/>
        <v>สแกนต่าง Cost</v>
      </c>
    </row>
    <row r="1622" spans="1:26" x14ac:dyDescent="0.45">
      <c r="A1622">
        <v>26586</v>
      </c>
      <c r="B1622" t="s">
        <v>53</v>
      </c>
      <c r="C1622">
        <v>20214280</v>
      </c>
      <c r="D1622" t="s">
        <v>136</v>
      </c>
      <c r="E1622" s="10">
        <v>46127.257638888892</v>
      </c>
      <c r="F1622" s="10">
        <v>46127.729166666664</v>
      </c>
      <c r="G1622">
        <v>11.316666666666666</v>
      </c>
      <c r="H1622" s="9">
        <f t="shared" si="75"/>
        <v>0.06</v>
      </c>
      <c r="I1622">
        <v>4.4999999999999998E-2</v>
      </c>
      <c r="K1622">
        <v>1.4999999999999999E-2</v>
      </c>
      <c r="M1622" t="s">
        <v>28</v>
      </c>
      <c r="N1622" t="s">
        <v>40</v>
      </c>
      <c r="O1622" t="s">
        <v>227</v>
      </c>
      <c r="P1622" t="s">
        <v>30</v>
      </c>
      <c r="Q1622" t="s">
        <v>31</v>
      </c>
      <c r="R1622">
        <v>82415</v>
      </c>
      <c r="S1622" t="s">
        <v>137</v>
      </c>
      <c r="T1622">
        <v>82664</v>
      </c>
      <c r="U1622" t="s">
        <v>75</v>
      </c>
      <c r="V1622" t="s">
        <v>75</v>
      </c>
      <c r="W1622" t="s">
        <v>74</v>
      </c>
      <c r="X1622" t="s">
        <v>74</v>
      </c>
      <c r="Y1622" s="9">
        <f t="shared" si="76"/>
        <v>1.4999999999999999E-2</v>
      </c>
      <c r="Z1622" t="str">
        <f t="shared" si="77"/>
        <v>สแกนต่าง Cost</v>
      </c>
    </row>
    <row r="1623" spans="1:26" x14ac:dyDescent="0.45">
      <c r="A1623">
        <v>26583</v>
      </c>
      <c r="B1623" t="s">
        <v>53</v>
      </c>
      <c r="C1623">
        <v>20048905</v>
      </c>
      <c r="D1623" t="s">
        <v>73</v>
      </c>
      <c r="E1623" s="10">
        <v>46126.588194444441</v>
      </c>
      <c r="F1623" s="10">
        <v>46126.838888888888</v>
      </c>
      <c r="G1623">
        <v>5.0166666666666666</v>
      </c>
      <c r="H1623" s="9">
        <f t="shared" si="75"/>
        <v>2.7E-2</v>
      </c>
      <c r="I1623">
        <v>2.7E-2</v>
      </c>
      <c r="M1623" t="s">
        <v>65</v>
      </c>
      <c r="N1623" t="s">
        <v>29</v>
      </c>
      <c r="P1623" t="s">
        <v>30</v>
      </c>
      <c r="Q1623" t="s">
        <v>31</v>
      </c>
      <c r="R1623">
        <v>82409</v>
      </c>
      <c r="S1623" t="s">
        <v>74</v>
      </c>
      <c r="T1623">
        <v>82664</v>
      </c>
      <c r="U1623" t="s">
        <v>75</v>
      </c>
      <c r="V1623" t="s">
        <v>75</v>
      </c>
      <c r="W1623" t="s">
        <v>74</v>
      </c>
      <c r="X1623" t="s">
        <v>74</v>
      </c>
      <c r="Y1623" s="9">
        <f t="shared" si="76"/>
        <v>0</v>
      </c>
      <c r="Z1623" t="str">
        <f t="shared" si="77"/>
        <v>สแกนต่าง Cost</v>
      </c>
    </row>
    <row r="1624" spans="1:26" x14ac:dyDescent="0.45">
      <c r="B1624" t="s">
        <v>53</v>
      </c>
      <c r="C1624">
        <v>20340657</v>
      </c>
      <c r="D1624" t="s">
        <v>221</v>
      </c>
      <c r="E1624" s="10">
        <v>46126.541666666664</v>
      </c>
      <c r="F1624" s="10">
        <v>46126.729166666664</v>
      </c>
      <c r="G1624">
        <v>4.5</v>
      </c>
      <c r="H1624" s="9">
        <f t="shared" si="75"/>
        <v>2.4E-2</v>
      </c>
      <c r="I1624">
        <v>2.4E-2</v>
      </c>
      <c r="M1624" t="s">
        <v>65</v>
      </c>
      <c r="N1624" t="s">
        <v>29</v>
      </c>
      <c r="P1624" t="s">
        <v>30</v>
      </c>
      <c r="Q1624" t="s">
        <v>31</v>
      </c>
      <c r="R1624">
        <v>82640</v>
      </c>
      <c r="S1624" t="s">
        <v>42</v>
      </c>
      <c r="T1624">
        <v>82612</v>
      </c>
      <c r="U1624" t="s">
        <v>153</v>
      </c>
      <c r="V1624" t="s">
        <v>66</v>
      </c>
      <c r="W1624" t="s">
        <v>44</v>
      </c>
      <c r="X1624" t="s">
        <v>44</v>
      </c>
      <c r="Y1624" s="9">
        <f t="shared" si="76"/>
        <v>0</v>
      </c>
      <c r="Z1624" t="str">
        <f t="shared" si="77"/>
        <v>สแกนต่าง Cost</v>
      </c>
    </row>
    <row r="1625" spans="1:26" x14ac:dyDescent="0.45">
      <c r="B1625" t="s">
        <v>53</v>
      </c>
      <c r="C1625">
        <v>20340657</v>
      </c>
      <c r="D1625" t="s">
        <v>221</v>
      </c>
      <c r="E1625" s="10">
        <v>46126.354166666664</v>
      </c>
      <c r="F1625" s="10">
        <v>46126.5</v>
      </c>
      <c r="G1625">
        <v>3.5</v>
      </c>
      <c r="H1625" s="9">
        <f t="shared" si="75"/>
        <v>1.9E-2</v>
      </c>
      <c r="I1625">
        <v>1.9E-2</v>
      </c>
      <c r="M1625" t="s">
        <v>65</v>
      </c>
      <c r="N1625" t="s">
        <v>29</v>
      </c>
      <c r="P1625" t="s">
        <v>30</v>
      </c>
      <c r="Q1625" t="s">
        <v>31</v>
      </c>
      <c r="R1625">
        <v>82640</v>
      </c>
      <c r="S1625" t="s">
        <v>42</v>
      </c>
      <c r="T1625">
        <v>82612</v>
      </c>
      <c r="U1625" t="s">
        <v>153</v>
      </c>
      <c r="V1625" t="s">
        <v>66</v>
      </c>
      <c r="W1625" t="s">
        <v>44</v>
      </c>
      <c r="X1625" t="s">
        <v>44</v>
      </c>
      <c r="Y1625" s="9">
        <f t="shared" si="76"/>
        <v>0</v>
      </c>
      <c r="Z1625" t="str">
        <f t="shared" si="77"/>
        <v>สแกนต่าง Cost</v>
      </c>
    </row>
    <row r="1626" spans="1:26" x14ac:dyDescent="0.45">
      <c r="A1626">
        <v>26582</v>
      </c>
      <c r="B1626" t="s">
        <v>53</v>
      </c>
      <c r="C1626">
        <v>20338280</v>
      </c>
      <c r="D1626" t="s">
        <v>303</v>
      </c>
      <c r="E1626" s="10">
        <v>46126.308333333334</v>
      </c>
      <c r="F1626" s="10">
        <v>46126.831944444442</v>
      </c>
      <c r="G1626">
        <v>12.566666666666666</v>
      </c>
      <c r="H1626" s="9">
        <f t="shared" si="75"/>
        <v>6.7000000000000004E-2</v>
      </c>
      <c r="I1626">
        <v>4.4999999999999998E-2</v>
      </c>
      <c r="K1626">
        <v>2.1999999999999999E-2</v>
      </c>
      <c r="M1626" t="s">
        <v>28</v>
      </c>
      <c r="N1626" t="s">
        <v>29</v>
      </c>
      <c r="P1626" t="s">
        <v>30</v>
      </c>
      <c r="Q1626" t="s">
        <v>31</v>
      </c>
      <c r="R1626">
        <v>82409</v>
      </c>
      <c r="S1626" t="s">
        <v>74</v>
      </c>
      <c r="T1626">
        <v>82664</v>
      </c>
      <c r="U1626" t="s">
        <v>75</v>
      </c>
      <c r="V1626" t="s">
        <v>75</v>
      </c>
      <c r="W1626" t="s">
        <v>74</v>
      </c>
      <c r="X1626" t="s">
        <v>74</v>
      </c>
      <c r="Y1626" s="9">
        <f t="shared" si="76"/>
        <v>2.1999999999999999E-2</v>
      </c>
      <c r="Z1626" t="str">
        <f t="shared" si="77"/>
        <v>สแกนต่าง Cost</v>
      </c>
    </row>
    <row r="1627" spans="1:26" x14ac:dyDescent="0.45">
      <c r="A1627">
        <v>26585</v>
      </c>
      <c r="B1627" t="s">
        <v>53</v>
      </c>
      <c r="C1627">
        <v>20041632</v>
      </c>
      <c r="D1627" t="s">
        <v>345</v>
      </c>
      <c r="E1627" s="10">
        <v>46125.681250000001</v>
      </c>
      <c r="F1627" s="10">
        <v>46125.729166666664</v>
      </c>
      <c r="G1627">
        <v>1.1499999999999999</v>
      </c>
      <c r="H1627" s="9">
        <f t="shared" si="75"/>
        <v>6.0000000000000001E-3</v>
      </c>
      <c r="I1627">
        <v>6.0000000000000001E-3</v>
      </c>
      <c r="M1627" t="s">
        <v>65</v>
      </c>
      <c r="N1627" t="s">
        <v>29</v>
      </c>
      <c r="P1627" t="s">
        <v>133</v>
      </c>
      <c r="Q1627" t="s">
        <v>31</v>
      </c>
      <c r="R1627">
        <v>82415</v>
      </c>
      <c r="S1627" t="s">
        <v>137</v>
      </c>
      <c r="T1627">
        <v>82664</v>
      </c>
      <c r="U1627" t="s">
        <v>75</v>
      </c>
      <c r="V1627" t="s">
        <v>75</v>
      </c>
      <c r="W1627" t="s">
        <v>74</v>
      </c>
      <c r="X1627" t="s">
        <v>74</v>
      </c>
      <c r="Y1627" s="9">
        <f t="shared" si="76"/>
        <v>0</v>
      </c>
      <c r="Z1627" t="str">
        <f t="shared" si="77"/>
        <v>สแกนต่าง Cost</v>
      </c>
    </row>
    <row r="1628" spans="1:26" x14ac:dyDescent="0.45">
      <c r="A1628">
        <v>26584</v>
      </c>
      <c r="B1628" t="s">
        <v>53</v>
      </c>
      <c r="C1628">
        <v>20019027</v>
      </c>
      <c r="D1628" t="s">
        <v>346</v>
      </c>
      <c r="E1628" s="10">
        <v>46125.563888888886</v>
      </c>
      <c r="F1628" s="10">
        <v>46125.729166666664</v>
      </c>
      <c r="G1628">
        <v>3.9666666666666668</v>
      </c>
      <c r="H1628" s="9">
        <f t="shared" si="75"/>
        <v>2.1000000000000001E-2</v>
      </c>
      <c r="I1628">
        <v>2.1000000000000001E-2</v>
      </c>
      <c r="M1628" t="s">
        <v>65</v>
      </c>
      <c r="N1628" t="s">
        <v>29</v>
      </c>
      <c r="P1628" t="s">
        <v>133</v>
      </c>
      <c r="Q1628" t="s">
        <v>31</v>
      </c>
      <c r="R1628">
        <v>82409</v>
      </c>
      <c r="S1628" t="s">
        <v>74</v>
      </c>
      <c r="T1628">
        <v>82664</v>
      </c>
      <c r="U1628" t="s">
        <v>75</v>
      </c>
      <c r="V1628" t="s">
        <v>75</v>
      </c>
      <c r="W1628" t="s">
        <v>74</v>
      </c>
      <c r="X1628" t="s">
        <v>74</v>
      </c>
      <c r="Y1628" s="9">
        <f t="shared" si="76"/>
        <v>0</v>
      </c>
      <c r="Z1628" t="str">
        <f t="shared" si="77"/>
        <v>สแกนต่าง Cost</v>
      </c>
    </row>
    <row r="1629" spans="1:26" x14ac:dyDescent="0.45">
      <c r="B1629" t="s">
        <v>53</v>
      </c>
      <c r="C1629">
        <v>20340657</v>
      </c>
      <c r="D1629" t="s">
        <v>221</v>
      </c>
      <c r="E1629" s="10">
        <v>46125.541666666664</v>
      </c>
      <c r="F1629" s="10">
        <v>46125.729166666664</v>
      </c>
      <c r="G1629">
        <v>4.5</v>
      </c>
      <c r="H1629" s="9">
        <f t="shared" si="75"/>
        <v>2.4E-2</v>
      </c>
      <c r="I1629">
        <v>2.4E-2</v>
      </c>
      <c r="M1629" t="s">
        <v>65</v>
      </c>
      <c r="N1629" t="s">
        <v>29</v>
      </c>
      <c r="P1629" t="s">
        <v>30</v>
      </c>
      <c r="Q1629" t="s">
        <v>31</v>
      </c>
      <c r="R1629">
        <v>82640</v>
      </c>
      <c r="S1629" t="s">
        <v>42</v>
      </c>
      <c r="T1629">
        <v>82612</v>
      </c>
      <c r="U1629" t="s">
        <v>153</v>
      </c>
      <c r="V1629" t="s">
        <v>66</v>
      </c>
      <c r="W1629" t="s">
        <v>44</v>
      </c>
      <c r="X1629" t="s">
        <v>44</v>
      </c>
      <c r="Y1629" s="9">
        <f t="shared" si="76"/>
        <v>0</v>
      </c>
      <c r="Z1629" t="str">
        <f t="shared" si="77"/>
        <v>สแกนต่าง Cost</v>
      </c>
    </row>
    <row r="1630" spans="1:26" x14ac:dyDescent="0.45">
      <c r="B1630" t="s">
        <v>53</v>
      </c>
      <c r="C1630">
        <v>20340657</v>
      </c>
      <c r="D1630" t="s">
        <v>221</v>
      </c>
      <c r="E1630" s="10">
        <v>46125.354166666664</v>
      </c>
      <c r="F1630" s="10">
        <v>46125.5</v>
      </c>
      <c r="G1630">
        <v>3.5</v>
      </c>
      <c r="H1630" s="9">
        <f t="shared" si="75"/>
        <v>1.9E-2</v>
      </c>
      <c r="I1630">
        <v>1.9E-2</v>
      </c>
      <c r="M1630" t="s">
        <v>65</v>
      </c>
      <c r="N1630" t="s">
        <v>29</v>
      </c>
      <c r="P1630" t="s">
        <v>30</v>
      </c>
      <c r="Q1630" t="s">
        <v>31</v>
      </c>
      <c r="R1630">
        <v>82640</v>
      </c>
      <c r="S1630" t="s">
        <v>42</v>
      </c>
      <c r="T1630">
        <v>82612</v>
      </c>
      <c r="U1630" t="s">
        <v>153</v>
      </c>
      <c r="V1630" t="s">
        <v>66</v>
      </c>
      <c r="W1630" t="s">
        <v>44</v>
      </c>
      <c r="X1630" t="s">
        <v>44</v>
      </c>
      <c r="Y1630" s="9">
        <f t="shared" si="76"/>
        <v>0</v>
      </c>
      <c r="Z1630" t="str">
        <f t="shared" si="77"/>
        <v>สแกนต่าง Cost</v>
      </c>
    </row>
    <row r="1631" spans="1:26" x14ac:dyDescent="0.45">
      <c r="B1631" t="s">
        <v>26</v>
      </c>
      <c r="C1631">
        <v>20198811</v>
      </c>
      <c r="D1631" t="s">
        <v>144</v>
      </c>
      <c r="E1631" s="10">
        <v>46124.707638888889</v>
      </c>
      <c r="F1631" s="10">
        <v>46124.713888888888</v>
      </c>
      <c r="G1631">
        <v>0.15</v>
      </c>
      <c r="H1631" s="9">
        <f t="shared" si="75"/>
        <v>1E-3</v>
      </c>
      <c r="J1631">
        <v>1E-3</v>
      </c>
      <c r="M1631" t="s">
        <v>77</v>
      </c>
      <c r="N1631" t="s">
        <v>40</v>
      </c>
      <c r="O1631" t="s">
        <v>251</v>
      </c>
      <c r="P1631" t="s">
        <v>30</v>
      </c>
      <c r="Q1631" t="s">
        <v>31</v>
      </c>
      <c r="R1631">
        <v>82652</v>
      </c>
      <c r="S1631" t="s">
        <v>46</v>
      </c>
      <c r="T1631">
        <v>82658</v>
      </c>
      <c r="U1631" t="s">
        <v>33</v>
      </c>
      <c r="V1631" t="s">
        <v>33</v>
      </c>
      <c r="W1631" t="s">
        <v>37</v>
      </c>
      <c r="X1631" t="s">
        <v>331</v>
      </c>
      <c r="Y1631" s="9">
        <f t="shared" si="76"/>
        <v>1E-3</v>
      </c>
      <c r="Z1631" t="str">
        <f t="shared" si="77"/>
        <v>สแกนต่าง Cost</v>
      </c>
    </row>
    <row r="1632" spans="1:26" x14ac:dyDescent="0.45">
      <c r="B1632" t="s">
        <v>26</v>
      </c>
      <c r="C1632">
        <v>20031838</v>
      </c>
      <c r="D1632" t="s">
        <v>143</v>
      </c>
      <c r="E1632" s="10">
        <v>46124.706944444442</v>
      </c>
      <c r="F1632" s="10">
        <v>46124.713888888888</v>
      </c>
      <c r="G1632">
        <v>0.16666666666666666</v>
      </c>
      <c r="H1632" s="9">
        <f t="shared" si="75"/>
        <v>1E-3</v>
      </c>
      <c r="J1632">
        <v>1E-3</v>
      </c>
      <c r="M1632" t="s">
        <v>77</v>
      </c>
      <c r="N1632" t="s">
        <v>40</v>
      </c>
      <c r="O1632" t="s">
        <v>247</v>
      </c>
      <c r="P1632" t="s">
        <v>30</v>
      </c>
      <c r="Q1632" t="s">
        <v>31</v>
      </c>
      <c r="R1632">
        <v>82652</v>
      </c>
      <c r="S1632" t="s">
        <v>46</v>
      </c>
      <c r="T1632">
        <v>82658</v>
      </c>
      <c r="U1632" t="s">
        <v>33</v>
      </c>
      <c r="V1632" t="s">
        <v>33</v>
      </c>
      <c r="W1632" t="s">
        <v>37</v>
      </c>
      <c r="X1632" t="s">
        <v>331</v>
      </c>
      <c r="Y1632" s="9">
        <f t="shared" si="76"/>
        <v>1E-3</v>
      </c>
      <c r="Z1632" t="str">
        <f t="shared" si="77"/>
        <v>สแกนต่าง Cost</v>
      </c>
    </row>
    <row r="1633" spans="1:26" x14ac:dyDescent="0.45">
      <c r="B1633" t="s">
        <v>26</v>
      </c>
      <c r="C1633">
        <v>20028097</v>
      </c>
      <c r="D1633" t="s">
        <v>139</v>
      </c>
      <c r="E1633" s="10">
        <v>46124.706250000003</v>
      </c>
      <c r="F1633" s="10">
        <v>46124.713888888888</v>
      </c>
      <c r="G1633">
        <v>0.18333333333333332</v>
      </c>
      <c r="H1633" s="9">
        <f t="shared" si="75"/>
        <v>1E-3</v>
      </c>
      <c r="J1633">
        <v>1E-3</v>
      </c>
      <c r="M1633" t="s">
        <v>77</v>
      </c>
      <c r="N1633" t="s">
        <v>40</v>
      </c>
      <c r="O1633" t="s">
        <v>247</v>
      </c>
      <c r="P1633" t="s">
        <v>30</v>
      </c>
      <c r="Q1633" t="s">
        <v>31</v>
      </c>
      <c r="R1633">
        <v>82652</v>
      </c>
      <c r="S1633" t="s">
        <v>46</v>
      </c>
      <c r="T1633">
        <v>82658</v>
      </c>
      <c r="U1633" t="s">
        <v>33</v>
      </c>
      <c r="V1633" t="s">
        <v>33</v>
      </c>
      <c r="W1633" t="s">
        <v>37</v>
      </c>
      <c r="X1633" t="s">
        <v>331</v>
      </c>
      <c r="Y1633" s="9">
        <f t="shared" si="76"/>
        <v>1E-3</v>
      </c>
      <c r="Z1633" t="str">
        <f t="shared" si="77"/>
        <v>สแกนต่าง Cost</v>
      </c>
    </row>
    <row r="1634" spans="1:26" x14ac:dyDescent="0.45">
      <c r="B1634" t="s">
        <v>26</v>
      </c>
      <c r="C1634">
        <v>20031153</v>
      </c>
      <c r="D1634" t="s">
        <v>142</v>
      </c>
      <c r="E1634" s="10">
        <v>46124.706250000003</v>
      </c>
      <c r="F1634" s="10">
        <v>46124.713888888888</v>
      </c>
      <c r="G1634">
        <v>0.18333333333333332</v>
      </c>
      <c r="H1634" s="9">
        <f t="shared" si="75"/>
        <v>1E-3</v>
      </c>
      <c r="J1634">
        <v>1E-3</v>
      </c>
      <c r="M1634" t="s">
        <v>77</v>
      </c>
      <c r="N1634" t="s">
        <v>40</v>
      </c>
      <c r="O1634" t="s">
        <v>247</v>
      </c>
      <c r="P1634" t="s">
        <v>30</v>
      </c>
      <c r="Q1634" t="s">
        <v>31</v>
      </c>
      <c r="R1634">
        <v>82652</v>
      </c>
      <c r="S1634" t="s">
        <v>46</v>
      </c>
      <c r="T1634">
        <v>82658</v>
      </c>
      <c r="U1634" t="s">
        <v>33</v>
      </c>
      <c r="V1634" t="s">
        <v>33</v>
      </c>
      <c r="W1634" t="s">
        <v>37</v>
      </c>
      <c r="X1634" t="s">
        <v>331</v>
      </c>
      <c r="Y1634" s="9">
        <f t="shared" si="76"/>
        <v>1E-3</v>
      </c>
      <c r="Z1634" t="str">
        <f t="shared" si="77"/>
        <v>สแกนต่าง Cost</v>
      </c>
    </row>
    <row r="1635" spans="1:26" x14ac:dyDescent="0.45">
      <c r="B1635" t="s">
        <v>26</v>
      </c>
      <c r="C1635">
        <v>20198813</v>
      </c>
      <c r="D1635" t="s">
        <v>45</v>
      </c>
      <c r="E1635" s="10">
        <v>46124.350694444445</v>
      </c>
      <c r="F1635" s="10">
        <v>46124.707638888889</v>
      </c>
      <c r="G1635">
        <v>7.5666666666666664</v>
      </c>
      <c r="H1635" s="9">
        <f t="shared" si="75"/>
        <v>0.04</v>
      </c>
      <c r="J1635">
        <v>0.04</v>
      </c>
      <c r="M1635" t="s">
        <v>77</v>
      </c>
      <c r="N1635" t="s">
        <v>40</v>
      </c>
      <c r="O1635" t="s">
        <v>78</v>
      </c>
      <c r="P1635" t="s">
        <v>30</v>
      </c>
      <c r="Q1635" t="s">
        <v>31</v>
      </c>
      <c r="R1635">
        <v>82652</v>
      </c>
      <c r="S1635" t="s">
        <v>46</v>
      </c>
      <c r="T1635">
        <v>82658</v>
      </c>
      <c r="U1635" t="s">
        <v>33</v>
      </c>
      <c r="V1635" t="s">
        <v>33</v>
      </c>
      <c r="W1635" t="s">
        <v>37</v>
      </c>
      <c r="X1635" t="s">
        <v>331</v>
      </c>
      <c r="Y1635" s="9">
        <f t="shared" si="76"/>
        <v>0.04</v>
      </c>
      <c r="Z1635" t="str">
        <f t="shared" si="77"/>
        <v>สแกนต่าง Cost</v>
      </c>
    </row>
    <row r="1636" spans="1:26" x14ac:dyDescent="0.45">
      <c r="A1636">
        <v>26581</v>
      </c>
      <c r="B1636" t="s">
        <v>53</v>
      </c>
      <c r="C1636">
        <v>20267288</v>
      </c>
      <c r="D1636" t="s">
        <v>127</v>
      </c>
      <c r="E1636" s="10">
        <v>46124.348611111112</v>
      </c>
      <c r="F1636" s="10">
        <v>46124.729166666664</v>
      </c>
      <c r="G1636">
        <v>8.1333333333333329</v>
      </c>
      <c r="H1636" s="9">
        <f t="shared" si="75"/>
        <v>4.2999999999999997E-2</v>
      </c>
      <c r="J1636">
        <v>4.2999999999999997E-2</v>
      </c>
      <c r="M1636" t="s">
        <v>77</v>
      </c>
      <c r="N1636" t="s">
        <v>40</v>
      </c>
      <c r="O1636" t="s">
        <v>247</v>
      </c>
      <c r="P1636" t="s">
        <v>30</v>
      </c>
      <c r="Q1636" t="s">
        <v>31</v>
      </c>
      <c r="R1636">
        <v>82409</v>
      </c>
      <c r="S1636" t="s">
        <v>74</v>
      </c>
      <c r="T1636">
        <v>82664</v>
      </c>
      <c r="U1636" t="s">
        <v>75</v>
      </c>
      <c r="V1636" t="s">
        <v>75</v>
      </c>
      <c r="W1636" t="s">
        <v>74</v>
      </c>
      <c r="X1636" t="s">
        <v>74</v>
      </c>
      <c r="Y1636" s="9">
        <f t="shared" si="76"/>
        <v>4.2999999999999997E-2</v>
      </c>
      <c r="Z1636" t="str">
        <f t="shared" si="77"/>
        <v>สแกนต่าง Cost</v>
      </c>
    </row>
    <row r="1637" spans="1:26" x14ac:dyDescent="0.45">
      <c r="B1637" t="s">
        <v>26</v>
      </c>
      <c r="C1637">
        <v>20015462</v>
      </c>
      <c r="D1637" t="s">
        <v>347</v>
      </c>
      <c r="E1637" s="10">
        <v>46124.333333333336</v>
      </c>
      <c r="F1637" s="10">
        <v>46124.729166666664</v>
      </c>
      <c r="G1637">
        <v>8.5</v>
      </c>
      <c r="H1637" s="9">
        <f t="shared" si="75"/>
        <v>4.4999999999999998E-2</v>
      </c>
      <c r="J1637">
        <v>4.4999999999999998E-2</v>
      </c>
      <c r="M1637" t="s">
        <v>77</v>
      </c>
      <c r="N1637" t="s">
        <v>40</v>
      </c>
      <c r="O1637" t="s">
        <v>78</v>
      </c>
      <c r="P1637" t="s">
        <v>30</v>
      </c>
      <c r="Q1637" t="s">
        <v>31</v>
      </c>
      <c r="R1637">
        <v>82303</v>
      </c>
      <c r="S1637" t="s">
        <v>56</v>
      </c>
      <c r="T1637">
        <v>82658</v>
      </c>
      <c r="U1637" t="s">
        <v>33</v>
      </c>
      <c r="V1637" t="s">
        <v>33</v>
      </c>
      <c r="W1637" t="s">
        <v>34</v>
      </c>
      <c r="X1637" t="s">
        <v>34</v>
      </c>
      <c r="Y1637" s="9">
        <f t="shared" si="76"/>
        <v>4.4999999999999998E-2</v>
      </c>
      <c r="Z1637" t="str">
        <f t="shared" si="77"/>
        <v>สแกนต่าง Cost</v>
      </c>
    </row>
    <row r="1638" spans="1:26" x14ac:dyDescent="0.45">
      <c r="B1638" t="s">
        <v>26</v>
      </c>
      <c r="C1638">
        <v>20048908</v>
      </c>
      <c r="D1638" t="s">
        <v>348</v>
      </c>
      <c r="E1638" s="10">
        <v>46124.333333333336</v>
      </c>
      <c r="F1638" s="10">
        <v>46124.729166666664</v>
      </c>
      <c r="G1638">
        <v>8.5</v>
      </c>
      <c r="H1638" s="9">
        <f t="shared" si="75"/>
        <v>4.4999999999999998E-2</v>
      </c>
      <c r="J1638">
        <v>4.4999999999999998E-2</v>
      </c>
      <c r="M1638" t="s">
        <v>77</v>
      </c>
      <c r="N1638" t="s">
        <v>40</v>
      </c>
      <c r="O1638" t="s">
        <v>78</v>
      </c>
      <c r="P1638" t="s">
        <v>30</v>
      </c>
      <c r="Q1638" t="s">
        <v>31</v>
      </c>
      <c r="R1638">
        <v>82303</v>
      </c>
      <c r="S1638" t="s">
        <v>56</v>
      </c>
      <c r="T1638">
        <v>82658</v>
      </c>
      <c r="U1638" t="s">
        <v>33</v>
      </c>
      <c r="V1638" t="s">
        <v>33</v>
      </c>
      <c r="W1638" t="s">
        <v>34</v>
      </c>
      <c r="X1638" t="s">
        <v>34</v>
      </c>
      <c r="Y1638" s="9">
        <f t="shared" si="76"/>
        <v>4.4999999999999998E-2</v>
      </c>
      <c r="Z1638" t="str">
        <f t="shared" si="77"/>
        <v>สแกนต่าง Cost</v>
      </c>
    </row>
    <row r="1639" spans="1:26" x14ac:dyDescent="0.45">
      <c r="B1639" t="s">
        <v>53</v>
      </c>
      <c r="C1639">
        <v>20076991</v>
      </c>
      <c r="D1639" t="s">
        <v>76</v>
      </c>
      <c r="E1639" s="10">
        <v>46124.333333333336</v>
      </c>
      <c r="F1639" s="10">
        <v>46124.729166666664</v>
      </c>
      <c r="G1639">
        <v>8.5</v>
      </c>
      <c r="H1639" s="9">
        <f t="shared" si="75"/>
        <v>4.4999999999999998E-2</v>
      </c>
      <c r="J1639">
        <v>4.4999999999999998E-2</v>
      </c>
      <c r="M1639" t="s">
        <v>77</v>
      </c>
      <c r="N1639" t="s">
        <v>40</v>
      </c>
      <c r="O1639" t="s">
        <v>78</v>
      </c>
      <c r="P1639" t="s">
        <v>30</v>
      </c>
      <c r="Q1639" t="s">
        <v>31</v>
      </c>
      <c r="R1639">
        <v>82308</v>
      </c>
      <c r="S1639" t="s">
        <v>69</v>
      </c>
      <c r="T1639">
        <v>82658</v>
      </c>
      <c r="U1639" t="s">
        <v>33</v>
      </c>
      <c r="V1639" t="s">
        <v>33</v>
      </c>
      <c r="W1639" t="s">
        <v>37</v>
      </c>
      <c r="X1639" t="s">
        <v>38</v>
      </c>
      <c r="Y1639" s="9">
        <f t="shared" si="76"/>
        <v>4.4999999999999998E-2</v>
      </c>
      <c r="Z1639" t="str">
        <f t="shared" si="77"/>
        <v>สแกนต่าง Cost</v>
      </c>
    </row>
    <row r="1640" spans="1:26" x14ac:dyDescent="0.45">
      <c r="B1640" t="s">
        <v>26</v>
      </c>
      <c r="C1640">
        <v>20190541</v>
      </c>
      <c r="D1640" t="s">
        <v>344</v>
      </c>
      <c r="E1640" s="10">
        <v>46124.333333333336</v>
      </c>
      <c r="F1640" s="10">
        <v>46124.729166666664</v>
      </c>
      <c r="G1640">
        <v>8.5</v>
      </c>
      <c r="H1640" s="9">
        <f t="shared" si="75"/>
        <v>4.4999999999999998E-2</v>
      </c>
      <c r="J1640">
        <v>4.4999999999999998E-2</v>
      </c>
      <c r="M1640" t="s">
        <v>77</v>
      </c>
      <c r="N1640" t="s">
        <v>40</v>
      </c>
      <c r="O1640" t="s">
        <v>78</v>
      </c>
      <c r="P1640" t="s">
        <v>30</v>
      </c>
      <c r="Q1640" t="s">
        <v>31</v>
      </c>
      <c r="R1640">
        <v>82303</v>
      </c>
      <c r="S1640" t="s">
        <v>56</v>
      </c>
      <c r="T1640">
        <v>82658</v>
      </c>
      <c r="U1640" t="s">
        <v>33</v>
      </c>
      <c r="V1640" t="s">
        <v>33</v>
      </c>
      <c r="W1640" t="s">
        <v>34</v>
      </c>
      <c r="X1640" t="s">
        <v>34</v>
      </c>
      <c r="Y1640" s="9">
        <f t="shared" si="76"/>
        <v>4.4999999999999998E-2</v>
      </c>
      <c r="Z1640" t="str">
        <f t="shared" si="77"/>
        <v>สแกนต่าง Cost</v>
      </c>
    </row>
    <row r="1641" spans="1:26" x14ac:dyDescent="0.45">
      <c r="A1641">
        <v>26579</v>
      </c>
      <c r="B1641" t="s">
        <v>53</v>
      </c>
      <c r="C1641">
        <v>20344551</v>
      </c>
      <c r="D1641" t="s">
        <v>110</v>
      </c>
      <c r="E1641" s="10">
        <v>46124.333333333336</v>
      </c>
      <c r="F1641" s="10">
        <v>46124.729166666664</v>
      </c>
      <c r="G1641">
        <v>8.5</v>
      </c>
      <c r="H1641" s="9">
        <f t="shared" si="75"/>
        <v>4.4999999999999998E-2</v>
      </c>
      <c r="J1641">
        <v>4.4999999999999998E-2</v>
      </c>
      <c r="M1641" t="s">
        <v>77</v>
      </c>
      <c r="N1641" t="s">
        <v>40</v>
      </c>
      <c r="O1641" t="s">
        <v>78</v>
      </c>
      <c r="P1641" t="s">
        <v>30</v>
      </c>
      <c r="Q1641" t="s">
        <v>31</v>
      </c>
      <c r="R1641">
        <v>82655</v>
      </c>
      <c r="S1641" t="s">
        <v>59</v>
      </c>
      <c r="T1641">
        <v>82664</v>
      </c>
      <c r="U1641" t="s">
        <v>75</v>
      </c>
      <c r="V1641" t="s">
        <v>75</v>
      </c>
      <c r="W1641" t="s">
        <v>34</v>
      </c>
      <c r="X1641" t="s">
        <v>38</v>
      </c>
      <c r="Y1641" s="9">
        <f t="shared" si="76"/>
        <v>4.4999999999999998E-2</v>
      </c>
      <c r="Z1641" t="str">
        <f t="shared" si="77"/>
        <v>สแกนต่าง Cost</v>
      </c>
    </row>
    <row r="1642" spans="1:26" x14ac:dyDescent="0.45">
      <c r="A1642">
        <v>26580</v>
      </c>
      <c r="B1642" t="s">
        <v>53</v>
      </c>
      <c r="C1642">
        <v>20344552</v>
      </c>
      <c r="D1642" t="s">
        <v>112</v>
      </c>
      <c r="E1642" s="10">
        <v>46124.333333333336</v>
      </c>
      <c r="F1642" s="10">
        <v>46124.729166666664</v>
      </c>
      <c r="G1642">
        <v>8.5</v>
      </c>
      <c r="H1642" s="9">
        <f t="shared" si="75"/>
        <v>4.4999999999999998E-2</v>
      </c>
      <c r="J1642">
        <v>4.4999999999999998E-2</v>
      </c>
      <c r="M1642" t="s">
        <v>77</v>
      </c>
      <c r="N1642" t="s">
        <v>40</v>
      </c>
      <c r="O1642" t="s">
        <v>78</v>
      </c>
      <c r="P1642" t="s">
        <v>30</v>
      </c>
      <c r="Q1642" t="s">
        <v>31</v>
      </c>
      <c r="R1642">
        <v>82655</v>
      </c>
      <c r="S1642" t="s">
        <v>59</v>
      </c>
      <c r="T1642">
        <v>82664</v>
      </c>
      <c r="U1642" t="s">
        <v>75</v>
      </c>
      <c r="V1642" t="s">
        <v>75</v>
      </c>
      <c r="W1642" t="s">
        <v>34</v>
      </c>
      <c r="X1642" t="s">
        <v>38</v>
      </c>
      <c r="Y1642" s="9">
        <f t="shared" si="76"/>
        <v>4.4999999999999998E-2</v>
      </c>
      <c r="Z1642" t="str">
        <f t="shared" si="77"/>
        <v>สแกนต่าง Cost</v>
      </c>
    </row>
    <row r="1643" spans="1:26" x14ac:dyDescent="0.45">
      <c r="B1643" t="s">
        <v>26</v>
      </c>
      <c r="C1643">
        <v>20403445</v>
      </c>
      <c r="E1643" s="10">
        <v>46124.333333333336</v>
      </c>
      <c r="F1643" s="10">
        <v>46124.729166666664</v>
      </c>
      <c r="G1643">
        <v>8.5</v>
      </c>
      <c r="H1643" s="9">
        <f t="shared" si="75"/>
        <v>4.4999999999999998E-2</v>
      </c>
      <c r="J1643">
        <v>4.4999999999999998E-2</v>
      </c>
      <c r="M1643" t="s">
        <v>77</v>
      </c>
      <c r="N1643" t="s">
        <v>40</v>
      </c>
      <c r="O1643" t="s">
        <v>78</v>
      </c>
      <c r="P1643" t="s">
        <v>30</v>
      </c>
      <c r="R1643">
        <v>82680</v>
      </c>
      <c r="T1643">
        <v>82658</v>
      </c>
      <c r="U1643" t="s">
        <v>33</v>
      </c>
      <c r="V1643" t="s">
        <v>33</v>
      </c>
      <c r="W1643" t="s">
        <v>34</v>
      </c>
      <c r="X1643" t="s">
        <v>34</v>
      </c>
      <c r="Y1643" s="9">
        <f t="shared" si="76"/>
        <v>4.4999999999999998E-2</v>
      </c>
      <c r="Z1643" t="str">
        <f t="shared" si="77"/>
        <v>สแกนต่าง Cost</v>
      </c>
    </row>
    <row r="1644" spans="1:26" x14ac:dyDescent="0.45">
      <c r="B1644" t="s">
        <v>26</v>
      </c>
      <c r="C1644">
        <v>20078191</v>
      </c>
      <c r="D1644" t="s">
        <v>283</v>
      </c>
      <c r="E1644" s="10">
        <v>46124.332638888889</v>
      </c>
      <c r="F1644" s="10">
        <v>46124.729166666664</v>
      </c>
      <c r="G1644">
        <v>8.5166666666666675</v>
      </c>
      <c r="H1644" s="9">
        <f t="shared" si="75"/>
        <v>4.5999999999999999E-2</v>
      </c>
      <c r="J1644">
        <v>4.5999999999999999E-2</v>
      </c>
      <c r="M1644" t="s">
        <v>77</v>
      </c>
      <c r="N1644" t="s">
        <v>40</v>
      </c>
      <c r="O1644" t="s">
        <v>78</v>
      </c>
      <c r="P1644" t="s">
        <v>133</v>
      </c>
      <c r="Q1644" t="s">
        <v>31</v>
      </c>
      <c r="R1644">
        <v>82301</v>
      </c>
      <c r="S1644" t="s">
        <v>79</v>
      </c>
      <c r="T1644">
        <v>82658</v>
      </c>
      <c r="U1644" t="s">
        <v>33</v>
      </c>
      <c r="V1644" t="s">
        <v>33</v>
      </c>
      <c r="W1644" t="s">
        <v>34</v>
      </c>
      <c r="X1644" t="s">
        <v>34</v>
      </c>
      <c r="Y1644" s="9">
        <f t="shared" si="76"/>
        <v>4.5999999999999999E-2</v>
      </c>
      <c r="Z1644" t="str">
        <f t="shared" si="77"/>
        <v>สแกนต่าง Cost</v>
      </c>
    </row>
    <row r="1645" spans="1:26" x14ac:dyDescent="0.45">
      <c r="B1645" t="s">
        <v>26</v>
      </c>
      <c r="C1645">
        <v>20038749</v>
      </c>
      <c r="D1645" t="s">
        <v>218</v>
      </c>
      <c r="E1645" s="10">
        <v>46124.330555555556</v>
      </c>
      <c r="F1645" s="10">
        <v>46124.729166666664</v>
      </c>
      <c r="G1645">
        <v>8.5666666666666664</v>
      </c>
      <c r="H1645" s="9">
        <f t="shared" si="75"/>
        <v>4.5999999999999999E-2</v>
      </c>
      <c r="J1645">
        <v>4.5999999999999999E-2</v>
      </c>
      <c r="M1645" t="s">
        <v>77</v>
      </c>
      <c r="N1645" t="s">
        <v>40</v>
      </c>
      <c r="O1645" t="s">
        <v>78</v>
      </c>
      <c r="P1645" t="s">
        <v>30</v>
      </c>
      <c r="Q1645" t="s">
        <v>31</v>
      </c>
      <c r="R1645">
        <v>82680</v>
      </c>
      <c r="S1645" t="s">
        <v>50</v>
      </c>
      <c r="T1645">
        <v>82658</v>
      </c>
      <c r="U1645" t="s">
        <v>33</v>
      </c>
      <c r="V1645" t="s">
        <v>33</v>
      </c>
      <c r="W1645" t="s">
        <v>34</v>
      </c>
      <c r="X1645" t="s">
        <v>34</v>
      </c>
      <c r="Y1645" s="9">
        <f t="shared" si="76"/>
        <v>4.5999999999999999E-2</v>
      </c>
      <c r="Z1645" t="str">
        <f t="shared" si="77"/>
        <v>สแกนต่าง Cost</v>
      </c>
    </row>
    <row r="1646" spans="1:26" x14ac:dyDescent="0.45">
      <c r="B1646" t="s">
        <v>26</v>
      </c>
      <c r="C1646">
        <v>20233956</v>
      </c>
      <c r="D1646" t="s">
        <v>219</v>
      </c>
      <c r="E1646" s="10">
        <v>46124.330555555556</v>
      </c>
      <c r="F1646" s="10">
        <v>46124.729166666664</v>
      </c>
      <c r="G1646">
        <v>8.5666666666666664</v>
      </c>
      <c r="H1646" s="9">
        <f t="shared" si="75"/>
        <v>4.5999999999999999E-2</v>
      </c>
      <c r="J1646">
        <v>4.5999999999999999E-2</v>
      </c>
      <c r="M1646" t="s">
        <v>77</v>
      </c>
      <c r="N1646" t="s">
        <v>40</v>
      </c>
      <c r="O1646" t="s">
        <v>78</v>
      </c>
      <c r="P1646" t="s">
        <v>30</v>
      </c>
      <c r="Q1646" t="s">
        <v>31</v>
      </c>
      <c r="R1646">
        <v>82680</v>
      </c>
      <c r="S1646" t="s">
        <v>50</v>
      </c>
      <c r="T1646">
        <v>82658</v>
      </c>
      <c r="U1646" t="s">
        <v>33</v>
      </c>
      <c r="V1646" t="s">
        <v>33</v>
      </c>
      <c r="W1646" t="s">
        <v>34</v>
      </c>
      <c r="X1646" t="s">
        <v>34</v>
      </c>
      <c r="Y1646" s="9">
        <f t="shared" si="76"/>
        <v>4.5999999999999999E-2</v>
      </c>
      <c r="Z1646" t="str">
        <f t="shared" si="77"/>
        <v>สแกนต่าง Cost</v>
      </c>
    </row>
    <row r="1647" spans="1:26" x14ac:dyDescent="0.45">
      <c r="B1647" t="s">
        <v>26</v>
      </c>
      <c r="C1647">
        <v>20344817</v>
      </c>
      <c r="D1647" t="s">
        <v>217</v>
      </c>
      <c r="E1647" s="10">
        <v>46124.330555555556</v>
      </c>
      <c r="F1647" s="10">
        <v>46124.729166666664</v>
      </c>
      <c r="G1647">
        <v>8.5666666666666664</v>
      </c>
      <c r="H1647" s="9">
        <f t="shared" si="75"/>
        <v>4.5999999999999999E-2</v>
      </c>
      <c r="J1647">
        <v>4.5999999999999999E-2</v>
      </c>
      <c r="M1647" t="s">
        <v>77</v>
      </c>
      <c r="N1647" t="s">
        <v>40</v>
      </c>
      <c r="O1647" t="s">
        <v>78</v>
      </c>
      <c r="P1647" t="s">
        <v>30</v>
      </c>
      <c r="Q1647" t="s">
        <v>31</v>
      </c>
      <c r="R1647">
        <v>82655</v>
      </c>
      <c r="S1647" t="s">
        <v>59</v>
      </c>
      <c r="T1647">
        <v>82658</v>
      </c>
      <c r="U1647" t="s">
        <v>33</v>
      </c>
      <c r="V1647" t="s">
        <v>33</v>
      </c>
      <c r="W1647" t="s">
        <v>34</v>
      </c>
      <c r="X1647" t="s">
        <v>34</v>
      </c>
      <c r="Y1647" s="9">
        <f t="shared" si="76"/>
        <v>4.5999999999999999E-2</v>
      </c>
      <c r="Z1647" t="str">
        <f t="shared" si="77"/>
        <v>สแกนต่าง Cost</v>
      </c>
    </row>
    <row r="1648" spans="1:26" x14ac:dyDescent="0.45">
      <c r="B1648" t="s">
        <v>53</v>
      </c>
      <c r="C1648">
        <v>20076321</v>
      </c>
      <c r="D1648" t="s">
        <v>349</v>
      </c>
      <c r="E1648" s="10">
        <v>46124.32708333333</v>
      </c>
      <c r="F1648" s="10">
        <v>46124.729166666664</v>
      </c>
      <c r="G1648">
        <v>8.65</v>
      </c>
      <c r="H1648" s="9">
        <f t="shared" si="75"/>
        <v>4.5999999999999999E-2</v>
      </c>
      <c r="J1648">
        <v>4.5999999999999999E-2</v>
      </c>
      <c r="M1648" t="s">
        <v>77</v>
      </c>
      <c r="N1648" t="s">
        <v>40</v>
      </c>
      <c r="O1648" t="s">
        <v>78</v>
      </c>
      <c r="P1648" t="s">
        <v>133</v>
      </c>
      <c r="Q1648" t="s">
        <v>31</v>
      </c>
      <c r="R1648">
        <v>82308</v>
      </c>
      <c r="S1648" t="s">
        <v>69</v>
      </c>
      <c r="T1648">
        <v>82658</v>
      </c>
      <c r="U1648" t="s">
        <v>33</v>
      </c>
      <c r="V1648" t="s">
        <v>33</v>
      </c>
      <c r="W1648" t="s">
        <v>34</v>
      </c>
      <c r="X1648" t="s">
        <v>34</v>
      </c>
      <c r="Y1648" s="9">
        <f t="shared" si="76"/>
        <v>4.5999999999999999E-2</v>
      </c>
      <c r="Z1648" t="str">
        <f t="shared" si="77"/>
        <v>สแกนต่าง Cost</v>
      </c>
    </row>
    <row r="1649" spans="2:26" x14ac:dyDescent="0.45">
      <c r="B1649" t="s">
        <v>53</v>
      </c>
      <c r="C1649">
        <v>20287913</v>
      </c>
      <c r="D1649" t="s">
        <v>329</v>
      </c>
      <c r="E1649" s="10">
        <v>46124.041666666664</v>
      </c>
      <c r="F1649" s="10">
        <v>46124.229166666664</v>
      </c>
      <c r="G1649">
        <v>4.5</v>
      </c>
      <c r="H1649" s="9">
        <f t="shared" si="75"/>
        <v>2.4E-2</v>
      </c>
      <c r="L1649">
        <v>2.4E-2</v>
      </c>
      <c r="M1649" t="s">
        <v>255</v>
      </c>
      <c r="N1649" t="s">
        <v>29</v>
      </c>
      <c r="P1649" t="s">
        <v>30</v>
      </c>
      <c r="Q1649" t="s">
        <v>31</v>
      </c>
      <c r="R1649">
        <v>82640</v>
      </c>
      <c r="S1649" t="s">
        <v>42</v>
      </c>
      <c r="T1649">
        <v>82630</v>
      </c>
      <c r="U1649" t="s">
        <v>32</v>
      </c>
      <c r="V1649" t="s">
        <v>66</v>
      </c>
      <c r="W1649" t="s">
        <v>44</v>
      </c>
      <c r="X1649" t="s">
        <v>44</v>
      </c>
      <c r="Y1649" s="9">
        <f t="shared" si="76"/>
        <v>2.4E-2</v>
      </c>
      <c r="Z1649" t="str">
        <f t="shared" si="77"/>
        <v>สแกนต่าง Cost</v>
      </c>
    </row>
    <row r="1650" spans="2:26" x14ac:dyDescent="0.45">
      <c r="B1650" t="s">
        <v>53</v>
      </c>
      <c r="C1650">
        <v>20287913</v>
      </c>
      <c r="D1650" t="s">
        <v>329</v>
      </c>
      <c r="E1650" s="10">
        <v>46123.833333333336</v>
      </c>
      <c r="F1650" s="10">
        <v>46124</v>
      </c>
      <c r="G1650">
        <v>4</v>
      </c>
      <c r="H1650" s="9">
        <f t="shared" si="75"/>
        <v>2.1000000000000001E-2</v>
      </c>
      <c r="I1650">
        <v>2.1000000000000001E-2</v>
      </c>
      <c r="M1650" t="s">
        <v>65</v>
      </c>
      <c r="N1650" t="s">
        <v>29</v>
      </c>
      <c r="P1650" t="s">
        <v>30</v>
      </c>
      <c r="Q1650" t="s">
        <v>31</v>
      </c>
      <c r="R1650">
        <v>82640</v>
      </c>
      <c r="S1650" t="s">
        <v>42</v>
      </c>
      <c r="T1650">
        <v>82630</v>
      </c>
      <c r="U1650" t="s">
        <v>32</v>
      </c>
      <c r="V1650" t="s">
        <v>66</v>
      </c>
      <c r="W1650" t="s">
        <v>44</v>
      </c>
      <c r="X1650" t="s">
        <v>44</v>
      </c>
      <c r="Y1650" s="9">
        <f t="shared" si="76"/>
        <v>0</v>
      </c>
      <c r="Z1650" t="str">
        <f t="shared" si="77"/>
        <v>สแกนต่าง Cost</v>
      </c>
    </row>
    <row r="1651" spans="2:26" x14ac:dyDescent="0.45">
      <c r="B1651" t="s">
        <v>53</v>
      </c>
      <c r="C1651">
        <v>20026534</v>
      </c>
      <c r="D1651" t="s">
        <v>279</v>
      </c>
      <c r="E1651" s="10">
        <v>46123.6875</v>
      </c>
      <c r="F1651" s="10">
        <v>46123.729166666664</v>
      </c>
      <c r="G1651">
        <v>1</v>
      </c>
      <c r="H1651" s="9">
        <f t="shared" si="75"/>
        <v>5.0000000000000001E-3</v>
      </c>
      <c r="I1651">
        <v>5.0000000000000001E-3</v>
      </c>
      <c r="M1651" t="s">
        <v>65</v>
      </c>
      <c r="N1651" t="s">
        <v>29</v>
      </c>
      <c r="P1651" t="s">
        <v>30</v>
      </c>
      <c r="Q1651" t="s">
        <v>31</v>
      </c>
      <c r="R1651">
        <v>82640</v>
      </c>
      <c r="S1651" t="s">
        <v>42</v>
      </c>
      <c r="T1651">
        <v>82611</v>
      </c>
      <c r="U1651" t="s">
        <v>43</v>
      </c>
      <c r="V1651" t="s">
        <v>66</v>
      </c>
      <c r="W1651" t="s">
        <v>44</v>
      </c>
      <c r="X1651" t="s">
        <v>44</v>
      </c>
      <c r="Y1651" s="9">
        <f t="shared" si="76"/>
        <v>0</v>
      </c>
      <c r="Z1651" t="str">
        <f t="shared" si="77"/>
        <v>สแกนต่าง Cost</v>
      </c>
    </row>
    <row r="1652" spans="2:26" x14ac:dyDescent="0.45">
      <c r="B1652" t="s">
        <v>53</v>
      </c>
      <c r="C1652">
        <v>20198839</v>
      </c>
      <c r="D1652" t="s">
        <v>258</v>
      </c>
      <c r="E1652" s="10">
        <v>46123.6875</v>
      </c>
      <c r="F1652" s="10">
        <v>46123.708333333336</v>
      </c>
      <c r="G1652">
        <v>0.5</v>
      </c>
      <c r="H1652" s="9">
        <f t="shared" si="75"/>
        <v>3.0000000000000001E-3</v>
      </c>
      <c r="I1652">
        <v>3.0000000000000001E-3</v>
      </c>
      <c r="M1652" t="s">
        <v>65</v>
      </c>
      <c r="N1652" t="s">
        <v>29</v>
      </c>
      <c r="P1652" t="s">
        <v>30</v>
      </c>
      <c r="Q1652" t="s">
        <v>31</v>
      </c>
      <c r="R1652">
        <v>82640</v>
      </c>
      <c r="S1652" t="s">
        <v>42</v>
      </c>
      <c r="T1652">
        <v>82630</v>
      </c>
      <c r="U1652" t="s">
        <v>32</v>
      </c>
      <c r="V1652" t="s">
        <v>66</v>
      </c>
      <c r="W1652" t="s">
        <v>44</v>
      </c>
      <c r="X1652" t="s">
        <v>44</v>
      </c>
      <c r="Y1652" s="9">
        <f t="shared" si="76"/>
        <v>0</v>
      </c>
      <c r="Z1652" t="str">
        <f t="shared" si="77"/>
        <v>สแกนต่าง Cost</v>
      </c>
    </row>
    <row r="1653" spans="2:26" x14ac:dyDescent="0.45">
      <c r="B1653" t="s">
        <v>53</v>
      </c>
      <c r="C1653">
        <v>20310530</v>
      </c>
      <c r="D1653" t="s">
        <v>220</v>
      </c>
      <c r="E1653" s="10">
        <v>46123.6875</v>
      </c>
      <c r="F1653" s="10">
        <v>46123.729166666664</v>
      </c>
      <c r="G1653">
        <v>1</v>
      </c>
      <c r="H1653" s="9">
        <f t="shared" si="75"/>
        <v>5.0000000000000001E-3</v>
      </c>
      <c r="J1653">
        <v>5.0000000000000001E-3</v>
      </c>
      <c r="M1653" t="s">
        <v>77</v>
      </c>
      <c r="N1653" t="s">
        <v>40</v>
      </c>
      <c r="O1653" t="s">
        <v>78</v>
      </c>
      <c r="P1653" t="s">
        <v>30</v>
      </c>
      <c r="Q1653" t="s">
        <v>31</v>
      </c>
      <c r="R1653">
        <v>82640</v>
      </c>
      <c r="S1653" t="s">
        <v>42</v>
      </c>
      <c r="T1653">
        <v>82630</v>
      </c>
      <c r="U1653" t="s">
        <v>32</v>
      </c>
      <c r="V1653" t="s">
        <v>66</v>
      </c>
      <c r="W1653" t="s">
        <v>44</v>
      </c>
      <c r="X1653" t="s">
        <v>44</v>
      </c>
      <c r="Y1653" s="9">
        <f t="shared" si="76"/>
        <v>5.0000000000000001E-3</v>
      </c>
      <c r="Z1653" t="str">
        <f t="shared" si="77"/>
        <v>สแกนต่าง Cost</v>
      </c>
    </row>
    <row r="1654" spans="2:26" x14ac:dyDescent="0.45">
      <c r="B1654" t="s">
        <v>53</v>
      </c>
      <c r="C1654">
        <v>20280718</v>
      </c>
      <c r="D1654" t="s">
        <v>256</v>
      </c>
      <c r="E1654" s="10">
        <v>46123.666666666664</v>
      </c>
      <c r="F1654" s="10">
        <v>46123.729166666664</v>
      </c>
      <c r="G1654">
        <v>1.5</v>
      </c>
      <c r="H1654" s="9">
        <f t="shared" si="75"/>
        <v>8.0000000000000002E-3</v>
      </c>
      <c r="I1654">
        <v>8.0000000000000002E-3</v>
      </c>
      <c r="M1654" t="s">
        <v>65</v>
      </c>
      <c r="N1654" t="s">
        <v>29</v>
      </c>
      <c r="P1654" t="s">
        <v>30</v>
      </c>
      <c r="Q1654" t="s">
        <v>31</v>
      </c>
      <c r="R1654">
        <v>82640</v>
      </c>
      <c r="S1654" t="s">
        <v>42</v>
      </c>
      <c r="T1654">
        <v>82630</v>
      </c>
      <c r="U1654" t="s">
        <v>32</v>
      </c>
      <c r="V1654" t="s">
        <v>66</v>
      </c>
      <c r="W1654" t="s">
        <v>44</v>
      </c>
      <c r="X1654" t="s">
        <v>44</v>
      </c>
      <c r="Y1654" s="9">
        <f t="shared" si="76"/>
        <v>0</v>
      </c>
      <c r="Z1654" t="str">
        <f t="shared" si="77"/>
        <v>สแกนต่าง Cost</v>
      </c>
    </row>
    <row r="1655" spans="2:26" x14ac:dyDescent="0.45">
      <c r="B1655" t="s">
        <v>53</v>
      </c>
      <c r="C1655">
        <v>20060579</v>
      </c>
      <c r="D1655" t="s">
        <v>39</v>
      </c>
      <c r="E1655" s="10">
        <v>46123.645833333336</v>
      </c>
      <c r="F1655" s="10">
        <v>46123.666666666664</v>
      </c>
      <c r="G1655">
        <v>0.5</v>
      </c>
      <c r="H1655" s="9">
        <f t="shared" si="75"/>
        <v>3.0000000000000001E-3</v>
      </c>
      <c r="I1655">
        <v>3.0000000000000001E-3</v>
      </c>
      <c r="M1655" t="s">
        <v>65</v>
      </c>
      <c r="N1655" t="s">
        <v>29</v>
      </c>
      <c r="P1655" t="s">
        <v>30</v>
      </c>
      <c r="Q1655" t="s">
        <v>31</v>
      </c>
      <c r="R1655">
        <v>82640</v>
      </c>
      <c r="S1655" t="s">
        <v>42</v>
      </c>
      <c r="T1655">
        <v>82611</v>
      </c>
      <c r="U1655" t="s">
        <v>43</v>
      </c>
      <c r="V1655" t="s">
        <v>66</v>
      </c>
      <c r="W1655" t="s">
        <v>44</v>
      </c>
      <c r="X1655" t="s">
        <v>44</v>
      </c>
      <c r="Y1655" s="9">
        <f t="shared" si="76"/>
        <v>0</v>
      </c>
      <c r="Z1655" t="str">
        <f t="shared" si="77"/>
        <v>สแกนต่าง Cost</v>
      </c>
    </row>
    <row r="1656" spans="2:26" x14ac:dyDescent="0.45">
      <c r="B1656" t="s">
        <v>53</v>
      </c>
      <c r="C1656">
        <v>20198839</v>
      </c>
      <c r="D1656" t="s">
        <v>258</v>
      </c>
      <c r="E1656" s="10">
        <v>46123.645833333336</v>
      </c>
      <c r="F1656" s="10">
        <v>46123.6875</v>
      </c>
      <c r="G1656">
        <v>1</v>
      </c>
      <c r="H1656" s="9">
        <f t="shared" si="75"/>
        <v>5.0000000000000001E-3</v>
      </c>
      <c r="I1656">
        <v>5.0000000000000001E-3</v>
      </c>
      <c r="M1656" t="s">
        <v>65</v>
      </c>
      <c r="N1656" t="s">
        <v>29</v>
      </c>
      <c r="P1656" t="s">
        <v>30</v>
      </c>
      <c r="Q1656" t="s">
        <v>31</v>
      </c>
      <c r="R1656">
        <v>82640</v>
      </c>
      <c r="S1656" t="s">
        <v>42</v>
      </c>
      <c r="T1656">
        <v>82611</v>
      </c>
      <c r="U1656" t="s">
        <v>43</v>
      </c>
      <c r="V1656" t="s">
        <v>66</v>
      </c>
      <c r="W1656" t="s">
        <v>44</v>
      </c>
      <c r="X1656" t="s">
        <v>44</v>
      </c>
      <c r="Y1656" s="9">
        <f t="shared" si="76"/>
        <v>0</v>
      </c>
      <c r="Z1656" t="str">
        <f t="shared" si="77"/>
        <v>สแกนต่าง Cost</v>
      </c>
    </row>
    <row r="1657" spans="2:26" x14ac:dyDescent="0.45">
      <c r="B1657" t="s">
        <v>53</v>
      </c>
      <c r="C1657">
        <v>20310530</v>
      </c>
      <c r="D1657" t="s">
        <v>220</v>
      </c>
      <c r="E1657" s="10">
        <v>46123.645833333336</v>
      </c>
      <c r="F1657" s="10">
        <v>46123.6875</v>
      </c>
      <c r="G1657">
        <v>1</v>
      </c>
      <c r="H1657" s="9">
        <f t="shared" si="75"/>
        <v>5.0000000000000001E-3</v>
      </c>
      <c r="J1657">
        <v>5.0000000000000001E-3</v>
      </c>
      <c r="M1657" t="s">
        <v>77</v>
      </c>
      <c r="N1657" t="s">
        <v>40</v>
      </c>
      <c r="O1657" t="s">
        <v>78</v>
      </c>
      <c r="P1657" t="s">
        <v>30</v>
      </c>
      <c r="Q1657" t="s">
        <v>31</v>
      </c>
      <c r="R1657">
        <v>82640</v>
      </c>
      <c r="S1657" t="s">
        <v>42</v>
      </c>
      <c r="T1657">
        <v>82612</v>
      </c>
      <c r="U1657" t="s">
        <v>153</v>
      </c>
      <c r="V1657" t="s">
        <v>66</v>
      </c>
      <c r="W1657" t="s">
        <v>44</v>
      </c>
      <c r="X1657" t="s">
        <v>44</v>
      </c>
      <c r="Y1657" s="9">
        <f t="shared" si="76"/>
        <v>5.0000000000000001E-3</v>
      </c>
      <c r="Z1657" t="str">
        <f t="shared" si="77"/>
        <v>สแกนต่าง Cost</v>
      </c>
    </row>
    <row r="1658" spans="2:26" x14ac:dyDescent="0.45">
      <c r="B1658" t="s">
        <v>53</v>
      </c>
      <c r="C1658">
        <v>20060579</v>
      </c>
      <c r="D1658" t="s">
        <v>39</v>
      </c>
      <c r="E1658" s="10">
        <v>46123.625</v>
      </c>
      <c r="F1658" s="10">
        <v>46123.645833333336</v>
      </c>
      <c r="G1658">
        <v>0.5</v>
      </c>
      <c r="H1658" s="9">
        <f t="shared" si="75"/>
        <v>3.0000000000000001E-3</v>
      </c>
      <c r="I1658">
        <v>3.0000000000000001E-3</v>
      </c>
      <c r="M1658" t="s">
        <v>65</v>
      </c>
      <c r="N1658" t="s">
        <v>29</v>
      </c>
      <c r="P1658" t="s">
        <v>30</v>
      </c>
      <c r="Q1658" t="s">
        <v>31</v>
      </c>
      <c r="R1658">
        <v>82640</v>
      </c>
      <c r="S1658" t="s">
        <v>42</v>
      </c>
      <c r="T1658">
        <v>82630</v>
      </c>
      <c r="U1658" t="s">
        <v>32</v>
      </c>
      <c r="V1658" t="s">
        <v>66</v>
      </c>
      <c r="W1658" t="s">
        <v>44</v>
      </c>
      <c r="X1658" t="s">
        <v>44</v>
      </c>
      <c r="Y1658" s="9">
        <f t="shared" si="76"/>
        <v>0</v>
      </c>
      <c r="Z1658" t="str">
        <f t="shared" si="77"/>
        <v>สแกนต่าง Cost</v>
      </c>
    </row>
    <row r="1659" spans="2:26" x14ac:dyDescent="0.45">
      <c r="B1659" t="s">
        <v>53</v>
      </c>
      <c r="C1659">
        <v>20060579</v>
      </c>
      <c r="D1659" t="s">
        <v>39</v>
      </c>
      <c r="E1659" s="10">
        <v>46123.583333333336</v>
      </c>
      <c r="F1659" s="10">
        <v>46123.625</v>
      </c>
      <c r="G1659">
        <v>1</v>
      </c>
      <c r="H1659" s="9">
        <f t="shared" si="75"/>
        <v>5.0000000000000001E-3</v>
      </c>
      <c r="I1659">
        <v>5.0000000000000001E-3</v>
      </c>
      <c r="M1659" t="s">
        <v>65</v>
      </c>
      <c r="N1659" t="s">
        <v>29</v>
      </c>
      <c r="P1659" t="s">
        <v>30</v>
      </c>
      <c r="Q1659" t="s">
        <v>31</v>
      </c>
      <c r="R1659">
        <v>82640</v>
      </c>
      <c r="S1659" t="s">
        <v>42</v>
      </c>
      <c r="T1659">
        <v>82612</v>
      </c>
      <c r="U1659" t="s">
        <v>153</v>
      </c>
      <c r="V1659" t="s">
        <v>66</v>
      </c>
      <c r="W1659" t="s">
        <v>44</v>
      </c>
      <c r="X1659" t="s">
        <v>44</v>
      </c>
      <c r="Y1659" s="9">
        <f t="shared" si="76"/>
        <v>0</v>
      </c>
      <c r="Z1659" t="str">
        <f t="shared" si="77"/>
        <v>สแกนต่าง Cost</v>
      </c>
    </row>
    <row r="1660" spans="2:26" x14ac:dyDescent="0.45">
      <c r="B1660" t="s">
        <v>53</v>
      </c>
      <c r="C1660">
        <v>20167851</v>
      </c>
      <c r="D1660" t="s">
        <v>63</v>
      </c>
      <c r="E1660" s="10">
        <v>46123.583333333336</v>
      </c>
      <c r="F1660" s="10">
        <v>46123.6875</v>
      </c>
      <c r="G1660">
        <v>2.5</v>
      </c>
      <c r="H1660" s="9">
        <f t="shared" si="75"/>
        <v>1.2999999999999999E-2</v>
      </c>
      <c r="J1660">
        <v>1.2999999999999999E-2</v>
      </c>
      <c r="M1660" t="s">
        <v>77</v>
      </c>
      <c r="N1660" t="s">
        <v>40</v>
      </c>
      <c r="O1660" t="s">
        <v>350</v>
      </c>
      <c r="P1660" t="s">
        <v>30</v>
      </c>
      <c r="Q1660" t="s">
        <v>31</v>
      </c>
      <c r="R1660">
        <v>82640</v>
      </c>
      <c r="S1660" t="s">
        <v>42</v>
      </c>
      <c r="T1660">
        <v>82630</v>
      </c>
      <c r="U1660" t="s">
        <v>32</v>
      </c>
      <c r="V1660" t="s">
        <v>66</v>
      </c>
      <c r="W1660" t="s">
        <v>44</v>
      </c>
      <c r="X1660" t="s">
        <v>44</v>
      </c>
      <c r="Y1660" s="9">
        <f t="shared" si="76"/>
        <v>1.2999999999999999E-2</v>
      </c>
      <c r="Z1660" t="str">
        <f t="shared" si="77"/>
        <v>สแกนต่าง Cost</v>
      </c>
    </row>
    <row r="1661" spans="2:26" x14ac:dyDescent="0.45">
      <c r="B1661" t="s">
        <v>53</v>
      </c>
      <c r="C1661">
        <v>20167851</v>
      </c>
      <c r="D1661" t="s">
        <v>63</v>
      </c>
      <c r="E1661" s="10">
        <v>46123.5625</v>
      </c>
      <c r="F1661" s="10">
        <v>46123.583333333336</v>
      </c>
      <c r="G1661">
        <v>0.5</v>
      </c>
      <c r="H1661" s="9">
        <f t="shared" si="75"/>
        <v>3.0000000000000001E-3</v>
      </c>
      <c r="J1661">
        <v>3.0000000000000001E-3</v>
      </c>
      <c r="M1661" t="s">
        <v>77</v>
      </c>
      <c r="N1661" t="s">
        <v>40</v>
      </c>
      <c r="O1661" t="s">
        <v>350</v>
      </c>
      <c r="P1661" t="s">
        <v>30</v>
      </c>
      <c r="Q1661" t="s">
        <v>31</v>
      </c>
      <c r="R1661">
        <v>82640</v>
      </c>
      <c r="S1661" t="s">
        <v>42</v>
      </c>
      <c r="T1661">
        <v>82622</v>
      </c>
      <c r="U1661" t="s">
        <v>147</v>
      </c>
      <c r="V1661" t="s">
        <v>66</v>
      </c>
      <c r="W1661" t="s">
        <v>44</v>
      </c>
      <c r="X1661" t="s">
        <v>44</v>
      </c>
      <c r="Y1661" s="9">
        <f t="shared" si="76"/>
        <v>3.0000000000000001E-3</v>
      </c>
      <c r="Z1661" t="str">
        <f t="shared" si="77"/>
        <v>สแกนต่าง Cost</v>
      </c>
    </row>
    <row r="1662" spans="2:26" x14ac:dyDescent="0.45">
      <c r="B1662" t="s">
        <v>53</v>
      </c>
      <c r="C1662">
        <v>20310532</v>
      </c>
      <c r="D1662" t="s">
        <v>61</v>
      </c>
      <c r="E1662" s="10">
        <v>46123.5625</v>
      </c>
      <c r="F1662" s="10">
        <v>46123.708333333336</v>
      </c>
      <c r="G1662">
        <v>3.5</v>
      </c>
      <c r="H1662" s="9">
        <f t="shared" si="75"/>
        <v>1.9E-2</v>
      </c>
      <c r="J1662">
        <v>1.9E-2</v>
      </c>
      <c r="M1662" t="s">
        <v>77</v>
      </c>
      <c r="N1662" t="s">
        <v>40</v>
      </c>
      <c r="O1662" t="s">
        <v>351</v>
      </c>
      <c r="P1662" t="s">
        <v>30</v>
      </c>
      <c r="Q1662" t="s">
        <v>31</v>
      </c>
      <c r="R1662">
        <v>82640</v>
      </c>
      <c r="S1662" t="s">
        <v>42</v>
      </c>
      <c r="T1662">
        <v>82630</v>
      </c>
      <c r="U1662" t="s">
        <v>32</v>
      </c>
      <c r="V1662" t="s">
        <v>66</v>
      </c>
      <c r="W1662" t="s">
        <v>44</v>
      </c>
      <c r="X1662" t="s">
        <v>44</v>
      </c>
      <c r="Y1662" s="9">
        <f t="shared" si="76"/>
        <v>1.9E-2</v>
      </c>
      <c r="Z1662" t="str">
        <f t="shared" si="77"/>
        <v>สแกนต่าง Cost</v>
      </c>
    </row>
    <row r="1663" spans="2:26" x14ac:dyDescent="0.45">
      <c r="B1663" t="s">
        <v>53</v>
      </c>
      <c r="C1663">
        <v>20026534</v>
      </c>
      <c r="D1663" t="s">
        <v>279</v>
      </c>
      <c r="E1663" s="10">
        <v>46123.541666666664</v>
      </c>
      <c r="F1663" s="10">
        <v>46123.666666666664</v>
      </c>
      <c r="G1663">
        <v>3</v>
      </c>
      <c r="H1663" s="9">
        <f t="shared" si="75"/>
        <v>1.6E-2</v>
      </c>
      <c r="I1663">
        <v>1.6E-2</v>
      </c>
      <c r="M1663" t="s">
        <v>65</v>
      </c>
      <c r="N1663" t="s">
        <v>29</v>
      </c>
      <c r="P1663" t="s">
        <v>30</v>
      </c>
      <c r="Q1663" t="s">
        <v>31</v>
      </c>
      <c r="R1663">
        <v>82640</v>
      </c>
      <c r="S1663" t="s">
        <v>42</v>
      </c>
      <c r="T1663">
        <v>82630</v>
      </c>
      <c r="U1663" t="s">
        <v>32</v>
      </c>
      <c r="V1663" t="s">
        <v>66</v>
      </c>
      <c r="W1663" t="s">
        <v>44</v>
      </c>
      <c r="X1663" t="s">
        <v>44</v>
      </c>
      <c r="Y1663" s="9">
        <f t="shared" si="76"/>
        <v>0</v>
      </c>
      <c r="Z1663" t="str">
        <f t="shared" si="77"/>
        <v>สแกนต่าง Cost</v>
      </c>
    </row>
    <row r="1664" spans="2:26" x14ac:dyDescent="0.45">
      <c r="B1664" t="s">
        <v>53</v>
      </c>
      <c r="C1664">
        <v>20027956</v>
      </c>
      <c r="D1664" t="s">
        <v>214</v>
      </c>
      <c r="E1664" s="10">
        <v>46123.541666666664</v>
      </c>
      <c r="F1664" s="10">
        <v>46123.729166666664</v>
      </c>
      <c r="G1664">
        <v>4.5</v>
      </c>
      <c r="H1664" s="9">
        <f t="shared" si="75"/>
        <v>2.4E-2</v>
      </c>
      <c r="J1664">
        <v>2.4E-2</v>
      </c>
      <c r="M1664" t="s">
        <v>77</v>
      </c>
      <c r="N1664" t="s">
        <v>40</v>
      </c>
      <c r="O1664" t="s">
        <v>78</v>
      </c>
      <c r="P1664" t="s">
        <v>30</v>
      </c>
      <c r="Q1664" t="s">
        <v>31</v>
      </c>
      <c r="R1664">
        <v>82640</v>
      </c>
      <c r="S1664" t="s">
        <v>42</v>
      </c>
      <c r="T1664">
        <v>82611</v>
      </c>
      <c r="U1664" t="s">
        <v>43</v>
      </c>
      <c r="V1664" t="s">
        <v>66</v>
      </c>
      <c r="W1664" t="s">
        <v>44</v>
      </c>
      <c r="X1664" t="s">
        <v>44</v>
      </c>
      <c r="Y1664" s="9">
        <f t="shared" si="76"/>
        <v>2.4E-2</v>
      </c>
      <c r="Z1664" t="str">
        <f t="shared" si="77"/>
        <v>สแกนต่าง Cost</v>
      </c>
    </row>
    <row r="1665" spans="1:26" x14ac:dyDescent="0.45">
      <c r="B1665" t="s">
        <v>53</v>
      </c>
      <c r="C1665">
        <v>20060579</v>
      </c>
      <c r="D1665" t="s">
        <v>39</v>
      </c>
      <c r="E1665" s="10">
        <v>46123.541666666664</v>
      </c>
      <c r="F1665" s="10">
        <v>46123.583333333336</v>
      </c>
      <c r="G1665">
        <v>1</v>
      </c>
      <c r="H1665" s="9">
        <f t="shared" si="75"/>
        <v>5.0000000000000001E-3</v>
      </c>
      <c r="I1665">
        <v>5.0000000000000001E-3</v>
      </c>
      <c r="M1665" t="s">
        <v>65</v>
      </c>
      <c r="N1665" t="s">
        <v>29</v>
      </c>
      <c r="P1665" t="s">
        <v>30</v>
      </c>
      <c r="Q1665" t="s">
        <v>31</v>
      </c>
      <c r="R1665">
        <v>82640</v>
      </c>
      <c r="S1665" t="s">
        <v>42</v>
      </c>
      <c r="T1665">
        <v>82630</v>
      </c>
      <c r="U1665" t="s">
        <v>32</v>
      </c>
      <c r="V1665" t="s">
        <v>66</v>
      </c>
      <c r="W1665" t="s">
        <v>44</v>
      </c>
      <c r="X1665" t="s">
        <v>44</v>
      </c>
      <c r="Y1665" s="9">
        <f t="shared" si="76"/>
        <v>0</v>
      </c>
      <c r="Z1665" t="str">
        <f t="shared" si="77"/>
        <v>สแกนต่าง Cost</v>
      </c>
    </row>
    <row r="1666" spans="1:26" x14ac:dyDescent="0.45">
      <c r="B1666" t="s">
        <v>53</v>
      </c>
      <c r="C1666">
        <v>20167851</v>
      </c>
      <c r="D1666" t="s">
        <v>63</v>
      </c>
      <c r="E1666" s="10">
        <v>46123.541666666664</v>
      </c>
      <c r="F1666" s="10">
        <v>46123.5625</v>
      </c>
      <c r="G1666">
        <v>0.5</v>
      </c>
      <c r="H1666" s="9">
        <f t="shared" si="75"/>
        <v>3.0000000000000001E-3</v>
      </c>
      <c r="J1666">
        <v>3.0000000000000001E-3</v>
      </c>
      <c r="M1666" t="s">
        <v>77</v>
      </c>
      <c r="N1666" t="s">
        <v>40</v>
      </c>
      <c r="O1666" t="s">
        <v>350</v>
      </c>
      <c r="P1666" t="s">
        <v>30</v>
      </c>
      <c r="Q1666" t="s">
        <v>31</v>
      </c>
      <c r="R1666">
        <v>82640</v>
      </c>
      <c r="S1666" t="s">
        <v>42</v>
      </c>
      <c r="T1666">
        <v>82611</v>
      </c>
      <c r="U1666" t="s">
        <v>43</v>
      </c>
      <c r="V1666" t="s">
        <v>66</v>
      </c>
      <c r="W1666" t="s">
        <v>44</v>
      </c>
      <c r="X1666" t="s">
        <v>44</v>
      </c>
      <c r="Y1666" s="9">
        <f t="shared" si="76"/>
        <v>3.0000000000000001E-3</v>
      </c>
      <c r="Z1666" t="str">
        <f t="shared" si="77"/>
        <v>สแกนต่าง Cost</v>
      </c>
    </row>
    <row r="1667" spans="1:26" x14ac:dyDescent="0.45">
      <c r="B1667" t="s">
        <v>53</v>
      </c>
      <c r="C1667">
        <v>20198839</v>
      </c>
      <c r="D1667" t="s">
        <v>258</v>
      </c>
      <c r="E1667" s="10">
        <v>46123.541666666664</v>
      </c>
      <c r="F1667" s="10">
        <v>46123.604166666664</v>
      </c>
      <c r="G1667">
        <v>1.5</v>
      </c>
      <c r="H1667" s="9">
        <f t="shared" ref="H1667:H1730" si="78">SUM(I1667:L1667)</f>
        <v>8.0000000000000002E-3</v>
      </c>
      <c r="I1667">
        <v>8.0000000000000002E-3</v>
      </c>
      <c r="M1667" t="s">
        <v>65</v>
      </c>
      <c r="N1667" t="s">
        <v>29</v>
      </c>
      <c r="P1667" t="s">
        <v>30</v>
      </c>
      <c r="Q1667" t="s">
        <v>31</v>
      </c>
      <c r="R1667">
        <v>82640</v>
      </c>
      <c r="S1667" t="s">
        <v>42</v>
      </c>
      <c r="T1667">
        <v>82611</v>
      </c>
      <c r="U1667" t="s">
        <v>43</v>
      </c>
      <c r="V1667" t="s">
        <v>66</v>
      </c>
      <c r="W1667" t="s">
        <v>44</v>
      </c>
      <c r="X1667" t="s">
        <v>44</v>
      </c>
      <c r="Y1667" s="9">
        <f t="shared" ref="Y1667:Y1730" si="79">SUM(J1667:L1667)</f>
        <v>0</v>
      </c>
      <c r="Z1667" t="str">
        <f t="shared" ref="Z1667:Z1730" si="80">IF(R1667=T1667,"สแกน Cost ตัวเอง","สแกนต่าง Cost")</f>
        <v>สแกนต่าง Cost</v>
      </c>
    </row>
    <row r="1668" spans="1:26" x14ac:dyDescent="0.45">
      <c r="B1668" t="s">
        <v>53</v>
      </c>
      <c r="C1668">
        <v>20244923</v>
      </c>
      <c r="D1668" t="s">
        <v>246</v>
      </c>
      <c r="E1668" s="10">
        <v>46123.541666666664</v>
      </c>
      <c r="F1668" s="10">
        <v>46123.666666666664</v>
      </c>
      <c r="G1668">
        <v>3</v>
      </c>
      <c r="H1668" s="9">
        <f t="shared" si="78"/>
        <v>1.6E-2</v>
      </c>
      <c r="J1668">
        <v>1.6E-2</v>
      </c>
      <c r="M1668" t="s">
        <v>77</v>
      </c>
      <c r="N1668" t="s">
        <v>40</v>
      </c>
      <c r="O1668" t="s">
        <v>78</v>
      </c>
      <c r="P1668" t="s">
        <v>30</v>
      </c>
      <c r="Q1668" t="s">
        <v>31</v>
      </c>
      <c r="R1668">
        <v>82640</v>
      </c>
      <c r="S1668" t="s">
        <v>42</v>
      </c>
      <c r="T1668">
        <v>82630</v>
      </c>
      <c r="U1668" t="s">
        <v>32</v>
      </c>
      <c r="V1668" t="s">
        <v>66</v>
      </c>
      <c r="W1668" t="s">
        <v>44</v>
      </c>
      <c r="X1668" t="s">
        <v>44</v>
      </c>
      <c r="Y1668" s="9">
        <f t="shared" si="79"/>
        <v>1.6E-2</v>
      </c>
      <c r="Z1668" t="str">
        <f t="shared" si="80"/>
        <v>สแกนต่าง Cost</v>
      </c>
    </row>
    <row r="1669" spans="1:26" x14ac:dyDescent="0.45">
      <c r="B1669" t="s">
        <v>53</v>
      </c>
      <c r="C1669">
        <v>20310530</v>
      </c>
      <c r="D1669" t="s">
        <v>220</v>
      </c>
      <c r="E1669" s="10">
        <v>46123.541666666664</v>
      </c>
      <c r="F1669" s="10">
        <v>46123.645833333336</v>
      </c>
      <c r="G1669">
        <v>2.5</v>
      </c>
      <c r="H1669" s="9">
        <f t="shared" si="78"/>
        <v>1.2999999999999999E-2</v>
      </c>
      <c r="J1669">
        <v>1.2999999999999999E-2</v>
      </c>
      <c r="M1669" t="s">
        <v>77</v>
      </c>
      <c r="N1669" t="s">
        <v>40</v>
      </c>
      <c r="O1669" t="s">
        <v>78</v>
      </c>
      <c r="P1669" t="s">
        <v>30</v>
      </c>
      <c r="Q1669" t="s">
        <v>31</v>
      </c>
      <c r="R1669">
        <v>82640</v>
      </c>
      <c r="S1669" t="s">
        <v>42</v>
      </c>
      <c r="T1669">
        <v>82630</v>
      </c>
      <c r="U1669" t="s">
        <v>32</v>
      </c>
      <c r="V1669" t="s">
        <v>66</v>
      </c>
      <c r="W1669" t="s">
        <v>44</v>
      </c>
      <c r="X1669" t="s">
        <v>44</v>
      </c>
      <c r="Y1669" s="9">
        <f t="shared" si="79"/>
        <v>1.2999999999999999E-2</v>
      </c>
      <c r="Z1669" t="str">
        <f t="shared" si="80"/>
        <v>สแกนต่าง Cost</v>
      </c>
    </row>
    <row r="1670" spans="1:26" x14ac:dyDescent="0.45">
      <c r="B1670" t="s">
        <v>53</v>
      </c>
      <c r="C1670">
        <v>20310532</v>
      </c>
      <c r="D1670" t="s">
        <v>61</v>
      </c>
      <c r="E1670" s="10">
        <v>46123.541666666664</v>
      </c>
      <c r="F1670" s="10">
        <v>46123.5625</v>
      </c>
      <c r="G1670">
        <v>0.5</v>
      </c>
      <c r="H1670" s="9">
        <f t="shared" si="78"/>
        <v>3.0000000000000001E-3</v>
      </c>
      <c r="J1670">
        <v>3.0000000000000001E-3</v>
      </c>
      <c r="M1670" t="s">
        <v>77</v>
      </c>
      <c r="N1670" t="s">
        <v>40</v>
      </c>
      <c r="O1670" t="s">
        <v>351</v>
      </c>
      <c r="P1670" t="s">
        <v>30</v>
      </c>
      <c r="Q1670" t="s">
        <v>31</v>
      </c>
      <c r="R1670">
        <v>82640</v>
      </c>
      <c r="S1670" t="s">
        <v>42</v>
      </c>
      <c r="T1670">
        <v>82612</v>
      </c>
      <c r="U1670" t="s">
        <v>153</v>
      </c>
      <c r="V1670" t="s">
        <v>66</v>
      </c>
      <c r="W1670" t="s">
        <v>44</v>
      </c>
      <c r="X1670" t="s">
        <v>44</v>
      </c>
      <c r="Y1670" s="9">
        <f t="shared" si="79"/>
        <v>3.0000000000000001E-3</v>
      </c>
      <c r="Z1670" t="str">
        <f t="shared" si="80"/>
        <v>สแกนต่าง Cost</v>
      </c>
    </row>
    <row r="1671" spans="1:26" x14ac:dyDescent="0.45">
      <c r="B1671" t="s">
        <v>53</v>
      </c>
      <c r="C1671">
        <v>20340657</v>
      </c>
      <c r="D1671" t="s">
        <v>221</v>
      </c>
      <c r="E1671" s="10">
        <v>46123.541666666664</v>
      </c>
      <c r="F1671" s="10">
        <v>46123.729166666664</v>
      </c>
      <c r="G1671">
        <v>4.5</v>
      </c>
      <c r="H1671" s="9">
        <f t="shared" si="78"/>
        <v>2.4E-2</v>
      </c>
      <c r="I1671">
        <v>2.4E-2</v>
      </c>
      <c r="M1671" t="s">
        <v>65</v>
      </c>
      <c r="N1671" t="s">
        <v>29</v>
      </c>
      <c r="P1671" t="s">
        <v>30</v>
      </c>
      <c r="Q1671" t="s">
        <v>31</v>
      </c>
      <c r="R1671">
        <v>82640</v>
      </c>
      <c r="S1671" t="s">
        <v>42</v>
      </c>
      <c r="T1671">
        <v>82612</v>
      </c>
      <c r="U1671" t="s">
        <v>153</v>
      </c>
      <c r="V1671" t="s">
        <v>66</v>
      </c>
      <c r="W1671" t="s">
        <v>44</v>
      </c>
      <c r="X1671" t="s">
        <v>44</v>
      </c>
      <c r="Y1671" s="9">
        <f t="shared" si="79"/>
        <v>0</v>
      </c>
      <c r="Z1671" t="str">
        <f t="shared" si="80"/>
        <v>สแกนต่าง Cost</v>
      </c>
    </row>
    <row r="1672" spans="1:26" x14ac:dyDescent="0.45">
      <c r="A1672">
        <v>26578</v>
      </c>
      <c r="B1672" t="s">
        <v>53</v>
      </c>
      <c r="C1672">
        <v>20048905</v>
      </c>
      <c r="D1672" t="s">
        <v>73</v>
      </c>
      <c r="E1672" s="10">
        <v>46123.523611111108</v>
      </c>
      <c r="F1672" s="10">
        <v>46123.984027777777</v>
      </c>
      <c r="G1672">
        <v>11.05</v>
      </c>
      <c r="H1672" s="9">
        <f t="shared" si="78"/>
        <v>5.8999999999999997E-2</v>
      </c>
      <c r="I1672">
        <v>4.4999999999999998E-2</v>
      </c>
      <c r="K1672">
        <v>1.4E-2</v>
      </c>
      <c r="M1672" t="s">
        <v>28</v>
      </c>
      <c r="N1672" t="s">
        <v>40</v>
      </c>
      <c r="O1672" t="s">
        <v>181</v>
      </c>
      <c r="P1672" t="s">
        <v>30</v>
      </c>
      <c r="Q1672" t="s">
        <v>31</v>
      </c>
      <c r="R1672">
        <v>82409</v>
      </c>
      <c r="S1672" t="s">
        <v>74</v>
      </c>
      <c r="T1672">
        <v>82664</v>
      </c>
      <c r="U1672" t="s">
        <v>75</v>
      </c>
      <c r="V1672" t="s">
        <v>75</v>
      </c>
      <c r="W1672" t="s">
        <v>74</v>
      </c>
      <c r="X1672" t="s">
        <v>74</v>
      </c>
      <c r="Y1672" s="9">
        <f t="shared" si="79"/>
        <v>1.4E-2</v>
      </c>
      <c r="Z1672" t="str">
        <f t="shared" si="80"/>
        <v>สแกนต่าง Cost</v>
      </c>
    </row>
    <row r="1673" spans="1:26" x14ac:dyDescent="0.45">
      <c r="B1673" t="s">
        <v>53</v>
      </c>
      <c r="C1673">
        <v>20167851</v>
      </c>
      <c r="D1673" t="s">
        <v>63</v>
      </c>
      <c r="E1673" s="10">
        <v>46123.479166666664</v>
      </c>
      <c r="F1673" s="10">
        <v>46123.5</v>
      </c>
      <c r="G1673">
        <v>0.5</v>
      </c>
      <c r="H1673" s="9">
        <f t="shared" si="78"/>
        <v>3.0000000000000001E-3</v>
      </c>
      <c r="J1673">
        <v>3.0000000000000001E-3</v>
      </c>
      <c r="M1673" t="s">
        <v>77</v>
      </c>
      <c r="N1673" t="s">
        <v>40</v>
      </c>
      <c r="O1673" t="s">
        <v>350</v>
      </c>
      <c r="P1673" t="s">
        <v>30</v>
      </c>
      <c r="Q1673" t="s">
        <v>31</v>
      </c>
      <c r="R1673">
        <v>82640</v>
      </c>
      <c r="S1673" t="s">
        <v>42</v>
      </c>
      <c r="T1673">
        <v>82611</v>
      </c>
      <c r="U1673" t="s">
        <v>43</v>
      </c>
      <c r="V1673" t="s">
        <v>66</v>
      </c>
      <c r="W1673" t="s">
        <v>44</v>
      </c>
      <c r="X1673" t="s">
        <v>44</v>
      </c>
      <c r="Y1673" s="9">
        <f t="shared" si="79"/>
        <v>3.0000000000000001E-3</v>
      </c>
      <c r="Z1673" t="str">
        <f t="shared" si="80"/>
        <v>สแกนต่าง Cost</v>
      </c>
    </row>
    <row r="1674" spans="1:26" x14ac:dyDescent="0.45">
      <c r="B1674" t="s">
        <v>53</v>
      </c>
      <c r="C1674">
        <v>20198839</v>
      </c>
      <c r="D1674" t="s">
        <v>258</v>
      </c>
      <c r="E1674" s="10">
        <v>46123.458333333336</v>
      </c>
      <c r="F1674" s="10">
        <v>46123.479166666664</v>
      </c>
      <c r="G1674">
        <v>0.5</v>
      </c>
      <c r="H1674" s="9">
        <f t="shared" si="78"/>
        <v>3.0000000000000001E-3</v>
      </c>
      <c r="I1674">
        <v>3.0000000000000001E-3</v>
      </c>
      <c r="M1674" t="s">
        <v>65</v>
      </c>
      <c r="N1674" t="s">
        <v>29</v>
      </c>
      <c r="P1674" t="s">
        <v>30</v>
      </c>
      <c r="Q1674" t="s">
        <v>31</v>
      </c>
      <c r="R1674">
        <v>82640</v>
      </c>
      <c r="S1674" t="s">
        <v>42</v>
      </c>
      <c r="T1674">
        <v>82622</v>
      </c>
      <c r="U1674" t="s">
        <v>147</v>
      </c>
      <c r="V1674" t="s">
        <v>66</v>
      </c>
      <c r="W1674" t="s">
        <v>44</v>
      </c>
      <c r="X1674" t="s">
        <v>44</v>
      </c>
      <c r="Y1674" s="9">
        <f t="shared" si="79"/>
        <v>0</v>
      </c>
      <c r="Z1674" t="str">
        <f t="shared" si="80"/>
        <v>สแกนต่าง Cost</v>
      </c>
    </row>
    <row r="1675" spans="1:26" x14ac:dyDescent="0.45">
      <c r="B1675" t="s">
        <v>53</v>
      </c>
      <c r="C1675">
        <v>20310530</v>
      </c>
      <c r="D1675" t="s">
        <v>220</v>
      </c>
      <c r="E1675" s="10">
        <v>46123.4375</v>
      </c>
      <c r="F1675" s="10">
        <v>46123.5</v>
      </c>
      <c r="G1675">
        <v>1.5</v>
      </c>
      <c r="H1675" s="9">
        <f t="shared" si="78"/>
        <v>8.0000000000000002E-3</v>
      </c>
      <c r="J1675">
        <v>8.0000000000000002E-3</v>
      </c>
      <c r="M1675" t="s">
        <v>77</v>
      </c>
      <c r="N1675" t="s">
        <v>40</v>
      </c>
      <c r="O1675" t="s">
        <v>78</v>
      </c>
      <c r="P1675" t="s">
        <v>30</v>
      </c>
      <c r="Q1675" t="s">
        <v>31</v>
      </c>
      <c r="R1675">
        <v>82640</v>
      </c>
      <c r="S1675" t="s">
        <v>42</v>
      </c>
      <c r="T1675">
        <v>82630</v>
      </c>
      <c r="U1675" t="s">
        <v>32</v>
      </c>
      <c r="V1675" t="s">
        <v>66</v>
      </c>
      <c r="W1675" t="s">
        <v>44</v>
      </c>
      <c r="X1675" t="s">
        <v>44</v>
      </c>
      <c r="Y1675" s="9">
        <f t="shared" si="79"/>
        <v>8.0000000000000002E-3</v>
      </c>
      <c r="Z1675" t="str">
        <f t="shared" si="80"/>
        <v>สแกนต่าง Cost</v>
      </c>
    </row>
    <row r="1676" spans="1:26" x14ac:dyDescent="0.45">
      <c r="B1676" t="s">
        <v>53</v>
      </c>
      <c r="C1676">
        <v>20310532</v>
      </c>
      <c r="D1676" t="s">
        <v>61</v>
      </c>
      <c r="E1676" s="10">
        <v>46123.4375</v>
      </c>
      <c r="F1676" s="10">
        <v>46123.5</v>
      </c>
      <c r="G1676">
        <v>1.5</v>
      </c>
      <c r="H1676" s="9">
        <f t="shared" si="78"/>
        <v>8.0000000000000002E-3</v>
      </c>
      <c r="J1676">
        <v>8.0000000000000002E-3</v>
      </c>
      <c r="M1676" t="s">
        <v>77</v>
      </c>
      <c r="N1676" t="s">
        <v>40</v>
      </c>
      <c r="O1676" t="s">
        <v>351</v>
      </c>
      <c r="P1676" t="s">
        <v>30</v>
      </c>
      <c r="Q1676" t="s">
        <v>31</v>
      </c>
      <c r="R1676">
        <v>82640</v>
      </c>
      <c r="S1676" t="s">
        <v>42</v>
      </c>
      <c r="T1676">
        <v>82630</v>
      </c>
      <c r="U1676" t="s">
        <v>32</v>
      </c>
      <c r="V1676" t="s">
        <v>66</v>
      </c>
      <c r="W1676" t="s">
        <v>44</v>
      </c>
      <c r="X1676" t="s">
        <v>44</v>
      </c>
      <c r="Y1676" s="9">
        <f t="shared" si="79"/>
        <v>8.0000000000000002E-3</v>
      </c>
      <c r="Z1676" t="str">
        <f t="shared" si="80"/>
        <v>สแกนต่าง Cost</v>
      </c>
    </row>
    <row r="1677" spans="1:26" x14ac:dyDescent="0.45">
      <c r="B1677" t="s">
        <v>53</v>
      </c>
      <c r="C1677">
        <v>20198839</v>
      </c>
      <c r="D1677" t="s">
        <v>258</v>
      </c>
      <c r="E1677" s="10">
        <v>46123.416666666664</v>
      </c>
      <c r="F1677" s="10">
        <v>46123.458333333336</v>
      </c>
      <c r="G1677">
        <v>1</v>
      </c>
      <c r="H1677" s="9">
        <f t="shared" si="78"/>
        <v>5.0000000000000001E-3</v>
      </c>
      <c r="I1677">
        <v>5.0000000000000001E-3</v>
      </c>
      <c r="M1677" t="s">
        <v>65</v>
      </c>
      <c r="N1677" t="s">
        <v>29</v>
      </c>
      <c r="P1677" t="s">
        <v>30</v>
      </c>
      <c r="Q1677" t="s">
        <v>31</v>
      </c>
      <c r="R1677">
        <v>82640</v>
      </c>
      <c r="S1677" t="s">
        <v>42</v>
      </c>
      <c r="T1677">
        <v>82611</v>
      </c>
      <c r="U1677" t="s">
        <v>43</v>
      </c>
      <c r="V1677" t="s">
        <v>66</v>
      </c>
      <c r="W1677" t="s">
        <v>44</v>
      </c>
      <c r="X1677" t="s">
        <v>44</v>
      </c>
      <c r="Y1677" s="9">
        <f t="shared" si="79"/>
        <v>0</v>
      </c>
      <c r="Z1677" t="str">
        <f t="shared" si="80"/>
        <v>สแกนต่าง Cost</v>
      </c>
    </row>
    <row r="1678" spans="1:26" x14ac:dyDescent="0.45">
      <c r="B1678" t="s">
        <v>53</v>
      </c>
      <c r="C1678">
        <v>20244923</v>
      </c>
      <c r="D1678" t="s">
        <v>246</v>
      </c>
      <c r="E1678" s="10">
        <v>46123.395833333336</v>
      </c>
      <c r="F1678" s="10">
        <v>46123.5</v>
      </c>
      <c r="G1678">
        <v>2.5</v>
      </c>
      <c r="H1678" s="9">
        <f t="shared" si="78"/>
        <v>1.2999999999999999E-2</v>
      </c>
      <c r="J1678">
        <v>1.2999999999999999E-2</v>
      </c>
      <c r="M1678" t="s">
        <v>77</v>
      </c>
      <c r="N1678" t="s">
        <v>40</v>
      </c>
      <c r="O1678" t="s">
        <v>78</v>
      </c>
      <c r="P1678" t="s">
        <v>30</v>
      </c>
      <c r="Q1678" t="s">
        <v>31</v>
      </c>
      <c r="R1678">
        <v>82640</v>
      </c>
      <c r="S1678" t="s">
        <v>42</v>
      </c>
      <c r="T1678">
        <v>82630</v>
      </c>
      <c r="U1678" t="s">
        <v>32</v>
      </c>
      <c r="V1678" t="s">
        <v>66</v>
      </c>
      <c r="W1678" t="s">
        <v>44</v>
      </c>
      <c r="X1678" t="s">
        <v>44</v>
      </c>
      <c r="Y1678" s="9">
        <f t="shared" si="79"/>
        <v>1.2999999999999999E-2</v>
      </c>
      <c r="Z1678" t="str">
        <f t="shared" si="80"/>
        <v>สแกนต่าง Cost</v>
      </c>
    </row>
    <row r="1679" spans="1:26" x14ac:dyDescent="0.45">
      <c r="B1679" t="s">
        <v>53</v>
      </c>
      <c r="C1679">
        <v>20310532</v>
      </c>
      <c r="D1679" t="s">
        <v>61</v>
      </c>
      <c r="E1679" s="10">
        <v>46123.395833333336</v>
      </c>
      <c r="F1679" s="10">
        <v>46123.4375</v>
      </c>
      <c r="G1679">
        <v>1</v>
      </c>
      <c r="H1679" s="9">
        <f t="shared" si="78"/>
        <v>5.0000000000000001E-3</v>
      </c>
      <c r="J1679">
        <v>5.0000000000000001E-3</v>
      </c>
      <c r="M1679" t="s">
        <v>77</v>
      </c>
      <c r="N1679" t="s">
        <v>40</v>
      </c>
      <c r="O1679" t="s">
        <v>351</v>
      </c>
      <c r="P1679" t="s">
        <v>30</v>
      </c>
      <c r="Q1679" t="s">
        <v>31</v>
      </c>
      <c r="R1679">
        <v>82640</v>
      </c>
      <c r="S1679" t="s">
        <v>42</v>
      </c>
      <c r="T1679">
        <v>82612</v>
      </c>
      <c r="U1679" t="s">
        <v>153</v>
      </c>
      <c r="V1679" t="s">
        <v>66</v>
      </c>
      <c r="W1679" t="s">
        <v>44</v>
      </c>
      <c r="X1679" t="s">
        <v>44</v>
      </c>
      <c r="Y1679" s="9">
        <f t="shared" si="79"/>
        <v>5.0000000000000001E-3</v>
      </c>
      <c r="Z1679" t="str">
        <f t="shared" si="80"/>
        <v>สแกนต่าง Cost</v>
      </c>
    </row>
    <row r="1680" spans="1:26" x14ac:dyDescent="0.45">
      <c r="B1680" t="s">
        <v>53</v>
      </c>
      <c r="C1680">
        <v>20167851</v>
      </c>
      <c r="D1680" t="s">
        <v>63</v>
      </c>
      <c r="E1680" s="10">
        <v>46123.375</v>
      </c>
      <c r="F1680" s="10">
        <v>46123.458333333336</v>
      </c>
      <c r="G1680">
        <v>2</v>
      </c>
      <c r="H1680" s="9">
        <f t="shared" si="78"/>
        <v>1.0999999999999999E-2</v>
      </c>
      <c r="J1680">
        <v>1.0999999999999999E-2</v>
      </c>
      <c r="M1680" t="s">
        <v>77</v>
      </c>
      <c r="N1680" t="s">
        <v>40</v>
      </c>
      <c r="O1680" t="s">
        <v>350</v>
      </c>
      <c r="P1680" t="s">
        <v>30</v>
      </c>
      <c r="Q1680" t="s">
        <v>31</v>
      </c>
      <c r="R1680">
        <v>82640</v>
      </c>
      <c r="S1680" t="s">
        <v>42</v>
      </c>
      <c r="T1680">
        <v>82630</v>
      </c>
      <c r="U1680" t="s">
        <v>32</v>
      </c>
      <c r="V1680" t="s">
        <v>66</v>
      </c>
      <c r="W1680" t="s">
        <v>44</v>
      </c>
      <c r="X1680" t="s">
        <v>44</v>
      </c>
      <c r="Y1680" s="9">
        <f t="shared" si="79"/>
        <v>1.0999999999999999E-2</v>
      </c>
      <c r="Z1680" t="str">
        <f t="shared" si="80"/>
        <v>สแกนต่าง Cost</v>
      </c>
    </row>
    <row r="1681" spans="1:26" x14ac:dyDescent="0.45">
      <c r="B1681" t="s">
        <v>53</v>
      </c>
      <c r="C1681">
        <v>20198839</v>
      </c>
      <c r="D1681" t="s">
        <v>258</v>
      </c>
      <c r="E1681" s="10">
        <v>46123.375</v>
      </c>
      <c r="F1681" s="10">
        <v>46123.416666666664</v>
      </c>
      <c r="G1681">
        <v>1</v>
      </c>
      <c r="H1681" s="9">
        <f t="shared" si="78"/>
        <v>5.0000000000000001E-3</v>
      </c>
      <c r="I1681">
        <v>5.0000000000000001E-3</v>
      </c>
      <c r="M1681" t="s">
        <v>65</v>
      </c>
      <c r="N1681" t="s">
        <v>29</v>
      </c>
      <c r="P1681" t="s">
        <v>30</v>
      </c>
      <c r="Q1681" t="s">
        <v>31</v>
      </c>
      <c r="R1681">
        <v>82640</v>
      </c>
      <c r="S1681" t="s">
        <v>42</v>
      </c>
      <c r="T1681">
        <v>82630</v>
      </c>
      <c r="U1681" t="s">
        <v>32</v>
      </c>
      <c r="V1681" t="s">
        <v>66</v>
      </c>
      <c r="W1681" t="s">
        <v>44</v>
      </c>
      <c r="X1681" t="s">
        <v>44</v>
      </c>
      <c r="Y1681" s="9">
        <f t="shared" si="79"/>
        <v>0</v>
      </c>
      <c r="Z1681" t="str">
        <f t="shared" si="80"/>
        <v>สแกนต่าง Cost</v>
      </c>
    </row>
    <row r="1682" spans="1:26" x14ac:dyDescent="0.45">
      <c r="B1682" t="s">
        <v>53</v>
      </c>
      <c r="C1682">
        <v>20225092</v>
      </c>
      <c r="D1682" t="s">
        <v>335</v>
      </c>
      <c r="E1682" s="10">
        <v>46123.375</v>
      </c>
      <c r="F1682" s="10">
        <v>46123.708333333336</v>
      </c>
      <c r="G1682">
        <v>7</v>
      </c>
      <c r="H1682" s="9">
        <f t="shared" si="78"/>
        <v>3.6999999999999998E-2</v>
      </c>
      <c r="J1682">
        <v>3.6999999999999998E-2</v>
      </c>
      <c r="M1682" t="s">
        <v>77</v>
      </c>
      <c r="N1682" t="s">
        <v>40</v>
      </c>
      <c r="O1682" t="s">
        <v>251</v>
      </c>
      <c r="P1682" t="s">
        <v>133</v>
      </c>
      <c r="Q1682" t="s">
        <v>31</v>
      </c>
      <c r="R1682">
        <v>82400</v>
      </c>
      <c r="S1682" t="s">
        <v>83</v>
      </c>
      <c r="T1682">
        <v>82664</v>
      </c>
      <c r="U1682" t="s">
        <v>75</v>
      </c>
      <c r="V1682" t="s">
        <v>336</v>
      </c>
      <c r="W1682" t="s">
        <v>44</v>
      </c>
      <c r="X1682" t="s">
        <v>44</v>
      </c>
      <c r="Y1682" s="9">
        <f t="shared" si="79"/>
        <v>3.6999999999999998E-2</v>
      </c>
      <c r="Z1682" t="str">
        <f t="shared" si="80"/>
        <v>สแกนต่าง Cost</v>
      </c>
    </row>
    <row r="1683" spans="1:26" x14ac:dyDescent="0.45">
      <c r="A1683">
        <v>26577</v>
      </c>
      <c r="B1683" t="s">
        <v>53</v>
      </c>
      <c r="C1683">
        <v>20165798</v>
      </c>
      <c r="D1683" t="s">
        <v>352</v>
      </c>
      <c r="E1683" s="10">
        <v>46123.354166666664</v>
      </c>
      <c r="F1683" s="10">
        <v>46123.625</v>
      </c>
      <c r="G1683">
        <v>5.5</v>
      </c>
      <c r="H1683" s="9">
        <f t="shared" si="78"/>
        <v>2.9000000000000001E-2</v>
      </c>
      <c r="I1683">
        <v>2.9000000000000001E-2</v>
      </c>
      <c r="M1683" t="s">
        <v>65</v>
      </c>
      <c r="N1683" t="s">
        <v>29</v>
      </c>
      <c r="P1683" t="s">
        <v>30</v>
      </c>
      <c r="Q1683" t="s">
        <v>31</v>
      </c>
      <c r="R1683">
        <v>82301</v>
      </c>
      <c r="S1683" t="s">
        <v>79</v>
      </c>
      <c r="T1683">
        <v>82640</v>
      </c>
      <c r="U1683" t="s">
        <v>42</v>
      </c>
      <c r="V1683" t="s">
        <v>155</v>
      </c>
      <c r="W1683" t="s">
        <v>47</v>
      </c>
      <c r="X1683" t="s">
        <v>95</v>
      </c>
      <c r="Y1683" s="9">
        <f t="shared" si="79"/>
        <v>0</v>
      </c>
      <c r="Z1683" t="str">
        <f t="shared" si="80"/>
        <v>สแกนต่าง Cost</v>
      </c>
    </row>
    <row r="1684" spans="1:26" x14ac:dyDescent="0.45">
      <c r="B1684" t="s">
        <v>53</v>
      </c>
      <c r="C1684">
        <v>20310530</v>
      </c>
      <c r="D1684" t="s">
        <v>220</v>
      </c>
      <c r="E1684" s="10">
        <v>46123.354166666664</v>
      </c>
      <c r="F1684" s="10">
        <v>46123.4375</v>
      </c>
      <c r="G1684">
        <v>2</v>
      </c>
      <c r="H1684" s="9">
        <f t="shared" si="78"/>
        <v>1.0999999999999999E-2</v>
      </c>
      <c r="J1684">
        <v>1.0999999999999999E-2</v>
      </c>
      <c r="M1684" t="s">
        <v>77</v>
      </c>
      <c r="N1684" t="s">
        <v>40</v>
      </c>
      <c r="O1684" t="s">
        <v>78</v>
      </c>
      <c r="P1684" t="s">
        <v>30</v>
      </c>
      <c r="Q1684" t="s">
        <v>31</v>
      </c>
      <c r="R1684">
        <v>82640</v>
      </c>
      <c r="S1684" t="s">
        <v>42</v>
      </c>
      <c r="T1684">
        <v>82612</v>
      </c>
      <c r="U1684" t="s">
        <v>153</v>
      </c>
      <c r="V1684" t="s">
        <v>66</v>
      </c>
      <c r="W1684" t="s">
        <v>44</v>
      </c>
      <c r="X1684" t="s">
        <v>44</v>
      </c>
      <c r="Y1684" s="9">
        <f t="shared" si="79"/>
        <v>1.0999999999999999E-2</v>
      </c>
      <c r="Z1684" t="str">
        <f t="shared" si="80"/>
        <v>สแกนต่าง Cost</v>
      </c>
    </row>
    <row r="1685" spans="1:26" x14ac:dyDescent="0.45">
      <c r="B1685" t="s">
        <v>53</v>
      </c>
      <c r="C1685">
        <v>20340657</v>
      </c>
      <c r="D1685" t="s">
        <v>221</v>
      </c>
      <c r="E1685" s="10">
        <v>46123.354166666664</v>
      </c>
      <c r="F1685" s="10">
        <v>46123.5</v>
      </c>
      <c r="G1685">
        <v>3.5</v>
      </c>
      <c r="H1685" s="9">
        <f t="shared" si="78"/>
        <v>1.9E-2</v>
      </c>
      <c r="I1685">
        <v>1.9E-2</v>
      </c>
      <c r="M1685" t="s">
        <v>65</v>
      </c>
      <c r="N1685" t="s">
        <v>29</v>
      </c>
      <c r="P1685" t="s">
        <v>30</v>
      </c>
      <c r="Q1685" t="s">
        <v>31</v>
      </c>
      <c r="R1685">
        <v>82640</v>
      </c>
      <c r="S1685" t="s">
        <v>42</v>
      </c>
      <c r="T1685">
        <v>82612</v>
      </c>
      <c r="U1685" t="s">
        <v>153</v>
      </c>
      <c r="V1685" t="s">
        <v>66</v>
      </c>
      <c r="W1685" t="s">
        <v>44</v>
      </c>
      <c r="X1685" t="s">
        <v>44</v>
      </c>
      <c r="Y1685" s="9">
        <f t="shared" si="79"/>
        <v>0</v>
      </c>
      <c r="Z1685" t="str">
        <f t="shared" si="80"/>
        <v>สแกนต่าง Cost</v>
      </c>
    </row>
    <row r="1686" spans="1:26" x14ac:dyDescent="0.45">
      <c r="A1686">
        <v>26343</v>
      </c>
      <c r="B1686" t="s">
        <v>53</v>
      </c>
      <c r="C1686">
        <v>20074796</v>
      </c>
      <c r="D1686" t="s">
        <v>189</v>
      </c>
      <c r="E1686" s="10">
        <v>46123.352777777778</v>
      </c>
      <c r="F1686" s="10">
        <v>46123.729166666664</v>
      </c>
      <c r="G1686">
        <v>8.0333333333333332</v>
      </c>
      <c r="H1686" s="9">
        <f t="shared" si="78"/>
        <v>4.2999999999999997E-2</v>
      </c>
      <c r="J1686">
        <v>4.2999999999999997E-2</v>
      </c>
      <c r="M1686" t="s">
        <v>77</v>
      </c>
      <c r="N1686" t="s">
        <v>40</v>
      </c>
      <c r="O1686" t="s">
        <v>247</v>
      </c>
      <c r="P1686" t="s">
        <v>30</v>
      </c>
      <c r="Q1686" t="s">
        <v>31</v>
      </c>
      <c r="R1686">
        <v>82306</v>
      </c>
      <c r="S1686" t="s">
        <v>55</v>
      </c>
      <c r="T1686">
        <v>82920</v>
      </c>
      <c r="U1686" t="s">
        <v>158</v>
      </c>
      <c r="V1686" t="s">
        <v>158</v>
      </c>
      <c r="W1686" t="s">
        <v>159</v>
      </c>
      <c r="X1686" t="s">
        <v>160</v>
      </c>
      <c r="Y1686" s="9">
        <f t="shared" si="79"/>
        <v>4.2999999999999997E-2</v>
      </c>
      <c r="Z1686" t="str">
        <f t="shared" si="80"/>
        <v>สแกนต่าง Cost</v>
      </c>
    </row>
    <row r="1687" spans="1:26" x14ac:dyDescent="0.45">
      <c r="B1687" t="s">
        <v>26</v>
      </c>
      <c r="C1687">
        <v>20015462</v>
      </c>
      <c r="D1687" t="s">
        <v>347</v>
      </c>
      <c r="E1687" s="10">
        <v>46123.345138888886</v>
      </c>
      <c r="F1687" s="10">
        <v>46123.729166666664</v>
      </c>
      <c r="G1687">
        <v>8.2166666666666668</v>
      </c>
      <c r="H1687" s="9">
        <f t="shared" si="78"/>
        <v>4.3999999999999997E-2</v>
      </c>
      <c r="J1687">
        <v>4.3999999999999997E-2</v>
      </c>
      <c r="M1687" t="s">
        <v>77</v>
      </c>
      <c r="N1687" t="s">
        <v>40</v>
      </c>
      <c r="O1687" t="s">
        <v>78</v>
      </c>
      <c r="P1687" t="s">
        <v>30</v>
      </c>
      <c r="Q1687" t="s">
        <v>31</v>
      </c>
      <c r="R1687">
        <v>82303</v>
      </c>
      <c r="S1687" t="s">
        <v>56</v>
      </c>
      <c r="T1687">
        <v>82658</v>
      </c>
      <c r="U1687" t="s">
        <v>33</v>
      </c>
      <c r="V1687" t="s">
        <v>33</v>
      </c>
      <c r="W1687" t="s">
        <v>34</v>
      </c>
      <c r="X1687" t="s">
        <v>34</v>
      </c>
      <c r="Y1687" s="9">
        <f t="shared" si="79"/>
        <v>4.3999999999999997E-2</v>
      </c>
      <c r="Z1687" t="str">
        <f t="shared" si="80"/>
        <v>สแกนต่าง Cost</v>
      </c>
    </row>
    <row r="1688" spans="1:26" x14ac:dyDescent="0.45">
      <c r="B1688" t="s">
        <v>26</v>
      </c>
      <c r="C1688">
        <v>20048908</v>
      </c>
      <c r="D1688" t="s">
        <v>348</v>
      </c>
      <c r="E1688" s="10">
        <v>46123.345138888886</v>
      </c>
      <c r="F1688" s="10">
        <v>46123.729166666664</v>
      </c>
      <c r="G1688">
        <v>8.2166666666666668</v>
      </c>
      <c r="H1688" s="9">
        <f t="shared" si="78"/>
        <v>4.3999999999999997E-2</v>
      </c>
      <c r="J1688">
        <v>4.3999999999999997E-2</v>
      </c>
      <c r="M1688" t="s">
        <v>77</v>
      </c>
      <c r="N1688" t="s">
        <v>40</v>
      </c>
      <c r="O1688" t="s">
        <v>78</v>
      </c>
      <c r="P1688" t="s">
        <v>30</v>
      </c>
      <c r="Q1688" t="s">
        <v>31</v>
      </c>
      <c r="R1688">
        <v>82303</v>
      </c>
      <c r="S1688" t="s">
        <v>56</v>
      </c>
      <c r="T1688">
        <v>82658</v>
      </c>
      <c r="U1688" t="s">
        <v>33</v>
      </c>
      <c r="V1688" t="s">
        <v>33</v>
      </c>
      <c r="W1688" t="s">
        <v>34</v>
      </c>
      <c r="X1688" t="s">
        <v>34</v>
      </c>
      <c r="Y1688" s="9">
        <f t="shared" si="79"/>
        <v>4.3999999999999997E-2</v>
      </c>
      <c r="Z1688" t="str">
        <f t="shared" si="80"/>
        <v>สแกนต่าง Cost</v>
      </c>
    </row>
    <row r="1689" spans="1:26" x14ac:dyDescent="0.45">
      <c r="A1689">
        <v>26314</v>
      </c>
      <c r="B1689" t="s">
        <v>53</v>
      </c>
      <c r="C1689">
        <v>20004913</v>
      </c>
      <c r="D1689" t="s">
        <v>87</v>
      </c>
      <c r="E1689" s="10">
        <v>46123.333333333336</v>
      </c>
      <c r="F1689" s="10">
        <v>46123.729166666664</v>
      </c>
      <c r="G1689">
        <v>8.5</v>
      </c>
      <c r="H1689" s="9">
        <f t="shared" si="78"/>
        <v>4.4999999999999998E-2</v>
      </c>
      <c r="I1689">
        <v>4.4999999999999998E-2</v>
      </c>
      <c r="M1689" t="s">
        <v>65</v>
      </c>
      <c r="N1689" t="s">
        <v>29</v>
      </c>
      <c r="P1689" t="s">
        <v>30</v>
      </c>
      <c r="Q1689" t="s">
        <v>31</v>
      </c>
      <c r="R1689">
        <v>82301</v>
      </c>
      <c r="S1689" t="s">
        <v>79</v>
      </c>
      <c r="T1689">
        <v>82308</v>
      </c>
      <c r="U1689" t="s">
        <v>69</v>
      </c>
      <c r="V1689" t="s">
        <v>69</v>
      </c>
      <c r="W1689" t="s">
        <v>69</v>
      </c>
      <c r="X1689" t="s">
        <v>88</v>
      </c>
      <c r="Y1689" s="9">
        <f t="shared" si="79"/>
        <v>0</v>
      </c>
      <c r="Z1689" t="str">
        <f t="shared" si="80"/>
        <v>สแกนต่าง Cost</v>
      </c>
    </row>
    <row r="1690" spans="1:26" x14ac:dyDescent="0.45">
      <c r="A1690">
        <v>26571</v>
      </c>
      <c r="B1690" t="s">
        <v>53</v>
      </c>
      <c r="C1690">
        <v>20014916</v>
      </c>
      <c r="D1690" t="s">
        <v>167</v>
      </c>
      <c r="E1690" s="10">
        <v>46123.333333333336</v>
      </c>
      <c r="F1690" s="10">
        <v>46123.729166666664</v>
      </c>
      <c r="G1690">
        <v>8.5</v>
      </c>
      <c r="H1690" s="9">
        <f t="shared" si="78"/>
        <v>4.4999999999999998E-2</v>
      </c>
      <c r="I1690">
        <v>4.4999999999999998E-2</v>
      </c>
      <c r="M1690" t="s">
        <v>77</v>
      </c>
      <c r="N1690" t="s">
        <v>40</v>
      </c>
      <c r="O1690" t="s">
        <v>78</v>
      </c>
      <c r="P1690" t="s">
        <v>133</v>
      </c>
      <c r="Q1690" t="s">
        <v>31</v>
      </c>
      <c r="R1690">
        <v>82607</v>
      </c>
      <c r="S1690" t="s">
        <v>168</v>
      </c>
      <c r="T1690">
        <v>82640</v>
      </c>
      <c r="U1690" t="s">
        <v>42</v>
      </c>
      <c r="V1690" t="s">
        <v>70</v>
      </c>
      <c r="W1690" t="s">
        <v>47</v>
      </c>
      <c r="X1690" t="s">
        <v>95</v>
      </c>
      <c r="Y1690" s="9">
        <f t="shared" si="79"/>
        <v>0</v>
      </c>
      <c r="Z1690" t="str">
        <f t="shared" si="80"/>
        <v>สแกนต่าง Cost</v>
      </c>
    </row>
    <row r="1691" spans="1:26" x14ac:dyDescent="0.45">
      <c r="B1691" t="s">
        <v>53</v>
      </c>
      <c r="C1691">
        <v>20016437</v>
      </c>
      <c r="D1691" t="s">
        <v>309</v>
      </c>
      <c r="E1691" s="10">
        <v>46123.333333333336</v>
      </c>
      <c r="F1691" s="10">
        <v>46123.729166666664</v>
      </c>
      <c r="G1691">
        <v>8.5</v>
      </c>
      <c r="H1691" s="9">
        <f t="shared" si="78"/>
        <v>4.4999999999999998E-2</v>
      </c>
      <c r="J1691">
        <v>4.4999999999999998E-2</v>
      </c>
      <c r="M1691" t="s">
        <v>77</v>
      </c>
      <c r="N1691" t="s">
        <v>40</v>
      </c>
      <c r="O1691" t="s">
        <v>78</v>
      </c>
      <c r="P1691" t="s">
        <v>30</v>
      </c>
      <c r="Q1691" t="s">
        <v>31</v>
      </c>
      <c r="R1691">
        <v>82630</v>
      </c>
      <c r="S1691" t="s">
        <v>32</v>
      </c>
      <c r="T1691">
        <v>82611</v>
      </c>
      <c r="U1691" t="s">
        <v>43</v>
      </c>
      <c r="V1691" t="s">
        <v>43</v>
      </c>
      <c r="W1691" t="s">
        <v>148</v>
      </c>
      <c r="X1691" t="s">
        <v>171</v>
      </c>
      <c r="Y1691" s="9">
        <f t="shared" si="79"/>
        <v>4.4999999999999998E-2</v>
      </c>
      <c r="Z1691" t="str">
        <f t="shared" si="80"/>
        <v>สแกนต่าง Cost</v>
      </c>
    </row>
    <row r="1692" spans="1:26" x14ac:dyDescent="0.45">
      <c r="B1692" t="s">
        <v>53</v>
      </c>
      <c r="C1692">
        <v>20019820</v>
      </c>
      <c r="D1692" t="s">
        <v>316</v>
      </c>
      <c r="E1692" s="10">
        <v>46123.333333333336</v>
      </c>
      <c r="F1692" s="10">
        <v>46123.729166666664</v>
      </c>
      <c r="G1692">
        <v>8.5</v>
      </c>
      <c r="H1692" s="9">
        <f t="shared" si="78"/>
        <v>4.4999999999999998E-2</v>
      </c>
      <c r="J1692">
        <v>4.4999999999999998E-2</v>
      </c>
      <c r="M1692" t="s">
        <v>77</v>
      </c>
      <c r="N1692" t="s">
        <v>40</v>
      </c>
      <c r="O1692" t="s">
        <v>78</v>
      </c>
      <c r="P1692" t="s">
        <v>30</v>
      </c>
      <c r="Q1692" t="s">
        <v>31</v>
      </c>
      <c r="R1692">
        <v>82630</v>
      </c>
      <c r="S1692" t="s">
        <v>32</v>
      </c>
      <c r="T1692">
        <v>82611</v>
      </c>
      <c r="U1692" t="s">
        <v>43</v>
      </c>
      <c r="V1692" t="s">
        <v>43</v>
      </c>
      <c r="W1692" t="s">
        <v>148</v>
      </c>
      <c r="X1692" t="s">
        <v>171</v>
      </c>
      <c r="Y1692" s="9">
        <f t="shared" si="79"/>
        <v>4.4999999999999998E-2</v>
      </c>
      <c r="Z1692" t="str">
        <f t="shared" si="80"/>
        <v>สแกนต่าง Cost</v>
      </c>
    </row>
    <row r="1693" spans="1:26" x14ac:dyDescent="0.45">
      <c r="B1693" t="s">
        <v>53</v>
      </c>
      <c r="C1693">
        <v>20023163</v>
      </c>
      <c r="D1693" t="s">
        <v>169</v>
      </c>
      <c r="E1693" s="10">
        <v>46123.333333333336</v>
      </c>
      <c r="F1693" s="10">
        <v>46123.729166666664</v>
      </c>
      <c r="G1693">
        <v>8.5</v>
      </c>
      <c r="H1693" s="9">
        <f t="shared" si="78"/>
        <v>4.4999999999999998E-2</v>
      </c>
      <c r="J1693">
        <v>4.4999999999999998E-2</v>
      </c>
      <c r="M1693" t="s">
        <v>77</v>
      </c>
      <c r="N1693" t="s">
        <v>29</v>
      </c>
      <c r="P1693" t="s">
        <v>30</v>
      </c>
      <c r="Q1693" t="s">
        <v>31</v>
      </c>
      <c r="R1693">
        <v>82630</v>
      </c>
      <c r="S1693" t="s">
        <v>32</v>
      </c>
      <c r="T1693">
        <v>82640</v>
      </c>
      <c r="U1693" t="s">
        <v>42</v>
      </c>
      <c r="V1693" t="s">
        <v>70</v>
      </c>
      <c r="W1693" t="s">
        <v>170</v>
      </c>
      <c r="X1693" t="s">
        <v>171</v>
      </c>
      <c r="Y1693" s="9">
        <f t="shared" si="79"/>
        <v>4.4999999999999998E-2</v>
      </c>
      <c r="Z1693" t="str">
        <f t="shared" si="80"/>
        <v>สแกนต่าง Cost</v>
      </c>
    </row>
    <row r="1694" spans="1:26" x14ac:dyDescent="0.45">
      <c r="B1694" t="s">
        <v>26</v>
      </c>
      <c r="C1694">
        <v>20025986</v>
      </c>
      <c r="D1694" t="s">
        <v>200</v>
      </c>
      <c r="E1694" s="10">
        <v>46123.333333333336</v>
      </c>
      <c r="F1694" s="10">
        <v>46123.729166666664</v>
      </c>
      <c r="G1694">
        <v>8.5</v>
      </c>
      <c r="H1694" s="9">
        <f t="shared" si="78"/>
        <v>4.4999999999999998E-2</v>
      </c>
      <c r="I1694">
        <v>4.4999999999999998E-2</v>
      </c>
      <c r="M1694" t="s">
        <v>65</v>
      </c>
      <c r="N1694" t="s">
        <v>29</v>
      </c>
      <c r="P1694" t="s">
        <v>30</v>
      </c>
      <c r="Q1694" t="s">
        <v>31</v>
      </c>
      <c r="R1694">
        <v>82910</v>
      </c>
      <c r="S1694" t="s">
        <v>201</v>
      </c>
      <c r="T1694">
        <v>82605</v>
      </c>
      <c r="U1694" t="s">
        <v>202</v>
      </c>
      <c r="V1694" t="s">
        <v>202</v>
      </c>
      <c r="W1694" t="s">
        <v>37</v>
      </c>
      <c r="X1694" t="s">
        <v>47</v>
      </c>
      <c r="Y1694" s="9">
        <f t="shared" si="79"/>
        <v>0</v>
      </c>
      <c r="Z1694" t="str">
        <f t="shared" si="80"/>
        <v>สแกนต่าง Cost</v>
      </c>
    </row>
    <row r="1695" spans="1:26" x14ac:dyDescent="0.45">
      <c r="A1695">
        <v>26576</v>
      </c>
      <c r="B1695" t="s">
        <v>53</v>
      </c>
      <c r="C1695">
        <v>20030839</v>
      </c>
      <c r="D1695" t="s">
        <v>235</v>
      </c>
      <c r="E1695" s="10">
        <v>46123.333333333336</v>
      </c>
      <c r="F1695" s="10">
        <v>46123.729166666664</v>
      </c>
      <c r="G1695">
        <v>8.5</v>
      </c>
      <c r="H1695" s="9">
        <f t="shared" si="78"/>
        <v>4.4999999999999998E-2</v>
      </c>
      <c r="I1695">
        <v>4.4999999999999998E-2</v>
      </c>
      <c r="M1695" t="s">
        <v>65</v>
      </c>
      <c r="N1695" t="s">
        <v>29</v>
      </c>
      <c r="P1695" t="s">
        <v>30</v>
      </c>
      <c r="Q1695" t="s">
        <v>31</v>
      </c>
      <c r="R1695">
        <v>82658</v>
      </c>
      <c r="S1695" t="s">
        <v>33</v>
      </c>
      <c r="T1695">
        <v>82664</v>
      </c>
      <c r="U1695" t="s">
        <v>75</v>
      </c>
      <c r="V1695" t="s">
        <v>75</v>
      </c>
      <c r="W1695" t="s">
        <v>37</v>
      </c>
      <c r="X1695" t="s">
        <v>111</v>
      </c>
      <c r="Y1695" s="9">
        <f t="shared" si="79"/>
        <v>0</v>
      </c>
      <c r="Z1695" t="str">
        <f t="shared" si="80"/>
        <v>สแกนต่าง Cost</v>
      </c>
    </row>
    <row r="1696" spans="1:26" x14ac:dyDescent="0.45">
      <c r="B1696" t="s">
        <v>53</v>
      </c>
      <c r="C1696">
        <v>20034535</v>
      </c>
      <c r="D1696" t="s">
        <v>99</v>
      </c>
      <c r="E1696" s="10">
        <v>46123.333333333336</v>
      </c>
      <c r="F1696" s="10">
        <v>46123.729166666664</v>
      </c>
      <c r="G1696">
        <v>8.5</v>
      </c>
      <c r="H1696" s="9">
        <f t="shared" si="78"/>
        <v>4.4999999999999998E-2</v>
      </c>
      <c r="J1696">
        <v>4.4999999999999998E-2</v>
      </c>
      <c r="M1696" t="s">
        <v>77</v>
      </c>
      <c r="N1696" t="s">
        <v>29</v>
      </c>
      <c r="P1696" t="s">
        <v>30</v>
      </c>
      <c r="Q1696" t="s">
        <v>31</v>
      </c>
      <c r="R1696">
        <v>82630</v>
      </c>
      <c r="S1696" t="s">
        <v>32</v>
      </c>
      <c r="T1696">
        <v>82611</v>
      </c>
      <c r="U1696" t="s">
        <v>43</v>
      </c>
      <c r="V1696" t="s">
        <v>43</v>
      </c>
      <c r="W1696" t="s">
        <v>170</v>
      </c>
      <c r="X1696" t="s">
        <v>171</v>
      </c>
      <c r="Y1696" s="9">
        <f t="shared" si="79"/>
        <v>4.4999999999999998E-2</v>
      </c>
      <c r="Z1696" t="str">
        <f t="shared" si="80"/>
        <v>สแกนต่าง Cost</v>
      </c>
    </row>
    <row r="1697" spans="1:26" x14ac:dyDescent="0.45">
      <c r="B1697" t="s">
        <v>53</v>
      </c>
      <c r="C1697">
        <v>20037938</v>
      </c>
      <c r="D1697" t="s">
        <v>172</v>
      </c>
      <c r="E1697" s="10">
        <v>46123.333333333336</v>
      </c>
      <c r="F1697" s="10">
        <v>46123.729166666664</v>
      </c>
      <c r="G1697">
        <v>8.5</v>
      </c>
      <c r="H1697" s="9">
        <f t="shared" si="78"/>
        <v>4.4999999999999998E-2</v>
      </c>
      <c r="J1697">
        <v>4.4999999999999998E-2</v>
      </c>
      <c r="M1697" t="s">
        <v>77</v>
      </c>
      <c r="N1697" t="s">
        <v>40</v>
      </c>
      <c r="O1697" t="s">
        <v>78</v>
      </c>
      <c r="P1697" t="s">
        <v>30</v>
      </c>
      <c r="Q1697" t="s">
        <v>31</v>
      </c>
      <c r="R1697">
        <v>82630</v>
      </c>
      <c r="S1697" t="s">
        <v>32</v>
      </c>
      <c r="T1697">
        <v>82611</v>
      </c>
      <c r="U1697" t="s">
        <v>43</v>
      </c>
      <c r="V1697" t="s">
        <v>43</v>
      </c>
      <c r="W1697" t="s">
        <v>170</v>
      </c>
      <c r="X1697" t="s">
        <v>171</v>
      </c>
      <c r="Y1697" s="9">
        <f t="shared" si="79"/>
        <v>4.4999999999999998E-2</v>
      </c>
      <c r="Z1697" t="str">
        <f t="shared" si="80"/>
        <v>สแกนต่าง Cost</v>
      </c>
    </row>
    <row r="1698" spans="1:26" x14ac:dyDescent="0.45">
      <c r="B1698" t="s">
        <v>53</v>
      </c>
      <c r="C1698">
        <v>20041131</v>
      </c>
      <c r="D1698" t="s">
        <v>173</v>
      </c>
      <c r="E1698" s="10">
        <v>46123.333333333336</v>
      </c>
      <c r="F1698" s="10">
        <v>46123.729166666664</v>
      </c>
      <c r="G1698">
        <v>8.5</v>
      </c>
      <c r="H1698" s="9">
        <f t="shared" si="78"/>
        <v>4.4999999999999998E-2</v>
      </c>
      <c r="I1698">
        <v>4.4999999999999998E-2</v>
      </c>
      <c r="M1698" t="s">
        <v>65</v>
      </c>
      <c r="N1698" t="s">
        <v>29</v>
      </c>
      <c r="P1698" t="s">
        <v>30</v>
      </c>
      <c r="Q1698" t="s">
        <v>31</v>
      </c>
      <c r="R1698">
        <v>82630</v>
      </c>
      <c r="S1698" t="s">
        <v>32</v>
      </c>
      <c r="T1698">
        <v>82611</v>
      </c>
      <c r="U1698" t="s">
        <v>43</v>
      </c>
      <c r="V1698" t="s">
        <v>43</v>
      </c>
      <c r="W1698" t="s">
        <v>170</v>
      </c>
      <c r="X1698" t="s">
        <v>171</v>
      </c>
      <c r="Y1698" s="9">
        <f t="shared" si="79"/>
        <v>0</v>
      </c>
      <c r="Z1698" t="str">
        <f t="shared" si="80"/>
        <v>สแกนต่าง Cost</v>
      </c>
    </row>
    <row r="1699" spans="1:26" x14ac:dyDescent="0.45">
      <c r="B1699" t="s">
        <v>53</v>
      </c>
      <c r="C1699">
        <v>20047023</v>
      </c>
      <c r="D1699" t="s">
        <v>271</v>
      </c>
      <c r="E1699" s="10">
        <v>46123.333333333336</v>
      </c>
      <c r="F1699" s="10">
        <v>46123.729166666664</v>
      </c>
      <c r="G1699">
        <v>8.5</v>
      </c>
      <c r="H1699" s="9">
        <f t="shared" si="78"/>
        <v>4.4999999999999998E-2</v>
      </c>
      <c r="I1699">
        <v>4.4999999999999998E-2</v>
      </c>
      <c r="M1699" t="s">
        <v>77</v>
      </c>
      <c r="N1699" t="s">
        <v>40</v>
      </c>
      <c r="O1699" t="s">
        <v>78</v>
      </c>
      <c r="P1699" t="s">
        <v>30</v>
      </c>
      <c r="Q1699" t="s">
        <v>31</v>
      </c>
      <c r="R1699">
        <v>82607</v>
      </c>
      <c r="S1699" t="s">
        <v>168</v>
      </c>
      <c r="T1699">
        <v>82630</v>
      </c>
      <c r="U1699" t="s">
        <v>32</v>
      </c>
      <c r="V1699" t="s">
        <v>155</v>
      </c>
      <c r="W1699" t="s">
        <v>148</v>
      </c>
      <c r="X1699" t="s">
        <v>95</v>
      </c>
      <c r="Y1699" s="9">
        <f t="shared" si="79"/>
        <v>0</v>
      </c>
      <c r="Z1699" t="str">
        <f t="shared" si="80"/>
        <v>สแกนต่าง Cost</v>
      </c>
    </row>
    <row r="1700" spans="1:26" x14ac:dyDescent="0.45">
      <c r="B1700" t="s">
        <v>26</v>
      </c>
      <c r="C1700">
        <v>20066762</v>
      </c>
      <c r="D1700" t="s">
        <v>203</v>
      </c>
      <c r="E1700" s="10">
        <v>46123.333333333336</v>
      </c>
      <c r="F1700" s="10">
        <v>46123.729166666664</v>
      </c>
      <c r="G1700">
        <v>8.5</v>
      </c>
      <c r="H1700" s="9">
        <f t="shared" si="78"/>
        <v>4.4999999999999998E-2</v>
      </c>
      <c r="I1700">
        <v>4.4999999999999998E-2</v>
      </c>
      <c r="M1700" t="s">
        <v>65</v>
      </c>
      <c r="N1700" t="s">
        <v>29</v>
      </c>
      <c r="P1700" t="s">
        <v>30</v>
      </c>
      <c r="Q1700" t="s">
        <v>31</v>
      </c>
      <c r="R1700">
        <v>82910</v>
      </c>
      <c r="S1700" t="s">
        <v>201</v>
      </c>
      <c r="T1700">
        <v>82605</v>
      </c>
      <c r="U1700" t="s">
        <v>202</v>
      </c>
      <c r="V1700" t="s">
        <v>202</v>
      </c>
      <c r="W1700" t="s">
        <v>37</v>
      </c>
      <c r="X1700" t="s">
        <v>47</v>
      </c>
      <c r="Y1700" s="9">
        <f t="shared" si="79"/>
        <v>0</v>
      </c>
      <c r="Z1700" t="str">
        <f t="shared" si="80"/>
        <v>สแกนต่าง Cost</v>
      </c>
    </row>
    <row r="1701" spans="1:26" x14ac:dyDescent="0.45">
      <c r="B1701" t="s">
        <v>53</v>
      </c>
      <c r="C1701">
        <v>20074473</v>
      </c>
      <c r="D1701" t="s">
        <v>276</v>
      </c>
      <c r="E1701" s="10">
        <v>46123.333333333336</v>
      </c>
      <c r="F1701" s="10">
        <v>46123.729166666664</v>
      </c>
      <c r="G1701">
        <v>8.5</v>
      </c>
      <c r="H1701" s="9">
        <f t="shared" si="78"/>
        <v>4.4999999999999998E-2</v>
      </c>
      <c r="J1701">
        <v>4.4999999999999998E-2</v>
      </c>
      <c r="M1701" t="s">
        <v>77</v>
      </c>
      <c r="N1701" t="s">
        <v>29</v>
      </c>
      <c r="P1701" t="s">
        <v>30</v>
      </c>
      <c r="Q1701" t="s">
        <v>31</v>
      </c>
      <c r="R1701">
        <v>82630</v>
      </c>
      <c r="S1701" t="s">
        <v>32</v>
      </c>
      <c r="T1701">
        <v>82640</v>
      </c>
      <c r="U1701" t="s">
        <v>42</v>
      </c>
      <c r="V1701" t="s">
        <v>70</v>
      </c>
      <c r="W1701" t="s">
        <v>170</v>
      </c>
      <c r="X1701" t="s">
        <v>171</v>
      </c>
      <c r="Y1701" s="9">
        <f t="shared" si="79"/>
        <v>4.4999999999999998E-2</v>
      </c>
      <c r="Z1701" t="str">
        <f t="shared" si="80"/>
        <v>สแกนต่าง Cost</v>
      </c>
    </row>
    <row r="1702" spans="1:26" x14ac:dyDescent="0.45">
      <c r="B1702" t="s">
        <v>53</v>
      </c>
      <c r="C1702">
        <v>20076991</v>
      </c>
      <c r="D1702" t="s">
        <v>76</v>
      </c>
      <c r="E1702" s="10">
        <v>46123.333333333336</v>
      </c>
      <c r="F1702" s="10">
        <v>46123.729166666664</v>
      </c>
      <c r="G1702">
        <v>8.5</v>
      </c>
      <c r="H1702" s="9">
        <f t="shared" si="78"/>
        <v>4.4999999999999998E-2</v>
      </c>
      <c r="J1702">
        <v>4.4999999999999998E-2</v>
      </c>
      <c r="M1702" t="s">
        <v>77</v>
      </c>
      <c r="N1702" t="s">
        <v>40</v>
      </c>
      <c r="O1702" t="s">
        <v>78</v>
      </c>
      <c r="P1702" t="s">
        <v>30</v>
      </c>
      <c r="Q1702" t="s">
        <v>31</v>
      </c>
      <c r="R1702">
        <v>82308</v>
      </c>
      <c r="S1702" t="s">
        <v>69</v>
      </c>
      <c r="T1702">
        <v>82658</v>
      </c>
      <c r="U1702" t="s">
        <v>33</v>
      </c>
      <c r="V1702" t="s">
        <v>33</v>
      </c>
      <c r="W1702" t="s">
        <v>34</v>
      </c>
      <c r="X1702" t="s">
        <v>34</v>
      </c>
      <c r="Y1702" s="9">
        <f t="shared" si="79"/>
        <v>4.4999999999999998E-2</v>
      </c>
      <c r="Z1702" t="str">
        <f t="shared" si="80"/>
        <v>สแกนต่าง Cost</v>
      </c>
    </row>
    <row r="1703" spans="1:26" x14ac:dyDescent="0.45">
      <c r="B1703" t="s">
        <v>26</v>
      </c>
      <c r="C1703">
        <v>20078191</v>
      </c>
      <c r="D1703" t="s">
        <v>283</v>
      </c>
      <c r="E1703" s="10">
        <v>46123.333333333336</v>
      </c>
      <c r="F1703" s="10">
        <v>46123.729166666664</v>
      </c>
      <c r="G1703">
        <v>8.5</v>
      </c>
      <c r="H1703" s="9">
        <f t="shared" si="78"/>
        <v>4.4999999999999998E-2</v>
      </c>
      <c r="J1703">
        <v>4.4999999999999998E-2</v>
      </c>
      <c r="M1703" t="s">
        <v>77</v>
      </c>
      <c r="N1703" t="s">
        <v>40</v>
      </c>
      <c r="O1703" t="s">
        <v>78</v>
      </c>
      <c r="P1703" t="s">
        <v>133</v>
      </c>
      <c r="Q1703" t="s">
        <v>31</v>
      </c>
      <c r="R1703">
        <v>82301</v>
      </c>
      <c r="S1703" t="s">
        <v>79</v>
      </c>
      <c r="T1703">
        <v>82658</v>
      </c>
      <c r="U1703" t="s">
        <v>33</v>
      </c>
      <c r="V1703" t="s">
        <v>33</v>
      </c>
      <c r="W1703" t="s">
        <v>205</v>
      </c>
      <c r="X1703" t="s">
        <v>34</v>
      </c>
      <c r="Y1703" s="9">
        <f t="shared" si="79"/>
        <v>4.4999999999999998E-2</v>
      </c>
      <c r="Z1703" t="str">
        <f t="shared" si="80"/>
        <v>สแกนต่าง Cost</v>
      </c>
    </row>
    <row r="1704" spans="1:26" x14ac:dyDescent="0.45">
      <c r="A1704">
        <v>26575</v>
      </c>
      <c r="B1704" t="s">
        <v>53</v>
      </c>
      <c r="C1704">
        <v>20162724</v>
      </c>
      <c r="D1704" t="s">
        <v>128</v>
      </c>
      <c r="E1704" s="10">
        <v>46123.333333333336</v>
      </c>
      <c r="F1704" s="10">
        <v>46123.729166666664</v>
      </c>
      <c r="G1704">
        <v>8.5</v>
      </c>
      <c r="H1704" s="9">
        <f t="shared" si="78"/>
        <v>4.4999999999999998E-2</v>
      </c>
      <c r="I1704">
        <v>4.4999999999999998E-2</v>
      </c>
      <c r="M1704" t="s">
        <v>65</v>
      </c>
      <c r="N1704" t="s">
        <v>29</v>
      </c>
      <c r="P1704" t="s">
        <v>30</v>
      </c>
      <c r="Q1704" t="s">
        <v>31</v>
      </c>
      <c r="R1704">
        <v>82658</v>
      </c>
      <c r="S1704" t="s">
        <v>33</v>
      </c>
      <c r="T1704">
        <v>82664</v>
      </c>
      <c r="U1704" t="s">
        <v>75</v>
      </c>
      <c r="V1704" t="s">
        <v>75</v>
      </c>
      <c r="W1704" t="s">
        <v>37</v>
      </c>
      <c r="X1704" t="s">
        <v>111</v>
      </c>
      <c r="Y1704" s="9">
        <f t="shared" si="79"/>
        <v>0</v>
      </c>
      <c r="Z1704" t="str">
        <f t="shared" si="80"/>
        <v>สแกนต่าง Cost</v>
      </c>
    </row>
    <row r="1705" spans="1:26" x14ac:dyDescent="0.45">
      <c r="B1705" t="s">
        <v>53</v>
      </c>
      <c r="C1705">
        <v>20167851</v>
      </c>
      <c r="D1705" t="s">
        <v>63</v>
      </c>
      <c r="E1705" s="10">
        <v>46123.333333333336</v>
      </c>
      <c r="F1705" s="10">
        <v>46123.375</v>
      </c>
      <c r="G1705">
        <v>1</v>
      </c>
      <c r="H1705" s="9">
        <f t="shared" si="78"/>
        <v>5.0000000000000001E-3</v>
      </c>
      <c r="J1705">
        <v>5.0000000000000001E-3</v>
      </c>
      <c r="M1705" t="s">
        <v>77</v>
      </c>
      <c r="N1705" t="s">
        <v>40</v>
      </c>
      <c r="O1705" t="s">
        <v>350</v>
      </c>
      <c r="P1705" t="s">
        <v>30</v>
      </c>
      <c r="Q1705" t="s">
        <v>31</v>
      </c>
      <c r="R1705">
        <v>82640</v>
      </c>
      <c r="S1705" t="s">
        <v>42</v>
      </c>
      <c r="T1705">
        <v>82612</v>
      </c>
      <c r="U1705" t="s">
        <v>153</v>
      </c>
      <c r="V1705" t="s">
        <v>66</v>
      </c>
      <c r="W1705" t="s">
        <v>44</v>
      </c>
      <c r="X1705" t="s">
        <v>44</v>
      </c>
      <c r="Y1705" s="9">
        <f t="shared" si="79"/>
        <v>5.0000000000000001E-3</v>
      </c>
      <c r="Z1705" t="str">
        <f t="shared" si="80"/>
        <v>สแกนต่าง Cost</v>
      </c>
    </row>
    <row r="1706" spans="1:26" x14ac:dyDescent="0.45">
      <c r="B1706" t="s">
        <v>53</v>
      </c>
      <c r="C1706">
        <v>20198711</v>
      </c>
      <c r="D1706" t="s">
        <v>178</v>
      </c>
      <c r="E1706" s="10">
        <v>46123.333333333336</v>
      </c>
      <c r="F1706" s="10">
        <v>46123.729166666664</v>
      </c>
      <c r="G1706">
        <v>8.5</v>
      </c>
      <c r="H1706" s="9">
        <f t="shared" si="78"/>
        <v>4.4999999999999998E-2</v>
      </c>
      <c r="I1706">
        <v>4.4999999999999998E-2</v>
      </c>
      <c r="M1706" t="s">
        <v>65</v>
      </c>
      <c r="N1706" t="s">
        <v>29</v>
      </c>
      <c r="P1706" t="s">
        <v>30</v>
      </c>
      <c r="Q1706" t="s">
        <v>31</v>
      </c>
      <c r="R1706">
        <v>82630</v>
      </c>
      <c r="S1706" t="s">
        <v>32</v>
      </c>
      <c r="T1706">
        <v>82611</v>
      </c>
      <c r="U1706" t="s">
        <v>43</v>
      </c>
      <c r="V1706" t="s">
        <v>43</v>
      </c>
      <c r="W1706" t="s">
        <v>170</v>
      </c>
      <c r="X1706" t="s">
        <v>171</v>
      </c>
      <c r="Y1706" s="9">
        <f t="shared" si="79"/>
        <v>0</v>
      </c>
      <c r="Z1706" t="str">
        <f t="shared" si="80"/>
        <v>สแกนต่าง Cost</v>
      </c>
    </row>
    <row r="1707" spans="1:26" x14ac:dyDescent="0.45">
      <c r="B1707" t="s">
        <v>53</v>
      </c>
      <c r="C1707">
        <v>20198715</v>
      </c>
      <c r="D1707" t="s">
        <v>179</v>
      </c>
      <c r="E1707" s="10">
        <v>46123.333333333336</v>
      </c>
      <c r="F1707" s="10">
        <v>46123.729166666664</v>
      </c>
      <c r="G1707">
        <v>8.5</v>
      </c>
      <c r="H1707" s="9">
        <f t="shared" si="78"/>
        <v>4.4999999999999998E-2</v>
      </c>
      <c r="J1707">
        <v>4.4999999999999998E-2</v>
      </c>
      <c r="M1707" t="s">
        <v>77</v>
      </c>
      <c r="N1707" t="s">
        <v>29</v>
      </c>
      <c r="P1707" t="s">
        <v>30</v>
      </c>
      <c r="Q1707" t="s">
        <v>31</v>
      </c>
      <c r="R1707">
        <v>82630</v>
      </c>
      <c r="S1707" t="s">
        <v>32</v>
      </c>
      <c r="T1707">
        <v>82611</v>
      </c>
      <c r="U1707" t="s">
        <v>43</v>
      </c>
      <c r="V1707" t="s">
        <v>43</v>
      </c>
      <c r="W1707" t="s">
        <v>170</v>
      </c>
      <c r="X1707" t="s">
        <v>171</v>
      </c>
      <c r="Y1707" s="9">
        <f t="shared" si="79"/>
        <v>4.4999999999999998E-2</v>
      </c>
      <c r="Z1707" t="str">
        <f t="shared" si="80"/>
        <v>สแกนต่าง Cost</v>
      </c>
    </row>
    <row r="1708" spans="1:26" x14ac:dyDescent="0.45">
      <c r="B1708" t="s">
        <v>53</v>
      </c>
      <c r="C1708">
        <v>20198747</v>
      </c>
      <c r="D1708" t="s">
        <v>180</v>
      </c>
      <c r="E1708" s="10">
        <v>46123.333333333336</v>
      </c>
      <c r="F1708" s="10">
        <v>46123.729166666664</v>
      </c>
      <c r="G1708">
        <v>8.5</v>
      </c>
      <c r="H1708" s="9">
        <f t="shared" si="78"/>
        <v>4.4999999999999998E-2</v>
      </c>
      <c r="J1708">
        <v>4.4999999999999998E-2</v>
      </c>
      <c r="M1708" t="s">
        <v>77</v>
      </c>
      <c r="N1708" t="s">
        <v>40</v>
      </c>
      <c r="O1708" t="s">
        <v>78</v>
      </c>
      <c r="P1708" t="s">
        <v>30</v>
      </c>
      <c r="Q1708" t="s">
        <v>31</v>
      </c>
      <c r="R1708">
        <v>82630</v>
      </c>
      <c r="S1708" t="s">
        <v>32</v>
      </c>
      <c r="T1708">
        <v>82611</v>
      </c>
      <c r="U1708" t="s">
        <v>43</v>
      </c>
      <c r="V1708" t="s">
        <v>43</v>
      </c>
      <c r="W1708" t="s">
        <v>148</v>
      </c>
      <c r="X1708" t="s">
        <v>171</v>
      </c>
      <c r="Y1708" s="9">
        <f t="shared" si="79"/>
        <v>4.4999999999999998E-2</v>
      </c>
      <c r="Z1708" t="str">
        <f t="shared" si="80"/>
        <v>สแกนต่าง Cost</v>
      </c>
    </row>
    <row r="1709" spans="1:26" x14ac:dyDescent="0.45">
      <c r="B1709" t="s">
        <v>53</v>
      </c>
      <c r="C1709">
        <v>20198747</v>
      </c>
      <c r="D1709" t="s">
        <v>180</v>
      </c>
      <c r="E1709" s="10">
        <v>46123.333333333336</v>
      </c>
      <c r="F1709" s="10">
        <v>46123.729166666664</v>
      </c>
      <c r="G1709">
        <v>8.5</v>
      </c>
      <c r="H1709" s="9">
        <f t="shared" si="78"/>
        <v>4.4999999999999998E-2</v>
      </c>
      <c r="J1709">
        <v>4.4999999999999998E-2</v>
      </c>
      <c r="M1709" t="s">
        <v>77</v>
      </c>
      <c r="N1709" t="s">
        <v>40</v>
      </c>
      <c r="O1709" t="s">
        <v>78</v>
      </c>
      <c r="P1709" t="s">
        <v>30</v>
      </c>
      <c r="Q1709" t="s">
        <v>31</v>
      </c>
      <c r="R1709">
        <v>82630</v>
      </c>
      <c r="S1709" t="s">
        <v>32</v>
      </c>
      <c r="T1709">
        <v>82640</v>
      </c>
      <c r="U1709" t="s">
        <v>42</v>
      </c>
      <c r="V1709" t="s">
        <v>70</v>
      </c>
      <c r="W1709" t="s">
        <v>170</v>
      </c>
      <c r="X1709" t="s">
        <v>171</v>
      </c>
      <c r="Y1709" s="9">
        <f t="shared" si="79"/>
        <v>4.4999999999999998E-2</v>
      </c>
      <c r="Z1709" t="str">
        <f t="shared" si="80"/>
        <v>สแกนต่าง Cost</v>
      </c>
    </row>
    <row r="1710" spans="1:26" x14ac:dyDescent="0.45">
      <c r="A1710">
        <v>26572</v>
      </c>
      <c r="B1710" t="s">
        <v>53</v>
      </c>
      <c r="C1710">
        <v>20198835</v>
      </c>
      <c r="D1710" t="s">
        <v>129</v>
      </c>
      <c r="E1710" s="10">
        <v>46123.333333333336</v>
      </c>
      <c r="F1710" s="10">
        <v>46123.729166666664</v>
      </c>
      <c r="G1710">
        <v>8.5</v>
      </c>
      <c r="H1710" s="9">
        <f t="shared" si="78"/>
        <v>4.4999999999999998E-2</v>
      </c>
      <c r="J1710">
        <v>4.4999999999999998E-2</v>
      </c>
      <c r="M1710" t="s">
        <v>77</v>
      </c>
      <c r="N1710" t="s">
        <v>40</v>
      </c>
      <c r="O1710" t="s">
        <v>78</v>
      </c>
      <c r="P1710" t="s">
        <v>30</v>
      </c>
      <c r="Q1710" t="s">
        <v>31</v>
      </c>
      <c r="R1710">
        <v>82658</v>
      </c>
      <c r="S1710" t="s">
        <v>33</v>
      </c>
      <c r="T1710">
        <v>82664</v>
      </c>
      <c r="U1710" t="s">
        <v>75</v>
      </c>
      <c r="V1710" t="s">
        <v>75</v>
      </c>
      <c r="W1710" t="s">
        <v>37</v>
      </c>
      <c r="X1710" t="s">
        <v>111</v>
      </c>
      <c r="Y1710" s="9">
        <f t="shared" si="79"/>
        <v>4.4999999999999998E-2</v>
      </c>
      <c r="Z1710" t="str">
        <f t="shared" si="80"/>
        <v>สแกนต่าง Cost</v>
      </c>
    </row>
    <row r="1711" spans="1:26" x14ac:dyDescent="0.45">
      <c r="A1711">
        <v>26340</v>
      </c>
      <c r="B1711" t="s">
        <v>53</v>
      </c>
      <c r="C1711">
        <v>20238364</v>
      </c>
      <c r="D1711" t="s">
        <v>198</v>
      </c>
      <c r="E1711" s="10">
        <v>46123.333333333336</v>
      </c>
      <c r="F1711" s="10">
        <v>46123.729166666664</v>
      </c>
      <c r="G1711">
        <v>8.5</v>
      </c>
      <c r="H1711" s="9">
        <f t="shared" si="78"/>
        <v>4.4999999999999998E-2</v>
      </c>
      <c r="J1711">
        <v>4.4999999999999998E-2</v>
      </c>
      <c r="M1711" t="s">
        <v>77</v>
      </c>
      <c r="N1711" t="s">
        <v>40</v>
      </c>
      <c r="O1711" t="s">
        <v>78</v>
      </c>
      <c r="P1711" t="s">
        <v>30</v>
      </c>
      <c r="Q1711" t="s">
        <v>31</v>
      </c>
      <c r="R1711">
        <v>82306</v>
      </c>
      <c r="S1711" t="s">
        <v>55</v>
      </c>
      <c r="T1711">
        <v>82920</v>
      </c>
      <c r="U1711" t="s">
        <v>158</v>
      </c>
      <c r="V1711" t="s">
        <v>158</v>
      </c>
      <c r="W1711" t="s">
        <v>159</v>
      </c>
      <c r="X1711" t="s">
        <v>160</v>
      </c>
      <c r="Y1711" s="9">
        <f t="shared" si="79"/>
        <v>4.4999999999999998E-2</v>
      </c>
      <c r="Z1711" t="str">
        <f t="shared" si="80"/>
        <v>สแกนต่าง Cost</v>
      </c>
    </row>
    <row r="1712" spans="1:26" x14ac:dyDescent="0.45">
      <c r="B1712" t="s">
        <v>53</v>
      </c>
      <c r="C1712">
        <v>20244923</v>
      </c>
      <c r="D1712" t="s">
        <v>246</v>
      </c>
      <c r="E1712" s="10">
        <v>46123.333333333336</v>
      </c>
      <c r="F1712" s="10">
        <v>46123.395833333336</v>
      </c>
      <c r="G1712">
        <v>1.5</v>
      </c>
      <c r="H1712" s="9">
        <f t="shared" si="78"/>
        <v>8.0000000000000002E-3</v>
      </c>
      <c r="J1712">
        <v>8.0000000000000002E-3</v>
      </c>
      <c r="M1712" t="s">
        <v>77</v>
      </c>
      <c r="N1712" t="s">
        <v>40</v>
      </c>
      <c r="O1712" t="s">
        <v>78</v>
      </c>
      <c r="P1712" t="s">
        <v>30</v>
      </c>
      <c r="Q1712" t="s">
        <v>31</v>
      </c>
      <c r="R1712">
        <v>82640</v>
      </c>
      <c r="S1712" t="s">
        <v>42</v>
      </c>
      <c r="T1712">
        <v>82612</v>
      </c>
      <c r="U1712" t="s">
        <v>153</v>
      </c>
      <c r="V1712" t="s">
        <v>66</v>
      </c>
      <c r="W1712" t="s">
        <v>44</v>
      </c>
      <c r="X1712" t="s">
        <v>44</v>
      </c>
      <c r="Y1712" s="9">
        <f t="shared" si="79"/>
        <v>8.0000000000000002E-3</v>
      </c>
      <c r="Z1712" t="str">
        <f t="shared" si="80"/>
        <v>สแกนต่าง Cost</v>
      </c>
    </row>
    <row r="1713" spans="1:26" x14ac:dyDescent="0.45">
      <c r="A1713">
        <v>26312</v>
      </c>
      <c r="B1713" t="s">
        <v>53</v>
      </c>
      <c r="C1713">
        <v>20276269</v>
      </c>
      <c r="D1713" t="s">
        <v>134</v>
      </c>
      <c r="E1713" s="10">
        <v>46123.333333333336</v>
      </c>
      <c r="F1713" s="10">
        <v>46123.729166666664</v>
      </c>
      <c r="G1713">
        <v>8.5</v>
      </c>
      <c r="H1713" s="9">
        <f t="shared" si="78"/>
        <v>4.4999999999999998E-2</v>
      </c>
      <c r="I1713">
        <v>4.4999999999999998E-2</v>
      </c>
      <c r="M1713" t="s">
        <v>65</v>
      </c>
      <c r="N1713" t="s">
        <v>29</v>
      </c>
      <c r="P1713" t="s">
        <v>30</v>
      </c>
      <c r="Q1713" t="s">
        <v>31</v>
      </c>
      <c r="R1713">
        <v>82308</v>
      </c>
      <c r="S1713" t="s">
        <v>69</v>
      </c>
      <c r="T1713">
        <v>82301</v>
      </c>
      <c r="U1713" t="s">
        <v>79</v>
      </c>
      <c r="V1713" t="s">
        <v>79</v>
      </c>
      <c r="W1713" t="s">
        <v>80</v>
      </c>
      <c r="X1713" t="s">
        <v>135</v>
      </c>
      <c r="Y1713" s="9">
        <f t="shared" si="79"/>
        <v>0</v>
      </c>
      <c r="Z1713" t="str">
        <f t="shared" si="80"/>
        <v>สแกนต่าง Cost</v>
      </c>
    </row>
    <row r="1714" spans="1:26" x14ac:dyDescent="0.45">
      <c r="B1714" t="s">
        <v>53</v>
      </c>
      <c r="C1714">
        <v>20282543</v>
      </c>
      <c r="D1714" t="s">
        <v>311</v>
      </c>
      <c r="E1714" s="10">
        <v>46123.333333333336</v>
      </c>
      <c r="F1714" s="10">
        <v>46123.729166666664</v>
      </c>
      <c r="G1714">
        <v>8.5</v>
      </c>
      <c r="H1714" s="9">
        <f t="shared" si="78"/>
        <v>4.4999999999999998E-2</v>
      </c>
      <c r="J1714">
        <v>4.4999999999999998E-2</v>
      </c>
      <c r="M1714" t="s">
        <v>77</v>
      </c>
      <c r="N1714" t="s">
        <v>40</v>
      </c>
      <c r="O1714" t="s">
        <v>78</v>
      </c>
      <c r="P1714" t="s">
        <v>30</v>
      </c>
      <c r="Q1714" t="s">
        <v>31</v>
      </c>
      <c r="R1714">
        <v>82630</v>
      </c>
      <c r="S1714" t="s">
        <v>32</v>
      </c>
      <c r="T1714">
        <v>82611</v>
      </c>
      <c r="U1714" t="s">
        <v>43</v>
      </c>
      <c r="V1714" t="s">
        <v>43</v>
      </c>
      <c r="W1714" t="s">
        <v>148</v>
      </c>
      <c r="X1714" t="s">
        <v>171</v>
      </c>
      <c r="Y1714" s="9">
        <f t="shared" si="79"/>
        <v>4.4999999999999998E-2</v>
      </c>
      <c r="Z1714" t="str">
        <f t="shared" si="80"/>
        <v>สแกนต่าง Cost</v>
      </c>
    </row>
    <row r="1715" spans="1:26" x14ac:dyDescent="0.45">
      <c r="B1715" t="s">
        <v>53</v>
      </c>
      <c r="C1715">
        <v>20310532</v>
      </c>
      <c r="D1715" t="s">
        <v>61</v>
      </c>
      <c r="E1715" s="10">
        <v>46123.333333333336</v>
      </c>
      <c r="F1715" s="10">
        <v>46123.395833333336</v>
      </c>
      <c r="G1715">
        <v>1.5</v>
      </c>
      <c r="H1715" s="9">
        <f t="shared" si="78"/>
        <v>8.0000000000000002E-3</v>
      </c>
      <c r="J1715">
        <v>8.0000000000000002E-3</v>
      </c>
      <c r="M1715" t="s">
        <v>77</v>
      </c>
      <c r="N1715" t="s">
        <v>40</v>
      </c>
      <c r="O1715" t="s">
        <v>351</v>
      </c>
      <c r="P1715" t="s">
        <v>30</v>
      </c>
      <c r="Q1715" t="s">
        <v>31</v>
      </c>
      <c r="R1715">
        <v>82640</v>
      </c>
      <c r="S1715" t="s">
        <v>42</v>
      </c>
      <c r="T1715">
        <v>82630</v>
      </c>
      <c r="U1715" t="s">
        <v>32</v>
      </c>
      <c r="V1715" t="s">
        <v>66</v>
      </c>
      <c r="W1715" t="s">
        <v>44</v>
      </c>
      <c r="X1715" t="s">
        <v>44</v>
      </c>
      <c r="Y1715" s="9">
        <f t="shared" si="79"/>
        <v>8.0000000000000002E-3</v>
      </c>
      <c r="Z1715" t="str">
        <f t="shared" si="80"/>
        <v>สแกนต่าง Cost</v>
      </c>
    </row>
    <row r="1716" spans="1:26" x14ac:dyDescent="0.45">
      <c r="B1716" t="s">
        <v>53</v>
      </c>
      <c r="C1716">
        <v>20319535</v>
      </c>
      <c r="D1716" t="s">
        <v>36</v>
      </c>
      <c r="E1716" s="10">
        <v>46123.333333333336</v>
      </c>
      <c r="F1716" s="10">
        <v>46123.729166666664</v>
      </c>
      <c r="G1716">
        <v>9.5</v>
      </c>
      <c r="H1716" s="9">
        <f t="shared" si="78"/>
        <v>4.9999999999999996E-2</v>
      </c>
      <c r="I1716">
        <v>4.4999999999999998E-2</v>
      </c>
      <c r="K1716">
        <v>5.0000000000000001E-3</v>
      </c>
      <c r="M1716" t="s">
        <v>28</v>
      </c>
      <c r="N1716" t="s">
        <v>29</v>
      </c>
      <c r="P1716" t="s">
        <v>30</v>
      </c>
      <c r="Q1716" t="s">
        <v>31</v>
      </c>
      <c r="R1716">
        <v>82630</v>
      </c>
      <c r="S1716" t="s">
        <v>32</v>
      </c>
      <c r="T1716">
        <v>82611</v>
      </c>
      <c r="U1716" t="s">
        <v>43</v>
      </c>
      <c r="V1716" t="s">
        <v>43</v>
      </c>
      <c r="W1716" t="s">
        <v>170</v>
      </c>
      <c r="X1716" t="s">
        <v>171</v>
      </c>
      <c r="Y1716" s="9">
        <f t="shared" si="79"/>
        <v>5.0000000000000001E-3</v>
      </c>
      <c r="Z1716" t="str">
        <f t="shared" si="80"/>
        <v>สแกนต่าง Cost</v>
      </c>
    </row>
    <row r="1717" spans="1:26" x14ac:dyDescent="0.45">
      <c r="B1717" t="s">
        <v>26</v>
      </c>
      <c r="C1717">
        <v>20330032</v>
      </c>
      <c r="D1717" t="s">
        <v>204</v>
      </c>
      <c r="E1717" s="10">
        <v>46123.333333333336</v>
      </c>
      <c r="F1717" s="10">
        <v>46123.729166666664</v>
      </c>
      <c r="G1717">
        <v>8.5</v>
      </c>
      <c r="H1717" s="9">
        <f t="shared" si="78"/>
        <v>4.4999999999999998E-2</v>
      </c>
      <c r="I1717">
        <v>4.4999999999999998E-2</v>
      </c>
      <c r="M1717" t="s">
        <v>65</v>
      </c>
      <c r="N1717" t="s">
        <v>29</v>
      </c>
      <c r="P1717" t="s">
        <v>30</v>
      </c>
      <c r="Q1717" t="s">
        <v>31</v>
      </c>
      <c r="R1717">
        <v>82910</v>
      </c>
      <c r="S1717" t="s">
        <v>201</v>
      </c>
      <c r="T1717">
        <v>82605</v>
      </c>
      <c r="U1717" t="s">
        <v>202</v>
      </c>
      <c r="V1717" t="s">
        <v>202</v>
      </c>
      <c r="W1717" t="s">
        <v>37</v>
      </c>
      <c r="X1717" t="s">
        <v>47</v>
      </c>
      <c r="Y1717" s="9">
        <f t="shared" si="79"/>
        <v>0</v>
      </c>
      <c r="Z1717" t="str">
        <f t="shared" si="80"/>
        <v>สแกนต่าง Cost</v>
      </c>
    </row>
    <row r="1718" spans="1:26" x14ac:dyDescent="0.45">
      <c r="B1718" t="s">
        <v>53</v>
      </c>
      <c r="C1718">
        <v>20344532</v>
      </c>
      <c r="D1718" t="s">
        <v>186</v>
      </c>
      <c r="E1718" s="10">
        <v>46123.333333333336</v>
      </c>
      <c r="F1718" s="10">
        <v>46123.729166666664</v>
      </c>
      <c r="G1718">
        <v>9.5</v>
      </c>
      <c r="H1718" s="9">
        <f t="shared" si="78"/>
        <v>4.9999999999999996E-2</v>
      </c>
      <c r="I1718">
        <v>4.4999999999999998E-2</v>
      </c>
      <c r="K1718">
        <v>5.0000000000000001E-3</v>
      </c>
      <c r="M1718" t="s">
        <v>28</v>
      </c>
      <c r="N1718" t="s">
        <v>29</v>
      </c>
      <c r="P1718" t="s">
        <v>30</v>
      </c>
      <c r="Q1718" t="s">
        <v>31</v>
      </c>
      <c r="R1718">
        <v>82630</v>
      </c>
      <c r="S1718" t="s">
        <v>32</v>
      </c>
      <c r="T1718">
        <v>82611</v>
      </c>
      <c r="U1718" t="s">
        <v>43</v>
      </c>
      <c r="V1718" t="s">
        <v>43</v>
      </c>
      <c r="W1718" t="s">
        <v>170</v>
      </c>
      <c r="X1718" t="s">
        <v>171</v>
      </c>
      <c r="Y1718" s="9">
        <f t="shared" si="79"/>
        <v>5.0000000000000001E-3</v>
      </c>
      <c r="Z1718" t="str">
        <f t="shared" si="80"/>
        <v>สแกนต่าง Cost</v>
      </c>
    </row>
    <row r="1719" spans="1:26" x14ac:dyDescent="0.45">
      <c r="A1719">
        <v>26573</v>
      </c>
      <c r="B1719" t="s">
        <v>53</v>
      </c>
      <c r="C1719">
        <v>20344551</v>
      </c>
      <c r="D1719" t="s">
        <v>110</v>
      </c>
      <c r="E1719" s="10">
        <v>46123.333333333336</v>
      </c>
      <c r="F1719" s="10">
        <v>46123.729166666664</v>
      </c>
      <c r="G1719">
        <v>8.5</v>
      </c>
      <c r="H1719" s="9">
        <f t="shared" si="78"/>
        <v>4.4999999999999998E-2</v>
      </c>
      <c r="J1719">
        <v>4.4999999999999998E-2</v>
      </c>
      <c r="M1719" t="s">
        <v>77</v>
      </c>
      <c r="N1719" t="s">
        <v>40</v>
      </c>
      <c r="O1719" t="s">
        <v>78</v>
      </c>
      <c r="P1719" t="s">
        <v>30</v>
      </c>
      <c r="Q1719" t="s">
        <v>31</v>
      </c>
      <c r="R1719">
        <v>82655</v>
      </c>
      <c r="S1719" t="s">
        <v>59</v>
      </c>
      <c r="T1719">
        <v>82664</v>
      </c>
      <c r="U1719" t="s">
        <v>75</v>
      </c>
      <c r="V1719" t="s">
        <v>75</v>
      </c>
      <c r="W1719" t="s">
        <v>37</v>
      </c>
      <c r="X1719" t="s">
        <v>111</v>
      </c>
      <c r="Y1719" s="9">
        <f t="shared" si="79"/>
        <v>4.4999999999999998E-2</v>
      </c>
      <c r="Z1719" t="str">
        <f t="shared" si="80"/>
        <v>สแกนต่าง Cost</v>
      </c>
    </row>
    <row r="1720" spans="1:26" x14ac:dyDescent="0.45">
      <c r="A1720">
        <v>26574</v>
      </c>
      <c r="B1720" t="s">
        <v>53</v>
      </c>
      <c r="C1720">
        <v>20344552</v>
      </c>
      <c r="D1720" t="s">
        <v>112</v>
      </c>
      <c r="E1720" s="10">
        <v>46123.333333333336</v>
      </c>
      <c r="F1720" s="10">
        <v>46123.729166666664</v>
      </c>
      <c r="G1720">
        <v>8.5</v>
      </c>
      <c r="H1720" s="9">
        <f t="shared" si="78"/>
        <v>4.4999999999999998E-2</v>
      </c>
      <c r="J1720">
        <v>4.4999999999999998E-2</v>
      </c>
      <c r="M1720" t="s">
        <v>77</v>
      </c>
      <c r="N1720" t="s">
        <v>40</v>
      </c>
      <c r="O1720" t="s">
        <v>78</v>
      </c>
      <c r="P1720" t="s">
        <v>30</v>
      </c>
      <c r="Q1720" t="s">
        <v>31</v>
      </c>
      <c r="R1720">
        <v>82655</v>
      </c>
      <c r="S1720" t="s">
        <v>59</v>
      </c>
      <c r="T1720">
        <v>82664</v>
      </c>
      <c r="U1720" t="s">
        <v>75</v>
      </c>
      <c r="V1720" t="s">
        <v>75</v>
      </c>
      <c r="W1720" t="s">
        <v>37</v>
      </c>
      <c r="X1720" t="s">
        <v>111</v>
      </c>
      <c r="Y1720" s="9">
        <f t="shared" si="79"/>
        <v>4.4999999999999998E-2</v>
      </c>
      <c r="Z1720" t="str">
        <f t="shared" si="80"/>
        <v>สแกนต่าง Cost</v>
      </c>
    </row>
    <row r="1721" spans="1:26" x14ac:dyDescent="0.45">
      <c r="B1721" t="s">
        <v>53</v>
      </c>
      <c r="C1721">
        <v>20352276</v>
      </c>
      <c r="D1721" t="s">
        <v>187</v>
      </c>
      <c r="E1721" s="10">
        <v>46123.333333333336</v>
      </c>
      <c r="F1721" s="10">
        <v>46123.729166666664</v>
      </c>
      <c r="G1721">
        <v>8.5</v>
      </c>
      <c r="H1721" s="9">
        <f t="shared" si="78"/>
        <v>4.4999999999999998E-2</v>
      </c>
      <c r="J1721">
        <v>4.4999999999999998E-2</v>
      </c>
      <c r="M1721" t="s">
        <v>77</v>
      </c>
      <c r="N1721" t="s">
        <v>40</v>
      </c>
      <c r="O1721" t="s">
        <v>78</v>
      </c>
      <c r="P1721" t="s">
        <v>30</v>
      </c>
      <c r="Q1721" t="s">
        <v>31</v>
      </c>
      <c r="R1721">
        <v>82630</v>
      </c>
      <c r="S1721" t="s">
        <v>32</v>
      </c>
      <c r="T1721">
        <v>82611</v>
      </c>
      <c r="U1721" t="s">
        <v>43</v>
      </c>
      <c r="V1721" t="s">
        <v>43</v>
      </c>
      <c r="W1721" t="s">
        <v>170</v>
      </c>
      <c r="X1721" t="s">
        <v>171</v>
      </c>
      <c r="Y1721" s="9">
        <f t="shared" si="79"/>
        <v>4.4999999999999998E-2</v>
      </c>
      <c r="Z1721" t="str">
        <f t="shared" si="80"/>
        <v>สแกนต่าง Cost</v>
      </c>
    </row>
    <row r="1722" spans="1:26" x14ac:dyDescent="0.45">
      <c r="B1722" t="s">
        <v>26</v>
      </c>
      <c r="C1722">
        <v>20373210</v>
      </c>
      <c r="D1722" t="s">
        <v>206</v>
      </c>
      <c r="E1722" s="10">
        <v>46123.333333333336</v>
      </c>
      <c r="F1722" s="10">
        <v>46123.729166666664</v>
      </c>
      <c r="G1722">
        <v>8.5</v>
      </c>
      <c r="H1722" s="9">
        <f t="shared" si="78"/>
        <v>4.4999999999999998E-2</v>
      </c>
      <c r="I1722">
        <v>4.4999999999999998E-2</v>
      </c>
      <c r="M1722" t="s">
        <v>65</v>
      </c>
      <c r="N1722" t="s">
        <v>29</v>
      </c>
      <c r="P1722" t="s">
        <v>30</v>
      </c>
      <c r="Q1722" t="s">
        <v>31</v>
      </c>
      <c r="R1722">
        <v>82910</v>
      </c>
      <c r="S1722" t="s">
        <v>201</v>
      </c>
      <c r="T1722">
        <v>82605</v>
      </c>
      <c r="U1722" t="s">
        <v>202</v>
      </c>
      <c r="V1722" t="s">
        <v>202</v>
      </c>
      <c r="W1722" t="s">
        <v>37</v>
      </c>
      <c r="X1722" t="s">
        <v>47</v>
      </c>
      <c r="Y1722" s="9">
        <f t="shared" si="79"/>
        <v>0</v>
      </c>
      <c r="Z1722" t="str">
        <f t="shared" si="80"/>
        <v>สแกนต่าง Cost</v>
      </c>
    </row>
    <row r="1723" spans="1:26" x14ac:dyDescent="0.45">
      <c r="A1723">
        <v>26339</v>
      </c>
      <c r="B1723" t="s">
        <v>53</v>
      </c>
      <c r="C1723">
        <v>20396242</v>
      </c>
      <c r="D1723" t="s">
        <v>328</v>
      </c>
      <c r="E1723" s="10">
        <v>46123.333333333336</v>
      </c>
      <c r="F1723" s="10">
        <v>46123.729166666664</v>
      </c>
      <c r="G1723">
        <v>8.5</v>
      </c>
      <c r="H1723" s="9">
        <f t="shared" si="78"/>
        <v>4.4999999999999998E-2</v>
      </c>
      <c r="J1723">
        <v>4.4999999999999998E-2</v>
      </c>
      <c r="M1723" t="s">
        <v>77</v>
      </c>
      <c r="N1723" t="s">
        <v>40</v>
      </c>
      <c r="O1723" t="s">
        <v>78</v>
      </c>
      <c r="P1723" t="s">
        <v>30</v>
      </c>
      <c r="Q1723" t="s">
        <v>31</v>
      </c>
      <c r="R1723">
        <v>82306</v>
      </c>
      <c r="S1723" t="s">
        <v>55</v>
      </c>
      <c r="T1723">
        <v>82920</v>
      </c>
      <c r="U1723" t="s">
        <v>158</v>
      </c>
      <c r="V1723" t="s">
        <v>158</v>
      </c>
      <c r="W1723" t="s">
        <v>159</v>
      </c>
      <c r="X1723" t="s">
        <v>160</v>
      </c>
      <c r="Y1723" s="9">
        <f t="shared" si="79"/>
        <v>4.4999999999999998E-2</v>
      </c>
      <c r="Z1723" t="str">
        <f t="shared" si="80"/>
        <v>สแกนต่าง Cost</v>
      </c>
    </row>
    <row r="1724" spans="1:26" x14ac:dyDescent="0.45">
      <c r="A1724">
        <v>26338</v>
      </c>
      <c r="B1724" t="s">
        <v>53</v>
      </c>
      <c r="C1724">
        <v>20198584</v>
      </c>
      <c r="D1724" t="s">
        <v>353</v>
      </c>
      <c r="E1724" s="10">
        <v>46123.32916666667</v>
      </c>
      <c r="F1724" s="10">
        <v>46123.729166666664</v>
      </c>
      <c r="G1724">
        <v>8.6</v>
      </c>
      <c r="H1724" s="9">
        <f t="shared" si="78"/>
        <v>4.5999999999999999E-2</v>
      </c>
      <c r="J1724">
        <v>4.5999999999999999E-2</v>
      </c>
      <c r="M1724" t="s">
        <v>77</v>
      </c>
      <c r="N1724" t="s">
        <v>40</v>
      </c>
      <c r="O1724" t="s">
        <v>78</v>
      </c>
      <c r="P1724" t="s">
        <v>30</v>
      </c>
      <c r="Q1724" t="s">
        <v>31</v>
      </c>
      <c r="R1724">
        <v>82306</v>
      </c>
      <c r="S1724" t="s">
        <v>55</v>
      </c>
      <c r="T1724">
        <v>82920</v>
      </c>
      <c r="U1724" t="s">
        <v>158</v>
      </c>
      <c r="V1724" t="s">
        <v>158</v>
      </c>
      <c r="W1724" t="s">
        <v>159</v>
      </c>
      <c r="X1724" t="s">
        <v>160</v>
      </c>
      <c r="Y1724" s="9">
        <f t="shared" si="79"/>
        <v>4.5999999999999999E-2</v>
      </c>
      <c r="Z1724" t="str">
        <f t="shared" si="80"/>
        <v>สแกนต่าง Cost</v>
      </c>
    </row>
    <row r="1725" spans="1:26" x14ac:dyDescent="0.45">
      <c r="A1725">
        <v>26570</v>
      </c>
      <c r="B1725" t="s">
        <v>53</v>
      </c>
      <c r="C1725">
        <v>20267288</v>
      </c>
      <c r="D1725" t="s">
        <v>127</v>
      </c>
      <c r="E1725" s="10">
        <v>46123.322916666664</v>
      </c>
      <c r="F1725" s="10">
        <v>46123.832638888889</v>
      </c>
      <c r="G1725">
        <v>12.233333333333333</v>
      </c>
      <c r="H1725" s="9">
        <f t="shared" si="78"/>
        <v>6.5000000000000002E-2</v>
      </c>
      <c r="I1725">
        <v>4.4999999999999998E-2</v>
      </c>
      <c r="K1725">
        <v>0.02</v>
      </c>
      <c r="M1725" t="s">
        <v>28</v>
      </c>
      <c r="N1725" t="s">
        <v>40</v>
      </c>
      <c r="O1725" t="s">
        <v>41</v>
      </c>
      <c r="P1725" t="s">
        <v>30</v>
      </c>
      <c r="Q1725" t="s">
        <v>31</v>
      </c>
      <c r="R1725">
        <v>82409</v>
      </c>
      <c r="S1725" t="s">
        <v>74</v>
      </c>
      <c r="T1725">
        <v>82664</v>
      </c>
      <c r="U1725" t="s">
        <v>75</v>
      </c>
      <c r="V1725" t="s">
        <v>75</v>
      </c>
      <c r="W1725" t="s">
        <v>74</v>
      </c>
      <c r="X1725" t="s">
        <v>74</v>
      </c>
      <c r="Y1725" s="9">
        <f t="shared" si="79"/>
        <v>0.02</v>
      </c>
      <c r="Z1725" t="str">
        <f t="shared" si="80"/>
        <v>สแกนต่าง Cost</v>
      </c>
    </row>
    <row r="1726" spans="1:26" x14ac:dyDescent="0.45">
      <c r="B1726" t="s">
        <v>53</v>
      </c>
      <c r="C1726">
        <v>20076321</v>
      </c>
      <c r="D1726" t="s">
        <v>349</v>
      </c>
      <c r="E1726" s="10">
        <v>46123.319444444445</v>
      </c>
      <c r="F1726" s="10">
        <v>46123.729166666664</v>
      </c>
      <c r="G1726">
        <v>8.8333333333333339</v>
      </c>
      <c r="H1726" s="9">
        <f t="shared" si="78"/>
        <v>4.7E-2</v>
      </c>
      <c r="J1726">
        <v>4.7E-2</v>
      </c>
      <c r="M1726" t="s">
        <v>77</v>
      </c>
      <c r="N1726" t="s">
        <v>40</v>
      </c>
      <c r="O1726" t="s">
        <v>78</v>
      </c>
      <c r="P1726" t="s">
        <v>133</v>
      </c>
      <c r="Q1726" t="s">
        <v>31</v>
      </c>
      <c r="R1726">
        <v>82308</v>
      </c>
      <c r="S1726" t="s">
        <v>69</v>
      </c>
      <c r="T1726">
        <v>82658</v>
      </c>
      <c r="U1726" t="s">
        <v>33</v>
      </c>
      <c r="V1726" t="s">
        <v>33</v>
      </c>
      <c r="W1726" t="s">
        <v>205</v>
      </c>
      <c r="X1726" t="s">
        <v>34</v>
      </c>
      <c r="Y1726" s="9">
        <f t="shared" si="79"/>
        <v>4.7E-2</v>
      </c>
      <c r="Z1726" t="str">
        <f t="shared" si="80"/>
        <v>สแกนต่าง Cost</v>
      </c>
    </row>
    <row r="1727" spans="1:26" x14ac:dyDescent="0.45">
      <c r="A1727">
        <v>26569</v>
      </c>
      <c r="B1727" t="s">
        <v>53</v>
      </c>
      <c r="C1727">
        <v>20214280</v>
      </c>
      <c r="D1727" t="s">
        <v>136</v>
      </c>
      <c r="E1727" s="10">
        <v>46123.24722222222</v>
      </c>
      <c r="F1727" s="10">
        <v>46123.645138888889</v>
      </c>
      <c r="G1727">
        <v>8.5500000000000007</v>
      </c>
      <c r="H1727" s="9">
        <f t="shared" si="78"/>
        <v>4.5999999999999999E-2</v>
      </c>
      <c r="I1727">
        <v>4.5999999999999999E-2</v>
      </c>
      <c r="M1727" t="s">
        <v>65</v>
      </c>
      <c r="N1727" t="s">
        <v>29</v>
      </c>
      <c r="P1727" t="s">
        <v>30</v>
      </c>
      <c r="Q1727" t="s">
        <v>31</v>
      </c>
      <c r="R1727">
        <v>82415</v>
      </c>
      <c r="S1727" t="s">
        <v>137</v>
      </c>
      <c r="T1727">
        <v>82664</v>
      </c>
      <c r="U1727" t="s">
        <v>75</v>
      </c>
      <c r="V1727" t="s">
        <v>75</v>
      </c>
      <c r="W1727" t="s">
        <v>74</v>
      </c>
      <c r="X1727" t="s">
        <v>74</v>
      </c>
      <c r="Y1727" s="9">
        <f t="shared" si="79"/>
        <v>0</v>
      </c>
      <c r="Z1727" t="str">
        <f t="shared" si="80"/>
        <v>สแกนต่าง Cost</v>
      </c>
    </row>
    <row r="1728" spans="1:26" x14ac:dyDescent="0.45">
      <c r="B1728" t="s">
        <v>53</v>
      </c>
      <c r="C1728">
        <v>20287913</v>
      </c>
      <c r="D1728" t="s">
        <v>329</v>
      </c>
      <c r="E1728" s="10">
        <v>46123.041666666664</v>
      </c>
      <c r="F1728" s="10">
        <v>46123.229166666664</v>
      </c>
      <c r="G1728">
        <v>4.5</v>
      </c>
      <c r="H1728" s="9">
        <f t="shared" si="78"/>
        <v>2.4E-2</v>
      </c>
      <c r="K1728">
        <v>2.4E-2</v>
      </c>
      <c r="M1728" t="s">
        <v>28</v>
      </c>
      <c r="N1728" t="s">
        <v>29</v>
      </c>
      <c r="P1728" t="s">
        <v>30</v>
      </c>
      <c r="Q1728" t="s">
        <v>31</v>
      </c>
      <c r="R1728">
        <v>82640</v>
      </c>
      <c r="S1728" t="s">
        <v>42</v>
      </c>
      <c r="T1728">
        <v>82630</v>
      </c>
      <c r="U1728" t="s">
        <v>32</v>
      </c>
      <c r="V1728" t="s">
        <v>66</v>
      </c>
      <c r="W1728" t="s">
        <v>44</v>
      </c>
      <c r="X1728" t="s">
        <v>44</v>
      </c>
      <c r="Y1728" s="9">
        <f t="shared" si="79"/>
        <v>2.4E-2</v>
      </c>
      <c r="Z1728" t="str">
        <f t="shared" si="80"/>
        <v>สแกนต่าง Cost</v>
      </c>
    </row>
    <row r="1729" spans="1:26" x14ac:dyDescent="0.45">
      <c r="B1729" t="s">
        <v>53</v>
      </c>
      <c r="C1729">
        <v>20287913</v>
      </c>
      <c r="D1729" t="s">
        <v>329</v>
      </c>
      <c r="E1729" s="10">
        <v>46122.833333333336</v>
      </c>
      <c r="F1729" s="10">
        <v>46123</v>
      </c>
      <c r="G1729">
        <v>4</v>
      </c>
      <c r="H1729" s="9">
        <f t="shared" si="78"/>
        <v>2.1000000000000001E-2</v>
      </c>
      <c r="I1729">
        <v>2.1000000000000001E-2</v>
      </c>
      <c r="M1729" t="s">
        <v>65</v>
      </c>
      <c r="N1729" t="s">
        <v>29</v>
      </c>
      <c r="P1729" t="s">
        <v>30</v>
      </c>
      <c r="Q1729" t="s">
        <v>31</v>
      </c>
      <c r="R1729">
        <v>82640</v>
      </c>
      <c r="S1729" t="s">
        <v>42</v>
      </c>
      <c r="T1729">
        <v>82630</v>
      </c>
      <c r="U1729" t="s">
        <v>32</v>
      </c>
      <c r="V1729" t="s">
        <v>66</v>
      </c>
      <c r="W1729" t="s">
        <v>44</v>
      </c>
      <c r="X1729" t="s">
        <v>44</v>
      </c>
      <c r="Y1729" s="9">
        <f t="shared" si="79"/>
        <v>0</v>
      </c>
      <c r="Z1729" t="str">
        <f t="shared" si="80"/>
        <v>สแกนต่าง Cost</v>
      </c>
    </row>
    <row r="1730" spans="1:26" x14ac:dyDescent="0.45">
      <c r="B1730" t="s">
        <v>26</v>
      </c>
      <c r="C1730">
        <v>20047023</v>
      </c>
      <c r="D1730" t="s">
        <v>271</v>
      </c>
      <c r="E1730" s="10">
        <v>46122.82708333333</v>
      </c>
      <c r="F1730" s="10">
        <v>46123.329861111109</v>
      </c>
      <c r="G1730">
        <v>12.066666666666666</v>
      </c>
      <c r="H1730" s="9">
        <f t="shared" si="78"/>
        <v>6.4000000000000001E-2</v>
      </c>
      <c r="I1730">
        <v>6.4000000000000001E-2</v>
      </c>
      <c r="M1730" t="s">
        <v>28</v>
      </c>
      <c r="N1730" t="s">
        <v>40</v>
      </c>
      <c r="O1730" t="s">
        <v>41</v>
      </c>
      <c r="P1730" t="s">
        <v>30</v>
      </c>
      <c r="Q1730" t="s">
        <v>31</v>
      </c>
      <c r="R1730">
        <v>82607</v>
      </c>
      <c r="S1730" t="s">
        <v>168</v>
      </c>
      <c r="T1730">
        <v>82611</v>
      </c>
      <c r="U1730" t="s">
        <v>43</v>
      </c>
      <c r="V1730" t="s">
        <v>43</v>
      </c>
      <c r="W1730" t="s">
        <v>148</v>
      </c>
      <c r="X1730" t="s">
        <v>171</v>
      </c>
      <c r="Y1730" s="9">
        <f t="shared" si="79"/>
        <v>0</v>
      </c>
      <c r="Z1730" t="str">
        <f t="shared" si="80"/>
        <v>สแกนต่าง Cost</v>
      </c>
    </row>
    <row r="1731" spans="1:26" x14ac:dyDescent="0.45">
      <c r="B1731" t="s">
        <v>26</v>
      </c>
      <c r="C1731">
        <v>20250204</v>
      </c>
      <c r="D1731" t="s">
        <v>145</v>
      </c>
      <c r="E1731" s="10">
        <v>46122.747916666667</v>
      </c>
      <c r="F1731" s="10">
        <v>46122.824999999997</v>
      </c>
      <c r="G1731">
        <v>1.85</v>
      </c>
      <c r="H1731" s="9">
        <f t="shared" ref="H1731:H1794" si="81">SUM(I1731:L1731)</f>
        <v>0.01</v>
      </c>
      <c r="K1731">
        <v>0.01</v>
      </c>
      <c r="M1731" t="s">
        <v>28</v>
      </c>
      <c r="N1731" t="s">
        <v>40</v>
      </c>
      <c r="O1731" t="s">
        <v>41</v>
      </c>
      <c r="P1731" t="s">
        <v>30</v>
      </c>
      <c r="Q1731" t="s">
        <v>31</v>
      </c>
      <c r="R1731">
        <v>82652</v>
      </c>
      <c r="S1731" t="s">
        <v>46</v>
      </c>
      <c r="T1731">
        <v>82658</v>
      </c>
      <c r="U1731" t="s">
        <v>33</v>
      </c>
      <c r="V1731" t="s">
        <v>33</v>
      </c>
      <c r="W1731" t="s">
        <v>37</v>
      </c>
      <c r="X1731" t="s">
        <v>331</v>
      </c>
      <c r="Y1731" s="9">
        <f t="shared" ref="Y1731:Y1794" si="82">SUM(J1731:L1731)</f>
        <v>0.01</v>
      </c>
      <c r="Z1731" t="str">
        <f t="shared" ref="Z1731:Z1794" si="83">IF(R1731=T1731,"สแกน Cost ตัวเอง","สแกนต่าง Cost")</f>
        <v>สแกนต่าง Cost</v>
      </c>
    </row>
    <row r="1732" spans="1:26" x14ac:dyDescent="0.45">
      <c r="B1732" t="s">
        <v>26</v>
      </c>
      <c r="C1732">
        <v>20028097</v>
      </c>
      <c r="D1732" t="s">
        <v>139</v>
      </c>
      <c r="E1732" s="10">
        <v>46122.744444444441</v>
      </c>
      <c r="F1732" s="10">
        <v>46122.826388888891</v>
      </c>
      <c r="G1732">
        <v>1.9666666666666666</v>
      </c>
      <c r="H1732" s="9">
        <f t="shared" si="81"/>
        <v>1.0999999999999999E-2</v>
      </c>
      <c r="K1732">
        <v>1.0999999999999999E-2</v>
      </c>
      <c r="M1732" t="s">
        <v>28</v>
      </c>
      <c r="N1732" t="s">
        <v>40</v>
      </c>
      <c r="O1732" t="s">
        <v>41</v>
      </c>
      <c r="P1732" t="s">
        <v>30</v>
      </c>
      <c r="Q1732" t="s">
        <v>31</v>
      </c>
      <c r="R1732">
        <v>82652</v>
      </c>
      <c r="S1732" t="s">
        <v>46</v>
      </c>
      <c r="T1732">
        <v>82658</v>
      </c>
      <c r="U1732" t="s">
        <v>33</v>
      </c>
      <c r="V1732" t="s">
        <v>33</v>
      </c>
      <c r="W1732" t="s">
        <v>37</v>
      </c>
      <c r="X1732" t="s">
        <v>331</v>
      </c>
      <c r="Y1732" s="9">
        <f t="shared" si="82"/>
        <v>1.0999999999999999E-2</v>
      </c>
      <c r="Z1732" t="str">
        <f t="shared" si="83"/>
        <v>สแกนต่าง Cost</v>
      </c>
    </row>
    <row r="1733" spans="1:26" x14ac:dyDescent="0.45">
      <c r="B1733" t="s">
        <v>26</v>
      </c>
      <c r="C1733">
        <v>20031838</v>
      </c>
      <c r="D1733" t="s">
        <v>143</v>
      </c>
      <c r="E1733" s="10">
        <v>46122.744444444441</v>
      </c>
      <c r="F1733" s="10">
        <v>46122.913888888892</v>
      </c>
      <c r="G1733">
        <v>4.0666666666666664</v>
      </c>
      <c r="H1733" s="9">
        <f t="shared" si="81"/>
        <v>2.1999999999999999E-2</v>
      </c>
      <c r="K1733">
        <v>2.1999999999999999E-2</v>
      </c>
      <c r="M1733" t="s">
        <v>28</v>
      </c>
      <c r="N1733" t="s">
        <v>40</v>
      </c>
      <c r="O1733" t="s">
        <v>140</v>
      </c>
      <c r="P1733" t="s">
        <v>30</v>
      </c>
      <c r="Q1733" t="s">
        <v>31</v>
      </c>
      <c r="R1733">
        <v>82652</v>
      </c>
      <c r="S1733" t="s">
        <v>46</v>
      </c>
      <c r="T1733">
        <v>82658</v>
      </c>
      <c r="U1733" t="s">
        <v>33</v>
      </c>
      <c r="V1733" t="s">
        <v>33</v>
      </c>
      <c r="W1733" t="s">
        <v>37</v>
      </c>
      <c r="X1733" t="s">
        <v>331</v>
      </c>
      <c r="Y1733" s="9">
        <f t="shared" si="82"/>
        <v>2.1999999999999999E-2</v>
      </c>
      <c r="Z1733" t="str">
        <f t="shared" si="83"/>
        <v>สแกนต่าง Cost</v>
      </c>
    </row>
    <row r="1734" spans="1:26" x14ac:dyDescent="0.45">
      <c r="B1734" t="s">
        <v>26</v>
      </c>
      <c r="C1734">
        <v>20198811</v>
      </c>
      <c r="D1734" t="s">
        <v>144</v>
      </c>
      <c r="E1734" s="10">
        <v>46122.744444444441</v>
      </c>
      <c r="F1734" s="10">
        <v>46122.913888888892</v>
      </c>
      <c r="G1734">
        <v>4.0666666666666664</v>
      </c>
      <c r="H1734" s="9">
        <f t="shared" si="81"/>
        <v>2.1999999999999999E-2</v>
      </c>
      <c r="K1734">
        <v>2.1999999999999999E-2</v>
      </c>
      <c r="M1734" t="s">
        <v>28</v>
      </c>
      <c r="N1734" t="s">
        <v>40</v>
      </c>
      <c r="O1734" t="s">
        <v>140</v>
      </c>
      <c r="P1734" t="s">
        <v>30</v>
      </c>
      <c r="Q1734" t="s">
        <v>31</v>
      </c>
      <c r="R1734">
        <v>82652</v>
      </c>
      <c r="S1734" t="s">
        <v>46</v>
      </c>
      <c r="T1734">
        <v>82658</v>
      </c>
      <c r="U1734" t="s">
        <v>33</v>
      </c>
      <c r="V1734" t="s">
        <v>33</v>
      </c>
      <c r="W1734" t="s">
        <v>37</v>
      </c>
      <c r="X1734" t="s">
        <v>331</v>
      </c>
      <c r="Y1734" s="9">
        <f t="shared" si="82"/>
        <v>2.1999999999999999E-2</v>
      </c>
      <c r="Z1734" t="str">
        <f t="shared" si="83"/>
        <v>สแกนต่าง Cost</v>
      </c>
    </row>
    <row r="1735" spans="1:26" x14ac:dyDescent="0.45">
      <c r="B1735" t="s">
        <v>26</v>
      </c>
      <c r="C1735">
        <v>20386851</v>
      </c>
      <c r="D1735" t="s">
        <v>48</v>
      </c>
      <c r="E1735" s="10">
        <v>46122.744444444441</v>
      </c>
      <c r="F1735" s="10">
        <v>46122.82708333333</v>
      </c>
      <c r="G1735">
        <v>1.9833333333333334</v>
      </c>
      <c r="H1735" s="9">
        <f t="shared" si="81"/>
        <v>1.0999999999999999E-2</v>
      </c>
      <c r="K1735">
        <v>1.0999999999999999E-2</v>
      </c>
      <c r="M1735" t="s">
        <v>28</v>
      </c>
      <c r="N1735" t="s">
        <v>40</v>
      </c>
      <c r="O1735" t="s">
        <v>41</v>
      </c>
      <c r="P1735" t="s">
        <v>30</v>
      </c>
      <c r="Q1735" t="s">
        <v>31</v>
      </c>
      <c r="R1735">
        <v>82652</v>
      </c>
      <c r="S1735" t="s">
        <v>46</v>
      </c>
      <c r="T1735">
        <v>82658</v>
      </c>
      <c r="U1735" t="s">
        <v>33</v>
      </c>
      <c r="V1735" t="s">
        <v>33</v>
      </c>
      <c r="W1735" t="s">
        <v>37</v>
      </c>
      <c r="X1735" t="s">
        <v>331</v>
      </c>
      <c r="Y1735" s="9">
        <f t="shared" si="82"/>
        <v>1.0999999999999999E-2</v>
      </c>
      <c r="Z1735" t="str">
        <f t="shared" si="83"/>
        <v>สแกนต่าง Cost</v>
      </c>
    </row>
    <row r="1736" spans="1:26" x14ac:dyDescent="0.45">
      <c r="A1736">
        <v>26568</v>
      </c>
      <c r="B1736" t="s">
        <v>53</v>
      </c>
      <c r="C1736">
        <v>20014916</v>
      </c>
      <c r="D1736" t="s">
        <v>167</v>
      </c>
      <c r="E1736" s="10">
        <v>46122.729166666664</v>
      </c>
      <c r="F1736" s="10">
        <v>46122.833333333336</v>
      </c>
      <c r="G1736">
        <v>2.5</v>
      </c>
      <c r="H1736" s="9">
        <f t="shared" si="81"/>
        <v>1.2999999999999999E-2</v>
      </c>
      <c r="I1736">
        <v>1.2999999999999999E-2</v>
      </c>
      <c r="M1736" t="s">
        <v>28</v>
      </c>
      <c r="N1736" t="s">
        <v>40</v>
      </c>
      <c r="O1736" t="s">
        <v>41</v>
      </c>
      <c r="P1736" t="s">
        <v>133</v>
      </c>
      <c r="Q1736" t="s">
        <v>31</v>
      </c>
      <c r="R1736">
        <v>82607</v>
      </c>
      <c r="S1736" t="s">
        <v>168</v>
      </c>
      <c r="T1736">
        <v>82640</v>
      </c>
      <c r="U1736" t="s">
        <v>42</v>
      </c>
      <c r="V1736" t="s">
        <v>70</v>
      </c>
      <c r="W1736" t="s">
        <v>47</v>
      </c>
      <c r="X1736" t="s">
        <v>95</v>
      </c>
      <c r="Y1736" s="9">
        <f t="shared" si="82"/>
        <v>0</v>
      </c>
      <c r="Z1736" t="str">
        <f t="shared" si="83"/>
        <v>สแกนต่าง Cost</v>
      </c>
    </row>
    <row r="1737" spans="1:26" x14ac:dyDescent="0.45">
      <c r="A1737">
        <v>26507</v>
      </c>
      <c r="B1737" t="s">
        <v>53</v>
      </c>
      <c r="C1737">
        <v>20186595</v>
      </c>
      <c r="D1737" t="s">
        <v>226</v>
      </c>
      <c r="E1737" s="10">
        <v>46122.725694444445</v>
      </c>
      <c r="F1737" s="10">
        <v>46122.827777777777</v>
      </c>
      <c r="G1737">
        <v>2.4500000000000002</v>
      </c>
      <c r="H1737" s="9">
        <f t="shared" si="81"/>
        <v>1.2999999999999999E-2</v>
      </c>
      <c r="K1737">
        <v>1.2999999999999999E-2</v>
      </c>
      <c r="M1737" t="s">
        <v>28</v>
      </c>
      <c r="N1737" t="s">
        <v>40</v>
      </c>
      <c r="O1737" t="s">
        <v>41</v>
      </c>
      <c r="P1737" t="s">
        <v>30</v>
      </c>
      <c r="Q1737" t="s">
        <v>31</v>
      </c>
      <c r="R1737">
        <v>82611</v>
      </c>
      <c r="S1737" t="s">
        <v>43</v>
      </c>
      <c r="T1737">
        <v>82640</v>
      </c>
      <c r="U1737" t="s">
        <v>42</v>
      </c>
      <c r="V1737" t="s">
        <v>70</v>
      </c>
      <c r="W1737" t="s">
        <v>71</v>
      </c>
      <c r="X1737" t="s">
        <v>72</v>
      </c>
      <c r="Y1737" s="9">
        <f t="shared" si="82"/>
        <v>1.2999999999999999E-2</v>
      </c>
      <c r="Z1737" t="str">
        <f t="shared" si="83"/>
        <v>สแกนต่าง Cost</v>
      </c>
    </row>
    <row r="1738" spans="1:26" x14ac:dyDescent="0.45">
      <c r="B1738" t="s">
        <v>53</v>
      </c>
      <c r="C1738">
        <v>20019647</v>
      </c>
      <c r="D1738" t="s">
        <v>152</v>
      </c>
      <c r="E1738" s="10">
        <v>46122.722916666666</v>
      </c>
      <c r="F1738" s="10">
        <v>46122.826388888891</v>
      </c>
      <c r="G1738">
        <v>2.4833333333333334</v>
      </c>
      <c r="H1738" s="9">
        <f t="shared" si="81"/>
        <v>1.2999999999999999E-2</v>
      </c>
      <c r="K1738">
        <v>1.2999999999999999E-2</v>
      </c>
      <c r="M1738" t="s">
        <v>28</v>
      </c>
      <c r="N1738" t="s">
        <v>40</v>
      </c>
      <c r="O1738" t="s">
        <v>41</v>
      </c>
      <c r="P1738" t="s">
        <v>30</v>
      </c>
      <c r="Q1738" t="s">
        <v>31</v>
      </c>
      <c r="R1738">
        <v>82630</v>
      </c>
      <c r="S1738" t="s">
        <v>32</v>
      </c>
      <c r="T1738">
        <v>82611</v>
      </c>
      <c r="U1738" t="s">
        <v>43</v>
      </c>
      <c r="V1738" t="s">
        <v>43</v>
      </c>
      <c r="W1738" t="s">
        <v>148</v>
      </c>
      <c r="X1738" t="s">
        <v>171</v>
      </c>
      <c r="Y1738" s="9">
        <f t="shared" si="82"/>
        <v>1.2999999999999999E-2</v>
      </c>
      <c r="Z1738" t="str">
        <f t="shared" si="83"/>
        <v>สแกนต่าง Cost</v>
      </c>
    </row>
    <row r="1739" spans="1:26" x14ac:dyDescent="0.45">
      <c r="B1739" t="s">
        <v>53</v>
      </c>
      <c r="C1739">
        <v>20023373</v>
      </c>
      <c r="D1739" t="s">
        <v>97</v>
      </c>
      <c r="E1739" s="10">
        <v>46122.722916666666</v>
      </c>
      <c r="F1739" s="10">
        <v>46122.82708333333</v>
      </c>
      <c r="G1739">
        <v>2.5</v>
      </c>
      <c r="H1739" s="9">
        <f t="shared" si="81"/>
        <v>1.2999999999999999E-2</v>
      </c>
      <c r="K1739">
        <v>1.2999999999999999E-2</v>
      </c>
      <c r="M1739" t="s">
        <v>28</v>
      </c>
      <c r="N1739" t="s">
        <v>40</v>
      </c>
      <c r="O1739" t="s">
        <v>41</v>
      </c>
      <c r="P1739" t="s">
        <v>30</v>
      </c>
      <c r="Q1739" t="s">
        <v>31</v>
      </c>
      <c r="R1739">
        <v>82630</v>
      </c>
      <c r="S1739" t="s">
        <v>32</v>
      </c>
      <c r="T1739">
        <v>82611</v>
      </c>
      <c r="U1739" t="s">
        <v>43</v>
      </c>
      <c r="V1739" t="s">
        <v>43</v>
      </c>
      <c r="W1739" t="s">
        <v>148</v>
      </c>
      <c r="X1739" t="s">
        <v>171</v>
      </c>
      <c r="Y1739" s="9">
        <f t="shared" si="82"/>
        <v>1.2999999999999999E-2</v>
      </c>
      <c r="Z1739" t="str">
        <f t="shared" si="83"/>
        <v>สแกนต่าง Cost</v>
      </c>
    </row>
    <row r="1740" spans="1:26" x14ac:dyDescent="0.45">
      <c r="B1740" t="s">
        <v>26</v>
      </c>
      <c r="C1740">
        <v>20027956</v>
      </c>
      <c r="D1740" t="s">
        <v>214</v>
      </c>
      <c r="E1740" s="10">
        <v>46122.722916666666</v>
      </c>
      <c r="F1740" s="10">
        <v>46122.82708333333</v>
      </c>
      <c r="G1740">
        <v>2.5</v>
      </c>
      <c r="H1740" s="9">
        <f t="shared" si="81"/>
        <v>1.2999999999999999E-2</v>
      </c>
      <c r="K1740">
        <v>1.2999999999999999E-2</v>
      </c>
      <c r="M1740" t="s">
        <v>28</v>
      </c>
      <c r="N1740" t="s">
        <v>40</v>
      </c>
      <c r="O1740" t="s">
        <v>41</v>
      </c>
      <c r="P1740" t="s">
        <v>30</v>
      </c>
      <c r="Q1740" t="s">
        <v>31</v>
      </c>
      <c r="R1740">
        <v>82640</v>
      </c>
      <c r="S1740" t="s">
        <v>42</v>
      </c>
      <c r="T1740">
        <v>82611</v>
      </c>
      <c r="U1740" t="s">
        <v>43</v>
      </c>
      <c r="V1740" t="s">
        <v>43</v>
      </c>
      <c r="W1740" t="s">
        <v>44</v>
      </c>
      <c r="X1740" t="s">
        <v>44</v>
      </c>
      <c r="Y1740" s="9">
        <f t="shared" si="82"/>
        <v>1.2999999999999999E-2</v>
      </c>
      <c r="Z1740" t="str">
        <f t="shared" si="83"/>
        <v>สแกนต่าง Cost</v>
      </c>
    </row>
    <row r="1741" spans="1:26" x14ac:dyDescent="0.45">
      <c r="B1741" t="s">
        <v>53</v>
      </c>
      <c r="C1741">
        <v>20041130</v>
      </c>
      <c r="D1741" t="s">
        <v>100</v>
      </c>
      <c r="E1741" s="10">
        <v>46122.722916666666</v>
      </c>
      <c r="F1741" s="10">
        <v>46122.82708333333</v>
      </c>
      <c r="G1741">
        <v>2.5</v>
      </c>
      <c r="H1741" s="9">
        <f t="shared" si="81"/>
        <v>1.2999999999999999E-2</v>
      </c>
      <c r="K1741">
        <v>1.2999999999999999E-2</v>
      </c>
      <c r="M1741" t="s">
        <v>28</v>
      </c>
      <c r="N1741" t="s">
        <v>40</v>
      </c>
      <c r="O1741" t="s">
        <v>41</v>
      </c>
      <c r="P1741" t="s">
        <v>30</v>
      </c>
      <c r="Q1741" t="s">
        <v>31</v>
      </c>
      <c r="R1741">
        <v>82630</v>
      </c>
      <c r="S1741" t="s">
        <v>32</v>
      </c>
      <c r="T1741">
        <v>82611</v>
      </c>
      <c r="U1741" t="s">
        <v>43</v>
      </c>
      <c r="V1741" t="s">
        <v>43</v>
      </c>
      <c r="W1741" t="s">
        <v>148</v>
      </c>
      <c r="X1741" t="s">
        <v>171</v>
      </c>
      <c r="Y1741" s="9">
        <f t="shared" si="82"/>
        <v>1.2999999999999999E-2</v>
      </c>
      <c r="Z1741" t="str">
        <f t="shared" si="83"/>
        <v>สแกนต่าง Cost</v>
      </c>
    </row>
    <row r="1742" spans="1:26" x14ac:dyDescent="0.45">
      <c r="B1742" t="s">
        <v>26</v>
      </c>
      <c r="C1742">
        <v>20167851</v>
      </c>
      <c r="D1742" t="s">
        <v>63</v>
      </c>
      <c r="E1742" s="10">
        <v>46122.722916666666</v>
      </c>
      <c r="F1742" s="10">
        <v>46122.82708333333</v>
      </c>
      <c r="G1742">
        <v>2.5</v>
      </c>
      <c r="H1742" s="9">
        <f t="shared" si="81"/>
        <v>1.2999999999999999E-2</v>
      </c>
      <c r="K1742">
        <v>1.2999999999999999E-2</v>
      </c>
      <c r="M1742" t="s">
        <v>28</v>
      </c>
      <c r="N1742" t="s">
        <v>40</v>
      </c>
      <c r="O1742" t="s">
        <v>41</v>
      </c>
      <c r="P1742" t="s">
        <v>30</v>
      </c>
      <c r="Q1742" t="s">
        <v>31</v>
      </c>
      <c r="R1742">
        <v>82640</v>
      </c>
      <c r="S1742" t="s">
        <v>42</v>
      </c>
      <c r="T1742">
        <v>82611</v>
      </c>
      <c r="U1742" t="s">
        <v>43</v>
      </c>
      <c r="V1742" t="s">
        <v>43</v>
      </c>
      <c r="W1742" t="s">
        <v>44</v>
      </c>
      <c r="X1742" t="s">
        <v>44</v>
      </c>
      <c r="Y1742" s="9">
        <f t="shared" si="82"/>
        <v>1.2999999999999999E-2</v>
      </c>
      <c r="Z1742" t="str">
        <f t="shared" si="83"/>
        <v>สแกนต่าง Cost</v>
      </c>
    </row>
    <row r="1743" spans="1:26" x14ac:dyDescent="0.45">
      <c r="B1743" t="s">
        <v>53</v>
      </c>
      <c r="C1743">
        <v>20310532</v>
      </c>
      <c r="D1743" t="s">
        <v>61</v>
      </c>
      <c r="E1743" s="10">
        <v>46122.722916666666</v>
      </c>
      <c r="F1743" s="10">
        <v>46122.828472222223</v>
      </c>
      <c r="G1743">
        <v>2.5333333333333332</v>
      </c>
      <c r="H1743" s="9">
        <f t="shared" si="81"/>
        <v>1.4E-2</v>
      </c>
      <c r="K1743">
        <v>1.4E-2</v>
      </c>
      <c r="M1743" t="s">
        <v>28</v>
      </c>
      <c r="N1743" t="s">
        <v>40</v>
      </c>
      <c r="O1743" t="s">
        <v>41</v>
      </c>
      <c r="P1743" t="s">
        <v>30</v>
      </c>
      <c r="Q1743" t="s">
        <v>31</v>
      </c>
      <c r="R1743">
        <v>82640</v>
      </c>
      <c r="S1743" t="s">
        <v>42</v>
      </c>
      <c r="T1743">
        <v>82630</v>
      </c>
      <c r="U1743" t="s">
        <v>32</v>
      </c>
      <c r="V1743" t="s">
        <v>155</v>
      </c>
      <c r="W1743" t="s">
        <v>44</v>
      </c>
      <c r="X1743" t="s">
        <v>44</v>
      </c>
      <c r="Y1743" s="9">
        <f t="shared" si="82"/>
        <v>1.4E-2</v>
      </c>
      <c r="Z1743" t="str">
        <f t="shared" si="83"/>
        <v>สแกนต่าง Cost</v>
      </c>
    </row>
    <row r="1744" spans="1:26" x14ac:dyDescent="0.45">
      <c r="B1744" t="s">
        <v>53</v>
      </c>
      <c r="C1744">
        <v>20029099</v>
      </c>
      <c r="D1744" t="s">
        <v>163</v>
      </c>
      <c r="E1744" s="10">
        <v>46122.722222222219</v>
      </c>
      <c r="F1744" s="10">
        <v>46122.826388888891</v>
      </c>
      <c r="G1744">
        <v>2.5</v>
      </c>
      <c r="H1744" s="9">
        <f t="shared" si="81"/>
        <v>1.2999999999999999E-2</v>
      </c>
      <c r="K1744">
        <v>1.2999999999999999E-2</v>
      </c>
      <c r="M1744" t="s">
        <v>28</v>
      </c>
      <c r="N1744" t="s">
        <v>40</v>
      </c>
      <c r="O1744" t="s">
        <v>41</v>
      </c>
      <c r="P1744" t="s">
        <v>30</v>
      </c>
      <c r="Q1744" t="s">
        <v>31</v>
      </c>
      <c r="R1744">
        <v>82630</v>
      </c>
      <c r="S1744" t="s">
        <v>32</v>
      </c>
      <c r="T1744">
        <v>82611</v>
      </c>
      <c r="U1744" t="s">
        <v>43</v>
      </c>
      <c r="V1744" t="s">
        <v>43</v>
      </c>
      <c r="W1744" t="s">
        <v>148</v>
      </c>
      <c r="X1744" t="s">
        <v>171</v>
      </c>
      <c r="Y1744" s="9">
        <f t="shared" si="82"/>
        <v>1.2999999999999999E-2</v>
      </c>
      <c r="Z1744" t="str">
        <f t="shared" si="83"/>
        <v>สแกนต่าง Cost</v>
      </c>
    </row>
    <row r="1745" spans="2:26" x14ac:dyDescent="0.45">
      <c r="B1745" t="s">
        <v>53</v>
      </c>
      <c r="C1745">
        <v>20037938</v>
      </c>
      <c r="D1745" t="s">
        <v>172</v>
      </c>
      <c r="E1745" s="10">
        <v>46122.722222222219</v>
      </c>
      <c r="F1745" s="10">
        <v>46122.826388888891</v>
      </c>
      <c r="G1745">
        <v>2.5</v>
      </c>
      <c r="H1745" s="9">
        <f t="shared" si="81"/>
        <v>1.2999999999999999E-2</v>
      </c>
      <c r="K1745">
        <v>1.2999999999999999E-2</v>
      </c>
      <c r="M1745" t="s">
        <v>28</v>
      </c>
      <c r="N1745" t="s">
        <v>40</v>
      </c>
      <c r="O1745" t="s">
        <v>41</v>
      </c>
      <c r="P1745" t="s">
        <v>30</v>
      </c>
      <c r="Q1745" t="s">
        <v>31</v>
      </c>
      <c r="R1745">
        <v>82630</v>
      </c>
      <c r="S1745" t="s">
        <v>32</v>
      </c>
      <c r="T1745">
        <v>82611</v>
      </c>
      <c r="U1745" t="s">
        <v>43</v>
      </c>
      <c r="V1745" t="s">
        <v>43</v>
      </c>
      <c r="W1745" t="s">
        <v>148</v>
      </c>
      <c r="X1745" t="s">
        <v>171</v>
      </c>
      <c r="Y1745" s="9">
        <f t="shared" si="82"/>
        <v>1.2999999999999999E-2</v>
      </c>
      <c r="Z1745" t="str">
        <f t="shared" si="83"/>
        <v>สแกนต่าง Cost</v>
      </c>
    </row>
    <row r="1746" spans="2:26" x14ac:dyDescent="0.45">
      <c r="B1746" t="s">
        <v>53</v>
      </c>
      <c r="C1746">
        <v>20056406</v>
      </c>
      <c r="D1746" t="s">
        <v>85</v>
      </c>
      <c r="E1746" s="10">
        <v>46122.722222222219</v>
      </c>
      <c r="F1746" s="10">
        <v>46122.826388888891</v>
      </c>
      <c r="G1746">
        <v>2.5</v>
      </c>
      <c r="H1746" s="9">
        <f t="shared" si="81"/>
        <v>1.2999999999999999E-2</v>
      </c>
      <c r="K1746">
        <v>1.2999999999999999E-2</v>
      </c>
      <c r="M1746" t="s">
        <v>28</v>
      </c>
      <c r="N1746" t="s">
        <v>40</v>
      </c>
      <c r="O1746" t="s">
        <v>41</v>
      </c>
      <c r="P1746" t="s">
        <v>30</v>
      </c>
      <c r="Q1746" t="s">
        <v>31</v>
      </c>
      <c r="R1746">
        <v>82630</v>
      </c>
      <c r="S1746" t="s">
        <v>32</v>
      </c>
      <c r="T1746">
        <v>82611</v>
      </c>
      <c r="U1746" t="s">
        <v>43</v>
      </c>
      <c r="V1746" t="s">
        <v>43</v>
      </c>
      <c r="W1746" t="s">
        <v>148</v>
      </c>
      <c r="X1746" t="s">
        <v>171</v>
      </c>
      <c r="Y1746" s="9">
        <f t="shared" si="82"/>
        <v>1.2999999999999999E-2</v>
      </c>
      <c r="Z1746" t="str">
        <f t="shared" si="83"/>
        <v>สแกนต่าง Cost</v>
      </c>
    </row>
    <row r="1747" spans="2:26" x14ac:dyDescent="0.45">
      <c r="B1747" t="s">
        <v>53</v>
      </c>
      <c r="C1747">
        <v>20156338</v>
      </c>
      <c r="D1747" t="s">
        <v>102</v>
      </c>
      <c r="E1747" s="10">
        <v>46122.722222222219</v>
      </c>
      <c r="F1747" s="10">
        <v>46122.826388888891</v>
      </c>
      <c r="G1747">
        <v>2.5</v>
      </c>
      <c r="H1747" s="9">
        <f t="shared" si="81"/>
        <v>1.2999999999999999E-2</v>
      </c>
      <c r="K1747">
        <v>1.2999999999999999E-2</v>
      </c>
      <c r="M1747" t="s">
        <v>28</v>
      </c>
      <c r="N1747" t="s">
        <v>40</v>
      </c>
      <c r="O1747" t="s">
        <v>41</v>
      </c>
      <c r="P1747" t="s">
        <v>30</v>
      </c>
      <c r="Q1747" t="s">
        <v>31</v>
      </c>
      <c r="R1747">
        <v>82630</v>
      </c>
      <c r="S1747" t="s">
        <v>32</v>
      </c>
      <c r="T1747">
        <v>82611</v>
      </c>
      <c r="U1747" t="s">
        <v>43</v>
      </c>
      <c r="V1747" t="s">
        <v>43</v>
      </c>
      <c r="W1747" t="s">
        <v>148</v>
      </c>
      <c r="X1747" t="s">
        <v>171</v>
      </c>
      <c r="Y1747" s="9">
        <f t="shared" si="82"/>
        <v>1.2999999999999999E-2</v>
      </c>
      <c r="Z1747" t="str">
        <f t="shared" si="83"/>
        <v>สแกนต่าง Cost</v>
      </c>
    </row>
    <row r="1748" spans="2:26" x14ac:dyDescent="0.45">
      <c r="B1748" t="s">
        <v>53</v>
      </c>
      <c r="C1748">
        <v>20240959</v>
      </c>
      <c r="D1748" t="s">
        <v>105</v>
      </c>
      <c r="E1748" s="10">
        <v>46122.722222222219</v>
      </c>
      <c r="F1748" s="10">
        <v>46122.826388888891</v>
      </c>
      <c r="G1748">
        <v>2.5</v>
      </c>
      <c r="H1748" s="9">
        <f t="shared" si="81"/>
        <v>1.2999999999999999E-2</v>
      </c>
      <c r="K1748">
        <v>1.2999999999999999E-2</v>
      </c>
      <c r="M1748" t="s">
        <v>28</v>
      </c>
      <c r="N1748" t="s">
        <v>40</v>
      </c>
      <c r="O1748" t="s">
        <v>41</v>
      </c>
      <c r="P1748" t="s">
        <v>30</v>
      </c>
      <c r="Q1748" t="s">
        <v>31</v>
      </c>
      <c r="R1748">
        <v>82630</v>
      </c>
      <c r="S1748" t="s">
        <v>32</v>
      </c>
      <c r="T1748">
        <v>82611</v>
      </c>
      <c r="U1748" t="s">
        <v>43</v>
      </c>
      <c r="V1748" t="s">
        <v>43</v>
      </c>
      <c r="W1748" t="s">
        <v>148</v>
      </c>
      <c r="X1748" t="s">
        <v>171</v>
      </c>
      <c r="Y1748" s="9">
        <f t="shared" si="82"/>
        <v>1.2999999999999999E-2</v>
      </c>
      <c r="Z1748" t="str">
        <f t="shared" si="83"/>
        <v>สแกนต่าง Cost</v>
      </c>
    </row>
    <row r="1749" spans="2:26" x14ac:dyDescent="0.45">
      <c r="B1749" t="s">
        <v>53</v>
      </c>
      <c r="C1749">
        <v>20240961</v>
      </c>
      <c r="D1749" t="s">
        <v>239</v>
      </c>
      <c r="E1749" s="10">
        <v>46122.722222222219</v>
      </c>
      <c r="F1749" s="10">
        <v>46122.826388888891</v>
      </c>
      <c r="G1749">
        <v>2.5</v>
      </c>
      <c r="H1749" s="9">
        <f t="shared" si="81"/>
        <v>1.2999999999999999E-2</v>
      </c>
      <c r="K1749">
        <v>1.2999999999999999E-2</v>
      </c>
      <c r="M1749" t="s">
        <v>28</v>
      </c>
      <c r="N1749" t="s">
        <v>40</v>
      </c>
      <c r="O1749" t="s">
        <v>41</v>
      </c>
      <c r="P1749" t="s">
        <v>30</v>
      </c>
      <c r="Q1749" t="s">
        <v>31</v>
      </c>
      <c r="R1749">
        <v>82630</v>
      </c>
      <c r="S1749" t="s">
        <v>32</v>
      </c>
      <c r="T1749">
        <v>82611</v>
      </c>
      <c r="U1749" t="s">
        <v>43</v>
      </c>
      <c r="V1749" t="s">
        <v>43</v>
      </c>
      <c r="W1749" t="s">
        <v>148</v>
      </c>
      <c r="X1749" t="s">
        <v>171</v>
      </c>
      <c r="Y1749" s="9">
        <f t="shared" si="82"/>
        <v>1.2999999999999999E-2</v>
      </c>
      <c r="Z1749" t="str">
        <f t="shared" si="83"/>
        <v>สแกนต่าง Cost</v>
      </c>
    </row>
    <row r="1750" spans="2:26" x14ac:dyDescent="0.45">
      <c r="B1750" t="s">
        <v>53</v>
      </c>
      <c r="C1750">
        <v>20391064</v>
      </c>
      <c r="D1750" t="s">
        <v>121</v>
      </c>
      <c r="E1750" s="10">
        <v>46122.722222222219</v>
      </c>
      <c r="F1750" s="10">
        <v>46122.826388888891</v>
      </c>
      <c r="G1750">
        <v>2.5</v>
      </c>
      <c r="H1750" s="9">
        <f t="shared" si="81"/>
        <v>1.2999999999999999E-2</v>
      </c>
      <c r="K1750">
        <v>1.2999999999999999E-2</v>
      </c>
      <c r="M1750" t="s">
        <v>28</v>
      </c>
      <c r="N1750" t="s">
        <v>40</v>
      </c>
      <c r="O1750" t="s">
        <v>41</v>
      </c>
      <c r="P1750" t="s">
        <v>30</v>
      </c>
      <c r="Q1750" t="s">
        <v>31</v>
      </c>
      <c r="R1750">
        <v>82630</v>
      </c>
      <c r="S1750" t="s">
        <v>32</v>
      </c>
      <c r="T1750">
        <v>82611</v>
      </c>
      <c r="U1750" t="s">
        <v>43</v>
      </c>
      <c r="V1750" t="s">
        <v>43</v>
      </c>
      <c r="W1750" t="s">
        <v>148</v>
      </c>
      <c r="X1750" t="s">
        <v>171</v>
      </c>
      <c r="Y1750" s="9">
        <f t="shared" si="82"/>
        <v>1.2999999999999999E-2</v>
      </c>
      <c r="Z1750" t="str">
        <f t="shared" si="83"/>
        <v>สแกนต่าง Cost</v>
      </c>
    </row>
    <row r="1751" spans="2:26" x14ac:dyDescent="0.45">
      <c r="B1751" t="s">
        <v>53</v>
      </c>
      <c r="C1751">
        <v>20060579</v>
      </c>
      <c r="D1751" t="s">
        <v>39</v>
      </c>
      <c r="E1751" s="10">
        <v>46122.708333333336</v>
      </c>
      <c r="F1751" s="10">
        <v>46122.729166666664</v>
      </c>
      <c r="G1751">
        <v>0.5</v>
      </c>
      <c r="H1751" s="9">
        <f t="shared" si="81"/>
        <v>3.0000000000000001E-3</v>
      </c>
      <c r="I1751">
        <v>3.0000000000000001E-3</v>
      </c>
      <c r="M1751" t="s">
        <v>65</v>
      </c>
      <c r="N1751" t="s">
        <v>29</v>
      </c>
      <c r="P1751" t="s">
        <v>30</v>
      </c>
      <c r="Q1751" t="s">
        <v>31</v>
      </c>
      <c r="R1751">
        <v>82640</v>
      </c>
      <c r="S1751" t="s">
        <v>42</v>
      </c>
      <c r="T1751">
        <v>82630</v>
      </c>
      <c r="U1751" t="s">
        <v>32</v>
      </c>
      <c r="V1751" t="s">
        <v>66</v>
      </c>
      <c r="W1751" t="s">
        <v>44</v>
      </c>
      <c r="X1751" t="s">
        <v>44</v>
      </c>
      <c r="Y1751" s="9">
        <f t="shared" si="82"/>
        <v>0</v>
      </c>
      <c r="Z1751" t="str">
        <f t="shared" si="83"/>
        <v>สแกนต่าง Cost</v>
      </c>
    </row>
    <row r="1752" spans="2:26" x14ac:dyDescent="0.45">
      <c r="B1752" t="s">
        <v>53</v>
      </c>
      <c r="C1752">
        <v>20310530</v>
      </c>
      <c r="D1752" t="s">
        <v>220</v>
      </c>
      <c r="E1752" s="10">
        <v>46122.6875</v>
      </c>
      <c r="F1752" s="10">
        <v>46122.729166666664</v>
      </c>
      <c r="G1752">
        <v>1</v>
      </c>
      <c r="H1752" s="9">
        <f t="shared" si="81"/>
        <v>5.0000000000000001E-3</v>
      </c>
      <c r="I1752">
        <v>5.0000000000000001E-3</v>
      </c>
      <c r="M1752" t="s">
        <v>65</v>
      </c>
      <c r="N1752" t="s">
        <v>29</v>
      </c>
      <c r="P1752" t="s">
        <v>30</v>
      </c>
      <c r="Q1752" t="s">
        <v>31</v>
      </c>
      <c r="R1752">
        <v>82640</v>
      </c>
      <c r="S1752" t="s">
        <v>42</v>
      </c>
      <c r="T1752">
        <v>82612</v>
      </c>
      <c r="U1752" t="s">
        <v>153</v>
      </c>
      <c r="V1752" t="s">
        <v>66</v>
      </c>
      <c r="W1752" t="s">
        <v>44</v>
      </c>
      <c r="X1752" t="s">
        <v>44</v>
      </c>
      <c r="Y1752" s="9">
        <f t="shared" si="82"/>
        <v>0</v>
      </c>
      <c r="Z1752" t="str">
        <f t="shared" si="83"/>
        <v>สแกนต่าง Cost</v>
      </c>
    </row>
    <row r="1753" spans="2:26" x14ac:dyDescent="0.45">
      <c r="B1753" t="s">
        <v>53</v>
      </c>
      <c r="C1753">
        <v>20060579</v>
      </c>
      <c r="D1753" t="s">
        <v>39</v>
      </c>
      <c r="E1753" s="10">
        <v>46122.666666666664</v>
      </c>
      <c r="F1753" s="10">
        <v>46122.6875</v>
      </c>
      <c r="G1753">
        <v>0.5</v>
      </c>
      <c r="H1753" s="9">
        <f t="shared" si="81"/>
        <v>3.0000000000000001E-3</v>
      </c>
      <c r="I1753">
        <v>3.0000000000000001E-3</v>
      </c>
      <c r="M1753" t="s">
        <v>65</v>
      </c>
      <c r="N1753" t="s">
        <v>29</v>
      </c>
      <c r="P1753" t="s">
        <v>30</v>
      </c>
      <c r="Q1753" t="s">
        <v>31</v>
      </c>
      <c r="R1753">
        <v>82640</v>
      </c>
      <c r="S1753" t="s">
        <v>42</v>
      </c>
      <c r="T1753">
        <v>82622</v>
      </c>
      <c r="U1753" t="s">
        <v>147</v>
      </c>
      <c r="V1753" t="s">
        <v>66</v>
      </c>
      <c r="W1753" t="s">
        <v>44</v>
      </c>
      <c r="X1753" t="s">
        <v>44</v>
      </c>
      <c r="Y1753" s="9">
        <f t="shared" si="82"/>
        <v>0</v>
      </c>
      <c r="Z1753" t="str">
        <f t="shared" si="83"/>
        <v>สแกนต่าง Cost</v>
      </c>
    </row>
    <row r="1754" spans="2:26" x14ac:dyDescent="0.45">
      <c r="B1754" t="s">
        <v>53</v>
      </c>
      <c r="C1754">
        <v>20026534</v>
      </c>
      <c r="D1754" t="s">
        <v>279</v>
      </c>
      <c r="E1754" s="10">
        <v>46122.645833333336</v>
      </c>
      <c r="F1754" s="10">
        <v>46122.708333333336</v>
      </c>
      <c r="G1754">
        <v>1.5</v>
      </c>
      <c r="H1754" s="9">
        <f t="shared" si="81"/>
        <v>8.0000000000000002E-3</v>
      </c>
      <c r="I1754">
        <v>8.0000000000000002E-3</v>
      </c>
      <c r="M1754" t="s">
        <v>65</v>
      </c>
      <c r="N1754" t="s">
        <v>29</v>
      </c>
      <c r="P1754" t="s">
        <v>30</v>
      </c>
      <c r="Q1754" t="s">
        <v>31</v>
      </c>
      <c r="R1754">
        <v>82640</v>
      </c>
      <c r="S1754" t="s">
        <v>42</v>
      </c>
      <c r="T1754">
        <v>82611</v>
      </c>
      <c r="U1754" t="s">
        <v>43</v>
      </c>
      <c r="V1754" t="s">
        <v>66</v>
      </c>
      <c r="W1754" t="s">
        <v>44</v>
      </c>
      <c r="X1754" t="s">
        <v>44</v>
      </c>
      <c r="Y1754" s="9">
        <f t="shared" si="82"/>
        <v>0</v>
      </c>
      <c r="Z1754" t="str">
        <f t="shared" si="83"/>
        <v>สแกนต่าง Cost</v>
      </c>
    </row>
    <row r="1755" spans="2:26" x14ac:dyDescent="0.45">
      <c r="B1755" t="s">
        <v>53</v>
      </c>
      <c r="C1755">
        <v>20060579</v>
      </c>
      <c r="D1755" t="s">
        <v>39</v>
      </c>
      <c r="E1755" s="10">
        <v>46122.645833333336</v>
      </c>
      <c r="F1755" s="10">
        <v>46122.666666666664</v>
      </c>
      <c r="G1755">
        <v>0.5</v>
      </c>
      <c r="H1755" s="9">
        <f t="shared" si="81"/>
        <v>3.0000000000000001E-3</v>
      </c>
      <c r="I1755">
        <v>3.0000000000000001E-3</v>
      </c>
      <c r="M1755" t="s">
        <v>65</v>
      </c>
      <c r="N1755" t="s">
        <v>29</v>
      </c>
      <c r="P1755" t="s">
        <v>30</v>
      </c>
      <c r="Q1755" t="s">
        <v>31</v>
      </c>
      <c r="R1755">
        <v>82640</v>
      </c>
      <c r="S1755" t="s">
        <v>42</v>
      </c>
      <c r="T1755">
        <v>82611</v>
      </c>
      <c r="U1755" t="s">
        <v>43</v>
      </c>
      <c r="V1755" t="s">
        <v>66</v>
      </c>
      <c r="W1755" t="s">
        <v>44</v>
      </c>
      <c r="X1755" t="s">
        <v>44</v>
      </c>
      <c r="Y1755" s="9">
        <f t="shared" si="82"/>
        <v>0</v>
      </c>
      <c r="Z1755" t="str">
        <f t="shared" si="83"/>
        <v>สแกนต่าง Cost</v>
      </c>
    </row>
    <row r="1756" spans="2:26" x14ac:dyDescent="0.45">
      <c r="B1756" t="s">
        <v>53</v>
      </c>
      <c r="C1756">
        <v>20167851</v>
      </c>
      <c r="D1756" t="s">
        <v>63</v>
      </c>
      <c r="E1756" s="10">
        <v>46122.645833333336</v>
      </c>
      <c r="F1756" s="10">
        <v>46122.729166666664</v>
      </c>
      <c r="G1756">
        <v>2</v>
      </c>
      <c r="H1756" s="9">
        <f t="shared" si="81"/>
        <v>1.0999999999999999E-2</v>
      </c>
      <c r="I1756">
        <v>1.0999999999999999E-2</v>
      </c>
      <c r="M1756" t="s">
        <v>65</v>
      </c>
      <c r="N1756" t="s">
        <v>29</v>
      </c>
      <c r="P1756" t="s">
        <v>30</v>
      </c>
      <c r="Q1756" t="s">
        <v>31</v>
      </c>
      <c r="R1756">
        <v>82640</v>
      </c>
      <c r="S1756" t="s">
        <v>42</v>
      </c>
      <c r="T1756">
        <v>82630</v>
      </c>
      <c r="U1756" t="s">
        <v>32</v>
      </c>
      <c r="V1756" t="s">
        <v>66</v>
      </c>
      <c r="W1756" t="s">
        <v>44</v>
      </c>
      <c r="X1756" t="s">
        <v>44</v>
      </c>
      <c r="Y1756" s="9">
        <f t="shared" si="82"/>
        <v>0</v>
      </c>
      <c r="Z1756" t="str">
        <f t="shared" si="83"/>
        <v>สแกนต่าง Cost</v>
      </c>
    </row>
    <row r="1757" spans="2:26" x14ac:dyDescent="0.45">
      <c r="B1757" t="s">
        <v>53</v>
      </c>
      <c r="C1757">
        <v>20198839</v>
      </c>
      <c r="D1757" t="s">
        <v>258</v>
      </c>
      <c r="E1757" s="10">
        <v>46122.645833333336</v>
      </c>
      <c r="F1757" s="10">
        <v>46122.6875</v>
      </c>
      <c r="G1757">
        <v>1</v>
      </c>
      <c r="H1757" s="9">
        <f t="shared" si="81"/>
        <v>5.0000000000000001E-3</v>
      </c>
      <c r="I1757">
        <v>5.0000000000000001E-3</v>
      </c>
      <c r="M1757" t="s">
        <v>65</v>
      </c>
      <c r="N1757" t="s">
        <v>29</v>
      </c>
      <c r="P1757" t="s">
        <v>30</v>
      </c>
      <c r="Q1757" t="s">
        <v>31</v>
      </c>
      <c r="R1757">
        <v>82640</v>
      </c>
      <c r="S1757" t="s">
        <v>42</v>
      </c>
      <c r="T1757">
        <v>82630</v>
      </c>
      <c r="U1757" t="s">
        <v>32</v>
      </c>
      <c r="V1757" t="s">
        <v>66</v>
      </c>
      <c r="W1757" t="s">
        <v>44</v>
      </c>
      <c r="X1757" t="s">
        <v>44</v>
      </c>
      <c r="Y1757" s="9">
        <f t="shared" si="82"/>
        <v>0</v>
      </c>
      <c r="Z1757" t="str">
        <f t="shared" si="83"/>
        <v>สแกนต่าง Cost</v>
      </c>
    </row>
    <row r="1758" spans="2:26" x14ac:dyDescent="0.45">
      <c r="B1758" t="s">
        <v>53</v>
      </c>
      <c r="C1758">
        <v>20027956</v>
      </c>
      <c r="D1758" t="s">
        <v>214</v>
      </c>
      <c r="E1758" s="10">
        <v>46122.625</v>
      </c>
      <c r="F1758" s="10">
        <v>46122.729166666664</v>
      </c>
      <c r="G1758">
        <v>2.5</v>
      </c>
      <c r="H1758" s="9">
        <f t="shared" si="81"/>
        <v>1.2999999999999999E-2</v>
      </c>
      <c r="I1758">
        <v>1.2999999999999999E-2</v>
      </c>
      <c r="M1758" t="s">
        <v>65</v>
      </c>
      <c r="N1758" t="s">
        <v>29</v>
      </c>
      <c r="P1758" t="s">
        <v>30</v>
      </c>
      <c r="Q1758" t="s">
        <v>31</v>
      </c>
      <c r="R1758">
        <v>82640</v>
      </c>
      <c r="S1758" t="s">
        <v>42</v>
      </c>
      <c r="T1758">
        <v>82611</v>
      </c>
      <c r="U1758" t="s">
        <v>43</v>
      </c>
      <c r="V1758" t="s">
        <v>66</v>
      </c>
      <c r="W1758" t="s">
        <v>44</v>
      </c>
      <c r="X1758" t="s">
        <v>44</v>
      </c>
      <c r="Y1758" s="9">
        <f t="shared" si="82"/>
        <v>0</v>
      </c>
      <c r="Z1758" t="str">
        <f t="shared" si="83"/>
        <v>สแกนต่าง Cost</v>
      </c>
    </row>
    <row r="1759" spans="2:26" x14ac:dyDescent="0.45">
      <c r="B1759" t="s">
        <v>53</v>
      </c>
      <c r="C1759">
        <v>20060579</v>
      </c>
      <c r="D1759" t="s">
        <v>39</v>
      </c>
      <c r="E1759" s="10">
        <v>46122.625</v>
      </c>
      <c r="F1759" s="10">
        <v>46122.645833333336</v>
      </c>
      <c r="G1759">
        <v>0.5</v>
      </c>
      <c r="H1759" s="9">
        <f t="shared" si="81"/>
        <v>3.0000000000000001E-3</v>
      </c>
      <c r="I1759">
        <v>3.0000000000000001E-3</v>
      </c>
      <c r="M1759" t="s">
        <v>65</v>
      </c>
      <c r="N1759" t="s">
        <v>29</v>
      </c>
      <c r="P1759" t="s">
        <v>30</v>
      </c>
      <c r="Q1759" t="s">
        <v>31</v>
      </c>
      <c r="R1759">
        <v>82640</v>
      </c>
      <c r="S1759" t="s">
        <v>42</v>
      </c>
      <c r="T1759">
        <v>82612</v>
      </c>
      <c r="U1759" t="s">
        <v>153</v>
      </c>
      <c r="V1759" t="s">
        <v>66</v>
      </c>
      <c r="W1759" t="s">
        <v>44</v>
      </c>
      <c r="X1759" t="s">
        <v>44</v>
      </c>
      <c r="Y1759" s="9">
        <f t="shared" si="82"/>
        <v>0</v>
      </c>
      <c r="Z1759" t="str">
        <f t="shared" si="83"/>
        <v>สแกนต่าง Cost</v>
      </c>
    </row>
    <row r="1760" spans="2:26" x14ac:dyDescent="0.45">
      <c r="B1760" t="s">
        <v>53</v>
      </c>
      <c r="C1760">
        <v>20167851</v>
      </c>
      <c r="D1760" t="s">
        <v>63</v>
      </c>
      <c r="E1760" s="10">
        <v>46122.625</v>
      </c>
      <c r="F1760" s="10">
        <v>46122.645833333336</v>
      </c>
      <c r="G1760">
        <v>0.5</v>
      </c>
      <c r="H1760" s="9">
        <f t="shared" si="81"/>
        <v>3.0000000000000001E-3</v>
      </c>
      <c r="I1760">
        <v>3.0000000000000001E-3</v>
      </c>
      <c r="M1760" t="s">
        <v>65</v>
      </c>
      <c r="N1760" t="s">
        <v>29</v>
      </c>
      <c r="P1760" t="s">
        <v>30</v>
      </c>
      <c r="Q1760" t="s">
        <v>31</v>
      </c>
      <c r="R1760">
        <v>82640</v>
      </c>
      <c r="S1760" t="s">
        <v>42</v>
      </c>
      <c r="T1760">
        <v>82612</v>
      </c>
      <c r="U1760" t="s">
        <v>153</v>
      </c>
      <c r="V1760" t="s">
        <v>66</v>
      </c>
      <c r="W1760" t="s">
        <v>44</v>
      </c>
      <c r="X1760" t="s">
        <v>44</v>
      </c>
      <c r="Y1760" s="9">
        <f t="shared" si="82"/>
        <v>0</v>
      </c>
      <c r="Z1760" t="str">
        <f t="shared" si="83"/>
        <v>สแกนต่าง Cost</v>
      </c>
    </row>
    <row r="1761" spans="2:26" x14ac:dyDescent="0.45">
      <c r="B1761" t="s">
        <v>53</v>
      </c>
      <c r="C1761">
        <v>20198839</v>
      </c>
      <c r="D1761" t="s">
        <v>258</v>
      </c>
      <c r="E1761" s="10">
        <v>46122.625</v>
      </c>
      <c r="F1761" s="10">
        <v>46122.645833333336</v>
      </c>
      <c r="G1761">
        <v>0.5</v>
      </c>
      <c r="H1761" s="9">
        <f t="shared" si="81"/>
        <v>3.0000000000000001E-3</v>
      </c>
      <c r="I1761">
        <v>3.0000000000000001E-3</v>
      </c>
      <c r="M1761" t="s">
        <v>65</v>
      </c>
      <c r="N1761" t="s">
        <v>29</v>
      </c>
      <c r="P1761" t="s">
        <v>30</v>
      </c>
      <c r="Q1761" t="s">
        <v>31</v>
      </c>
      <c r="R1761">
        <v>82640</v>
      </c>
      <c r="S1761" t="s">
        <v>42</v>
      </c>
      <c r="T1761">
        <v>82612</v>
      </c>
      <c r="U1761" t="s">
        <v>153</v>
      </c>
      <c r="V1761" t="s">
        <v>66</v>
      </c>
      <c r="W1761" t="s">
        <v>44</v>
      </c>
      <c r="X1761" t="s">
        <v>44</v>
      </c>
      <c r="Y1761" s="9">
        <f t="shared" si="82"/>
        <v>0</v>
      </c>
      <c r="Z1761" t="str">
        <f t="shared" si="83"/>
        <v>สแกนต่าง Cost</v>
      </c>
    </row>
    <row r="1762" spans="2:26" x14ac:dyDescent="0.45">
      <c r="B1762" t="s">
        <v>53</v>
      </c>
      <c r="C1762">
        <v>20310532</v>
      </c>
      <c r="D1762" t="s">
        <v>61</v>
      </c>
      <c r="E1762" s="10">
        <v>46122.625</v>
      </c>
      <c r="F1762" s="10">
        <v>46122.729166666664</v>
      </c>
      <c r="G1762">
        <v>2.5</v>
      </c>
      <c r="H1762" s="9">
        <f t="shared" si="81"/>
        <v>1.2999999999999999E-2</v>
      </c>
      <c r="I1762">
        <v>1.2999999999999999E-2</v>
      </c>
      <c r="M1762" t="s">
        <v>65</v>
      </c>
      <c r="N1762" t="s">
        <v>29</v>
      </c>
      <c r="P1762" t="s">
        <v>30</v>
      </c>
      <c r="Q1762" t="s">
        <v>31</v>
      </c>
      <c r="R1762">
        <v>82640</v>
      </c>
      <c r="S1762" t="s">
        <v>42</v>
      </c>
      <c r="T1762">
        <v>82630</v>
      </c>
      <c r="U1762" t="s">
        <v>32</v>
      </c>
      <c r="V1762" t="s">
        <v>66</v>
      </c>
      <c r="W1762" t="s">
        <v>44</v>
      </c>
      <c r="X1762" t="s">
        <v>44</v>
      </c>
      <c r="Y1762" s="9">
        <f t="shared" si="82"/>
        <v>0</v>
      </c>
      <c r="Z1762" t="str">
        <f t="shared" si="83"/>
        <v>สแกนต่าง Cost</v>
      </c>
    </row>
    <row r="1763" spans="2:26" x14ac:dyDescent="0.45">
      <c r="B1763" t="s">
        <v>53</v>
      </c>
      <c r="C1763">
        <v>20060579</v>
      </c>
      <c r="D1763" t="s">
        <v>39</v>
      </c>
      <c r="E1763" s="10">
        <v>46122.604166666664</v>
      </c>
      <c r="F1763" s="10">
        <v>46122.625</v>
      </c>
      <c r="G1763">
        <v>0.5</v>
      </c>
      <c r="H1763" s="9">
        <f t="shared" si="81"/>
        <v>3.0000000000000001E-3</v>
      </c>
      <c r="I1763">
        <v>3.0000000000000001E-3</v>
      </c>
      <c r="M1763" t="s">
        <v>65</v>
      </c>
      <c r="N1763" t="s">
        <v>29</v>
      </c>
      <c r="P1763" t="s">
        <v>30</v>
      </c>
      <c r="Q1763" t="s">
        <v>31</v>
      </c>
      <c r="R1763">
        <v>82640</v>
      </c>
      <c r="S1763" t="s">
        <v>42</v>
      </c>
      <c r="T1763">
        <v>82611</v>
      </c>
      <c r="U1763" t="s">
        <v>43</v>
      </c>
      <c r="V1763" t="s">
        <v>66</v>
      </c>
      <c r="W1763" t="s">
        <v>44</v>
      </c>
      <c r="X1763" t="s">
        <v>44</v>
      </c>
      <c r="Y1763" s="9">
        <f t="shared" si="82"/>
        <v>0</v>
      </c>
      <c r="Z1763" t="str">
        <f t="shared" si="83"/>
        <v>สแกนต่าง Cost</v>
      </c>
    </row>
    <row r="1764" spans="2:26" x14ac:dyDescent="0.45">
      <c r="B1764" t="s">
        <v>53</v>
      </c>
      <c r="C1764">
        <v>20310532</v>
      </c>
      <c r="D1764" t="s">
        <v>61</v>
      </c>
      <c r="E1764" s="10">
        <v>46122.604166666664</v>
      </c>
      <c r="F1764" s="10">
        <v>46122.625</v>
      </c>
      <c r="G1764">
        <v>0.5</v>
      </c>
      <c r="H1764" s="9">
        <f t="shared" si="81"/>
        <v>3.0000000000000001E-3</v>
      </c>
      <c r="I1764">
        <v>3.0000000000000001E-3</v>
      </c>
      <c r="M1764" t="s">
        <v>65</v>
      </c>
      <c r="N1764" t="s">
        <v>29</v>
      </c>
      <c r="P1764" t="s">
        <v>30</v>
      </c>
      <c r="Q1764" t="s">
        <v>31</v>
      </c>
      <c r="R1764">
        <v>82640</v>
      </c>
      <c r="S1764" t="s">
        <v>42</v>
      </c>
      <c r="T1764">
        <v>82612</v>
      </c>
      <c r="U1764" t="s">
        <v>153</v>
      </c>
      <c r="V1764" t="s">
        <v>66</v>
      </c>
      <c r="W1764" t="s">
        <v>44</v>
      </c>
      <c r="X1764" t="s">
        <v>44</v>
      </c>
      <c r="Y1764" s="9">
        <f t="shared" si="82"/>
        <v>0</v>
      </c>
      <c r="Z1764" t="str">
        <f t="shared" si="83"/>
        <v>สแกนต่าง Cost</v>
      </c>
    </row>
    <row r="1765" spans="2:26" x14ac:dyDescent="0.45">
      <c r="B1765" t="s">
        <v>53</v>
      </c>
      <c r="C1765">
        <v>20060579</v>
      </c>
      <c r="D1765" t="s">
        <v>39</v>
      </c>
      <c r="E1765" s="10">
        <v>46122.583333333336</v>
      </c>
      <c r="F1765" s="10">
        <v>46122.604166666664</v>
      </c>
      <c r="G1765">
        <v>0.5</v>
      </c>
      <c r="H1765" s="9">
        <f t="shared" si="81"/>
        <v>3.0000000000000001E-3</v>
      </c>
      <c r="I1765">
        <v>3.0000000000000001E-3</v>
      </c>
      <c r="M1765" t="s">
        <v>65</v>
      </c>
      <c r="N1765" t="s">
        <v>29</v>
      </c>
      <c r="P1765" t="s">
        <v>30</v>
      </c>
      <c r="Q1765" t="s">
        <v>31</v>
      </c>
      <c r="R1765">
        <v>82640</v>
      </c>
      <c r="S1765" t="s">
        <v>42</v>
      </c>
      <c r="T1765">
        <v>82622</v>
      </c>
      <c r="U1765" t="s">
        <v>147</v>
      </c>
      <c r="V1765" t="s">
        <v>66</v>
      </c>
      <c r="W1765" t="s">
        <v>44</v>
      </c>
      <c r="X1765" t="s">
        <v>44</v>
      </c>
      <c r="Y1765" s="9">
        <f t="shared" si="82"/>
        <v>0</v>
      </c>
      <c r="Z1765" t="str">
        <f t="shared" si="83"/>
        <v>สแกนต่าง Cost</v>
      </c>
    </row>
    <row r="1766" spans="2:26" x14ac:dyDescent="0.45">
      <c r="B1766" t="s">
        <v>53</v>
      </c>
      <c r="C1766">
        <v>20167851</v>
      </c>
      <c r="D1766" t="s">
        <v>63</v>
      </c>
      <c r="E1766" s="10">
        <v>46122.583333333336</v>
      </c>
      <c r="F1766" s="10">
        <v>46122.604166666664</v>
      </c>
      <c r="G1766">
        <v>0.5</v>
      </c>
      <c r="H1766" s="9">
        <f t="shared" si="81"/>
        <v>3.0000000000000001E-3</v>
      </c>
      <c r="I1766">
        <v>3.0000000000000001E-3</v>
      </c>
      <c r="M1766" t="s">
        <v>65</v>
      </c>
      <c r="N1766" t="s">
        <v>29</v>
      </c>
      <c r="P1766" t="s">
        <v>30</v>
      </c>
      <c r="Q1766" t="s">
        <v>31</v>
      </c>
      <c r="R1766">
        <v>82640</v>
      </c>
      <c r="S1766" t="s">
        <v>42</v>
      </c>
      <c r="T1766">
        <v>82611</v>
      </c>
      <c r="U1766" t="s">
        <v>43</v>
      </c>
      <c r="V1766" t="s">
        <v>66</v>
      </c>
      <c r="W1766" t="s">
        <v>44</v>
      </c>
      <c r="X1766" t="s">
        <v>44</v>
      </c>
      <c r="Y1766" s="9">
        <f t="shared" si="82"/>
        <v>0</v>
      </c>
      <c r="Z1766" t="str">
        <f t="shared" si="83"/>
        <v>สแกนต่าง Cost</v>
      </c>
    </row>
    <row r="1767" spans="2:26" x14ac:dyDescent="0.45">
      <c r="B1767" t="s">
        <v>53</v>
      </c>
      <c r="C1767">
        <v>20244923</v>
      </c>
      <c r="D1767" t="s">
        <v>246</v>
      </c>
      <c r="E1767" s="10">
        <v>46122.583333333336</v>
      </c>
      <c r="F1767" s="10">
        <v>46122.729166666664</v>
      </c>
      <c r="G1767">
        <v>3.5</v>
      </c>
      <c r="H1767" s="9">
        <f t="shared" si="81"/>
        <v>1.9E-2</v>
      </c>
      <c r="I1767">
        <v>1.9E-2</v>
      </c>
      <c r="M1767" t="s">
        <v>65</v>
      </c>
      <c r="N1767" t="s">
        <v>29</v>
      </c>
      <c r="P1767" t="s">
        <v>30</v>
      </c>
      <c r="Q1767" t="s">
        <v>31</v>
      </c>
      <c r="R1767">
        <v>82640</v>
      </c>
      <c r="S1767" t="s">
        <v>42</v>
      </c>
      <c r="T1767">
        <v>82630</v>
      </c>
      <c r="U1767" t="s">
        <v>32</v>
      </c>
      <c r="V1767" t="s">
        <v>66</v>
      </c>
      <c r="W1767" t="s">
        <v>44</v>
      </c>
      <c r="X1767" t="s">
        <v>44</v>
      </c>
      <c r="Y1767" s="9">
        <f t="shared" si="82"/>
        <v>0</v>
      </c>
      <c r="Z1767" t="str">
        <f t="shared" si="83"/>
        <v>สแกนต่าง Cost</v>
      </c>
    </row>
    <row r="1768" spans="2:26" x14ac:dyDescent="0.45">
      <c r="B1768" t="s">
        <v>53</v>
      </c>
      <c r="C1768">
        <v>20368087</v>
      </c>
      <c r="D1768" t="s">
        <v>260</v>
      </c>
      <c r="E1768" s="10">
        <v>46122.583333333336</v>
      </c>
      <c r="F1768" s="10">
        <v>46122.645833333336</v>
      </c>
      <c r="G1768">
        <v>1.5</v>
      </c>
      <c r="H1768" s="9">
        <f t="shared" si="81"/>
        <v>8.0000000000000002E-3</v>
      </c>
      <c r="I1768">
        <v>8.0000000000000002E-3</v>
      </c>
      <c r="M1768" t="s">
        <v>65</v>
      </c>
      <c r="N1768" t="s">
        <v>29</v>
      </c>
      <c r="P1768" t="s">
        <v>30</v>
      </c>
      <c r="Q1768" t="s">
        <v>31</v>
      </c>
      <c r="R1768">
        <v>82640</v>
      </c>
      <c r="S1768" t="s">
        <v>42</v>
      </c>
      <c r="T1768">
        <v>82612</v>
      </c>
      <c r="U1768" t="s">
        <v>153</v>
      </c>
      <c r="V1768" t="s">
        <v>66</v>
      </c>
      <c r="W1768" t="s">
        <v>44</v>
      </c>
      <c r="X1768" t="s">
        <v>44</v>
      </c>
      <c r="Y1768" s="9">
        <f t="shared" si="82"/>
        <v>0</v>
      </c>
      <c r="Z1768" t="str">
        <f t="shared" si="83"/>
        <v>สแกนต่าง Cost</v>
      </c>
    </row>
    <row r="1769" spans="2:26" x14ac:dyDescent="0.45">
      <c r="B1769" t="s">
        <v>53</v>
      </c>
      <c r="C1769">
        <v>20310530</v>
      </c>
      <c r="D1769" t="s">
        <v>220</v>
      </c>
      <c r="E1769" s="10">
        <v>46122.5625</v>
      </c>
      <c r="F1769" s="10">
        <v>46122.6875</v>
      </c>
      <c r="G1769">
        <v>3</v>
      </c>
      <c r="H1769" s="9">
        <f t="shared" si="81"/>
        <v>1.6E-2</v>
      </c>
      <c r="I1769">
        <v>1.6E-2</v>
      </c>
      <c r="M1769" t="s">
        <v>65</v>
      </c>
      <c r="N1769" t="s">
        <v>29</v>
      </c>
      <c r="P1769" t="s">
        <v>30</v>
      </c>
      <c r="Q1769" t="s">
        <v>31</v>
      </c>
      <c r="R1769">
        <v>82640</v>
      </c>
      <c r="S1769" t="s">
        <v>42</v>
      </c>
      <c r="T1769">
        <v>82630</v>
      </c>
      <c r="U1769" t="s">
        <v>32</v>
      </c>
      <c r="V1769" t="s">
        <v>66</v>
      </c>
      <c r="W1769" t="s">
        <v>44</v>
      </c>
      <c r="X1769" t="s">
        <v>44</v>
      </c>
      <c r="Y1769" s="9">
        <f t="shared" si="82"/>
        <v>0</v>
      </c>
      <c r="Z1769" t="str">
        <f t="shared" si="83"/>
        <v>สแกนต่าง Cost</v>
      </c>
    </row>
    <row r="1770" spans="2:26" x14ac:dyDescent="0.45">
      <c r="B1770" t="s">
        <v>53</v>
      </c>
      <c r="C1770">
        <v>20018899</v>
      </c>
      <c r="D1770" t="s">
        <v>64</v>
      </c>
      <c r="E1770" s="10">
        <v>46122.541666666664</v>
      </c>
      <c r="F1770" s="10">
        <v>46122.729166666664</v>
      </c>
      <c r="G1770">
        <v>4.5</v>
      </c>
      <c r="H1770" s="9">
        <f t="shared" si="81"/>
        <v>2.4E-2</v>
      </c>
      <c r="I1770">
        <v>2.4E-2</v>
      </c>
      <c r="M1770" t="s">
        <v>65</v>
      </c>
      <c r="N1770" t="s">
        <v>29</v>
      </c>
      <c r="P1770" t="s">
        <v>30</v>
      </c>
      <c r="Q1770" t="s">
        <v>31</v>
      </c>
      <c r="R1770">
        <v>82640</v>
      </c>
      <c r="S1770" t="s">
        <v>42</v>
      </c>
      <c r="T1770">
        <v>82652</v>
      </c>
      <c r="U1770" t="s">
        <v>46</v>
      </c>
      <c r="V1770" t="s">
        <v>66</v>
      </c>
      <c r="W1770" t="s">
        <v>37</v>
      </c>
      <c r="X1770" t="s">
        <v>34</v>
      </c>
      <c r="Y1770" s="9">
        <f t="shared" si="82"/>
        <v>0</v>
      </c>
      <c r="Z1770" t="str">
        <f t="shared" si="83"/>
        <v>สแกนต่าง Cost</v>
      </c>
    </row>
    <row r="1771" spans="2:26" x14ac:dyDescent="0.45">
      <c r="B1771" t="s">
        <v>53</v>
      </c>
      <c r="C1771">
        <v>20026534</v>
      </c>
      <c r="D1771" t="s">
        <v>279</v>
      </c>
      <c r="E1771" s="10">
        <v>46122.541666666664</v>
      </c>
      <c r="F1771" s="10">
        <v>46122.645833333336</v>
      </c>
      <c r="G1771">
        <v>2.5</v>
      </c>
      <c r="H1771" s="9">
        <f t="shared" si="81"/>
        <v>1.2999999999999999E-2</v>
      </c>
      <c r="I1771">
        <v>1.2999999999999999E-2</v>
      </c>
      <c r="M1771" t="s">
        <v>65</v>
      </c>
      <c r="N1771" t="s">
        <v>29</v>
      </c>
      <c r="P1771" t="s">
        <v>30</v>
      </c>
      <c r="Q1771" t="s">
        <v>31</v>
      </c>
      <c r="R1771">
        <v>82640</v>
      </c>
      <c r="S1771" t="s">
        <v>42</v>
      </c>
      <c r="T1771">
        <v>82630</v>
      </c>
      <c r="U1771" t="s">
        <v>32</v>
      </c>
      <c r="V1771" t="s">
        <v>66</v>
      </c>
      <c r="W1771" t="s">
        <v>44</v>
      </c>
      <c r="X1771" t="s">
        <v>44</v>
      </c>
      <c r="Y1771" s="9">
        <f t="shared" si="82"/>
        <v>0</v>
      </c>
      <c r="Z1771" t="str">
        <f t="shared" si="83"/>
        <v>สแกนต่าง Cost</v>
      </c>
    </row>
    <row r="1772" spans="2:26" x14ac:dyDescent="0.45">
      <c r="B1772" t="s">
        <v>53</v>
      </c>
      <c r="C1772">
        <v>20060579</v>
      </c>
      <c r="D1772" t="s">
        <v>39</v>
      </c>
      <c r="E1772" s="10">
        <v>46122.541666666664</v>
      </c>
      <c r="F1772" s="10">
        <v>46122.583333333336</v>
      </c>
      <c r="G1772">
        <v>1</v>
      </c>
      <c r="H1772" s="9">
        <f t="shared" si="81"/>
        <v>5.0000000000000001E-3</v>
      </c>
      <c r="I1772">
        <v>5.0000000000000001E-3</v>
      </c>
      <c r="M1772" t="s">
        <v>65</v>
      </c>
      <c r="N1772" t="s">
        <v>29</v>
      </c>
      <c r="P1772" t="s">
        <v>30</v>
      </c>
      <c r="Q1772" t="s">
        <v>31</v>
      </c>
      <c r="R1772">
        <v>82640</v>
      </c>
      <c r="S1772" t="s">
        <v>42</v>
      </c>
      <c r="T1772">
        <v>82630</v>
      </c>
      <c r="U1772" t="s">
        <v>32</v>
      </c>
      <c r="V1772" t="s">
        <v>66</v>
      </c>
      <c r="W1772" t="s">
        <v>44</v>
      </c>
      <c r="X1772" t="s">
        <v>44</v>
      </c>
      <c r="Y1772" s="9">
        <f t="shared" si="82"/>
        <v>0</v>
      </c>
      <c r="Z1772" t="str">
        <f t="shared" si="83"/>
        <v>สแกนต่าง Cost</v>
      </c>
    </row>
    <row r="1773" spans="2:26" x14ac:dyDescent="0.45">
      <c r="B1773" t="s">
        <v>53</v>
      </c>
      <c r="C1773">
        <v>20167851</v>
      </c>
      <c r="D1773" t="s">
        <v>63</v>
      </c>
      <c r="E1773" s="10">
        <v>46122.541666666664</v>
      </c>
      <c r="F1773" s="10">
        <v>46122.583333333336</v>
      </c>
      <c r="G1773">
        <v>1</v>
      </c>
      <c r="H1773" s="9">
        <f t="shared" si="81"/>
        <v>5.0000000000000001E-3</v>
      </c>
      <c r="I1773">
        <v>5.0000000000000001E-3</v>
      </c>
      <c r="M1773" t="s">
        <v>65</v>
      </c>
      <c r="N1773" t="s">
        <v>29</v>
      </c>
      <c r="P1773" t="s">
        <v>30</v>
      </c>
      <c r="Q1773" t="s">
        <v>31</v>
      </c>
      <c r="R1773">
        <v>82640</v>
      </c>
      <c r="S1773" t="s">
        <v>42</v>
      </c>
      <c r="T1773">
        <v>82630</v>
      </c>
      <c r="U1773" t="s">
        <v>32</v>
      </c>
      <c r="V1773" t="s">
        <v>66</v>
      </c>
      <c r="W1773" t="s">
        <v>44</v>
      </c>
      <c r="X1773" t="s">
        <v>44</v>
      </c>
      <c r="Y1773" s="9">
        <f t="shared" si="82"/>
        <v>0</v>
      </c>
      <c r="Z1773" t="str">
        <f t="shared" si="83"/>
        <v>สแกนต่าง Cost</v>
      </c>
    </row>
    <row r="1774" spans="2:26" x14ac:dyDescent="0.45">
      <c r="B1774" t="s">
        <v>53</v>
      </c>
      <c r="C1774">
        <v>20220646</v>
      </c>
      <c r="D1774" t="s">
        <v>67</v>
      </c>
      <c r="E1774" s="10">
        <v>46122.541666666664</v>
      </c>
      <c r="F1774" s="10">
        <v>46122.729166666664</v>
      </c>
      <c r="G1774">
        <v>4.5</v>
      </c>
      <c r="H1774" s="9">
        <f t="shared" si="81"/>
        <v>2.4E-2</v>
      </c>
      <c r="I1774">
        <v>2.4E-2</v>
      </c>
      <c r="M1774" t="s">
        <v>65</v>
      </c>
      <c r="N1774" t="s">
        <v>29</v>
      </c>
      <c r="P1774" t="s">
        <v>30</v>
      </c>
      <c r="Q1774" t="s">
        <v>31</v>
      </c>
      <c r="R1774">
        <v>82640</v>
      </c>
      <c r="S1774" t="s">
        <v>42</v>
      </c>
      <c r="T1774">
        <v>82652</v>
      </c>
      <c r="U1774" t="s">
        <v>46</v>
      </c>
      <c r="V1774" t="s">
        <v>66</v>
      </c>
      <c r="W1774" t="s">
        <v>37</v>
      </c>
      <c r="X1774" t="s">
        <v>34</v>
      </c>
      <c r="Y1774" s="9">
        <f t="shared" si="82"/>
        <v>0</v>
      </c>
      <c r="Z1774" t="str">
        <f t="shared" si="83"/>
        <v>สแกนต่าง Cost</v>
      </c>
    </row>
    <row r="1775" spans="2:26" x14ac:dyDescent="0.45">
      <c r="B1775" t="s">
        <v>53</v>
      </c>
      <c r="C1775">
        <v>20244923</v>
      </c>
      <c r="D1775" t="s">
        <v>246</v>
      </c>
      <c r="E1775" s="10">
        <v>46122.541666666664</v>
      </c>
      <c r="F1775" s="10">
        <v>46122.583333333336</v>
      </c>
      <c r="G1775">
        <v>1</v>
      </c>
      <c r="H1775" s="9">
        <f t="shared" si="81"/>
        <v>5.0000000000000001E-3</v>
      </c>
      <c r="I1775">
        <v>5.0000000000000001E-3</v>
      </c>
      <c r="M1775" t="s">
        <v>65</v>
      </c>
      <c r="N1775" t="s">
        <v>29</v>
      </c>
      <c r="P1775" t="s">
        <v>30</v>
      </c>
      <c r="Q1775" t="s">
        <v>31</v>
      </c>
      <c r="R1775">
        <v>82640</v>
      </c>
      <c r="S1775" t="s">
        <v>42</v>
      </c>
      <c r="T1775">
        <v>82612</v>
      </c>
      <c r="U1775" t="s">
        <v>153</v>
      </c>
      <c r="V1775" t="s">
        <v>66</v>
      </c>
      <c r="W1775" t="s">
        <v>44</v>
      </c>
      <c r="X1775" t="s">
        <v>44</v>
      </c>
      <c r="Y1775" s="9">
        <f t="shared" si="82"/>
        <v>0</v>
      </c>
      <c r="Z1775" t="str">
        <f t="shared" si="83"/>
        <v>สแกนต่าง Cost</v>
      </c>
    </row>
    <row r="1776" spans="2:26" x14ac:dyDescent="0.45">
      <c r="B1776" t="s">
        <v>53</v>
      </c>
      <c r="C1776">
        <v>20280722</v>
      </c>
      <c r="D1776" t="s">
        <v>342</v>
      </c>
      <c r="E1776" s="10">
        <v>46122.541666666664</v>
      </c>
      <c r="F1776" s="10">
        <v>46122.729166666664</v>
      </c>
      <c r="G1776">
        <v>4.5</v>
      </c>
      <c r="H1776" s="9">
        <f t="shared" si="81"/>
        <v>2.4E-2</v>
      </c>
      <c r="I1776">
        <v>2.4E-2</v>
      </c>
      <c r="M1776" t="s">
        <v>65</v>
      </c>
      <c r="N1776" t="s">
        <v>29</v>
      </c>
      <c r="P1776" t="s">
        <v>30</v>
      </c>
      <c r="Q1776" t="s">
        <v>31</v>
      </c>
      <c r="R1776">
        <v>82640</v>
      </c>
      <c r="S1776" t="s">
        <v>42</v>
      </c>
      <c r="T1776">
        <v>82652</v>
      </c>
      <c r="U1776" t="s">
        <v>46</v>
      </c>
      <c r="V1776" t="s">
        <v>66</v>
      </c>
      <c r="W1776" t="s">
        <v>37</v>
      </c>
      <c r="X1776" t="s">
        <v>34</v>
      </c>
      <c r="Y1776" s="9">
        <f t="shared" si="82"/>
        <v>0</v>
      </c>
      <c r="Z1776" t="str">
        <f t="shared" si="83"/>
        <v>สแกนต่าง Cost</v>
      </c>
    </row>
    <row r="1777" spans="1:26" x14ac:dyDescent="0.45">
      <c r="B1777" t="s">
        <v>53</v>
      </c>
      <c r="C1777">
        <v>20310530</v>
      </c>
      <c r="D1777" t="s">
        <v>220</v>
      </c>
      <c r="E1777" s="10">
        <v>46122.541666666664</v>
      </c>
      <c r="F1777" s="10">
        <v>46122.5625</v>
      </c>
      <c r="G1777">
        <v>0.5</v>
      </c>
      <c r="H1777" s="9">
        <f t="shared" si="81"/>
        <v>3.0000000000000001E-3</v>
      </c>
      <c r="I1777">
        <v>3.0000000000000001E-3</v>
      </c>
      <c r="M1777" t="s">
        <v>65</v>
      </c>
      <c r="N1777" t="s">
        <v>29</v>
      </c>
      <c r="P1777" t="s">
        <v>30</v>
      </c>
      <c r="Q1777" t="s">
        <v>31</v>
      </c>
      <c r="R1777">
        <v>82640</v>
      </c>
      <c r="S1777" t="s">
        <v>42</v>
      </c>
      <c r="T1777">
        <v>82611</v>
      </c>
      <c r="U1777" t="s">
        <v>43</v>
      </c>
      <c r="V1777" t="s">
        <v>66</v>
      </c>
      <c r="W1777" t="s">
        <v>44</v>
      </c>
      <c r="X1777" t="s">
        <v>44</v>
      </c>
      <c r="Y1777" s="9">
        <f t="shared" si="82"/>
        <v>0</v>
      </c>
      <c r="Z1777" t="str">
        <f t="shared" si="83"/>
        <v>สแกนต่าง Cost</v>
      </c>
    </row>
    <row r="1778" spans="1:26" x14ac:dyDescent="0.45">
      <c r="B1778" t="s">
        <v>53</v>
      </c>
      <c r="C1778">
        <v>20310532</v>
      </c>
      <c r="D1778" t="s">
        <v>61</v>
      </c>
      <c r="E1778" s="10">
        <v>46122.541666666664</v>
      </c>
      <c r="F1778" s="10">
        <v>46122.604166666664</v>
      </c>
      <c r="G1778">
        <v>1.5</v>
      </c>
      <c r="H1778" s="9">
        <f t="shared" si="81"/>
        <v>8.0000000000000002E-3</v>
      </c>
      <c r="I1778">
        <v>8.0000000000000002E-3</v>
      </c>
      <c r="M1778" t="s">
        <v>65</v>
      </c>
      <c r="N1778" t="s">
        <v>29</v>
      </c>
      <c r="P1778" t="s">
        <v>30</v>
      </c>
      <c r="Q1778" t="s">
        <v>31</v>
      </c>
      <c r="R1778">
        <v>82640</v>
      </c>
      <c r="S1778" t="s">
        <v>42</v>
      </c>
      <c r="T1778">
        <v>82630</v>
      </c>
      <c r="U1778" t="s">
        <v>32</v>
      </c>
      <c r="V1778" t="s">
        <v>66</v>
      </c>
      <c r="W1778" t="s">
        <v>44</v>
      </c>
      <c r="X1778" t="s">
        <v>44</v>
      </c>
      <c r="Y1778" s="9">
        <f t="shared" si="82"/>
        <v>0</v>
      </c>
      <c r="Z1778" t="str">
        <f t="shared" si="83"/>
        <v>สแกนต่าง Cost</v>
      </c>
    </row>
    <row r="1779" spans="1:26" x14ac:dyDescent="0.45">
      <c r="B1779" t="s">
        <v>53</v>
      </c>
      <c r="C1779">
        <v>20340657</v>
      </c>
      <c r="D1779" t="s">
        <v>221</v>
      </c>
      <c r="E1779" s="10">
        <v>46122.541666666664</v>
      </c>
      <c r="F1779" s="10">
        <v>46122.729166666664</v>
      </c>
      <c r="G1779">
        <v>4.5</v>
      </c>
      <c r="H1779" s="9">
        <f t="shared" si="81"/>
        <v>2.4E-2</v>
      </c>
      <c r="J1779">
        <v>2.4E-2</v>
      </c>
      <c r="M1779" t="s">
        <v>77</v>
      </c>
      <c r="N1779" t="s">
        <v>29</v>
      </c>
      <c r="P1779" t="s">
        <v>30</v>
      </c>
      <c r="Q1779" t="s">
        <v>31</v>
      </c>
      <c r="R1779">
        <v>82640</v>
      </c>
      <c r="S1779" t="s">
        <v>42</v>
      </c>
      <c r="T1779">
        <v>82612</v>
      </c>
      <c r="U1779" t="s">
        <v>153</v>
      </c>
      <c r="V1779" t="s">
        <v>66</v>
      </c>
      <c r="W1779" t="s">
        <v>44</v>
      </c>
      <c r="X1779" t="s">
        <v>44</v>
      </c>
      <c r="Y1779" s="9">
        <f t="shared" si="82"/>
        <v>2.4E-2</v>
      </c>
      <c r="Z1779" t="str">
        <f t="shared" si="83"/>
        <v>สแกนต่าง Cost</v>
      </c>
    </row>
    <row r="1780" spans="1:26" x14ac:dyDescent="0.45">
      <c r="B1780" t="s">
        <v>53</v>
      </c>
      <c r="C1780">
        <v>20368087</v>
      </c>
      <c r="D1780" t="s">
        <v>260</v>
      </c>
      <c r="E1780" s="10">
        <v>46122.541666666664</v>
      </c>
      <c r="F1780" s="10">
        <v>46122.583333333336</v>
      </c>
      <c r="G1780">
        <v>1</v>
      </c>
      <c r="H1780" s="9">
        <f t="shared" si="81"/>
        <v>5.0000000000000001E-3</v>
      </c>
      <c r="I1780">
        <v>5.0000000000000001E-3</v>
      </c>
      <c r="M1780" t="s">
        <v>65</v>
      </c>
      <c r="N1780" t="s">
        <v>29</v>
      </c>
      <c r="P1780" t="s">
        <v>30</v>
      </c>
      <c r="Q1780" t="s">
        <v>31</v>
      </c>
      <c r="R1780">
        <v>82640</v>
      </c>
      <c r="S1780" t="s">
        <v>42</v>
      </c>
      <c r="T1780">
        <v>82630</v>
      </c>
      <c r="U1780" t="s">
        <v>32</v>
      </c>
      <c r="V1780" t="s">
        <v>66</v>
      </c>
      <c r="W1780" t="s">
        <v>44</v>
      </c>
      <c r="X1780" t="s">
        <v>44</v>
      </c>
      <c r="Y1780" s="9">
        <f t="shared" si="82"/>
        <v>0</v>
      </c>
      <c r="Z1780" t="str">
        <f t="shared" si="83"/>
        <v>สแกนต่าง Cost</v>
      </c>
    </row>
    <row r="1781" spans="1:26" x14ac:dyDescent="0.45">
      <c r="A1781">
        <v>26211</v>
      </c>
      <c r="B1781" t="s">
        <v>53</v>
      </c>
      <c r="C1781">
        <v>20048905</v>
      </c>
      <c r="D1781" t="s">
        <v>73</v>
      </c>
      <c r="E1781" s="10">
        <v>46122.526388888888</v>
      </c>
      <c r="F1781" s="10">
        <v>46122.981944444444</v>
      </c>
      <c r="G1781">
        <v>10.933333333333334</v>
      </c>
      <c r="H1781" s="9">
        <f t="shared" si="81"/>
        <v>5.7999999999999996E-2</v>
      </c>
      <c r="I1781">
        <v>4.4999999999999998E-2</v>
      </c>
      <c r="K1781">
        <v>1.2999999999999999E-2</v>
      </c>
      <c r="M1781" t="s">
        <v>28</v>
      </c>
      <c r="N1781" t="s">
        <v>40</v>
      </c>
      <c r="O1781" t="s">
        <v>354</v>
      </c>
      <c r="P1781" t="s">
        <v>30</v>
      </c>
      <c r="Q1781" t="s">
        <v>31</v>
      </c>
      <c r="R1781">
        <v>82409</v>
      </c>
      <c r="S1781" t="s">
        <v>74</v>
      </c>
      <c r="T1781">
        <v>82664</v>
      </c>
      <c r="U1781" t="s">
        <v>75</v>
      </c>
      <c r="V1781" t="s">
        <v>75</v>
      </c>
      <c r="W1781" t="s">
        <v>74</v>
      </c>
      <c r="X1781" t="s">
        <v>74</v>
      </c>
      <c r="Y1781" s="9">
        <f t="shared" si="82"/>
        <v>1.2999999999999999E-2</v>
      </c>
      <c r="Z1781" t="str">
        <f t="shared" si="83"/>
        <v>สแกนต่าง Cost</v>
      </c>
    </row>
    <row r="1782" spans="1:26" x14ac:dyDescent="0.45">
      <c r="B1782" t="s">
        <v>53</v>
      </c>
      <c r="C1782">
        <v>20167851</v>
      </c>
      <c r="D1782" t="s">
        <v>63</v>
      </c>
      <c r="E1782" s="10">
        <v>46122.458333333336</v>
      </c>
      <c r="F1782" s="10">
        <v>46122.5</v>
      </c>
      <c r="G1782">
        <v>1</v>
      </c>
      <c r="H1782" s="9">
        <f t="shared" si="81"/>
        <v>5.0000000000000001E-3</v>
      </c>
      <c r="I1782">
        <v>5.0000000000000001E-3</v>
      </c>
      <c r="M1782" t="s">
        <v>65</v>
      </c>
      <c r="N1782" t="s">
        <v>29</v>
      </c>
      <c r="P1782" t="s">
        <v>30</v>
      </c>
      <c r="Q1782" t="s">
        <v>31</v>
      </c>
      <c r="R1782">
        <v>82640</v>
      </c>
      <c r="S1782" t="s">
        <v>42</v>
      </c>
      <c r="T1782">
        <v>82630</v>
      </c>
      <c r="U1782" t="s">
        <v>32</v>
      </c>
      <c r="V1782" t="s">
        <v>66</v>
      </c>
      <c r="W1782" t="s">
        <v>44</v>
      </c>
      <c r="X1782" t="s">
        <v>44</v>
      </c>
      <c r="Y1782" s="9">
        <f t="shared" si="82"/>
        <v>0</v>
      </c>
      <c r="Z1782" t="str">
        <f t="shared" si="83"/>
        <v>สแกนต่าง Cost</v>
      </c>
    </row>
    <row r="1783" spans="1:26" x14ac:dyDescent="0.45">
      <c r="B1783" t="s">
        <v>53</v>
      </c>
      <c r="C1783">
        <v>20310530</v>
      </c>
      <c r="D1783" t="s">
        <v>220</v>
      </c>
      <c r="E1783" s="10">
        <v>46122.458333333336</v>
      </c>
      <c r="F1783" s="10">
        <v>46122.5</v>
      </c>
      <c r="G1783">
        <v>1</v>
      </c>
      <c r="H1783" s="9">
        <f t="shared" si="81"/>
        <v>5.0000000000000001E-3</v>
      </c>
      <c r="I1783">
        <v>5.0000000000000001E-3</v>
      </c>
      <c r="M1783" t="s">
        <v>65</v>
      </c>
      <c r="N1783" t="s">
        <v>29</v>
      </c>
      <c r="P1783" t="s">
        <v>30</v>
      </c>
      <c r="Q1783" t="s">
        <v>31</v>
      </c>
      <c r="R1783">
        <v>82640</v>
      </c>
      <c r="S1783" t="s">
        <v>42</v>
      </c>
      <c r="T1783">
        <v>82611</v>
      </c>
      <c r="U1783" t="s">
        <v>43</v>
      </c>
      <c r="V1783" t="s">
        <v>66</v>
      </c>
      <c r="W1783" t="s">
        <v>44</v>
      </c>
      <c r="X1783" t="s">
        <v>44</v>
      </c>
      <c r="Y1783" s="9">
        <f t="shared" si="82"/>
        <v>0</v>
      </c>
      <c r="Z1783" t="str">
        <f t="shared" si="83"/>
        <v>สแกนต่าง Cost</v>
      </c>
    </row>
    <row r="1784" spans="1:26" x14ac:dyDescent="0.45">
      <c r="B1784" t="s">
        <v>53</v>
      </c>
      <c r="C1784">
        <v>20310532</v>
      </c>
      <c r="D1784" t="s">
        <v>61</v>
      </c>
      <c r="E1784" s="10">
        <v>46122.458333333336</v>
      </c>
      <c r="F1784" s="10">
        <v>46122.5</v>
      </c>
      <c r="G1784">
        <v>1</v>
      </c>
      <c r="H1784" s="9">
        <f t="shared" si="81"/>
        <v>5.0000000000000001E-3</v>
      </c>
      <c r="I1784">
        <v>5.0000000000000001E-3</v>
      </c>
      <c r="M1784" t="s">
        <v>65</v>
      </c>
      <c r="N1784" t="s">
        <v>29</v>
      </c>
      <c r="P1784" t="s">
        <v>30</v>
      </c>
      <c r="Q1784" t="s">
        <v>31</v>
      </c>
      <c r="R1784">
        <v>82640</v>
      </c>
      <c r="S1784" t="s">
        <v>42</v>
      </c>
      <c r="T1784">
        <v>82630</v>
      </c>
      <c r="U1784" t="s">
        <v>32</v>
      </c>
      <c r="V1784" t="s">
        <v>66</v>
      </c>
      <c r="W1784" t="s">
        <v>44</v>
      </c>
      <c r="X1784" t="s">
        <v>44</v>
      </c>
      <c r="Y1784" s="9">
        <f t="shared" si="82"/>
        <v>0</v>
      </c>
      <c r="Z1784" t="str">
        <f t="shared" si="83"/>
        <v>สแกนต่าง Cost</v>
      </c>
    </row>
    <row r="1785" spans="1:26" x14ac:dyDescent="0.45">
      <c r="B1785" t="s">
        <v>53</v>
      </c>
      <c r="C1785">
        <v>20368087</v>
      </c>
      <c r="D1785" t="s">
        <v>260</v>
      </c>
      <c r="E1785" s="10">
        <v>46122.4375</v>
      </c>
      <c r="F1785" s="10">
        <v>46122.5</v>
      </c>
      <c r="G1785">
        <v>1.5</v>
      </c>
      <c r="H1785" s="9">
        <f t="shared" si="81"/>
        <v>8.0000000000000002E-3</v>
      </c>
      <c r="I1785">
        <v>8.0000000000000002E-3</v>
      </c>
      <c r="M1785" t="s">
        <v>65</v>
      </c>
      <c r="N1785" t="s">
        <v>29</v>
      </c>
      <c r="P1785" t="s">
        <v>30</v>
      </c>
      <c r="Q1785" t="s">
        <v>31</v>
      </c>
      <c r="R1785">
        <v>82640</v>
      </c>
      <c r="S1785" t="s">
        <v>42</v>
      </c>
      <c r="T1785">
        <v>82630</v>
      </c>
      <c r="U1785" t="s">
        <v>32</v>
      </c>
      <c r="V1785" t="s">
        <v>66</v>
      </c>
      <c r="W1785" t="s">
        <v>44</v>
      </c>
      <c r="X1785" t="s">
        <v>44</v>
      </c>
      <c r="Y1785" s="9">
        <f t="shared" si="82"/>
        <v>0</v>
      </c>
      <c r="Z1785" t="str">
        <f t="shared" si="83"/>
        <v>สแกนต่าง Cost</v>
      </c>
    </row>
    <row r="1786" spans="1:26" x14ac:dyDescent="0.45">
      <c r="B1786" t="s">
        <v>53</v>
      </c>
      <c r="C1786">
        <v>20198839</v>
      </c>
      <c r="D1786" t="s">
        <v>258</v>
      </c>
      <c r="E1786" s="10">
        <v>46122.416666666664</v>
      </c>
      <c r="F1786" s="10">
        <v>46122.479166666664</v>
      </c>
      <c r="G1786">
        <v>1.5</v>
      </c>
      <c r="H1786" s="9">
        <f t="shared" si="81"/>
        <v>8.0000000000000002E-3</v>
      </c>
      <c r="I1786">
        <v>8.0000000000000002E-3</v>
      </c>
      <c r="M1786" t="s">
        <v>65</v>
      </c>
      <c r="N1786" t="s">
        <v>29</v>
      </c>
      <c r="P1786" t="s">
        <v>30</v>
      </c>
      <c r="Q1786" t="s">
        <v>31</v>
      </c>
      <c r="R1786">
        <v>82640</v>
      </c>
      <c r="S1786" t="s">
        <v>42</v>
      </c>
      <c r="T1786">
        <v>82630</v>
      </c>
      <c r="U1786" t="s">
        <v>32</v>
      </c>
      <c r="V1786" t="s">
        <v>66</v>
      </c>
      <c r="W1786" t="s">
        <v>44</v>
      </c>
      <c r="X1786" t="s">
        <v>44</v>
      </c>
      <c r="Y1786" s="9">
        <f t="shared" si="82"/>
        <v>0</v>
      </c>
      <c r="Z1786" t="str">
        <f t="shared" si="83"/>
        <v>สแกนต่าง Cost</v>
      </c>
    </row>
    <row r="1787" spans="1:26" x14ac:dyDescent="0.45">
      <c r="B1787" t="s">
        <v>53</v>
      </c>
      <c r="C1787">
        <v>20310532</v>
      </c>
      <c r="D1787" t="s">
        <v>61</v>
      </c>
      <c r="E1787" s="10">
        <v>46122.416666666664</v>
      </c>
      <c r="F1787" s="10">
        <v>46122.458333333336</v>
      </c>
      <c r="G1787">
        <v>1</v>
      </c>
      <c r="H1787" s="9">
        <f t="shared" si="81"/>
        <v>5.0000000000000001E-3</v>
      </c>
      <c r="I1787">
        <v>5.0000000000000001E-3</v>
      </c>
      <c r="M1787" t="s">
        <v>65</v>
      </c>
      <c r="N1787" t="s">
        <v>29</v>
      </c>
      <c r="P1787" t="s">
        <v>30</v>
      </c>
      <c r="Q1787" t="s">
        <v>31</v>
      </c>
      <c r="R1787">
        <v>82640</v>
      </c>
      <c r="S1787" t="s">
        <v>42</v>
      </c>
      <c r="T1787">
        <v>82612</v>
      </c>
      <c r="U1787" t="s">
        <v>153</v>
      </c>
      <c r="V1787" t="s">
        <v>66</v>
      </c>
      <c r="W1787" t="s">
        <v>44</v>
      </c>
      <c r="X1787" t="s">
        <v>44</v>
      </c>
      <c r="Y1787" s="9">
        <f t="shared" si="82"/>
        <v>0</v>
      </c>
      <c r="Z1787" t="str">
        <f t="shared" si="83"/>
        <v>สแกนต่าง Cost</v>
      </c>
    </row>
    <row r="1788" spans="1:26" x14ac:dyDescent="0.45">
      <c r="A1788">
        <v>26566</v>
      </c>
      <c r="B1788" t="s">
        <v>53</v>
      </c>
      <c r="C1788">
        <v>20075031</v>
      </c>
      <c r="D1788" t="s">
        <v>191</v>
      </c>
      <c r="E1788" s="10">
        <v>46122.375</v>
      </c>
      <c r="F1788" s="10">
        <v>46122.729166666664</v>
      </c>
      <c r="G1788">
        <v>7.5</v>
      </c>
      <c r="H1788" s="9">
        <f t="shared" si="81"/>
        <v>0.04</v>
      </c>
      <c r="I1788">
        <v>0.04</v>
      </c>
      <c r="M1788" t="s">
        <v>65</v>
      </c>
      <c r="N1788" t="s">
        <v>29</v>
      </c>
      <c r="P1788" t="s">
        <v>30</v>
      </c>
      <c r="Q1788" t="s">
        <v>31</v>
      </c>
      <c r="R1788">
        <v>82640</v>
      </c>
      <c r="S1788" t="s">
        <v>42</v>
      </c>
      <c r="T1788">
        <v>82611</v>
      </c>
      <c r="U1788" t="s">
        <v>43</v>
      </c>
      <c r="V1788" t="s">
        <v>43</v>
      </c>
      <c r="W1788" t="s">
        <v>47</v>
      </c>
      <c r="X1788" t="s">
        <v>192</v>
      </c>
      <c r="Y1788" s="9">
        <f t="shared" si="82"/>
        <v>0</v>
      </c>
      <c r="Z1788" t="str">
        <f t="shared" si="83"/>
        <v>สแกนต่าง Cost</v>
      </c>
    </row>
    <row r="1789" spans="1:26" x14ac:dyDescent="0.45">
      <c r="A1789">
        <v>26567</v>
      </c>
      <c r="B1789" t="s">
        <v>53</v>
      </c>
      <c r="C1789">
        <v>20309061</v>
      </c>
      <c r="D1789" t="s">
        <v>355</v>
      </c>
      <c r="E1789" s="10">
        <v>46122.375</v>
      </c>
      <c r="F1789" s="10">
        <v>46122.583333333336</v>
      </c>
      <c r="G1789">
        <v>4</v>
      </c>
      <c r="H1789" s="9">
        <f t="shared" si="81"/>
        <v>2.1000000000000001E-2</v>
      </c>
      <c r="I1789">
        <v>2.1000000000000001E-2</v>
      </c>
      <c r="M1789" t="s">
        <v>65</v>
      </c>
      <c r="N1789" t="s">
        <v>29</v>
      </c>
      <c r="P1789" t="s">
        <v>30</v>
      </c>
      <c r="Q1789" t="s">
        <v>31</v>
      </c>
      <c r="R1789">
        <v>82899</v>
      </c>
      <c r="S1789" t="s">
        <v>356</v>
      </c>
      <c r="T1789">
        <v>82640</v>
      </c>
      <c r="U1789" t="s">
        <v>42</v>
      </c>
      <c r="V1789" t="s">
        <v>155</v>
      </c>
      <c r="W1789" t="s">
        <v>47</v>
      </c>
      <c r="X1789" t="s">
        <v>95</v>
      </c>
      <c r="Y1789" s="9">
        <f t="shared" si="82"/>
        <v>0</v>
      </c>
      <c r="Z1789" t="str">
        <f t="shared" si="83"/>
        <v>สแกนต่าง Cost</v>
      </c>
    </row>
    <row r="1790" spans="1:26" x14ac:dyDescent="0.45">
      <c r="B1790" t="s">
        <v>53</v>
      </c>
      <c r="C1790">
        <v>20401500</v>
      </c>
      <c r="E1790" s="10">
        <v>46122.375</v>
      </c>
      <c r="F1790" s="10">
        <v>46122.770833333336</v>
      </c>
      <c r="G1790">
        <v>9.5</v>
      </c>
      <c r="H1790" s="9">
        <f t="shared" si="81"/>
        <v>4.9999999999999996E-2</v>
      </c>
      <c r="I1790">
        <v>4.4999999999999998E-2</v>
      </c>
      <c r="K1790">
        <v>5.0000000000000001E-3</v>
      </c>
      <c r="M1790" t="s">
        <v>28</v>
      </c>
      <c r="N1790" t="s">
        <v>29</v>
      </c>
      <c r="P1790" t="s">
        <v>30</v>
      </c>
      <c r="R1790">
        <v>82612</v>
      </c>
      <c r="S1790" t="s">
        <v>153</v>
      </c>
      <c r="T1790">
        <v>82630</v>
      </c>
      <c r="U1790" t="s">
        <v>32</v>
      </c>
      <c r="V1790" t="s">
        <v>62</v>
      </c>
      <c r="W1790" t="s">
        <v>148</v>
      </c>
      <c r="X1790" t="s">
        <v>149</v>
      </c>
      <c r="Y1790" s="9">
        <f t="shared" si="82"/>
        <v>5.0000000000000001E-3</v>
      </c>
      <c r="Z1790" t="str">
        <f t="shared" si="83"/>
        <v>สแกนต่าง Cost</v>
      </c>
    </row>
    <row r="1791" spans="1:26" x14ac:dyDescent="0.45">
      <c r="B1791" t="s">
        <v>26</v>
      </c>
      <c r="C1791">
        <v>20403254</v>
      </c>
      <c r="D1791" t="s">
        <v>126</v>
      </c>
      <c r="E1791" s="10">
        <v>46122.356944444444</v>
      </c>
      <c r="F1791" s="10">
        <v>46122.709722222222</v>
      </c>
      <c r="G1791">
        <v>7.4666666666666668</v>
      </c>
      <c r="H1791" s="9">
        <f t="shared" si="81"/>
        <v>0.04</v>
      </c>
      <c r="I1791">
        <v>0.04</v>
      </c>
      <c r="M1791" t="s">
        <v>48</v>
      </c>
      <c r="N1791" t="s">
        <v>48</v>
      </c>
      <c r="P1791" t="s">
        <v>30</v>
      </c>
      <c r="Q1791" t="s">
        <v>31</v>
      </c>
      <c r="R1791">
        <v>82400</v>
      </c>
      <c r="S1791" t="s">
        <v>83</v>
      </c>
      <c r="T1791">
        <v>82611</v>
      </c>
      <c r="U1791" t="s">
        <v>43</v>
      </c>
      <c r="V1791" t="s">
        <v>43</v>
      </c>
      <c r="W1791" t="s">
        <v>42</v>
      </c>
      <c r="X1791" t="s">
        <v>38</v>
      </c>
      <c r="Y1791" s="9">
        <f t="shared" si="82"/>
        <v>0</v>
      </c>
      <c r="Z1791" t="str">
        <f t="shared" si="83"/>
        <v>สแกนต่าง Cost</v>
      </c>
    </row>
    <row r="1792" spans="1:26" x14ac:dyDescent="0.45">
      <c r="B1792" t="s">
        <v>26</v>
      </c>
      <c r="C1792">
        <v>20075988</v>
      </c>
      <c r="D1792" t="s">
        <v>325</v>
      </c>
      <c r="E1792" s="10">
        <v>46122.356249999997</v>
      </c>
      <c r="F1792" s="10">
        <v>46122.729166666664</v>
      </c>
      <c r="G1792">
        <v>7.9499999999999993</v>
      </c>
      <c r="H1792" s="9">
        <f t="shared" si="81"/>
        <v>4.2999999999999997E-2</v>
      </c>
      <c r="I1792">
        <v>4.2999999999999997E-2</v>
      </c>
      <c r="M1792" t="s">
        <v>65</v>
      </c>
      <c r="N1792" t="s">
        <v>29</v>
      </c>
      <c r="P1792" t="s">
        <v>30</v>
      </c>
      <c r="Q1792" t="s">
        <v>31</v>
      </c>
      <c r="R1792">
        <v>82607</v>
      </c>
      <c r="S1792" t="s">
        <v>168</v>
      </c>
      <c r="T1792">
        <v>82622</v>
      </c>
      <c r="U1792" t="s">
        <v>147</v>
      </c>
      <c r="V1792" t="s">
        <v>147</v>
      </c>
      <c r="W1792" t="s">
        <v>326</v>
      </c>
      <c r="X1792" t="s">
        <v>34</v>
      </c>
      <c r="Y1792" s="9">
        <f t="shared" si="82"/>
        <v>0</v>
      </c>
      <c r="Z1792" t="str">
        <f t="shared" si="83"/>
        <v>สแกนต่าง Cost</v>
      </c>
    </row>
    <row r="1793" spans="1:26" x14ac:dyDescent="0.45">
      <c r="A1793">
        <v>26565</v>
      </c>
      <c r="B1793" t="s">
        <v>53</v>
      </c>
      <c r="C1793">
        <v>20014916</v>
      </c>
      <c r="D1793" t="s">
        <v>167</v>
      </c>
      <c r="E1793" s="10">
        <v>46122.354166666664</v>
      </c>
      <c r="F1793" s="10">
        <v>46122.729166666664</v>
      </c>
      <c r="G1793">
        <v>8</v>
      </c>
      <c r="H1793" s="9">
        <f t="shared" si="81"/>
        <v>4.2999999999999997E-2</v>
      </c>
      <c r="I1793">
        <v>4.2999999999999997E-2</v>
      </c>
      <c r="M1793" t="s">
        <v>65</v>
      </c>
      <c r="N1793" t="s">
        <v>29</v>
      </c>
      <c r="P1793" t="s">
        <v>133</v>
      </c>
      <c r="Q1793" t="s">
        <v>31</v>
      </c>
      <c r="R1793">
        <v>82607</v>
      </c>
      <c r="S1793" t="s">
        <v>168</v>
      </c>
      <c r="T1793">
        <v>82640</v>
      </c>
      <c r="U1793" t="s">
        <v>42</v>
      </c>
      <c r="V1793" t="s">
        <v>155</v>
      </c>
      <c r="W1793" t="s">
        <v>47</v>
      </c>
      <c r="X1793" t="s">
        <v>95</v>
      </c>
      <c r="Y1793" s="9">
        <f t="shared" si="82"/>
        <v>0</v>
      </c>
      <c r="Z1793" t="str">
        <f t="shared" si="83"/>
        <v>สแกนต่าง Cost</v>
      </c>
    </row>
    <row r="1794" spans="1:26" x14ac:dyDescent="0.45">
      <c r="B1794" t="s">
        <v>53</v>
      </c>
      <c r="C1794">
        <v>20026534</v>
      </c>
      <c r="D1794" t="s">
        <v>279</v>
      </c>
      <c r="E1794" s="10">
        <v>46122.354166666664</v>
      </c>
      <c r="F1794" s="10">
        <v>46122.5</v>
      </c>
      <c r="G1794">
        <v>3.5</v>
      </c>
      <c r="H1794" s="9">
        <f t="shared" si="81"/>
        <v>1.9E-2</v>
      </c>
      <c r="I1794">
        <v>1.9E-2</v>
      </c>
      <c r="M1794" t="s">
        <v>65</v>
      </c>
      <c r="N1794" t="s">
        <v>29</v>
      </c>
      <c r="P1794" t="s">
        <v>30</v>
      </c>
      <c r="Q1794" t="s">
        <v>31</v>
      </c>
      <c r="R1794">
        <v>82640</v>
      </c>
      <c r="S1794" t="s">
        <v>42</v>
      </c>
      <c r="T1794">
        <v>82630</v>
      </c>
      <c r="U1794" t="s">
        <v>32</v>
      </c>
      <c r="V1794" t="s">
        <v>66</v>
      </c>
      <c r="W1794" t="s">
        <v>44</v>
      </c>
      <c r="X1794" t="s">
        <v>44</v>
      </c>
      <c r="Y1794" s="9">
        <f t="shared" si="82"/>
        <v>0</v>
      </c>
      <c r="Z1794" t="str">
        <f t="shared" si="83"/>
        <v>สแกนต่าง Cost</v>
      </c>
    </row>
    <row r="1795" spans="1:26" x14ac:dyDescent="0.45">
      <c r="A1795">
        <v>26564</v>
      </c>
      <c r="B1795" t="s">
        <v>53</v>
      </c>
      <c r="C1795">
        <v>20030773</v>
      </c>
      <c r="D1795" t="s">
        <v>357</v>
      </c>
      <c r="E1795" s="10">
        <v>46122.354166666664</v>
      </c>
      <c r="F1795" s="10">
        <v>46122.520833333336</v>
      </c>
      <c r="G1795">
        <v>4</v>
      </c>
      <c r="H1795" s="9">
        <f t="shared" ref="H1795:H1858" si="84">SUM(I1795:L1795)</f>
        <v>2.1000000000000001E-2</v>
      </c>
      <c r="I1795">
        <v>2.1000000000000001E-2</v>
      </c>
      <c r="M1795" t="s">
        <v>65</v>
      </c>
      <c r="N1795" t="s">
        <v>29</v>
      </c>
      <c r="P1795" t="s">
        <v>133</v>
      </c>
      <c r="Q1795" t="s">
        <v>31</v>
      </c>
      <c r="R1795">
        <v>82640</v>
      </c>
      <c r="S1795" t="s">
        <v>42</v>
      </c>
      <c r="T1795">
        <v>82611</v>
      </c>
      <c r="U1795" t="s">
        <v>43</v>
      </c>
      <c r="V1795" t="s">
        <v>43</v>
      </c>
      <c r="W1795" t="s">
        <v>47</v>
      </c>
      <c r="X1795" t="s">
        <v>192</v>
      </c>
      <c r="Y1795" s="9">
        <f t="shared" ref="Y1795:Y1858" si="85">SUM(J1795:L1795)</f>
        <v>0</v>
      </c>
      <c r="Z1795" t="str">
        <f t="shared" ref="Z1795:Z1858" si="86">IF(R1795=T1795,"สแกน Cost ตัวเอง","สแกนต่าง Cost")</f>
        <v>สแกนต่าง Cost</v>
      </c>
    </row>
    <row r="1796" spans="1:26" x14ac:dyDescent="0.45">
      <c r="B1796" t="s">
        <v>53</v>
      </c>
      <c r="C1796">
        <v>20244923</v>
      </c>
      <c r="D1796" t="s">
        <v>246</v>
      </c>
      <c r="E1796" s="10">
        <v>46122.354166666664</v>
      </c>
      <c r="F1796" s="10">
        <v>46122.5</v>
      </c>
      <c r="G1796">
        <v>3.5</v>
      </c>
      <c r="H1796" s="9">
        <f t="shared" si="84"/>
        <v>1.9E-2</v>
      </c>
      <c r="I1796">
        <v>1.9E-2</v>
      </c>
      <c r="M1796" t="s">
        <v>65</v>
      </c>
      <c r="N1796" t="s">
        <v>29</v>
      </c>
      <c r="P1796" t="s">
        <v>30</v>
      </c>
      <c r="Q1796" t="s">
        <v>31</v>
      </c>
      <c r="R1796">
        <v>82640</v>
      </c>
      <c r="S1796" t="s">
        <v>42</v>
      </c>
      <c r="T1796">
        <v>82630</v>
      </c>
      <c r="U1796" t="s">
        <v>32</v>
      </c>
      <c r="V1796" t="s">
        <v>66</v>
      </c>
      <c r="W1796" t="s">
        <v>44</v>
      </c>
      <c r="X1796" t="s">
        <v>44</v>
      </c>
      <c r="Y1796" s="9">
        <f t="shared" si="85"/>
        <v>0</v>
      </c>
      <c r="Z1796" t="str">
        <f t="shared" si="86"/>
        <v>สแกนต่าง Cost</v>
      </c>
    </row>
    <row r="1797" spans="1:26" x14ac:dyDescent="0.45">
      <c r="B1797" t="s">
        <v>53</v>
      </c>
      <c r="C1797">
        <v>20310530</v>
      </c>
      <c r="D1797" t="s">
        <v>220</v>
      </c>
      <c r="E1797" s="10">
        <v>46122.354166666664</v>
      </c>
      <c r="F1797" s="10">
        <v>46122.458333333336</v>
      </c>
      <c r="G1797">
        <v>2.5</v>
      </c>
      <c r="H1797" s="9">
        <f t="shared" si="84"/>
        <v>1.2999999999999999E-2</v>
      </c>
      <c r="I1797">
        <v>1.2999999999999999E-2</v>
      </c>
      <c r="M1797" t="s">
        <v>65</v>
      </c>
      <c r="N1797" t="s">
        <v>29</v>
      </c>
      <c r="P1797" t="s">
        <v>30</v>
      </c>
      <c r="Q1797" t="s">
        <v>31</v>
      </c>
      <c r="R1797">
        <v>82640</v>
      </c>
      <c r="S1797" t="s">
        <v>42</v>
      </c>
      <c r="T1797">
        <v>82630</v>
      </c>
      <c r="U1797" t="s">
        <v>32</v>
      </c>
      <c r="V1797" t="s">
        <v>66</v>
      </c>
      <c r="W1797" t="s">
        <v>44</v>
      </c>
      <c r="X1797" t="s">
        <v>44</v>
      </c>
      <c r="Y1797" s="9">
        <f t="shared" si="85"/>
        <v>0</v>
      </c>
      <c r="Z1797" t="str">
        <f t="shared" si="86"/>
        <v>สแกนต่าง Cost</v>
      </c>
    </row>
    <row r="1798" spans="1:26" x14ac:dyDescent="0.45">
      <c r="B1798" t="s">
        <v>53</v>
      </c>
      <c r="C1798">
        <v>20340657</v>
      </c>
      <c r="D1798" t="s">
        <v>221</v>
      </c>
      <c r="E1798" s="10">
        <v>46122.354166666664</v>
      </c>
      <c r="F1798" s="10">
        <v>46122.5</v>
      </c>
      <c r="G1798">
        <v>3.5</v>
      </c>
      <c r="H1798" s="9">
        <f t="shared" si="84"/>
        <v>1.9E-2</v>
      </c>
      <c r="J1798">
        <v>1.9E-2</v>
      </c>
      <c r="M1798" t="s">
        <v>77</v>
      </c>
      <c r="N1798" t="s">
        <v>29</v>
      </c>
      <c r="P1798" t="s">
        <v>30</v>
      </c>
      <c r="Q1798" t="s">
        <v>31</v>
      </c>
      <c r="R1798">
        <v>82640</v>
      </c>
      <c r="S1798" t="s">
        <v>42</v>
      </c>
      <c r="T1798">
        <v>82612</v>
      </c>
      <c r="U1798" t="s">
        <v>153</v>
      </c>
      <c r="V1798" t="s">
        <v>66</v>
      </c>
      <c r="W1798" t="s">
        <v>44</v>
      </c>
      <c r="X1798" t="s">
        <v>44</v>
      </c>
      <c r="Y1798" s="9">
        <f t="shared" si="85"/>
        <v>1.9E-2</v>
      </c>
      <c r="Z1798" t="str">
        <f t="shared" si="86"/>
        <v>สแกนต่าง Cost</v>
      </c>
    </row>
    <row r="1799" spans="1:26" x14ac:dyDescent="0.45">
      <c r="A1799">
        <v>26313</v>
      </c>
      <c r="B1799" t="s">
        <v>53</v>
      </c>
      <c r="C1799">
        <v>20004913</v>
      </c>
      <c r="D1799" t="s">
        <v>87</v>
      </c>
      <c r="E1799" s="10">
        <v>46122.333333333336</v>
      </c>
      <c r="F1799" s="10">
        <v>46122.729166666664</v>
      </c>
      <c r="G1799">
        <v>8.5</v>
      </c>
      <c r="H1799" s="9">
        <f t="shared" si="84"/>
        <v>4.4999999999999998E-2</v>
      </c>
      <c r="I1799">
        <v>4.4999999999999998E-2</v>
      </c>
      <c r="M1799" t="s">
        <v>65</v>
      </c>
      <c r="N1799" t="s">
        <v>29</v>
      </c>
      <c r="P1799" t="s">
        <v>30</v>
      </c>
      <c r="Q1799" t="s">
        <v>31</v>
      </c>
      <c r="R1799">
        <v>82301</v>
      </c>
      <c r="S1799" t="s">
        <v>79</v>
      </c>
      <c r="T1799">
        <v>82308</v>
      </c>
      <c r="U1799" t="s">
        <v>69</v>
      </c>
      <c r="V1799" t="s">
        <v>69</v>
      </c>
      <c r="W1799" t="s">
        <v>69</v>
      </c>
      <c r="X1799" t="s">
        <v>88</v>
      </c>
      <c r="Y1799" s="9">
        <f t="shared" si="85"/>
        <v>0</v>
      </c>
      <c r="Z1799" t="str">
        <f t="shared" si="86"/>
        <v>สแกนต่าง Cost</v>
      </c>
    </row>
    <row r="1800" spans="1:26" x14ac:dyDescent="0.45">
      <c r="A1800">
        <v>26700</v>
      </c>
      <c r="B1800" t="s">
        <v>53</v>
      </c>
      <c r="C1800">
        <v>20018611</v>
      </c>
      <c r="D1800" t="s">
        <v>132</v>
      </c>
      <c r="E1800" s="10">
        <v>46122.333333333336</v>
      </c>
      <c r="F1800" s="10">
        <v>46122.729166666664</v>
      </c>
      <c r="G1800">
        <v>8.5</v>
      </c>
      <c r="H1800" s="9">
        <f t="shared" si="84"/>
        <v>4.4999999999999998E-2</v>
      </c>
      <c r="I1800">
        <v>4.4999999999999998E-2</v>
      </c>
      <c r="M1800" t="s">
        <v>65</v>
      </c>
      <c r="N1800" t="s">
        <v>29</v>
      </c>
      <c r="P1800" t="s">
        <v>133</v>
      </c>
      <c r="Q1800" t="s">
        <v>31</v>
      </c>
      <c r="R1800">
        <v>82301</v>
      </c>
      <c r="S1800" t="s">
        <v>79</v>
      </c>
      <c r="T1800">
        <v>82308</v>
      </c>
      <c r="U1800" t="s">
        <v>69</v>
      </c>
      <c r="V1800" t="s">
        <v>69</v>
      </c>
      <c r="W1800" t="s">
        <v>69</v>
      </c>
      <c r="X1800" t="s">
        <v>95</v>
      </c>
      <c r="Y1800" s="9">
        <f t="shared" si="85"/>
        <v>0</v>
      </c>
      <c r="Z1800" t="str">
        <f t="shared" si="86"/>
        <v>สแกนต่าง Cost</v>
      </c>
    </row>
    <row r="1801" spans="1:26" x14ac:dyDescent="0.45">
      <c r="B1801" t="s">
        <v>53</v>
      </c>
      <c r="C1801">
        <v>20018899</v>
      </c>
      <c r="D1801" t="s">
        <v>64</v>
      </c>
      <c r="E1801" s="10">
        <v>46122.333333333336</v>
      </c>
      <c r="F1801" s="10">
        <v>46122.5</v>
      </c>
      <c r="G1801">
        <v>4</v>
      </c>
      <c r="H1801" s="9">
        <f t="shared" si="84"/>
        <v>2.1000000000000001E-2</v>
      </c>
      <c r="I1801">
        <v>2.1000000000000001E-2</v>
      </c>
      <c r="M1801" t="s">
        <v>65</v>
      </c>
      <c r="N1801" t="s">
        <v>29</v>
      </c>
      <c r="P1801" t="s">
        <v>30</v>
      </c>
      <c r="Q1801" t="s">
        <v>31</v>
      </c>
      <c r="R1801">
        <v>82640</v>
      </c>
      <c r="S1801" t="s">
        <v>42</v>
      </c>
      <c r="T1801">
        <v>82652</v>
      </c>
      <c r="U1801" t="s">
        <v>46</v>
      </c>
      <c r="V1801" t="s">
        <v>66</v>
      </c>
      <c r="W1801" t="s">
        <v>37</v>
      </c>
      <c r="X1801" t="s">
        <v>34</v>
      </c>
      <c r="Y1801" s="9">
        <f t="shared" si="85"/>
        <v>0</v>
      </c>
      <c r="Z1801" t="str">
        <f t="shared" si="86"/>
        <v>สแกนต่าง Cost</v>
      </c>
    </row>
    <row r="1802" spans="1:26" x14ac:dyDescent="0.45">
      <c r="B1802" t="s">
        <v>53</v>
      </c>
      <c r="C1802">
        <v>20023163</v>
      </c>
      <c r="D1802" t="s">
        <v>169</v>
      </c>
      <c r="E1802" s="10">
        <v>46122.333333333336</v>
      </c>
      <c r="F1802" s="10">
        <v>46122.729166666664</v>
      </c>
      <c r="G1802">
        <v>8.5</v>
      </c>
      <c r="H1802" s="9">
        <f t="shared" si="84"/>
        <v>4.4999999999999998E-2</v>
      </c>
      <c r="I1802">
        <v>4.4999999999999998E-2</v>
      </c>
      <c r="M1802" t="s">
        <v>65</v>
      </c>
      <c r="N1802" t="s">
        <v>29</v>
      </c>
      <c r="P1802" t="s">
        <v>30</v>
      </c>
      <c r="Q1802" t="s">
        <v>31</v>
      </c>
      <c r="R1802">
        <v>82630</v>
      </c>
      <c r="S1802" t="s">
        <v>32</v>
      </c>
      <c r="T1802">
        <v>82640</v>
      </c>
      <c r="U1802" t="s">
        <v>42</v>
      </c>
      <c r="V1802" t="s">
        <v>70</v>
      </c>
      <c r="W1802" t="s">
        <v>170</v>
      </c>
      <c r="X1802" t="s">
        <v>171</v>
      </c>
      <c r="Y1802" s="9">
        <f t="shared" si="85"/>
        <v>0</v>
      </c>
      <c r="Z1802" t="str">
        <f t="shared" si="86"/>
        <v>สแกนต่าง Cost</v>
      </c>
    </row>
    <row r="1803" spans="1:26" x14ac:dyDescent="0.45">
      <c r="B1803" t="s">
        <v>26</v>
      </c>
      <c r="C1803">
        <v>20024254</v>
      </c>
      <c r="D1803" t="s">
        <v>233</v>
      </c>
      <c r="E1803" s="10">
        <v>46122.333333333336</v>
      </c>
      <c r="F1803" s="10">
        <v>46122.729166666664</v>
      </c>
      <c r="G1803">
        <v>8.5</v>
      </c>
      <c r="H1803" s="9">
        <f t="shared" si="84"/>
        <v>4.4999999999999998E-2</v>
      </c>
      <c r="I1803">
        <v>4.4999999999999998E-2</v>
      </c>
      <c r="M1803" t="s">
        <v>65</v>
      </c>
      <c r="N1803" t="s">
        <v>29</v>
      </c>
      <c r="P1803" t="s">
        <v>30</v>
      </c>
      <c r="Q1803" t="s">
        <v>31</v>
      </c>
      <c r="R1803">
        <v>82910</v>
      </c>
      <c r="S1803" t="s">
        <v>201</v>
      </c>
      <c r="T1803">
        <v>82605</v>
      </c>
      <c r="U1803" t="s">
        <v>202</v>
      </c>
      <c r="V1803" t="s">
        <v>202</v>
      </c>
      <c r="W1803" t="s">
        <v>37</v>
      </c>
      <c r="X1803" t="s">
        <v>47</v>
      </c>
      <c r="Y1803" s="9">
        <f t="shared" si="85"/>
        <v>0</v>
      </c>
      <c r="Z1803" t="str">
        <f t="shared" si="86"/>
        <v>สแกนต่าง Cost</v>
      </c>
    </row>
    <row r="1804" spans="1:26" x14ac:dyDescent="0.45">
      <c r="A1804">
        <v>26367</v>
      </c>
      <c r="B1804" t="s">
        <v>53</v>
      </c>
      <c r="C1804">
        <v>20025699</v>
      </c>
      <c r="D1804" t="s">
        <v>234</v>
      </c>
      <c r="E1804" s="10">
        <v>46122.333333333336</v>
      </c>
      <c r="F1804" s="10">
        <v>46122.6875</v>
      </c>
      <c r="G1804">
        <v>7.5</v>
      </c>
      <c r="H1804" s="9">
        <f t="shared" si="84"/>
        <v>0.04</v>
      </c>
      <c r="I1804">
        <v>0.04</v>
      </c>
      <c r="M1804" t="s">
        <v>65</v>
      </c>
      <c r="N1804" t="s">
        <v>29</v>
      </c>
      <c r="P1804" t="s">
        <v>30</v>
      </c>
      <c r="Q1804" t="s">
        <v>31</v>
      </c>
      <c r="R1804">
        <v>82301</v>
      </c>
      <c r="S1804" t="s">
        <v>79</v>
      </c>
      <c r="T1804">
        <v>82308</v>
      </c>
      <c r="U1804" t="s">
        <v>69</v>
      </c>
      <c r="V1804" t="s">
        <v>69</v>
      </c>
      <c r="W1804" t="s">
        <v>69</v>
      </c>
      <c r="X1804" t="s">
        <v>95</v>
      </c>
      <c r="Y1804" s="9">
        <f t="shared" si="85"/>
        <v>0</v>
      </c>
      <c r="Z1804" t="str">
        <f t="shared" si="86"/>
        <v>สแกนต่าง Cost</v>
      </c>
    </row>
    <row r="1805" spans="1:26" x14ac:dyDescent="0.45">
      <c r="B1805" t="s">
        <v>26</v>
      </c>
      <c r="C1805">
        <v>20025986</v>
      </c>
      <c r="D1805" t="s">
        <v>200</v>
      </c>
      <c r="E1805" s="10">
        <v>46122.333333333336</v>
      </c>
      <c r="F1805" s="10">
        <v>46122.729166666664</v>
      </c>
      <c r="G1805">
        <v>8.5</v>
      </c>
      <c r="H1805" s="9">
        <f t="shared" si="84"/>
        <v>4.4999999999999998E-2</v>
      </c>
      <c r="I1805">
        <v>4.4999999999999998E-2</v>
      </c>
      <c r="M1805" t="s">
        <v>65</v>
      </c>
      <c r="N1805" t="s">
        <v>29</v>
      </c>
      <c r="P1805" t="s">
        <v>30</v>
      </c>
      <c r="Q1805" t="s">
        <v>31</v>
      </c>
      <c r="R1805">
        <v>82910</v>
      </c>
      <c r="S1805" t="s">
        <v>201</v>
      </c>
      <c r="T1805">
        <v>82605</v>
      </c>
      <c r="U1805" t="s">
        <v>202</v>
      </c>
      <c r="V1805" t="s">
        <v>202</v>
      </c>
      <c r="W1805" t="s">
        <v>37</v>
      </c>
      <c r="X1805" t="s">
        <v>47</v>
      </c>
      <c r="Y1805" s="9">
        <f t="shared" si="85"/>
        <v>0</v>
      </c>
      <c r="Z1805" t="str">
        <f t="shared" si="86"/>
        <v>สแกนต่าง Cost</v>
      </c>
    </row>
    <row r="1806" spans="1:26" x14ac:dyDescent="0.45">
      <c r="A1806">
        <v>26205</v>
      </c>
      <c r="B1806" t="s">
        <v>53</v>
      </c>
      <c r="C1806">
        <v>20030839</v>
      </c>
      <c r="D1806" t="s">
        <v>235</v>
      </c>
      <c r="E1806" s="10">
        <v>46122.333333333336</v>
      </c>
      <c r="F1806" s="10">
        <v>46122.729166666664</v>
      </c>
      <c r="G1806">
        <v>8.5</v>
      </c>
      <c r="H1806" s="9">
        <f t="shared" si="84"/>
        <v>4.4999999999999998E-2</v>
      </c>
      <c r="I1806">
        <v>4.4999999999999998E-2</v>
      </c>
      <c r="M1806" t="s">
        <v>65</v>
      </c>
      <c r="N1806" t="s">
        <v>29</v>
      </c>
      <c r="P1806" t="s">
        <v>30</v>
      </c>
      <c r="Q1806" t="s">
        <v>31</v>
      </c>
      <c r="R1806">
        <v>82658</v>
      </c>
      <c r="S1806" t="s">
        <v>33</v>
      </c>
      <c r="T1806">
        <v>82664</v>
      </c>
      <c r="U1806" t="s">
        <v>75</v>
      </c>
      <c r="V1806" t="s">
        <v>75</v>
      </c>
      <c r="W1806" t="s">
        <v>37</v>
      </c>
      <c r="X1806" t="s">
        <v>111</v>
      </c>
      <c r="Y1806" s="9">
        <f t="shared" si="85"/>
        <v>0</v>
      </c>
      <c r="Z1806" t="str">
        <f t="shared" si="86"/>
        <v>สแกนต่าง Cost</v>
      </c>
    </row>
    <row r="1807" spans="1:26" x14ac:dyDescent="0.45">
      <c r="B1807" t="s">
        <v>53</v>
      </c>
      <c r="C1807">
        <v>20034535</v>
      </c>
      <c r="D1807" t="s">
        <v>99</v>
      </c>
      <c r="E1807" s="10">
        <v>46122.333333333336</v>
      </c>
      <c r="F1807" s="10">
        <v>46122.729166666664</v>
      </c>
      <c r="G1807">
        <v>8.5</v>
      </c>
      <c r="H1807" s="9">
        <f t="shared" si="84"/>
        <v>4.4999999999999998E-2</v>
      </c>
      <c r="I1807">
        <v>4.4999999999999998E-2</v>
      </c>
      <c r="M1807" t="s">
        <v>65</v>
      </c>
      <c r="N1807" t="s">
        <v>29</v>
      </c>
      <c r="P1807" t="s">
        <v>30</v>
      </c>
      <c r="Q1807" t="s">
        <v>31</v>
      </c>
      <c r="R1807">
        <v>82630</v>
      </c>
      <c r="S1807" t="s">
        <v>32</v>
      </c>
      <c r="T1807">
        <v>82611</v>
      </c>
      <c r="U1807" t="s">
        <v>43</v>
      </c>
      <c r="V1807" t="s">
        <v>43</v>
      </c>
      <c r="W1807" t="s">
        <v>170</v>
      </c>
      <c r="X1807" t="s">
        <v>171</v>
      </c>
      <c r="Y1807" s="9">
        <f t="shared" si="85"/>
        <v>0</v>
      </c>
      <c r="Z1807" t="str">
        <f t="shared" si="86"/>
        <v>สแกนต่าง Cost</v>
      </c>
    </row>
    <row r="1808" spans="1:26" x14ac:dyDescent="0.45">
      <c r="B1808" t="s">
        <v>53</v>
      </c>
      <c r="C1808">
        <v>20037938</v>
      </c>
      <c r="D1808" t="s">
        <v>172</v>
      </c>
      <c r="E1808" s="10">
        <v>46122.333333333336</v>
      </c>
      <c r="F1808" s="10">
        <v>46122.729166666664</v>
      </c>
      <c r="G1808">
        <v>8.5</v>
      </c>
      <c r="H1808" s="9">
        <f t="shared" si="84"/>
        <v>4.4999999999999998E-2</v>
      </c>
      <c r="I1808">
        <v>4.4999999999999998E-2</v>
      </c>
      <c r="M1808" t="s">
        <v>65</v>
      </c>
      <c r="N1808" t="s">
        <v>29</v>
      </c>
      <c r="P1808" t="s">
        <v>30</v>
      </c>
      <c r="Q1808" t="s">
        <v>31</v>
      </c>
      <c r="R1808">
        <v>82630</v>
      </c>
      <c r="S1808" t="s">
        <v>32</v>
      </c>
      <c r="T1808">
        <v>82611</v>
      </c>
      <c r="U1808" t="s">
        <v>43</v>
      </c>
      <c r="V1808" t="s">
        <v>43</v>
      </c>
      <c r="W1808" t="s">
        <v>170</v>
      </c>
      <c r="X1808" t="s">
        <v>171</v>
      </c>
      <c r="Y1808" s="9">
        <f t="shared" si="85"/>
        <v>0</v>
      </c>
      <c r="Z1808" t="str">
        <f t="shared" si="86"/>
        <v>สแกนต่าง Cost</v>
      </c>
    </row>
    <row r="1809" spans="1:26" x14ac:dyDescent="0.45">
      <c r="B1809" t="s">
        <v>53</v>
      </c>
      <c r="C1809">
        <v>20041131</v>
      </c>
      <c r="D1809" t="s">
        <v>173</v>
      </c>
      <c r="E1809" s="10">
        <v>46122.333333333336</v>
      </c>
      <c r="F1809" s="10">
        <v>46122.729166666664</v>
      </c>
      <c r="G1809">
        <v>8.5</v>
      </c>
      <c r="H1809" s="9">
        <f t="shared" si="84"/>
        <v>4.4999999999999998E-2</v>
      </c>
      <c r="I1809">
        <v>4.4999999999999998E-2</v>
      </c>
      <c r="M1809" t="s">
        <v>65</v>
      </c>
      <c r="N1809" t="s">
        <v>29</v>
      </c>
      <c r="P1809" t="s">
        <v>30</v>
      </c>
      <c r="Q1809" t="s">
        <v>31</v>
      </c>
      <c r="R1809">
        <v>82630</v>
      </c>
      <c r="S1809" t="s">
        <v>32</v>
      </c>
      <c r="T1809">
        <v>82611</v>
      </c>
      <c r="U1809" t="s">
        <v>43</v>
      </c>
      <c r="V1809" t="s">
        <v>43</v>
      </c>
      <c r="W1809" t="s">
        <v>170</v>
      </c>
      <c r="X1809" t="s">
        <v>171</v>
      </c>
      <c r="Y1809" s="9">
        <f t="shared" si="85"/>
        <v>0</v>
      </c>
      <c r="Z1809" t="str">
        <f t="shared" si="86"/>
        <v>สแกนต่าง Cost</v>
      </c>
    </row>
    <row r="1810" spans="1:26" x14ac:dyDescent="0.45">
      <c r="B1810" t="s">
        <v>53</v>
      </c>
      <c r="C1810">
        <v>20047023</v>
      </c>
      <c r="D1810" t="s">
        <v>271</v>
      </c>
      <c r="E1810" s="10">
        <v>46122.333333333336</v>
      </c>
      <c r="F1810" s="10">
        <v>46122.729166666664</v>
      </c>
      <c r="G1810">
        <v>8.5</v>
      </c>
      <c r="H1810" s="9">
        <f t="shared" si="84"/>
        <v>4.4999999999999998E-2</v>
      </c>
      <c r="I1810">
        <v>4.4999999999999998E-2</v>
      </c>
      <c r="M1810" t="s">
        <v>65</v>
      </c>
      <c r="N1810" t="s">
        <v>29</v>
      </c>
      <c r="P1810" t="s">
        <v>30</v>
      </c>
      <c r="Q1810" t="s">
        <v>31</v>
      </c>
      <c r="R1810">
        <v>82607</v>
      </c>
      <c r="S1810" t="s">
        <v>168</v>
      </c>
      <c r="T1810">
        <v>82630</v>
      </c>
      <c r="U1810" t="s">
        <v>32</v>
      </c>
      <c r="V1810" t="s">
        <v>155</v>
      </c>
      <c r="W1810" t="s">
        <v>148</v>
      </c>
      <c r="X1810" t="s">
        <v>95</v>
      </c>
      <c r="Y1810" s="9">
        <f t="shared" si="85"/>
        <v>0</v>
      </c>
      <c r="Z1810" t="str">
        <f t="shared" si="86"/>
        <v>สแกนต่าง Cost</v>
      </c>
    </row>
    <row r="1811" spans="1:26" x14ac:dyDescent="0.45">
      <c r="B1811" t="s">
        <v>26</v>
      </c>
      <c r="C1811">
        <v>20066762</v>
      </c>
      <c r="D1811" t="s">
        <v>203</v>
      </c>
      <c r="E1811" s="10">
        <v>46122.333333333336</v>
      </c>
      <c r="F1811" s="10">
        <v>46122.729166666664</v>
      </c>
      <c r="G1811">
        <v>8.5</v>
      </c>
      <c r="H1811" s="9">
        <f t="shared" si="84"/>
        <v>4.4999999999999998E-2</v>
      </c>
      <c r="I1811">
        <v>4.4999999999999998E-2</v>
      </c>
      <c r="M1811" t="s">
        <v>65</v>
      </c>
      <c r="N1811" t="s">
        <v>29</v>
      </c>
      <c r="P1811" t="s">
        <v>30</v>
      </c>
      <c r="Q1811" t="s">
        <v>31</v>
      </c>
      <c r="R1811">
        <v>82910</v>
      </c>
      <c r="S1811" t="s">
        <v>201</v>
      </c>
      <c r="T1811">
        <v>82605</v>
      </c>
      <c r="U1811" t="s">
        <v>202</v>
      </c>
      <c r="V1811" t="s">
        <v>202</v>
      </c>
      <c r="W1811" t="s">
        <v>37</v>
      </c>
      <c r="X1811" t="s">
        <v>47</v>
      </c>
      <c r="Y1811" s="9">
        <f t="shared" si="85"/>
        <v>0</v>
      </c>
      <c r="Z1811" t="str">
        <f t="shared" si="86"/>
        <v>สแกนต่าง Cost</v>
      </c>
    </row>
    <row r="1812" spans="1:26" x14ac:dyDescent="0.45">
      <c r="B1812" t="s">
        <v>53</v>
      </c>
      <c r="C1812">
        <v>20074473</v>
      </c>
      <c r="D1812" t="s">
        <v>276</v>
      </c>
      <c r="E1812" s="10">
        <v>46122.333333333336</v>
      </c>
      <c r="F1812" s="10">
        <v>46122.729166666664</v>
      </c>
      <c r="G1812">
        <v>8.5</v>
      </c>
      <c r="H1812" s="9">
        <f t="shared" si="84"/>
        <v>4.4999999999999998E-2</v>
      </c>
      <c r="I1812">
        <v>4.4999999999999998E-2</v>
      </c>
      <c r="M1812" t="s">
        <v>65</v>
      </c>
      <c r="N1812" t="s">
        <v>29</v>
      </c>
      <c r="P1812" t="s">
        <v>30</v>
      </c>
      <c r="Q1812" t="s">
        <v>31</v>
      </c>
      <c r="R1812">
        <v>82630</v>
      </c>
      <c r="S1812" t="s">
        <v>32</v>
      </c>
      <c r="T1812">
        <v>82640</v>
      </c>
      <c r="U1812" t="s">
        <v>42</v>
      </c>
      <c r="V1812" t="s">
        <v>70</v>
      </c>
      <c r="W1812" t="s">
        <v>170</v>
      </c>
      <c r="X1812" t="s">
        <v>171</v>
      </c>
      <c r="Y1812" s="9">
        <f t="shared" si="85"/>
        <v>0</v>
      </c>
      <c r="Z1812" t="str">
        <f t="shared" si="86"/>
        <v>สแกนต่าง Cost</v>
      </c>
    </row>
    <row r="1813" spans="1:26" x14ac:dyDescent="0.45">
      <c r="B1813" t="s">
        <v>53</v>
      </c>
      <c r="C1813">
        <v>20075871</v>
      </c>
      <c r="D1813" t="s">
        <v>174</v>
      </c>
      <c r="E1813" s="10">
        <v>46122.333333333336</v>
      </c>
      <c r="F1813" s="10">
        <v>46122.729166666664</v>
      </c>
      <c r="G1813">
        <v>8.5</v>
      </c>
      <c r="H1813" s="9">
        <f t="shared" si="84"/>
        <v>4.4999999999999998E-2</v>
      </c>
      <c r="I1813">
        <v>4.4999999999999998E-2</v>
      </c>
      <c r="M1813" t="s">
        <v>65</v>
      </c>
      <c r="N1813" t="s">
        <v>29</v>
      </c>
      <c r="P1813" t="s">
        <v>133</v>
      </c>
      <c r="Q1813" t="s">
        <v>31</v>
      </c>
      <c r="R1813">
        <v>82301</v>
      </c>
      <c r="S1813" t="s">
        <v>79</v>
      </c>
      <c r="T1813">
        <v>82308</v>
      </c>
      <c r="U1813" t="s">
        <v>69</v>
      </c>
      <c r="V1813" t="s">
        <v>69</v>
      </c>
      <c r="W1813" t="s">
        <v>69</v>
      </c>
      <c r="X1813" t="s">
        <v>95</v>
      </c>
      <c r="Y1813" s="9">
        <f t="shared" si="85"/>
        <v>0</v>
      </c>
      <c r="Z1813" t="str">
        <f t="shared" si="86"/>
        <v>สแกนต่าง Cost</v>
      </c>
    </row>
    <row r="1814" spans="1:26" x14ac:dyDescent="0.45">
      <c r="A1814">
        <v>26707</v>
      </c>
      <c r="B1814" t="s">
        <v>53</v>
      </c>
      <c r="C1814">
        <v>20076436</v>
      </c>
      <c r="D1814" t="s">
        <v>131</v>
      </c>
      <c r="E1814" s="10">
        <v>46122.333333333336</v>
      </c>
      <c r="F1814" s="10">
        <v>46122.729166666664</v>
      </c>
      <c r="G1814">
        <v>8.5</v>
      </c>
      <c r="H1814" s="9">
        <f t="shared" si="84"/>
        <v>4.4999999999999998E-2</v>
      </c>
      <c r="I1814">
        <v>4.4999999999999998E-2</v>
      </c>
      <c r="M1814" t="s">
        <v>65</v>
      </c>
      <c r="N1814" t="s">
        <v>29</v>
      </c>
      <c r="P1814" t="s">
        <v>30</v>
      </c>
      <c r="Q1814" t="s">
        <v>31</v>
      </c>
      <c r="R1814">
        <v>82301</v>
      </c>
      <c r="S1814" t="s">
        <v>79</v>
      </c>
      <c r="T1814">
        <v>82308</v>
      </c>
      <c r="U1814" t="s">
        <v>69</v>
      </c>
      <c r="V1814" t="s">
        <v>69</v>
      </c>
      <c r="W1814" t="s">
        <v>69</v>
      </c>
      <c r="X1814" t="s">
        <v>95</v>
      </c>
      <c r="Y1814" s="9">
        <f t="shared" si="85"/>
        <v>0</v>
      </c>
      <c r="Z1814" t="str">
        <f t="shared" si="86"/>
        <v>สแกนต่าง Cost</v>
      </c>
    </row>
    <row r="1815" spans="1:26" x14ac:dyDescent="0.45">
      <c r="A1815">
        <v>26204</v>
      </c>
      <c r="B1815" t="s">
        <v>53</v>
      </c>
      <c r="C1815">
        <v>20162724</v>
      </c>
      <c r="D1815" t="s">
        <v>128</v>
      </c>
      <c r="E1815" s="10">
        <v>46122.333333333336</v>
      </c>
      <c r="F1815" s="10">
        <v>46122.729166666664</v>
      </c>
      <c r="G1815">
        <v>8.5</v>
      </c>
      <c r="H1815" s="9">
        <f t="shared" si="84"/>
        <v>4.4999999999999998E-2</v>
      </c>
      <c r="I1815">
        <v>4.4999999999999998E-2</v>
      </c>
      <c r="M1815" t="s">
        <v>65</v>
      </c>
      <c r="N1815" t="s">
        <v>29</v>
      </c>
      <c r="P1815" t="s">
        <v>30</v>
      </c>
      <c r="Q1815" t="s">
        <v>31</v>
      </c>
      <c r="R1815">
        <v>82658</v>
      </c>
      <c r="S1815" t="s">
        <v>33</v>
      </c>
      <c r="T1815">
        <v>82664</v>
      </c>
      <c r="U1815" t="s">
        <v>75</v>
      </c>
      <c r="V1815" t="s">
        <v>75</v>
      </c>
      <c r="W1815" t="s">
        <v>37</v>
      </c>
      <c r="X1815" t="s">
        <v>111</v>
      </c>
      <c r="Y1815" s="9">
        <f t="shared" si="85"/>
        <v>0</v>
      </c>
      <c r="Z1815" t="str">
        <f t="shared" si="86"/>
        <v>สแกนต่าง Cost</v>
      </c>
    </row>
    <row r="1816" spans="1:26" x14ac:dyDescent="0.45">
      <c r="B1816" t="s">
        <v>53</v>
      </c>
      <c r="C1816">
        <v>20167851</v>
      </c>
      <c r="D1816" t="s">
        <v>63</v>
      </c>
      <c r="E1816" s="10">
        <v>46122.333333333336</v>
      </c>
      <c r="F1816" s="10">
        <v>46122.4375</v>
      </c>
      <c r="G1816">
        <v>2.5</v>
      </c>
      <c r="H1816" s="9">
        <f t="shared" si="84"/>
        <v>1.2999999999999999E-2</v>
      </c>
      <c r="I1816">
        <v>1.2999999999999999E-2</v>
      </c>
      <c r="M1816" t="s">
        <v>65</v>
      </c>
      <c r="N1816" t="s">
        <v>29</v>
      </c>
      <c r="P1816" t="s">
        <v>30</v>
      </c>
      <c r="Q1816" t="s">
        <v>31</v>
      </c>
      <c r="R1816">
        <v>82640</v>
      </c>
      <c r="S1816" t="s">
        <v>42</v>
      </c>
      <c r="T1816">
        <v>82612</v>
      </c>
      <c r="U1816" t="s">
        <v>153</v>
      </c>
      <c r="V1816" t="s">
        <v>66</v>
      </c>
      <c r="W1816" t="s">
        <v>44</v>
      </c>
      <c r="X1816" t="s">
        <v>44</v>
      </c>
      <c r="Y1816" s="9">
        <f t="shared" si="85"/>
        <v>0</v>
      </c>
      <c r="Z1816" t="str">
        <f t="shared" si="86"/>
        <v>สแกนต่าง Cost</v>
      </c>
    </row>
    <row r="1817" spans="1:26" x14ac:dyDescent="0.45">
      <c r="B1817" t="s">
        <v>53</v>
      </c>
      <c r="C1817">
        <v>20198711</v>
      </c>
      <c r="D1817" t="s">
        <v>178</v>
      </c>
      <c r="E1817" s="10">
        <v>46122.333333333336</v>
      </c>
      <c r="F1817" s="10">
        <v>46122.729166666664</v>
      </c>
      <c r="G1817">
        <v>8.5</v>
      </c>
      <c r="H1817" s="9">
        <f t="shared" si="84"/>
        <v>4.4999999999999998E-2</v>
      </c>
      <c r="I1817">
        <v>4.4999999999999998E-2</v>
      </c>
      <c r="M1817" t="s">
        <v>65</v>
      </c>
      <c r="N1817" t="s">
        <v>29</v>
      </c>
      <c r="P1817" t="s">
        <v>30</v>
      </c>
      <c r="Q1817" t="s">
        <v>31</v>
      </c>
      <c r="R1817">
        <v>82630</v>
      </c>
      <c r="S1817" t="s">
        <v>32</v>
      </c>
      <c r="T1817">
        <v>82611</v>
      </c>
      <c r="U1817" t="s">
        <v>43</v>
      </c>
      <c r="V1817" t="s">
        <v>43</v>
      </c>
      <c r="W1817" t="s">
        <v>170</v>
      </c>
      <c r="X1817" t="s">
        <v>171</v>
      </c>
      <c r="Y1817" s="9">
        <f t="shared" si="85"/>
        <v>0</v>
      </c>
      <c r="Z1817" t="str">
        <f t="shared" si="86"/>
        <v>สแกนต่าง Cost</v>
      </c>
    </row>
    <row r="1818" spans="1:26" x14ac:dyDescent="0.45">
      <c r="B1818" t="s">
        <v>53</v>
      </c>
      <c r="C1818">
        <v>20198715</v>
      </c>
      <c r="D1818" t="s">
        <v>179</v>
      </c>
      <c r="E1818" s="10">
        <v>46122.333333333336</v>
      </c>
      <c r="F1818" s="10">
        <v>46122.729166666664</v>
      </c>
      <c r="G1818">
        <v>8.5</v>
      </c>
      <c r="H1818" s="9">
        <f t="shared" si="84"/>
        <v>4.4999999999999998E-2</v>
      </c>
      <c r="I1818">
        <v>4.4999999999999998E-2</v>
      </c>
      <c r="M1818" t="s">
        <v>65</v>
      </c>
      <c r="N1818" t="s">
        <v>29</v>
      </c>
      <c r="P1818" t="s">
        <v>30</v>
      </c>
      <c r="Q1818" t="s">
        <v>31</v>
      </c>
      <c r="R1818">
        <v>82630</v>
      </c>
      <c r="S1818" t="s">
        <v>32</v>
      </c>
      <c r="T1818">
        <v>82611</v>
      </c>
      <c r="U1818" t="s">
        <v>43</v>
      </c>
      <c r="V1818" t="s">
        <v>43</v>
      </c>
      <c r="W1818" t="s">
        <v>170</v>
      </c>
      <c r="X1818" t="s">
        <v>171</v>
      </c>
      <c r="Y1818" s="9">
        <f t="shared" si="85"/>
        <v>0</v>
      </c>
      <c r="Z1818" t="str">
        <f t="shared" si="86"/>
        <v>สแกนต่าง Cost</v>
      </c>
    </row>
    <row r="1819" spans="1:26" x14ac:dyDescent="0.45">
      <c r="B1819" t="s">
        <v>53</v>
      </c>
      <c r="C1819">
        <v>20198747</v>
      </c>
      <c r="D1819" t="s">
        <v>180</v>
      </c>
      <c r="E1819" s="10">
        <v>46122.333333333336</v>
      </c>
      <c r="F1819" s="10">
        <v>46122.729166666664</v>
      </c>
      <c r="G1819">
        <v>8.5</v>
      </c>
      <c r="H1819" s="9">
        <f t="shared" si="84"/>
        <v>4.4999999999999998E-2</v>
      </c>
      <c r="I1819">
        <v>4.4999999999999998E-2</v>
      </c>
      <c r="M1819" t="s">
        <v>65</v>
      </c>
      <c r="N1819" t="s">
        <v>29</v>
      </c>
      <c r="P1819" t="s">
        <v>30</v>
      </c>
      <c r="Q1819" t="s">
        <v>31</v>
      </c>
      <c r="R1819">
        <v>82630</v>
      </c>
      <c r="S1819" t="s">
        <v>32</v>
      </c>
      <c r="T1819">
        <v>82640</v>
      </c>
      <c r="U1819" t="s">
        <v>42</v>
      </c>
      <c r="V1819" t="s">
        <v>70</v>
      </c>
      <c r="W1819" t="s">
        <v>170</v>
      </c>
      <c r="X1819" t="s">
        <v>171</v>
      </c>
      <c r="Y1819" s="9">
        <f t="shared" si="85"/>
        <v>0</v>
      </c>
      <c r="Z1819" t="str">
        <f t="shared" si="86"/>
        <v>สแกนต่าง Cost</v>
      </c>
    </row>
    <row r="1820" spans="1:26" x14ac:dyDescent="0.45">
      <c r="A1820">
        <v>26206</v>
      </c>
      <c r="B1820" t="s">
        <v>53</v>
      </c>
      <c r="C1820">
        <v>20198835</v>
      </c>
      <c r="D1820" t="s">
        <v>129</v>
      </c>
      <c r="E1820" s="10">
        <v>46122.333333333336</v>
      </c>
      <c r="F1820" s="10">
        <v>46122.729166666664</v>
      </c>
      <c r="G1820">
        <v>8.5</v>
      </c>
      <c r="H1820" s="9">
        <f t="shared" si="84"/>
        <v>4.4999999999999998E-2</v>
      </c>
      <c r="I1820">
        <v>4.4999999999999998E-2</v>
      </c>
      <c r="M1820" t="s">
        <v>65</v>
      </c>
      <c r="N1820" t="s">
        <v>29</v>
      </c>
      <c r="P1820" t="s">
        <v>30</v>
      </c>
      <c r="Q1820" t="s">
        <v>31</v>
      </c>
      <c r="R1820">
        <v>82658</v>
      </c>
      <c r="S1820" t="s">
        <v>33</v>
      </c>
      <c r="T1820">
        <v>82664</v>
      </c>
      <c r="U1820" t="s">
        <v>75</v>
      </c>
      <c r="V1820" t="s">
        <v>75</v>
      </c>
      <c r="W1820" t="s">
        <v>37</v>
      </c>
      <c r="X1820" t="s">
        <v>111</v>
      </c>
      <c r="Y1820" s="9">
        <f t="shared" si="85"/>
        <v>0</v>
      </c>
      <c r="Z1820" t="str">
        <f t="shared" si="86"/>
        <v>สแกนต่าง Cost</v>
      </c>
    </row>
    <row r="1821" spans="1:26" x14ac:dyDescent="0.45">
      <c r="B1821" t="s">
        <v>53</v>
      </c>
      <c r="C1821">
        <v>20220646</v>
      </c>
      <c r="D1821" t="s">
        <v>67</v>
      </c>
      <c r="E1821" s="10">
        <v>46122.333333333336</v>
      </c>
      <c r="F1821" s="10">
        <v>46122.5</v>
      </c>
      <c r="G1821">
        <v>4</v>
      </c>
      <c r="H1821" s="9">
        <f t="shared" si="84"/>
        <v>2.1000000000000001E-2</v>
      </c>
      <c r="I1821">
        <v>2.1000000000000001E-2</v>
      </c>
      <c r="M1821" t="s">
        <v>65</v>
      </c>
      <c r="N1821" t="s">
        <v>29</v>
      </c>
      <c r="P1821" t="s">
        <v>30</v>
      </c>
      <c r="Q1821" t="s">
        <v>31</v>
      </c>
      <c r="R1821">
        <v>82640</v>
      </c>
      <c r="S1821" t="s">
        <v>42</v>
      </c>
      <c r="T1821">
        <v>82652</v>
      </c>
      <c r="U1821" t="s">
        <v>46</v>
      </c>
      <c r="V1821" t="s">
        <v>66</v>
      </c>
      <c r="W1821" t="s">
        <v>37</v>
      </c>
      <c r="X1821" t="s">
        <v>34</v>
      </c>
      <c r="Y1821" s="9">
        <f t="shared" si="85"/>
        <v>0</v>
      </c>
      <c r="Z1821" t="str">
        <f t="shared" si="86"/>
        <v>สแกนต่าง Cost</v>
      </c>
    </row>
    <row r="1822" spans="1:26" x14ac:dyDescent="0.45">
      <c r="B1822" t="s">
        <v>53</v>
      </c>
      <c r="C1822">
        <v>20244923</v>
      </c>
      <c r="D1822" t="s">
        <v>246</v>
      </c>
      <c r="E1822" s="10">
        <v>46122.333333333336</v>
      </c>
      <c r="F1822" s="10">
        <v>46122.354166666664</v>
      </c>
      <c r="G1822">
        <v>0.5</v>
      </c>
      <c r="H1822" s="9">
        <f t="shared" si="84"/>
        <v>3.0000000000000001E-3</v>
      </c>
      <c r="I1822">
        <v>3.0000000000000001E-3</v>
      </c>
      <c r="M1822" t="s">
        <v>65</v>
      </c>
      <c r="N1822" t="s">
        <v>29</v>
      </c>
      <c r="P1822" t="s">
        <v>30</v>
      </c>
      <c r="Q1822" t="s">
        <v>31</v>
      </c>
      <c r="R1822">
        <v>82640</v>
      </c>
      <c r="S1822" t="s">
        <v>42</v>
      </c>
      <c r="T1822">
        <v>82612</v>
      </c>
      <c r="U1822" t="s">
        <v>153</v>
      </c>
      <c r="V1822" t="s">
        <v>66</v>
      </c>
      <c r="W1822" t="s">
        <v>44</v>
      </c>
      <c r="X1822" t="s">
        <v>44</v>
      </c>
      <c r="Y1822" s="9">
        <f t="shared" si="85"/>
        <v>0</v>
      </c>
      <c r="Z1822" t="str">
        <f t="shared" si="86"/>
        <v>สแกนต่าง Cost</v>
      </c>
    </row>
    <row r="1823" spans="1:26" x14ac:dyDescent="0.45">
      <c r="A1823">
        <v>26210</v>
      </c>
      <c r="B1823" t="s">
        <v>53</v>
      </c>
      <c r="C1823">
        <v>20267288</v>
      </c>
      <c r="D1823" t="s">
        <v>127</v>
      </c>
      <c r="E1823" s="10">
        <v>46122.333333333336</v>
      </c>
      <c r="F1823" s="10">
        <v>46122.806250000001</v>
      </c>
      <c r="G1823">
        <v>11.35</v>
      </c>
      <c r="H1823" s="9">
        <f t="shared" si="84"/>
        <v>0.06</v>
      </c>
      <c r="I1823">
        <v>4.4999999999999998E-2</v>
      </c>
      <c r="K1823">
        <v>1.4999999999999999E-2</v>
      </c>
      <c r="M1823" t="s">
        <v>28</v>
      </c>
      <c r="N1823" t="s">
        <v>40</v>
      </c>
      <c r="O1823" t="s">
        <v>227</v>
      </c>
      <c r="P1823" t="s">
        <v>30</v>
      </c>
      <c r="Q1823" t="s">
        <v>31</v>
      </c>
      <c r="R1823">
        <v>82409</v>
      </c>
      <c r="S1823" t="s">
        <v>74</v>
      </c>
      <c r="T1823">
        <v>82664</v>
      </c>
      <c r="U1823" t="s">
        <v>75</v>
      </c>
      <c r="V1823" t="s">
        <v>75</v>
      </c>
      <c r="W1823" t="s">
        <v>74</v>
      </c>
      <c r="X1823" t="s">
        <v>74</v>
      </c>
      <c r="Y1823" s="9">
        <f t="shared" si="85"/>
        <v>1.4999999999999999E-2</v>
      </c>
      <c r="Z1823" t="str">
        <f t="shared" si="86"/>
        <v>สแกนต่าง Cost</v>
      </c>
    </row>
    <row r="1824" spans="1:26" x14ac:dyDescent="0.45">
      <c r="A1824">
        <v>26368</v>
      </c>
      <c r="B1824" t="s">
        <v>53</v>
      </c>
      <c r="C1824">
        <v>20276264</v>
      </c>
      <c r="D1824" t="s">
        <v>236</v>
      </c>
      <c r="E1824" s="10">
        <v>46122.333333333336</v>
      </c>
      <c r="F1824" s="10">
        <v>46122.729166666664</v>
      </c>
      <c r="G1824">
        <v>8.5</v>
      </c>
      <c r="H1824" s="9">
        <f t="shared" si="84"/>
        <v>4.4999999999999998E-2</v>
      </c>
      <c r="I1824">
        <v>4.4999999999999998E-2</v>
      </c>
      <c r="M1824" t="s">
        <v>65</v>
      </c>
      <c r="N1824" t="s">
        <v>29</v>
      </c>
      <c r="P1824" t="s">
        <v>30</v>
      </c>
      <c r="Q1824" t="s">
        <v>31</v>
      </c>
      <c r="R1824">
        <v>82301</v>
      </c>
      <c r="S1824" t="s">
        <v>79</v>
      </c>
      <c r="T1824">
        <v>82308</v>
      </c>
      <c r="U1824" t="s">
        <v>69</v>
      </c>
      <c r="V1824" t="s">
        <v>69</v>
      </c>
      <c r="W1824" t="s">
        <v>69</v>
      </c>
      <c r="X1824" t="s">
        <v>95</v>
      </c>
      <c r="Y1824" s="9">
        <f t="shared" si="85"/>
        <v>0</v>
      </c>
      <c r="Z1824" t="str">
        <f t="shared" si="86"/>
        <v>สแกนต่าง Cost</v>
      </c>
    </row>
    <row r="1825" spans="1:26" x14ac:dyDescent="0.45">
      <c r="B1825" t="s">
        <v>53</v>
      </c>
      <c r="C1825">
        <v>20280722</v>
      </c>
      <c r="D1825" t="s">
        <v>342</v>
      </c>
      <c r="E1825" s="10">
        <v>46122.333333333336</v>
      </c>
      <c r="F1825" s="10">
        <v>46122.5</v>
      </c>
      <c r="G1825">
        <v>4</v>
      </c>
      <c r="H1825" s="9">
        <f t="shared" si="84"/>
        <v>2.1000000000000001E-2</v>
      </c>
      <c r="I1825">
        <v>2.1000000000000001E-2</v>
      </c>
      <c r="M1825" t="s">
        <v>65</v>
      </c>
      <c r="N1825" t="s">
        <v>29</v>
      </c>
      <c r="P1825" t="s">
        <v>30</v>
      </c>
      <c r="Q1825" t="s">
        <v>31</v>
      </c>
      <c r="R1825">
        <v>82640</v>
      </c>
      <c r="S1825" t="s">
        <v>42</v>
      </c>
      <c r="T1825">
        <v>82652</v>
      </c>
      <c r="U1825" t="s">
        <v>46</v>
      </c>
      <c r="V1825" t="s">
        <v>66</v>
      </c>
      <c r="W1825" t="s">
        <v>37</v>
      </c>
      <c r="X1825" t="s">
        <v>34</v>
      </c>
      <c r="Y1825" s="9">
        <f t="shared" si="85"/>
        <v>0</v>
      </c>
      <c r="Z1825" t="str">
        <f t="shared" si="86"/>
        <v>สแกนต่าง Cost</v>
      </c>
    </row>
    <row r="1826" spans="1:26" x14ac:dyDescent="0.45">
      <c r="B1826" t="s">
        <v>53</v>
      </c>
      <c r="C1826">
        <v>20310532</v>
      </c>
      <c r="D1826" t="s">
        <v>61</v>
      </c>
      <c r="E1826" s="10">
        <v>46122.333333333336</v>
      </c>
      <c r="F1826" s="10">
        <v>46122.416666666664</v>
      </c>
      <c r="G1826">
        <v>2</v>
      </c>
      <c r="H1826" s="9">
        <f t="shared" si="84"/>
        <v>1.0999999999999999E-2</v>
      </c>
      <c r="I1826">
        <v>1.0999999999999999E-2</v>
      </c>
      <c r="M1826" t="s">
        <v>65</v>
      </c>
      <c r="N1826" t="s">
        <v>29</v>
      </c>
      <c r="P1826" t="s">
        <v>30</v>
      </c>
      <c r="Q1826" t="s">
        <v>31</v>
      </c>
      <c r="R1826">
        <v>82640</v>
      </c>
      <c r="S1826" t="s">
        <v>42</v>
      </c>
      <c r="T1826">
        <v>82630</v>
      </c>
      <c r="U1826" t="s">
        <v>32</v>
      </c>
      <c r="V1826" t="s">
        <v>66</v>
      </c>
      <c r="W1826" t="s">
        <v>44</v>
      </c>
      <c r="X1826" t="s">
        <v>44</v>
      </c>
      <c r="Y1826" s="9">
        <f t="shared" si="85"/>
        <v>0</v>
      </c>
      <c r="Z1826" t="str">
        <f t="shared" si="86"/>
        <v>สแกนต่าง Cost</v>
      </c>
    </row>
    <row r="1827" spans="1:26" x14ac:dyDescent="0.45">
      <c r="B1827" t="s">
        <v>53</v>
      </c>
      <c r="C1827">
        <v>20319535</v>
      </c>
      <c r="D1827" t="s">
        <v>36</v>
      </c>
      <c r="E1827" s="10">
        <v>46122.333333333336</v>
      </c>
      <c r="F1827" s="10">
        <v>46122.729166666664</v>
      </c>
      <c r="G1827">
        <v>9.5</v>
      </c>
      <c r="H1827" s="9">
        <f t="shared" si="84"/>
        <v>5.0000000000000001E-3</v>
      </c>
      <c r="L1827">
        <v>5.0000000000000001E-3</v>
      </c>
      <c r="M1827" t="s">
        <v>255</v>
      </c>
      <c r="N1827" t="s">
        <v>29</v>
      </c>
      <c r="P1827" t="s">
        <v>30</v>
      </c>
      <c r="Q1827" t="s">
        <v>31</v>
      </c>
      <c r="R1827">
        <v>82630</v>
      </c>
      <c r="S1827" t="s">
        <v>32</v>
      </c>
      <c r="T1827">
        <v>82611</v>
      </c>
      <c r="U1827" t="s">
        <v>43</v>
      </c>
      <c r="V1827" t="s">
        <v>43</v>
      </c>
      <c r="W1827" t="s">
        <v>170</v>
      </c>
      <c r="X1827" t="s">
        <v>171</v>
      </c>
      <c r="Y1827" s="9">
        <f t="shared" si="85"/>
        <v>5.0000000000000001E-3</v>
      </c>
      <c r="Z1827" t="str">
        <f t="shared" si="86"/>
        <v>สแกนต่าง Cost</v>
      </c>
    </row>
    <row r="1828" spans="1:26" x14ac:dyDescent="0.45">
      <c r="B1828" t="s">
        <v>26</v>
      </c>
      <c r="C1828">
        <v>20330032</v>
      </c>
      <c r="D1828" t="s">
        <v>204</v>
      </c>
      <c r="E1828" s="10">
        <v>46122.333333333336</v>
      </c>
      <c r="F1828" s="10">
        <v>46122.729166666664</v>
      </c>
      <c r="G1828">
        <v>8.5</v>
      </c>
      <c r="H1828" s="9">
        <f t="shared" si="84"/>
        <v>4.4999999999999998E-2</v>
      </c>
      <c r="I1828">
        <v>4.4999999999999998E-2</v>
      </c>
      <c r="M1828" t="s">
        <v>65</v>
      </c>
      <c r="N1828" t="s">
        <v>29</v>
      </c>
      <c r="P1828" t="s">
        <v>30</v>
      </c>
      <c r="Q1828" t="s">
        <v>31</v>
      </c>
      <c r="R1828">
        <v>82910</v>
      </c>
      <c r="S1828" t="s">
        <v>201</v>
      </c>
      <c r="T1828">
        <v>82605</v>
      </c>
      <c r="U1828" t="s">
        <v>202</v>
      </c>
      <c r="V1828" t="s">
        <v>202</v>
      </c>
      <c r="W1828" t="s">
        <v>37</v>
      </c>
      <c r="X1828" t="s">
        <v>47</v>
      </c>
      <c r="Y1828" s="9">
        <f t="shared" si="85"/>
        <v>0</v>
      </c>
      <c r="Z1828" t="str">
        <f t="shared" si="86"/>
        <v>สแกนต่าง Cost</v>
      </c>
    </row>
    <row r="1829" spans="1:26" x14ac:dyDescent="0.45">
      <c r="B1829" t="s">
        <v>53</v>
      </c>
      <c r="C1829">
        <v>20344532</v>
      </c>
      <c r="D1829" t="s">
        <v>186</v>
      </c>
      <c r="E1829" s="10">
        <v>46122.333333333336</v>
      </c>
      <c r="F1829" s="10">
        <v>46122.729166666664</v>
      </c>
      <c r="G1829">
        <v>9.5</v>
      </c>
      <c r="H1829" s="9">
        <f t="shared" si="84"/>
        <v>4.9999999999999996E-2</v>
      </c>
      <c r="I1829">
        <v>4.4999999999999998E-2</v>
      </c>
      <c r="K1829">
        <v>5.0000000000000001E-3</v>
      </c>
      <c r="M1829" t="s">
        <v>28</v>
      </c>
      <c r="N1829" t="s">
        <v>29</v>
      </c>
      <c r="P1829" t="s">
        <v>30</v>
      </c>
      <c r="Q1829" t="s">
        <v>31</v>
      </c>
      <c r="R1829">
        <v>82630</v>
      </c>
      <c r="S1829" t="s">
        <v>32</v>
      </c>
      <c r="T1829">
        <v>82611</v>
      </c>
      <c r="U1829" t="s">
        <v>43</v>
      </c>
      <c r="V1829" t="s">
        <v>43</v>
      </c>
      <c r="W1829" t="s">
        <v>170</v>
      </c>
      <c r="X1829" t="s">
        <v>171</v>
      </c>
      <c r="Y1829" s="9">
        <f t="shared" si="85"/>
        <v>5.0000000000000001E-3</v>
      </c>
      <c r="Z1829" t="str">
        <f t="shared" si="86"/>
        <v>สแกนต่าง Cost</v>
      </c>
    </row>
    <row r="1830" spans="1:26" x14ac:dyDescent="0.45">
      <c r="A1830">
        <v>26208</v>
      </c>
      <c r="B1830" t="s">
        <v>53</v>
      </c>
      <c r="C1830">
        <v>20344551</v>
      </c>
      <c r="D1830" t="s">
        <v>110</v>
      </c>
      <c r="E1830" s="10">
        <v>46122.333333333336</v>
      </c>
      <c r="F1830" s="10">
        <v>46122.729166666664</v>
      </c>
      <c r="G1830">
        <v>8.5</v>
      </c>
      <c r="H1830" s="9">
        <f t="shared" si="84"/>
        <v>4.4999999999999998E-2</v>
      </c>
      <c r="J1830">
        <v>4.4999999999999998E-2</v>
      </c>
      <c r="M1830" t="s">
        <v>77</v>
      </c>
      <c r="N1830" t="s">
        <v>40</v>
      </c>
      <c r="O1830" t="s">
        <v>78</v>
      </c>
      <c r="P1830" t="s">
        <v>30</v>
      </c>
      <c r="Q1830" t="s">
        <v>31</v>
      </c>
      <c r="R1830">
        <v>82655</v>
      </c>
      <c r="S1830" t="s">
        <v>59</v>
      </c>
      <c r="T1830">
        <v>82664</v>
      </c>
      <c r="U1830" t="s">
        <v>75</v>
      </c>
      <c r="V1830" t="s">
        <v>75</v>
      </c>
      <c r="W1830" t="s">
        <v>37</v>
      </c>
      <c r="X1830" t="s">
        <v>111</v>
      </c>
      <c r="Y1830" s="9">
        <f t="shared" si="85"/>
        <v>4.4999999999999998E-2</v>
      </c>
      <c r="Z1830" t="str">
        <f t="shared" si="86"/>
        <v>สแกนต่าง Cost</v>
      </c>
    </row>
    <row r="1831" spans="1:26" x14ac:dyDescent="0.45">
      <c r="A1831">
        <v>26209</v>
      </c>
      <c r="B1831" t="s">
        <v>53</v>
      </c>
      <c r="C1831">
        <v>20344552</v>
      </c>
      <c r="D1831" t="s">
        <v>112</v>
      </c>
      <c r="E1831" s="10">
        <v>46122.333333333336</v>
      </c>
      <c r="F1831" s="10">
        <v>46122.729166666664</v>
      </c>
      <c r="G1831">
        <v>8.5</v>
      </c>
      <c r="H1831" s="9">
        <f t="shared" si="84"/>
        <v>4.4999999999999998E-2</v>
      </c>
      <c r="J1831">
        <v>4.4999999999999998E-2</v>
      </c>
      <c r="M1831" t="s">
        <v>77</v>
      </c>
      <c r="N1831" t="s">
        <v>40</v>
      </c>
      <c r="O1831" t="s">
        <v>78</v>
      </c>
      <c r="P1831" t="s">
        <v>30</v>
      </c>
      <c r="Q1831" t="s">
        <v>31</v>
      </c>
      <c r="R1831">
        <v>82655</v>
      </c>
      <c r="S1831" t="s">
        <v>59</v>
      </c>
      <c r="T1831">
        <v>82664</v>
      </c>
      <c r="U1831" t="s">
        <v>75</v>
      </c>
      <c r="V1831" t="s">
        <v>75</v>
      </c>
      <c r="W1831" t="s">
        <v>37</v>
      </c>
      <c r="X1831" t="s">
        <v>111</v>
      </c>
      <c r="Y1831" s="9">
        <f t="shared" si="85"/>
        <v>4.4999999999999998E-2</v>
      </c>
      <c r="Z1831" t="str">
        <f t="shared" si="86"/>
        <v>สแกนต่าง Cost</v>
      </c>
    </row>
    <row r="1832" spans="1:26" x14ac:dyDescent="0.45">
      <c r="B1832" t="s">
        <v>53</v>
      </c>
      <c r="C1832">
        <v>20352276</v>
      </c>
      <c r="D1832" t="s">
        <v>187</v>
      </c>
      <c r="E1832" s="10">
        <v>46122.333333333336</v>
      </c>
      <c r="F1832" s="10">
        <v>46122.729166666664</v>
      </c>
      <c r="G1832">
        <v>8.5</v>
      </c>
      <c r="H1832" s="9">
        <f t="shared" si="84"/>
        <v>4.4999999999999998E-2</v>
      </c>
      <c r="I1832">
        <v>4.4999999999999998E-2</v>
      </c>
      <c r="M1832" t="s">
        <v>65</v>
      </c>
      <c r="N1832" t="s">
        <v>29</v>
      </c>
      <c r="P1832" t="s">
        <v>30</v>
      </c>
      <c r="Q1832" t="s">
        <v>31</v>
      </c>
      <c r="R1832">
        <v>82630</v>
      </c>
      <c r="S1832" t="s">
        <v>32</v>
      </c>
      <c r="T1832">
        <v>82611</v>
      </c>
      <c r="U1832" t="s">
        <v>43</v>
      </c>
      <c r="V1832" t="s">
        <v>43</v>
      </c>
      <c r="W1832" t="s">
        <v>170</v>
      </c>
      <c r="X1832" t="s">
        <v>171</v>
      </c>
      <c r="Y1832" s="9">
        <f t="shared" si="85"/>
        <v>0</v>
      </c>
      <c r="Z1832" t="str">
        <f t="shared" si="86"/>
        <v>สแกนต่าง Cost</v>
      </c>
    </row>
    <row r="1833" spans="1:26" x14ac:dyDescent="0.45">
      <c r="B1833" t="s">
        <v>53</v>
      </c>
      <c r="C1833">
        <v>20368087</v>
      </c>
      <c r="D1833" t="s">
        <v>260</v>
      </c>
      <c r="E1833" s="10">
        <v>46122.333333333336</v>
      </c>
      <c r="F1833" s="10">
        <v>46122.4375</v>
      </c>
      <c r="G1833">
        <v>2.5</v>
      </c>
      <c r="H1833" s="9">
        <f t="shared" si="84"/>
        <v>1.2999999999999999E-2</v>
      </c>
      <c r="I1833">
        <v>1.2999999999999999E-2</v>
      </c>
      <c r="M1833" t="s">
        <v>65</v>
      </c>
      <c r="N1833" t="s">
        <v>29</v>
      </c>
      <c r="P1833" t="s">
        <v>30</v>
      </c>
      <c r="Q1833" t="s">
        <v>31</v>
      </c>
      <c r="R1833">
        <v>82640</v>
      </c>
      <c r="S1833" t="s">
        <v>42</v>
      </c>
      <c r="T1833">
        <v>82612</v>
      </c>
      <c r="U1833" t="s">
        <v>153</v>
      </c>
      <c r="V1833" t="s">
        <v>66</v>
      </c>
      <c r="W1833" t="s">
        <v>44</v>
      </c>
      <c r="X1833" t="s">
        <v>44</v>
      </c>
      <c r="Y1833" s="9">
        <f t="shared" si="85"/>
        <v>0</v>
      </c>
      <c r="Z1833" t="str">
        <f t="shared" si="86"/>
        <v>สแกนต่าง Cost</v>
      </c>
    </row>
    <row r="1834" spans="1:26" x14ac:dyDescent="0.45">
      <c r="A1834">
        <v>26207</v>
      </c>
      <c r="B1834" t="s">
        <v>53</v>
      </c>
      <c r="C1834">
        <v>20372709</v>
      </c>
      <c r="D1834" t="s">
        <v>130</v>
      </c>
      <c r="E1834" s="10">
        <v>46122.333333333336</v>
      </c>
      <c r="F1834" s="10">
        <v>46122.729166666664</v>
      </c>
      <c r="G1834">
        <v>8.5</v>
      </c>
      <c r="H1834" s="9">
        <f t="shared" si="84"/>
        <v>4.4999999999999998E-2</v>
      </c>
      <c r="I1834">
        <v>4.4999999999999998E-2</v>
      </c>
      <c r="M1834" t="s">
        <v>65</v>
      </c>
      <c r="N1834" t="s">
        <v>29</v>
      </c>
      <c r="P1834" t="s">
        <v>30</v>
      </c>
      <c r="Q1834" t="s">
        <v>31</v>
      </c>
      <c r="R1834">
        <v>82658</v>
      </c>
      <c r="S1834" t="s">
        <v>33</v>
      </c>
      <c r="T1834">
        <v>82664</v>
      </c>
      <c r="U1834" t="s">
        <v>75</v>
      </c>
      <c r="V1834" t="s">
        <v>75</v>
      </c>
      <c r="W1834" t="s">
        <v>37</v>
      </c>
      <c r="X1834" t="s">
        <v>111</v>
      </c>
      <c r="Y1834" s="9">
        <f t="shared" si="85"/>
        <v>0</v>
      </c>
      <c r="Z1834" t="str">
        <f t="shared" si="86"/>
        <v>สแกนต่าง Cost</v>
      </c>
    </row>
    <row r="1835" spans="1:26" x14ac:dyDescent="0.45">
      <c r="A1835">
        <v>26366</v>
      </c>
      <c r="B1835" t="s">
        <v>53</v>
      </c>
      <c r="C1835">
        <v>20374943</v>
      </c>
      <c r="D1835" t="s">
        <v>207</v>
      </c>
      <c r="E1835" s="10">
        <v>46122.333333333336</v>
      </c>
      <c r="F1835" s="10">
        <v>46122.6875</v>
      </c>
      <c r="G1835">
        <v>7.5</v>
      </c>
      <c r="H1835" s="9">
        <f t="shared" si="84"/>
        <v>0.04</v>
      </c>
      <c r="I1835">
        <v>0.04</v>
      </c>
      <c r="M1835" t="s">
        <v>65</v>
      </c>
      <c r="N1835" t="s">
        <v>29</v>
      </c>
      <c r="P1835" t="s">
        <v>30</v>
      </c>
      <c r="Q1835" t="s">
        <v>31</v>
      </c>
      <c r="R1835">
        <v>82301</v>
      </c>
      <c r="S1835" t="s">
        <v>79</v>
      </c>
      <c r="T1835">
        <v>82308</v>
      </c>
      <c r="U1835" t="s">
        <v>69</v>
      </c>
      <c r="V1835" t="s">
        <v>69</v>
      </c>
      <c r="W1835" t="s">
        <v>69</v>
      </c>
      <c r="X1835" t="s">
        <v>95</v>
      </c>
      <c r="Y1835" s="9">
        <f t="shared" si="85"/>
        <v>0</v>
      </c>
      <c r="Z1835" t="str">
        <f t="shared" si="86"/>
        <v>สแกนต่าง Cost</v>
      </c>
    </row>
    <row r="1836" spans="1:26" x14ac:dyDescent="0.45">
      <c r="A1836">
        <v>26667</v>
      </c>
      <c r="B1836" t="s">
        <v>53</v>
      </c>
      <c r="C1836">
        <v>20284710</v>
      </c>
      <c r="D1836" t="s">
        <v>182</v>
      </c>
      <c r="E1836" s="10">
        <v>46122.331250000003</v>
      </c>
      <c r="F1836" s="10">
        <v>46122.427083333336</v>
      </c>
      <c r="G1836">
        <v>2.2999999999999998</v>
      </c>
      <c r="H1836" s="9">
        <f t="shared" si="84"/>
        <v>1.2E-2</v>
      </c>
      <c r="K1836">
        <v>1.2E-2</v>
      </c>
      <c r="M1836" t="s">
        <v>28</v>
      </c>
      <c r="N1836" t="s">
        <v>40</v>
      </c>
      <c r="O1836" t="s">
        <v>242</v>
      </c>
      <c r="P1836" t="s">
        <v>30</v>
      </c>
      <c r="Q1836" t="s">
        <v>31</v>
      </c>
      <c r="R1836">
        <v>82210</v>
      </c>
      <c r="S1836" t="s">
        <v>184</v>
      </c>
      <c r="T1836">
        <v>82308</v>
      </c>
      <c r="U1836" t="s">
        <v>69</v>
      </c>
      <c r="V1836" t="s">
        <v>69</v>
      </c>
      <c r="W1836" t="s">
        <v>69</v>
      </c>
      <c r="X1836" t="s">
        <v>57</v>
      </c>
      <c r="Y1836" s="9">
        <f t="shared" si="85"/>
        <v>1.2E-2</v>
      </c>
      <c r="Z1836" t="str">
        <f t="shared" si="86"/>
        <v>สแกนต่าง Cost</v>
      </c>
    </row>
    <row r="1837" spans="1:26" x14ac:dyDescent="0.45">
      <c r="A1837">
        <v>26365</v>
      </c>
      <c r="B1837" t="s">
        <v>53</v>
      </c>
      <c r="C1837">
        <v>20017430</v>
      </c>
      <c r="D1837" t="s">
        <v>94</v>
      </c>
      <c r="E1837" s="10">
        <v>46122.294444444444</v>
      </c>
      <c r="F1837" s="10">
        <v>46122.729166666664</v>
      </c>
      <c r="G1837">
        <v>10.433333333333334</v>
      </c>
      <c r="H1837" s="9">
        <f t="shared" si="84"/>
        <v>5.5E-2</v>
      </c>
      <c r="I1837">
        <v>4.4999999999999998E-2</v>
      </c>
      <c r="K1837">
        <v>0.01</v>
      </c>
      <c r="M1837" t="s">
        <v>28</v>
      </c>
      <c r="N1837" t="s">
        <v>40</v>
      </c>
      <c r="O1837" t="s">
        <v>358</v>
      </c>
      <c r="P1837" t="s">
        <v>30</v>
      </c>
      <c r="Q1837" t="s">
        <v>31</v>
      </c>
      <c r="R1837">
        <v>82301</v>
      </c>
      <c r="S1837" t="s">
        <v>79</v>
      </c>
      <c r="T1837">
        <v>82308</v>
      </c>
      <c r="U1837" t="s">
        <v>69</v>
      </c>
      <c r="V1837" t="s">
        <v>69</v>
      </c>
      <c r="W1837" t="s">
        <v>69</v>
      </c>
      <c r="X1837" t="s">
        <v>95</v>
      </c>
      <c r="Y1837" s="9">
        <f t="shared" si="85"/>
        <v>0.01</v>
      </c>
      <c r="Z1837" t="str">
        <f t="shared" si="86"/>
        <v>สแกนต่าง Cost</v>
      </c>
    </row>
    <row r="1838" spans="1:26" x14ac:dyDescent="0.45">
      <c r="A1838">
        <v>26203</v>
      </c>
      <c r="B1838" t="s">
        <v>53</v>
      </c>
      <c r="C1838">
        <v>20214280</v>
      </c>
      <c r="D1838" t="s">
        <v>136</v>
      </c>
      <c r="E1838" s="10">
        <v>46122.25</v>
      </c>
      <c r="F1838" s="10">
        <v>46122.729166666664</v>
      </c>
      <c r="G1838">
        <v>11.5</v>
      </c>
      <c r="H1838" s="9">
        <f t="shared" si="84"/>
        <v>6.0999999999999999E-2</v>
      </c>
      <c r="I1838">
        <v>4.4999999999999998E-2</v>
      </c>
      <c r="K1838">
        <v>1.6E-2</v>
      </c>
      <c r="M1838" t="s">
        <v>28</v>
      </c>
      <c r="N1838" t="s">
        <v>40</v>
      </c>
      <c r="O1838" t="s">
        <v>41</v>
      </c>
      <c r="P1838" t="s">
        <v>30</v>
      </c>
      <c r="Q1838" t="s">
        <v>31</v>
      </c>
      <c r="R1838">
        <v>82415</v>
      </c>
      <c r="S1838" t="s">
        <v>137</v>
      </c>
      <c r="T1838">
        <v>82664</v>
      </c>
      <c r="U1838" t="s">
        <v>75</v>
      </c>
      <c r="V1838" t="s">
        <v>75</v>
      </c>
      <c r="W1838" t="s">
        <v>74</v>
      </c>
      <c r="X1838" t="s">
        <v>74</v>
      </c>
      <c r="Y1838" s="9">
        <f t="shared" si="85"/>
        <v>1.6E-2</v>
      </c>
      <c r="Z1838" t="str">
        <f t="shared" si="86"/>
        <v>สแกนต่าง Cost</v>
      </c>
    </row>
    <row r="1839" spans="1:26" x14ac:dyDescent="0.45">
      <c r="B1839" t="s">
        <v>53</v>
      </c>
      <c r="C1839">
        <v>20287913</v>
      </c>
      <c r="D1839" t="s">
        <v>329</v>
      </c>
      <c r="E1839" s="10">
        <v>46122.041666666664</v>
      </c>
      <c r="F1839" s="10">
        <v>46122.229166666664</v>
      </c>
      <c r="G1839">
        <v>4.5</v>
      </c>
      <c r="H1839" s="9">
        <f t="shared" si="84"/>
        <v>2.4E-2</v>
      </c>
      <c r="K1839">
        <v>2.4E-2</v>
      </c>
      <c r="M1839" t="s">
        <v>28</v>
      </c>
      <c r="N1839" t="s">
        <v>29</v>
      </c>
      <c r="P1839" t="s">
        <v>30</v>
      </c>
      <c r="Q1839" t="s">
        <v>31</v>
      </c>
      <c r="R1839">
        <v>82640</v>
      </c>
      <c r="S1839" t="s">
        <v>42</v>
      </c>
      <c r="T1839">
        <v>82630</v>
      </c>
      <c r="U1839" t="s">
        <v>32</v>
      </c>
      <c r="V1839" t="s">
        <v>66</v>
      </c>
      <c r="W1839" t="s">
        <v>44</v>
      </c>
      <c r="X1839" t="s">
        <v>44</v>
      </c>
      <c r="Y1839" s="9">
        <f t="shared" si="85"/>
        <v>2.4E-2</v>
      </c>
      <c r="Z1839" t="str">
        <f t="shared" si="86"/>
        <v>สแกนต่าง Cost</v>
      </c>
    </row>
    <row r="1840" spans="1:26" x14ac:dyDescent="0.45">
      <c r="B1840" t="s">
        <v>53</v>
      </c>
      <c r="C1840">
        <v>20287913</v>
      </c>
      <c r="D1840" t="s">
        <v>329</v>
      </c>
      <c r="E1840" s="10">
        <v>46121.833333333336</v>
      </c>
      <c r="F1840" s="10">
        <v>46122</v>
      </c>
      <c r="G1840">
        <v>4</v>
      </c>
      <c r="H1840" s="9">
        <f t="shared" si="84"/>
        <v>2.1000000000000001E-2</v>
      </c>
      <c r="I1840">
        <v>2.1000000000000001E-2</v>
      </c>
      <c r="M1840" t="s">
        <v>65</v>
      </c>
      <c r="N1840" t="s">
        <v>29</v>
      </c>
      <c r="P1840" t="s">
        <v>30</v>
      </c>
      <c r="Q1840" t="s">
        <v>31</v>
      </c>
      <c r="R1840">
        <v>82640</v>
      </c>
      <c r="S1840" t="s">
        <v>42</v>
      </c>
      <c r="T1840">
        <v>82630</v>
      </c>
      <c r="U1840" t="s">
        <v>32</v>
      </c>
      <c r="V1840" t="s">
        <v>66</v>
      </c>
      <c r="W1840" t="s">
        <v>44</v>
      </c>
      <c r="X1840" t="s">
        <v>44</v>
      </c>
      <c r="Y1840" s="9">
        <f t="shared" si="85"/>
        <v>0</v>
      </c>
      <c r="Z1840" t="str">
        <f t="shared" si="86"/>
        <v>สแกนต่าง Cost</v>
      </c>
    </row>
    <row r="1841" spans="1:26" x14ac:dyDescent="0.45">
      <c r="A1841">
        <v>26201</v>
      </c>
      <c r="B1841" t="s">
        <v>53</v>
      </c>
      <c r="C1841">
        <v>20240123</v>
      </c>
      <c r="D1841" t="s">
        <v>263</v>
      </c>
      <c r="E1841" s="10">
        <v>46121.831250000003</v>
      </c>
      <c r="F1841" s="10">
        <v>46121.898611111108</v>
      </c>
      <c r="G1841">
        <v>1.6166666666666667</v>
      </c>
      <c r="H1841" s="9">
        <f t="shared" si="84"/>
        <v>8.9999999999999993E-3</v>
      </c>
      <c r="K1841">
        <v>8.9999999999999993E-3</v>
      </c>
      <c r="M1841" t="s">
        <v>28</v>
      </c>
      <c r="N1841" t="s">
        <v>40</v>
      </c>
      <c r="O1841" t="s">
        <v>208</v>
      </c>
      <c r="P1841" t="s">
        <v>30</v>
      </c>
      <c r="Q1841" t="s">
        <v>31</v>
      </c>
      <c r="R1841">
        <v>82306</v>
      </c>
      <c r="S1841" t="s">
        <v>55</v>
      </c>
      <c r="T1841">
        <v>82303</v>
      </c>
      <c r="U1841" t="s">
        <v>56</v>
      </c>
      <c r="V1841" t="s">
        <v>56</v>
      </c>
      <c r="W1841" t="s">
        <v>56</v>
      </c>
      <c r="X1841" t="s">
        <v>57</v>
      </c>
      <c r="Y1841" s="9">
        <f t="shared" si="85"/>
        <v>8.9999999999999993E-3</v>
      </c>
      <c r="Z1841" t="str">
        <f t="shared" si="86"/>
        <v>สแกนต่าง Cost</v>
      </c>
    </row>
    <row r="1842" spans="1:26" x14ac:dyDescent="0.45">
      <c r="A1842">
        <v>26202</v>
      </c>
      <c r="B1842" t="s">
        <v>53</v>
      </c>
      <c r="C1842">
        <v>20396242</v>
      </c>
      <c r="D1842" t="s">
        <v>328</v>
      </c>
      <c r="E1842" s="10">
        <v>46121.831250000003</v>
      </c>
      <c r="F1842" s="10">
        <v>46121.899305555555</v>
      </c>
      <c r="G1842">
        <v>1.6333333333333333</v>
      </c>
      <c r="H1842" s="9">
        <f t="shared" si="84"/>
        <v>8.9999999999999993E-3</v>
      </c>
      <c r="K1842">
        <v>8.9999999999999993E-3</v>
      </c>
      <c r="M1842" t="s">
        <v>28</v>
      </c>
      <c r="N1842" t="s">
        <v>40</v>
      </c>
      <c r="O1842" t="s">
        <v>208</v>
      </c>
      <c r="P1842" t="s">
        <v>30</v>
      </c>
      <c r="Q1842" t="s">
        <v>31</v>
      </c>
      <c r="R1842">
        <v>82306</v>
      </c>
      <c r="S1842" t="s">
        <v>55</v>
      </c>
      <c r="T1842">
        <v>82303</v>
      </c>
      <c r="U1842" t="s">
        <v>56</v>
      </c>
      <c r="V1842" t="s">
        <v>56</v>
      </c>
      <c r="W1842" t="s">
        <v>56</v>
      </c>
      <c r="X1842" t="s">
        <v>57</v>
      </c>
      <c r="Y1842" s="9">
        <f t="shared" si="85"/>
        <v>8.9999999999999993E-3</v>
      </c>
      <c r="Z1842" t="str">
        <f t="shared" si="86"/>
        <v>สแกนต่าง Cost</v>
      </c>
    </row>
    <row r="1843" spans="1:26" x14ac:dyDescent="0.45">
      <c r="B1843" t="s">
        <v>26</v>
      </c>
      <c r="C1843">
        <v>20250204</v>
      </c>
      <c r="D1843" t="s">
        <v>145</v>
      </c>
      <c r="E1843" s="10">
        <v>46121.747916666667</v>
      </c>
      <c r="F1843" s="10">
        <v>46121.828472222223</v>
      </c>
      <c r="G1843">
        <v>1.9333333333333333</v>
      </c>
      <c r="H1843" s="9">
        <f t="shared" si="84"/>
        <v>0.01</v>
      </c>
      <c r="K1843">
        <v>0.01</v>
      </c>
      <c r="M1843" t="s">
        <v>28</v>
      </c>
      <c r="N1843" t="s">
        <v>40</v>
      </c>
      <c r="O1843" t="s">
        <v>41</v>
      </c>
      <c r="P1843" t="s">
        <v>30</v>
      </c>
      <c r="Q1843" t="s">
        <v>31</v>
      </c>
      <c r="R1843">
        <v>82652</v>
      </c>
      <c r="S1843" t="s">
        <v>46</v>
      </c>
      <c r="T1843">
        <v>82655</v>
      </c>
      <c r="U1843" t="s">
        <v>59</v>
      </c>
      <c r="V1843" t="s">
        <v>59</v>
      </c>
      <c r="W1843" t="s">
        <v>95</v>
      </c>
      <c r="X1843" t="s">
        <v>47</v>
      </c>
      <c r="Y1843" s="9">
        <f t="shared" si="85"/>
        <v>0.01</v>
      </c>
      <c r="Z1843" t="str">
        <f t="shared" si="86"/>
        <v>สแกนต่าง Cost</v>
      </c>
    </row>
    <row r="1844" spans="1:26" x14ac:dyDescent="0.45">
      <c r="B1844" t="s">
        <v>26</v>
      </c>
      <c r="C1844">
        <v>20198811</v>
      </c>
      <c r="D1844" t="s">
        <v>144</v>
      </c>
      <c r="E1844" s="10">
        <v>46121.740277777775</v>
      </c>
      <c r="F1844" s="10">
        <v>46121.90902777778</v>
      </c>
      <c r="G1844">
        <v>4.05</v>
      </c>
      <c r="H1844" s="9">
        <f t="shared" si="84"/>
        <v>2.1999999999999999E-2</v>
      </c>
      <c r="K1844">
        <v>2.1999999999999999E-2</v>
      </c>
      <c r="M1844" t="s">
        <v>28</v>
      </c>
      <c r="N1844" t="s">
        <v>40</v>
      </c>
      <c r="O1844" t="s">
        <v>140</v>
      </c>
      <c r="P1844" t="s">
        <v>30</v>
      </c>
      <c r="Q1844" t="s">
        <v>31</v>
      </c>
      <c r="R1844">
        <v>82652</v>
      </c>
      <c r="S1844" t="s">
        <v>46</v>
      </c>
      <c r="T1844">
        <v>82658</v>
      </c>
      <c r="U1844" t="s">
        <v>33</v>
      </c>
      <c r="V1844" t="s">
        <v>33</v>
      </c>
      <c r="W1844" t="s">
        <v>37</v>
      </c>
      <c r="X1844" t="s">
        <v>331</v>
      </c>
      <c r="Y1844" s="9">
        <f t="shared" si="85"/>
        <v>2.1999999999999999E-2</v>
      </c>
      <c r="Z1844" t="str">
        <f t="shared" si="86"/>
        <v>สแกนต่าง Cost</v>
      </c>
    </row>
    <row r="1845" spans="1:26" x14ac:dyDescent="0.45">
      <c r="B1845" t="s">
        <v>26</v>
      </c>
      <c r="C1845">
        <v>20034645</v>
      </c>
      <c r="D1845" t="s">
        <v>359</v>
      </c>
      <c r="E1845" s="10">
        <v>46121.738194444442</v>
      </c>
      <c r="F1845" s="10">
        <v>46121.729166666664</v>
      </c>
      <c r="G1845">
        <v>-0.21666666666666667</v>
      </c>
      <c r="H1845" s="9">
        <f t="shared" si="84"/>
        <v>-1E-3</v>
      </c>
      <c r="I1845">
        <v>-1E-3</v>
      </c>
      <c r="M1845" t="s">
        <v>65</v>
      </c>
      <c r="N1845" t="s">
        <v>29</v>
      </c>
      <c r="P1845" t="s">
        <v>30</v>
      </c>
      <c r="Q1845" t="s">
        <v>31</v>
      </c>
      <c r="R1845">
        <v>82652</v>
      </c>
      <c r="S1845" t="s">
        <v>46</v>
      </c>
      <c r="T1845">
        <v>82658</v>
      </c>
      <c r="U1845" t="s">
        <v>33</v>
      </c>
      <c r="V1845" t="s">
        <v>33</v>
      </c>
      <c r="W1845" t="s">
        <v>37</v>
      </c>
      <c r="X1845" t="s">
        <v>38</v>
      </c>
      <c r="Y1845" s="9">
        <f t="shared" si="85"/>
        <v>0</v>
      </c>
      <c r="Z1845" t="str">
        <f t="shared" si="86"/>
        <v>สแกนต่าง Cost</v>
      </c>
    </row>
    <row r="1846" spans="1:26" x14ac:dyDescent="0.45">
      <c r="B1846" t="s">
        <v>26</v>
      </c>
      <c r="C1846">
        <v>20403254</v>
      </c>
      <c r="D1846" t="s">
        <v>126</v>
      </c>
      <c r="E1846" s="10">
        <v>46121.737500000003</v>
      </c>
      <c r="F1846" s="10">
        <v>46121.836111111108</v>
      </c>
      <c r="G1846">
        <v>2.3666666666666667</v>
      </c>
      <c r="H1846" s="9">
        <f t="shared" si="84"/>
        <v>1.2999999999999999E-2</v>
      </c>
      <c r="I1846">
        <v>1.2999999999999999E-2</v>
      </c>
      <c r="M1846" t="s">
        <v>48</v>
      </c>
      <c r="N1846" t="s">
        <v>48</v>
      </c>
      <c r="P1846" t="s">
        <v>30</v>
      </c>
      <c r="Q1846" t="s">
        <v>31</v>
      </c>
      <c r="R1846">
        <v>82400</v>
      </c>
      <c r="S1846" t="s">
        <v>83</v>
      </c>
      <c r="T1846">
        <v>82611</v>
      </c>
      <c r="U1846" t="s">
        <v>43</v>
      </c>
      <c r="V1846" t="s">
        <v>43</v>
      </c>
      <c r="W1846" t="s">
        <v>42</v>
      </c>
      <c r="X1846" t="s">
        <v>38</v>
      </c>
      <c r="Y1846" s="9">
        <f t="shared" si="85"/>
        <v>0</v>
      </c>
      <c r="Z1846" t="str">
        <f t="shared" si="86"/>
        <v>สแกนต่าง Cost</v>
      </c>
    </row>
    <row r="1847" spans="1:26" x14ac:dyDescent="0.45">
      <c r="B1847" t="s">
        <v>53</v>
      </c>
      <c r="C1847">
        <v>20025831</v>
      </c>
      <c r="D1847" t="s">
        <v>360</v>
      </c>
      <c r="E1847" s="10">
        <v>46121.736805555556</v>
      </c>
      <c r="F1847" s="10">
        <v>46121.826388888891</v>
      </c>
      <c r="G1847">
        <v>2.15</v>
      </c>
      <c r="H1847" s="9">
        <f t="shared" si="84"/>
        <v>1.0999999999999999E-2</v>
      </c>
      <c r="K1847">
        <v>1.0999999999999999E-2</v>
      </c>
      <c r="M1847" t="s">
        <v>28</v>
      </c>
      <c r="N1847" t="s">
        <v>40</v>
      </c>
      <c r="O1847" t="s">
        <v>41</v>
      </c>
      <c r="P1847" t="s">
        <v>133</v>
      </c>
      <c r="Q1847" t="s">
        <v>31</v>
      </c>
      <c r="R1847">
        <v>82630</v>
      </c>
      <c r="S1847" t="s">
        <v>32</v>
      </c>
      <c r="T1847">
        <v>82611</v>
      </c>
      <c r="U1847" t="s">
        <v>43</v>
      </c>
      <c r="V1847" t="s">
        <v>43</v>
      </c>
      <c r="W1847" t="s">
        <v>148</v>
      </c>
      <c r="X1847" t="s">
        <v>171</v>
      </c>
      <c r="Y1847" s="9">
        <f t="shared" si="85"/>
        <v>1.0999999999999999E-2</v>
      </c>
      <c r="Z1847" t="str">
        <f t="shared" si="86"/>
        <v>สแกนต่าง Cost</v>
      </c>
    </row>
    <row r="1848" spans="1:26" x14ac:dyDescent="0.45">
      <c r="B1848" t="s">
        <v>26</v>
      </c>
      <c r="C1848">
        <v>20028097</v>
      </c>
      <c r="D1848" t="s">
        <v>139</v>
      </c>
      <c r="E1848" s="10">
        <v>46121.736111111109</v>
      </c>
      <c r="F1848" s="10">
        <v>46121.908333333333</v>
      </c>
      <c r="G1848">
        <v>4.1333333333333337</v>
      </c>
      <c r="H1848" s="9">
        <f t="shared" si="84"/>
        <v>2.1999999999999999E-2</v>
      </c>
      <c r="K1848">
        <v>2.1999999999999999E-2</v>
      </c>
      <c r="M1848" t="s">
        <v>28</v>
      </c>
      <c r="N1848" t="s">
        <v>40</v>
      </c>
      <c r="O1848" t="s">
        <v>140</v>
      </c>
      <c r="P1848" t="s">
        <v>30</v>
      </c>
      <c r="Q1848" t="s">
        <v>31</v>
      </c>
      <c r="R1848">
        <v>82652</v>
      </c>
      <c r="S1848" t="s">
        <v>46</v>
      </c>
      <c r="T1848">
        <v>82658</v>
      </c>
      <c r="U1848" t="s">
        <v>33</v>
      </c>
      <c r="V1848" t="s">
        <v>33</v>
      </c>
      <c r="W1848" t="s">
        <v>37</v>
      </c>
      <c r="X1848" t="s">
        <v>331</v>
      </c>
      <c r="Y1848" s="9">
        <f t="shared" si="85"/>
        <v>2.1999999999999999E-2</v>
      </c>
      <c r="Z1848" t="str">
        <f t="shared" si="86"/>
        <v>สแกนต่าง Cost</v>
      </c>
    </row>
    <row r="1849" spans="1:26" x14ac:dyDescent="0.45">
      <c r="B1849" t="s">
        <v>26</v>
      </c>
      <c r="C1849">
        <v>20031153</v>
      </c>
      <c r="D1849" t="s">
        <v>142</v>
      </c>
      <c r="E1849" s="10">
        <v>46121.736111111109</v>
      </c>
      <c r="F1849" s="10">
        <v>46121.908333333333</v>
      </c>
      <c r="G1849">
        <v>4.1333333333333337</v>
      </c>
      <c r="H1849" s="9">
        <f t="shared" si="84"/>
        <v>2.1999999999999999E-2</v>
      </c>
      <c r="K1849">
        <v>2.1999999999999999E-2</v>
      </c>
      <c r="M1849" t="s">
        <v>28</v>
      </c>
      <c r="N1849" t="s">
        <v>40</v>
      </c>
      <c r="O1849" t="s">
        <v>140</v>
      </c>
      <c r="P1849" t="s">
        <v>30</v>
      </c>
      <c r="Q1849" t="s">
        <v>31</v>
      </c>
      <c r="R1849">
        <v>82652</v>
      </c>
      <c r="S1849" t="s">
        <v>46</v>
      </c>
      <c r="T1849">
        <v>82658</v>
      </c>
      <c r="U1849" t="s">
        <v>33</v>
      </c>
      <c r="V1849" t="s">
        <v>33</v>
      </c>
      <c r="W1849" t="s">
        <v>37</v>
      </c>
      <c r="X1849" t="s">
        <v>331</v>
      </c>
      <c r="Y1849" s="9">
        <f t="shared" si="85"/>
        <v>2.1999999999999999E-2</v>
      </c>
      <c r="Z1849" t="str">
        <f t="shared" si="86"/>
        <v>สแกนต่าง Cost</v>
      </c>
    </row>
    <row r="1850" spans="1:26" x14ac:dyDescent="0.45">
      <c r="B1850" t="s">
        <v>26</v>
      </c>
      <c r="C1850">
        <v>20386851</v>
      </c>
      <c r="D1850" t="s">
        <v>48</v>
      </c>
      <c r="E1850" s="10">
        <v>46121.736111111109</v>
      </c>
      <c r="F1850" s="10">
        <v>46121.82708333333</v>
      </c>
      <c r="G1850">
        <v>2.1833333333333331</v>
      </c>
      <c r="H1850" s="9">
        <f t="shared" si="84"/>
        <v>1.2E-2</v>
      </c>
      <c r="K1850">
        <v>1.2E-2</v>
      </c>
      <c r="M1850" t="s">
        <v>28</v>
      </c>
      <c r="N1850" t="s">
        <v>40</v>
      </c>
      <c r="O1850" t="s">
        <v>41</v>
      </c>
      <c r="P1850" t="s">
        <v>30</v>
      </c>
      <c r="Q1850" t="s">
        <v>31</v>
      </c>
      <c r="R1850">
        <v>82652</v>
      </c>
      <c r="S1850" t="s">
        <v>46</v>
      </c>
      <c r="T1850">
        <v>82658</v>
      </c>
      <c r="U1850" t="s">
        <v>33</v>
      </c>
      <c r="V1850" t="s">
        <v>33</v>
      </c>
      <c r="W1850" t="s">
        <v>37</v>
      </c>
      <c r="X1850" t="s">
        <v>331</v>
      </c>
      <c r="Y1850" s="9">
        <f t="shared" si="85"/>
        <v>1.2E-2</v>
      </c>
      <c r="Z1850" t="str">
        <f t="shared" si="86"/>
        <v>สแกนต่าง Cost</v>
      </c>
    </row>
    <row r="1851" spans="1:26" x14ac:dyDescent="0.45">
      <c r="B1851" t="s">
        <v>26</v>
      </c>
      <c r="C1851">
        <v>20031838</v>
      </c>
      <c r="D1851" t="s">
        <v>143</v>
      </c>
      <c r="E1851" s="10">
        <v>46121.73541666667</v>
      </c>
      <c r="F1851" s="10">
        <v>46121.908333333333</v>
      </c>
      <c r="G1851">
        <v>4.1500000000000004</v>
      </c>
      <c r="H1851" s="9">
        <f t="shared" si="84"/>
        <v>2.1999999999999999E-2</v>
      </c>
      <c r="K1851">
        <v>2.1999999999999999E-2</v>
      </c>
      <c r="M1851" t="s">
        <v>28</v>
      </c>
      <c r="N1851" t="s">
        <v>40</v>
      </c>
      <c r="O1851" t="s">
        <v>140</v>
      </c>
      <c r="P1851" t="s">
        <v>30</v>
      </c>
      <c r="Q1851" t="s">
        <v>31</v>
      </c>
      <c r="R1851">
        <v>82652</v>
      </c>
      <c r="S1851" t="s">
        <v>46</v>
      </c>
      <c r="T1851">
        <v>82658</v>
      </c>
      <c r="U1851" t="s">
        <v>33</v>
      </c>
      <c r="V1851" t="s">
        <v>33</v>
      </c>
      <c r="W1851" t="s">
        <v>37</v>
      </c>
      <c r="X1851" t="s">
        <v>331</v>
      </c>
      <c r="Y1851" s="9">
        <f t="shared" si="85"/>
        <v>2.1999999999999999E-2</v>
      </c>
      <c r="Z1851" t="str">
        <f t="shared" si="86"/>
        <v>สแกนต่าง Cost</v>
      </c>
    </row>
    <row r="1852" spans="1:26" x14ac:dyDescent="0.45">
      <c r="B1852" t="s">
        <v>26</v>
      </c>
      <c r="C1852">
        <v>20047023</v>
      </c>
      <c r="D1852" t="s">
        <v>271</v>
      </c>
      <c r="E1852" s="10">
        <v>46121.731249999997</v>
      </c>
      <c r="F1852" s="10">
        <v>46121.826388888891</v>
      </c>
      <c r="G1852">
        <v>2.2833333333333332</v>
      </c>
      <c r="H1852" s="9">
        <f t="shared" si="84"/>
        <v>1.2E-2</v>
      </c>
      <c r="I1852">
        <v>1.2E-2</v>
      </c>
      <c r="M1852" t="s">
        <v>28</v>
      </c>
      <c r="N1852" t="s">
        <v>40</v>
      </c>
      <c r="O1852" t="s">
        <v>41</v>
      </c>
      <c r="P1852" t="s">
        <v>30</v>
      </c>
      <c r="Q1852" t="s">
        <v>31</v>
      </c>
      <c r="R1852">
        <v>82607</v>
      </c>
      <c r="S1852" t="s">
        <v>168</v>
      </c>
      <c r="T1852">
        <v>82611</v>
      </c>
      <c r="U1852" t="s">
        <v>43</v>
      </c>
      <c r="V1852" t="s">
        <v>43</v>
      </c>
      <c r="W1852" t="s">
        <v>148</v>
      </c>
      <c r="X1852" t="s">
        <v>171</v>
      </c>
      <c r="Y1852" s="9">
        <f t="shared" si="85"/>
        <v>0</v>
      </c>
      <c r="Z1852" t="str">
        <f t="shared" si="86"/>
        <v>สแกนต่าง Cost</v>
      </c>
    </row>
    <row r="1853" spans="1:26" x14ac:dyDescent="0.45">
      <c r="B1853" t="s">
        <v>53</v>
      </c>
      <c r="C1853">
        <v>20363688</v>
      </c>
      <c r="D1853" t="s">
        <v>274</v>
      </c>
      <c r="E1853" s="10">
        <v>46121.731249999997</v>
      </c>
      <c r="F1853" s="10">
        <v>46121.826388888891</v>
      </c>
      <c r="G1853">
        <v>2.2833333333333332</v>
      </c>
      <c r="H1853" s="9">
        <f t="shared" si="84"/>
        <v>1.2E-2</v>
      </c>
      <c r="K1853">
        <v>1.2E-2</v>
      </c>
      <c r="M1853" t="s">
        <v>28</v>
      </c>
      <c r="N1853" t="s">
        <v>40</v>
      </c>
      <c r="O1853" t="s">
        <v>41</v>
      </c>
      <c r="P1853" t="s">
        <v>30</v>
      </c>
      <c r="Q1853" t="s">
        <v>31</v>
      </c>
      <c r="R1853">
        <v>82630</v>
      </c>
      <c r="S1853" t="s">
        <v>32</v>
      </c>
      <c r="T1853">
        <v>82611</v>
      </c>
      <c r="U1853" t="s">
        <v>43</v>
      </c>
      <c r="V1853" t="s">
        <v>43</v>
      </c>
      <c r="W1853" t="s">
        <v>148</v>
      </c>
      <c r="X1853" t="s">
        <v>171</v>
      </c>
      <c r="Y1853" s="9">
        <f t="shared" si="85"/>
        <v>1.2E-2</v>
      </c>
      <c r="Z1853" t="str">
        <f t="shared" si="86"/>
        <v>สแกนต่าง Cost</v>
      </c>
    </row>
    <row r="1854" spans="1:26" x14ac:dyDescent="0.45">
      <c r="B1854" t="s">
        <v>26</v>
      </c>
      <c r="C1854">
        <v>20014594</v>
      </c>
      <c r="D1854" t="s">
        <v>361</v>
      </c>
      <c r="E1854" s="10">
        <v>46121.730555555558</v>
      </c>
      <c r="F1854" s="10">
        <v>46121.829861111109</v>
      </c>
      <c r="G1854">
        <v>2.3833333333333333</v>
      </c>
      <c r="H1854" s="9">
        <f t="shared" si="84"/>
        <v>1.2999999999999999E-2</v>
      </c>
      <c r="I1854">
        <v>1.2999999999999999E-2</v>
      </c>
      <c r="M1854" t="s">
        <v>28</v>
      </c>
      <c r="N1854" t="s">
        <v>40</v>
      </c>
      <c r="O1854" t="s">
        <v>41</v>
      </c>
      <c r="P1854" t="s">
        <v>30</v>
      </c>
      <c r="Q1854" t="s">
        <v>31</v>
      </c>
      <c r="R1854">
        <v>82607</v>
      </c>
      <c r="S1854" t="s">
        <v>168</v>
      </c>
      <c r="T1854">
        <v>82612</v>
      </c>
      <c r="U1854" t="s">
        <v>153</v>
      </c>
      <c r="V1854" t="s">
        <v>362</v>
      </c>
      <c r="W1854" t="s">
        <v>42</v>
      </c>
      <c r="X1854" t="s">
        <v>38</v>
      </c>
      <c r="Y1854" s="9">
        <f t="shared" si="85"/>
        <v>0</v>
      </c>
      <c r="Z1854" t="str">
        <f t="shared" si="86"/>
        <v>สแกนต่าง Cost</v>
      </c>
    </row>
    <row r="1855" spans="1:26" x14ac:dyDescent="0.45">
      <c r="B1855" t="s">
        <v>53</v>
      </c>
      <c r="C1855">
        <v>20041130</v>
      </c>
      <c r="D1855" t="s">
        <v>100</v>
      </c>
      <c r="E1855" s="10">
        <v>46121.730555555558</v>
      </c>
      <c r="F1855" s="10">
        <v>46121.826388888891</v>
      </c>
      <c r="G1855">
        <v>2.2999999999999998</v>
      </c>
      <c r="H1855" s="9">
        <f t="shared" si="84"/>
        <v>1.2E-2</v>
      </c>
      <c r="K1855">
        <v>1.2E-2</v>
      </c>
      <c r="M1855" t="s">
        <v>28</v>
      </c>
      <c r="N1855" t="s">
        <v>40</v>
      </c>
      <c r="O1855" t="s">
        <v>41</v>
      </c>
      <c r="P1855" t="s">
        <v>30</v>
      </c>
      <c r="Q1855" t="s">
        <v>31</v>
      </c>
      <c r="R1855">
        <v>82630</v>
      </c>
      <c r="S1855" t="s">
        <v>32</v>
      </c>
      <c r="T1855">
        <v>82611</v>
      </c>
      <c r="U1855" t="s">
        <v>43</v>
      </c>
      <c r="V1855" t="s">
        <v>43</v>
      </c>
      <c r="W1855" t="s">
        <v>148</v>
      </c>
      <c r="X1855" t="s">
        <v>171</v>
      </c>
      <c r="Y1855" s="9">
        <f t="shared" si="85"/>
        <v>1.2E-2</v>
      </c>
      <c r="Z1855" t="str">
        <f t="shared" si="86"/>
        <v>สแกนต่าง Cost</v>
      </c>
    </row>
    <row r="1856" spans="1:26" x14ac:dyDescent="0.45">
      <c r="B1856" t="s">
        <v>53</v>
      </c>
      <c r="C1856">
        <v>20163802</v>
      </c>
      <c r="D1856" t="s">
        <v>272</v>
      </c>
      <c r="E1856" s="10">
        <v>46121.730555555558</v>
      </c>
      <c r="F1856" s="10">
        <v>46121.826388888891</v>
      </c>
      <c r="G1856">
        <v>2.2999999999999998</v>
      </c>
      <c r="H1856" s="9">
        <f t="shared" si="84"/>
        <v>1.2E-2</v>
      </c>
      <c r="K1856">
        <v>1.2E-2</v>
      </c>
      <c r="M1856" t="s">
        <v>28</v>
      </c>
      <c r="N1856" t="s">
        <v>40</v>
      </c>
      <c r="O1856" t="s">
        <v>41</v>
      </c>
      <c r="P1856" t="s">
        <v>30</v>
      </c>
      <c r="Q1856" t="s">
        <v>31</v>
      </c>
      <c r="R1856">
        <v>82630</v>
      </c>
      <c r="S1856" t="s">
        <v>32</v>
      </c>
      <c r="T1856">
        <v>82611</v>
      </c>
      <c r="U1856" t="s">
        <v>43</v>
      </c>
      <c r="V1856" t="s">
        <v>43</v>
      </c>
      <c r="W1856" t="s">
        <v>148</v>
      </c>
      <c r="X1856" t="s">
        <v>171</v>
      </c>
      <c r="Y1856" s="9">
        <f t="shared" si="85"/>
        <v>1.2E-2</v>
      </c>
      <c r="Z1856" t="str">
        <f t="shared" si="86"/>
        <v>สแกนต่าง Cost</v>
      </c>
    </row>
    <row r="1857" spans="1:26" x14ac:dyDescent="0.45">
      <c r="B1857" t="s">
        <v>53</v>
      </c>
      <c r="C1857">
        <v>20338047</v>
      </c>
      <c r="D1857" t="s">
        <v>273</v>
      </c>
      <c r="E1857" s="10">
        <v>46121.730555555558</v>
      </c>
      <c r="F1857" s="10">
        <v>46121.826388888891</v>
      </c>
      <c r="G1857">
        <v>2.2999999999999998</v>
      </c>
      <c r="H1857" s="9">
        <f t="shared" si="84"/>
        <v>1.2E-2</v>
      </c>
      <c r="K1857">
        <v>1.2E-2</v>
      </c>
      <c r="M1857" t="s">
        <v>28</v>
      </c>
      <c r="N1857" t="s">
        <v>40</v>
      </c>
      <c r="O1857" t="s">
        <v>41</v>
      </c>
      <c r="P1857" t="s">
        <v>30</v>
      </c>
      <c r="Q1857" t="s">
        <v>31</v>
      </c>
      <c r="R1857">
        <v>82630</v>
      </c>
      <c r="S1857" t="s">
        <v>32</v>
      </c>
      <c r="T1857">
        <v>82611</v>
      </c>
      <c r="U1857" t="s">
        <v>43</v>
      </c>
      <c r="V1857" t="s">
        <v>43</v>
      </c>
      <c r="W1857" t="s">
        <v>148</v>
      </c>
      <c r="X1857" t="s">
        <v>171</v>
      </c>
      <c r="Y1857" s="9">
        <f t="shared" si="85"/>
        <v>1.2E-2</v>
      </c>
      <c r="Z1857" t="str">
        <f t="shared" si="86"/>
        <v>สแกนต่าง Cost</v>
      </c>
    </row>
    <row r="1858" spans="1:26" x14ac:dyDescent="0.45">
      <c r="A1858">
        <v>26561</v>
      </c>
      <c r="B1858" t="s">
        <v>53</v>
      </c>
      <c r="C1858">
        <v>20014916</v>
      </c>
      <c r="D1858" t="s">
        <v>167</v>
      </c>
      <c r="E1858" s="10">
        <v>46121.729166666664</v>
      </c>
      <c r="F1858" s="10">
        <v>46121.833333333336</v>
      </c>
      <c r="G1858">
        <v>2.5</v>
      </c>
      <c r="H1858" s="9">
        <f t="shared" si="84"/>
        <v>1.2999999999999999E-2</v>
      </c>
      <c r="I1858">
        <v>1.2999999999999999E-2</v>
      </c>
      <c r="M1858" t="s">
        <v>28</v>
      </c>
      <c r="N1858" t="s">
        <v>40</v>
      </c>
      <c r="O1858" t="s">
        <v>41</v>
      </c>
      <c r="P1858" t="s">
        <v>133</v>
      </c>
      <c r="Q1858" t="s">
        <v>31</v>
      </c>
      <c r="R1858">
        <v>82607</v>
      </c>
      <c r="S1858" t="s">
        <v>168</v>
      </c>
      <c r="T1858">
        <v>82640</v>
      </c>
      <c r="U1858" t="s">
        <v>42</v>
      </c>
      <c r="V1858" t="s">
        <v>155</v>
      </c>
      <c r="W1858" t="s">
        <v>47</v>
      </c>
      <c r="X1858" t="s">
        <v>95</v>
      </c>
      <c r="Y1858" s="9">
        <f t="shared" si="85"/>
        <v>0</v>
      </c>
      <c r="Z1858" t="str">
        <f t="shared" si="86"/>
        <v>สแกนต่าง Cost</v>
      </c>
    </row>
    <row r="1859" spans="1:26" x14ac:dyDescent="0.45">
      <c r="B1859" t="s">
        <v>53</v>
      </c>
      <c r="C1859">
        <v>20018899</v>
      </c>
      <c r="D1859" t="s">
        <v>64</v>
      </c>
      <c r="E1859" s="10">
        <v>46121.729166666664</v>
      </c>
      <c r="F1859" s="10">
        <v>46121.833333333336</v>
      </c>
      <c r="G1859">
        <v>2.5</v>
      </c>
      <c r="H1859" s="9">
        <f t="shared" ref="H1859:H1922" si="87">SUM(I1859:L1859)</f>
        <v>1.2999999999999999E-2</v>
      </c>
      <c r="L1859">
        <v>1.2999999999999999E-2</v>
      </c>
      <c r="M1859" t="s">
        <v>255</v>
      </c>
      <c r="N1859" t="s">
        <v>29</v>
      </c>
      <c r="P1859" t="s">
        <v>30</v>
      </c>
      <c r="Q1859" t="s">
        <v>31</v>
      </c>
      <c r="R1859">
        <v>82640</v>
      </c>
      <c r="S1859" t="s">
        <v>42</v>
      </c>
      <c r="T1859">
        <v>82652</v>
      </c>
      <c r="U1859" t="s">
        <v>46</v>
      </c>
      <c r="V1859" t="s">
        <v>66</v>
      </c>
      <c r="W1859" t="s">
        <v>37</v>
      </c>
      <c r="X1859" t="s">
        <v>34</v>
      </c>
      <c r="Y1859" s="9">
        <f t="shared" ref="Y1859:Y1922" si="88">SUM(J1859:L1859)</f>
        <v>1.2999999999999999E-2</v>
      </c>
      <c r="Z1859" t="str">
        <f t="shared" ref="Z1859:Z1922" si="89">IF(R1859=T1859,"สแกน Cost ตัวเอง","สแกนต่าง Cost")</f>
        <v>สแกนต่าง Cost</v>
      </c>
    </row>
    <row r="1860" spans="1:26" x14ac:dyDescent="0.45">
      <c r="A1860">
        <v>26562</v>
      </c>
      <c r="B1860" t="s">
        <v>53</v>
      </c>
      <c r="C1860">
        <v>20030773</v>
      </c>
      <c r="D1860" t="s">
        <v>357</v>
      </c>
      <c r="E1860" s="10">
        <v>46121.729166666664</v>
      </c>
      <c r="F1860" s="10">
        <v>46121.833333333336</v>
      </c>
      <c r="G1860">
        <v>2.5</v>
      </c>
      <c r="H1860" s="9">
        <f t="shared" si="87"/>
        <v>1.2999999999999999E-2</v>
      </c>
      <c r="K1860">
        <v>1.2999999999999999E-2</v>
      </c>
      <c r="M1860" t="s">
        <v>28</v>
      </c>
      <c r="N1860" t="s">
        <v>40</v>
      </c>
      <c r="O1860" t="s">
        <v>41</v>
      </c>
      <c r="P1860" t="s">
        <v>133</v>
      </c>
      <c r="Q1860" t="s">
        <v>31</v>
      </c>
      <c r="R1860">
        <v>82640</v>
      </c>
      <c r="S1860" t="s">
        <v>42</v>
      </c>
      <c r="T1860">
        <v>82611</v>
      </c>
      <c r="U1860" t="s">
        <v>43</v>
      </c>
      <c r="V1860" t="s">
        <v>43</v>
      </c>
      <c r="W1860" t="s">
        <v>47</v>
      </c>
      <c r="X1860" t="s">
        <v>192</v>
      </c>
      <c r="Y1860" s="9">
        <f t="shared" si="88"/>
        <v>1.2999999999999999E-2</v>
      </c>
      <c r="Z1860" t="str">
        <f t="shared" si="89"/>
        <v>สแกนต่าง Cost</v>
      </c>
    </row>
    <row r="1861" spans="1:26" x14ac:dyDescent="0.45">
      <c r="A1861">
        <v>26563</v>
      </c>
      <c r="B1861" t="s">
        <v>53</v>
      </c>
      <c r="C1861">
        <v>20075031</v>
      </c>
      <c r="D1861" t="s">
        <v>191</v>
      </c>
      <c r="E1861" s="10">
        <v>46121.729166666664</v>
      </c>
      <c r="F1861" s="10">
        <v>46121.833333333336</v>
      </c>
      <c r="G1861">
        <v>2.5</v>
      </c>
      <c r="H1861" s="9">
        <f t="shared" si="87"/>
        <v>1.2999999999999999E-2</v>
      </c>
      <c r="K1861">
        <v>1.2999999999999999E-2</v>
      </c>
      <c r="M1861" t="s">
        <v>28</v>
      </c>
      <c r="N1861" t="s">
        <v>40</v>
      </c>
      <c r="O1861" t="s">
        <v>41</v>
      </c>
      <c r="P1861" t="s">
        <v>30</v>
      </c>
      <c r="Q1861" t="s">
        <v>31</v>
      </c>
      <c r="R1861">
        <v>82640</v>
      </c>
      <c r="S1861" t="s">
        <v>42</v>
      </c>
      <c r="T1861">
        <v>82611</v>
      </c>
      <c r="U1861" t="s">
        <v>43</v>
      </c>
      <c r="V1861" t="s">
        <v>43</v>
      </c>
      <c r="W1861" t="s">
        <v>47</v>
      </c>
      <c r="X1861" t="s">
        <v>192</v>
      </c>
      <c r="Y1861" s="9">
        <f t="shared" si="88"/>
        <v>1.2999999999999999E-2</v>
      </c>
      <c r="Z1861" t="str">
        <f t="shared" si="89"/>
        <v>สแกนต่าง Cost</v>
      </c>
    </row>
    <row r="1862" spans="1:26" x14ac:dyDescent="0.45">
      <c r="B1862" t="s">
        <v>53</v>
      </c>
      <c r="C1862">
        <v>20220646</v>
      </c>
      <c r="D1862" t="s">
        <v>67</v>
      </c>
      <c r="E1862" s="10">
        <v>46121.729166666664</v>
      </c>
      <c r="F1862" s="10">
        <v>46121.833333333336</v>
      </c>
      <c r="G1862">
        <v>2.5</v>
      </c>
      <c r="H1862" s="9">
        <f t="shared" si="87"/>
        <v>1.2999999999999999E-2</v>
      </c>
      <c r="K1862">
        <v>1.2999999999999999E-2</v>
      </c>
      <c r="M1862" t="s">
        <v>28</v>
      </c>
      <c r="N1862" t="s">
        <v>40</v>
      </c>
      <c r="O1862" t="s">
        <v>41</v>
      </c>
      <c r="P1862" t="s">
        <v>30</v>
      </c>
      <c r="Q1862" t="s">
        <v>31</v>
      </c>
      <c r="R1862">
        <v>82640</v>
      </c>
      <c r="S1862" t="s">
        <v>42</v>
      </c>
      <c r="T1862">
        <v>82652</v>
      </c>
      <c r="U1862" t="s">
        <v>46</v>
      </c>
      <c r="V1862" t="s">
        <v>66</v>
      </c>
      <c r="W1862" t="s">
        <v>37</v>
      </c>
      <c r="X1862" t="s">
        <v>34</v>
      </c>
      <c r="Y1862" s="9">
        <f t="shared" si="88"/>
        <v>1.2999999999999999E-2</v>
      </c>
      <c r="Z1862" t="str">
        <f t="shared" si="89"/>
        <v>สแกนต่าง Cost</v>
      </c>
    </row>
    <row r="1863" spans="1:26" x14ac:dyDescent="0.45">
      <c r="B1863" t="s">
        <v>53</v>
      </c>
      <c r="C1863">
        <v>20280722</v>
      </c>
      <c r="D1863" t="s">
        <v>342</v>
      </c>
      <c r="E1863" s="10">
        <v>46121.729166666664</v>
      </c>
      <c r="F1863" s="10">
        <v>46121.833333333336</v>
      </c>
      <c r="G1863">
        <v>2.5</v>
      </c>
      <c r="H1863" s="9">
        <f t="shared" si="87"/>
        <v>1.2999999999999999E-2</v>
      </c>
      <c r="K1863">
        <v>1.2999999999999999E-2</v>
      </c>
      <c r="M1863" t="s">
        <v>28</v>
      </c>
      <c r="N1863" t="s">
        <v>40</v>
      </c>
      <c r="O1863" t="s">
        <v>41</v>
      </c>
      <c r="P1863" t="s">
        <v>30</v>
      </c>
      <c r="Q1863" t="s">
        <v>31</v>
      </c>
      <c r="R1863">
        <v>82640</v>
      </c>
      <c r="S1863" t="s">
        <v>42</v>
      </c>
      <c r="T1863">
        <v>82652</v>
      </c>
      <c r="U1863" t="s">
        <v>46</v>
      </c>
      <c r="V1863" t="s">
        <v>66</v>
      </c>
      <c r="W1863" t="s">
        <v>37</v>
      </c>
      <c r="X1863" t="s">
        <v>34</v>
      </c>
      <c r="Y1863" s="9">
        <f t="shared" si="88"/>
        <v>1.2999999999999999E-2</v>
      </c>
      <c r="Z1863" t="str">
        <f t="shared" si="89"/>
        <v>สแกนต่าง Cost</v>
      </c>
    </row>
    <row r="1864" spans="1:26" x14ac:dyDescent="0.45">
      <c r="B1864" t="s">
        <v>53</v>
      </c>
      <c r="C1864">
        <v>20310532</v>
      </c>
      <c r="D1864" t="s">
        <v>61</v>
      </c>
      <c r="E1864" s="10">
        <v>46121.729166666664</v>
      </c>
      <c r="F1864" s="10">
        <v>46121.833333333336</v>
      </c>
      <c r="G1864">
        <v>2.5</v>
      </c>
      <c r="H1864" s="9">
        <f t="shared" si="87"/>
        <v>1.2999999999999999E-2</v>
      </c>
      <c r="K1864">
        <v>1.2999999999999999E-2</v>
      </c>
      <c r="M1864" t="s">
        <v>28</v>
      </c>
      <c r="N1864" t="s">
        <v>40</v>
      </c>
      <c r="O1864" t="s">
        <v>41</v>
      </c>
      <c r="P1864" t="s">
        <v>30</v>
      </c>
      <c r="Q1864" t="s">
        <v>31</v>
      </c>
      <c r="R1864">
        <v>82640</v>
      </c>
      <c r="S1864" t="s">
        <v>42</v>
      </c>
      <c r="T1864">
        <v>82630</v>
      </c>
      <c r="U1864" t="s">
        <v>32</v>
      </c>
      <c r="V1864" t="s">
        <v>66</v>
      </c>
      <c r="W1864" t="s">
        <v>44</v>
      </c>
      <c r="X1864" t="s">
        <v>44</v>
      </c>
      <c r="Y1864" s="9">
        <f t="shared" si="88"/>
        <v>1.2999999999999999E-2</v>
      </c>
      <c r="Z1864" t="str">
        <f t="shared" si="89"/>
        <v>สแกนต่าง Cost</v>
      </c>
    </row>
    <row r="1865" spans="1:26" x14ac:dyDescent="0.45">
      <c r="A1865">
        <v>26506</v>
      </c>
      <c r="B1865" t="s">
        <v>53</v>
      </c>
      <c r="C1865">
        <v>20020013</v>
      </c>
      <c r="D1865" t="s">
        <v>223</v>
      </c>
      <c r="E1865" s="10">
        <v>46121.724999999999</v>
      </c>
      <c r="F1865" s="10">
        <v>46121.82708333333</v>
      </c>
      <c r="G1865">
        <v>2.4500000000000002</v>
      </c>
      <c r="H1865" s="9">
        <f t="shared" si="87"/>
        <v>1.2999999999999999E-2</v>
      </c>
      <c r="K1865">
        <v>1.2999999999999999E-2</v>
      </c>
      <c r="M1865" t="s">
        <v>28</v>
      </c>
      <c r="N1865" t="s">
        <v>40</v>
      </c>
      <c r="O1865" t="s">
        <v>41</v>
      </c>
      <c r="P1865" t="s">
        <v>30</v>
      </c>
      <c r="Q1865" t="s">
        <v>31</v>
      </c>
      <c r="R1865">
        <v>82611</v>
      </c>
      <c r="S1865" t="s">
        <v>43</v>
      </c>
      <c r="T1865">
        <v>82640</v>
      </c>
      <c r="U1865" t="s">
        <v>42</v>
      </c>
      <c r="V1865" t="s">
        <v>70</v>
      </c>
      <c r="W1865" t="s">
        <v>71</v>
      </c>
      <c r="X1865" t="s">
        <v>72</v>
      </c>
      <c r="Y1865" s="9">
        <f t="shared" si="88"/>
        <v>1.2999999999999999E-2</v>
      </c>
      <c r="Z1865" t="str">
        <f t="shared" si="89"/>
        <v>สแกนต่าง Cost</v>
      </c>
    </row>
    <row r="1866" spans="1:26" x14ac:dyDescent="0.45">
      <c r="B1866" t="s">
        <v>53</v>
      </c>
      <c r="C1866">
        <v>20310532</v>
      </c>
      <c r="D1866" t="s">
        <v>61</v>
      </c>
      <c r="E1866" s="10">
        <v>46121.724305555559</v>
      </c>
      <c r="F1866" s="10">
        <v>46121.82708333333</v>
      </c>
      <c r="G1866">
        <v>2.4666666666666668</v>
      </c>
      <c r="H1866" s="9">
        <f t="shared" si="87"/>
        <v>1.2999999999999999E-2</v>
      </c>
      <c r="K1866">
        <v>1.2999999999999999E-2</v>
      </c>
      <c r="M1866" t="s">
        <v>28</v>
      </c>
      <c r="N1866" t="s">
        <v>40</v>
      </c>
      <c r="O1866" t="s">
        <v>41</v>
      </c>
      <c r="P1866" t="s">
        <v>30</v>
      </c>
      <c r="Q1866" t="s">
        <v>31</v>
      </c>
      <c r="R1866">
        <v>82640</v>
      </c>
      <c r="S1866" t="s">
        <v>42</v>
      </c>
      <c r="T1866">
        <v>82630</v>
      </c>
      <c r="U1866" t="s">
        <v>32</v>
      </c>
      <c r="V1866" t="s">
        <v>62</v>
      </c>
      <c r="W1866" t="s">
        <v>44</v>
      </c>
      <c r="X1866" t="s">
        <v>44</v>
      </c>
      <c r="Y1866" s="9">
        <f t="shared" si="88"/>
        <v>1.2999999999999999E-2</v>
      </c>
      <c r="Z1866" t="str">
        <f t="shared" si="89"/>
        <v>สแกนต่าง Cost</v>
      </c>
    </row>
    <row r="1867" spans="1:26" x14ac:dyDescent="0.45">
      <c r="B1867" t="s">
        <v>26</v>
      </c>
      <c r="C1867">
        <v>20332134</v>
      </c>
      <c r="D1867" t="s">
        <v>156</v>
      </c>
      <c r="E1867" s="10">
        <v>46121.724305555559</v>
      </c>
      <c r="F1867" s="10">
        <v>46121.82708333333</v>
      </c>
      <c r="G1867">
        <v>2.4666666666666668</v>
      </c>
      <c r="H1867" s="9">
        <f t="shared" si="87"/>
        <v>1.2999999999999999E-2</v>
      </c>
      <c r="K1867">
        <v>1.2999999999999999E-2</v>
      </c>
      <c r="M1867" t="s">
        <v>28</v>
      </c>
      <c r="N1867" t="s">
        <v>40</v>
      </c>
      <c r="O1867" t="s">
        <v>41</v>
      </c>
      <c r="P1867" t="s">
        <v>30</v>
      </c>
      <c r="Q1867" t="s">
        <v>31</v>
      </c>
      <c r="R1867">
        <v>82640</v>
      </c>
      <c r="S1867" t="s">
        <v>42</v>
      </c>
      <c r="T1867">
        <v>82612</v>
      </c>
      <c r="U1867" t="s">
        <v>153</v>
      </c>
      <c r="V1867" t="s">
        <v>154</v>
      </c>
      <c r="W1867" t="s">
        <v>44</v>
      </c>
      <c r="X1867" t="s">
        <v>44</v>
      </c>
      <c r="Y1867" s="9">
        <f t="shared" si="88"/>
        <v>1.2999999999999999E-2</v>
      </c>
      <c r="Z1867" t="str">
        <f t="shared" si="89"/>
        <v>สแกนต่าง Cost</v>
      </c>
    </row>
    <row r="1868" spans="1:26" x14ac:dyDescent="0.45">
      <c r="A1868">
        <v>26505</v>
      </c>
      <c r="B1868" t="s">
        <v>53</v>
      </c>
      <c r="C1868">
        <v>20186595</v>
      </c>
      <c r="D1868" t="s">
        <v>226</v>
      </c>
      <c r="E1868" s="10">
        <v>46121.723611111112</v>
      </c>
      <c r="F1868" s="10">
        <v>46121.82708333333</v>
      </c>
      <c r="G1868">
        <v>2.4833333333333334</v>
      </c>
      <c r="H1868" s="9">
        <f t="shared" si="87"/>
        <v>1.2999999999999999E-2</v>
      </c>
      <c r="K1868">
        <v>1.2999999999999999E-2</v>
      </c>
      <c r="M1868" t="s">
        <v>28</v>
      </c>
      <c r="N1868" t="s">
        <v>40</v>
      </c>
      <c r="O1868" t="s">
        <v>41</v>
      </c>
      <c r="P1868" t="s">
        <v>30</v>
      </c>
      <c r="Q1868" t="s">
        <v>31</v>
      </c>
      <c r="R1868">
        <v>82611</v>
      </c>
      <c r="S1868" t="s">
        <v>43</v>
      </c>
      <c r="T1868">
        <v>82640</v>
      </c>
      <c r="U1868" t="s">
        <v>42</v>
      </c>
      <c r="V1868" t="s">
        <v>70</v>
      </c>
      <c r="W1868" t="s">
        <v>71</v>
      </c>
      <c r="X1868" t="s">
        <v>72</v>
      </c>
      <c r="Y1868" s="9">
        <f t="shared" si="88"/>
        <v>1.2999999999999999E-2</v>
      </c>
      <c r="Z1868" t="str">
        <f t="shared" si="89"/>
        <v>สแกนต่าง Cost</v>
      </c>
    </row>
    <row r="1869" spans="1:26" x14ac:dyDescent="0.45">
      <c r="B1869" t="s">
        <v>53</v>
      </c>
      <c r="C1869">
        <v>20019647</v>
      </c>
      <c r="D1869" t="s">
        <v>152</v>
      </c>
      <c r="E1869" s="10">
        <v>46121.722916666666</v>
      </c>
      <c r="F1869" s="10">
        <v>46121.826388888891</v>
      </c>
      <c r="G1869">
        <v>2.4833333333333334</v>
      </c>
      <c r="H1869" s="9">
        <f t="shared" si="87"/>
        <v>1.2999999999999999E-2</v>
      </c>
      <c r="K1869">
        <v>1.2999999999999999E-2</v>
      </c>
      <c r="M1869" t="s">
        <v>28</v>
      </c>
      <c r="N1869" t="s">
        <v>40</v>
      </c>
      <c r="O1869" t="s">
        <v>41</v>
      </c>
      <c r="P1869" t="s">
        <v>30</v>
      </c>
      <c r="Q1869" t="s">
        <v>31</v>
      </c>
      <c r="R1869">
        <v>82630</v>
      </c>
      <c r="S1869" t="s">
        <v>32</v>
      </c>
      <c r="T1869">
        <v>82611</v>
      </c>
      <c r="U1869" t="s">
        <v>43</v>
      </c>
      <c r="V1869" t="s">
        <v>43</v>
      </c>
      <c r="W1869" t="s">
        <v>148</v>
      </c>
      <c r="X1869" t="s">
        <v>171</v>
      </c>
      <c r="Y1869" s="9">
        <f t="shared" si="88"/>
        <v>1.2999999999999999E-2</v>
      </c>
      <c r="Z1869" t="str">
        <f t="shared" si="89"/>
        <v>สแกนต่าง Cost</v>
      </c>
    </row>
    <row r="1870" spans="1:26" x14ac:dyDescent="0.45">
      <c r="B1870" t="s">
        <v>53</v>
      </c>
      <c r="C1870">
        <v>20026408</v>
      </c>
      <c r="D1870" t="s">
        <v>98</v>
      </c>
      <c r="E1870" s="10">
        <v>46121.722916666666</v>
      </c>
      <c r="F1870" s="10">
        <v>46121.826388888891</v>
      </c>
      <c r="G1870">
        <v>2.4833333333333334</v>
      </c>
      <c r="H1870" s="9">
        <f t="shared" si="87"/>
        <v>1.2999999999999999E-2</v>
      </c>
      <c r="K1870">
        <v>1.2999999999999999E-2</v>
      </c>
      <c r="M1870" t="s">
        <v>28</v>
      </c>
      <c r="N1870" t="s">
        <v>40</v>
      </c>
      <c r="O1870" t="s">
        <v>41</v>
      </c>
      <c r="P1870" t="s">
        <v>30</v>
      </c>
      <c r="Q1870" t="s">
        <v>31</v>
      </c>
      <c r="R1870">
        <v>82630</v>
      </c>
      <c r="S1870" t="s">
        <v>32</v>
      </c>
      <c r="T1870">
        <v>82611</v>
      </c>
      <c r="U1870" t="s">
        <v>43</v>
      </c>
      <c r="V1870" t="s">
        <v>43</v>
      </c>
      <c r="W1870" t="s">
        <v>148</v>
      </c>
      <c r="X1870" t="s">
        <v>171</v>
      </c>
      <c r="Y1870" s="9">
        <f t="shared" si="88"/>
        <v>1.2999999999999999E-2</v>
      </c>
      <c r="Z1870" t="str">
        <f t="shared" si="89"/>
        <v>สแกนต่าง Cost</v>
      </c>
    </row>
    <row r="1871" spans="1:26" x14ac:dyDescent="0.45">
      <c r="B1871" t="s">
        <v>26</v>
      </c>
      <c r="C1871">
        <v>20027956</v>
      </c>
      <c r="D1871" t="s">
        <v>214</v>
      </c>
      <c r="E1871" s="10">
        <v>46121.722916666666</v>
      </c>
      <c r="F1871" s="10">
        <v>46121.827777777777</v>
      </c>
      <c r="G1871">
        <v>2.5166666666666666</v>
      </c>
      <c r="H1871" s="9">
        <f t="shared" si="87"/>
        <v>1.2999999999999999E-2</v>
      </c>
      <c r="K1871">
        <v>1.2999999999999999E-2</v>
      </c>
      <c r="M1871" t="s">
        <v>28</v>
      </c>
      <c r="N1871" t="s">
        <v>40</v>
      </c>
      <c r="O1871" t="s">
        <v>41</v>
      </c>
      <c r="P1871" t="s">
        <v>30</v>
      </c>
      <c r="Q1871" t="s">
        <v>31</v>
      </c>
      <c r="R1871">
        <v>82640</v>
      </c>
      <c r="S1871" t="s">
        <v>42</v>
      </c>
      <c r="T1871">
        <v>82611</v>
      </c>
      <c r="U1871" t="s">
        <v>43</v>
      </c>
      <c r="V1871" t="s">
        <v>43</v>
      </c>
      <c r="W1871" t="s">
        <v>44</v>
      </c>
      <c r="X1871" t="s">
        <v>44</v>
      </c>
      <c r="Y1871" s="9">
        <f t="shared" si="88"/>
        <v>1.2999999999999999E-2</v>
      </c>
      <c r="Z1871" t="str">
        <f t="shared" si="89"/>
        <v>สแกนต่าง Cost</v>
      </c>
    </row>
    <row r="1872" spans="1:26" x14ac:dyDescent="0.45">
      <c r="B1872" t="s">
        <v>53</v>
      </c>
      <c r="C1872">
        <v>20034535</v>
      </c>
      <c r="D1872" t="s">
        <v>99</v>
      </c>
      <c r="E1872" s="10">
        <v>46121.722916666666</v>
      </c>
      <c r="F1872" s="10">
        <v>46121.82708333333</v>
      </c>
      <c r="G1872">
        <v>2.5</v>
      </c>
      <c r="H1872" s="9">
        <f t="shared" si="87"/>
        <v>1.2999999999999999E-2</v>
      </c>
      <c r="K1872">
        <v>1.2999999999999999E-2</v>
      </c>
      <c r="M1872" t="s">
        <v>28</v>
      </c>
      <c r="N1872" t="s">
        <v>40</v>
      </c>
      <c r="O1872" t="s">
        <v>41</v>
      </c>
      <c r="P1872" t="s">
        <v>30</v>
      </c>
      <c r="Q1872" t="s">
        <v>31</v>
      </c>
      <c r="R1872">
        <v>82630</v>
      </c>
      <c r="S1872" t="s">
        <v>32</v>
      </c>
      <c r="T1872">
        <v>82611</v>
      </c>
      <c r="U1872" t="s">
        <v>43</v>
      </c>
      <c r="V1872" t="s">
        <v>43</v>
      </c>
      <c r="W1872" t="s">
        <v>148</v>
      </c>
      <c r="X1872" t="s">
        <v>171</v>
      </c>
      <c r="Y1872" s="9">
        <f t="shared" si="88"/>
        <v>1.2999999999999999E-2</v>
      </c>
      <c r="Z1872" t="str">
        <f t="shared" si="89"/>
        <v>สแกนต่าง Cost</v>
      </c>
    </row>
    <row r="1873" spans="1:26" x14ac:dyDescent="0.45">
      <c r="B1873" t="s">
        <v>53</v>
      </c>
      <c r="C1873">
        <v>20074652</v>
      </c>
      <c r="D1873" t="s">
        <v>162</v>
      </c>
      <c r="E1873" s="10">
        <v>46121.722916666666</v>
      </c>
      <c r="F1873" s="10">
        <v>46121.82708333333</v>
      </c>
      <c r="G1873">
        <v>2.5</v>
      </c>
      <c r="H1873" s="9">
        <f t="shared" si="87"/>
        <v>1.2999999999999999E-2</v>
      </c>
      <c r="K1873">
        <v>1.2999999999999999E-2</v>
      </c>
      <c r="M1873" t="s">
        <v>28</v>
      </c>
      <c r="N1873" t="s">
        <v>40</v>
      </c>
      <c r="O1873" t="s">
        <v>41</v>
      </c>
      <c r="P1873" t="s">
        <v>30</v>
      </c>
      <c r="Q1873" t="s">
        <v>31</v>
      </c>
      <c r="R1873">
        <v>82630</v>
      </c>
      <c r="S1873" t="s">
        <v>32</v>
      </c>
      <c r="T1873">
        <v>82611</v>
      </c>
      <c r="U1873" t="s">
        <v>43</v>
      </c>
      <c r="V1873" t="s">
        <v>43</v>
      </c>
      <c r="W1873" t="s">
        <v>148</v>
      </c>
      <c r="X1873" t="s">
        <v>171</v>
      </c>
      <c r="Y1873" s="9">
        <f t="shared" si="88"/>
        <v>1.2999999999999999E-2</v>
      </c>
      <c r="Z1873" t="str">
        <f t="shared" si="89"/>
        <v>สแกนต่าง Cost</v>
      </c>
    </row>
    <row r="1874" spans="1:26" x14ac:dyDescent="0.45">
      <c r="B1874" t="s">
        <v>26</v>
      </c>
      <c r="C1874">
        <v>20167851</v>
      </c>
      <c r="D1874" t="s">
        <v>63</v>
      </c>
      <c r="E1874" s="10">
        <v>46121.722916666666</v>
      </c>
      <c r="F1874" s="10">
        <v>46121.854166666664</v>
      </c>
      <c r="G1874">
        <v>3.15</v>
      </c>
      <c r="H1874" s="9">
        <f t="shared" si="87"/>
        <v>1.7000000000000001E-2</v>
      </c>
      <c r="K1874">
        <v>1.7000000000000001E-2</v>
      </c>
      <c r="M1874" t="s">
        <v>28</v>
      </c>
      <c r="N1874" t="s">
        <v>40</v>
      </c>
      <c r="O1874" t="s">
        <v>190</v>
      </c>
      <c r="P1874" t="s">
        <v>30</v>
      </c>
      <c r="Q1874" t="s">
        <v>31</v>
      </c>
      <c r="R1874">
        <v>82640</v>
      </c>
      <c r="S1874" t="s">
        <v>42</v>
      </c>
      <c r="T1874">
        <v>82611</v>
      </c>
      <c r="U1874" t="s">
        <v>43</v>
      </c>
      <c r="V1874" t="s">
        <v>43</v>
      </c>
      <c r="W1874" t="s">
        <v>44</v>
      </c>
      <c r="X1874" t="s">
        <v>44</v>
      </c>
      <c r="Y1874" s="9">
        <f t="shared" si="88"/>
        <v>1.7000000000000001E-2</v>
      </c>
      <c r="Z1874" t="str">
        <f t="shared" si="89"/>
        <v>สแกนต่าง Cost</v>
      </c>
    </row>
    <row r="1875" spans="1:26" x14ac:dyDescent="0.45">
      <c r="B1875" t="s">
        <v>53</v>
      </c>
      <c r="C1875">
        <v>20391064</v>
      </c>
      <c r="D1875" t="s">
        <v>121</v>
      </c>
      <c r="E1875" s="10">
        <v>46121.722916666666</v>
      </c>
      <c r="F1875" s="10">
        <v>46121.826388888891</v>
      </c>
      <c r="G1875">
        <v>2.4833333333333334</v>
      </c>
      <c r="H1875" s="9">
        <f t="shared" si="87"/>
        <v>1.2999999999999999E-2</v>
      </c>
      <c r="K1875">
        <v>1.2999999999999999E-2</v>
      </c>
      <c r="M1875" t="s">
        <v>28</v>
      </c>
      <c r="N1875" t="s">
        <v>40</v>
      </c>
      <c r="O1875" t="s">
        <v>41</v>
      </c>
      <c r="P1875" t="s">
        <v>30</v>
      </c>
      <c r="Q1875" t="s">
        <v>31</v>
      </c>
      <c r="R1875">
        <v>82630</v>
      </c>
      <c r="S1875" t="s">
        <v>32</v>
      </c>
      <c r="T1875">
        <v>82611</v>
      </c>
      <c r="U1875" t="s">
        <v>43</v>
      </c>
      <c r="V1875" t="s">
        <v>43</v>
      </c>
      <c r="W1875" t="s">
        <v>148</v>
      </c>
      <c r="X1875" t="s">
        <v>171</v>
      </c>
      <c r="Y1875" s="9">
        <f t="shared" si="88"/>
        <v>1.2999999999999999E-2</v>
      </c>
      <c r="Z1875" t="str">
        <f t="shared" si="89"/>
        <v>สแกนต่าง Cost</v>
      </c>
    </row>
    <row r="1876" spans="1:26" x14ac:dyDescent="0.45">
      <c r="B1876" t="s">
        <v>53</v>
      </c>
      <c r="C1876">
        <v>20029099</v>
      </c>
      <c r="D1876" t="s">
        <v>163</v>
      </c>
      <c r="E1876" s="10">
        <v>46121.722222222219</v>
      </c>
      <c r="F1876" s="10">
        <v>46121.826388888891</v>
      </c>
      <c r="G1876">
        <v>2.5</v>
      </c>
      <c r="H1876" s="9">
        <f t="shared" si="87"/>
        <v>1.2999999999999999E-2</v>
      </c>
      <c r="K1876">
        <v>1.2999999999999999E-2</v>
      </c>
      <c r="M1876" t="s">
        <v>28</v>
      </c>
      <c r="N1876" t="s">
        <v>40</v>
      </c>
      <c r="O1876" t="s">
        <v>41</v>
      </c>
      <c r="P1876" t="s">
        <v>30</v>
      </c>
      <c r="Q1876" t="s">
        <v>31</v>
      </c>
      <c r="R1876">
        <v>82630</v>
      </c>
      <c r="S1876" t="s">
        <v>32</v>
      </c>
      <c r="T1876">
        <v>82611</v>
      </c>
      <c r="U1876" t="s">
        <v>43</v>
      </c>
      <c r="V1876" t="s">
        <v>43</v>
      </c>
      <c r="W1876" t="s">
        <v>148</v>
      </c>
      <c r="X1876" t="s">
        <v>171</v>
      </c>
      <c r="Y1876" s="9">
        <f t="shared" si="88"/>
        <v>1.2999999999999999E-2</v>
      </c>
      <c r="Z1876" t="str">
        <f t="shared" si="89"/>
        <v>สแกนต่าง Cost</v>
      </c>
    </row>
    <row r="1877" spans="1:26" x14ac:dyDescent="0.45">
      <c r="B1877" t="s">
        <v>53</v>
      </c>
      <c r="C1877">
        <v>20056406</v>
      </c>
      <c r="D1877" t="s">
        <v>85</v>
      </c>
      <c r="E1877" s="10">
        <v>46121.722222222219</v>
      </c>
      <c r="F1877" s="10">
        <v>46121.826388888891</v>
      </c>
      <c r="G1877">
        <v>2.5</v>
      </c>
      <c r="H1877" s="9">
        <f t="shared" si="87"/>
        <v>1.2999999999999999E-2</v>
      </c>
      <c r="K1877">
        <v>1.2999999999999999E-2</v>
      </c>
      <c r="M1877" t="s">
        <v>28</v>
      </c>
      <c r="N1877" t="s">
        <v>40</v>
      </c>
      <c r="O1877" t="s">
        <v>41</v>
      </c>
      <c r="P1877" t="s">
        <v>30</v>
      </c>
      <c r="Q1877" t="s">
        <v>31</v>
      </c>
      <c r="R1877">
        <v>82630</v>
      </c>
      <c r="S1877" t="s">
        <v>32</v>
      </c>
      <c r="T1877">
        <v>82611</v>
      </c>
      <c r="U1877" t="s">
        <v>43</v>
      </c>
      <c r="V1877" t="s">
        <v>43</v>
      </c>
      <c r="W1877" t="s">
        <v>148</v>
      </c>
      <c r="X1877" t="s">
        <v>171</v>
      </c>
      <c r="Y1877" s="9">
        <f t="shared" si="88"/>
        <v>1.2999999999999999E-2</v>
      </c>
      <c r="Z1877" t="str">
        <f t="shared" si="89"/>
        <v>สแกนต่าง Cost</v>
      </c>
    </row>
    <row r="1878" spans="1:26" x14ac:dyDescent="0.45">
      <c r="B1878" t="s">
        <v>53</v>
      </c>
      <c r="C1878">
        <v>20156338</v>
      </c>
      <c r="D1878" t="s">
        <v>102</v>
      </c>
      <c r="E1878" s="10">
        <v>46121.722222222219</v>
      </c>
      <c r="F1878" s="10">
        <v>46121.826388888891</v>
      </c>
      <c r="G1878">
        <v>2.5</v>
      </c>
      <c r="H1878" s="9">
        <f t="shared" si="87"/>
        <v>1.2999999999999999E-2</v>
      </c>
      <c r="K1878">
        <v>1.2999999999999999E-2</v>
      </c>
      <c r="M1878" t="s">
        <v>28</v>
      </c>
      <c r="N1878" t="s">
        <v>40</v>
      </c>
      <c r="O1878" t="s">
        <v>41</v>
      </c>
      <c r="P1878" t="s">
        <v>30</v>
      </c>
      <c r="Q1878" t="s">
        <v>31</v>
      </c>
      <c r="R1878">
        <v>82630</v>
      </c>
      <c r="S1878" t="s">
        <v>32</v>
      </c>
      <c r="T1878">
        <v>82611</v>
      </c>
      <c r="U1878" t="s">
        <v>43</v>
      </c>
      <c r="V1878" t="s">
        <v>43</v>
      </c>
      <c r="W1878" t="s">
        <v>148</v>
      </c>
      <c r="X1878" t="s">
        <v>171</v>
      </c>
      <c r="Y1878" s="9">
        <f t="shared" si="88"/>
        <v>1.2999999999999999E-2</v>
      </c>
      <c r="Z1878" t="str">
        <f t="shared" si="89"/>
        <v>สแกนต่าง Cost</v>
      </c>
    </row>
    <row r="1879" spans="1:26" x14ac:dyDescent="0.45">
      <c r="B1879" t="s">
        <v>53</v>
      </c>
      <c r="C1879">
        <v>20240959</v>
      </c>
      <c r="D1879" t="s">
        <v>105</v>
      </c>
      <c r="E1879" s="10">
        <v>46121.722222222219</v>
      </c>
      <c r="F1879" s="10">
        <v>46121.826388888891</v>
      </c>
      <c r="G1879">
        <v>2.5</v>
      </c>
      <c r="H1879" s="9">
        <f t="shared" si="87"/>
        <v>1.2999999999999999E-2</v>
      </c>
      <c r="K1879">
        <v>1.2999999999999999E-2</v>
      </c>
      <c r="M1879" t="s">
        <v>28</v>
      </c>
      <c r="N1879" t="s">
        <v>40</v>
      </c>
      <c r="O1879" t="s">
        <v>41</v>
      </c>
      <c r="P1879" t="s">
        <v>30</v>
      </c>
      <c r="Q1879" t="s">
        <v>31</v>
      </c>
      <c r="R1879">
        <v>82630</v>
      </c>
      <c r="S1879" t="s">
        <v>32</v>
      </c>
      <c r="T1879">
        <v>82611</v>
      </c>
      <c r="U1879" t="s">
        <v>43</v>
      </c>
      <c r="V1879" t="s">
        <v>43</v>
      </c>
      <c r="W1879" t="s">
        <v>148</v>
      </c>
      <c r="X1879" t="s">
        <v>171</v>
      </c>
      <c r="Y1879" s="9">
        <f t="shared" si="88"/>
        <v>1.2999999999999999E-2</v>
      </c>
      <c r="Z1879" t="str">
        <f t="shared" si="89"/>
        <v>สแกนต่าง Cost</v>
      </c>
    </row>
    <row r="1880" spans="1:26" x14ac:dyDescent="0.45">
      <c r="B1880" t="s">
        <v>53</v>
      </c>
      <c r="C1880">
        <v>20240961</v>
      </c>
      <c r="D1880" t="s">
        <v>239</v>
      </c>
      <c r="E1880" s="10">
        <v>46121.722222222219</v>
      </c>
      <c r="F1880" s="10">
        <v>46121.826388888891</v>
      </c>
      <c r="G1880">
        <v>2.5</v>
      </c>
      <c r="H1880" s="9">
        <f t="shared" si="87"/>
        <v>1.2999999999999999E-2</v>
      </c>
      <c r="K1880">
        <v>1.2999999999999999E-2</v>
      </c>
      <c r="M1880" t="s">
        <v>28</v>
      </c>
      <c r="N1880" t="s">
        <v>40</v>
      </c>
      <c r="O1880" t="s">
        <v>41</v>
      </c>
      <c r="P1880" t="s">
        <v>30</v>
      </c>
      <c r="Q1880" t="s">
        <v>31</v>
      </c>
      <c r="R1880">
        <v>82630</v>
      </c>
      <c r="S1880" t="s">
        <v>32</v>
      </c>
      <c r="T1880">
        <v>82611</v>
      </c>
      <c r="U1880" t="s">
        <v>43</v>
      </c>
      <c r="V1880" t="s">
        <v>43</v>
      </c>
      <c r="W1880" t="s">
        <v>148</v>
      </c>
      <c r="X1880" t="s">
        <v>171</v>
      </c>
      <c r="Y1880" s="9">
        <f t="shared" si="88"/>
        <v>1.2999999999999999E-2</v>
      </c>
      <c r="Z1880" t="str">
        <f t="shared" si="89"/>
        <v>สแกนต่าง Cost</v>
      </c>
    </row>
    <row r="1881" spans="1:26" x14ac:dyDescent="0.45">
      <c r="A1881">
        <v>26504</v>
      </c>
      <c r="B1881" t="s">
        <v>53</v>
      </c>
      <c r="C1881">
        <v>20310534</v>
      </c>
      <c r="D1881" t="s">
        <v>228</v>
      </c>
      <c r="E1881" s="10">
        <v>46121.722222222219</v>
      </c>
      <c r="F1881" s="10">
        <v>46121.82708333333</v>
      </c>
      <c r="G1881">
        <v>2.5166666666666666</v>
      </c>
      <c r="H1881" s="9">
        <f t="shared" si="87"/>
        <v>1.2999999999999999E-2</v>
      </c>
      <c r="K1881">
        <v>1.2999999999999999E-2</v>
      </c>
      <c r="M1881" t="s">
        <v>28</v>
      </c>
      <c r="N1881" t="s">
        <v>40</v>
      </c>
      <c r="O1881" t="s">
        <v>41</v>
      </c>
      <c r="P1881" t="s">
        <v>30</v>
      </c>
      <c r="Q1881" t="s">
        <v>31</v>
      </c>
      <c r="R1881">
        <v>82611</v>
      </c>
      <c r="S1881" t="s">
        <v>43</v>
      </c>
      <c r="T1881">
        <v>82640</v>
      </c>
      <c r="U1881" t="s">
        <v>42</v>
      </c>
      <c r="V1881" t="s">
        <v>70</v>
      </c>
      <c r="W1881" t="s">
        <v>71</v>
      </c>
      <c r="X1881" t="s">
        <v>72</v>
      </c>
      <c r="Y1881" s="9">
        <f t="shared" si="88"/>
        <v>1.2999999999999999E-2</v>
      </c>
      <c r="Z1881" t="str">
        <f t="shared" si="89"/>
        <v>สแกนต่าง Cost</v>
      </c>
    </row>
    <row r="1882" spans="1:26" x14ac:dyDescent="0.45">
      <c r="A1882">
        <v>26503</v>
      </c>
      <c r="B1882" t="s">
        <v>53</v>
      </c>
      <c r="C1882">
        <v>20357413</v>
      </c>
      <c r="D1882" t="s">
        <v>48</v>
      </c>
      <c r="E1882" s="10">
        <v>46121.722222222219</v>
      </c>
      <c r="F1882" s="10">
        <v>46121.82708333333</v>
      </c>
      <c r="G1882">
        <v>2.5166666666666666</v>
      </c>
      <c r="H1882" s="9">
        <f t="shared" si="87"/>
        <v>1.2999999999999999E-2</v>
      </c>
      <c r="K1882">
        <v>1.2999999999999999E-2</v>
      </c>
      <c r="M1882" t="s">
        <v>28</v>
      </c>
      <c r="N1882" t="s">
        <v>40</v>
      </c>
      <c r="O1882" t="s">
        <v>41</v>
      </c>
      <c r="P1882" t="s">
        <v>30</v>
      </c>
      <c r="Q1882" t="s">
        <v>31</v>
      </c>
      <c r="R1882">
        <v>82611</v>
      </c>
      <c r="S1882" t="s">
        <v>43</v>
      </c>
      <c r="T1882">
        <v>82640</v>
      </c>
      <c r="U1882" t="s">
        <v>42</v>
      </c>
      <c r="V1882" t="s">
        <v>70</v>
      </c>
      <c r="W1882" t="s">
        <v>71</v>
      </c>
      <c r="X1882" t="s">
        <v>72</v>
      </c>
      <c r="Y1882" s="9">
        <f t="shared" si="88"/>
        <v>1.2999999999999999E-2</v>
      </c>
      <c r="Z1882" t="str">
        <f t="shared" si="89"/>
        <v>สแกนต่าง Cost</v>
      </c>
    </row>
    <row r="1883" spans="1:26" x14ac:dyDescent="0.45">
      <c r="B1883" t="s">
        <v>53</v>
      </c>
      <c r="C1883">
        <v>20022740</v>
      </c>
      <c r="D1883" t="s">
        <v>259</v>
      </c>
      <c r="E1883" s="10">
        <v>46121.6875</v>
      </c>
      <c r="F1883" s="10">
        <v>46121.729166666664</v>
      </c>
      <c r="G1883">
        <v>1</v>
      </c>
      <c r="H1883" s="9">
        <f t="shared" si="87"/>
        <v>5.0000000000000001E-3</v>
      </c>
      <c r="I1883">
        <v>5.0000000000000001E-3</v>
      </c>
      <c r="M1883" t="s">
        <v>65</v>
      </c>
      <c r="N1883" t="s">
        <v>29</v>
      </c>
      <c r="P1883" t="s">
        <v>30</v>
      </c>
      <c r="Q1883" t="s">
        <v>31</v>
      </c>
      <c r="R1883">
        <v>82640</v>
      </c>
      <c r="S1883" t="s">
        <v>42</v>
      </c>
      <c r="T1883">
        <v>82611</v>
      </c>
      <c r="U1883" t="s">
        <v>43</v>
      </c>
      <c r="V1883" t="s">
        <v>66</v>
      </c>
      <c r="W1883" t="s">
        <v>44</v>
      </c>
      <c r="X1883" t="s">
        <v>44</v>
      </c>
      <c r="Y1883" s="9">
        <f t="shared" si="88"/>
        <v>0</v>
      </c>
      <c r="Z1883" t="str">
        <f t="shared" si="89"/>
        <v>สแกนต่าง Cost</v>
      </c>
    </row>
    <row r="1884" spans="1:26" x14ac:dyDescent="0.45">
      <c r="B1884" t="s">
        <v>53</v>
      </c>
      <c r="C1884">
        <v>20280718</v>
      </c>
      <c r="D1884" t="s">
        <v>256</v>
      </c>
      <c r="E1884" s="10">
        <v>46121.6875</v>
      </c>
      <c r="F1884" s="10">
        <v>46121.729166666664</v>
      </c>
      <c r="G1884">
        <v>1</v>
      </c>
      <c r="H1884" s="9">
        <f t="shared" si="87"/>
        <v>5.0000000000000001E-3</v>
      </c>
      <c r="I1884">
        <v>5.0000000000000001E-3</v>
      </c>
      <c r="M1884" t="s">
        <v>65</v>
      </c>
      <c r="N1884" t="s">
        <v>29</v>
      </c>
      <c r="P1884" t="s">
        <v>30</v>
      </c>
      <c r="Q1884" t="s">
        <v>31</v>
      </c>
      <c r="R1884">
        <v>82640</v>
      </c>
      <c r="S1884" t="s">
        <v>42</v>
      </c>
      <c r="T1884">
        <v>82611</v>
      </c>
      <c r="U1884" t="s">
        <v>43</v>
      </c>
      <c r="V1884" t="s">
        <v>66</v>
      </c>
      <c r="W1884" t="s">
        <v>44</v>
      </c>
      <c r="X1884" t="s">
        <v>44</v>
      </c>
      <c r="Y1884" s="9">
        <f t="shared" si="88"/>
        <v>0</v>
      </c>
      <c r="Z1884" t="str">
        <f t="shared" si="89"/>
        <v>สแกนต่าง Cost</v>
      </c>
    </row>
    <row r="1885" spans="1:26" x14ac:dyDescent="0.45">
      <c r="B1885" t="s">
        <v>53</v>
      </c>
      <c r="C1885">
        <v>20280718</v>
      </c>
      <c r="D1885" t="s">
        <v>256</v>
      </c>
      <c r="E1885" s="10">
        <v>46121.6875</v>
      </c>
      <c r="F1885" s="10">
        <v>46121.708333333336</v>
      </c>
      <c r="G1885">
        <v>0.5</v>
      </c>
      <c r="H1885" s="9">
        <f t="shared" si="87"/>
        <v>3.0000000000000001E-3</v>
      </c>
      <c r="I1885">
        <v>3.0000000000000001E-3</v>
      </c>
      <c r="M1885" t="s">
        <v>65</v>
      </c>
      <c r="N1885" t="s">
        <v>29</v>
      </c>
      <c r="P1885" t="s">
        <v>30</v>
      </c>
      <c r="Q1885" t="s">
        <v>31</v>
      </c>
      <c r="R1885">
        <v>82640</v>
      </c>
      <c r="S1885" t="s">
        <v>42</v>
      </c>
      <c r="T1885">
        <v>82630</v>
      </c>
      <c r="U1885" t="s">
        <v>32</v>
      </c>
      <c r="V1885" t="s">
        <v>66</v>
      </c>
      <c r="W1885" t="s">
        <v>44</v>
      </c>
      <c r="X1885" t="s">
        <v>44</v>
      </c>
      <c r="Y1885" s="9">
        <f t="shared" si="88"/>
        <v>0</v>
      </c>
      <c r="Z1885" t="str">
        <f t="shared" si="89"/>
        <v>สแกนต่าง Cost</v>
      </c>
    </row>
    <row r="1886" spans="1:26" x14ac:dyDescent="0.45">
      <c r="B1886" t="s">
        <v>53</v>
      </c>
      <c r="C1886">
        <v>20310530</v>
      </c>
      <c r="D1886" t="s">
        <v>220</v>
      </c>
      <c r="E1886" s="10">
        <v>46121.6875</v>
      </c>
      <c r="F1886" s="10">
        <v>46121.729166666664</v>
      </c>
      <c r="G1886">
        <v>1</v>
      </c>
      <c r="H1886" s="9">
        <f t="shared" si="87"/>
        <v>5.0000000000000001E-3</v>
      </c>
      <c r="I1886">
        <v>5.0000000000000001E-3</v>
      </c>
      <c r="M1886" t="s">
        <v>65</v>
      </c>
      <c r="N1886" t="s">
        <v>29</v>
      </c>
      <c r="P1886" t="s">
        <v>30</v>
      </c>
      <c r="Q1886" t="s">
        <v>31</v>
      </c>
      <c r="R1886">
        <v>82640</v>
      </c>
      <c r="S1886" t="s">
        <v>42</v>
      </c>
      <c r="T1886">
        <v>82622</v>
      </c>
      <c r="U1886" t="s">
        <v>147</v>
      </c>
      <c r="V1886" t="s">
        <v>66</v>
      </c>
      <c r="W1886" t="s">
        <v>44</v>
      </c>
      <c r="X1886" t="s">
        <v>44</v>
      </c>
      <c r="Y1886" s="9">
        <f t="shared" si="88"/>
        <v>0</v>
      </c>
      <c r="Z1886" t="str">
        <f t="shared" si="89"/>
        <v>สแกนต่าง Cost</v>
      </c>
    </row>
    <row r="1887" spans="1:26" x14ac:dyDescent="0.45">
      <c r="B1887" t="s">
        <v>53</v>
      </c>
      <c r="C1887">
        <v>20280718</v>
      </c>
      <c r="D1887" t="s">
        <v>256</v>
      </c>
      <c r="E1887" s="10">
        <v>46121.666666666664</v>
      </c>
      <c r="F1887" s="10">
        <v>46121.6875</v>
      </c>
      <c r="G1887">
        <v>0.5</v>
      </c>
      <c r="H1887" s="9">
        <f t="shared" si="87"/>
        <v>3.0000000000000001E-3</v>
      </c>
      <c r="I1887">
        <v>3.0000000000000001E-3</v>
      </c>
      <c r="M1887" t="s">
        <v>65</v>
      </c>
      <c r="N1887" t="s">
        <v>29</v>
      </c>
      <c r="P1887" t="s">
        <v>30</v>
      </c>
      <c r="Q1887" t="s">
        <v>31</v>
      </c>
      <c r="R1887">
        <v>82640</v>
      </c>
      <c r="S1887" t="s">
        <v>42</v>
      </c>
      <c r="T1887">
        <v>82622</v>
      </c>
      <c r="U1887" t="s">
        <v>147</v>
      </c>
      <c r="V1887" t="s">
        <v>66</v>
      </c>
      <c r="W1887" t="s">
        <v>44</v>
      </c>
      <c r="X1887" t="s">
        <v>44</v>
      </c>
      <c r="Y1887" s="9">
        <f t="shared" si="88"/>
        <v>0</v>
      </c>
      <c r="Z1887" t="str">
        <f t="shared" si="89"/>
        <v>สแกนต่าง Cost</v>
      </c>
    </row>
    <row r="1888" spans="1:26" x14ac:dyDescent="0.45">
      <c r="B1888" t="s">
        <v>53</v>
      </c>
      <c r="C1888">
        <v>20310532</v>
      </c>
      <c r="D1888" t="s">
        <v>61</v>
      </c>
      <c r="E1888" s="10">
        <v>46121.666666666664</v>
      </c>
      <c r="F1888" s="10">
        <v>46121.729166666664</v>
      </c>
      <c r="G1888">
        <v>1.5</v>
      </c>
      <c r="H1888" s="9">
        <f t="shared" si="87"/>
        <v>8.0000000000000002E-3</v>
      </c>
      <c r="I1888">
        <v>8.0000000000000002E-3</v>
      </c>
      <c r="M1888" t="s">
        <v>65</v>
      </c>
      <c r="N1888" t="s">
        <v>29</v>
      </c>
      <c r="P1888" t="s">
        <v>30</v>
      </c>
      <c r="Q1888" t="s">
        <v>31</v>
      </c>
      <c r="R1888">
        <v>82640</v>
      </c>
      <c r="S1888" t="s">
        <v>42</v>
      </c>
      <c r="T1888">
        <v>82630</v>
      </c>
      <c r="U1888" t="s">
        <v>32</v>
      </c>
      <c r="V1888" t="s">
        <v>66</v>
      </c>
      <c r="W1888" t="s">
        <v>44</v>
      </c>
      <c r="X1888" t="s">
        <v>44</v>
      </c>
      <c r="Y1888" s="9">
        <f t="shared" si="88"/>
        <v>0</v>
      </c>
      <c r="Z1888" t="str">
        <f t="shared" si="89"/>
        <v>สแกนต่าง Cost</v>
      </c>
    </row>
    <row r="1889" spans="1:26" x14ac:dyDescent="0.45">
      <c r="B1889" t="s">
        <v>53</v>
      </c>
      <c r="C1889">
        <v>20280718</v>
      </c>
      <c r="D1889" t="s">
        <v>256</v>
      </c>
      <c r="E1889" s="10">
        <v>46121.645833333336</v>
      </c>
      <c r="F1889" s="10">
        <v>46121.6875</v>
      </c>
      <c r="G1889">
        <v>1</v>
      </c>
      <c r="H1889" s="9">
        <f t="shared" si="87"/>
        <v>5.0000000000000001E-3</v>
      </c>
      <c r="I1889">
        <v>5.0000000000000001E-3</v>
      </c>
      <c r="M1889" t="s">
        <v>65</v>
      </c>
      <c r="N1889" t="s">
        <v>29</v>
      </c>
      <c r="P1889" t="s">
        <v>30</v>
      </c>
      <c r="Q1889" t="s">
        <v>31</v>
      </c>
      <c r="R1889">
        <v>82640</v>
      </c>
      <c r="S1889" t="s">
        <v>42</v>
      </c>
      <c r="T1889">
        <v>82612</v>
      </c>
      <c r="U1889" t="s">
        <v>153</v>
      </c>
      <c r="V1889" t="s">
        <v>66</v>
      </c>
      <c r="W1889" t="s">
        <v>44</v>
      </c>
      <c r="X1889" t="s">
        <v>44</v>
      </c>
      <c r="Y1889" s="9">
        <f t="shared" si="88"/>
        <v>0</v>
      </c>
      <c r="Z1889" t="str">
        <f t="shared" si="89"/>
        <v>สแกนต่าง Cost</v>
      </c>
    </row>
    <row r="1890" spans="1:26" x14ac:dyDescent="0.45">
      <c r="B1890" t="s">
        <v>53</v>
      </c>
      <c r="C1890">
        <v>20310530</v>
      </c>
      <c r="D1890" t="s">
        <v>220</v>
      </c>
      <c r="E1890" s="10">
        <v>46121.645833333336</v>
      </c>
      <c r="F1890" s="10">
        <v>46121.6875</v>
      </c>
      <c r="G1890">
        <v>1</v>
      </c>
      <c r="H1890" s="9">
        <f t="shared" si="87"/>
        <v>5.0000000000000001E-3</v>
      </c>
      <c r="I1890">
        <v>5.0000000000000001E-3</v>
      </c>
      <c r="M1890" t="s">
        <v>65</v>
      </c>
      <c r="N1890" t="s">
        <v>29</v>
      </c>
      <c r="P1890" t="s">
        <v>30</v>
      </c>
      <c r="Q1890" t="s">
        <v>31</v>
      </c>
      <c r="R1890">
        <v>82640</v>
      </c>
      <c r="S1890" t="s">
        <v>42</v>
      </c>
      <c r="T1890">
        <v>82611</v>
      </c>
      <c r="U1890" t="s">
        <v>43</v>
      </c>
      <c r="V1890" t="s">
        <v>66</v>
      </c>
      <c r="W1890" t="s">
        <v>44</v>
      </c>
      <c r="X1890" t="s">
        <v>44</v>
      </c>
      <c r="Y1890" s="9">
        <f t="shared" si="88"/>
        <v>0</v>
      </c>
      <c r="Z1890" t="str">
        <f t="shared" si="89"/>
        <v>สแกนต่าง Cost</v>
      </c>
    </row>
    <row r="1891" spans="1:26" x14ac:dyDescent="0.45">
      <c r="B1891" t="s">
        <v>53</v>
      </c>
      <c r="C1891">
        <v>20310532</v>
      </c>
      <c r="D1891" t="s">
        <v>61</v>
      </c>
      <c r="E1891" s="10">
        <v>46121.645833333336</v>
      </c>
      <c r="F1891" s="10">
        <v>46121.666666666664</v>
      </c>
      <c r="G1891">
        <v>0.5</v>
      </c>
      <c r="H1891" s="9">
        <f t="shared" si="87"/>
        <v>3.0000000000000001E-3</v>
      </c>
      <c r="I1891">
        <v>3.0000000000000001E-3</v>
      </c>
      <c r="M1891" t="s">
        <v>65</v>
      </c>
      <c r="N1891" t="s">
        <v>29</v>
      </c>
      <c r="P1891" t="s">
        <v>30</v>
      </c>
      <c r="Q1891" t="s">
        <v>31</v>
      </c>
      <c r="R1891">
        <v>82640</v>
      </c>
      <c r="S1891" t="s">
        <v>42</v>
      </c>
      <c r="T1891">
        <v>82612</v>
      </c>
      <c r="U1891" t="s">
        <v>153</v>
      </c>
      <c r="V1891" t="s">
        <v>66</v>
      </c>
      <c r="W1891" t="s">
        <v>44</v>
      </c>
      <c r="X1891" t="s">
        <v>44</v>
      </c>
      <c r="Y1891" s="9">
        <f t="shared" si="88"/>
        <v>0</v>
      </c>
      <c r="Z1891" t="str">
        <f t="shared" si="89"/>
        <v>สแกนต่าง Cost</v>
      </c>
    </row>
    <row r="1892" spans="1:26" x14ac:dyDescent="0.45">
      <c r="B1892" t="s">
        <v>53</v>
      </c>
      <c r="C1892">
        <v>20027956</v>
      </c>
      <c r="D1892" t="s">
        <v>214</v>
      </c>
      <c r="E1892" s="10">
        <v>46121.625</v>
      </c>
      <c r="F1892" s="10">
        <v>46121.729166666664</v>
      </c>
      <c r="G1892">
        <v>2.5</v>
      </c>
      <c r="H1892" s="9">
        <f t="shared" si="87"/>
        <v>1.2999999999999999E-2</v>
      </c>
      <c r="I1892">
        <v>1.2999999999999999E-2</v>
      </c>
      <c r="M1892" t="s">
        <v>65</v>
      </c>
      <c r="N1892" t="s">
        <v>29</v>
      </c>
      <c r="P1892" t="s">
        <v>30</v>
      </c>
      <c r="Q1892" t="s">
        <v>31</v>
      </c>
      <c r="R1892">
        <v>82640</v>
      </c>
      <c r="S1892" t="s">
        <v>42</v>
      </c>
      <c r="T1892">
        <v>82611</v>
      </c>
      <c r="U1892" t="s">
        <v>43</v>
      </c>
      <c r="V1892" t="s">
        <v>66</v>
      </c>
      <c r="W1892" t="s">
        <v>44</v>
      </c>
      <c r="X1892" t="s">
        <v>44</v>
      </c>
      <c r="Y1892" s="9">
        <f t="shared" si="88"/>
        <v>0</v>
      </c>
      <c r="Z1892" t="str">
        <f t="shared" si="89"/>
        <v>สแกนต่าง Cost</v>
      </c>
    </row>
    <row r="1893" spans="1:26" x14ac:dyDescent="0.45">
      <c r="A1893">
        <v>26560</v>
      </c>
      <c r="B1893" t="s">
        <v>53</v>
      </c>
      <c r="C1893">
        <v>20075031</v>
      </c>
      <c r="D1893" t="s">
        <v>191</v>
      </c>
      <c r="E1893" s="10">
        <v>46121.625</v>
      </c>
      <c r="F1893" s="10">
        <v>46121.729166666664</v>
      </c>
      <c r="G1893">
        <v>2.5</v>
      </c>
      <c r="H1893" s="9">
        <f t="shared" si="87"/>
        <v>1.2999999999999999E-2</v>
      </c>
      <c r="I1893">
        <v>1.2999999999999999E-2</v>
      </c>
      <c r="M1893" t="s">
        <v>65</v>
      </c>
      <c r="N1893" t="s">
        <v>29</v>
      </c>
      <c r="P1893" t="s">
        <v>30</v>
      </c>
      <c r="Q1893" t="s">
        <v>31</v>
      </c>
      <c r="R1893">
        <v>82640</v>
      </c>
      <c r="S1893" t="s">
        <v>42</v>
      </c>
      <c r="T1893">
        <v>82611</v>
      </c>
      <c r="U1893" t="s">
        <v>43</v>
      </c>
      <c r="V1893" t="s">
        <v>43</v>
      </c>
      <c r="W1893" t="s">
        <v>47</v>
      </c>
      <c r="X1893" t="s">
        <v>192</v>
      </c>
      <c r="Y1893" s="9">
        <f t="shared" si="88"/>
        <v>0</v>
      </c>
      <c r="Z1893" t="str">
        <f t="shared" si="89"/>
        <v>สแกนต่าง Cost</v>
      </c>
    </row>
    <row r="1894" spans="1:26" x14ac:dyDescent="0.45">
      <c r="B1894" t="s">
        <v>53</v>
      </c>
      <c r="C1894">
        <v>20167851</v>
      </c>
      <c r="D1894" t="s">
        <v>63</v>
      </c>
      <c r="E1894" s="10">
        <v>46121.625</v>
      </c>
      <c r="F1894" s="10">
        <v>46121.729166666664</v>
      </c>
      <c r="G1894">
        <v>2.5</v>
      </c>
      <c r="H1894" s="9">
        <f t="shared" si="87"/>
        <v>1.2999999999999999E-2</v>
      </c>
      <c r="I1894">
        <v>1.2999999999999999E-2</v>
      </c>
      <c r="M1894" t="s">
        <v>65</v>
      </c>
      <c r="N1894" t="s">
        <v>29</v>
      </c>
      <c r="P1894" t="s">
        <v>30</v>
      </c>
      <c r="Q1894" t="s">
        <v>31</v>
      </c>
      <c r="R1894">
        <v>82640</v>
      </c>
      <c r="S1894" t="s">
        <v>42</v>
      </c>
      <c r="T1894">
        <v>82612</v>
      </c>
      <c r="U1894" t="s">
        <v>153</v>
      </c>
      <c r="V1894" t="s">
        <v>66</v>
      </c>
      <c r="W1894" t="s">
        <v>44</v>
      </c>
      <c r="X1894" t="s">
        <v>44</v>
      </c>
      <c r="Y1894" s="9">
        <f t="shared" si="88"/>
        <v>0</v>
      </c>
      <c r="Z1894" t="str">
        <f t="shared" si="89"/>
        <v>สแกนต่าง Cost</v>
      </c>
    </row>
    <row r="1895" spans="1:26" x14ac:dyDescent="0.45">
      <c r="B1895" t="s">
        <v>53</v>
      </c>
      <c r="C1895">
        <v>20310530</v>
      </c>
      <c r="D1895" t="s">
        <v>220</v>
      </c>
      <c r="E1895" s="10">
        <v>46121.625</v>
      </c>
      <c r="F1895" s="10">
        <v>46121.645833333336</v>
      </c>
      <c r="G1895">
        <v>0.5</v>
      </c>
      <c r="H1895" s="9">
        <f t="shared" si="87"/>
        <v>3.0000000000000001E-3</v>
      </c>
      <c r="I1895">
        <v>3.0000000000000001E-3</v>
      </c>
      <c r="M1895" t="s">
        <v>65</v>
      </c>
      <c r="N1895" t="s">
        <v>29</v>
      </c>
      <c r="P1895" t="s">
        <v>30</v>
      </c>
      <c r="Q1895" t="s">
        <v>31</v>
      </c>
      <c r="R1895">
        <v>82640</v>
      </c>
      <c r="S1895" t="s">
        <v>42</v>
      </c>
      <c r="T1895">
        <v>82612</v>
      </c>
      <c r="U1895" t="s">
        <v>153</v>
      </c>
      <c r="V1895" t="s">
        <v>66</v>
      </c>
      <c r="W1895" t="s">
        <v>44</v>
      </c>
      <c r="X1895" t="s">
        <v>44</v>
      </c>
      <c r="Y1895" s="9">
        <f t="shared" si="88"/>
        <v>0</v>
      </c>
      <c r="Z1895" t="str">
        <f t="shared" si="89"/>
        <v>สแกนต่าง Cost</v>
      </c>
    </row>
    <row r="1896" spans="1:26" x14ac:dyDescent="0.45">
      <c r="B1896" t="s">
        <v>53</v>
      </c>
      <c r="C1896">
        <v>20332134</v>
      </c>
      <c r="D1896" t="s">
        <v>156</v>
      </c>
      <c r="E1896" s="10">
        <v>46121.625</v>
      </c>
      <c r="F1896" s="10">
        <v>46121.729166666664</v>
      </c>
      <c r="G1896">
        <v>2.5</v>
      </c>
      <c r="H1896" s="9">
        <f t="shared" si="87"/>
        <v>1.2999999999999999E-2</v>
      </c>
      <c r="I1896">
        <v>1.2999999999999999E-2</v>
      </c>
      <c r="M1896" t="s">
        <v>65</v>
      </c>
      <c r="N1896" t="s">
        <v>29</v>
      </c>
      <c r="P1896" t="s">
        <v>30</v>
      </c>
      <c r="Q1896" t="s">
        <v>31</v>
      </c>
      <c r="R1896">
        <v>82640</v>
      </c>
      <c r="S1896" t="s">
        <v>42</v>
      </c>
      <c r="T1896">
        <v>82630</v>
      </c>
      <c r="U1896" t="s">
        <v>32</v>
      </c>
      <c r="V1896" t="s">
        <v>66</v>
      </c>
      <c r="W1896" t="s">
        <v>44</v>
      </c>
      <c r="X1896" t="s">
        <v>44</v>
      </c>
      <c r="Y1896" s="9">
        <f t="shared" si="88"/>
        <v>0</v>
      </c>
      <c r="Z1896" t="str">
        <f t="shared" si="89"/>
        <v>สแกนต่าง Cost</v>
      </c>
    </row>
    <row r="1897" spans="1:26" x14ac:dyDescent="0.45">
      <c r="B1897" t="s">
        <v>53</v>
      </c>
      <c r="C1897">
        <v>20167851</v>
      </c>
      <c r="D1897" t="s">
        <v>63</v>
      </c>
      <c r="E1897" s="10">
        <v>46121.604166666664</v>
      </c>
      <c r="F1897" s="10">
        <v>46121.625</v>
      </c>
      <c r="G1897">
        <v>0.5</v>
      </c>
      <c r="H1897" s="9">
        <f t="shared" si="87"/>
        <v>3.0000000000000001E-3</v>
      </c>
      <c r="I1897">
        <v>3.0000000000000001E-3</v>
      </c>
      <c r="M1897" t="s">
        <v>65</v>
      </c>
      <c r="N1897" t="s">
        <v>29</v>
      </c>
      <c r="P1897" t="s">
        <v>30</v>
      </c>
      <c r="Q1897" t="s">
        <v>31</v>
      </c>
      <c r="R1897">
        <v>82640</v>
      </c>
      <c r="S1897" t="s">
        <v>42</v>
      </c>
      <c r="T1897">
        <v>82630</v>
      </c>
      <c r="U1897" t="s">
        <v>32</v>
      </c>
      <c r="V1897" t="s">
        <v>66</v>
      </c>
      <c r="W1897" t="s">
        <v>44</v>
      </c>
      <c r="X1897" t="s">
        <v>44</v>
      </c>
      <c r="Y1897" s="9">
        <f t="shared" si="88"/>
        <v>0</v>
      </c>
      <c r="Z1897" t="str">
        <f t="shared" si="89"/>
        <v>สแกนต่าง Cost</v>
      </c>
    </row>
    <row r="1898" spans="1:26" x14ac:dyDescent="0.45">
      <c r="B1898" t="s">
        <v>53</v>
      </c>
      <c r="C1898">
        <v>20280718</v>
      </c>
      <c r="D1898" t="s">
        <v>256</v>
      </c>
      <c r="E1898" s="10">
        <v>46121.604166666664</v>
      </c>
      <c r="F1898" s="10">
        <v>46121.666666666664</v>
      </c>
      <c r="G1898">
        <v>1.5</v>
      </c>
      <c r="H1898" s="9">
        <f t="shared" si="87"/>
        <v>8.0000000000000002E-3</v>
      </c>
      <c r="I1898">
        <v>8.0000000000000002E-3</v>
      </c>
      <c r="M1898" t="s">
        <v>65</v>
      </c>
      <c r="N1898" t="s">
        <v>29</v>
      </c>
      <c r="P1898" t="s">
        <v>30</v>
      </c>
      <c r="Q1898" t="s">
        <v>31</v>
      </c>
      <c r="R1898">
        <v>82640</v>
      </c>
      <c r="S1898" t="s">
        <v>42</v>
      </c>
      <c r="T1898">
        <v>82630</v>
      </c>
      <c r="U1898" t="s">
        <v>32</v>
      </c>
      <c r="V1898" t="s">
        <v>66</v>
      </c>
      <c r="W1898" t="s">
        <v>44</v>
      </c>
      <c r="X1898" t="s">
        <v>44</v>
      </c>
      <c r="Y1898" s="9">
        <f t="shared" si="88"/>
        <v>0</v>
      </c>
      <c r="Z1898" t="str">
        <f t="shared" si="89"/>
        <v>สแกนต่าง Cost</v>
      </c>
    </row>
    <row r="1899" spans="1:26" x14ac:dyDescent="0.45">
      <c r="B1899" t="s">
        <v>53</v>
      </c>
      <c r="C1899">
        <v>20310530</v>
      </c>
      <c r="D1899" t="s">
        <v>220</v>
      </c>
      <c r="E1899" s="10">
        <v>46121.604166666664</v>
      </c>
      <c r="F1899" s="10">
        <v>46121.625</v>
      </c>
      <c r="G1899">
        <v>0.5</v>
      </c>
      <c r="H1899" s="9">
        <f t="shared" si="87"/>
        <v>3.0000000000000001E-3</v>
      </c>
      <c r="I1899">
        <v>3.0000000000000001E-3</v>
      </c>
      <c r="M1899" t="s">
        <v>65</v>
      </c>
      <c r="N1899" t="s">
        <v>29</v>
      </c>
      <c r="P1899" t="s">
        <v>30</v>
      </c>
      <c r="Q1899" t="s">
        <v>31</v>
      </c>
      <c r="R1899">
        <v>82640</v>
      </c>
      <c r="S1899" t="s">
        <v>42</v>
      </c>
      <c r="T1899">
        <v>82611</v>
      </c>
      <c r="U1899" t="s">
        <v>43</v>
      </c>
      <c r="V1899" t="s">
        <v>66</v>
      </c>
      <c r="W1899" t="s">
        <v>44</v>
      </c>
      <c r="X1899" t="s">
        <v>44</v>
      </c>
      <c r="Y1899" s="9">
        <f t="shared" si="88"/>
        <v>0</v>
      </c>
      <c r="Z1899" t="str">
        <f t="shared" si="89"/>
        <v>สแกนต่าง Cost</v>
      </c>
    </row>
    <row r="1900" spans="1:26" x14ac:dyDescent="0.45">
      <c r="B1900" t="s">
        <v>53</v>
      </c>
      <c r="C1900">
        <v>20332134</v>
      </c>
      <c r="D1900" t="s">
        <v>156</v>
      </c>
      <c r="E1900" s="10">
        <v>46121.604166666664</v>
      </c>
      <c r="F1900" s="10">
        <v>46121.625</v>
      </c>
      <c r="G1900">
        <v>0.5</v>
      </c>
      <c r="H1900" s="9">
        <f t="shared" si="87"/>
        <v>3.0000000000000001E-3</v>
      </c>
      <c r="I1900">
        <v>3.0000000000000001E-3</v>
      </c>
      <c r="M1900" t="s">
        <v>65</v>
      </c>
      <c r="N1900" t="s">
        <v>29</v>
      </c>
      <c r="P1900" t="s">
        <v>30</v>
      </c>
      <c r="Q1900" t="s">
        <v>31</v>
      </c>
      <c r="R1900">
        <v>82640</v>
      </c>
      <c r="S1900" t="s">
        <v>42</v>
      </c>
      <c r="T1900">
        <v>82612</v>
      </c>
      <c r="U1900" t="s">
        <v>153</v>
      </c>
      <c r="V1900" t="s">
        <v>66</v>
      </c>
      <c r="W1900" t="s">
        <v>44</v>
      </c>
      <c r="X1900" t="s">
        <v>44</v>
      </c>
      <c r="Y1900" s="9">
        <f t="shared" si="88"/>
        <v>0</v>
      </c>
      <c r="Z1900" t="str">
        <f t="shared" si="89"/>
        <v>สแกนต่าง Cost</v>
      </c>
    </row>
    <row r="1901" spans="1:26" x14ac:dyDescent="0.45">
      <c r="B1901" t="s">
        <v>53</v>
      </c>
      <c r="C1901">
        <v>20310530</v>
      </c>
      <c r="D1901" t="s">
        <v>220</v>
      </c>
      <c r="E1901" s="10">
        <v>46121.583333333336</v>
      </c>
      <c r="F1901" s="10">
        <v>46121.604166666664</v>
      </c>
      <c r="G1901">
        <v>0.5</v>
      </c>
      <c r="H1901" s="9">
        <f t="shared" si="87"/>
        <v>3.0000000000000001E-3</v>
      </c>
      <c r="I1901">
        <v>3.0000000000000001E-3</v>
      </c>
      <c r="M1901" t="s">
        <v>65</v>
      </c>
      <c r="N1901" t="s">
        <v>29</v>
      </c>
      <c r="P1901" t="s">
        <v>30</v>
      </c>
      <c r="Q1901" t="s">
        <v>31</v>
      </c>
      <c r="R1901">
        <v>82640</v>
      </c>
      <c r="S1901" t="s">
        <v>42</v>
      </c>
      <c r="T1901">
        <v>82622</v>
      </c>
      <c r="U1901" t="s">
        <v>147</v>
      </c>
      <c r="V1901" t="s">
        <v>66</v>
      </c>
      <c r="W1901" t="s">
        <v>44</v>
      </c>
      <c r="X1901" t="s">
        <v>44</v>
      </c>
      <c r="Y1901" s="9">
        <f t="shared" si="88"/>
        <v>0</v>
      </c>
      <c r="Z1901" t="str">
        <f t="shared" si="89"/>
        <v>สแกนต่าง Cost</v>
      </c>
    </row>
    <row r="1902" spans="1:26" x14ac:dyDescent="0.45">
      <c r="B1902" t="s">
        <v>53</v>
      </c>
      <c r="C1902">
        <v>20018899</v>
      </c>
      <c r="D1902" t="s">
        <v>64</v>
      </c>
      <c r="E1902" s="10">
        <v>46121.541666666664</v>
      </c>
      <c r="F1902" s="10">
        <v>46121.729166666664</v>
      </c>
      <c r="G1902">
        <v>4.5</v>
      </c>
      <c r="H1902" s="9">
        <f t="shared" si="87"/>
        <v>2.4E-2</v>
      </c>
      <c r="J1902">
        <v>2.4E-2</v>
      </c>
      <c r="M1902" t="s">
        <v>77</v>
      </c>
      <c r="N1902" t="s">
        <v>40</v>
      </c>
      <c r="O1902" t="s">
        <v>78</v>
      </c>
      <c r="P1902" t="s">
        <v>30</v>
      </c>
      <c r="Q1902" t="s">
        <v>31</v>
      </c>
      <c r="R1902">
        <v>82640</v>
      </c>
      <c r="S1902" t="s">
        <v>42</v>
      </c>
      <c r="T1902">
        <v>82652</v>
      </c>
      <c r="U1902" t="s">
        <v>46</v>
      </c>
      <c r="V1902" t="s">
        <v>66</v>
      </c>
      <c r="W1902" t="s">
        <v>37</v>
      </c>
      <c r="X1902" t="s">
        <v>34</v>
      </c>
      <c r="Y1902" s="9">
        <f t="shared" si="88"/>
        <v>2.4E-2</v>
      </c>
      <c r="Z1902" t="str">
        <f t="shared" si="89"/>
        <v>สแกนต่าง Cost</v>
      </c>
    </row>
    <row r="1903" spans="1:26" x14ac:dyDescent="0.45">
      <c r="B1903" t="s">
        <v>53</v>
      </c>
      <c r="C1903">
        <v>20167851</v>
      </c>
      <c r="D1903" t="s">
        <v>63</v>
      </c>
      <c r="E1903" s="10">
        <v>46121.541666666664</v>
      </c>
      <c r="F1903" s="10">
        <v>46121.583333333336</v>
      </c>
      <c r="G1903">
        <v>1</v>
      </c>
      <c r="H1903" s="9">
        <f t="shared" si="87"/>
        <v>5.0000000000000001E-3</v>
      </c>
      <c r="I1903">
        <v>5.0000000000000001E-3</v>
      </c>
      <c r="M1903" t="s">
        <v>65</v>
      </c>
      <c r="N1903" t="s">
        <v>29</v>
      </c>
      <c r="P1903" t="s">
        <v>30</v>
      </c>
      <c r="Q1903" t="s">
        <v>31</v>
      </c>
      <c r="R1903">
        <v>82640</v>
      </c>
      <c r="S1903" t="s">
        <v>42</v>
      </c>
      <c r="T1903">
        <v>82612</v>
      </c>
      <c r="U1903" t="s">
        <v>153</v>
      </c>
      <c r="V1903" t="s">
        <v>66</v>
      </c>
      <c r="W1903" t="s">
        <v>44</v>
      </c>
      <c r="X1903" t="s">
        <v>44</v>
      </c>
      <c r="Y1903" s="9">
        <f t="shared" si="88"/>
        <v>0</v>
      </c>
      <c r="Z1903" t="str">
        <f t="shared" si="89"/>
        <v>สแกนต่าง Cost</v>
      </c>
    </row>
    <row r="1904" spans="1:26" x14ac:dyDescent="0.45">
      <c r="B1904" t="s">
        <v>53</v>
      </c>
      <c r="C1904">
        <v>20220646</v>
      </c>
      <c r="D1904" t="s">
        <v>67</v>
      </c>
      <c r="E1904" s="10">
        <v>46121.541666666664</v>
      </c>
      <c r="F1904" s="10">
        <v>46121.729166666664</v>
      </c>
      <c r="G1904">
        <v>4.5</v>
      </c>
      <c r="H1904" s="9">
        <f t="shared" si="87"/>
        <v>2.4E-2</v>
      </c>
      <c r="I1904">
        <v>2.4E-2</v>
      </c>
      <c r="M1904" t="s">
        <v>65</v>
      </c>
      <c r="N1904" t="s">
        <v>29</v>
      </c>
      <c r="P1904" t="s">
        <v>30</v>
      </c>
      <c r="Q1904" t="s">
        <v>31</v>
      </c>
      <c r="R1904">
        <v>82640</v>
      </c>
      <c r="S1904" t="s">
        <v>42</v>
      </c>
      <c r="T1904">
        <v>82652</v>
      </c>
      <c r="U1904" t="s">
        <v>46</v>
      </c>
      <c r="V1904" t="s">
        <v>66</v>
      </c>
      <c r="W1904" t="s">
        <v>37</v>
      </c>
      <c r="X1904" t="s">
        <v>34</v>
      </c>
      <c r="Y1904" s="9">
        <f t="shared" si="88"/>
        <v>0</v>
      </c>
      <c r="Z1904" t="str">
        <f t="shared" si="89"/>
        <v>สแกนต่าง Cost</v>
      </c>
    </row>
    <row r="1905" spans="1:26" x14ac:dyDescent="0.45">
      <c r="B1905" t="s">
        <v>53</v>
      </c>
      <c r="C1905">
        <v>20280718</v>
      </c>
      <c r="D1905" t="s">
        <v>256</v>
      </c>
      <c r="E1905" s="10">
        <v>46121.541666666664</v>
      </c>
      <c r="F1905" s="10">
        <v>46121.5625</v>
      </c>
      <c r="G1905">
        <v>0.5</v>
      </c>
      <c r="H1905" s="9">
        <f t="shared" si="87"/>
        <v>3.0000000000000001E-3</v>
      </c>
      <c r="I1905">
        <v>3.0000000000000001E-3</v>
      </c>
      <c r="M1905" t="s">
        <v>65</v>
      </c>
      <c r="N1905" t="s">
        <v>29</v>
      </c>
      <c r="P1905" t="s">
        <v>30</v>
      </c>
      <c r="Q1905" t="s">
        <v>31</v>
      </c>
      <c r="R1905">
        <v>82640</v>
      </c>
      <c r="S1905" t="s">
        <v>42</v>
      </c>
      <c r="T1905">
        <v>82630</v>
      </c>
      <c r="U1905" t="s">
        <v>32</v>
      </c>
      <c r="V1905" t="s">
        <v>66</v>
      </c>
      <c r="W1905" t="s">
        <v>44</v>
      </c>
      <c r="X1905" t="s">
        <v>44</v>
      </c>
      <c r="Y1905" s="9">
        <f t="shared" si="88"/>
        <v>0</v>
      </c>
      <c r="Z1905" t="str">
        <f t="shared" si="89"/>
        <v>สแกนต่าง Cost</v>
      </c>
    </row>
    <row r="1906" spans="1:26" x14ac:dyDescent="0.45">
      <c r="B1906" t="s">
        <v>53</v>
      </c>
      <c r="C1906">
        <v>20280718</v>
      </c>
      <c r="D1906" t="s">
        <v>256</v>
      </c>
      <c r="E1906" s="10">
        <v>46121.541666666664</v>
      </c>
      <c r="F1906" s="10">
        <v>46121.604166666664</v>
      </c>
      <c r="G1906">
        <v>1.5</v>
      </c>
      <c r="H1906" s="9">
        <f t="shared" si="87"/>
        <v>8.0000000000000002E-3</v>
      </c>
      <c r="I1906">
        <v>8.0000000000000002E-3</v>
      </c>
      <c r="M1906" t="s">
        <v>65</v>
      </c>
      <c r="N1906" t="s">
        <v>29</v>
      </c>
      <c r="P1906" t="s">
        <v>30</v>
      </c>
      <c r="Q1906" t="s">
        <v>31</v>
      </c>
      <c r="R1906">
        <v>82640</v>
      </c>
      <c r="S1906" t="s">
        <v>42</v>
      </c>
      <c r="T1906">
        <v>82630</v>
      </c>
      <c r="U1906" t="s">
        <v>32</v>
      </c>
      <c r="V1906" t="s">
        <v>66</v>
      </c>
      <c r="W1906" t="s">
        <v>44</v>
      </c>
      <c r="X1906" t="s">
        <v>44</v>
      </c>
      <c r="Y1906" s="9">
        <f t="shared" si="88"/>
        <v>0</v>
      </c>
      <c r="Z1906" t="str">
        <f t="shared" si="89"/>
        <v>สแกนต่าง Cost</v>
      </c>
    </row>
    <row r="1907" spans="1:26" x14ac:dyDescent="0.45">
      <c r="B1907" t="s">
        <v>53</v>
      </c>
      <c r="C1907">
        <v>20280722</v>
      </c>
      <c r="D1907" t="s">
        <v>342</v>
      </c>
      <c r="E1907" s="10">
        <v>46121.541666666664</v>
      </c>
      <c r="F1907" s="10">
        <v>46121.729166666664</v>
      </c>
      <c r="G1907">
        <v>4.5</v>
      </c>
      <c r="H1907" s="9">
        <f t="shared" si="87"/>
        <v>2.4E-2</v>
      </c>
      <c r="I1907">
        <v>2.4E-2</v>
      </c>
      <c r="M1907" t="s">
        <v>65</v>
      </c>
      <c r="N1907" t="s">
        <v>29</v>
      </c>
      <c r="P1907" t="s">
        <v>30</v>
      </c>
      <c r="Q1907" t="s">
        <v>31</v>
      </c>
      <c r="R1907">
        <v>82640</v>
      </c>
      <c r="S1907" t="s">
        <v>42</v>
      </c>
      <c r="T1907">
        <v>82652</v>
      </c>
      <c r="U1907" t="s">
        <v>46</v>
      </c>
      <c r="V1907" t="s">
        <v>66</v>
      </c>
      <c r="W1907" t="s">
        <v>37</v>
      </c>
      <c r="X1907" t="s">
        <v>34</v>
      </c>
      <c r="Y1907" s="9">
        <f t="shared" si="88"/>
        <v>0</v>
      </c>
      <c r="Z1907" t="str">
        <f t="shared" si="89"/>
        <v>สแกนต่าง Cost</v>
      </c>
    </row>
    <row r="1908" spans="1:26" x14ac:dyDescent="0.45">
      <c r="B1908" t="s">
        <v>53</v>
      </c>
      <c r="C1908">
        <v>20310530</v>
      </c>
      <c r="D1908" t="s">
        <v>220</v>
      </c>
      <c r="E1908" s="10">
        <v>46121.541666666664</v>
      </c>
      <c r="F1908" s="10">
        <v>46121.5625</v>
      </c>
      <c r="G1908">
        <v>0.5</v>
      </c>
      <c r="H1908" s="9">
        <f t="shared" si="87"/>
        <v>3.0000000000000001E-3</v>
      </c>
      <c r="I1908">
        <v>3.0000000000000001E-3</v>
      </c>
      <c r="M1908" t="s">
        <v>65</v>
      </c>
      <c r="N1908" t="s">
        <v>29</v>
      </c>
      <c r="P1908" t="s">
        <v>30</v>
      </c>
      <c r="Q1908" t="s">
        <v>31</v>
      </c>
      <c r="R1908">
        <v>82640</v>
      </c>
      <c r="S1908" t="s">
        <v>42</v>
      </c>
      <c r="T1908">
        <v>82630</v>
      </c>
      <c r="U1908" t="s">
        <v>32</v>
      </c>
      <c r="V1908" t="s">
        <v>66</v>
      </c>
      <c r="W1908" t="s">
        <v>44</v>
      </c>
      <c r="X1908" t="s">
        <v>44</v>
      </c>
      <c r="Y1908" s="9">
        <f t="shared" si="88"/>
        <v>0</v>
      </c>
      <c r="Z1908" t="str">
        <f t="shared" si="89"/>
        <v>สแกนต่าง Cost</v>
      </c>
    </row>
    <row r="1909" spans="1:26" x14ac:dyDescent="0.45">
      <c r="B1909" t="s">
        <v>53</v>
      </c>
      <c r="C1909">
        <v>20310532</v>
      </c>
      <c r="D1909" t="s">
        <v>61</v>
      </c>
      <c r="E1909" s="10">
        <v>46121.541666666664</v>
      </c>
      <c r="F1909" s="10">
        <v>46121.645833333336</v>
      </c>
      <c r="G1909">
        <v>2.5</v>
      </c>
      <c r="H1909" s="9">
        <f t="shared" si="87"/>
        <v>1.2999999999999999E-2</v>
      </c>
      <c r="I1909">
        <v>1.2999999999999999E-2</v>
      </c>
      <c r="M1909" t="s">
        <v>65</v>
      </c>
      <c r="N1909" t="s">
        <v>29</v>
      </c>
      <c r="P1909" t="s">
        <v>30</v>
      </c>
      <c r="Q1909" t="s">
        <v>31</v>
      </c>
      <c r="R1909">
        <v>82640</v>
      </c>
      <c r="S1909" t="s">
        <v>42</v>
      </c>
      <c r="T1909">
        <v>82630</v>
      </c>
      <c r="U1909" t="s">
        <v>32</v>
      </c>
      <c r="V1909" t="s">
        <v>66</v>
      </c>
      <c r="W1909" t="s">
        <v>44</v>
      </c>
      <c r="X1909" t="s">
        <v>44</v>
      </c>
      <c r="Y1909" s="9">
        <f t="shared" si="88"/>
        <v>0</v>
      </c>
      <c r="Z1909" t="str">
        <f t="shared" si="89"/>
        <v>สแกนต่าง Cost</v>
      </c>
    </row>
    <row r="1910" spans="1:26" x14ac:dyDescent="0.45">
      <c r="B1910" t="s">
        <v>53</v>
      </c>
      <c r="C1910">
        <v>20332134</v>
      </c>
      <c r="D1910" t="s">
        <v>156</v>
      </c>
      <c r="E1910" s="10">
        <v>46121.541666666664</v>
      </c>
      <c r="F1910" s="10">
        <v>46121.604166666664</v>
      </c>
      <c r="G1910">
        <v>1.5</v>
      </c>
      <c r="H1910" s="9">
        <f t="shared" si="87"/>
        <v>8.0000000000000002E-3</v>
      </c>
      <c r="I1910">
        <v>8.0000000000000002E-3</v>
      </c>
      <c r="M1910" t="s">
        <v>65</v>
      </c>
      <c r="N1910" t="s">
        <v>29</v>
      </c>
      <c r="P1910" t="s">
        <v>30</v>
      </c>
      <c r="Q1910" t="s">
        <v>31</v>
      </c>
      <c r="R1910">
        <v>82640</v>
      </c>
      <c r="S1910" t="s">
        <v>42</v>
      </c>
      <c r="T1910">
        <v>82630</v>
      </c>
      <c r="U1910" t="s">
        <v>32</v>
      </c>
      <c r="V1910" t="s">
        <v>66</v>
      </c>
      <c r="W1910" t="s">
        <v>44</v>
      </c>
      <c r="X1910" t="s">
        <v>44</v>
      </c>
      <c r="Y1910" s="9">
        <f t="shared" si="88"/>
        <v>0</v>
      </c>
      <c r="Z1910" t="str">
        <f t="shared" si="89"/>
        <v>สแกนต่าง Cost</v>
      </c>
    </row>
    <row r="1911" spans="1:26" x14ac:dyDescent="0.45">
      <c r="B1911" t="s">
        <v>53</v>
      </c>
      <c r="C1911">
        <v>20340657</v>
      </c>
      <c r="D1911" t="s">
        <v>221</v>
      </c>
      <c r="E1911" s="10">
        <v>46121.541666666664</v>
      </c>
      <c r="F1911" s="10">
        <v>46121.729166666664</v>
      </c>
      <c r="G1911">
        <v>4.5</v>
      </c>
      <c r="H1911" s="9">
        <f t="shared" si="87"/>
        <v>2.4E-2</v>
      </c>
      <c r="I1911">
        <v>2.4E-2</v>
      </c>
      <c r="M1911" t="s">
        <v>65</v>
      </c>
      <c r="N1911" t="s">
        <v>29</v>
      </c>
      <c r="P1911" t="s">
        <v>30</v>
      </c>
      <c r="Q1911" t="s">
        <v>31</v>
      </c>
      <c r="R1911">
        <v>82640</v>
      </c>
      <c r="S1911" t="s">
        <v>42</v>
      </c>
      <c r="T1911">
        <v>82612</v>
      </c>
      <c r="U1911" t="s">
        <v>153</v>
      </c>
      <c r="V1911" t="s">
        <v>66</v>
      </c>
      <c r="W1911" t="s">
        <v>44</v>
      </c>
      <c r="X1911" t="s">
        <v>44</v>
      </c>
      <c r="Y1911" s="9">
        <f t="shared" si="88"/>
        <v>0</v>
      </c>
      <c r="Z1911" t="str">
        <f t="shared" si="89"/>
        <v>สแกนต่าง Cost</v>
      </c>
    </row>
    <row r="1912" spans="1:26" x14ac:dyDescent="0.45">
      <c r="B1912" t="s">
        <v>53</v>
      </c>
      <c r="C1912">
        <v>20368087</v>
      </c>
      <c r="D1912" t="s">
        <v>260</v>
      </c>
      <c r="E1912" s="10">
        <v>46121.541666666664</v>
      </c>
      <c r="F1912" s="10">
        <v>46121.729166666664</v>
      </c>
      <c r="G1912">
        <v>4.5</v>
      </c>
      <c r="H1912" s="9">
        <f t="shared" si="87"/>
        <v>2.4E-2</v>
      </c>
      <c r="I1912">
        <v>2.4E-2</v>
      </c>
      <c r="M1912" t="s">
        <v>65</v>
      </c>
      <c r="N1912" t="s">
        <v>29</v>
      </c>
      <c r="P1912" t="s">
        <v>30</v>
      </c>
      <c r="Q1912" t="s">
        <v>31</v>
      </c>
      <c r="R1912">
        <v>82640</v>
      </c>
      <c r="S1912" t="s">
        <v>42</v>
      </c>
      <c r="T1912">
        <v>82630</v>
      </c>
      <c r="U1912" t="s">
        <v>32</v>
      </c>
      <c r="V1912" t="s">
        <v>66</v>
      </c>
      <c r="W1912" t="s">
        <v>44</v>
      </c>
      <c r="X1912" t="s">
        <v>44</v>
      </c>
      <c r="Y1912" s="9">
        <f t="shared" si="88"/>
        <v>0</v>
      </c>
      <c r="Z1912" t="str">
        <f t="shared" si="89"/>
        <v>สแกนต่าง Cost</v>
      </c>
    </row>
    <row r="1913" spans="1:26" x14ac:dyDescent="0.45">
      <c r="B1913" t="s">
        <v>26</v>
      </c>
      <c r="C1913">
        <v>20039177</v>
      </c>
      <c r="D1913" t="s">
        <v>188</v>
      </c>
      <c r="E1913" s="10">
        <v>46121.497916666667</v>
      </c>
      <c r="F1913" s="10">
        <v>46121.602083333331</v>
      </c>
      <c r="G1913">
        <v>2.5</v>
      </c>
      <c r="H1913" s="9">
        <f t="shared" si="87"/>
        <v>1.2999999999999999E-2</v>
      </c>
      <c r="K1913">
        <v>1.2999999999999999E-2</v>
      </c>
      <c r="M1913" t="s">
        <v>28</v>
      </c>
      <c r="N1913" t="s">
        <v>40</v>
      </c>
      <c r="O1913" t="s">
        <v>363</v>
      </c>
      <c r="P1913" t="s">
        <v>30</v>
      </c>
      <c r="Q1913" t="s">
        <v>31</v>
      </c>
      <c r="R1913">
        <v>82655</v>
      </c>
      <c r="S1913" t="s">
        <v>59</v>
      </c>
      <c r="T1913">
        <v>82658</v>
      </c>
      <c r="U1913" t="s">
        <v>33</v>
      </c>
      <c r="V1913" t="s">
        <v>33</v>
      </c>
      <c r="W1913" t="s">
        <v>37</v>
      </c>
      <c r="X1913" t="s">
        <v>331</v>
      </c>
      <c r="Y1913" s="9">
        <f t="shared" si="88"/>
        <v>1.2999999999999999E-2</v>
      </c>
      <c r="Z1913" t="str">
        <f t="shared" si="89"/>
        <v>สแกนต่าง Cost</v>
      </c>
    </row>
    <row r="1914" spans="1:26" x14ac:dyDescent="0.45">
      <c r="A1914">
        <v>26199</v>
      </c>
      <c r="B1914" t="s">
        <v>53</v>
      </c>
      <c r="C1914">
        <v>20048905</v>
      </c>
      <c r="D1914" t="s">
        <v>73</v>
      </c>
      <c r="E1914" s="10">
        <v>46121.486111111109</v>
      </c>
      <c r="F1914" s="10">
        <v>46121.980555555558</v>
      </c>
      <c r="G1914">
        <v>11.866666666666667</v>
      </c>
      <c r="H1914" s="9">
        <f t="shared" si="87"/>
        <v>6.3E-2</v>
      </c>
      <c r="I1914">
        <v>4.4999999999999998E-2</v>
      </c>
      <c r="K1914">
        <v>1.7999999999999999E-2</v>
      </c>
      <c r="M1914" t="s">
        <v>28</v>
      </c>
      <c r="N1914" t="s">
        <v>40</v>
      </c>
      <c r="O1914" t="s">
        <v>41</v>
      </c>
      <c r="P1914" t="s">
        <v>30</v>
      </c>
      <c r="Q1914" t="s">
        <v>31</v>
      </c>
      <c r="R1914">
        <v>82409</v>
      </c>
      <c r="S1914" t="s">
        <v>74</v>
      </c>
      <c r="T1914">
        <v>82664</v>
      </c>
      <c r="U1914" t="s">
        <v>75</v>
      </c>
      <c r="V1914" t="s">
        <v>75</v>
      </c>
      <c r="W1914" t="s">
        <v>74</v>
      </c>
      <c r="X1914" t="s">
        <v>74</v>
      </c>
      <c r="Y1914" s="9">
        <f t="shared" si="88"/>
        <v>1.7999999999999999E-2</v>
      </c>
      <c r="Z1914" t="str">
        <f t="shared" si="89"/>
        <v>สแกนต่าง Cost</v>
      </c>
    </row>
    <row r="1915" spans="1:26" x14ac:dyDescent="0.45">
      <c r="B1915" t="s">
        <v>53</v>
      </c>
      <c r="C1915">
        <v>20310530</v>
      </c>
      <c r="D1915" t="s">
        <v>220</v>
      </c>
      <c r="E1915" s="10">
        <v>46121.479166666664</v>
      </c>
      <c r="F1915" s="10">
        <v>46121.5</v>
      </c>
      <c r="G1915">
        <v>0.5</v>
      </c>
      <c r="H1915" s="9">
        <f t="shared" si="87"/>
        <v>3.0000000000000001E-3</v>
      </c>
      <c r="I1915">
        <v>3.0000000000000001E-3</v>
      </c>
      <c r="M1915" t="s">
        <v>65</v>
      </c>
      <c r="N1915" t="s">
        <v>29</v>
      </c>
      <c r="P1915" t="s">
        <v>30</v>
      </c>
      <c r="Q1915" t="s">
        <v>31</v>
      </c>
      <c r="R1915">
        <v>82640</v>
      </c>
      <c r="S1915" t="s">
        <v>42</v>
      </c>
      <c r="T1915">
        <v>82630</v>
      </c>
      <c r="U1915" t="s">
        <v>32</v>
      </c>
      <c r="V1915" t="s">
        <v>66</v>
      </c>
      <c r="W1915" t="s">
        <v>44</v>
      </c>
      <c r="X1915" t="s">
        <v>44</v>
      </c>
      <c r="Y1915" s="9">
        <f t="shared" si="88"/>
        <v>0</v>
      </c>
      <c r="Z1915" t="str">
        <f t="shared" si="89"/>
        <v>สแกนต่าง Cost</v>
      </c>
    </row>
    <row r="1916" spans="1:26" x14ac:dyDescent="0.45">
      <c r="B1916" t="s">
        <v>53</v>
      </c>
      <c r="C1916">
        <v>20022740</v>
      </c>
      <c r="D1916" t="s">
        <v>259</v>
      </c>
      <c r="E1916" s="10">
        <v>46121.4375</v>
      </c>
      <c r="F1916" s="10">
        <v>46121.5</v>
      </c>
      <c r="G1916">
        <v>1.5</v>
      </c>
      <c r="H1916" s="9">
        <f t="shared" si="87"/>
        <v>8.0000000000000002E-3</v>
      </c>
      <c r="I1916">
        <v>8.0000000000000002E-3</v>
      </c>
      <c r="M1916" t="s">
        <v>65</v>
      </c>
      <c r="N1916" t="s">
        <v>29</v>
      </c>
      <c r="P1916" t="s">
        <v>30</v>
      </c>
      <c r="Q1916" t="s">
        <v>31</v>
      </c>
      <c r="R1916">
        <v>82640</v>
      </c>
      <c r="S1916" t="s">
        <v>42</v>
      </c>
      <c r="T1916">
        <v>82611</v>
      </c>
      <c r="U1916" t="s">
        <v>43</v>
      </c>
      <c r="V1916" t="s">
        <v>66</v>
      </c>
      <c r="W1916" t="s">
        <v>44</v>
      </c>
      <c r="X1916" t="s">
        <v>44</v>
      </c>
      <c r="Y1916" s="9">
        <f t="shared" si="88"/>
        <v>0</v>
      </c>
      <c r="Z1916" t="str">
        <f t="shared" si="89"/>
        <v>สแกนต่าง Cost</v>
      </c>
    </row>
    <row r="1917" spans="1:26" x14ac:dyDescent="0.45">
      <c r="A1917">
        <v>26559</v>
      </c>
      <c r="B1917" t="s">
        <v>53</v>
      </c>
      <c r="C1917">
        <v>20030773</v>
      </c>
      <c r="D1917" t="s">
        <v>357</v>
      </c>
      <c r="E1917" s="10">
        <v>46121.4375</v>
      </c>
      <c r="F1917" s="10">
        <v>46121.729166666664</v>
      </c>
      <c r="G1917">
        <v>6</v>
      </c>
      <c r="H1917" s="9">
        <f t="shared" si="87"/>
        <v>3.2000000000000001E-2</v>
      </c>
      <c r="I1917">
        <v>3.2000000000000001E-2</v>
      </c>
      <c r="M1917" t="s">
        <v>65</v>
      </c>
      <c r="N1917" t="s">
        <v>29</v>
      </c>
      <c r="P1917" t="s">
        <v>133</v>
      </c>
      <c r="Q1917" t="s">
        <v>31</v>
      </c>
      <c r="R1917">
        <v>82640</v>
      </c>
      <c r="S1917" t="s">
        <v>42</v>
      </c>
      <c r="T1917">
        <v>82611</v>
      </c>
      <c r="U1917" t="s">
        <v>43</v>
      </c>
      <c r="V1917" t="s">
        <v>43</v>
      </c>
      <c r="W1917" t="s">
        <v>47</v>
      </c>
      <c r="X1917" t="s">
        <v>192</v>
      </c>
      <c r="Y1917" s="9">
        <f t="shared" si="88"/>
        <v>0</v>
      </c>
      <c r="Z1917" t="str">
        <f t="shared" si="89"/>
        <v>สแกนต่าง Cost</v>
      </c>
    </row>
    <row r="1918" spans="1:26" x14ac:dyDescent="0.45">
      <c r="B1918" t="s">
        <v>53</v>
      </c>
      <c r="C1918">
        <v>20310530</v>
      </c>
      <c r="D1918" t="s">
        <v>220</v>
      </c>
      <c r="E1918" s="10">
        <v>46121.4375</v>
      </c>
      <c r="F1918" s="10">
        <v>46121.458333333336</v>
      </c>
      <c r="G1918">
        <v>0.5</v>
      </c>
      <c r="H1918" s="9">
        <f t="shared" si="87"/>
        <v>3.0000000000000001E-3</v>
      </c>
      <c r="I1918">
        <v>3.0000000000000001E-3</v>
      </c>
      <c r="M1918" t="s">
        <v>65</v>
      </c>
      <c r="N1918" t="s">
        <v>29</v>
      </c>
      <c r="P1918" t="s">
        <v>30</v>
      </c>
      <c r="Q1918" t="s">
        <v>31</v>
      </c>
      <c r="R1918">
        <v>82640</v>
      </c>
      <c r="S1918" t="s">
        <v>42</v>
      </c>
      <c r="T1918">
        <v>82622</v>
      </c>
      <c r="U1918" t="s">
        <v>147</v>
      </c>
      <c r="V1918" t="s">
        <v>66</v>
      </c>
      <c r="W1918" t="s">
        <v>44</v>
      </c>
      <c r="X1918" t="s">
        <v>44</v>
      </c>
      <c r="Y1918" s="9">
        <f t="shared" si="88"/>
        <v>0</v>
      </c>
      <c r="Z1918" t="str">
        <f t="shared" si="89"/>
        <v>สแกนต่าง Cost</v>
      </c>
    </row>
    <row r="1919" spans="1:26" x14ac:dyDescent="0.45">
      <c r="B1919" t="s">
        <v>53</v>
      </c>
      <c r="C1919">
        <v>20332134</v>
      </c>
      <c r="D1919" t="s">
        <v>156</v>
      </c>
      <c r="E1919" s="10">
        <v>46121.4375</v>
      </c>
      <c r="F1919" s="10">
        <v>46121.5</v>
      </c>
      <c r="G1919">
        <v>1.5</v>
      </c>
      <c r="H1919" s="9">
        <f t="shared" si="87"/>
        <v>8.0000000000000002E-3</v>
      </c>
      <c r="I1919">
        <v>8.0000000000000002E-3</v>
      </c>
      <c r="M1919" t="s">
        <v>65</v>
      </c>
      <c r="N1919" t="s">
        <v>29</v>
      </c>
      <c r="P1919" t="s">
        <v>30</v>
      </c>
      <c r="Q1919" t="s">
        <v>31</v>
      </c>
      <c r="R1919">
        <v>82640</v>
      </c>
      <c r="S1919" t="s">
        <v>42</v>
      </c>
      <c r="T1919">
        <v>82612</v>
      </c>
      <c r="U1919" t="s">
        <v>153</v>
      </c>
      <c r="V1919" t="s">
        <v>66</v>
      </c>
      <c r="W1919" t="s">
        <v>44</v>
      </c>
      <c r="X1919" t="s">
        <v>44</v>
      </c>
      <c r="Y1919" s="9">
        <f t="shared" si="88"/>
        <v>0</v>
      </c>
      <c r="Z1919" t="str">
        <f t="shared" si="89"/>
        <v>สแกนต่าง Cost</v>
      </c>
    </row>
    <row r="1920" spans="1:26" x14ac:dyDescent="0.45">
      <c r="B1920" t="s">
        <v>53</v>
      </c>
      <c r="C1920">
        <v>20310530</v>
      </c>
      <c r="D1920" t="s">
        <v>220</v>
      </c>
      <c r="E1920" s="10">
        <v>46121.416666666664</v>
      </c>
      <c r="F1920" s="10">
        <v>46121.4375</v>
      </c>
      <c r="G1920">
        <v>0.5</v>
      </c>
      <c r="H1920" s="9">
        <f t="shared" si="87"/>
        <v>3.0000000000000001E-3</v>
      </c>
      <c r="I1920">
        <v>3.0000000000000001E-3</v>
      </c>
      <c r="M1920" t="s">
        <v>65</v>
      </c>
      <c r="N1920" t="s">
        <v>29</v>
      </c>
      <c r="P1920" t="s">
        <v>30</v>
      </c>
      <c r="Q1920" t="s">
        <v>31</v>
      </c>
      <c r="R1920">
        <v>82640</v>
      </c>
      <c r="S1920" t="s">
        <v>42</v>
      </c>
      <c r="T1920">
        <v>82611</v>
      </c>
      <c r="U1920" t="s">
        <v>43</v>
      </c>
      <c r="V1920" t="s">
        <v>66</v>
      </c>
      <c r="W1920" t="s">
        <v>44</v>
      </c>
      <c r="X1920" t="s">
        <v>44</v>
      </c>
      <c r="Y1920" s="9">
        <f t="shared" si="88"/>
        <v>0</v>
      </c>
      <c r="Z1920" t="str">
        <f t="shared" si="89"/>
        <v>สแกนต่าง Cost</v>
      </c>
    </row>
    <row r="1921" spans="1:26" x14ac:dyDescent="0.45">
      <c r="B1921" t="s">
        <v>53</v>
      </c>
      <c r="C1921">
        <v>20310532</v>
      </c>
      <c r="D1921" t="s">
        <v>61</v>
      </c>
      <c r="E1921" s="10">
        <v>46121.416666666664</v>
      </c>
      <c r="F1921" s="10">
        <v>46121.5</v>
      </c>
      <c r="G1921">
        <v>2</v>
      </c>
      <c r="H1921" s="9">
        <f t="shared" si="87"/>
        <v>1.0999999999999999E-2</v>
      </c>
      <c r="I1921">
        <v>1.0999999999999999E-2</v>
      </c>
      <c r="M1921" t="s">
        <v>65</v>
      </c>
      <c r="N1921" t="s">
        <v>29</v>
      </c>
      <c r="P1921" t="s">
        <v>30</v>
      </c>
      <c r="Q1921" t="s">
        <v>31</v>
      </c>
      <c r="R1921">
        <v>82640</v>
      </c>
      <c r="S1921" t="s">
        <v>42</v>
      </c>
      <c r="T1921">
        <v>82630</v>
      </c>
      <c r="U1921" t="s">
        <v>32</v>
      </c>
      <c r="V1921" t="s">
        <v>66</v>
      </c>
      <c r="W1921" t="s">
        <v>44</v>
      </c>
      <c r="X1921" t="s">
        <v>44</v>
      </c>
      <c r="Y1921" s="9">
        <f t="shared" si="88"/>
        <v>0</v>
      </c>
      <c r="Z1921" t="str">
        <f t="shared" si="89"/>
        <v>สแกนต่าง Cost</v>
      </c>
    </row>
    <row r="1922" spans="1:26" x14ac:dyDescent="0.45">
      <c r="B1922" t="s">
        <v>53</v>
      </c>
      <c r="C1922">
        <v>20310530</v>
      </c>
      <c r="D1922" t="s">
        <v>220</v>
      </c>
      <c r="E1922" s="10">
        <v>46121.395833333336</v>
      </c>
      <c r="F1922" s="10">
        <v>46121.416666666664</v>
      </c>
      <c r="G1922">
        <v>0.5</v>
      </c>
      <c r="H1922" s="9">
        <f t="shared" si="87"/>
        <v>3.0000000000000001E-3</v>
      </c>
      <c r="I1922">
        <v>3.0000000000000001E-3</v>
      </c>
      <c r="M1922" t="s">
        <v>65</v>
      </c>
      <c r="N1922" t="s">
        <v>29</v>
      </c>
      <c r="P1922" t="s">
        <v>30</v>
      </c>
      <c r="Q1922" t="s">
        <v>31</v>
      </c>
      <c r="R1922">
        <v>82640</v>
      </c>
      <c r="S1922" t="s">
        <v>42</v>
      </c>
      <c r="T1922">
        <v>82612</v>
      </c>
      <c r="U1922" t="s">
        <v>153</v>
      </c>
      <c r="V1922" t="s">
        <v>66</v>
      </c>
      <c r="W1922" t="s">
        <v>44</v>
      </c>
      <c r="X1922" t="s">
        <v>44</v>
      </c>
      <c r="Y1922" s="9">
        <f t="shared" si="88"/>
        <v>0</v>
      </c>
      <c r="Z1922" t="str">
        <f t="shared" si="89"/>
        <v>สแกนต่าง Cost</v>
      </c>
    </row>
    <row r="1923" spans="1:26" x14ac:dyDescent="0.45">
      <c r="A1923">
        <v>26558</v>
      </c>
      <c r="B1923" t="s">
        <v>53</v>
      </c>
      <c r="C1923">
        <v>20074795</v>
      </c>
      <c r="D1923" t="s">
        <v>300</v>
      </c>
      <c r="E1923" s="10">
        <v>46121.375</v>
      </c>
      <c r="F1923" s="10">
        <v>46121.729166666664</v>
      </c>
      <c r="G1923">
        <v>7.5</v>
      </c>
      <c r="H1923" s="9">
        <f t="shared" ref="H1923:H1986" si="90">SUM(I1923:L1923)</f>
        <v>0.04</v>
      </c>
      <c r="I1923">
        <v>0.04</v>
      </c>
      <c r="M1923" t="s">
        <v>65</v>
      </c>
      <c r="N1923" t="s">
        <v>29</v>
      </c>
      <c r="P1923" t="s">
        <v>133</v>
      </c>
      <c r="Q1923" t="s">
        <v>31</v>
      </c>
      <c r="R1923">
        <v>82640</v>
      </c>
      <c r="S1923" t="s">
        <v>42</v>
      </c>
      <c r="T1923">
        <v>82622</v>
      </c>
      <c r="U1923" t="s">
        <v>147</v>
      </c>
      <c r="V1923" t="s">
        <v>147</v>
      </c>
      <c r="W1923" t="s">
        <v>47</v>
      </c>
      <c r="X1923" t="s">
        <v>95</v>
      </c>
      <c r="Y1923" s="9">
        <f t="shared" ref="Y1923:Y1986" si="91">SUM(J1923:L1923)</f>
        <v>0</v>
      </c>
      <c r="Z1923" t="str">
        <f t="shared" ref="Z1923:Z1986" si="92">IF(R1923=T1923,"สแกน Cost ตัวเอง","สแกนต่าง Cost")</f>
        <v>สแกนต่าง Cost</v>
      </c>
    </row>
    <row r="1924" spans="1:26" x14ac:dyDescent="0.45">
      <c r="B1924" t="s">
        <v>53</v>
      </c>
      <c r="C1924">
        <v>20310530</v>
      </c>
      <c r="D1924" t="s">
        <v>220</v>
      </c>
      <c r="E1924" s="10">
        <v>46121.375</v>
      </c>
      <c r="F1924" s="10">
        <v>46121.395833333336</v>
      </c>
      <c r="G1924">
        <v>0.5</v>
      </c>
      <c r="H1924" s="9">
        <f t="shared" si="90"/>
        <v>3.0000000000000001E-3</v>
      </c>
      <c r="I1924">
        <v>3.0000000000000001E-3</v>
      </c>
      <c r="M1924" t="s">
        <v>65</v>
      </c>
      <c r="N1924" t="s">
        <v>29</v>
      </c>
      <c r="P1924" t="s">
        <v>30</v>
      </c>
      <c r="Q1924" t="s">
        <v>31</v>
      </c>
      <c r="R1924">
        <v>82640</v>
      </c>
      <c r="S1924" t="s">
        <v>42</v>
      </c>
      <c r="T1924">
        <v>82611</v>
      </c>
      <c r="U1924" t="s">
        <v>43</v>
      </c>
      <c r="V1924" t="s">
        <v>66</v>
      </c>
      <c r="W1924" t="s">
        <v>44</v>
      </c>
      <c r="X1924" t="s">
        <v>44</v>
      </c>
      <c r="Y1924" s="9">
        <f t="shared" si="91"/>
        <v>0</v>
      </c>
      <c r="Z1924" t="str">
        <f t="shared" si="92"/>
        <v>สแกนต่าง Cost</v>
      </c>
    </row>
    <row r="1925" spans="1:26" x14ac:dyDescent="0.45">
      <c r="B1925" t="s">
        <v>53</v>
      </c>
      <c r="C1925">
        <v>20310532</v>
      </c>
      <c r="D1925" t="s">
        <v>61</v>
      </c>
      <c r="E1925" s="10">
        <v>46121.375</v>
      </c>
      <c r="F1925" s="10">
        <v>46121.416666666664</v>
      </c>
      <c r="G1925">
        <v>1</v>
      </c>
      <c r="H1925" s="9">
        <f t="shared" si="90"/>
        <v>5.0000000000000001E-3</v>
      </c>
      <c r="I1925">
        <v>5.0000000000000001E-3</v>
      </c>
      <c r="M1925" t="s">
        <v>65</v>
      </c>
      <c r="N1925" t="s">
        <v>29</v>
      </c>
      <c r="P1925" t="s">
        <v>30</v>
      </c>
      <c r="Q1925" t="s">
        <v>31</v>
      </c>
      <c r="R1925">
        <v>82640</v>
      </c>
      <c r="S1925" t="s">
        <v>42</v>
      </c>
      <c r="T1925">
        <v>82612</v>
      </c>
      <c r="U1925" t="s">
        <v>153</v>
      </c>
      <c r="V1925" t="s">
        <v>66</v>
      </c>
      <c r="W1925" t="s">
        <v>44</v>
      </c>
      <c r="X1925" t="s">
        <v>44</v>
      </c>
      <c r="Y1925" s="9">
        <f t="shared" si="91"/>
        <v>0</v>
      </c>
      <c r="Z1925" t="str">
        <f t="shared" si="92"/>
        <v>สแกนต่าง Cost</v>
      </c>
    </row>
    <row r="1926" spans="1:26" x14ac:dyDescent="0.45">
      <c r="B1926" t="s">
        <v>53</v>
      </c>
      <c r="C1926">
        <v>20401500</v>
      </c>
      <c r="E1926" s="10">
        <v>46121.375</v>
      </c>
      <c r="F1926" s="10">
        <v>46121.770833333336</v>
      </c>
      <c r="G1926">
        <v>9.5</v>
      </c>
      <c r="H1926" s="9">
        <f t="shared" si="90"/>
        <v>4.9999999999999996E-2</v>
      </c>
      <c r="I1926">
        <v>4.4999999999999998E-2</v>
      </c>
      <c r="K1926">
        <v>5.0000000000000001E-3</v>
      </c>
      <c r="M1926" t="s">
        <v>28</v>
      </c>
      <c r="N1926" t="s">
        <v>29</v>
      </c>
      <c r="P1926" t="s">
        <v>30</v>
      </c>
      <c r="R1926">
        <v>82612</v>
      </c>
      <c r="S1926" t="s">
        <v>153</v>
      </c>
      <c r="T1926">
        <v>82630</v>
      </c>
      <c r="U1926" t="s">
        <v>32</v>
      </c>
      <c r="V1926" t="s">
        <v>62</v>
      </c>
      <c r="W1926" t="s">
        <v>148</v>
      </c>
      <c r="X1926" t="s">
        <v>149</v>
      </c>
      <c r="Y1926" s="9">
        <f t="shared" si="91"/>
        <v>5.0000000000000001E-3</v>
      </c>
      <c r="Z1926" t="str">
        <f t="shared" si="92"/>
        <v>สแกนต่าง Cost</v>
      </c>
    </row>
    <row r="1927" spans="1:26" x14ac:dyDescent="0.45">
      <c r="B1927" t="s">
        <v>26</v>
      </c>
      <c r="C1927">
        <v>20075988</v>
      </c>
      <c r="D1927" t="s">
        <v>325</v>
      </c>
      <c r="E1927" s="10">
        <v>46121.367361111108</v>
      </c>
      <c r="F1927" s="10">
        <v>46121.718055555553</v>
      </c>
      <c r="G1927">
        <v>7.4166666666666661</v>
      </c>
      <c r="H1927" s="9">
        <f t="shared" si="90"/>
        <v>0.04</v>
      </c>
      <c r="I1927">
        <v>0.04</v>
      </c>
      <c r="M1927" t="s">
        <v>65</v>
      </c>
      <c r="N1927" t="s">
        <v>29</v>
      </c>
      <c r="P1927" t="s">
        <v>30</v>
      </c>
      <c r="Q1927" t="s">
        <v>31</v>
      </c>
      <c r="R1927">
        <v>82607</v>
      </c>
      <c r="S1927" t="s">
        <v>168</v>
      </c>
      <c r="T1927">
        <v>82622</v>
      </c>
      <c r="U1927" t="s">
        <v>147</v>
      </c>
      <c r="V1927" t="s">
        <v>147</v>
      </c>
      <c r="W1927" t="s">
        <v>326</v>
      </c>
      <c r="X1927" t="s">
        <v>34</v>
      </c>
      <c r="Y1927" s="9">
        <f t="shared" si="91"/>
        <v>0</v>
      </c>
      <c r="Z1927" t="str">
        <f t="shared" si="92"/>
        <v>สแกนต่าง Cost</v>
      </c>
    </row>
    <row r="1928" spans="1:26" x14ac:dyDescent="0.45">
      <c r="B1928" t="s">
        <v>53</v>
      </c>
      <c r="C1928">
        <v>20280718</v>
      </c>
      <c r="D1928" t="s">
        <v>256</v>
      </c>
      <c r="E1928" s="10">
        <v>46121.354166666664</v>
      </c>
      <c r="F1928" s="10">
        <v>46121.5</v>
      </c>
      <c r="G1928">
        <v>3.5</v>
      </c>
      <c r="H1928" s="9">
        <f t="shared" si="90"/>
        <v>1.9E-2</v>
      </c>
      <c r="I1928">
        <v>1.9E-2</v>
      </c>
      <c r="M1928" t="s">
        <v>65</v>
      </c>
      <c r="N1928" t="s">
        <v>29</v>
      </c>
      <c r="P1928" t="s">
        <v>30</v>
      </c>
      <c r="Q1928" t="s">
        <v>31</v>
      </c>
      <c r="R1928">
        <v>82640</v>
      </c>
      <c r="S1928" t="s">
        <v>42</v>
      </c>
      <c r="T1928">
        <v>82630</v>
      </c>
      <c r="U1928" t="s">
        <v>32</v>
      </c>
      <c r="V1928" t="s">
        <v>66</v>
      </c>
      <c r="W1928" t="s">
        <v>44</v>
      </c>
      <c r="X1928" t="s">
        <v>44</v>
      </c>
      <c r="Y1928" s="9">
        <f t="shared" si="91"/>
        <v>0</v>
      </c>
      <c r="Z1928" t="str">
        <f t="shared" si="92"/>
        <v>สแกนต่าง Cost</v>
      </c>
    </row>
    <row r="1929" spans="1:26" x14ac:dyDescent="0.45">
      <c r="B1929" t="s">
        <v>53</v>
      </c>
      <c r="C1929">
        <v>20310530</v>
      </c>
      <c r="D1929" t="s">
        <v>220</v>
      </c>
      <c r="E1929" s="10">
        <v>46121.354166666664</v>
      </c>
      <c r="F1929" s="10">
        <v>46121.375</v>
      </c>
      <c r="G1929">
        <v>0.5</v>
      </c>
      <c r="H1929" s="9">
        <f t="shared" si="90"/>
        <v>3.0000000000000001E-3</v>
      </c>
      <c r="I1929">
        <v>3.0000000000000001E-3</v>
      </c>
      <c r="M1929" t="s">
        <v>65</v>
      </c>
      <c r="N1929" t="s">
        <v>29</v>
      </c>
      <c r="P1929" t="s">
        <v>30</v>
      </c>
      <c r="Q1929" t="s">
        <v>31</v>
      </c>
      <c r="R1929">
        <v>82640</v>
      </c>
      <c r="S1929" t="s">
        <v>42</v>
      </c>
      <c r="T1929">
        <v>82622</v>
      </c>
      <c r="U1929" t="s">
        <v>147</v>
      </c>
      <c r="V1929" t="s">
        <v>66</v>
      </c>
      <c r="W1929" t="s">
        <v>44</v>
      </c>
      <c r="X1929" t="s">
        <v>44</v>
      </c>
      <c r="Y1929" s="9">
        <f t="shared" si="91"/>
        <v>0</v>
      </c>
      <c r="Z1929" t="str">
        <f t="shared" si="92"/>
        <v>สแกนต่าง Cost</v>
      </c>
    </row>
    <row r="1930" spans="1:26" x14ac:dyDescent="0.45">
      <c r="B1930" t="s">
        <v>53</v>
      </c>
      <c r="C1930">
        <v>20340657</v>
      </c>
      <c r="D1930" t="s">
        <v>221</v>
      </c>
      <c r="E1930" s="10">
        <v>46121.354166666664</v>
      </c>
      <c r="F1930" s="10">
        <v>46121.5</v>
      </c>
      <c r="G1930">
        <v>3.5</v>
      </c>
      <c r="H1930" s="9">
        <f t="shared" si="90"/>
        <v>1.9E-2</v>
      </c>
      <c r="I1930">
        <v>1.9E-2</v>
      </c>
      <c r="M1930" t="s">
        <v>65</v>
      </c>
      <c r="N1930" t="s">
        <v>29</v>
      </c>
      <c r="P1930" t="s">
        <v>30</v>
      </c>
      <c r="Q1930" t="s">
        <v>31</v>
      </c>
      <c r="R1930">
        <v>82640</v>
      </c>
      <c r="S1930" t="s">
        <v>42</v>
      </c>
      <c r="T1930">
        <v>82612</v>
      </c>
      <c r="U1930" t="s">
        <v>153</v>
      </c>
      <c r="V1930" t="s">
        <v>66</v>
      </c>
      <c r="W1930" t="s">
        <v>44</v>
      </c>
      <c r="X1930" t="s">
        <v>44</v>
      </c>
      <c r="Y1930" s="9">
        <f t="shared" si="91"/>
        <v>0</v>
      </c>
      <c r="Z1930" t="str">
        <f t="shared" si="92"/>
        <v>สแกนต่าง Cost</v>
      </c>
    </row>
    <row r="1931" spans="1:26" x14ac:dyDescent="0.45">
      <c r="A1931">
        <v>26141</v>
      </c>
      <c r="B1931" t="s">
        <v>53</v>
      </c>
      <c r="C1931">
        <v>20004913</v>
      </c>
      <c r="D1931" t="s">
        <v>87</v>
      </c>
      <c r="E1931" s="10">
        <v>46121.333333333336</v>
      </c>
      <c r="F1931" s="10">
        <v>46121.729166666664</v>
      </c>
      <c r="G1931">
        <v>8.5</v>
      </c>
      <c r="H1931" s="9">
        <f t="shared" si="90"/>
        <v>4.4999999999999998E-2</v>
      </c>
      <c r="I1931">
        <v>4.4999999999999998E-2</v>
      </c>
      <c r="M1931" t="s">
        <v>65</v>
      </c>
      <c r="N1931" t="s">
        <v>29</v>
      </c>
      <c r="P1931" t="s">
        <v>30</v>
      </c>
      <c r="Q1931" t="s">
        <v>31</v>
      </c>
      <c r="R1931">
        <v>82301</v>
      </c>
      <c r="S1931" t="s">
        <v>79</v>
      </c>
      <c r="T1931">
        <v>82308</v>
      </c>
      <c r="U1931" t="s">
        <v>69</v>
      </c>
      <c r="V1931" t="s">
        <v>69</v>
      </c>
      <c r="W1931" t="s">
        <v>69</v>
      </c>
      <c r="X1931" t="s">
        <v>88</v>
      </c>
      <c r="Y1931" s="9">
        <f t="shared" si="91"/>
        <v>0</v>
      </c>
      <c r="Z1931" t="str">
        <f t="shared" si="92"/>
        <v>สแกนต่าง Cost</v>
      </c>
    </row>
    <row r="1932" spans="1:26" x14ac:dyDescent="0.45">
      <c r="A1932">
        <v>26699</v>
      </c>
      <c r="B1932" t="s">
        <v>53</v>
      </c>
      <c r="C1932">
        <v>20018611</v>
      </c>
      <c r="D1932" t="s">
        <v>132</v>
      </c>
      <c r="E1932" s="10">
        <v>46121.333333333336</v>
      </c>
      <c r="F1932" s="10">
        <v>46121.729166666664</v>
      </c>
      <c r="G1932">
        <v>8.5</v>
      </c>
      <c r="H1932" s="9">
        <f t="shared" si="90"/>
        <v>4.4999999999999998E-2</v>
      </c>
      <c r="I1932">
        <v>4.4999999999999998E-2</v>
      </c>
      <c r="M1932" t="s">
        <v>65</v>
      </c>
      <c r="N1932" t="s">
        <v>29</v>
      </c>
      <c r="P1932" t="s">
        <v>133</v>
      </c>
      <c r="Q1932" t="s">
        <v>31</v>
      </c>
      <c r="R1932">
        <v>82301</v>
      </c>
      <c r="S1932" t="s">
        <v>79</v>
      </c>
      <c r="T1932">
        <v>82308</v>
      </c>
      <c r="U1932" t="s">
        <v>69</v>
      </c>
      <c r="V1932" t="s">
        <v>69</v>
      </c>
      <c r="W1932" t="s">
        <v>69</v>
      </c>
      <c r="X1932" t="s">
        <v>95</v>
      </c>
      <c r="Y1932" s="9">
        <f t="shared" si="91"/>
        <v>0</v>
      </c>
      <c r="Z1932" t="str">
        <f t="shared" si="92"/>
        <v>สแกนต่าง Cost</v>
      </c>
    </row>
    <row r="1933" spans="1:26" x14ac:dyDescent="0.45">
      <c r="B1933" t="s">
        <v>53</v>
      </c>
      <c r="C1933">
        <v>20018899</v>
      </c>
      <c r="D1933" t="s">
        <v>64</v>
      </c>
      <c r="E1933" s="10">
        <v>46121.333333333336</v>
      </c>
      <c r="F1933" s="10">
        <v>46121.5</v>
      </c>
      <c r="G1933">
        <v>4</v>
      </c>
      <c r="H1933" s="9">
        <f t="shared" si="90"/>
        <v>2.1000000000000001E-2</v>
      </c>
      <c r="J1933">
        <v>2.1000000000000001E-2</v>
      </c>
      <c r="M1933" t="s">
        <v>77</v>
      </c>
      <c r="N1933" t="s">
        <v>40</v>
      </c>
      <c r="O1933" t="s">
        <v>78</v>
      </c>
      <c r="P1933" t="s">
        <v>30</v>
      </c>
      <c r="Q1933" t="s">
        <v>31</v>
      </c>
      <c r="R1933">
        <v>82640</v>
      </c>
      <c r="S1933" t="s">
        <v>42</v>
      </c>
      <c r="T1933">
        <v>82652</v>
      </c>
      <c r="U1933" t="s">
        <v>46</v>
      </c>
      <c r="V1933" t="s">
        <v>66</v>
      </c>
      <c r="W1933" t="s">
        <v>37</v>
      </c>
      <c r="X1933" t="s">
        <v>34</v>
      </c>
      <c r="Y1933" s="9">
        <f t="shared" si="91"/>
        <v>2.1000000000000001E-2</v>
      </c>
      <c r="Z1933" t="str">
        <f t="shared" si="92"/>
        <v>สแกนต่าง Cost</v>
      </c>
    </row>
    <row r="1934" spans="1:26" x14ac:dyDescent="0.45">
      <c r="B1934" t="s">
        <v>53</v>
      </c>
      <c r="C1934">
        <v>20023163</v>
      </c>
      <c r="D1934" t="s">
        <v>169</v>
      </c>
      <c r="E1934" s="10">
        <v>46121.333333333336</v>
      </c>
      <c r="F1934" s="10">
        <v>46121.729166666664</v>
      </c>
      <c r="G1934">
        <v>8.5</v>
      </c>
      <c r="H1934" s="9">
        <f t="shared" si="90"/>
        <v>4.4999999999999998E-2</v>
      </c>
      <c r="I1934">
        <v>4.4999999999999998E-2</v>
      </c>
      <c r="M1934" t="s">
        <v>65</v>
      </c>
      <c r="N1934" t="s">
        <v>29</v>
      </c>
      <c r="P1934" t="s">
        <v>30</v>
      </c>
      <c r="Q1934" t="s">
        <v>31</v>
      </c>
      <c r="R1934">
        <v>82630</v>
      </c>
      <c r="S1934" t="s">
        <v>32</v>
      </c>
      <c r="T1934">
        <v>82640</v>
      </c>
      <c r="U1934" t="s">
        <v>42</v>
      </c>
      <c r="V1934" t="s">
        <v>70</v>
      </c>
      <c r="W1934" t="s">
        <v>170</v>
      </c>
      <c r="X1934" t="s">
        <v>171</v>
      </c>
      <c r="Y1934" s="9">
        <f t="shared" si="91"/>
        <v>0</v>
      </c>
      <c r="Z1934" t="str">
        <f t="shared" si="92"/>
        <v>สแกนต่าง Cost</v>
      </c>
    </row>
    <row r="1935" spans="1:26" x14ac:dyDescent="0.45">
      <c r="B1935" t="s">
        <v>26</v>
      </c>
      <c r="C1935">
        <v>20024254</v>
      </c>
      <c r="D1935" t="s">
        <v>233</v>
      </c>
      <c r="E1935" s="10">
        <v>46121.333333333336</v>
      </c>
      <c r="F1935" s="10">
        <v>46121.729166666664</v>
      </c>
      <c r="G1935">
        <v>8.5</v>
      </c>
      <c r="H1935" s="9">
        <f t="shared" si="90"/>
        <v>4.4999999999999998E-2</v>
      </c>
      <c r="I1935">
        <v>4.4999999999999998E-2</v>
      </c>
      <c r="M1935" t="s">
        <v>65</v>
      </c>
      <c r="N1935" t="s">
        <v>29</v>
      </c>
      <c r="P1935" t="s">
        <v>30</v>
      </c>
      <c r="Q1935" t="s">
        <v>31</v>
      </c>
      <c r="R1935">
        <v>82910</v>
      </c>
      <c r="S1935" t="s">
        <v>201</v>
      </c>
      <c r="T1935">
        <v>82611</v>
      </c>
      <c r="U1935" t="s">
        <v>43</v>
      </c>
      <c r="V1935" t="s">
        <v>43</v>
      </c>
      <c r="W1935" t="s">
        <v>148</v>
      </c>
      <c r="X1935" t="s">
        <v>171</v>
      </c>
      <c r="Y1935" s="9">
        <f t="shared" si="91"/>
        <v>0</v>
      </c>
      <c r="Z1935" t="str">
        <f t="shared" si="92"/>
        <v>สแกนต่าง Cost</v>
      </c>
    </row>
    <row r="1936" spans="1:26" x14ac:dyDescent="0.45">
      <c r="B1936" t="s">
        <v>26</v>
      </c>
      <c r="C1936">
        <v>20025986</v>
      </c>
      <c r="D1936" t="s">
        <v>200</v>
      </c>
      <c r="E1936" s="10">
        <v>46121.333333333336</v>
      </c>
      <c r="F1936" s="10">
        <v>46121.729166666664</v>
      </c>
      <c r="G1936">
        <v>8.5</v>
      </c>
      <c r="H1936" s="9">
        <f t="shared" si="90"/>
        <v>4.4999999999999998E-2</v>
      </c>
      <c r="I1936">
        <v>4.4999999999999998E-2</v>
      </c>
      <c r="M1936" t="s">
        <v>77</v>
      </c>
      <c r="N1936" t="s">
        <v>29</v>
      </c>
      <c r="P1936" t="s">
        <v>30</v>
      </c>
      <c r="Q1936" t="s">
        <v>31</v>
      </c>
      <c r="R1936">
        <v>82910</v>
      </c>
      <c r="S1936" t="s">
        <v>201</v>
      </c>
      <c r="T1936">
        <v>82611</v>
      </c>
      <c r="U1936" t="s">
        <v>43</v>
      </c>
      <c r="V1936" t="s">
        <v>43</v>
      </c>
      <c r="W1936" t="s">
        <v>148</v>
      </c>
      <c r="X1936" t="s">
        <v>171</v>
      </c>
      <c r="Y1936" s="9">
        <f t="shared" si="91"/>
        <v>0</v>
      </c>
      <c r="Z1936" t="str">
        <f t="shared" si="92"/>
        <v>สแกนต่าง Cost</v>
      </c>
    </row>
    <row r="1937" spans="1:26" x14ac:dyDescent="0.45">
      <c r="B1937" t="s">
        <v>53</v>
      </c>
      <c r="C1937">
        <v>20034535</v>
      </c>
      <c r="D1937" t="s">
        <v>99</v>
      </c>
      <c r="E1937" s="10">
        <v>46121.333333333336</v>
      </c>
      <c r="F1937" s="10">
        <v>46121.729166666664</v>
      </c>
      <c r="G1937">
        <v>8.5</v>
      </c>
      <c r="H1937" s="9">
        <f t="shared" si="90"/>
        <v>4.4999999999999998E-2</v>
      </c>
      <c r="I1937">
        <v>4.4999999999999998E-2</v>
      </c>
      <c r="M1937" t="s">
        <v>65</v>
      </c>
      <c r="N1937" t="s">
        <v>29</v>
      </c>
      <c r="P1937" t="s">
        <v>30</v>
      </c>
      <c r="Q1937" t="s">
        <v>31</v>
      </c>
      <c r="R1937">
        <v>82630</v>
      </c>
      <c r="S1937" t="s">
        <v>32</v>
      </c>
      <c r="T1937">
        <v>82611</v>
      </c>
      <c r="U1937" t="s">
        <v>43</v>
      </c>
      <c r="V1937" t="s">
        <v>43</v>
      </c>
      <c r="W1937" t="s">
        <v>170</v>
      </c>
      <c r="X1937" t="s">
        <v>171</v>
      </c>
      <c r="Y1937" s="9">
        <f t="shared" si="91"/>
        <v>0</v>
      </c>
      <c r="Z1937" t="str">
        <f t="shared" si="92"/>
        <v>สแกนต่าง Cost</v>
      </c>
    </row>
    <row r="1938" spans="1:26" x14ac:dyDescent="0.45">
      <c r="B1938" t="s">
        <v>53</v>
      </c>
      <c r="C1938">
        <v>20037938</v>
      </c>
      <c r="D1938" t="s">
        <v>172</v>
      </c>
      <c r="E1938" s="10">
        <v>46121.333333333336</v>
      </c>
      <c r="F1938" s="10">
        <v>46121.729166666664</v>
      </c>
      <c r="G1938">
        <v>8.5</v>
      </c>
      <c r="H1938" s="9">
        <f t="shared" si="90"/>
        <v>4.4999999999999998E-2</v>
      </c>
      <c r="I1938">
        <v>4.4999999999999998E-2</v>
      </c>
      <c r="M1938" t="s">
        <v>65</v>
      </c>
      <c r="N1938" t="s">
        <v>29</v>
      </c>
      <c r="P1938" t="s">
        <v>30</v>
      </c>
      <c r="Q1938" t="s">
        <v>31</v>
      </c>
      <c r="R1938">
        <v>82630</v>
      </c>
      <c r="S1938" t="s">
        <v>32</v>
      </c>
      <c r="T1938">
        <v>82611</v>
      </c>
      <c r="U1938" t="s">
        <v>43</v>
      </c>
      <c r="V1938" t="s">
        <v>43</v>
      </c>
      <c r="W1938" t="s">
        <v>170</v>
      </c>
      <c r="X1938" t="s">
        <v>171</v>
      </c>
      <c r="Y1938" s="9">
        <f t="shared" si="91"/>
        <v>0</v>
      </c>
      <c r="Z1938" t="str">
        <f t="shared" si="92"/>
        <v>สแกนต่าง Cost</v>
      </c>
    </row>
    <row r="1939" spans="1:26" x14ac:dyDescent="0.45">
      <c r="B1939" t="s">
        <v>53</v>
      </c>
      <c r="C1939">
        <v>20041131</v>
      </c>
      <c r="D1939" t="s">
        <v>173</v>
      </c>
      <c r="E1939" s="10">
        <v>46121.333333333336</v>
      </c>
      <c r="F1939" s="10">
        <v>46121.729166666664</v>
      </c>
      <c r="G1939">
        <v>8.5</v>
      </c>
      <c r="H1939" s="9">
        <f t="shared" si="90"/>
        <v>4.4999999999999998E-2</v>
      </c>
      <c r="J1939">
        <v>4.4999999999999998E-2</v>
      </c>
      <c r="M1939" t="s">
        <v>77</v>
      </c>
      <c r="N1939" t="s">
        <v>40</v>
      </c>
      <c r="O1939" t="s">
        <v>78</v>
      </c>
      <c r="P1939" t="s">
        <v>30</v>
      </c>
      <c r="Q1939" t="s">
        <v>31</v>
      </c>
      <c r="R1939">
        <v>82630</v>
      </c>
      <c r="S1939" t="s">
        <v>32</v>
      </c>
      <c r="T1939">
        <v>82611</v>
      </c>
      <c r="U1939" t="s">
        <v>43</v>
      </c>
      <c r="V1939" t="s">
        <v>43</v>
      </c>
      <c r="W1939" t="s">
        <v>170</v>
      </c>
      <c r="X1939" t="s">
        <v>171</v>
      </c>
      <c r="Y1939" s="9">
        <f t="shared" si="91"/>
        <v>4.4999999999999998E-2</v>
      </c>
      <c r="Z1939" t="str">
        <f t="shared" si="92"/>
        <v>สแกนต่าง Cost</v>
      </c>
    </row>
    <row r="1940" spans="1:26" x14ac:dyDescent="0.45">
      <c r="B1940" t="s">
        <v>53</v>
      </c>
      <c r="C1940">
        <v>20047023</v>
      </c>
      <c r="D1940" t="s">
        <v>271</v>
      </c>
      <c r="E1940" s="10">
        <v>46121.333333333336</v>
      </c>
      <c r="F1940" s="10">
        <v>46121.729166666664</v>
      </c>
      <c r="G1940">
        <v>8.5</v>
      </c>
      <c r="H1940" s="9">
        <f t="shared" si="90"/>
        <v>4.4999999999999998E-2</v>
      </c>
      <c r="I1940">
        <v>4.4999999999999998E-2</v>
      </c>
      <c r="M1940" t="s">
        <v>65</v>
      </c>
      <c r="N1940" t="s">
        <v>29</v>
      </c>
      <c r="P1940" t="s">
        <v>30</v>
      </c>
      <c r="Q1940" t="s">
        <v>31</v>
      </c>
      <c r="R1940">
        <v>82607</v>
      </c>
      <c r="S1940" t="s">
        <v>168</v>
      </c>
      <c r="T1940">
        <v>82630</v>
      </c>
      <c r="U1940" t="s">
        <v>32</v>
      </c>
      <c r="V1940" t="s">
        <v>155</v>
      </c>
      <c r="W1940" t="s">
        <v>148</v>
      </c>
      <c r="X1940" t="s">
        <v>95</v>
      </c>
      <c r="Y1940" s="9">
        <f t="shared" si="91"/>
        <v>0</v>
      </c>
      <c r="Z1940" t="str">
        <f t="shared" si="92"/>
        <v>สแกนต่าง Cost</v>
      </c>
    </row>
    <row r="1941" spans="1:26" x14ac:dyDescent="0.45">
      <c r="B1941" t="s">
        <v>26</v>
      </c>
      <c r="C1941">
        <v>20066762</v>
      </c>
      <c r="D1941" t="s">
        <v>203</v>
      </c>
      <c r="E1941" s="10">
        <v>46121.333333333336</v>
      </c>
      <c r="F1941" s="10">
        <v>46121.729166666664</v>
      </c>
      <c r="G1941">
        <v>8.5</v>
      </c>
      <c r="H1941" s="9">
        <f t="shared" si="90"/>
        <v>4.4999999999999998E-2</v>
      </c>
      <c r="I1941">
        <v>4.4999999999999998E-2</v>
      </c>
      <c r="M1941" t="s">
        <v>65</v>
      </c>
      <c r="N1941" t="s">
        <v>29</v>
      </c>
      <c r="P1941" t="s">
        <v>30</v>
      </c>
      <c r="Q1941" t="s">
        <v>31</v>
      </c>
      <c r="R1941">
        <v>82910</v>
      </c>
      <c r="S1941" t="s">
        <v>201</v>
      </c>
      <c r="T1941">
        <v>82611</v>
      </c>
      <c r="U1941" t="s">
        <v>43</v>
      </c>
      <c r="V1941" t="s">
        <v>43</v>
      </c>
      <c r="W1941" t="s">
        <v>148</v>
      </c>
      <c r="X1941" t="s">
        <v>171</v>
      </c>
      <c r="Y1941" s="9">
        <f t="shared" si="91"/>
        <v>0</v>
      </c>
      <c r="Z1941" t="str">
        <f t="shared" si="92"/>
        <v>สแกนต่าง Cost</v>
      </c>
    </row>
    <row r="1942" spans="1:26" x14ac:dyDescent="0.45">
      <c r="B1942" t="s">
        <v>53</v>
      </c>
      <c r="C1942">
        <v>20074473</v>
      </c>
      <c r="D1942" t="s">
        <v>276</v>
      </c>
      <c r="E1942" s="10">
        <v>46121.333333333336</v>
      </c>
      <c r="F1942" s="10">
        <v>46121.729166666664</v>
      </c>
      <c r="G1942">
        <v>8.5</v>
      </c>
      <c r="H1942" s="9">
        <f t="shared" si="90"/>
        <v>4.4999999999999998E-2</v>
      </c>
      <c r="I1942">
        <v>4.4999999999999998E-2</v>
      </c>
      <c r="M1942" t="s">
        <v>65</v>
      </c>
      <c r="N1942" t="s">
        <v>29</v>
      </c>
      <c r="P1942" t="s">
        <v>30</v>
      </c>
      <c r="Q1942" t="s">
        <v>31</v>
      </c>
      <c r="R1942">
        <v>82630</v>
      </c>
      <c r="S1942" t="s">
        <v>32</v>
      </c>
      <c r="T1942">
        <v>82640</v>
      </c>
      <c r="U1942" t="s">
        <v>42</v>
      </c>
      <c r="V1942" t="s">
        <v>70</v>
      </c>
      <c r="W1942" t="s">
        <v>170</v>
      </c>
      <c r="X1942" t="s">
        <v>171</v>
      </c>
      <c r="Y1942" s="9">
        <f t="shared" si="91"/>
        <v>0</v>
      </c>
      <c r="Z1942" t="str">
        <f t="shared" si="92"/>
        <v>สแกนต่าง Cost</v>
      </c>
    </row>
    <row r="1943" spans="1:26" x14ac:dyDescent="0.45">
      <c r="B1943" t="s">
        <v>53</v>
      </c>
      <c r="C1943">
        <v>20075871</v>
      </c>
      <c r="D1943" t="s">
        <v>174</v>
      </c>
      <c r="E1943" s="10">
        <v>46121.333333333336</v>
      </c>
      <c r="F1943" s="10">
        <v>46121.729166666664</v>
      </c>
      <c r="G1943">
        <v>8.5</v>
      </c>
      <c r="H1943" s="9">
        <f t="shared" si="90"/>
        <v>4.4999999999999998E-2</v>
      </c>
      <c r="I1943">
        <v>4.4999999999999998E-2</v>
      </c>
      <c r="M1943" t="s">
        <v>65</v>
      </c>
      <c r="N1943" t="s">
        <v>29</v>
      </c>
      <c r="P1943" t="s">
        <v>133</v>
      </c>
      <c r="Q1943" t="s">
        <v>31</v>
      </c>
      <c r="R1943">
        <v>82301</v>
      </c>
      <c r="S1943" t="s">
        <v>79</v>
      </c>
      <c r="T1943">
        <v>82308</v>
      </c>
      <c r="U1943" t="s">
        <v>69</v>
      </c>
      <c r="V1943" t="s">
        <v>69</v>
      </c>
      <c r="W1943" t="s">
        <v>69</v>
      </c>
      <c r="X1943" t="s">
        <v>95</v>
      </c>
      <c r="Y1943" s="9">
        <f t="shared" si="91"/>
        <v>0</v>
      </c>
      <c r="Z1943" t="str">
        <f t="shared" si="92"/>
        <v>สแกนต่าง Cost</v>
      </c>
    </row>
    <row r="1944" spans="1:26" x14ac:dyDescent="0.45">
      <c r="B1944" t="s">
        <v>26</v>
      </c>
      <c r="C1944">
        <v>20075988</v>
      </c>
      <c r="D1944" t="s">
        <v>325</v>
      </c>
      <c r="E1944" s="10">
        <v>46121.333333333336</v>
      </c>
      <c r="F1944" s="10">
        <v>46121.359027777777</v>
      </c>
      <c r="G1944">
        <v>0.6166666666666667</v>
      </c>
      <c r="H1944" s="9">
        <f t="shared" si="90"/>
        <v>3.0000000000000001E-3</v>
      </c>
      <c r="I1944">
        <v>3.0000000000000001E-3</v>
      </c>
      <c r="M1944" t="s">
        <v>65</v>
      </c>
      <c r="N1944" t="s">
        <v>29</v>
      </c>
      <c r="P1944" t="s">
        <v>30</v>
      </c>
      <c r="Q1944" t="s">
        <v>31</v>
      </c>
      <c r="R1944">
        <v>82607</v>
      </c>
      <c r="S1944" t="s">
        <v>168</v>
      </c>
      <c r="T1944">
        <v>82612</v>
      </c>
      <c r="U1944" t="s">
        <v>153</v>
      </c>
      <c r="V1944" t="s">
        <v>362</v>
      </c>
      <c r="W1944" t="s">
        <v>42</v>
      </c>
      <c r="X1944" t="s">
        <v>38</v>
      </c>
      <c r="Y1944" s="9">
        <f t="shared" si="91"/>
        <v>0</v>
      </c>
      <c r="Z1944" t="str">
        <f t="shared" si="92"/>
        <v>สแกนต่าง Cost</v>
      </c>
    </row>
    <row r="1945" spans="1:26" x14ac:dyDescent="0.45">
      <c r="A1945">
        <v>26706</v>
      </c>
      <c r="B1945" t="s">
        <v>53</v>
      </c>
      <c r="C1945">
        <v>20076436</v>
      </c>
      <c r="D1945" t="s">
        <v>131</v>
      </c>
      <c r="E1945" s="10">
        <v>46121.333333333336</v>
      </c>
      <c r="F1945" s="10">
        <v>46121.729166666664</v>
      </c>
      <c r="G1945">
        <v>8.5</v>
      </c>
      <c r="H1945" s="9">
        <f t="shared" si="90"/>
        <v>4.4999999999999998E-2</v>
      </c>
      <c r="I1945">
        <v>4.4999999999999998E-2</v>
      </c>
      <c r="M1945" t="s">
        <v>65</v>
      </c>
      <c r="N1945" t="s">
        <v>29</v>
      </c>
      <c r="P1945" t="s">
        <v>30</v>
      </c>
      <c r="Q1945" t="s">
        <v>31</v>
      </c>
      <c r="R1945">
        <v>82301</v>
      </c>
      <c r="S1945" t="s">
        <v>79</v>
      </c>
      <c r="T1945">
        <v>82308</v>
      </c>
      <c r="U1945" t="s">
        <v>69</v>
      </c>
      <c r="V1945" t="s">
        <v>69</v>
      </c>
      <c r="W1945" t="s">
        <v>69</v>
      </c>
      <c r="X1945" t="s">
        <v>95</v>
      </c>
      <c r="Y1945" s="9">
        <f t="shared" si="91"/>
        <v>0</v>
      </c>
      <c r="Z1945" t="str">
        <f t="shared" si="92"/>
        <v>สแกนต่าง Cost</v>
      </c>
    </row>
    <row r="1946" spans="1:26" x14ac:dyDescent="0.45">
      <c r="B1946" t="s">
        <v>53</v>
      </c>
      <c r="C1946">
        <v>20167851</v>
      </c>
      <c r="D1946" t="s">
        <v>63</v>
      </c>
      <c r="E1946" s="10">
        <v>46121.333333333336</v>
      </c>
      <c r="F1946" s="10">
        <v>46121.5</v>
      </c>
      <c r="G1946">
        <v>4</v>
      </c>
      <c r="H1946" s="9">
        <f t="shared" si="90"/>
        <v>2.1000000000000001E-2</v>
      </c>
      <c r="I1946">
        <v>2.1000000000000001E-2</v>
      </c>
      <c r="M1946" t="s">
        <v>65</v>
      </c>
      <c r="N1946" t="s">
        <v>29</v>
      </c>
      <c r="P1946" t="s">
        <v>30</v>
      </c>
      <c r="Q1946" t="s">
        <v>31</v>
      </c>
      <c r="R1946">
        <v>82640</v>
      </c>
      <c r="S1946" t="s">
        <v>42</v>
      </c>
      <c r="T1946">
        <v>82612</v>
      </c>
      <c r="U1946" t="s">
        <v>153</v>
      </c>
      <c r="V1946" t="s">
        <v>66</v>
      </c>
      <c r="W1946" t="s">
        <v>44</v>
      </c>
      <c r="X1946" t="s">
        <v>44</v>
      </c>
      <c r="Y1946" s="9">
        <f t="shared" si="91"/>
        <v>0</v>
      </c>
      <c r="Z1946" t="str">
        <f t="shared" si="92"/>
        <v>สแกนต่าง Cost</v>
      </c>
    </row>
    <row r="1947" spans="1:26" x14ac:dyDescent="0.45">
      <c r="B1947" t="s">
        <v>53</v>
      </c>
      <c r="C1947">
        <v>20198711</v>
      </c>
      <c r="D1947" t="s">
        <v>178</v>
      </c>
      <c r="E1947" s="10">
        <v>46121.333333333336</v>
      </c>
      <c r="F1947" s="10">
        <v>46121.729166666664</v>
      </c>
      <c r="G1947">
        <v>8.5</v>
      </c>
      <c r="H1947" s="9">
        <f t="shared" si="90"/>
        <v>4.4999999999999998E-2</v>
      </c>
      <c r="I1947">
        <v>4.4999999999999998E-2</v>
      </c>
      <c r="M1947" t="s">
        <v>65</v>
      </c>
      <c r="N1947" t="s">
        <v>29</v>
      </c>
      <c r="P1947" t="s">
        <v>30</v>
      </c>
      <c r="Q1947" t="s">
        <v>31</v>
      </c>
      <c r="R1947">
        <v>82630</v>
      </c>
      <c r="S1947" t="s">
        <v>32</v>
      </c>
      <c r="T1947">
        <v>82611</v>
      </c>
      <c r="U1947" t="s">
        <v>43</v>
      </c>
      <c r="V1947" t="s">
        <v>43</v>
      </c>
      <c r="W1947" t="s">
        <v>170</v>
      </c>
      <c r="X1947" t="s">
        <v>171</v>
      </c>
      <c r="Y1947" s="9">
        <f t="shared" si="91"/>
        <v>0</v>
      </c>
      <c r="Z1947" t="str">
        <f t="shared" si="92"/>
        <v>สแกนต่าง Cost</v>
      </c>
    </row>
    <row r="1948" spans="1:26" x14ac:dyDescent="0.45">
      <c r="B1948" t="s">
        <v>53</v>
      </c>
      <c r="C1948">
        <v>20198715</v>
      </c>
      <c r="D1948" t="s">
        <v>179</v>
      </c>
      <c r="E1948" s="10">
        <v>46121.333333333336</v>
      </c>
      <c r="F1948" s="10">
        <v>46121.729166666664</v>
      </c>
      <c r="G1948">
        <v>8.5</v>
      </c>
      <c r="H1948" s="9">
        <f t="shared" si="90"/>
        <v>4.4999999999999998E-2</v>
      </c>
      <c r="I1948">
        <v>4.4999999999999998E-2</v>
      </c>
      <c r="M1948" t="s">
        <v>65</v>
      </c>
      <c r="N1948" t="s">
        <v>29</v>
      </c>
      <c r="P1948" t="s">
        <v>30</v>
      </c>
      <c r="Q1948" t="s">
        <v>31</v>
      </c>
      <c r="R1948">
        <v>82630</v>
      </c>
      <c r="S1948" t="s">
        <v>32</v>
      </c>
      <c r="T1948">
        <v>82611</v>
      </c>
      <c r="U1948" t="s">
        <v>43</v>
      </c>
      <c r="V1948" t="s">
        <v>43</v>
      </c>
      <c r="W1948" t="s">
        <v>170</v>
      </c>
      <c r="X1948" t="s">
        <v>171</v>
      </c>
      <c r="Y1948" s="9">
        <f t="shared" si="91"/>
        <v>0</v>
      </c>
      <c r="Z1948" t="str">
        <f t="shared" si="92"/>
        <v>สแกนต่าง Cost</v>
      </c>
    </row>
    <row r="1949" spans="1:26" x14ac:dyDescent="0.45">
      <c r="B1949" t="s">
        <v>53</v>
      </c>
      <c r="C1949">
        <v>20198747</v>
      </c>
      <c r="D1949" t="s">
        <v>180</v>
      </c>
      <c r="E1949" s="10">
        <v>46121.333333333336</v>
      </c>
      <c r="F1949" s="10">
        <v>46121.729166666664</v>
      </c>
      <c r="G1949">
        <v>8.5</v>
      </c>
      <c r="H1949" s="9">
        <f t="shared" si="90"/>
        <v>4.4999999999999998E-2</v>
      </c>
      <c r="I1949">
        <v>4.4999999999999998E-2</v>
      </c>
      <c r="M1949" t="s">
        <v>65</v>
      </c>
      <c r="N1949" t="s">
        <v>29</v>
      </c>
      <c r="P1949" t="s">
        <v>30</v>
      </c>
      <c r="Q1949" t="s">
        <v>31</v>
      </c>
      <c r="R1949">
        <v>82630</v>
      </c>
      <c r="S1949" t="s">
        <v>32</v>
      </c>
      <c r="T1949">
        <v>82640</v>
      </c>
      <c r="U1949" t="s">
        <v>42</v>
      </c>
      <c r="V1949" t="s">
        <v>70</v>
      </c>
      <c r="W1949" t="s">
        <v>170</v>
      </c>
      <c r="X1949" t="s">
        <v>171</v>
      </c>
      <c r="Y1949" s="9">
        <f t="shared" si="91"/>
        <v>0</v>
      </c>
      <c r="Z1949" t="str">
        <f t="shared" si="92"/>
        <v>สแกนต่าง Cost</v>
      </c>
    </row>
    <row r="1950" spans="1:26" x14ac:dyDescent="0.45">
      <c r="B1950" t="s">
        <v>53</v>
      </c>
      <c r="C1950">
        <v>20220646</v>
      </c>
      <c r="D1950" t="s">
        <v>67</v>
      </c>
      <c r="E1950" s="10">
        <v>46121.333333333336</v>
      </c>
      <c r="F1950" s="10">
        <v>46121.5</v>
      </c>
      <c r="G1950">
        <v>4</v>
      </c>
      <c r="H1950" s="9">
        <f t="shared" si="90"/>
        <v>2.1000000000000001E-2</v>
      </c>
      <c r="I1950">
        <v>2.1000000000000001E-2</v>
      </c>
      <c r="M1950" t="s">
        <v>65</v>
      </c>
      <c r="N1950" t="s">
        <v>29</v>
      </c>
      <c r="P1950" t="s">
        <v>30</v>
      </c>
      <c r="Q1950" t="s">
        <v>31</v>
      </c>
      <c r="R1950">
        <v>82640</v>
      </c>
      <c r="S1950" t="s">
        <v>42</v>
      </c>
      <c r="T1950">
        <v>82652</v>
      </c>
      <c r="U1950" t="s">
        <v>46</v>
      </c>
      <c r="V1950" t="s">
        <v>66</v>
      </c>
      <c r="W1950" t="s">
        <v>37</v>
      </c>
      <c r="X1950" t="s">
        <v>34</v>
      </c>
      <c r="Y1950" s="9">
        <f t="shared" si="91"/>
        <v>0</v>
      </c>
      <c r="Z1950" t="str">
        <f t="shared" si="92"/>
        <v>สแกนต่าง Cost</v>
      </c>
    </row>
    <row r="1951" spans="1:26" x14ac:dyDescent="0.45">
      <c r="B1951" t="s">
        <v>53</v>
      </c>
      <c r="C1951">
        <v>20225092</v>
      </c>
      <c r="D1951" t="s">
        <v>335</v>
      </c>
      <c r="E1951" s="10">
        <v>46121.333333333336</v>
      </c>
      <c r="F1951" s="10">
        <v>46121.729166666664</v>
      </c>
      <c r="G1951">
        <v>8.5</v>
      </c>
      <c r="H1951" s="9">
        <f t="shared" si="90"/>
        <v>4.4999999999999998E-2</v>
      </c>
      <c r="I1951">
        <v>4.4999999999999998E-2</v>
      </c>
      <c r="M1951" t="s">
        <v>65</v>
      </c>
      <c r="N1951" t="s">
        <v>29</v>
      </c>
      <c r="P1951" t="s">
        <v>133</v>
      </c>
      <c r="Q1951" t="s">
        <v>31</v>
      </c>
      <c r="R1951">
        <v>82400</v>
      </c>
      <c r="S1951" t="s">
        <v>83</v>
      </c>
      <c r="T1951">
        <v>82664</v>
      </c>
      <c r="U1951" t="s">
        <v>75</v>
      </c>
      <c r="V1951" t="s">
        <v>336</v>
      </c>
      <c r="W1951" t="s">
        <v>44</v>
      </c>
      <c r="X1951" t="s">
        <v>44</v>
      </c>
      <c r="Y1951" s="9">
        <f t="shared" si="91"/>
        <v>0</v>
      </c>
      <c r="Z1951" t="str">
        <f t="shared" si="92"/>
        <v>สแกนต่าง Cost</v>
      </c>
    </row>
    <row r="1952" spans="1:26" x14ac:dyDescent="0.45">
      <c r="A1952">
        <v>26363</v>
      </c>
      <c r="B1952" t="s">
        <v>53</v>
      </c>
      <c r="C1952">
        <v>20276264</v>
      </c>
      <c r="D1952" t="s">
        <v>236</v>
      </c>
      <c r="E1952" s="10">
        <v>46121.333333333336</v>
      </c>
      <c r="F1952" s="10">
        <v>46121.729166666664</v>
      </c>
      <c r="G1952">
        <v>8.5</v>
      </c>
      <c r="H1952" s="9">
        <f t="shared" si="90"/>
        <v>4.4999999999999998E-2</v>
      </c>
      <c r="I1952">
        <v>4.4999999999999998E-2</v>
      </c>
      <c r="M1952" t="s">
        <v>65</v>
      </c>
      <c r="N1952" t="s">
        <v>29</v>
      </c>
      <c r="P1952" t="s">
        <v>30</v>
      </c>
      <c r="Q1952" t="s">
        <v>31</v>
      </c>
      <c r="R1952">
        <v>82301</v>
      </c>
      <c r="S1952" t="s">
        <v>79</v>
      </c>
      <c r="T1952">
        <v>82308</v>
      </c>
      <c r="U1952" t="s">
        <v>69</v>
      </c>
      <c r="V1952" t="s">
        <v>69</v>
      </c>
      <c r="W1952" t="s">
        <v>69</v>
      </c>
      <c r="X1952" t="s">
        <v>95</v>
      </c>
      <c r="Y1952" s="9">
        <f t="shared" si="91"/>
        <v>0</v>
      </c>
      <c r="Z1952" t="str">
        <f t="shared" si="92"/>
        <v>สแกนต่าง Cost</v>
      </c>
    </row>
    <row r="1953" spans="1:26" x14ac:dyDescent="0.45">
      <c r="B1953" t="s">
        <v>53</v>
      </c>
      <c r="C1953">
        <v>20280718</v>
      </c>
      <c r="D1953" t="s">
        <v>256</v>
      </c>
      <c r="E1953" s="10">
        <v>46121.333333333336</v>
      </c>
      <c r="F1953" s="10">
        <v>46121.395833333336</v>
      </c>
      <c r="G1953">
        <v>1.5</v>
      </c>
      <c r="H1953" s="9">
        <f t="shared" si="90"/>
        <v>8.0000000000000002E-3</v>
      </c>
      <c r="I1953">
        <v>8.0000000000000002E-3</v>
      </c>
      <c r="M1953" t="s">
        <v>65</v>
      </c>
      <c r="N1953" t="s">
        <v>29</v>
      </c>
      <c r="P1953" t="s">
        <v>30</v>
      </c>
      <c r="Q1953" t="s">
        <v>31</v>
      </c>
      <c r="R1953">
        <v>82640</v>
      </c>
      <c r="S1953" t="s">
        <v>42</v>
      </c>
      <c r="T1953">
        <v>82630</v>
      </c>
      <c r="U1953" t="s">
        <v>32</v>
      </c>
      <c r="V1953" t="s">
        <v>66</v>
      </c>
      <c r="W1953" t="s">
        <v>44</v>
      </c>
      <c r="X1953" t="s">
        <v>44</v>
      </c>
      <c r="Y1953" s="9">
        <f t="shared" si="91"/>
        <v>0</v>
      </c>
      <c r="Z1953" t="str">
        <f t="shared" si="92"/>
        <v>สแกนต่าง Cost</v>
      </c>
    </row>
    <row r="1954" spans="1:26" x14ac:dyDescent="0.45">
      <c r="B1954" t="s">
        <v>53</v>
      </c>
      <c r="C1954">
        <v>20280722</v>
      </c>
      <c r="D1954" t="s">
        <v>342</v>
      </c>
      <c r="E1954" s="10">
        <v>46121.333333333336</v>
      </c>
      <c r="F1954" s="10">
        <v>46121.5</v>
      </c>
      <c r="G1954">
        <v>4</v>
      </c>
      <c r="H1954" s="9">
        <f t="shared" si="90"/>
        <v>2.1000000000000001E-2</v>
      </c>
      <c r="I1954">
        <v>2.1000000000000001E-2</v>
      </c>
      <c r="M1954" t="s">
        <v>65</v>
      </c>
      <c r="N1954" t="s">
        <v>29</v>
      </c>
      <c r="P1954" t="s">
        <v>30</v>
      </c>
      <c r="Q1954" t="s">
        <v>31</v>
      </c>
      <c r="R1954">
        <v>82640</v>
      </c>
      <c r="S1954" t="s">
        <v>42</v>
      </c>
      <c r="T1954">
        <v>82652</v>
      </c>
      <c r="U1954" t="s">
        <v>46</v>
      </c>
      <c r="V1954" t="s">
        <v>66</v>
      </c>
      <c r="W1954" t="s">
        <v>37</v>
      </c>
      <c r="X1954" t="s">
        <v>34</v>
      </c>
      <c r="Y1954" s="9">
        <f t="shared" si="91"/>
        <v>0</v>
      </c>
      <c r="Z1954" t="str">
        <f t="shared" si="92"/>
        <v>สแกนต่าง Cost</v>
      </c>
    </row>
    <row r="1955" spans="1:26" x14ac:dyDescent="0.45">
      <c r="B1955" t="s">
        <v>53</v>
      </c>
      <c r="C1955">
        <v>20310532</v>
      </c>
      <c r="D1955" t="s">
        <v>61</v>
      </c>
      <c r="E1955" s="10">
        <v>46121.333333333336</v>
      </c>
      <c r="F1955" s="10">
        <v>46121.375</v>
      </c>
      <c r="G1955">
        <v>1</v>
      </c>
      <c r="H1955" s="9">
        <f t="shared" si="90"/>
        <v>5.0000000000000001E-3</v>
      </c>
      <c r="I1955">
        <v>5.0000000000000001E-3</v>
      </c>
      <c r="M1955" t="s">
        <v>65</v>
      </c>
      <c r="N1955" t="s">
        <v>29</v>
      </c>
      <c r="P1955" t="s">
        <v>30</v>
      </c>
      <c r="Q1955" t="s">
        <v>31</v>
      </c>
      <c r="R1955">
        <v>82640</v>
      </c>
      <c r="S1955" t="s">
        <v>42</v>
      </c>
      <c r="T1955">
        <v>82630</v>
      </c>
      <c r="U1955" t="s">
        <v>32</v>
      </c>
      <c r="V1955" t="s">
        <v>66</v>
      </c>
      <c r="W1955" t="s">
        <v>44</v>
      </c>
      <c r="X1955" t="s">
        <v>44</v>
      </c>
      <c r="Y1955" s="9">
        <f t="shared" si="91"/>
        <v>0</v>
      </c>
      <c r="Z1955" t="str">
        <f t="shared" si="92"/>
        <v>สแกนต่าง Cost</v>
      </c>
    </row>
    <row r="1956" spans="1:26" x14ac:dyDescent="0.45">
      <c r="B1956" t="s">
        <v>53</v>
      </c>
      <c r="C1956">
        <v>20319535</v>
      </c>
      <c r="D1956" t="s">
        <v>36</v>
      </c>
      <c r="E1956" s="10">
        <v>46121.333333333336</v>
      </c>
      <c r="F1956" s="10">
        <v>46121.729166666664</v>
      </c>
      <c r="G1956">
        <v>9.5</v>
      </c>
      <c r="H1956" s="9">
        <f t="shared" si="90"/>
        <v>4.9999999999999996E-2</v>
      </c>
      <c r="I1956">
        <v>4.4999999999999998E-2</v>
      </c>
      <c r="K1956">
        <v>5.0000000000000001E-3</v>
      </c>
      <c r="M1956" t="s">
        <v>28</v>
      </c>
      <c r="N1956" t="s">
        <v>29</v>
      </c>
      <c r="P1956" t="s">
        <v>30</v>
      </c>
      <c r="Q1956" t="s">
        <v>31</v>
      </c>
      <c r="R1956">
        <v>82630</v>
      </c>
      <c r="S1956" t="s">
        <v>32</v>
      </c>
      <c r="T1956">
        <v>82611</v>
      </c>
      <c r="U1956" t="s">
        <v>43</v>
      </c>
      <c r="V1956" t="s">
        <v>43</v>
      </c>
      <c r="W1956" t="s">
        <v>170</v>
      </c>
      <c r="X1956" t="s">
        <v>171</v>
      </c>
      <c r="Y1956" s="9">
        <f t="shared" si="91"/>
        <v>5.0000000000000001E-3</v>
      </c>
      <c r="Z1956" t="str">
        <f t="shared" si="92"/>
        <v>สแกนต่าง Cost</v>
      </c>
    </row>
    <row r="1957" spans="1:26" x14ac:dyDescent="0.45">
      <c r="B1957" t="s">
        <v>53</v>
      </c>
      <c r="C1957">
        <v>20332134</v>
      </c>
      <c r="D1957" t="s">
        <v>156</v>
      </c>
      <c r="E1957" s="10">
        <v>46121.333333333336</v>
      </c>
      <c r="F1957" s="10">
        <v>46121.4375</v>
      </c>
      <c r="G1957">
        <v>2.5</v>
      </c>
      <c r="H1957" s="9">
        <f t="shared" si="90"/>
        <v>1.2999999999999999E-2</v>
      </c>
      <c r="I1957">
        <v>1.2999999999999999E-2</v>
      </c>
      <c r="M1957" t="s">
        <v>65</v>
      </c>
      <c r="N1957" t="s">
        <v>29</v>
      </c>
      <c r="P1957" t="s">
        <v>30</v>
      </c>
      <c r="Q1957" t="s">
        <v>31</v>
      </c>
      <c r="R1957">
        <v>82640</v>
      </c>
      <c r="S1957" t="s">
        <v>42</v>
      </c>
      <c r="T1957">
        <v>82630</v>
      </c>
      <c r="U1957" t="s">
        <v>32</v>
      </c>
      <c r="V1957" t="s">
        <v>66</v>
      </c>
      <c r="W1957" t="s">
        <v>44</v>
      </c>
      <c r="X1957" t="s">
        <v>44</v>
      </c>
      <c r="Y1957" s="9">
        <f t="shared" si="91"/>
        <v>0</v>
      </c>
      <c r="Z1957" t="str">
        <f t="shared" si="92"/>
        <v>สแกนต่าง Cost</v>
      </c>
    </row>
    <row r="1958" spans="1:26" x14ac:dyDescent="0.45">
      <c r="B1958" t="s">
        <v>53</v>
      </c>
      <c r="C1958">
        <v>20344532</v>
      </c>
      <c r="D1958" t="s">
        <v>186</v>
      </c>
      <c r="E1958" s="10">
        <v>46121.333333333336</v>
      </c>
      <c r="F1958" s="10">
        <v>46121.729166666664</v>
      </c>
      <c r="G1958">
        <v>9.5</v>
      </c>
      <c r="H1958" s="9">
        <f t="shared" si="90"/>
        <v>5.0000000000000001E-3</v>
      </c>
      <c r="L1958">
        <v>5.0000000000000001E-3</v>
      </c>
      <c r="M1958" t="s">
        <v>255</v>
      </c>
      <c r="N1958" t="s">
        <v>29</v>
      </c>
      <c r="P1958" t="s">
        <v>30</v>
      </c>
      <c r="Q1958" t="s">
        <v>31</v>
      </c>
      <c r="R1958">
        <v>82630</v>
      </c>
      <c r="S1958" t="s">
        <v>32</v>
      </c>
      <c r="T1958">
        <v>82611</v>
      </c>
      <c r="U1958" t="s">
        <v>43</v>
      </c>
      <c r="V1958" t="s">
        <v>43</v>
      </c>
      <c r="W1958" t="s">
        <v>170</v>
      </c>
      <c r="X1958" t="s">
        <v>171</v>
      </c>
      <c r="Y1958" s="9">
        <f t="shared" si="91"/>
        <v>5.0000000000000001E-3</v>
      </c>
      <c r="Z1958" t="str">
        <f t="shared" si="92"/>
        <v>สแกนต่าง Cost</v>
      </c>
    </row>
    <row r="1959" spans="1:26" x14ac:dyDescent="0.45">
      <c r="A1959">
        <v>26197</v>
      </c>
      <c r="B1959" t="s">
        <v>53</v>
      </c>
      <c r="C1959">
        <v>20344551</v>
      </c>
      <c r="D1959" t="s">
        <v>110</v>
      </c>
      <c r="E1959" s="10">
        <v>46121.333333333336</v>
      </c>
      <c r="F1959" s="10">
        <v>46121.82916666667</v>
      </c>
      <c r="G1959">
        <v>11.9</v>
      </c>
      <c r="H1959" s="9">
        <f t="shared" si="90"/>
        <v>6.3E-2</v>
      </c>
      <c r="I1959">
        <v>4.4999999999999998E-2</v>
      </c>
      <c r="K1959">
        <v>1.7999999999999999E-2</v>
      </c>
      <c r="M1959" t="s">
        <v>28</v>
      </c>
      <c r="N1959" t="s">
        <v>40</v>
      </c>
      <c r="O1959" t="s">
        <v>41</v>
      </c>
      <c r="P1959" t="s">
        <v>30</v>
      </c>
      <c r="Q1959" t="s">
        <v>31</v>
      </c>
      <c r="R1959">
        <v>82655</v>
      </c>
      <c r="S1959" t="s">
        <v>59</v>
      </c>
      <c r="T1959">
        <v>82664</v>
      </c>
      <c r="U1959" t="s">
        <v>75</v>
      </c>
      <c r="V1959" t="s">
        <v>75</v>
      </c>
      <c r="W1959" t="s">
        <v>37</v>
      </c>
      <c r="X1959" t="s">
        <v>111</v>
      </c>
      <c r="Y1959" s="9">
        <f t="shared" si="91"/>
        <v>1.7999999999999999E-2</v>
      </c>
      <c r="Z1959" t="str">
        <f t="shared" si="92"/>
        <v>สแกนต่าง Cost</v>
      </c>
    </row>
    <row r="1960" spans="1:26" x14ac:dyDescent="0.45">
      <c r="A1960">
        <v>26198</v>
      </c>
      <c r="B1960" t="s">
        <v>53</v>
      </c>
      <c r="C1960">
        <v>20344552</v>
      </c>
      <c r="D1960" t="s">
        <v>112</v>
      </c>
      <c r="E1960" s="10">
        <v>46121.333333333336</v>
      </c>
      <c r="F1960" s="10">
        <v>46121.82916666667</v>
      </c>
      <c r="G1960">
        <v>11.9</v>
      </c>
      <c r="H1960" s="9">
        <f t="shared" si="90"/>
        <v>6.3E-2</v>
      </c>
      <c r="I1960">
        <v>4.4999999999999998E-2</v>
      </c>
      <c r="K1960">
        <v>1.7999999999999999E-2</v>
      </c>
      <c r="M1960" t="s">
        <v>28</v>
      </c>
      <c r="N1960" t="s">
        <v>40</v>
      </c>
      <c r="O1960" t="s">
        <v>41</v>
      </c>
      <c r="P1960" t="s">
        <v>30</v>
      </c>
      <c r="Q1960" t="s">
        <v>31</v>
      </c>
      <c r="R1960">
        <v>82655</v>
      </c>
      <c r="S1960" t="s">
        <v>59</v>
      </c>
      <c r="T1960">
        <v>82664</v>
      </c>
      <c r="U1960" t="s">
        <v>75</v>
      </c>
      <c r="V1960" t="s">
        <v>75</v>
      </c>
      <c r="W1960" t="s">
        <v>37</v>
      </c>
      <c r="X1960" t="s">
        <v>111</v>
      </c>
      <c r="Y1960" s="9">
        <f t="shared" si="91"/>
        <v>1.7999999999999999E-2</v>
      </c>
      <c r="Z1960" t="str">
        <f t="shared" si="92"/>
        <v>สแกนต่าง Cost</v>
      </c>
    </row>
    <row r="1961" spans="1:26" x14ac:dyDescent="0.45">
      <c r="B1961" t="s">
        <v>53</v>
      </c>
      <c r="C1961">
        <v>20352276</v>
      </c>
      <c r="D1961" t="s">
        <v>187</v>
      </c>
      <c r="E1961" s="10">
        <v>46121.333333333336</v>
      </c>
      <c r="F1961" s="10">
        <v>46121.729166666664</v>
      </c>
      <c r="G1961">
        <v>8.5</v>
      </c>
      <c r="H1961" s="9">
        <f t="shared" si="90"/>
        <v>4.4999999999999998E-2</v>
      </c>
      <c r="I1961">
        <v>4.4999999999999998E-2</v>
      </c>
      <c r="M1961" t="s">
        <v>65</v>
      </c>
      <c r="N1961" t="s">
        <v>29</v>
      </c>
      <c r="P1961" t="s">
        <v>30</v>
      </c>
      <c r="Q1961" t="s">
        <v>31</v>
      </c>
      <c r="R1961">
        <v>82630</v>
      </c>
      <c r="S1961" t="s">
        <v>32</v>
      </c>
      <c r="T1961">
        <v>82611</v>
      </c>
      <c r="U1961" t="s">
        <v>43</v>
      </c>
      <c r="V1961" t="s">
        <v>43</v>
      </c>
      <c r="W1961" t="s">
        <v>170</v>
      </c>
      <c r="X1961" t="s">
        <v>171</v>
      </c>
      <c r="Y1961" s="9">
        <f t="shared" si="91"/>
        <v>0</v>
      </c>
      <c r="Z1961" t="str">
        <f t="shared" si="92"/>
        <v>สแกนต่าง Cost</v>
      </c>
    </row>
    <row r="1962" spans="1:26" x14ac:dyDescent="0.45">
      <c r="A1962">
        <v>26194</v>
      </c>
      <c r="B1962" t="s">
        <v>53</v>
      </c>
      <c r="C1962">
        <v>20372080</v>
      </c>
      <c r="D1962" t="s">
        <v>117</v>
      </c>
      <c r="E1962" s="10">
        <v>46121.333333333336</v>
      </c>
      <c r="F1962" s="10">
        <v>46121.729166666664</v>
      </c>
      <c r="G1962">
        <v>8.5</v>
      </c>
      <c r="H1962" s="9">
        <f t="shared" si="90"/>
        <v>4.4999999999999998E-2</v>
      </c>
      <c r="I1962">
        <v>4.4999999999999998E-2</v>
      </c>
      <c r="M1962" t="s">
        <v>65</v>
      </c>
      <c r="N1962" t="s">
        <v>29</v>
      </c>
      <c r="P1962" t="s">
        <v>30</v>
      </c>
      <c r="Q1962" t="s">
        <v>31</v>
      </c>
      <c r="R1962">
        <v>82400</v>
      </c>
      <c r="S1962" t="s">
        <v>83</v>
      </c>
      <c r="T1962">
        <v>82664</v>
      </c>
      <c r="U1962" t="s">
        <v>75</v>
      </c>
      <c r="V1962" t="s">
        <v>75</v>
      </c>
      <c r="W1962" t="s">
        <v>37</v>
      </c>
      <c r="X1962" t="s">
        <v>92</v>
      </c>
      <c r="Y1962" s="9">
        <f t="shared" si="91"/>
        <v>0</v>
      </c>
      <c r="Z1962" t="str">
        <f t="shared" si="92"/>
        <v>สแกนต่าง Cost</v>
      </c>
    </row>
    <row r="1963" spans="1:26" x14ac:dyDescent="0.45">
      <c r="B1963" t="s">
        <v>26</v>
      </c>
      <c r="C1963">
        <v>20373210</v>
      </c>
      <c r="D1963" t="s">
        <v>206</v>
      </c>
      <c r="E1963" s="10">
        <v>46121.333333333336</v>
      </c>
      <c r="F1963" s="10">
        <v>46121.729166666664</v>
      </c>
      <c r="G1963">
        <v>8.5</v>
      </c>
      <c r="H1963" s="9">
        <f t="shared" si="90"/>
        <v>4.4999999999999998E-2</v>
      </c>
      <c r="I1963">
        <v>4.4999999999999998E-2</v>
      </c>
      <c r="M1963" t="s">
        <v>65</v>
      </c>
      <c r="N1963" t="s">
        <v>29</v>
      </c>
      <c r="P1963" t="s">
        <v>30</v>
      </c>
      <c r="Q1963" t="s">
        <v>31</v>
      </c>
      <c r="R1963">
        <v>82910</v>
      </c>
      <c r="S1963" t="s">
        <v>201</v>
      </c>
      <c r="T1963">
        <v>82611</v>
      </c>
      <c r="U1963" t="s">
        <v>43</v>
      </c>
      <c r="V1963" t="s">
        <v>43</v>
      </c>
      <c r="W1963" t="s">
        <v>148</v>
      </c>
      <c r="X1963" t="s">
        <v>171</v>
      </c>
      <c r="Y1963" s="9">
        <f t="shared" si="91"/>
        <v>0</v>
      </c>
      <c r="Z1963" t="str">
        <f t="shared" si="92"/>
        <v>สแกนต่าง Cost</v>
      </c>
    </row>
    <row r="1964" spans="1:26" x14ac:dyDescent="0.45">
      <c r="A1964">
        <v>26364</v>
      </c>
      <c r="B1964" t="s">
        <v>53</v>
      </c>
      <c r="C1964">
        <v>20377125</v>
      </c>
      <c r="D1964" t="s">
        <v>194</v>
      </c>
      <c r="E1964" s="10">
        <v>46121.333333333336</v>
      </c>
      <c r="F1964" s="10">
        <v>46121.729166666664</v>
      </c>
      <c r="G1964">
        <v>8.5</v>
      </c>
      <c r="H1964" s="9">
        <f t="shared" si="90"/>
        <v>4.4999999999999998E-2</v>
      </c>
      <c r="I1964">
        <v>4.4999999999999998E-2</v>
      </c>
      <c r="M1964" t="s">
        <v>65</v>
      </c>
      <c r="N1964" t="s">
        <v>29</v>
      </c>
      <c r="P1964" t="s">
        <v>30</v>
      </c>
      <c r="Q1964" t="s">
        <v>31</v>
      </c>
      <c r="R1964">
        <v>82301</v>
      </c>
      <c r="S1964" t="s">
        <v>79</v>
      </c>
      <c r="T1964">
        <v>82308</v>
      </c>
      <c r="U1964" t="s">
        <v>69</v>
      </c>
      <c r="V1964" t="s">
        <v>69</v>
      </c>
      <c r="W1964" t="s">
        <v>69</v>
      </c>
      <c r="X1964" t="s">
        <v>95</v>
      </c>
      <c r="Y1964" s="9">
        <f t="shared" si="91"/>
        <v>0</v>
      </c>
      <c r="Z1964" t="str">
        <f t="shared" si="92"/>
        <v>สแกนต่าง Cost</v>
      </c>
    </row>
    <row r="1965" spans="1:26" x14ac:dyDescent="0.45">
      <c r="A1965">
        <v>26195</v>
      </c>
      <c r="B1965" t="s">
        <v>53</v>
      </c>
      <c r="C1965">
        <v>20382170</v>
      </c>
      <c r="D1965" t="s">
        <v>118</v>
      </c>
      <c r="E1965" s="10">
        <v>46121.333333333336</v>
      </c>
      <c r="F1965" s="10">
        <v>46121.729166666664</v>
      </c>
      <c r="G1965">
        <v>8.5</v>
      </c>
      <c r="H1965" s="9">
        <f t="shared" si="90"/>
        <v>4.4999999999999998E-2</v>
      </c>
      <c r="I1965">
        <v>4.4999999999999998E-2</v>
      </c>
      <c r="M1965" t="s">
        <v>65</v>
      </c>
      <c r="N1965" t="s">
        <v>29</v>
      </c>
      <c r="P1965" t="s">
        <v>30</v>
      </c>
      <c r="Q1965" t="s">
        <v>31</v>
      </c>
      <c r="R1965">
        <v>82400</v>
      </c>
      <c r="S1965" t="s">
        <v>83</v>
      </c>
      <c r="T1965">
        <v>82664</v>
      </c>
      <c r="U1965" t="s">
        <v>75</v>
      </c>
      <c r="V1965" t="s">
        <v>75</v>
      </c>
      <c r="W1965" t="s">
        <v>37</v>
      </c>
      <c r="X1965" t="s">
        <v>92</v>
      </c>
      <c r="Y1965" s="9">
        <f t="shared" si="91"/>
        <v>0</v>
      </c>
      <c r="Z1965" t="str">
        <f t="shared" si="92"/>
        <v>สแกนต่าง Cost</v>
      </c>
    </row>
    <row r="1966" spans="1:26" x14ac:dyDescent="0.45">
      <c r="A1966">
        <v>26196</v>
      </c>
      <c r="B1966" t="s">
        <v>53</v>
      </c>
      <c r="C1966">
        <v>20382171</v>
      </c>
      <c r="D1966" t="s">
        <v>119</v>
      </c>
      <c r="E1966" s="10">
        <v>46121.333333333336</v>
      </c>
      <c r="F1966" s="10">
        <v>46121.729166666664</v>
      </c>
      <c r="G1966">
        <v>8.5</v>
      </c>
      <c r="H1966" s="9">
        <f t="shared" si="90"/>
        <v>4.4999999999999998E-2</v>
      </c>
      <c r="I1966">
        <v>4.4999999999999998E-2</v>
      </c>
      <c r="M1966" t="s">
        <v>65</v>
      </c>
      <c r="N1966" t="s">
        <v>29</v>
      </c>
      <c r="P1966" t="s">
        <v>30</v>
      </c>
      <c r="Q1966" t="s">
        <v>31</v>
      </c>
      <c r="R1966">
        <v>82400</v>
      </c>
      <c r="S1966" t="s">
        <v>83</v>
      </c>
      <c r="T1966">
        <v>82664</v>
      </c>
      <c r="U1966" t="s">
        <v>75</v>
      </c>
      <c r="V1966" t="s">
        <v>75</v>
      </c>
      <c r="W1966" t="s">
        <v>37</v>
      </c>
      <c r="X1966" t="s">
        <v>92</v>
      </c>
      <c r="Y1966" s="9">
        <f t="shared" si="91"/>
        <v>0</v>
      </c>
      <c r="Z1966" t="str">
        <f t="shared" si="92"/>
        <v>สแกนต่าง Cost</v>
      </c>
    </row>
    <row r="1967" spans="1:26" x14ac:dyDescent="0.45">
      <c r="A1967">
        <v>26661</v>
      </c>
      <c r="B1967" t="s">
        <v>53</v>
      </c>
      <c r="C1967">
        <v>20284710</v>
      </c>
      <c r="D1967" t="s">
        <v>182</v>
      </c>
      <c r="E1967" s="10">
        <v>46121.331944444442</v>
      </c>
      <c r="F1967" s="10">
        <v>46121.418749999997</v>
      </c>
      <c r="G1967">
        <v>2.0833333333333335</v>
      </c>
      <c r="H1967" s="9">
        <f t="shared" si="90"/>
        <v>1.0999999999999999E-2</v>
      </c>
      <c r="K1967">
        <v>1.0999999999999999E-2</v>
      </c>
      <c r="M1967" t="s">
        <v>28</v>
      </c>
      <c r="N1967" t="s">
        <v>40</v>
      </c>
      <c r="O1967" t="s">
        <v>140</v>
      </c>
      <c r="P1967" t="s">
        <v>30</v>
      </c>
      <c r="Q1967" t="s">
        <v>31</v>
      </c>
      <c r="R1967">
        <v>82210</v>
      </c>
      <c r="S1967" t="s">
        <v>184</v>
      </c>
      <c r="T1967">
        <v>82308</v>
      </c>
      <c r="U1967" t="s">
        <v>69</v>
      </c>
      <c r="V1967" t="s">
        <v>69</v>
      </c>
      <c r="W1967" t="s">
        <v>69</v>
      </c>
      <c r="X1967" t="s">
        <v>57</v>
      </c>
      <c r="Y1967" s="9">
        <f t="shared" si="91"/>
        <v>1.0999999999999999E-2</v>
      </c>
      <c r="Z1967" t="str">
        <f t="shared" si="92"/>
        <v>สแกนต่าง Cost</v>
      </c>
    </row>
    <row r="1968" spans="1:26" x14ac:dyDescent="0.45">
      <c r="A1968">
        <v>26191</v>
      </c>
      <c r="B1968" t="s">
        <v>53</v>
      </c>
      <c r="C1968">
        <v>20030839</v>
      </c>
      <c r="D1968" t="s">
        <v>235</v>
      </c>
      <c r="E1968" s="10">
        <v>46121.329861111109</v>
      </c>
      <c r="F1968" s="10">
        <v>46121.82916666667</v>
      </c>
      <c r="G1968">
        <v>11.983333333333333</v>
      </c>
      <c r="H1968" s="9">
        <f t="shared" si="90"/>
        <v>6.4000000000000001E-2</v>
      </c>
      <c r="I1968">
        <v>4.4999999999999998E-2</v>
      </c>
      <c r="K1968">
        <v>1.9E-2</v>
      </c>
      <c r="M1968" t="s">
        <v>28</v>
      </c>
      <c r="N1968" t="s">
        <v>40</v>
      </c>
      <c r="O1968" t="s">
        <v>41</v>
      </c>
      <c r="P1968" t="s">
        <v>30</v>
      </c>
      <c r="Q1968" t="s">
        <v>31</v>
      </c>
      <c r="R1968">
        <v>82658</v>
      </c>
      <c r="S1968" t="s">
        <v>33</v>
      </c>
      <c r="T1968">
        <v>82664</v>
      </c>
      <c r="U1968" t="s">
        <v>75</v>
      </c>
      <c r="V1968" t="s">
        <v>75</v>
      </c>
      <c r="W1968" t="s">
        <v>37</v>
      </c>
      <c r="X1968" t="s">
        <v>111</v>
      </c>
      <c r="Y1968" s="9">
        <f t="shared" si="91"/>
        <v>1.9E-2</v>
      </c>
      <c r="Z1968" t="str">
        <f t="shared" si="92"/>
        <v>สแกนต่าง Cost</v>
      </c>
    </row>
    <row r="1969" spans="1:26" x14ac:dyDescent="0.45">
      <c r="A1969">
        <v>26192</v>
      </c>
      <c r="B1969" t="s">
        <v>53</v>
      </c>
      <c r="C1969">
        <v>20198835</v>
      </c>
      <c r="D1969" t="s">
        <v>129</v>
      </c>
      <c r="E1969" s="10">
        <v>46121.329861111109</v>
      </c>
      <c r="F1969" s="10">
        <v>46121.82916666667</v>
      </c>
      <c r="G1969">
        <v>11.983333333333333</v>
      </c>
      <c r="H1969" s="9">
        <f t="shared" si="90"/>
        <v>6.4000000000000001E-2</v>
      </c>
      <c r="I1969">
        <v>4.4999999999999998E-2</v>
      </c>
      <c r="K1969">
        <v>1.9E-2</v>
      </c>
      <c r="M1969" t="s">
        <v>28</v>
      </c>
      <c r="N1969" t="s">
        <v>40</v>
      </c>
      <c r="O1969" t="s">
        <v>41</v>
      </c>
      <c r="P1969" t="s">
        <v>30</v>
      </c>
      <c r="Q1969" t="s">
        <v>31</v>
      </c>
      <c r="R1969">
        <v>82658</v>
      </c>
      <c r="S1969" t="s">
        <v>33</v>
      </c>
      <c r="T1969">
        <v>82664</v>
      </c>
      <c r="U1969" t="s">
        <v>75</v>
      </c>
      <c r="V1969" t="s">
        <v>75</v>
      </c>
      <c r="W1969" t="s">
        <v>37</v>
      </c>
      <c r="X1969" t="s">
        <v>111</v>
      </c>
      <c r="Y1969" s="9">
        <f t="shared" si="91"/>
        <v>1.9E-2</v>
      </c>
      <c r="Z1969" t="str">
        <f t="shared" si="92"/>
        <v>สแกนต่าง Cost</v>
      </c>
    </row>
    <row r="1970" spans="1:26" x14ac:dyDescent="0.45">
      <c r="A1970">
        <v>26193</v>
      </c>
      <c r="B1970" t="s">
        <v>53</v>
      </c>
      <c r="C1970">
        <v>20372709</v>
      </c>
      <c r="D1970" t="s">
        <v>130</v>
      </c>
      <c r="E1970" s="10">
        <v>46121.329861111109</v>
      </c>
      <c r="F1970" s="10">
        <v>46121.82916666667</v>
      </c>
      <c r="G1970">
        <v>11.983333333333333</v>
      </c>
      <c r="H1970" s="9">
        <f t="shared" si="90"/>
        <v>6.4000000000000001E-2</v>
      </c>
      <c r="I1970">
        <v>4.4999999999999998E-2</v>
      </c>
      <c r="K1970">
        <v>1.9E-2</v>
      </c>
      <c r="M1970" t="s">
        <v>28</v>
      </c>
      <c r="N1970" t="s">
        <v>40</v>
      </c>
      <c r="O1970" t="s">
        <v>41</v>
      </c>
      <c r="P1970" t="s">
        <v>30</v>
      </c>
      <c r="Q1970" t="s">
        <v>31</v>
      </c>
      <c r="R1970">
        <v>82658</v>
      </c>
      <c r="S1970" t="s">
        <v>33</v>
      </c>
      <c r="T1970">
        <v>82664</v>
      </c>
      <c r="U1970" t="s">
        <v>75</v>
      </c>
      <c r="V1970" t="s">
        <v>75</v>
      </c>
      <c r="W1970" t="s">
        <v>37</v>
      </c>
      <c r="X1970" t="s">
        <v>111</v>
      </c>
      <c r="Y1970" s="9">
        <f t="shared" si="91"/>
        <v>1.9E-2</v>
      </c>
      <c r="Z1970" t="str">
        <f t="shared" si="92"/>
        <v>สแกนต่าง Cost</v>
      </c>
    </row>
    <row r="1971" spans="1:26" x14ac:dyDescent="0.45">
      <c r="A1971">
        <v>26190</v>
      </c>
      <c r="B1971" t="s">
        <v>53</v>
      </c>
      <c r="C1971">
        <v>20162724</v>
      </c>
      <c r="D1971" t="s">
        <v>128</v>
      </c>
      <c r="E1971" s="10">
        <v>46121.32916666667</v>
      </c>
      <c r="F1971" s="10">
        <v>46121.82916666667</v>
      </c>
      <c r="G1971">
        <v>12</v>
      </c>
      <c r="H1971" s="9">
        <f t="shared" si="90"/>
        <v>6.4000000000000001E-2</v>
      </c>
      <c r="I1971">
        <v>4.4999999999999998E-2</v>
      </c>
      <c r="K1971">
        <v>1.9E-2</v>
      </c>
      <c r="M1971" t="s">
        <v>28</v>
      </c>
      <c r="N1971" t="s">
        <v>40</v>
      </c>
      <c r="O1971" t="s">
        <v>41</v>
      </c>
      <c r="P1971" t="s">
        <v>30</v>
      </c>
      <c r="Q1971" t="s">
        <v>31</v>
      </c>
      <c r="R1971">
        <v>82658</v>
      </c>
      <c r="S1971" t="s">
        <v>33</v>
      </c>
      <c r="T1971">
        <v>82664</v>
      </c>
      <c r="U1971" t="s">
        <v>75</v>
      </c>
      <c r="V1971" t="s">
        <v>75</v>
      </c>
      <c r="W1971" t="s">
        <v>37</v>
      </c>
      <c r="X1971" t="s">
        <v>111</v>
      </c>
      <c r="Y1971" s="9">
        <f t="shared" si="91"/>
        <v>1.9E-2</v>
      </c>
      <c r="Z1971" t="str">
        <f t="shared" si="92"/>
        <v>สแกนต่าง Cost</v>
      </c>
    </row>
    <row r="1972" spans="1:26" x14ac:dyDescent="0.45">
      <c r="A1972">
        <v>26189</v>
      </c>
      <c r="B1972" t="s">
        <v>53</v>
      </c>
      <c r="C1972">
        <v>20267288</v>
      </c>
      <c r="D1972" t="s">
        <v>127</v>
      </c>
      <c r="E1972" s="10">
        <v>46121.32916666667</v>
      </c>
      <c r="F1972" s="10">
        <v>46121.729166666664</v>
      </c>
      <c r="G1972">
        <v>8.6</v>
      </c>
      <c r="H1972" s="9">
        <f t="shared" si="90"/>
        <v>4.5999999999999999E-2</v>
      </c>
      <c r="I1972">
        <v>4.5999999999999999E-2</v>
      </c>
      <c r="M1972" t="s">
        <v>65</v>
      </c>
      <c r="N1972" t="s">
        <v>29</v>
      </c>
      <c r="P1972" t="s">
        <v>30</v>
      </c>
      <c r="Q1972" t="s">
        <v>31</v>
      </c>
      <c r="R1972">
        <v>82409</v>
      </c>
      <c r="S1972" t="s">
        <v>74</v>
      </c>
      <c r="T1972">
        <v>82664</v>
      </c>
      <c r="U1972" t="s">
        <v>75</v>
      </c>
      <c r="V1972" t="s">
        <v>75</v>
      </c>
      <c r="W1972" t="s">
        <v>74</v>
      </c>
      <c r="X1972" t="s">
        <v>74</v>
      </c>
      <c r="Y1972" s="9">
        <f t="shared" si="91"/>
        <v>0</v>
      </c>
      <c r="Z1972" t="str">
        <f t="shared" si="92"/>
        <v>สแกนต่าง Cost</v>
      </c>
    </row>
    <row r="1973" spans="1:26" x14ac:dyDescent="0.45">
      <c r="A1973">
        <v>26362</v>
      </c>
      <c r="B1973" t="s">
        <v>53</v>
      </c>
      <c r="C1973">
        <v>20038911</v>
      </c>
      <c r="D1973" t="s">
        <v>240</v>
      </c>
      <c r="E1973" s="10">
        <v>46121.299305555556</v>
      </c>
      <c r="F1973" s="10">
        <v>46121.333333333336</v>
      </c>
      <c r="G1973">
        <v>0.81666666666666665</v>
      </c>
      <c r="H1973" s="9">
        <f t="shared" si="90"/>
        <v>4.0000000000000001E-3</v>
      </c>
      <c r="K1973">
        <v>4.0000000000000001E-3</v>
      </c>
      <c r="M1973" t="s">
        <v>28</v>
      </c>
      <c r="N1973" t="s">
        <v>40</v>
      </c>
      <c r="O1973" t="s">
        <v>241</v>
      </c>
      <c r="P1973" t="s">
        <v>30</v>
      </c>
      <c r="Q1973" t="s">
        <v>31</v>
      </c>
      <c r="R1973">
        <v>82301</v>
      </c>
      <c r="S1973" t="s">
        <v>79</v>
      </c>
      <c r="T1973">
        <v>82308</v>
      </c>
      <c r="U1973" t="s">
        <v>69</v>
      </c>
      <c r="V1973" t="s">
        <v>69</v>
      </c>
      <c r="W1973" t="s">
        <v>69</v>
      </c>
      <c r="X1973" t="s">
        <v>95</v>
      </c>
      <c r="Y1973" s="9">
        <f t="shared" si="91"/>
        <v>4.0000000000000001E-3</v>
      </c>
      <c r="Z1973" t="str">
        <f t="shared" si="92"/>
        <v>สแกนต่าง Cost</v>
      </c>
    </row>
    <row r="1974" spans="1:26" x14ac:dyDescent="0.45">
      <c r="A1974">
        <v>26361</v>
      </c>
      <c r="B1974" t="s">
        <v>53</v>
      </c>
      <c r="C1974">
        <v>20017430</v>
      </c>
      <c r="D1974" t="s">
        <v>94</v>
      </c>
      <c r="E1974" s="10">
        <v>46121.295138888891</v>
      </c>
      <c r="F1974" s="10">
        <v>46121.729166666664</v>
      </c>
      <c r="G1974">
        <v>10.416666666666666</v>
      </c>
      <c r="H1974" s="9">
        <f t="shared" si="90"/>
        <v>5.5E-2</v>
      </c>
      <c r="I1974">
        <v>4.4999999999999998E-2</v>
      </c>
      <c r="K1974">
        <v>0.01</v>
      </c>
      <c r="M1974" t="s">
        <v>28</v>
      </c>
      <c r="N1974" t="s">
        <v>40</v>
      </c>
      <c r="O1974" t="s">
        <v>241</v>
      </c>
      <c r="P1974" t="s">
        <v>30</v>
      </c>
      <c r="Q1974" t="s">
        <v>31</v>
      </c>
      <c r="R1974">
        <v>82301</v>
      </c>
      <c r="S1974" t="s">
        <v>79</v>
      </c>
      <c r="T1974">
        <v>82308</v>
      </c>
      <c r="U1974" t="s">
        <v>69</v>
      </c>
      <c r="V1974" t="s">
        <v>69</v>
      </c>
      <c r="W1974" t="s">
        <v>69</v>
      </c>
      <c r="X1974" t="s">
        <v>95</v>
      </c>
      <c r="Y1974" s="9">
        <f t="shared" si="91"/>
        <v>0.01</v>
      </c>
      <c r="Z1974" t="str">
        <f t="shared" si="92"/>
        <v>สแกนต่าง Cost</v>
      </c>
    </row>
    <row r="1975" spans="1:26" x14ac:dyDescent="0.45">
      <c r="A1975">
        <v>26138</v>
      </c>
      <c r="B1975" t="s">
        <v>53</v>
      </c>
      <c r="C1975">
        <v>20276269</v>
      </c>
      <c r="D1975" t="s">
        <v>134</v>
      </c>
      <c r="E1975" s="10">
        <v>46121.291666666664</v>
      </c>
      <c r="F1975" s="10">
        <v>46121.6875</v>
      </c>
      <c r="G1975">
        <v>8.5</v>
      </c>
      <c r="H1975" s="9">
        <f t="shared" si="90"/>
        <v>4.4999999999999998E-2</v>
      </c>
      <c r="I1975">
        <v>4.4999999999999998E-2</v>
      </c>
      <c r="M1975" t="s">
        <v>65</v>
      </c>
      <c r="N1975" t="s">
        <v>29</v>
      </c>
      <c r="P1975" t="s">
        <v>30</v>
      </c>
      <c r="Q1975" t="s">
        <v>31</v>
      </c>
      <c r="R1975">
        <v>82308</v>
      </c>
      <c r="S1975" t="s">
        <v>69</v>
      </c>
      <c r="T1975">
        <v>82301</v>
      </c>
      <c r="U1975" t="s">
        <v>79</v>
      </c>
      <c r="V1975" t="s">
        <v>79</v>
      </c>
      <c r="W1975" t="s">
        <v>80</v>
      </c>
      <c r="X1975" t="s">
        <v>135</v>
      </c>
      <c r="Y1975" s="9">
        <f t="shared" si="91"/>
        <v>0</v>
      </c>
      <c r="Z1975" t="str">
        <f t="shared" si="92"/>
        <v>สแกนต่าง Cost</v>
      </c>
    </row>
    <row r="1976" spans="1:26" x14ac:dyDescent="0.45">
      <c r="A1976">
        <v>26188</v>
      </c>
      <c r="B1976" t="s">
        <v>53</v>
      </c>
      <c r="C1976">
        <v>20214280</v>
      </c>
      <c r="D1976" t="s">
        <v>136</v>
      </c>
      <c r="E1976" s="10">
        <v>46121.247916666667</v>
      </c>
      <c r="F1976" s="10">
        <v>46121.729166666664</v>
      </c>
      <c r="G1976">
        <v>11.55</v>
      </c>
      <c r="H1976" s="9">
        <f t="shared" si="90"/>
        <v>6.0999999999999999E-2</v>
      </c>
      <c r="I1976">
        <v>4.4999999999999998E-2</v>
      </c>
      <c r="K1976">
        <v>1.6E-2</v>
      </c>
      <c r="M1976" t="s">
        <v>28</v>
      </c>
      <c r="N1976" t="s">
        <v>40</v>
      </c>
      <c r="O1976" t="s">
        <v>41</v>
      </c>
      <c r="P1976" t="s">
        <v>30</v>
      </c>
      <c r="Q1976" t="s">
        <v>31</v>
      </c>
      <c r="R1976">
        <v>82415</v>
      </c>
      <c r="S1976" t="s">
        <v>137</v>
      </c>
      <c r="T1976">
        <v>82664</v>
      </c>
      <c r="U1976" t="s">
        <v>75</v>
      </c>
      <c r="V1976" t="s">
        <v>75</v>
      </c>
      <c r="W1976" t="s">
        <v>74</v>
      </c>
      <c r="X1976" t="s">
        <v>74</v>
      </c>
      <c r="Y1976" s="9">
        <f t="shared" si="91"/>
        <v>1.6E-2</v>
      </c>
      <c r="Z1976" t="str">
        <f t="shared" si="92"/>
        <v>สแกนต่าง Cost</v>
      </c>
    </row>
    <row r="1977" spans="1:26" x14ac:dyDescent="0.45">
      <c r="B1977" t="s">
        <v>53</v>
      </c>
      <c r="C1977">
        <v>20287913</v>
      </c>
      <c r="D1977" t="s">
        <v>329</v>
      </c>
      <c r="E1977" s="10">
        <v>46121.041666666664</v>
      </c>
      <c r="F1977" s="10">
        <v>46121.229166666664</v>
      </c>
      <c r="G1977">
        <v>4.5</v>
      </c>
      <c r="H1977" s="9">
        <f t="shared" si="90"/>
        <v>2.4E-2</v>
      </c>
      <c r="K1977">
        <v>2.4E-2</v>
      </c>
      <c r="M1977" t="s">
        <v>28</v>
      </c>
      <c r="N1977" t="s">
        <v>29</v>
      </c>
      <c r="P1977" t="s">
        <v>30</v>
      </c>
      <c r="Q1977" t="s">
        <v>31</v>
      </c>
      <c r="R1977">
        <v>82640</v>
      </c>
      <c r="S1977" t="s">
        <v>42</v>
      </c>
      <c r="T1977">
        <v>82630</v>
      </c>
      <c r="U1977" t="s">
        <v>32</v>
      </c>
      <c r="V1977" t="s">
        <v>66</v>
      </c>
      <c r="W1977" t="s">
        <v>44</v>
      </c>
      <c r="X1977" t="s">
        <v>44</v>
      </c>
      <c r="Y1977" s="9">
        <f t="shared" si="91"/>
        <v>2.4E-2</v>
      </c>
      <c r="Z1977" t="str">
        <f t="shared" si="92"/>
        <v>สแกนต่าง Cost</v>
      </c>
    </row>
    <row r="1978" spans="1:26" x14ac:dyDescent="0.45">
      <c r="B1978" t="s">
        <v>53</v>
      </c>
      <c r="C1978">
        <v>20287913</v>
      </c>
      <c r="D1978" t="s">
        <v>329</v>
      </c>
      <c r="E1978" s="10">
        <v>46120.833333333336</v>
      </c>
      <c r="F1978" s="10">
        <v>46121</v>
      </c>
      <c r="G1978">
        <v>4</v>
      </c>
      <c r="H1978" s="9">
        <f t="shared" si="90"/>
        <v>2.1000000000000001E-2</v>
      </c>
      <c r="I1978">
        <v>2.1000000000000001E-2</v>
      </c>
      <c r="M1978" t="s">
        <v>65</v>
      </c>
      <c r="N1978" t="s">
        <v>29</v>
      </c>
      <c r="P1978" t="s">
        <v>30</v>
      </c>
      <c r="Q1978" t="s">
        <v>31</v>
      </c>
      <c r="R1978">
        <v>82640</v>
      </c>
      <c r="S1978" t="s">
        <v>42</v>
      </c>
      <c r="T1978">
        <v>82630</v>
      </c>
      <c r="U1978" t="s">
        <v>32</v>
      </c>
      <c r="V1978" t="s">
        <v>66</v>
      </c>
      <c r="W1978" t="s">
        <v>44</v>
      </c>
      <c r="X1978" t="s">
        <v>44</v>
      </c>
      <c r="Y1978" s="9">
        <f t="shared" si="91"/>
        <v>0</v>
      </c>
      <c r="Z1978" t="str">
        <f t="shared" si="92"/>
        <v>สแกนต่าง Cost</v>
      </c>
    </row>
    <row r="1979" spans="1:26" x14ac:dyDescent="0.45">
      <c r="A1979">
        <v>26103</v>
      </c>
      <c r="B1979" t="s">
        <v>53</v>
      </c>
      <c r="C1979">
        <v>20002861</v>
      </c>
      <c r="D1979" t="s">
        <v>322</v>
      </c>
      <c r="E1979" s="10">
        <v>46120.800000000003</v>
      </c>
      <c r="F1979" s="10">
        <v>46120.988194444442</v>
      </c>
      <c r="G1979">
        <v>4.5166666666666666</v>
      </c>
      <c r="H1979" s="9">
        <f t="shared" si="90"/>
        <v>2.4E-2</v>
      </c>
      <c r="K1979">
        <v>2.4E-2</v>
      </c>
      <c r="M1979" t="s">
        <v>28</v>
      </c>
      <c r="N1979" t="s">
        <v>29</v>
      </c>
      <c r="P1979" t="s">
        <v>30</v>
      </c>
      <c r="Q1979" t="s">
        <v>31</v>
      </c>
      <c r="R1979">
        <v>82409</v>
      </c>
      <c r="S1979" t="s">
        <v>74</v>
      </c>
      <c r="T1979">
        <v>82664</v>
      </c>
      <c r="U1979" t="s">
        <v>75</v>
      </c>
      <c r="V1979" t="s">
        <v>75</v>
      </c>
      <c r="W1979" t="s">
        <v>74</v>
      </c>
      <c r="X1979" t="s">
        <v>74</v>
      </c>
      <c r="Y1979" s="9">
        <f t="shared" si="91"/>
        <v>2.4E-2</v>
      </c>
      <c r="Z1979" t="str">
        <f t="shared" si="92"/>
        <v>สแกนต่าง Cost</v>
      </c>
    </row>
    <row r="1980" spans="1:26" x14ac:dyDescent="0.45">
      <c r="A1980">
        <v>26102</v>
      </c>
      <c r="B1980" t="s">
        <v>53</v>
      </c>
      <c r="C1980">
        <v>20238364</v>
      </c>
      <c r="D1980" t="s">
        <v>198</v>
      </c>
      <c r="E1980" s="10">
        <v>46120.754861111112</v>
      </c>
      <c r="F1980" s="10">
        <v>46120.884722222225</v>
      </c>
      <c r="G1980">
        <v>3.1166666666666667</v>
      </c>
      <c r="H1980" s="9">
        <f t="shared" si="90"/>
        <v>1.7000000000000001E-2</v>
      </c>
      <c r="K1980">
        <v>1.7000000000000001E-2</v>
      </c>
      <c r="M1980" t="s">
        <v>28</v>
      </c>
      <c r="N1980" t="s">
        <v>40</v>
      </c>
      <c r="O1980" t="s">
        <v>208</v>
      </c>
      <c r="P1980" t="s">
        <v>30</v>
      </c>
      <c r="Q1980" t="s">
        <v>31</v>
      </c>
      <c r="R1980">
        <v>82306</v>
      </c>
      <c r="S1980" t="s">
        <v>55</v>
      </c>
      <c r="T1980">
        <v>82303</v>
      </c>
      <c r="U1980" t="s">
        <v>56</v>
      </c>
      <c r="V1980" t="s">
        <v>56</v>
      </c>
      <c r="W1980" t="s">
        <v>56</v>
      </c>
      <c r="X1980" t="s">
        <v>57</v>
      </c>
      <c r="Y1980" s="9">
        <f t="shared" si="91"/>
        <v>1.7000000000000001E-2</v>
      </c>
      <c r="Z1980" t="str">
        <f t="shared" si="92"/>
        <v>สแกนต่าง Cost</v>
      </c>
    </row>
    <row r="1981" spans="1:26" x14ac:dyDescent="0.45">
      <c r="B1981" t="s">
        <v>26</v>
      </c>
      <c r="C1981">
        <v>20403261</v>
      </c>
      <c r="E1981" s="10">
        <v>46120.73541666667</v>
      </c>
      <c r="F1981" s="10">
        <v>46120.826388888891</v>
      </c>
      <c r="G1981">
        <v>2.1833333333333331</v>
      </c>
      <c r="H1981" s="9">
        <f t="shared" si="90"/>
        <v>1.2E-2</v>
      </c>
      <c r="I1981">
        <v>1.2E-2</v>
      </c>
      <c r="M1981" t="s">
        <v>48</v>
      </c>
      <c r="N1981" t="s">
        <v>48</v>
      </c>
      <c r="P1981" t="s">
        <v>30</v>
      </c>
      <c r="R1981">
        <v>82680</v>
      </c>
      <c r="T1981">
        <v>82655</v>
      </c>
      <c r="U1981" t="s">
        <v>59</v>
      </c>
      <c r="V1981" t="s">
        <v>59</v>
      </c>
      <c r="W1981" t="s">
        <v>51</v>
      </c>
      <c r="X1981" t="s">
        <v>52</v>
      </c>
      <c r="Y1981" s="9">
        <f t="shared" si="91"/>
        <v>0</v>
      </c>
      <c r="Z1981" t="str">
        <f t="shared" si="92"/>
        <v>สแกนต่าง Cost</v>
      </c>
    </row>
    <row r="1982" spans="1:26" x14ac:dyDescent="0.45">
      <c r="A1982">
        <v>26186</v>
      </c>
      <c r="B1982" t="s">
        <v>53</v>
      </c>
      <c r="C1982">
        <v>20233956</v>
      </c>
      <c r="D1982" t="s">
        <v>219</v>
      </c>
      <c r="E1982" s="10">
        <v>46120.734722222223</v>
      </c>
      <c r="F1982" s="10">
        <v>46120.826388888891</v>
      </c>
      <c r="G1982">
        <v>2.2000000000000002</v>
      </c>
      <c r="H1982" s="9">
        <f t="shared" si="90"/>
        <v>1.2E-2</v>
      </c>
      <c r="K1982">
        <v>1.2E-2</v>
      </c>
      <c r="M1982" t="s">
        <v>28</v>
      </c>
      <c r="N1982" t="s">
        <v>40</v>
      </c>
      <c r="O1982" t="s">
        <v>41</v>
      </c>
      <c r="P1982" t="s">
        <v>30</v>
      </c>
      <c r="Q1982" t="s">
        <v>31</v>
      </c>
      <c r="R1982">
        <v>82680</v>
      </c>
      <c r="S1982" t="s">
        <v>50</v>
      </c>
      <c r="T1982">
        <v>82658</v>
      </c>
      <c r="U1982" t="s">
        <v>33</v>
      </c>
      <c r="V1982" t="s">
        <v>33</v>
      </c>
      <c r="W1982" t="s">
        <v>51</v>
      </c>
      <c r="X1982" t="s">
        <v>52</v>
      </c>
      <c r="Y1982" s="9">
        <f t="shared" si="91"/>
        <v>1.2E-2</v>
      </c>
      <c r="Z1982" t="str">
        <f t="shared" si="92"/>
        <v>สแกนต่าง Cost</v>
      </c>
    </row>
    <row r="1983" spans="1:26" x14ac:dyDescent="0.45">
      <c r="B1983" t="s">
        <v>26</v>
      </c>
      <c r="C1983">
        <v>20403254</v>
      </c>
      <c r="D1983" t="s">
        <v>126</v>
      </c>
      <c r="E1983" s="10">
        <v>46120.734722222223</v>
      </c>
      <c r="F1983" s="10">
        <v>46120.82916666667</v>
      </c>
      <c r="G1983">
        <v>2.2666666666666666</v>
      </c>
      <c r="H1983" s="9">
        <f t="shared" si="90"/>
        <v>1.2E-2</v>
      </c>
      <c r="I1983">
        <v>1.2E-2</v>
      </c>
      <c r="M1983" t="s">
        <v>48</v>
      </c>
      <c r="N1983" t="s">
        <v>48</v>
      </c>
      <c r="P1983" t="s">
        <v>30</v>
      </c>
      <c r="Q1983" t="s">
        <v>31</v>
      </c>
      <c r="R1983">
        <v>82400</v>
      </c>
      <c r="S1983" t="s">
        <v>83</v>
      </c>
      <c r="T1983">
        <v>82611</v>
      </c>
      <c r="U1983" t="s">
        <v>43</v>
      </c>
      <c r="V1983" t="s">
        <v>43</v>
      </c>
      <c r="W1983" t="s">
        <v>42</v>
      </c>
      <c r="X1983" t="s">
        <v>38</v>
      </c>
      <c r="Y1983" s="9">
        <f t="shared" si="91"/>
        <v>0</v>
      </c>
      <c r="Z1983" t="str">
        <f t="shared" si="92"/>
        <v>สแกนต่าง Cost</v>
      </c>
    </row>
    <row r="1984" spans="1:26" x14ac:dyDescent="0.45">
      <c r="B1984" t="s">
        <v>26</v>
      </c>
      <c r="C1984">
        <v>20403445</v>
      </c>
      <c r="E1984" s="10">
        <v>46120.73333333333</v>
      </c>
      <c r="F1984" s="10">
        <v>46120.826388888891</v>
      </c>
      <c r="G1984">
        <v>2.2333333333333334</v>
      </c>
      <c r="H1984" s="9">
        <f t="shared" si="90"/>
        <v>1.2E-2</v>
      </c>
      <c r="K1984">
        <v>1.2E-2</v>
      </c>
      <c r="M1984" t="s">
        <v>28</v>
      </c>
      <c r="N1984" t="s">
        <v>40</v>
      </c>
      <c r="O1984" t="s">
        <v>41</v>
      </c>
      <c r="P1984" t="s">
        <v>30</v>
      </c>
      <c r="R1984">
        <v>82680</v>
      </c>
      <c r="T1984">
        <v>82658</v>
      </c>
      <c r="U1984" t="s">
        <v>33</v>
      </c>
      <c r="V1984" t="s">
        <v>33</v>
      </c>
      <c r="W1984" t="s">
        <v>51</v>
      </c>
      <c r="X1984" t="s">
        <v>52</v>
      </c>
      <c r="Y1984" s="9">
        <f t="shared" si="91"/>
        <v>1.2E-2</v>
      </c>
      <c r="Z1984" t="str">
        <f t="shared" si="92"/>
        <v>สแกนต่าง Cost</v>
      </c>
    </row>
    <row r="1985" spans="1:26" x14ac:dyDescent="0.45">
      <c r="B1985" t="s">
        <v>26</v>
      </c>
      <c r="C1985">
        <v>20198826</v>
      </c>
      <c r="D1985" t="s">
        <v>49</v>
      </c>
      <c r="E1985" s="10">
        <v>46120.731249999997</v>
      </c>
      <c r="F1985" s="10">
        <v>46120.826388888891</v>
      </c>
      <c r="G1985">
        <v>2.2833333333333332</v>
      </c>
      <c r="H1985" s="9">
        <f t="shared" si="90"/>
        <v>1.2E-2</v>
      </c>
      <c r="K1985">
        <v>1.2E-2</v>
      </c>
      <c r="M1985" t="s">
        <v>28</v>
      </c>
      <c r="N1985" t="s">
        <v>40</v>
      </c>
      <c r="O1985" t="s">
        <v>41</v>
      </c>
      <c r="P1985" t="s">
        <v>30</v>
      </c>
      <c r="Q1985" t="s">
        <v>31</v>
      </c>
      <c r="R1985">
        <v>82680</v>
      </c>
      <c r="S1985" t="s">
        <v>50</v>
      </c>
      <c r="T1985">
        <v>82655</v>
      </c>
      <c r="U1985" t="s">
        <v>59</v>
      </c>
      <c r="V1985" t="s">
        <v>59</v>
      </c>
      <c r="W1985" t="s">
        <v>51</v>
      </c>
      <c r="X1985" t="s">
        <v>52</v>
      </c>
      <c r="Y1985" s="9">
        <f t="shared" si="91"/>
        <v>1.2E-2</v>
      </c>
      <c r="Z1985" t="str">
        <f t="shared" si="92"/>
        <v>สแกนต่าง Cost</v>
      </c>
    </row>
    <row r="1986" spans="1:26" x14ac:dyDescent="0.45">
      <c r="B1986" t="s">
        <v>53</v>
      </c>
      <c r="C1986">
        <v>20023373</v>
      </c>
      <c r="D1986" t="s">
        <v>97</v>
      </c>
      <c r="E1986" s="10">
        <v>46120.730555555558</v>
      </c>
      <c r="F1986" s="10">
        <v>46120.826388888891</v>
      </c>
      <c r="G1986">
        <v>2.2999999999999998</v>
      </c>
      <c r="H1986" s="9">
        <f t="shared" si="90"/>
        <v>1.2E-2</v>
      </c>
      <c r="K1986">
        <v>1.2E-2</v>
      </c>
      <c r="M1986" t="s">
        <v>28</v>
      </c>
      <c r="N1986" t="s">
        <v>40</v>
      </c>
      <c r="O1986" t="s">
        <v>41</v>
      </c>
      <c r="P1986" t="s">
        <v>30</v>
      </c>
      <c r="Q1986" t="s">
        <v>31</v>
      </c>
      <c r="R1986">
        <v>82630</v>
      </c>
      <c r="S1986" t="s">
        <v>32</v>
      </c>
      <c r="T1986">
        <v>82611</v>
      </c>
      <c r="U1986" t="s">
        <v>43</v>
      </c>
      <c r="V1986" t="s">
        <v>43</v>
      </c>
      <c r="W1986" t="s">
        <v>148</v>
      </c>
      <c r="X1986" t="s">
        <v>171</v>
      </c>
      <c r="Y1986" s="9">
        <f t="shared" si="91"/>
        <v>1.2E-2</v>
      </c>
      <c r="Z1986" t="str">
        <f t="shared" si="92"/>
        <v>สแกนต่าง Cost</v>
      </c>
    </row>
    <row r="1987" spans="1:26" x14ac:dyDescent="0.45">
      <c r="B1987" t="s">
        <v>26</v>
      </c>
      <c r="C1987">
        <v>20047023</v>
      </c>
      <c r="D1987" t="s">
        <v>271</v>
      </c>
      <c r="E1987" s="10">
        <v>46120.730555555558</v>
      </c>
      <c r="F1987" s="10">
        <v>46120.826388888891</v>
      </c>
      <c r="G1987">
        <v>2.2999999999999998</v>
      </c>
      <c r="H1987" s="9">
        <f t="shared" ref="H1987:H2050" si="93">SUM(I1987:L1987)</f>
        <v>1.2E-2</v>
      </c>
      <c r="I1987">
        <v>1.2E-2</v>
      </c>
      <c r="M1987" t="s">
        <v>28</v>
      </c>
      <c r="N1987" t="s">
        <v>40</v>
      </c>
      <c r="O1987" t="s">
        <v>41</v>
      </c>
      <c r="P1987" t="s">
        <v>30</v>
      </c>
      <c r="Q1987" t="s">
        <v>31</v>
      </c>
      <c r="R1987">
        <v>82607</v>
      </c>
      <c r="S1987" t="s">
        <v>168</v>
      </c>
      <c r="T1987">
        <v>82611</v>
      </c>
      <c r="U1987" t="s">
        <v>43</v>
      </c>
      <c r="V1987" t="s">
        <v>43</v>
      </c>
      <c r="W1987" t="s">
        <v>148</v>
      </c>
      <c r="X1987" t="s">
        <v>171</v>
      </c>
      <c r="Y1987" s="9">
        <f t="shared" ref="Y1987:Y2050" si="94">SUM(J1987:L1987)</f>
        <v>0</v>
      </c>
      <c r="Z1987" t="str">
        <f t="shared" ref="Z1987:Z2050" si="95">IF(R1987=T1987,"สแกน Cost ตัวเอง","สแกนต่าง Cost")</f>
        <v>สแกนต่าง Cost</v>
      </c>
    </row>
    <row r="1988" spans="1:26" x14ac:dyDescent="0.45">
      <c r="B1988" t="s">
        <v>53</v>
      </c>
      <c r="C1988">
        <v>20169714</v>
      </c>
      <c r="D1988" t="s">
        <v>103</v>
      </c>
      <c r="E1988" s="10">
        <v>46120.730555555558</v>
      </c>
      <c r="F1988" s="10">
        <v>46120.826388888891</v>
      </c>
      <c r="G1988">
        <v>2.2999999999999998</v>
      </c>
      <c r="H1988" s="9">
        <f t="shared" si="93"/>
        <v>1.2E-2</v>
      </c>
      <c r="K1988">
        <v>1.2E-2</v>
      </c>
      <c r="M1988" t="s">
        <v>28</v>
      </c>
      <c r="N1988" t="s">
        <v>40</v>
      </c>
      <c r="O1988" t="s">
        <v>41</v>
      </c>
      <c r="P1988" t="s">
        <v>30</v>
      </c>
      <c r="Q1988" t="s">
        <v>31</v>
      </c>
      <c r="R1988">
        <v>82630</v>
      </c>
      <c r="S1988" t="s">
        <v>32</v>
      </c>
      <c r="T1988">
        <v>82611</v>
      </c>
      <c r="U1988" t="s">
        <v>43</v>
      </c>
      <c r="V1988" t="s">
        <v>43</v>
      </c>
      <c r="W1988" t="s">
        <v>148</v>
      </c>
      <c r="X1988" t="s">
        <v>171</v>
      </c>
      <c r="Y1988" s="9">
        <f t="shared" si="94"/>
        <v>1.2E-2</v>
      </c>
      <c r="Z1988" t="str">
        <f t="shared" si="95"/>
        <v>สแกนต่าง Cost</v>
      </c>
    </row>
    <row r="1989" spans="1:26" x14ac:dyDescent="0.45">
      <c r="B1989" t="s">
        <v>53</v>
      </c>
      <c r="C1989">
        <v>20338047</v>
      </c>
      <c r="D1989" t="s">
        <v>273</v>
      </c>
      <c r="E1989" s="10">
        <v>46120.730555555558</v>
      </c>
      <c r="F1989" s="10">
        <v>46120.826388888891</v>
      </c>
      <c r="G1989">
        <v>2.2999999999999998</v>
      </c>
      <c r="H1989" s="9">
        <f t="shared" si="93"/>
        <v>1.2E-2</v>
      </c>
      <c r="K1989">
        <v>1.2E-2</v>
      </c>
      <c r="M1989" t="s">
        <v>28</v>
      </c>
      <c r="N1989" t="s">
        <v>40</v>
      </c>
      <c r="O1989" t="s">
        <v>41</v>
      </c>
      <c r="P1989" t="s">
        <v>30</v>
      </c>
      <c r="Q1989" t="s">
        <v>31</v>
      </c>
      <c r="R1989">
        <v>82630</v>
      </c>
      <c r="S1989" t="s">
        <v>32</v>
      </c>
      <c r="T1989">
        <v>82611</v>
      </c>
      <c r="U1989" t="s">
        <v>43</v>
      </c>
      <c r="V1989" t="s">
        <v>43</v>
      </c>
      <c r="W1989" t="s">
        <v>148</v>
      </c>
      <c r="X1989" t="s">
        <v>171</v>
      </c>
      <c r="Y1989" s="9">
        <f t="shared" si="94"/>
        <v>1.2E-2</v>
      </c>
      <c r="Z1989" t="str">
        <f t="shared" si="95"/>
        <v>สแกนต่าง Cost</v>
      </c>
    </row>
    <row r="1990" spans="1:26" x14ac:dyDescent="0.45">
      <c r="B1990" t="s">
        <v>53</v>
      </c>
      <c r="C1990">
        <v>20363688</v>
      </c>
      <c r="D1990" t="s">
        <v>274</v>
      </c>
      <c r="E1990" s="10">
        <v>46120.730555555558</v>
      </c>
      <c r="F1990" s="10">
        <v>46120.826388888891</v>
      </c>
      <c r="G1990">
        <v>2.2999999999999998</v>
      </c>
      <c r="H1990" s="9">
        <f t="shared" si="93"/>
        <v>1.2E-2</v>
      </c>
      <c r="K1990">
        <v>1.2E-2</v>
      </c>
      <c r="M1990" t="s">
        <v>28</v>
      </c>
      <c r="N1990" t="s">
        <v>40</v>
      </c>
      <c r="O1990" t="s">
        <v>41</v>
      </c>
      <c r="P1990" t="s">
        <v>30</v>
      </c>
      <c r="Q1990" t="s">
        <v>31</v>
      </c>
      <c r="R1990">
        <v>82630</v>
      </c>
      <c r="S1990" t="s">
        <v>32</v>
      </c>
      <c r="T1990">
        <v>82611</v>
      </c>
      <c r="U1990" t="s">
        <v>43</v>
      </c>
      <c r="V1990" t="s">
        <v>43</v>
      </c>
      <c r="W1990" t="s">
        <v>148</v>
      </c>
      <c r="X1990" t="s">
        <v>171</v>
      </c>
      <c r="Y1990" s="9">
        <f t="shared" si="94"/>
        <v>1.2E-2</v>
      </c>
      <c r="Z1990" t="str">
        <f t="shared" si="95"/>
        <v>สแกนต่าง Cost</v>
      </c>
    </row>
    <row r="1991" spans="1:26" x14ac:dyDescent="0.45">
      <c r="B1991" t="s">
        <v>53</v>
      </c>
      <c r="C1991">
        <v>20163802</v>
      </c>
      <c r="D1991" t="s">
        <v>272</v>
      </c>
      <c r="E1991" s="10">
        <v>46120.729861111111</v>
      </c>
      <c r="F1991" s="10">
        <v>46120.826388888891</v>
      </c>
      <c r="G1991">
        <v>2.3166666666666669</v>
      </c>
      <c r="H1991" s="9">
        <f t="shared" si="93"/>
        <v>1.2E-2</v>
      </c>
      <c r="K1991">
        <v>1.2E-2</v>
      </c>
      <c r="M1991" t="s">
        <v>28</v>
      </c>
      <c r="N1991" t="s">
        <v>40</v>
      </c>
      <c r="O1991" t="s">
        <v>41</v>
      </c>
      <c r="P1991" t="s">
        <v>30</v>
      </c>
      <c r="Q1991" t="s">
        <v>31</v>
      </c>
      <c r="R1991">
        <v>82630</v>
      </c>
      <c r="S1991" t="s">
        <v>32</v>
      </c>
      <c r="T1991">
        <v>82611</v>
      </c>
      <c r="U1991" t="s">
        <v>43</v>
      </c>
      <c r="V1991" t="s">
        <v>43</v>
      </c>
      <c r="W1991" t="s">
        <v>148</v>
      </c>
      <c r="X1991" t="s">
        <v>171</v>
      </c>
      <c r="Y1991" s="9">
        <f t="shared" si="94"/>
        <v>1.2E-2</v>
      </c>
      <c r="Z1991" t="str">
        <f t="shared" si="95"/>
        <v>สแกนต่าง Cost</v>
      </c>
    </row>
    <row r="1992" spans="1:26" x14ac:dyDescent="0.45">
      <c r="A1992">
        <v>26101</v>
      </c>
      <c r="B1992" t="s">
        <v>53</v>
      </c>
      <c r="C1992">
        <v>20014916</v>
      </c>
      <c r="D1992" t="s">
        <v>167</v>
      </c>
      <c r="E1992" s="10">
        <v>46120.729166666664</v>
      </c>
      <c r="F1992" s="10">
        <v>46120.833333333336</v>
      </c>
      <c r="G1992">
        <v>2.5</v>
      </c>
      <c r="H1992" s="9">
        <f t="shared" si="93"/>
        <v>1.2999999999999999E-2</v>
      </c>
      <c r="I1992">
        <v>1.2999999999999999E-2</v>
      </c>
      <c r="M1992" t="s">
        <v>28</v>
      </c>
      <c r="N1992" t="s">
        <v>40</v>
      </c>
      <c r="O1992" t="s">
        <v>41</v>
      </c>
      <c r="P1992" t="s">
        <v>133</v>
      </c>
      <c r="Q1992" t="s">
        <v>31</v>
      </c>
      <c r="R1992">
        <v>82607</v>
      </c>
      <c r="S1992" t="s">
        <v>168</v>
      </c>
      <c r="T1992">
        <v>82640</v>
      </c>
      <c r="U1992" t="s">
        <v>42</v>
      </c>
      <c r="V1992" t="s">
        <v>70</v>
      </c>
      <c r="W1992" t="s">
        <v>47</v>
      </c>
      <c r="X1992" t="s">
        <v>95</v>
      </c>
      <c r="Y1992" s="9">
        <f t="shared" si="94"/>
        <v>0</v>
      </c>
      <c r="Z1992" t="str">
        <f t="shared" si="95"/>
        <v>สแกนต่าง Cost</v>
      </c>
    </row>
    <row r="1993" spans="1:26" x14ac:dyDescent="0.45">
      <c r="B1993" t="s">
        <v>53</v>
      </c>
      <c r="C1993">
        <v>20018899</v>
      </c>
      <c r="D1993" t="s">
        <v>64</v>
      </c>
      <c r="E1993" s="10">
        <v>46120.729166666664</v>
      </c>
      <c r="F1993" s="10">
        <v>46120.833333333336</v>
      </c>
      <c r="G1993">
        <v>2.5</v>
      </c>
      <c r="H1993" s="9">
        <f t="shared" si="93"/>
        <v>1.2999999999999999E-2</v>
      </c>
      <c r="K1993">
        <v>1.2999999999999999E-2</v>
      </c>
      <c r="M1993" t="s">
        <v>28</v>
      </c>
      <c r="N1993" t="s">
        <v>29</v>
      </c>
      <c r="P1993" t="s">
        <v>30</v>
      </c>
      <c r="Q1993" t="s">
        <v>31</v>
      </c>
      <c r="R1993">
        <v>82640</v>
      </c>
      <c r="S1993" t="s">
        <v>42</v>
      </c>
      <c r="T1993">
        <v>82652</v>
      </c>
      <c r="U1993" t="s">
        <v>46</v>
      </c>
      <c r="V1993" t="s">
        <v>66</v>
      </c>
      <c r="W1993" t="s">
        <v>37</v>
      </c>
      <c r="X1993" t="s">
        <v>34</v>
      </c>
      <c r="Y1993" s="9">
        <f t="shared" si="94"/>
        <v>1.2999999999999999E-2</v>
      </c>
      <c r="Z1993" t="str">
        <f t="shared" si="95"/>
        <v>สแกนต่าง Cost</v>
      </c>
    </row>
    <row r="1994" spans="1:26" x14ac:dyDescent="0.45">
      <c r="A1994">
        <v>26100</v>
      </c>
      <c r="B1994" t="s">
        <v>53</v>
      </c>
      <c r="C1994">
        <v>20030773</v>
      </c>
      <c r="D1994" t="s">
        <v>357</v>
      </c>
      <c r="E1994" s="10">
        <v>46120.729166666664</v>
      </c>
      <c r="F1994" s="10">
        <v>46120.833333333336</v>
      </c>
      <c r="G1994">
        <v>2.5</v>
      </c>
      <c r="H1994" s="9">
        <f t="shared" si="93"/>
        <v>1.2999999999999999E-2</v>
      </c>
      <c r="K1994">
        <v>1.2999999999999999E-2</v>
      </c>
      <c r="M1994" t="s">
        <v>28</v>
      </c>
      <c r="N1994" t="s">
        <v>40</v>
      </c>
      <c r="O1994" t="s">
        <v>41</v>
      </c>
      <c r="P1994" t="s">
        <v>133</v>
      </c>
      <c r="Q1994" t="s">
        <v>31</v>
      </c>
      <c r="R1994">
        <v>82640</v>
      </c>
      <c r="S1994" t="s">
        <v>42</v>
      </c>
      <c r="T1994">
        <v>82611</v>
      </c>
      <c r="U1994" t="s">
        <v>43</v>
      </c>
      <c r="V1994" t="s">
        <v>43</v>
      </c>
      <c r="W1994" t="s">
        <v>47</v>
      </c>
      <c r="X1994" t="s">
        <v>192</v>
      </c>
      <c r="Y1994" s="9">
        <f t="shared" si="94"/>
        <v>1.2999999999999999E-2</v>
      </c>
      <c r="Z1994" t="str">
        <f t="shared" si="95"/>
        <v>สแกนต่าง Cost</v>
      </c>
    </row>
    <row r="1995" spans="1:26" x14ac:dyDescent="0.45">
      <c r="A1995">
        <v>26099</v>
      </c>
      <c r="B1995" t="s">
        <v>53</v>
      </c>
      <c r="C1995">
        <v>20075031</v>
      </c>
      <c r="D1995" t="s">
        <v>191</v>
      </c>
      <c r="E1995" s="10">
        <v>46120.729166666664</v>
      </c>
      <c r="F1995" s="10">
        <v>46120.833333333336</v>
      </c>
      <c r="G1995">
        <v>2.5</v>
      </c>
      <c r="H1995" s="9">
        <f t="shared" si="93"/>
        <v>1.2999999999999999E-2</v>
      </c>
      <c r="K1995">
        <v>1.2999999999999999E-2</v>
      </c>
      <c r="M1995" t="s">
        <v>28</v>
      </c>
      <c r="N1995" t="s">
        <v>40</v>
      </c>
      <c r="O1995" t="s">
        <v>41</v>
      </c>
      <c r="P1995" t="s">
        <v>30</v>
      </c>
      <c r="Q1995" t="s">
        <v>31</v>
      </c>
      <c r="R1995">
        <v>82640</v>
      </c>
      <c r="S1995" t="s">
        <v>42</v>
      </c>
      <c r="T1995">
        <v>82611</v>
      </c>
      <c r="U1995" t="s">
        <v>43</v>
      </c>
      <c r="V1995" t="s">
        <v>43</v>
      </c>
      <c r="W1995" t="s">
        <v>47</v>
      </c>
      <c r="X1995" t="s">
        <v>192</v>
      </c>
      <c r="Y1995" s="9">
        <f t="shared" si="94"/>
        <v>1.2999999999999999E-2</v>
      </c>
      <c r="Z1995" t="str">
        <f t="shared" si="95"/>
        <v>สแกนต่าง Cost</v>
      </c>
    </row>
    <row r="1996" spans="1:26" x14ac:dyDescent="0.45">
      <c r="B1996" t="s">
        <v>53</v>
      </c>
      <c r="C1996">
        <v>20220646</v>
      </c>
      <c r="D1996" t="s">
        <v>67</v>
      </c>
      <c r="E1996" s="10">
        <v>46120.729166666664</v>
      </c>
      <c r="F1996" s="10">
        <v>46120.833333333336</v>
      </c>
      <c r="G1996">
        <v>2.5</v>
      </c>
      <c r="H1996" s="9">
        <f t="shared" si="93"/>
        <v>1.2999999999999999E-2</v>
      </c>
      <c r="K1996">
        <v>1.2999999999999999E-2</v>
      </c>
      <c r="M1996" t="s">
        <v>28</v>
      </c>
      <c r="N1996" t="s">
        <v>40</v>
      </c>
      <c r="O1996" t="s">
        <v>41</v>
      </c>
      <c r="P1996" t="s">
        <v>30</v>
      </c>
      <c r="Q1996" t="s">
        <v>31</v>
      </c>
      <c r="R1996">
        <v>82640</v>
      </c>
      <c r="S1996" t="s">
        <v>42</v>
      </c>
      <c r="T1996">
        <v>82652</v>
      </c>
      <c r="U1996" t="s">
        <v>46</v>
      </c>
      <c r="V1996" t="s">
        <v>66</v>
      </c>
      <c r="W1996" t="s">
        <v>37</v>
      </c>
      <c r="X1996" t="s">
        <v>34</v>
      </c>
      <c r="Y1996" s="9">
        <f t="shared" si="94"/>
        <v>1.2999999999999999E-2</v>
      </c>
      <c r="Z1996" t="str">
        <f t="shared" si="95"/>
        <v>สแกนต่าง Cost</v>
      </c>
    </row>
    <row r="1997" spans="1:26" x14ac:dyDescent="0.45">
      <c r="B1997" t="s">
        <v>53</v>
      </c>
      <c r="C1997">
        <v>20280722</v>
      </c>
      <c r="D1997" t="s">
        <v>342</v>
      </c>
      <c r="E1997" s="10">
        <v>46120.729166666664</v>
      </c>
      <c r="F1997" s="10">
        <v>46120.833333333336</v>
      </c>
      <c r="G1997">
        <v>2.5</v>
      </c>
      <c r="H1997" s="9">
        <f t="shared" si="93"/>
        <v>1.2999999999999999E-2</v>
      </c>
      <c r="K1997">
        <v>1.2999999999999999E-2</v>
      </c>
      <c r="M1997" t="s">
        <v>28</v>
      </c>
      <c r="N1997" t="s">
        <v>40</v>
      </c>
      <c r="O1997" t="s">
        <v>41</v>
      </c>
      <c r="P1997" t="s">
        <v>30</v>
      </c>
      <c r="Q1997" t="s">
        <v>31</v>
      </c>
      <c r="R1997">
        <v>82640</v>
      </c>
      <c r="S1997" t="s">
        <v>42</v>
      </c>
      <c r="T1997">
        <v>82652</v>
      </c>
      <c r="U1997" t="s">
        <v>46</v>
      </c>
      <c r="V1997" t="s">
        <v>66</v>
      </c>
      <c r="W1997" t="s">
        <v>37</v>
      </c>
      <c r="X1997" t="s">
        <v>34</v>
      </c>
      <c r="Y1997" s="9">
        <f t="shared" si="94"/>
        <v>1.2999999999999999E-2</v>
      </c>
      <c r="Z1997" t="str">
        <f t="shared" si="95"/>
        <v>สแกนต่าง Cost</v>
      </c>
    </row>
    <row r="1998" spans="1:26" x14ac:dyDescent="0.45">
      <c r="A1998">
        <v>26184</v>
      </c>
      <c r="B1998" t="s">
        <v>53</v>
      </c>
      <c r="C1998">
        <v>20038749</v>
      </c>
      <c r="D1998" t="s">
        <v>218</v>
      </c>
      <c r="E1998" s="10">
        <v>46120.728472222225</v>
      </c>
      <c r="F1998" s="10">
        <v>46120.826388888891</v>
      </c>
      <c r="G1998">
        <v>2.35</v>
      </c>
      <c r="H1998" s="9">
        <f t="shared" si="93"/>
        <v>1.2999999999999999E-2</v>
      </c>
      <c r="K1998">
        <v>1.2999999999999999E-2</v>
      </c>
      <c r="M1998" t="s">
        <v>28</v>
      </c>
      <c r="N1998" t="s">
        <v>40</v>
      </c>
      <c r="O1998" t="s">
        <v>41</v>
      </c>
      <c r="P1998" t="s">
        <v>30</v>
      </c>
      <c r="Q1998" t="s">
        <v>31</v>
      </c>
      <c r="R1998">
        <v>82680</v>
      </c>
      <c r="S1998" t="s">
        <v>50</v>
      </c>
      <c r="T1998">
        <v>82658</v>
      </c>
      <c r="U1998" t="s">
        <v>33</v>
      </c>
      <c r="V1998" t="s">
        <v>33</v>
      </c>
      <c r="W1998" t="s">
        <v>51</v>
      </c>
      <c r="X1998" t="s">
        <v>52</v>
      </c>
      <c r="Y1998" s="9">
        <f t="shared" si="94"/>
        <v>1.2999999999999999E-2</v>
      </c>
      <c r="Z1998" t="str">
        <f t="shared" si="95"/>
        <v>สแกนต่าง Cost</v>
      </c>
    </row>
    <row r="1999" spans="1:26" x14ac:dyDescent="0.45">
      <c r="A1999">
        <v>26185</v>
      </c>
      <c r="B1999" t="s">
        <v>53</v>
      </c>
      <c r="C1999">
        <v>20344534</v>
      </c>
      <c r="D1999" t="s">
        <v>278</v>
      </c>
      <c r="E1999" s="10">
        <v>46120.728472222225</v>
      </c>
      <c r="F1999" s="10">
        <v>46120.826388888891</v>
      </c>
      <c r="G1999">
        <v>2.35</v>
      </c>
      <c r="H1999" s="9">
        <f t="shared" si="93"/>
        <v>1.2999999999999999E-2</v>
      </c>
      <c r="K1999">
        <v>1.2999999999999999E-2</v>
      </c>
      <c r="M1999" t="s">
        <v>28</v>
      </c>
      <c r="N1999" t="s">
        <v>40</v>
      </c>
      <c r="O1999" t="s">
        <v>41</v>
      </c>
      <c r="P1999" t="s">
        <v>30</v>
      </c>
      <c r="Q1999" t="s">
        <v>31</v>
      </c>
      <c r="R1999">
        <v>82680</v>
      </c>
      <c r="S1999" t="s">
        <v>50</v>
      </c>
      <c r="T1999">
        <v>82658</v>
      </c>
      <c r="U1999" t="s">
        <v>33</v>
      </c>
      <c r="V1999" t="s">
        <v>33</v>
      </c>
      <c r="W1999" t="s">
        <v>51</v>
      </c>
      <c r="X1999" t="s">
        <v>52</v>
      </c>
      <c r="Y1999" s="9">
        <f t="shared" si="94"/>
        <v>1.2999999999999999E-2</v>
      </c>
      <c r="Z1999" t="str">
        <f t="shared" si="95"/>
        <v>สแกนต่าง Cost</v>
      </c>
    </row>
    <row r="2000" spans="1:26" x14ac:dyDescent="0.45">
      <c r="B2000" t="s">
        <v>53</v>
      </c>
      <c r="C2000">
        <v>20019647</v>
      </c>
      <c r="D2000" t="s">
        <v>152</v>
      </c>
      <c r="E2000" s="10">
        <v>46120.726388888892</v>
      </c>
      <c r="F2000" s="10">
        <v>46120.82708333333</v>
      </c>
      <c r="G2000">
        <v>2.4166666666666665</v>
      </c>
      <c r="H2000" s="9">
        <f t="shared" si="93"/>
        <v>1.2999999999999999E-2</v>
      </c>
      <c r="K2000">
        <v>1.2999999999999999E-2</v>
      </c>
      <c r="M2000" t="s">
        <v>28</v>
      </c>
      <c r="N2000" t="s">
        <v>40</v>
      </c>
      <c r="O2000" t="s">
        <v>41</v>
      </c>
      <c r="P2000" t="s">
        <v>30</v>
      </c>
      <c r="Q2000" t="s">
        <v>31</v>
      </c>
      <c r="R2000">
        <v>82630</v>
      </c>
      <c r="S2000" t="s">
        <v>32</v>
      </c>
      <c r="T2000">
        <v>82611</v>
      </c>
      <c r="U2000" t="s">
        <v>43</v>
      </c>
      <c r="V2000" t="s">
        <v>43</v>
      </c>
      <c r="W2000" t="s">
        <v>148</v>
      </c>
      <c r="X2000" t="s">
        <v>171</v>
      </c>
      <c r="Y2000" s="9">
        <f t="shared" si="94"/>
        <v>1.2999999999999999E-2</v>
      </c>
      <c r="Z2000" t="str">
        <f t="shared" si="95"/>
        <v>สแกนต่าง Cost</v>
      </c>
    </row>
    <row r="2001" spans="1:26" x14ac:dyDescent="0.45">
      <c r="A2001">
        <v>26502</v>
      </c>
      <c r="B2001" t="s">
        <v>53</v>
      </c>
      <c r="C2001">
        <v>20186595</v>
      </c>
      <c r="D2001" t="s">
        <v>226</v>
      </c>
      <c r="E2001" s="10">
        <v>46120.726388888892</v>
      </c>
      <c r="F2001" s="10">
        <v>46120.827777777777</v>
      </c>
      <c r="G2001">
        <v>2.4333333333333331</v>
      </c>
      <c r="H2001" s="9">
        <f t="shared" si="93"/>
        <v>1.2999999999999999E-2</v>
      </c>
      <c r="K2001">
        <v>1.2999999999999999E-2</v>
      </c>
      <c r="M2001" t="s">
        <v>28</v>
      </c>
      <c r="N2001" t="s">
        <v>40</v>
      </c>
      <c r="O2001" t="s">
        <v>41</v>
      </c>
      <c r="P2001" t="s">
        <v>30</v>
      </c>
      <c r="Q2001" t="s">
        <v>31</v>
      </c>
      <c r="R2001">
        <v>82611</v>
      </c>
      <c r="S2001" t="s">
        <v>43</v>
      </c>
      <c r="T2001">
        <v>82640</v>
      </c>
      <c r="U2001" t="s">
        <v>42</v>
      </c>
      <c r="V2001" t="s">
        <v>70</v>
      </c>
      <c r="W2001" t="s">
        <v>71</v>
      </c>
      <c r="X2001" t="s">
        <v>72</v>
      </c>
      <c r="Y2001" s="9">
        <f t="shared" si="94"/>
        <v>1.2999999999999999E-2</v>
      </c>
      <c r="Z2001" t="str">
        <f t="shared" si="95"/>
        <v>สแกนต่าง Cost</v>
      </c>
    </row>
    <row r="2002" spans="1:26" x14ac:dyDescent="0.45">
      <c r="B2002" t="s">
        <v>53</v>
      </c>
      <c r="C2002">
        <v>20034535</v>
      </c>
      <c r="D2002" t="s">
        <v>99</v>
      </c>
      <c r="E2002" s="10">
        <v>46120.723611111112</v>
      </c>
      <c r="F2002" s="10">
        <v>46120.82708333333</v>
      </c>
      <c r="G2002">
        <v>2.4833333333333334</v>
      </c>
      <c r="H2002" s="9">
        <f t="shared" si="93"/>
        <v>1.2999999999999999E-2</v>
      </c>
      <c r="K2002">
        <v>1.2999999999999999E-2</v>
      </c>
      <c r="M2002" t="s">
        <v>28</v>
      </c>
      <c r="N2002" t="s">
        <v>40</v>
      </c>
      <c r="O2002" t="s">
        <v>41</v>
      </c>
      <c r="P2002" t="s">
        <v>30</v>
      </c>
      <c r="Q2002" t="s">
        <v>31</v>
      </c>
      <c r="R2002">
        <v>82630</v>
      </c>
      <c r="S2002" t="s">
        <v>32</v>
      </c>
      <c r="T2002">
        <v>82611</v>
      </c>
      <c r="U2002" t="s">
        <v>43</v>
      </c>
      <c r="V2002" t="s">
        <v>43</v>
      </c>
      <c r="W2002" t="s">
        <v>148</v>
      </c>
      <c r="X2002" t="s">
        <v>171</v>
      </c>
      <c r="Y2002" s="9">
        <f t="shared" si="94"/>
        <v>1.2999999999999999E-2</v>
      </c>
      <c r="Z2002" t="str">
        <f t="shared" si="95"/>
        <v>สแกนต่าง Cost</v>
      </c>
    </row>
    <row r="2003" spans="1:26" x14ac:dyDescent="0.45">
      <c r="B2003" t="s">
        <v>53</v>
      </c>
      <c r="C2003">
        <v>20074652</v>
      </c>
      <c r="D2003" t="s">
        <v>162</v>
      </c>
      <c r="E2003" s="10">
        <v>46120.723611111112</v>
      </c>
      <c r="F2003" s="10">
        <v>46120.82708333333</v>
      </c>
      <c r="G2003">
        <v>2.4833333333333334</v>
      </c>
      <c r="H2003" s="9">
        <f t="shared" si="93"/>
        <v>1.2999999999999999E-2</v>
      </c>
      <c r="K2003">
        <v>1.2999999999999999E-2</v>
      </c>
      <c r="M2003" t="s">
        <v>28</v>
      </c>
      <c r="N2003" t="s">
        <v>40</v>
      </c>
      <c r="O2003" t="s">
        <v>41</v>
      </c>
      <c r="P2003" t="s">
        <v>30</v>
      </c>
      <c r="Q2003" t="s">
        <v>31</v>
      </c>
      <c r="R2003">
        <v>82630</v>
      </c>
      <c r="S2003" t="s">
        <v>32</v>
      </c>
      <c r="T2003">
        <v>82611</v>
      </c>
      <c r="U2003" t="s">
        <v>43</v>
      </c>
      <c r="V2003" t="s">
        <v>43</v>
      </c>
      <c r="W2003" t="s">
        <v>148</v>
      </c>
      <c r="X2003" t="s">
        <v>171</v>
      </c>
      <c r="Y2003" s="9">
        <f t="shared" si="94"/>
        <v>1.2999999999999999E-2</v>
      </c>
      <c r="Z2003" t="str">
        <f t="shared" si="95"/>
        <v>สแกนต่าง Cost</v>
      </c>
    </row>
    <row r="2004" spans="1:26" x14ac:dyDescent="0.45">
      <c r="B2004" t="s">
        <v>53</v>
      </c>
      <c r="C2004">
        <v>20310532</v>
      </c>
      <c r="D2004" t="s">
        <v>61</v>
      </c>
      <c r="E2004" s="10">
        <v>46120.723611111112</v>
      </c>
      <c r="F2004" s="10">
        <v>46120.854166666664</v>
      </c>
      <c r="G2004">
        <v>3.1333333333333333</v>
      </c>
      <c r="H2004" s="9">
        <f t="shared" si="93"/>
        <v>1.7000000000000001E-2</v>
      </c>
      <c r="K2004">
        <v>1.7000000000000001E-2</v>
      </c>
      <c r="M2004" t="s">
        <v>28</v>
      </c>
      <c r="N2004" t="s">
        <v>40</v>
      </c>
      <c r="O2004" t="s">
        <v>190</v>
      </c>
      <c r="P2004" t="s">
        <v>30</v>
      </c>
      <c r="Q2004" t="s">
        <v>31</v>
      </c>
      <c r="R2004">
        <v>82640</v>
      </c>
      <c r="S2004" t="s">
        <v>42</v>
      </c>
      <c r="T2004">
        <v>82630</v>
      </c>
      <c r="U2004" t="s">
        <v>32</v>
      </c>
      <c r="V2004" t="s">
        <v>70</v>
      </c>
      <c r="W2004" t="s">
        <v>44</v>
      </c>
      <c r="X2004" t="s">
        <v>44</v>
      </c>
      <c r="Y2004" s="9">
        <f t="shared" si="94"/>
        <v>1.7000000000000001E-2</v>
      </c>
      <c r="Z2004" t="str">
        <f t="shared" si="95"/>
        <v>สแกนต่าง Cost</v>
      </c>
    </row>
    <row r="2005" spans="1:26" x14ac:dyDescent="0.45">
      <c r="B2005" t="s">
        <v>53</v>
      </c>
      <c r="C2005">
        <v>20332134</v>
      </c>
      <c r="D2005" t="s">
        <v>156</v>
      </c>
      <c r="E2005" s="10">
        <v>46120.723611111112</v>
      </c>
      <c r="F2005" s="10">
        <v>46120.840277777781</v>
      </c>
      <c r="G2005">
        <v>2.8</v>
      </c>
      <c r="H2005" s="9">
        <f t="shared" si="93"/>
        <v>1.4999999999999999E-2</v>
      </c>
      <c r="K2005">
        <v>1.4999999999999999E-2</v>
      </c>
      <c r="M2005" t="s">
        <v>28</v>
      </c>
      <c r="N2005" t="s">
        <v>40</v>
      </c>
      <c r="O2005" t="s">
        <v>41</v>
      </c>
      <c r="P2005" t="s">
        <v>30</v>
      </c>
      <c r="Q2005" t="s">
        <v>31</v>
      </c>
      <c r="R2005">
        <v>82640</v>
      </c>
      <c r="S2005" t="s">
        <v>42</v>
      </c>
      <c r="T2005">
        <v>82630</v>
      </c>
      <c r="U2005" t="s">
        <v>32</v>
      </c>
      <c r="V2005" t="s">
        <v>70</v>
      </c>
      <c r="W2005" t="s">
        <v>44</v>
      </c>
      <c r="X2005" t="s">
        <v>44</v>
      </c>
      <c r="Y2005" s="9">
        <f t="shared" si="94"/>
        <v>1.4999999999999999E-2</v>
      </c>
      <c r="Z2005" t="str">
        <f t="shared" si="95"/>
        <v>สแกนต่าง Cost</v>
      </c>
    </row>
    <row r="2006" spans="1:26" x14ac:dyDescent="0.45">
      <c r="B2006" t="s">
        <v>53</v>
      </c>
      <c r="C2006">
        <v>20368087</v>
      </c>
      <c r="D2006" t="s">
        <v>260</v>
      </c>
      <c r="E2006" s="10">
        <v>46120.723611111112</v>
      </c>
      <c r="F2006" s="10">
        <v>46120.82708333333</v>
      </c>
      <c r="G2006">
        <v>2.4833333333333334</v>
      </c>
      <c r="H2006" s="9">
        <f t="shared" si="93"/>
        <v>1.2999999999999999E-2</v>
      </c>
      <c r="K2006">
        <v>1.2999999999999999E-2</v>
      </c>
      <c r="M2006" t="s">
        <v>28</v>
      </c>
      <c r="N2006" t="s">
        <v>40</v>
      </c>
      <c r="O2006" t="s">
        <v>41</v>
      </c>
      <c r="P2006" t="s">
        <v>30</v>
      </c>
      <c r="Q2006" t="s">
        <v>31</v>
      </c>
      <c r="R2006">
        <v>82640</v>
      </c>
      <c r="S2006" t="s">
        <v>42</v>
      </c>
      <c r="T2006">
        <v>82630</v>
      </c>
      <c r="U2006" t="s">
        <v>32</v>
      </c>
      <c r="V2006" t="s">
        <v>70</v>
      </c>
      <c r="W2006" t="s">
        <v>44</v>
      </c>
      <c r="X2006" t="s">
        <v>44</v>
      </c>
      <c r="Y2006" s="9">
        <f t="shared" si="94"/>
        <v>1.2999999999999999E-2</v>
      </c>
      <c r="Z2006" t="str">
        <f t="shared" si="95"/>
        <v>สแกนต่าง Cost</v>
      </c>
    </row>
    <row r="2007" spans="1:26" x14ac:dyDescent="0.45">
      <c r="B2007" t="s">
        <v>26</v>
      </c>
      <c r="C2007">
        <v>20027956</v>
      </c>
      <c r="D2007" t="s">
        <v>214</v>
      </c>
      <c r="E2007" s="10">
        <v>46120.722916666666</v>
      </c>
      <c r="F2007" s="10">
        <v>46120.82708333333</v>
      </c>
      <c r="G2007">
        <v>2.5</v>
      </c>
      <c r="H2007" s="9">
        <f t="shared" si="93"/>
        <v>1.2999999999999999E-2</v>
      </c>
      <c r="K2007">
        <v>1.2999999999999999E-2</v>
      </c>
      <c r="M2007" t="s">
        <v>28</v>
      </c>
      <c r="N2007" t="s">
        <v>40</v>
      </c>
      <c r="O2007" t="s">
        <v>41</v>
      </c>
      <c r="P2007" t="s">
        <v>30</v>
      </c>
      <c r="Q2007" t="s">
        <v>31</v>
      </c>
      <c r="R2007">
        <v>82640</v>
      </c>
      <c r="S2007" t="s">
        <v>42</v>
      </c>
      <c r="T2007">
        <v>82611</v>
      </c>
      <c r="U2007" t="s">
        <v>43</v>
      </c>
      <c r="V2007" t="s">
        <v>43</v>
      </c>
      <c r="W2007" t="s">
        <v>44</v>
      </c>
      <c r="X2007" t="s">
        <v>44</v>
      </c>
      <c r="Y2007" s="9">
        <f t="shared" si="94"/>
        <v>1.2999999999999999E-2</v>
      </c>
      <c r="Z2007" t="str">
        <f t="shared" si="95"/>
        <v>สแกนต่าง Cost</v>
      </c>
    </row>
    <row r="2008" spans="1:26" x14ac:dyDescent="0.45">
      <c r="B2008" t="s">
        <v>53</v>
      </c>
      <c r="C2008">
        <v>20029099</v>
      </c>
      <c r="D2008" t="s">
        <v>163</v>
      </c>
      <c r="E2008" s="10">
        <v>46120.722916666666</v>
      </c>
      <c r="F2008" s="10">
        <v>46120.826388888891</v>
      </c>
      <c r="G2008">
        <v>2.4833333333333334</v>
      </c>
      <c r="H2008" s="9">
        <f t="shared" si="93"/>
        <v>1.2999999999999999E-2</v>
      </c>
      <c r="K2008">
        <v>1.2999999999999999E-2</v>
      </c>
      <c r="M2008" t="s">
        <v>28</v>
      </c>
      <c r="N2008" t="s">
        <v>40</v>
      </c>
      <c r="O2008" t="s">
        <v>41</v>
      </c>
      <c r="P2008" t="s">
        <v>30</v>
      </c>
      <c r="Q2008" t="s">
        <v>31</v>
      </c>
      <c r="R2008">
        <v>82630</v>
      </c>
      <c r="S2008" t="s">
        <v>32</v>
      </c>
      <c r="T2008">
        <v>82611</v>
      </c>
      <c r="U2008" t="s">
        <v>43</v>
      </c>
      <c r="V2008" t="s">
        <v>43</v>
      </c>
      <c r="W2008" t="s">
        <v>148</v>
      </c>
      <c r="X2008" t="s">
        <v>171</v>
      </c>
      <c r="Y2008" s="9">
        <f t="shared" si="94"/>
        <v>1.2999999999999999E-2</v>
      </c>
      <c r="Z2008" t="str">
        <f t="shared" si="95"/>
        <v>สแกนต่าง Cost</v>
      </c>
    </row>
    <row r="2009" spans="1:26" x14ac:dyDescent="0.45">
      <c r="B2009" t="s">
        <v>26</v>
      </c>
      <c r="C2009">
        <v>20167851</v>
      </c>
      <c r="D2009" t="s">
        <v>63</v>
      </c>
      <c r="E2009" s="10">
        <v>46120.722916666666</v>
      </c>
      <c r="F2009" s="10">
        <v>46120.82708333333</v>
      </c>
      <c r="G2009">
        <v>2.5</v>
      </c>
      <c r="H2009" s="9">
        <f t="shared" si="93"/>
        <v>1.2999999999999999E-2</v>
      </c>
      <c r="K2009">
        <v>1.2999999999999999E-2</v>
      </c>
      <c r="M2009" t="s">
        <v>28</v>
      </c>
      <c r="N2009" t="s">
        <v>40</v>
      </c>
      <c r="O2009" t="s">
        <v>41</v>
      </c>
      <c r="P2009" t="s">
        <v>30</v>
      </c>
      <c r="Q2009" t="s">
        <v>31</v>
      </c>
      <c r="R2009">
        <v>82640</v>
      </c>
      <c r="S2009" t="s">
        <v>42</v>
      </c>
      <c r="T2009">
        <v>82611</v>
      </c>
      <c r="U2009" t="s">
        <v>43</v>
      </c>
      <c r="V2009" t="s">
        <v>43</v>
      </c>
      <c r="W2009" t="s">
        <v>44</v>
      </c>
      <c r="X2009" t="s">
        <v>44</v>
      </c>
      <c r="Y2009" s="9">
        <f t="shared" si="94"/>
        <v>1.2999999999999999E-2</v>
      </c>
      <c r="Z2009" t="str">
        <f t="shared" si="95"/>
        <v>สแกนต่าง Cost</v>
      </c>
    </row>
    <row r="2010" spans="1:26" x14ac:dyDescent="0.45">
      <c r="B2010" t="s">
        <v>53</v>
      </c>
      <c r="C2010">
        <v>20240959</v>
      </c>
      <c r="D2010" t="s">
        <v>105</v>
      </c>
      <c r="E2010" s="10">
        <v>46120.722916666666</v>
      </c>
      <c r="F2010" s="10">
        <v>46120.826388888891</v>
      </c>
      <c r="G2010">
        <v>2.4833333333333334</v>
      </c>
      <c r="H2010" s="9">
        <f t="shared" si="93"/>
        <v>1.2999999999999999E-2</v>
      </c>
      <c r="L2010">
        <v>1.2999999999999999E-2</v>
      </c>
      <c r="M2010" t="s">
        <v>255</v>
      </c>
      <c r="N2010" t="s">
        <v>29</v>
      </c>
      <c r="P2010" t="s">
        <v>30</v>
      </c>
      <c r="Q2010" t="s">
        <v>31</v>
      </c>
      <c r="R2010">
        <v>82630</v>
      </c>
      <c r="S2010" t="s">
        <v>32</v>
      </c>
      <c r="T2010">
        <v>82611</v>
      </c>
      <c r="U2010" t="s">
        <v>43</v>
      </c>
      <c r="V2010" t="s">
        <v>43</v>
      </c>
      <c r="W2010" t="s">
        <v>148</v>
      </c>
      <c r="X2010" t="s">
        <v>171</v>
      </c>
      <c r="Y2010" s="9">
        <f t="shared" si="94"/>
        <v>1.2999999999999999E-2</v>
      </c>
      <c r="Z2010" t="str">
        <f t="shared" si="95"/>
        <v>สแกนต่าง Cost</v>
      </c>
    </row>
    <row r="2011" spans="1:26" x14ac:dyDescent="0.45">
      <c r="B2011" t="s">
        <v>26</v>
      </c>
      <c r="C2011">
        <v>20244923</v>
      </c>
      <c r="D2011" t="s">
        <v>246</v>
      </c>
      <c r="E2011" s="10">
        <v>46120.722916666666</v>
      </c>
      <c r="F2011" s="10">
        <v>46120.831250000003</v>
      </c>
      <c r="G2011">
        <v>2.6</v>
      </c>
      <c r="H2011" s="9">
        <f t="shared" si="93"/>
        <v>1.4E-2</v>
      </c>
      <c r="K2011">
        <v>1.4E-2</v>
      </c>
      <c r="M2011" t="s">
        <v>28</v>
      </c>
      <c r="N2011" t="s">
        <v>40</v>
      </c>
      <c r="O2011" t="s">
        <v>41</v>
      </c>
      <c r="P2011" t="s">
        <v>30</v>
      </c>
      <c r="Q2011" t="s">
        <v>31</v>
      </c>
      <c r="R2011">
        <v>82640</v>
      </c>
      <c r="S2011" t="s">
        <v>42</v>
      </c>
      <c r="T2011">
        <v>82611</v>
      </c>
      <c r="U2011" t="s">
        <v>43</v>
      </c>
      <c r="V2011" t="s">
        <v>43</v>
      </c>
      <c r="W2011" t="s">
        <v>44</v>
      </c>
      <c r="X2011" t="s">
        <v>44</v>
      </c>
      <c r="Y2011" s="9">
        <f t="shared" si="94"/>
        <v>1.4E-2</v>
      </c>
      <c r="Z2011" t="str">
        <f t="shared" si="95"/>
        <v>สแกนต่าง Cost</v>
      </c>
    </row>
    <row r="2012" spans="1:26" x14ac:dyDescent="0.45">
      <c r="B2012" t="s">
        <v>53</v>
      </c>
      <c r="C2012">
        <v>20391064</v>
      </c>
      <c r="D2012" t="s">
        <v>121</v>
      </c>
      <c r="E2012" s="10">
        <v>46120.722916666666</v>
      </c>
      <c r="F2012" s="10">
        <v>46120.82708333333</v>
      </c>
      <c r="G2012">
        <v>2.5</v>
      </c>
      <c r="H2012" s="9">
        <f t="shared" si="93"/>
        <v>1.2999999999999999E-2</v>
      </c>
      <c r="K2012">
        <v>1.2999999999999999E-2</v>
      </c>
      <c r="M2012" t="s">
        <v>28</v>
      </c>
      <c r="N2012" t="s">
        <v>40</v>
      </c>
      <c r="O2012" t="s">
        <v>41</v>
      </c>
      <c r="P2012" t="s">
        <v>30</v>
      </c>
      <c r="Q2012" t="s">
        <v>31</v>
      </c>
      <c r="R2012">
        <v>82630</v>
      </c>
      <c r="S2012" t="s">
        <v>32</v>
      </c>
      <c r="T2012">
        <v>82611</v>
      </c>
      <c r="U2012" t="s">
        <v>43</v>
      </c>
      <c r="V2012" t="s">
        <v>43</v>
      </c>
      <c r="W2012" t="s">
        <v>148</v>
      </c>
      <c r="X2012" t="s">
        <v>171</v>
      </c>
      <c r="Y2012" s="9">
        <f t="shared" si="94"/>
        <v>1.2999999999999999E-2</v>
      </c>
      <c r="Z2012" t="str">
        <f t="shared" si="95"/>
        <v>สแกนต่าง Cost</v>
      </c>
    </row>
    <row r="2013" spans="1:26" x14ac:dyDescent="0.45">
      <c r="B2013" t="s">
        <v>53</v>
      </c>
      <c r="C2013">
        <v>20056406</v>
      </c>
      <c r="D2013" t="s">
        <v>85</v>
      </c>
      <c r="E2013" s="10">
        <v>46120.722222222219</v>
      </c>
      <c r="F2013" s="10">
        <v>46120.826388888891</v>
      </c>
      <c r="G2013">
        <v>2.5</v>
      </c>
      <c r="H2013" s="9">
        <f t="shared" si="93"/>
        <v>1.2999999999999999E-2</v>
      </c>
      <c r="K2013">
        <v>1.2999999999999999E-2</v>
      </c>
      <c r="M2013" t="s">
        <v>28</v>
      </c>
      <c r="N2013" t="s">
        <v>40</v>
      </c>
      <c r="O2013" t="s">
        <v>41</v>
      </c>
      <c r="P2013" t="s">
        <v>30</v>
      </c>
      <c r="Q2013" t="s">
        <v>31</v>
      </c>
      <c r="R2013">
        <v>82630</v>
      </c>
      <c r="S2013" t="s">
        <v>32</v>
      </c>
      <c r="T2013">
        <v>82611</v>
      </c>
      <c r="U2013" t="s">
        <v>43</v>
      </c>
      <c r="V2013" t="s">
        <v>43</v>
      </c>
      <c r="W2013" t="s">
        <v>148</v>
      </c>
      <c r="X2013" t="s">
        <v>171</v>
      </c>
      <c r="Y2013" s="9">
        <f t="shared" si="94"/>
        <v>1.2999999999999999E-2</v>
      </c>
      <c r="Z2013" t="str">
        <f t="shared" si="95"/>
        <v>สแกนต่าง Cost</v>
      </c>
    </row>
    <row r="2014" spans="1:26" x14ac:dyDescent="0.45">
      <c r="B2014" t="s">
        <v>53</v>
      </c>
      <c r="C2014">
        <v>20156338</v>
      </c>
      <c r="D2014" t="s">
        <v>102</v>
      </c>
      <c r="E2014" s="10">
        <v>46120.722222222219</v>
      </c>
      <c r="F2014" s="10">
        <v>46120.826388888891</v>
      </c>
      <c r="G2014">
        <v>2.5</v>
      </c>
      <c r="H2014" s="9">
        <f t="shared" si="93"/>
        <v>1.2999999999999999E-2</v>
      </c>
      <c r="K2014">
        <v>1.2999999999999999E-2</v>
      </c>
      <c r="M2014" t="s">
        <v>28</v>
      </c>
      <c r="N2014" t="s">
        <v>40</v>
      </c>
      <c r="O2014" t="s">
        <v>41</v>
      </c>
      <c r="P2014" t="s">
        <v>30</v>
      </c>
      <c r="Q2014" t="s">
        <v>31</v>
      </c>
      <c r="R2014">
        <v>82630</v>
      </c>
      <c r="S2014" t="s">
        <v>32</v>
      </c>
      <c r="T2014">
        <v>82611</v>
      </c>
      <c r="U2014" t="s">
        <v>43</v>
      </c>
      <c r="V2014" t="s">
        <v>43</v>
      </c>
      <c r="W2014" t="s">
        <v>148</v>
      </c>
      <c r="X2014" t="s">
        <v>171</v>
      </c>
      <c r="Y2014" s="9">
        <f t="shared" si="94"/>
        <v>1.2999999999999999E-2</v>
      </c>
      <c r="Z2014" t="str">
        <f t="shared" si="95"/>
        <v>สแกนต่าง Cost</v>
      </c>
    </row>
    <row r="2015" spans="1:26" x14ac:dyDescent="0.45">
      <c r="B2015" t="s">
        <v>53</v>
      </c>
      <c r="C2015">
        <v>20368087</v>
      </c>
      <c r="D2015" t="s">
        <v>260</v>
      </c>
      <c r="E2015" s="10">
        <v>46120.708333333336</v>
      </c>
      <c r="F2015" s="10">
        <v>46120.729166666664</v>
      </c>
      <c r="G2015">
        <v>0.5</v>
      </c>
      <c r="H2015" s="9">
        <f t="shared" si="93"/>
        <v>3.0000000000000001E-3</v>
      </c>
      <c r="I2015">
        <v>3.0000000000000001E-3</v>
      </c>
      <c r="M2015" t="s">
        <v>65</v>
      </c>
      <c r="N2015" t="s">
        <v>29</v>
      </c>
      <c r="P2015" t="s">
        <v>30</v>
      </c>
      <c r="Q2015" t="s">
        <v>31</v>
      </c>
      <c r="R2015">
        <v>82640</v>
      </c>
      <c r="S2015" t="s">
        <v>42</v>
      </c>
      <c r="T2015">
        <v>82630</v>
      </c>
      <c r="U2015" t="s">
        <v>32</v>
      </c>
      <c r="V2015" t="s">
        <v>66</v>
      </c>
      <c r="W2015" t="s">
        <v>44</v>
      </c>
      <c r="X2015" t="s">
        <v>44</v>
      </c>
      <c r="Y2015" s="9">
        <f t="shared" si="94"/>
        <v>0</v>
      </c>
      <c r="Z2015" t="str">
        <f t="shared" si="95"/>
        <v>สแกนต่าง Cost</v>
      </c>
    </row>
    <row r="2016" spans="1:26" x14ac:dyDescent="0.45">
      <c r="B2016" t="s">
        <v>53</v>
      </c>
      <c r="C2016">
        <v>20027956</v>
      </c>
      <c r="D2016" t="s">
        <v>214</v>
      </c>
      <c r="E2016" s="10">
        <v>46120.6875</v>
      </c>
      <c r="F2016" s="10">
        <v>46120.729166666664</v>
      </c>
      <c r="G2016">
        <v>1</v>
      </c>
      <c r="H2016" s="9">
        <f t="shared" si="93"/>
        <v>5.0000000000000001E-3</v>
      </c>
      <c r="I2016">
        <v>5.0000000000000001E-3</v>
      </c>
      <c r="M2016" t="s">
        <v>65</v>
      </c>
      <c r="N2016" t="s">
        <v>29</v>
      </c>
      <c r="P2016" t="s">
        <v>30</v>
      </c>
      <c r="Q2016" t="s">
        <v>31</v>
      </c>
      <c r="R2016">
        <v>82640</v>
      </c>
      <c r="S2016" t="s">
        <v>42</v>
      </c>
      <c r="T2016">
        <v>82611</v>
      </c>
      <c r="U2016" t="s">
        <v>43</v>
      </c>
      <c r="V2016" t="s">
        <v>66</v>
      </c>
      <c r="W2016" t="s">
        <v>44</v>
      </c>
      <c r="X2016" t="s">
        <v>44</v>
      </c>
      <c r="Y2016" s="9">
        <f t="shared" si="94"/>
        <v>0</v>
      </c>
      <c r="Z2016" t="str">
        <f t="shared" si="95"/>
        <v>สแกนต่าง Cost</v>
      </c>
    </row>
    <row r="2017" spans="2:26" x14ac:dyDescent="0.45">
      <c r="B2017" t="s">
        <v>53</v>
      </c>
      <c r="C2017">
        <v>20198839</v>
      </c>
      <c r="D2017" t="s">
        <v>258</v>
      </c>
      <c r="E2017" s="10">
        <v>46120.6875</v>
      </c>
      <c r="F2017" s="10">
        <v>46120.729166666664</v>
      </c>
      <c r="G2017">
        <v>1</v>
      </c>
      <c r="H2017" s="9">
        <f t="shared" si="93"/>
        <v>5.0000000000000001E-3</v>
      </c>
      <c r="I2017">
        <v>5.0000000000000001E-3</v>
      </c>
      <c r="M2017" t="s">
        <v>65</v>
      </c>
      <c r="N2017" t="s">
        <v>29</v>
      </c>
      <c r="P2017" t="s">
        <v>30</v>
      </c>
      <c r="Q2017" t="s">
        <v>31</v>
      </c>
      <c r="R2017">
        <v>82640</v>
      </c>
      <c r="S2017" t="s">
        <v>42</v>
      </c>
      <c r="T2017">
        <v>82611</v>
      </c>
      <c r="U2017" t="s">
        <v>43</v>
      </c>
      <c r="V2017" t="s">
        <v>66</v>
      </c>
      <c r="W2017" t="s">
        <v>44</v>
      </c>
      <c r="X2017" t="s">
        <v>44</v>
      </c>
      <c r="Y2017" s="9">
        <f t="shared" si="94"/>
        <v>0</v>
      </c>
      <c r="Z2017" t="str">
        <f t="shared" si="95"/>
        <v>สแกนต่าง Cost</v>
      </c>
    </row>
    <row r="2018" spans="2:26" x14ac:dyDescent="0.45">
      <c r="B2018" t="s">
        <v>53</v>
      </c>
      <c r="C2018">
        <v>20280718</v>
      </c>
      <c r="D2018" t="s">
        <v>256</v>
      </c>
      <c r="E2018" s="10">
        <v>46120.6875</v>
      </c>
      <c r="F2018" s="10">
        <v>46120.729166666664</v>
      </c>
      <c r="G2018">
        <v>1</v>
      </c>
      <c r="H2018" s="9">
        <f t="shared" si="93"/>
        <v>5.0000000000000001E-3</v>
      </c>
      <c r="I2018">
        <v>5.0000000000000001E-3</v>
      </c>
      <c r="M2018" t="s">
        <v>65</v>
      </c>
      <c r="N2018" t="s">
        <v>29</v>
      </c>
      <c r="P2018" t="s">
        <v>30</v>
      </c>
      <c r="Q2018" t="s">
        <v>31</v>
      </c>
      <c r="R2018">
        <v>82640</v>
      </c>
      <c r="S2018" t="s">
        <v>42</v>
      </c>
      <c r="T2018">
        <v>82611</v>
      </c>
      <c r="U2018" t="s">
        <v>43</v>
      </c>
      <c r="V2018" t="s">
        <v>66</v>
      </c>
      <c r="W2018" t="s">
        <v>44</v>
      </c>
      <c r="X2018" t="s">
        <v>44</v>
      </c>
      <c r="Y2018" s="9">
        <f t="shared" si="94"/>
        <v>0</v>
      </c>
      <c r="Z2018" t="str">
        <f t="shared" si="95"/>
        <v>สแกนต่าง Cost</v>
      </c>
    </row>
    <row r="2019" spans="2:26" x14ac:dyDescent="0.45">
      <c r="B2019" t="s">
        <v>53</v>
      </c>
      <c r="C2019">
        <v>20198839</v>
      </c>
      <c r="D2019" t="s">
        <v>258</v>
      </c>
      <c r="E2019" s="10">
        <v>46120.666666666664</v>
      </c>
      <c r="F2019" s="10">
        <v>46120.6875</v>
      </c>
      <c r="G2019">
        <v>0.5</v>
      </c>
      <c r="H2019" s="9">
        <f t="shared" si="93"/>
        <v>3.0000000000000001E-3</v>
      </c>
      <c r="I2019">
        <v>3.0000000000000001E-3</v>
      </c>
      <c r="M2019" t="s">
        <v>65</v>
      </c>
      <c r="N2019" t="s">
        <v>29</v>
      </c>
      <c r="P2019" t="s">
        <v>30</v>
      </c>
      <c r="Q2019" t="s">
        <v>31</v>
      </c>
      <c r="R2019">
        <v>82640</v>
      </c>
      <c r="S2019" t="s">
        <v>42</v>
      </c>
      <c r="T2019">
        <v>82630</v>
      </c>
      <c r="U2019" t="s">
        <v>32</v>
      </c>
      <c r="V2019" t="s">
        <v>66</v>
      </c>
      <c r="W2019" t="s">
        <v>44</v>
      </c>
      <c r="X2019" t="s">
        <v>44</v>
      </c>
      <c r="Y2019" s="9">
        <f t="shared" si="94"/>
        <v>0</v>
      </c>
      <c r="Z2019" t="str">
        <f t="shared" si="95"/>
        <v>สแกนต่าง Cost</v>
      </c>
    </row>
    <row r="2020" spans="2:26" x14ac:dyDescent="0.45">
      <c r="B2020" t="s">
        <v>53</v>
      </c>
      <c r="C2020">
        <v>20310530</v>
      </c>
      <c r="D2020" t="s">
        <v>220</v>
      </c>
      <c r="E2020" s="10">
        <v>46120.666666666664</v>
      </c>
      <c r="F2020" s="10">
        <v>46120.6875</v>
      </c>
      <c r="G2020">
        <v>0.5</v>
      </c>
      <c r="H2020" s="9">
        <f t="shared" si="93"/>
        <v>3.0000000000000001E-3</v>
      </c>
      <c r="I2020">
        <v>3.0000000000000001E-3</v>
      </c>
      <c r="M2020" t="s">
        <v>65</v>
      </c>
      <c r="N2020" t="s">
        <v>29</v>
      </c>
      <c r="P2020" t="s">
        <v>30</v>
      </c>
      <c r="Q2020" t="s">
        <v>31</v>
      </c>
      <c r="R2020">
        <v>82640</v>
      </c>
      <c r="S2020" t="s">
        <v>42</v>
      </c>
      <c r="T2020">
        <v>82622</v>
      </c>
      <c r="U2020" t="s">
        <v>147</v>
      </c>
      <c r="V2020" t="s">
        <v>66</v>
      </c>
      <c r="W2020" t="s">
        <v>44</v>
      </c>
      <c r="X2020" t="s">
        <v>44</v>
      </c>
      <c r="Y2020" s="9">
        <f t="shared" si="94"/>
        <v>0</v>
      </c>
      <c r="Z2020" t="str">
        <f t="shared" si="95"/>
        <v>สแกนต่าง Cost</v>
      </c>
    </row>
    <row r="2021" spans="2:26" x14ac:dyDescent="0.45">
      <c r="B2021" t="s">
        <v>53</v>
      </c>
      <c r="C2021">
        <v>20310532</v>
      </c>
      <c r="D2021" t="s">
        <v>61</v>
      </c>
      <c r="E2021" s="10">
        <v>46120.666666666664</v>
      </c>
      <c r="F2021" s="10">
        <v>46120.729166666664</v>
      </c>
      <c r="G2021">
        <v>1.5</v>
      </c>
      <c r="H2021" s="9">
        <f t="shared" si="93"/>
        <v>8.0000000000000002E-3</v>
      </c>
      <c r="I2021">
        <v>8.0000000000000002E-3</v>
      </c>
      <c r="M2021" t="s">
        <v>65</v>
      </c>
      <c r="N2021" t="s">
        <v>29</v>
      </c>
      <c r="P2021" t="s">
        <v>30</v>
      </c>
      <c r="Q2021" t="s">
        <v>31</v>
      </c>
      <c r="R2021">
        <v>82640</v>
      </c>
      <c r="S2021" t="s">
        <v>42</v>
      </c>
      <c r="T2021">
        <v>82630</v>
      </c>
      <c r="U2021" t="s">
        <v>32</v>
      </c>
      <c r="V2021" t="s">
        <v>66</v>
      </c>
      <c r="W2021" t="s">
        <v>44</v>
      </c>
      <c r="X2021" t="s">
        <v>44</v>
      </c>
      <c r="Y2021" s="9">
        <f t="shared" si="94"/>
        <v>0</v>
      </c>
      <c r="Z2021" t="str">
        <f t="shared" si="95"/>
        <v>สแกนต่าง Cost</v>
      </c>
    </row>
    <row r="2022" spans="2:26" x14ac:dyDescent="0.45">
      <c r="B2022" t="s">
        <v>26</v>
      </c>
      <c r="C2022">
        <v>20403191</v>
      </c>
      <c r="D2022" t="s">
        <v>122</v>
      </c>
      <c r="E2022" s="10">
        <v>46120.652777777781</v>
      </c>
      <c r="F2022" s="10">
        <v>46120.82708333333</v>
      </c>
      <c r="G2022">
        <v>4.1833333333333336</v>
      </c>
      <c r="H2022" s="9">
        <f t="shared" si="93"/>
        <v>2.1999999999999999E-2</v>
      </c>
      <c r="I2022">
        <v>2.1999999999999999E-2</v>
      </c>
      <c r="M2022" t="s">
        <v>48</v>
      </c>
      <c r="N2022" t="s">
        <v>48</v>
      </c>
      <c r="P2022" t="s">
        <v>30</v>
      </c>
      <c r="Q2022" t="s">
        <v>31</v>
      </c>
      <c r="R2022">
        <v>82400</v>
      </c>
      <c r="S2022" t="s">
        <v>83</v>
      </c>
      <c r="T2022">
        <v>82658</v>
      </c>
      <c r="U2022" t="s">
        <v>33</v>
      </c>
      <c r="V2022" t="s">
        <v>33</v>
      </c>
      <c r="W2022" t="s">
        <v>51</v>
      </c>
      <c r="X2022" t="s">
        <v>52</v>
      </c>
      <c r="Y2022" s="9">
        <f t="shared" si="94"/>
        <v>0</v>
      </c>
      <c r="Z2022" t="str">
        <f t="shared" si="95"/>
        <v>สแกนต่าง Cost</v>
      </c>
    </row>
    <row r="2023" spans="2:26" x14ac:dyDescent="0.45">
      <c r="B2023" t="s">
        <v>26</v>
      </c>
      <c r="C2023">
        <v>20403192</v>
      </c>
      <c r="D2023" t="s">
        <v>123</v>
      </c>
      <c r="E2023" s="10">
        <v>46120.652777777781</v>
      </c>
      <c r="F2023" s="10">
        <v>46120.827777777777</v>
      </c>
      <c r="G2023">
        <v>4.2</v>
      </c>
      <c r="H2023" s="9">
        <f t="shared" si="93"/>
        <v>2.1999999999999999E-2</v>
      </c>
      <c r="I2023">
        <v>2.1999999999999999E-2</v>
      </c>
      <c r="M2023" t="s">
        <v>48</v>
      </c>
      <c r="N2023" t="s">
        <v>48</v>
      </c>
      <c r="P2023" t="s">
        <v>30</v>
      </c>
      <c r="Q2023" t="s">
        <v>31</v>
      </c>
      <c r="R2023">
        <v>82400</v>
      </c>
      <c r="S2023" t="s">
        <v>83</v>
      </c>
      <c r="T2023">
        <v>82658</v>
      </c>
      <c r="U2023" t="s">
        <v>33</v>
      </c>
      <c r="V2023" t="s">
        <v>33</v>
      </c>
      <c r="W2023" t="s">
        <v>51</v>
      </c>
      <c r="X2023" t="s">
        <v>52</v>
      </c>
      <c r="Y2023" s="9">
        <f t="shared" si="94"/>
        <v>0</v>
      </c>
      <c r="Z2023" t="str">
        <f t="shared" si="95"/>
        <v>สแกนต่าง Cost</v>
      </c>
    </row>
    <row r="2024" spans="2:26" x14ac:dyDescent="0.45">
      <c r="B2024" t="s">
        <v>26</v>
      </c>
      <c r="C2024">
        <v>20403254</v>
      </c>
      <c r="D2024" t="s">
        <v>126</v>
      </c>
      <c r="E2024" s="10">
        <v>46120.652083333334</v>
      </c>
      <c r="F2024" s="10">
        <v>46120.709027777775</v>
      </c>
      <c r="G2024">
        <v>1.3666666666666667</v>
      </c>
      <c r="H2024" s="9">
        <f t="shared" si="93"/>
        <v>7.0000000000000001E-3</v>
      </c>
      <c r="I2024">
        <v>7.0000000000000001E-3</v>
      </c>
      <c r="M2024" t="s">
        <v>48</v>
      </c>
      <c r="N2024" t="s">
        <v>48</v>
      </c>
      <c r="P2024" t="s">
        <v>30</v>
      </c>
      <c r="Q2024" t="s">
        <v>31</v>
      </c>
      <c r="R2024">
        <v>82400</v>
      </c>
      <c r="S2024" t="s">
        <v>83</v>
      </c>
      <c r="T2024">
        <v>82658</v>
      </c>
      <c r="U2024" t="s">
        <v>33</v>
      </c>
      <c r="V2024" t="s">
        <v>33</v>
      </c>
      <c r="W2024" t="s">
        <v>51</v>
      </c>
      <c r="X2024" t="s">
        <v>52</v>
      </c>
      <c r="Y2024" s="9">
        <f t="shared" si="94"/>
        <v>0</v>
      </c>
      <c r="Z2024" t="str">
        <f t="shared" si="95"/>
        <v>สแกนต่าง Cost</v>
      </c>
    </row>
    <row r="2025" spans="2:26" x14ac:dyDescent="0.45">
      <c r="B2025" t="s">
        <v>53</v>
      </c>
      <c r="C2025">
        <v>20244923</v>
      </c>
      <c r="D2025" t="s">
        <v>246</v>
      </c>
      <c r="E2025" s="10">
        <v>46120.645833333336</v>
      </c>
      <c r="F2025" s="10">
        <v>46120.729166666664</v>
      </c>
      <c r="G2025">
        <v>2</v>
      </c>
      <c r="H2025" s="9">
        <f t="shared" si="93"/>
        <v>1.0999999999999999E-2</v>
      </c>
      <c r="I2025">
        <v>1.0999999999999999E-2</v>
      </c>
      <c r="M2025" t="s">
        <v>65</v>
      </c>
      <c r="N2025" t="s">
        <v>29</v>
      </c>
      <c r="P2025" t="s">
        <v>30</v>
      </c>
      <c r="Q2025" t="s">
        <v>31</v>
      </c>
      <c r="R2025">
        <v>82640</v>
      </c>
      <c r="S2025" t="s">
        <v>42</v>
      </c>
      <c r="T2025">
        <v>82630</v>
      </c>
      <c r="U2025" t="s">
        <v>32</v>
      </c>
      <c r="V2025" t="s">
        <v>66</v>
      </c>
      <c r="W2025" t="s">
        <v>44</v>
      </c>
      <c r="X2025" t="s">
        <v>44</v>
      </c>
      <c r="Y2025" s="9">
        <f t="shared" si="94"/>
        <v>0</v>
      </c>
      <c r="Z2025" t="str">
        <f t="shared" si="95"/>
        <v>สแกนต่าง Cost</v>
      </c>
    </row>
    <row r="2026" spans="2:26" x14ac:dyDescent="0.45">
      <c r="B2026" t="s">
        <v>53</v>
      </c>
      <c r="C2026">
        <v>20280718</v>
      </c>
      <c r="D2026" t="s">
        <v>256</v>
      </c>
      <c r="E2026" s="10">
        <v>46120.645833333336</v>
      </c>
      <c r="F2026" s="10">
        <v>46120.6875</v>
      </c>
      <c r="G2026">
        <v>1</v>
      </c>
      <c r="H2026" s="9">
        <f t="shared" si="93"/>
        <v>5.0000000000000001E-3</v>
      </c>
      <c r="I2026">
        <v>5.0000000000000001E-3</v>
      </c>
      <c r="M2026" t="s">
        <v>65</v>
      </c>
      <c r="N2026" t="s">
        <v>29</v>
      </c>
      <c r="P2026" t="s">
        <v>30</v>
      </c>
      <c r="Q2026" t="s">
        <v>31</v>
      </c>
      <c r="R2026">
        <v>82640</v>
      </c>
      <c r="S2026" t="s">
        <v>42</v>
      </c>
      <c r="T2026">
        <v>82612</v>
      </c>
      <c r="U2026" t="s">
        <v>153</v>
      </c>
      <c r="V2026" t="s">
        <v>66</v>
      </c>
      <c r="W2026" t="s">
        <v>44</v>
      </c>
      <c r="X2026" t="s">
        <v>44</v>
      </c>
      <c r="Y2026" s="9">
        <f t="shared" si="94"/>
        <v>0</v>
      </c>
      <c r="Z2026" t="str">
        <f t="shared" si="95"/>
        <v>สแกนต่าง Cost</v>
      </c>
    </row>
    <row r="2027" spans="2:26" x14ac:dyDescent="0.45">
      <c r="B2027" t="s">
        <v>26</v>
      </c>
      <c r="C2027">
        <v>20331986</v>
      </c>
      <c r="D2027" t="s">
        <v>108</v>
      </c>
      <c r="E2027" s="10">
        <v>46120.634722222225</v>
      </c>
      <c r="F2027" s="10">
        <v>46120.729166666664</v>
      </c>
      <c r="G2027">
        <v>2.2666666666666666</v>
      </c>
      <c r="H2027" s="9">
        <f t="shared" si="93"/>
        <v>1.2E-2</v>
      </c>
      <c r="I2027">
        <v>1.2E-2</v>
      </c>
      <c r="M2027" t="s">
        <v>65</v>
      </c>
      <c r="N2027" t="s">
        <v>29</v>
      </c>
      <c r="P2027" t="s">
        <v>30</v>
      </c>
      <c r="Q2027" t="s">
        <v>31</v>
      </c>
      <c r="R2027">
        <v>82400</v>
      </c>
      <c r="S2027" t="s">
        <v>83</v>
      </c>
      <c r="T2027">
        <v>82658</v>
      </c>
      <c r="U2027" t="s">
        <v>33</v>
      </c>
      <c r="V2027" t="s">
        <v>33</v>
      </c>
      <c r="W2027" t="s">
        <v>37</v>
      </c>
      <c r="X2027" t="s">
        <v>38</v>
      </c>
      <c r="Y2027" s="9">
        <f t="shared" si="94"/>
        <v>0</v>
      </c>
      <c r="Z2027" t="str">
        <f t="shared" si="95"/>
        <v>สแกนต่าง Cost</v>
      </c>
    </row>
    <row r="2028" spans="2:26" x14ac:dyDescent="0.45">
      <c r="B2028" t="s">
        <v>26</v>
      </c>
      <c r="C2028">
        <v>20352338</v>
      </c>
      <c r="D2028" t="s">
        <v>114</v>
      </c>
      <c r="E2028" s="10">
        <v>46120.634722222225</v>
      </c>
      <c r="F2028" s="10">
        <v>46120.729166666664</v>
      </c>
      <c r="G2028">
        <v>2.2666666666666666</v>
      </c>
      <c r="H2028" s="9">
        <f t="shared" si="93"/>
        <v>1.2E-2</v>
      </c>
      <c r="I2028">
        <v>1.2E-2</v>
      </c>
      <c r="M2028" t="s">
        <v>65</v>
      </c>
      <c r="N2028" t="s">
        <v>29</v>
      </c>
      <c r="P2028" t="s">
        <v>30</v>
      </c>
      <c r="Q2028" t="s">
        <v>31</v>
      </c>
      <c r="R2028">
        <v>82400</v>
      </c>
      <c r="S2028" t="s">
        <v>83</v>
      </c>
      <c r="T2028">
        <v>82658</v>
      </c>
      <c r="U2028" t="s">
        <v>33</v>
      </c>
      <c r="V2028" t="s">
        <v>33</v>
      </c>
      <c r="W2028" t="s">
        <v>37</v>
      </c>
      <c r="X2028" t="s">
        <v>38</v>
      </c>
      <c r="Y2028" s="9">
        <f t="shared" si="94"/>
        <v>0</v>
      </c>
      <c r="Z2028" t="str">
        <f t="shared" si="95"/>
        <v>สแกนต่าง Cost</v>
      </c>
    </row>
    <row r="2029" spans="2:26" x14ac:dyDescent="0.45">
      <c r="B2029" t="s">
        <v>26</v>
      </c>
      <c r="C2029">
        <v>20403252</v>
      </c>
      <c r="D2029" t="s">
        <v>124</v>
      </c>
      <c r="E2029" s="10">
        <v>46120.634722222225</v>
      </c>
      <c r="F2029" s="10">
        <v>46120.71597222222</v>
      </c>
      <c r="G2029">
        <v>1.95</v>
      </c>
      <c r="H2029" s="9">
        <f t="shared" si="93"/>
        <v>0.01</v>
      </c>
      <c r="I2029">
        <v>0.01</v>
      </c>
      <c r="M2029" t="s">
        <v>48</v>
      </c>
      <c r="N2029" t="s">
        <v>48</v>
      </c>
      <c r="P2029" t="s">
        <v>30</v>
      </c>
      <c r="Q2029" t="s">
        <v>31</v>
      </c>
      <c r="R2029">
        <v>82400</v>
      </c>
      <c r="S2029" t="s">
        <v>83</v>
      </c>
      <c r="T2029">
        <v>82658</v>
      </c>
      <c r="U2029" t="s">
        <v>33</v>
      </c>
      <c r="V2029" t="s">
        <v>33</v>
      </c>
      <c r="W2029" t="s">
        <v>37</v>
      </c>
      <c r="X2029" t="s">
        <v>38</v>
      </c>
      <c r="Y2029" s="9">
        <f t="shared" si="94"/>
        <v>0</v>
      </c>
      <c r="Z2029" t="str">
        <f t="shared" si="95"/>
        <v>สแกนต่าง Cost</v>
      </c>
    </row>
    <row r="2030" spans="2:26" x14ac:dyDescent="0.45">
      <c r="B2030" t="s">
        <v>26</v>
      </c>
      <c r="C2030">
        <v>20403253</v>
      </c>
      <c r="D2030" t="s">
        <v>125</v>
      </c>
      <c r="E2030" s="10">
        <v>46120.627083333333</v>
      </c>
      <c r="F2030" s="10">
        <v>46120.82708333333</v>
      </c>
      <c r="G2030">
        <v>4.8</v>
      </c>
      <c r="H2030" s="9">
        <f t="shared" si="93"/>
        <v>2.5999999999999999E-2</v>
      </c>
      <c r="I2030">
        <v>2.5999999999999999E-2</v>
      </c>
      <c r="M2030" t="s">
        <v>48</v>
      </c>
      <c r="N2030" t="s">
        <v>48</v>
      </c>
      <c r="P2030" t="s">
        <v>30</v>
      </c>
      <c r="Q2030" t="s">
        <v>31</v>
      </c>
      <c r="R2030">
        <v>82400</v>
      </c>
      <c r="S2030" t="s">
        <v>83</v>
      </c>
      <c r="T2030">
        <v>82658</v>
      </c>
      <c r="U2030" t="s">
        <v>33</v>
      </c>
      <c r="V2030" t="s">
        <v>33</v>
      </c>
      <c r="W2030" t="s">
        <v>34</v>
      </c>
      <c r="X2030" t="s">
        <v>34</v>
      </c>
      <c r="Y2030" s="9">
        <f t="shared" si="94"/>
        <v>0</v>
      </c>
      <c r="Z2030" t="str">
        <f t="shared" si="95"/>
        <v>สแกนต่าง Cost</v>
      </c>
    </row>
    <row r="2031" spans="2:26" x14ac:dyDescent="0.45">
      <c r="B2031" t="s">
        <v>26</v>
      </c>
      <c r="C2031">
        <v>20328003</v>
      </c>
      <c r="D2031" t="s">
        <v>107</v>
      </c>
      <c r="E2031" s="10">
        <v>46120.626388888886</v>
      </c>
      <c r="F2031" s="10">
        <v>46120.729166666664</v>
      </c>
      <c r="G2031">
        <v>2.4666666666666668</v>
      </c>
      <c r="H2031" s="9">
        <f t="shared" si="93"/>
        <v>1.2999999999999999E-2</v>
      </c>
      <c r="I2031">
        <v>1.2999999999999999E-2</v>
      </c>
      <c r="M2031" t="s">
        <v>65</v>
      </c>
      <c r="N2031" t="s">
        <v>29</v>
      </c>
      <c r="P2031" t="s">
        <v>30</v>
      </c>
      <c r="Q2031" t="s">
        <v>31</v>
      </c>
      <c r="R2031">
        <v>82400</v>
      </c>
      <c r="S2031" t="s">
        <v>83</v>
      </c>
      <c r="T2031">
        <v>82658</v>
      </c>
      <c r="U2031" t="s">
        <v>33</v>
      </c>
      <c r="V2031" t="s">
        <v>33</v>
      </c>
      <c r="W2031" t="s">
        <v>34</v>
      </c>
      <c r="X2031" t="s">
        <v>34</v>
      </c>
      <c r="Y2031" s="9">
        <f t="shared" si="94"/>
        <v>0</v>
      </c>
      <c r="Z2031" t="str">
        <f t="shared" si="95"/>
        <v>สแกนต่าง Cost</v>
      </c>
    </row>
    <row r="2032" spans="2:26" x14ac:dyDescent="0.45">
      <c r="B2032" t="s">
        <v>26</v>
      </c>
      <c r="C2032">
        <v>20352282</v>
      </c>
      <c r="D2032" t="s">
        <v>84</v>
      </c>
      <c r="E2032" s="10">
        <v>46120.626388888886</v>
      </c>
      <c r="F2032" s="10">
        <v>46120.729166666664</v>
      </c>
      <c r="G2032">
        <v>2.4666666666666668</v>
      </c>
      <c r="H2032" s="9">
        <f t="shared" si="93"/>
        <v>1.2999999999999999E-2</v>
      </c>
      <c r="I2032">
        <v>1.2999999999999999E-2</v>
      </c>
      <c r="M2032" t="s">
        <v>65</v>
      </c>
      <c r="N2032" t="s">
        <v>29</v>
      </c>
      <c r="P2032" t="s">
        <v>30</v>
      </c>
      <c r="Q2032" t="s">
        <v>31</v>
      </c>
      <c r="R2032">
        <v>82400</v>
      </c>
      <c r="S2032" t="s">
        <v>83</v>
      </c>
      <c r="T2032">
        <v>82658</v>
      </c>
      <c r="U2032" t="s">
        <v>33</v>
      </c>
      <c r="V2032" t="s">
        <v>33</v>
      </c>
      <c r="W2032" t="s">
        <v>34</v>
      </c>
      <c r="X2032" t="s">
        <v>34</v>
      </c>
      <c r="Y2032" s="9">
        <f t="shared" si="94"/>
        <v>0</v>
      </c>
      <c r="Z2032" t="str">
        <f t="shared" si="95"/>
        <v>สแกนต่าง Cost</v>
      </c>
    </row>
    <row r="2033" spans="1:26" x14ac:dyDescent="0.45">
      <c r="B2033" t="s">
        <v>53</v>
      </c>
      <c r="C2033">
        <v>20244923</v>
      </c>
      <c r="D2033" t="s">
        <v>246</v>
      </c>
      <c r="E2033" s="10">
        <v>46120.625</v>
      </c>
      <c r="F2033" s="10">
        <v>46120.645833333336</v>
      </c>
      <c r="G2033">
        <v>0.5</v>
      </c>
      <c r="H2033" s="9">
        <f t="shared" si="93"/>
        <v>3.0000000000000001E-3</v>
      </c>
      <c r="I2033">
        <v>3.0000000000000001E-3</v>
      </c>
      <c r="M2033" t="s">
        <v>65</v>
      </c>
      <c r="N2033" t="s">
        <v>29</v>
      </c>
      <c r="P2033" t="s">
        <v>30</v>
      </c>
      <c r="Q2033" t="s">
        <v>31</v>
      </c>
      <c r="R2033">
        <v>82640</v>
      </c>
      <c r="S2033" t="s">
        <v>42</v>
      </c>
      <c r="T2033">
        <v>82612</v>
      </c>
      <c r="U2033" t="s">
        <v>153</v>
      </c>
      <c r="V2033" t="s">
        <v>66</v>
      </c>
      <c r="W2033" t="s">
        <v>44</v>
      </c>
      <c r="X2033" t="s">
        <v>44</v>
      </c>
      <c r="Y2033" s="9">
        <f t="shared" si="94"/>
        <v>0</v>
      </c>
      <c r="Z2033" t="str">
        <f t="shared" si="95"/>
        <v>สแกนต่าง Cost</v>
      </c>
    </row>
    <row r="2034" spans="1:26" x14ac:dyDescent="0.45">
      <c r="B2034" t="s">
        <v>53</v>
      </c>
      <c r="C2034">
        <v>20310530</v>
      </c>
      <c r="D2034" t="s">
        <v>220</v>
      </c>
      <c r="E2034" s="10">
        <v>46120.625</v>
      </c>
      <c r="F2034" s="10">
        <v>46120.645833333336</v>
      </c>
      <c r="G2034">
        <v>0.5</v>
      </c>
      <c r="H2034" s="9">
        <f t="shared" si="93"/>
        <v>3.0000000000000001E-3</v>
      </c>
      <c r="I2034">
        <v>3.0000000000000001E-3</v>
      </c>
      <c r="M2034" t="s">
        <v>65</v>
      </c>
      <c r="N2034" t="s">
        <v>29</v>
      </c>
      <c r="P2034" t="s">
        <v>30</v>
      </c>
      <c r="Q2034" t="s">
        <v>31</v>
      </c>
      <c r="R2034">
        <v>82640</v>
      </c>
      <c r="S2034" t="s">
        <v>42</v>
      </c>
      <c r="T2034">
        <v>82630</v>
      </c>
      <c r="U2034" t="s">
        <v>32</v>
      </c>
      <c r="V2034" t="s">
        <v>66</v>
      </c>
      <c r="W2034" t="s">
        <v>44</v>
      </c>
      <c r="X2034" t="s">
        <v>44</v>
      </c>
      <c r="Y2034" s="9">
        <f t="shared" si="94"/>
        <v>0</v>
      </c>
      <c r="Z2034" t="str">
        <f t="shared" si="95"/>
        <v>สแกนต่าง Cost</v>
      </c>
    </row>
    <row r="2035" spans="1:26" x14ac:dyDescent="0.45">
      <c r="B2035" t="s">
        <v>53</v>
      </c>
      <c r="C2035">
        <v>20310532</v>
      </c>
      <c r="D2035" t="s">
        <v>61</v>
      </c>
      <c r="E2035" s="10">
        <v>46120.625</v>
      </c>
      <c r="F2035" s="10">
        <v>46120.666666666664</v>
      </c>
      <c r="G2035">
        <v>1</v>
      </c>
      <c r="H2035" s="9">
        <f t="shared" si="93"/>
        <v>5.0000000000000001E-3</v>
      </c>
      <c r="I2035">
        <v>5.0000000000000001E-3</v>
      </c>
      <c r="M2035" t="s">
        <v>65</v>
      </c>
      <c r="N2035" t="s">
        <v>29</v>
      </c>
      <c r="P2035" t="s">
        <v>30</v>
      </c>
      <c r="Q2035" t="s">
        <v>31</v>
      </c>
      <c r="R2035">
        <v>82640</v>
      </c>
      <c r="S2035" t="s">
        <v>42</v>
      </c>
      <c r="T2035">
        <v>82612</v>
      </c>
      <c r="U2035" t="s">
        <v>153</v>
      </c>
      <c r="V2035" t="s">
        <v>66</v>
      </c>
      <c r="W2035" t="s">
        <v>44</v>
      </c>
      <c r="X2035" t="s">
        <v>44</v>
      </c>
      <c r="Y2035" s="9">
        <f t="shared" si="94"/>
        <v>0</v>
      </c>
      <c r="Z2035" t="str">
        <f t="shared" si="95"/>
        <v>สแกนต่าง Cost</v>
      </c>
    </row>
    <row r="2036" spans="1:26" x14ac:dyDescent="0.45">
      <c r="B2036" t="s">
        <v>53</v>
      </c>
      <c r="C2036">
        <v>20332134</v>
      </c>
      <c r="D2036" t="s">
        <v>156</v>
      </c>
      <c r="E2036" s="10">
        <v>46120.625</v>
      </c>
      <c r="F2036" s="10">
        <v>46120.729166666664</v>
      </c>
      <c r="G2036">
        <v>2.5</v>
      </c>
      <c r="H2036" s="9">
        <f t="shared" si="93"/>
        <v>1.2999999999999999E-2</v>
      </c>
      <c r="I2036">
        <v>1.2999999999999999E-2</v>
      </c>
      <c r="M2036" t="s">
        <v>65</v>
      </c>
      <c r="N2036" t="s">
        <v>29</v>
      </c>
      <c r="P2036" t="s">
        <v>30</v>
      </c>
      <c r="Q2036" t="s">
        <v>31</v>
      </c>
      <c r="R2036">
        <v>82640</v>
      </c>
      <c r="S2036" t="s">
        <v>42</v>
      </c>
      <c r="T2036">
        <v>82630</v>
      </c>
      <c r="U2036" t="s">
        <v>32</v>
      </c>
      <c r="V2036" t="s">
        <v>66</v>
      </c>
      <c r="W2036" t="s">
        <v>44</v>
      </c>
      <c r="X2036" t="s">
        <v>44</v>
      </c>
      <c r="Y2036" s="9">
        <f t="shared" si="94"/>
        <v>0</v>
      </c>
      <c r="Z2036" t="str">
        <f t="shared" si="95"/>
        <v>สแกนต่าง Cost</v>
      </c>
    </row>
    <row r="2037" spans="1:26" x14ac:dyDescent="0.45">
      <c r="B2037" t="s">
        <v>53</v>
      </c>
      <c r="C2037">
        <v>20060579</v>
      </c>
      <c r="D2037" t="s">
        <v>39</v>
      </c>
      <c r="E2037" s="10">
        <v>46120.604166666664</v>
      </c>
      <c r="F2037" s="10">
        <v>46120.645833333336</v>
      </c>
      <c r="G2037">
        <v>1</v>
      </c>
      <c r="H2037" s="9">
        <f t="shared" si="93"/>
        <v>5.0000000000000001E-3</v>
      </c>
      <c r="I2037">
        <v>5.0000000000000001E-3</v>
      </c>
      <c r="M2037" t="s">
        <v>65</v>
      </c>
      <c r="N2037" t="s">
        <v>29</v>
      </c>
      <c r="P2037" t="s">
        <v>30</v>
      </c>
      <c r="Q2037" t="s">
        <v>31</v>
      </c>
      <c r="R2037">
        <v>82640</v>
      </c>
      <c r="S2037" t="s">
        <v>42</v>
      </c>
      <c r="T2037">
        <v>82630</v>
      </c>
      <c r="U2037" t="s">
        <v>32</v>
      </c>
      <c r="V2037" t="s">
        <v>66</v>
      </c>
      <c r="W2037" t="s">
        <v>44</v>
      </c>
      <c r="X2037" t="s">
        <v>44</v>
      </c>
      <c r="Y2037" s="9">
        <f t="shared" si="94"/>
        <v>0</v>
      </c>
      <c r="Z2037" t="str">
        <f t="shared" si="95"/>
        <v>สแกนต่าง Cost</v>
      </c>
    </row>
    <row r="2038" spans="1:26" x14ac:dyDescent="0.45">
      <c r="B2038" t="s">
        <v>53</v>
      </c>
      <c r="C2038">
        <v>20167851</v>
      </c>
      <c r="D2038" t="s">
        <v>63</v>
      </c>
      <c r="E2038" s="10">
        <v>46120.604166666664</v>
      </c>
      <c r="F2038" s="10">
        <v>46120.666666666664</v>
      </c>
      <c r="G2038">
        <v>1.5</v>
      </c>
      <c r="H2038" s="9">
        <f t="shared" si="93"/>
        <v>8.0000000000000002E-3</v>
      </c>
      <c r="I2038">
        <v>8.0000000000000002E-3</v>
      </c>
      <c r="M2038" t="s">
        <v>65</v>
      </c>
      <c r="N2038" t="s">
        <v>29</v>
      </c>
      <c r="P2038" t="s">
        <v>30</v>
      </c>
      <c r="Q2038" t="s">
        <v>31</v>
      </c>
      <c r="R2038">
        <v>82640</v>
      </c>
      <c r="S2038" t="s">
        <v>42</v>
      </c>
      <c r="T2038">
        <v>82630</v>
      </c>
      <c r="U2038" t="s">
        <v>32</v>
      </c>
      <c r="V2038" t="s">
        <v>66</v>
      </c>
      <c r="W2038" t="s">
        <v>44</v>
      </c>
      <c r="X2038" t="s">
        <v>44</v>
      </c>
      <c r="Y2038" s="9">
        <f t="shared" si="94"/>
        <v>0</v>
      </c>
      <c r="Z2038" t="str">
        <f t="shared" si="95"/>
        <v>สแกนต่าง Cost</v>
      </c>
    </row>
    <row r="2039" spans="1:26" x14ac:dyDescent="0.45">
      <c r="B2039" t="s">
        <v>53</v>
      </c>
      <c r="C2039">
        <v>20198839</v>
      </c>
      <c r="D2039" t="s">
        <v>258</v>
      </c>
      <c r="E2039" s="10">
        <v>46120.604166666664</v>
      </c>
      <c r="F2039" s="10">
        <v>46120.625</v>
      </c>
      <c r="G2039">
        <v>0.5</v>
      </c>
      <c r="H2039" s="9">
        <f t="shared" si="93"/>
        <v>3.0000000000000001E-3</v>
      </c>
      <c r="I2039">
        <v>3.0000000000000001E-3</v>
      </c>
      <c r="M2039" t="s">
        <v>65</v>
      </c>
      <c r="N2039" t="s">
        <v>29</v>
      </c>
      <c r="P2039" t="s">
        <v>30</v>
      </c>
      <c r="Q2039" t="s">
        <v>31</v>
      </c>
      <c r="R2039">
        <v>82640</v>
      </c>
      <c r="S2039" t="s">
        <v>42</v>
      </c>
      <c r="T2039">
        <v>82630</v>
      </c>
      <c r="U2039" t="s">
        <v>32</v>
      </c>
      <c r="V2039" t="s">
        <v>66</v>
      </c>
      <c r="W2039" t="s">
        <v>44</v>
      </c>
      <c r="X2039" t="s">
        <v>44</v>
      </c>
      <c r="Y2039" s="9">
        <f t="shared" si="94"/>
        <v>0</v>
      </c>
      <c r="Z2039" t="str">
        <f t="shared" si="95"/>
        <v>สแกนต่าง Cost</v>
      </c>
    </row>
    <row r="2040" spans="1:26" x14ac:dyDescent="0.45">
      <c r="B2040" t="s">
        <v>53</v>
      </c>
      <c r="C2040">
        <v>20060579</v>
      </c>
      <c r="D2040" t="s">
        <v>39</v>
      </c>
      <c r="E2040" s="10">
        <v>46120.583333333336</v>
      </c>
      <c r="F2040" s="10">
        <v>46120.604166666664</v>
      </c>
      <c r="G2040">
        <v>0.5</v>
      </c>
      <c r="H2040" s="9">
        <f t="shared" si="93"/>
        <v>3.0000000000000001E-3</v>
      </c>
      <c r="I2040">
        <v>3.0000000000000001E-3</v>
      </c>
      <c r="M2040" t="s">
        <v>65</v>
      </c>
      <c r="N2040" t="s">
        <v>29</v>
      </c>
      <c r="P2040" t="s">
        <v>30</v>
      </c>
      <c r="Q2040" t="s">
        <v>31</v>
      </c>
      <c r="R2040">
        <v>82640</v>
      </c>
      <c r="S2040" t="s">
        <v>42</v>
      </c>
      <c r="T2040">
        <v>82622</v>
      </c>
      <c r="U2040" t="s">
        <v>147</v>
      </c>
      <c r="V2040" t="s">
        <v>66</v>
      </c>
      <c r="W2040" t="s">
        <v>44</v>
      </c>
      <c r="X2040" t="s">
        <v>44</v>
      </c>
      <c r="Y2040" s="9">
        <f t="shared" si="94"/>
        <v>0</v>
      </c>
      <c r="Z2040" t="str">
        <f t="shared" si="95"/>
        <v>สแกนต่าง Cost</v>
      </c>
    </row>
    <row r="2041" spans="1:26" x14ac:dyDescent="0.45">
      <c r="B2041" t="s">
        <v>53</v>
      </c>
      <c r="C2041">
        <v>20244923</v>
      </c>
      <c r="D2041" t="s">
        <v>246</v>
      </c>
      <c r="E2041" s="10">
        <v>46120.583333333336</v>
      </c>
      <c r="F2041" s="10">
        <v>46120.625</v>
      </c>
      <c r="G2041">
        <v>1</v>
      </c>
      <c r="H2041" s="9">
        <f t="shared" si="93"/>
        <v>5.0000000000000001E-3</v>
      </c>
      <c r="I2041">
        <v>5.0000000000000001E-3</v>
      </c>
      <c r="M2041" t="s">
        <v>65</v>
      </c>
      <c r="N2041" t="s">
        <v>29</v>
      </c>
      <c r="P2041" t="s">
        <v>30</v>
      </c>
      <c r="Q2041" t="s">
        <v>31</v>
      </c>
      <c r="R2041">
        <v>82640</v>
      </c>
      <c r="S2041" t="s">
        <v>42</v>
      </c>
      <c r="T2041">
        <v>82630</v>
      </c>
      <c r="U2041" t="s">
        <v>32</v>
      </c>
      <c r="V2041" t="s">
        <v>66</v>
      </c>
      <c r="W2041" t="s">
        <v>44</v>
      </c>
      <c r="X2041" t="s">
        <v>44</v>
      </c>
      <c r="Y2041" s="9">
        <f t="shared" si="94"/>
        <v>0</v>
      </c>
      <c r="Z2041" t="str">
        <f t="shared" si="95"/>
        <v>สแกนต่าง Cost</v>
      </c>
    </row>
    <row r="2042" spans="1:26" x14ac:dyDescent="0.45">
      <c r="B2042" t="s">
        <v>53</v>
      </c>
      <c r="C2042">
        <v>20310530</v>
      </c>
      <c r="D2042" t="s">
        <v>220</v>
      </c>
      <c r="E2042" s="10">
        <v>46120.583333333336</v>
      </c>
      <c r="F2042" s="10">
        <v>46120.604166666664</v>
      </c>
      <c r="G2042">
        <v>0.5</v>
      </c>
      <c r="H2042" s="9">
        <f t="shared" si="93"/>
        <v>3.0000000000000001E-3</v>
      </c>
      <c r="I2042">
        <v>3.0000000000000001E-3</v>
      </c>
      <c r="M2042" t="s">
        <v>65</v>
      </c>
      <c r="N2042" t="s">
        <v>29</v>
      </c>
      <c r="P2042" t="s">
        <v>30</v>
      </c>
      <c r="Q2042" t="s">
        <v>31</v>
      </c>
      <c r="R2042">
        <v>82640</v>
      </c>
      <c r="S2042" t="s">
        <v>42</v>
      </c>
      <c r="T2042">
        <v>82630</v>
      </c>
      <c r="U2042" t="s">
        <v>32</v>
      </c>
      <c r="V2042" t="s">
        <v>66</v>
      </c>
      <c r="W2042" t="s">
        <v>44</v>
      </c>
      <c r="X2042" t="s">
        <v>44</v>
      </c>
      <c r="Y2042" s="9">
        <f t="shared" si="94"/>
        <v>0</v>
      </c>
      <c r="Z2042" t="str">
        <f t="shared" si="95"/>
        <v>สแกนต่าง Cost</v>
      </c>
    </row>
    <row r="2043" spans="1:26" x14ac:dyDescent="0.45">
      <c r="B2043" t="s">
        <v>53</v>
      </c>
      <c r="C2043">
        <v>20332134</v>
      </c>
      <c r="D2043" t="s">
        <v>156</v>
      </c>
      <c r="E2043" s="10">
        <v>46120.583333333336</v>
      </c>
      <c r="F2043" s="10">
        <v>46120.625</v>
      </c>
      <c r="G2043">
        <v>1</v>
      </c>
      <c r="H2043" s="9">
        <f t="shared" si="93"/>
        <v>5.0000000000000001E-3</v>
      </c>
      <c r="I2043">
        <v>5.0000000000000001E-3</v>
      </c>
      <c r="M2043" t="s">
        <v>65</v>
      </c>
      <c r="N2043" t="s">
        <v>29</v>
      </c>
      <c r="P2043" t="s">
        <v>30</v>
      </c>
      <c r="Q2043" t="s">
        <v>31</v>
      </c>
      <c r="R2043">
        <v>82640</v>
      </c>
      <c r="S2043" t="s">
        <v>42</v>
      </c>
      <c r="T2043">
        <v>82612</v>
      </c>
      <c r="U2043" t="s">
        <v>153</v>
      </c>
      <c r="V2043" t="s">
        <v>66</v>
      </c>
      <c r="W2043" t="s">
        <v>44</v>
      </c>
      <c r="X2043" t="s">
        <v>44</v>
      </c>
      <c r="Y2043" s="9">
        <f t="shared" si="94"/>
        <v>0</v>
      </c>
      <c r="Z2043" t="str">
        <f t="shared" si="95"/>
        <v>สแกนต่าง Cost</v>
      </c>
    </row>
    <row r="2044" spans="1:26" x14ac:dyDescent="0.45">
      <c r="A2044">
        <v>26098</v>
      </c>
      <c r="B2044" t="s">
        <v>53</v>
      </c>
      <c r="C2044">
        <v>20075031</v>
      </c>
      <c r="D2044" t="s">
        <v>191</v>
      </c>
      <c r="E2044" s="10">
        <v>46120.5625</v>
      </c>
      <c r="F2044" s="10">
        <v>46120.729166666664</v>
      </c>
      <c r="G2044">
        <v>4</v>
      </c>
      <c r="H2044" s="9">
        <f t="shared" si="93"/>
        <v>2.1000000000000001E-2</v>
      </c>
      <c r="I2044">
        <v>2.1000000000000001E-2</v>
      </c>
      <c r="M2044" t="s">
        <v>65</v>
      </c>
      <c r="N2044" t="s">
        <v>29</v>
      </c>
      <c r="P2044" t="s">
        <v>30</v>
      </c>
      <c r="Q2044" t="s">
        <v>31</v>
      </c>
      <c r="R2044">
        <v>82640</v>
      </c>
      <c r="S2044" t="s">
        <v>42</v>
      </c>
      <c r="T2044">
        <v>82611</v>
      </c>
      <c r="U2044" t="s">
        <v>43</v>
      </c>
      <c r="V2044" t="s">
        <v>43</v>
      </c>
      <c r="W2044" t="s">
        <v>47</v>
      </c>
      <c r="X2044" t="s">
        <v>192</v>
      </c>
      <c r="Y2044" s="9">
        <f t="shared" si="94"/>
        <v>0</v>
      </c>
      <c r="Z2044" t="str">
        <f t="shared" si="95"/>
        <v>สแกนต่าง Cost</v>
      </c>
    </row>
    <row r="2045" spans="1:26" x14ac:dyDescent="0.45">
      <c r="B2045" t="s">
        <v>53</v>
      </c>
      <c r="C2045">
        <v>20198839</v>
      </c>
      <c r="D2045" t="s">
        <v>258</v>
      </c>
      <c r="E2045" s="10">
        <v>46120.5625</v>
      </c>
      <c r="F2045" s="10">
        <v>46120.604166666664</v>
      </c>
      <c r="G2045">
        <v>1</v>
      </c>
      <c r="H2045" s="9">
        <f t="shared" si="93"/>
        <v>5.0000000000000001E-3</v>
      </c>
      <c r="I2045">
        <v>5.0000000000000001E-3</v>
      </c>
      <c r="M2045" t="s">
        <v>65</v>
      </c>
      <c r="N2045" t="s">
        <v>29</v>
      </c>
      <c r="P2045" t="s">
        <v>30</v>
      </c>
      <c r="Q2045" t="s">
        <v>31</v>
      </c>
      <c r="R2045">
        <v>82640</v>
      </c>
      <c r="S2045" t="s">
        <v>42</v>
      </c>
      <c r="T2045">
        <v>82611</v>
      </c>
      <c r="U2045" t="s">
        <v>43</v>
      </c>
      <c r="V2045" t="s">
        <v>66</v>
      </c>
      <c r="W2045" t="s">
        <v>44</v>
      </c>
      <c r="X2045" t="s">
        <v>44</v>
      </c>
      <c r="Y2045" s="9">
        <f t="shared" si="94"/>
        <v>0</v>
      </c>
      <c r="Z2045" t="str">
        <f t="shared" si="95"/>
        <v>สแกนต่าง Cost</v>
      </c>
    </row>
    <row r="2046" spans="1:26" x14ac:dyDescent="0.45">
      <c r="B2046" t="s">
        <v>53</v>
      </c>
      <c r="C2046">
        <v>20368087</v>
      </c>
      <c r="D2046" t="s">
        <v>260</v>
      </c>
      <c r="E2046" s="10">
        <v>46120.5625</v>
      </c>
      <c r="F2046" s="10">
        <v>46120.625</v>
      </c>
      <c r="G2046">
        <v>1.5</v>
      </c>
      <c r="H2046" s="9">
        <f t="shared" si="93"/>
        <v>8.0000000000000002E-3</v>
      </c>
      <c r="I2046">
        <v>8.0000000000000002E-3</v>
      </c>
      <c r="M2046" t="s">
        <v>65</v>
      </c>
      <c r="N2046" t="s">
        <v>29</v>
      </c>
      <c r="P2046" t="s">
        <v>30</v>
      </c>
      <c r="Q2046" t="s">
        <v>31</v>
      </c>
      <c r="R2046">
        <v>82640</v>
      </c>
      <c r="S2046" t="s">
        <v>42</v>
      </c>
      <c r="T2046">
        <v>82612</v>
      </c>
      <c r="U2046" t="s">
        <v>153</v>
      </c>
      <c r="V2046" t="s">
        <v>66</v>
      </c>
      <c r="W2046" t="s">
        <v>44</v>
      </c>
      <c r="X2046" t="s">
        <v>44</v>
      </c>
      <c r="Y2046" s="9">
        <f t="shared" si="94"/>
        <v>0</v>
      </c>
      <c r="Z2046" t="str">
        <f t="shared" si="95"/>
        <v>สแกนต่าง Cost</v>
      </c>
    </row>
    <row r="2047" spans="1:26" x14ac:dyDescent="0.45">
      <c r="B2047" t="s">
        <v>53</v>
      </c>
      <c r="C2047">
        <v>20018899</v>
      </c>
      <c r="D2047" t="s">
        <v>64</v>
      </c>
      <c r="E2047" s="10">
        <v>46120.541666666664</v>
      </c>
      <c r="F2047" s="10">
        <v>46120.729166666664</v>
      </c>
      <c r="G2047">
        <v>4.5</v>
      </c>
      <c r="H2047" s="9">
        <f t="shared" si="93"/>
        <v>2.4E-2</v>
      </c>
      <c r="I2047">
        <v>2.4E-2</v>
      </c>
      <c r="M2047" t="s">
        <v>65</v>
      </c>
      <c r="N2047" t="s">
        <v>29</v>
      </c>
      <c r="P2047" t="s">
        <v>30</v>
      </c>
      <c r="Q2047" t="s">
        <v>31</v>
      </c>
      <c r="R2047">
        <v>82640</v>
      </c>
      <c r="S2047" t="s">
        <v>42</v>
      </c>
      <c r="T2047">
        <v>82652</v>
      </c>
      <c r="U2047" t="s">
        <v>46</v>
      </c>
      <c r="V2047" t="s">
        <v>66</v>
      </c>
      <c r="W2047" t="s">
        <v>37</v>
      </c>
      <c r="X2047" t="s">
        <v>34</v>
      </c>
      <c r="Y2047" s="9">
        <f t="shared" si="94"/>
        <v>0</v>
      </c>
      <c r="Z2047" t="str">
        <f t="shared" si="95"/>
        <v>สแกนต่าง Cost</v>
      </c>
    </row>
    <row r="2048" spans="1:26" x14ac:dyDescent="0.45">
      <c r="B2048" t="s">
        <v>53</v>
      </c>
      <c r="C2048">
        <v>20060579</v>
      </c>
      <c r="D2048" t="s">
        <v>39</v>
      </c>
      <c r="E2048" s="10">
        <v>46120.541666666664</v>
      </c>
      <c r="F2048" s="10">
        <v>46120.5625</v>
      </c>
      <c r="G2048">
        <v>0.5</v>
      </c>
      <c r="H2048" s="9">
        <f t="shared" si="93"/>
        <v>3.0000000000000001E-3</v>
      </c>
      <c r="I2048">
        <v>3.0000000000000001E-3</v>
      </c>
      <c r="M2048" t="s">
        <v>65</v>
      </c>
      <c r="N2048" t="s">
        <v>29</v>
      </c>
      <c r="P2048" t="s">
        <v>30</v>
      </c>
      <c r="Q2048" t="s">
        <v>31</v>
      </c>
      <c r="R2048">
        <v>82640</v>
      </c>
      <c r="S2048" t="s">
        <v>42</v>
      </c>
      <c r="T2048">
        <v>82630</v>
      </c>
      <c r="U2048" t="s">
        <v>32</v>
      </c>
      <c r="V2048" t="s">
        <v>66</v>
      </c>
      <c r="W2048" t="s">
        <v>44</v>
      </c>
      <c r="X2048" t="s">
        <v>44</v>
      </c>
      <c r="Y2048" s="9">
        <f t="shared" si="94"/>
        <v>0</v>
      </c>
      <c r="Z2048" t="str">
        <f t="shared" si="95"/>
        <v>สแกนต่าง Cost</v>
      </c>
    </row>
    <row r="2049" spans="2:26" x14ac:dyDescent="0.45">
      <c r="B2049" t="s">
        <v>53</v>
      </c>
      <c r="C2049">
        <v>20167851</v>
      </c>
      <c r="D2049" t="s">
        <v>63</v>
      </c>
      <c r="E2049" s="10">
        <v>46120.541666666664</v>
      </c>
      <c r="F2049" s="10">
        <v>46120.583333333336</v>
      </c>
      <c r="G2049">
        <v>1</v>
      </c>
      <c r="H2049" s="9">
        <f t="shared" si="93"/>
        <v>5.0000000000000001E-3</v>
      </c>
      <c r="I2049">
        <v>5.0000000000000001E-3</v>
      </c>
      <c r="M2049" t="s">
        <v>65</v>
      </c>
      <c r="N2049" t="s">
        <v>29</v>
      </c>
      <c r="P2049" t="s">
        <v>30</v>
      </c>
      <c r="Q2049" t="s">
        <v>31</v>
      </c>
      <c r="R2049">
        <v>82640</v>
      </c>
      <c r="S2049" t="s">
        <v>42</v>
      </c>
      <c r="T2049">
        <v>82612</v>
      </c>
      <c r="U2049" t="s">
        <v>153</v>
      </c>
      <c r="V2049" t="s">
        <v>66</v>
      </c>
      <c r="W2049" t="s">
        <v>44</v>
      </c>
      <c r="X2049" t="s">
        <v>44</v>
      </c>
      <c r="Y2049" s="9">
        <f t="shared" si="94"/>
        <v>0</v>
      </c>
      <c r="Z2049" t="str">
        <f t="shared" si="95"/>
        <v>สแกนต่าง Cost</v>
      </c>
    </row>
    <row r="2050" spans="2:26" x14ac:dyDescent="0.45">
      <c r="B2050" t="s">
        <v>53</v>
      </c>
      <c r="C2050">
        <v>20220646</v>
      </c>
      <c r="D2050" t="s">
        <v>67</v>
      </c>
      <c r="E2050" s="10">
        <v>46120.541666666664</v>
      </c>
      <c r="F2050" s="10">
        <v>46120.729166666664</v>
      </c>
      <c r="G2050">
        <v>4.5</v>
      </c>
      <c r="H2050" s="9">
        <f t="shared" si="93"/>
        <v>2.4E-2</v>
      </c>
      <c r="I2050">
        <v>2.4E-2</v>
      </c>
      <c r="M2050" t="s">
        <v>65</v>
      </c>
      <c r="N2050" t="s">
        <v>29</v>
      </c>
      <c r="P2050" t="s">
        <v>30</v>
      </c>
      <c r="Q2050" t="s">
        <v>31</v>
      </c>
      <c r="R2050">
        <v>82640</v>
      </c>
      <c r="S2050" t="s">
        <v>42</v>
      </c>
      <c r="T2050">
        <v>82652</v>
      </c>
      <c r="U2050" t="s">
        <v>46</v>
      </c>
      <c r="V2050" t="s">
        <v>66</v>
      </c>
      <c r="W2050" t="s">
        <v>37</v>
      </c>
      <c r="X2050" t="s">
        <v>34</v>
      </c>
      <c r="Y2050" s="9">
        <f t="shared" si="94"/>
        <v>0</v>
      </c>
      <c r="Z2050" t="str">
        <f t="shared" si="95"/>
        <v>สแกนต่าง Cost</v>
      </c>
    </row>
    <row r="2051" spans="2:26" x14ac:dyDescent="0.45">
      <c r="B2051" t="s">
        <v>53</v>
      </c>
      <c r="C2051">
        <v>20244923</v>
      </c>
      <c r="D2051" t="s">
        <v>246</v>
      </c>
      <c r="E2051" s="10">
        <v>46120.541666666664</v>
      </c>
      <c r="F2051" s="10">
        <v>46120.583333333336</v>
      </c>
      <c r="G2051">
        <v>1</v>
      </c>
      <c r="H2051" s="9">
        <f t="shared" ref="H2051:H2114" si="96">SUM(I2051:L2051)</f>
        <v>5.0000000000000001E-3</v>
      </c>
      <c r="I2051">
        <v>5.0000000000000001E-3</v>
      </c>
      <c r="M2051" t="s">
        <v>65</v>
      </c>
      <c r="N2051" t="s">
        <v>29</v>
      </c>
      <c r="P2051" t="s">
        <v>30</v>
      </c>
      <c r="Q2051" t="s">
        <v>31</v>
      </c>
      <c r="R2051">
        <v>82640</v>
      </c>
      <c r="S2051" t="s">
        <v>42</v>
      </c>
      <c r="T2051">
        <v>82612</v>
      </c>
      <c r="U2051" t="s">
        <v>153</v>
      </c>
      <c r="V2051" t="s">
        <v>66</v>
      </c>
      <c r="W2051" t="s">
        <v>44</v>
      </c>
      <c r="X2051" t="s">
        <v>44</v>
      </c>
      <c r="Y2051" s="9">
        <f t="shared" ref="Y2051:Y2114" si="97">SUM(J2051:L2051)</f>
        <v>0</v>
      </c>
      <c r="Z2051" t="str">
        <f t="shared" ref="Z2051:Z2114" si="98">IF(R2051=T2051,"สแกน Cost ตัวเอง","สแกนต่าง Cost")</f>
        <v>สแกนต่าง Cost</v>
      </c>
    </row>
    <row r="2052" spans="2:26" x14ac:dyDescent="0.45">
      <c r="B2052" t="s">
        <v>53</v>
      </c>
      <c r="C2052">
        <v>20280718</v>
      </c>
      <c r="D2052" t="s">
        <v>256</v>
      </c>
      <c r="E2052" s="10">
        <v>46120.541666666664</v>
      </c>
      <c r="F2052" s="10">
        <v>46120.5625</v>
      </c>
      <c r="G2052">
        <v>0.5</v>
      </c>
      <c r="H2052" s="9">
        <f t="shared" si="96"/>
        <v>3.0000000000000001E-3</v>
      </c>
      <c r="I2052">
        <v>3.0000000000000001E-3</v>
      </c>
      <c r="M2052" t="s">
        <v>65</v>
      </c>
      <c r="N2052" t="s">
        <v>29</v>
      </c>
      <c r="P2052" t="s">
        <v>30</v>
      </c>
      <c r="Q2052" t="s">
        <v>31</v>
      </c>
      <c r="R2052">
        <v>82640</v>
      </c>
      <c r="S2052" t="s">
        <v>42</v>
      </c>
      <c r="T2052">
        <v>82630</v>
      </c>
      <c r="U2052" t="s">
        <v>32</v>
      </c>
      <c r="V2052" t="s">
        <v>66</v>
      </c>
      <c r="W2052" t="s">
        <v>44</v>
      </c>
      <c r="X2052" t="s">
        <v>44</v>
      </c>
      <c r="Y2052" s="9">
        <f t="shared" si="97"/>
        <v>0</v>
      </c>
      <c r="Z2052" t="str">
        <f t="shared" si="98"/>
        <v>สแกนต่าง Cost</v>
      </c>
    </row>
    <row r="2053" spans="2:26" x14ac:dyDescent="0.45">
      <c r="B2053" t="s">
        <v>53</v>
      </c>
      <c r="C2053">
        <v>20280718</v>
      </c>
      <c r="D2053" t="s">
        <v>256</v>
      </c>
      <c r="E2053" s="10">
        <v>46120.541666666664</v>
      </c>
      <c r="F2053" s="10">
        <v>46120.604166666664</v>
      </c>
      <c r="G2053">
        <v>1.5</v>
      </c>
      <c r="H2053" s="9">
        <f t="shared" si="96"/>
        <v>8.0000000000000002E-3</v>
      </c>
      <c r="I2053">
        <v>8.0000000000000002E-3</v>
      </c>
      <c r="M2053" t="s">
        <v>65</v>
      </c>
      <c r="N2053" t="s">
        <v>29</v>
      </c>
      <c r="P2053" t="s">
        <v>30</v>
      </c>
      <c r="Q2053" t="s">
        <v>31</v>
      </c>
      <c r="R2053">
        <v>82640</v>
      </c>
      <c r="S2053" t="s">
        <v>42</v>
      </c>
      <c r="T2053">
        <v>82630</v>
      </c>
      <c r="U2053" t="s">
        <v>32</v>
      </c>
      <c r="V2053" t="s">
        <v>66</v>
      </c>
      <c r="W2053" t="s">
        <v>44</v>
      </c>
      <c r="X2053" t="s">
        <v>44</v>
      </c>
      <c r="Y2053" s="9">
        <f t="shared" si="97"/>
        <v>0</v>
      </c>
      <c r="Z2053" t="str">
        <f t="shared" si="98"/>
        <v>สแกนต่าง Cost</v>
      </c>
    </row>
    <row r="2054" spans="2:26" x14ac:dyDescent="0.45">
      <c r="B2054" t="s">
        <v>53</v>
      </c>
      <c r="C2054">
        <v>20280722</v>
      </c>
      <c r="D2054" t="s">
        <v>342</v>
      </c>
      <c r="E2054" s="10">
        <v>46120.541666666664</v>
      </c>
      <c r="F2054" s="10">
        <v>46120.729166666664</v>
      </c>
      <c r="G2054">
        <v>4.5</v>
      </c>
      <c r="H2054" s="9">
        <f t="shared" si="96"/>
        <v>2.4E-2</v>
      </c>
      <c r="I2054">
        <v>2.4E-2</v>
      </c>
      <c r="M2054" t="s">
        <v>65</v>
      </c>
      <c r="N2054" t="s">
        <v>29</v>
      </c>
      <c r="P2054" t="s">
        <v>30</v>
      </c>
      <c r="Q2054" t="s">
        <v>31</v>
      </c>
      <c r="R2054">
        <v>82640</v>
      </c>
      <c r="S2054" t="s">
        <v>42</v>
      </c>
      <c r="T2054">
        <v>82652</v>
      </c>
      <c r="U2054" t="s">
        <v>46</v>
      </c>
      <c r="V2054" t="s">
        <v>66</v>
      </c>
      <c r="W2054" t="s">
        <v>37</v>
      </c>
      <c r="X2054" t="s">
        <v>34</v>
      </c>
      <c r="Y2054" s="9">
        <f t="shared" si="97"/>
        <v>0</v>
      </c>
      <c r="Z2054" t="str">
        <f t="shared" si="98"/>
        <v>สแกนต่าง Cost</v>
      </c>
    </row>
    <row r="2055" spans="2:26" x14ac:dyDescent="0.45">
      <c r="B2055" t="s">
        <v>53</v>
      </c>
      <c r="C2055">
        <v>20310530</v>
      </c>
      <c r="D2055" t="s">
        <v>220</v>
      </c>
      <c r="E2055" s="10">
        <v>46120.541666666664</v>
      </c>
      <c r="F2055" s="10">
        <v>46120.583333333336</v>
      </c>
      <c r="G2055">
        <v>1</v>
      </c>
      <c r="H2055" s="9">
        <f t="shared" si="96"/>
        <v>5.0000000000000001E-3</v>
      </c>
      <c r="I2055">
        <v>5.0000000000000001E-3</v>
      </c>
      <c r="M2055" t="s">
        <v>65</v>
      </c>
      <c r="N2055" t="s">
        <v>29</v>
      </c>
      <c r="P2055" t="s">
        <v>30</v>
      </c>
      <c r="Q2055" t="s">
        <v>31</v>
      </c>
      <c r="R2055">
        <v>82640</v>
      </c>
      <c r="S2055" t="s">
        <v>42</v>
      </c>
      <c r="T2055">
        <v>82612</v>
      </c>
      <c r="U2055" t="s">
        <v>153</v>
      </c>
      <c r="V2055" t="s">
        <v>66</v>
      </c>
      <c r="W2055" t="s">
        <v>44</v>
      </c>
      <c r="X2055" t="s">
        <v>44</v>
      </c>
      <c r="Y2055" s="9">
        <f t="shared" si="97"/>
        <v>0</v>
      </c>
      <c r="Z2055" t="str">
        <f t="shared" si="98"/>
        <v>สแกนต่าง Cost</v>
      </c>
    </row>
    <row r="2056" spans="2:26" x14ac:dyDescent="0.45">
      <c r="B2056" t="s">
        <v>53</v>
      </c>
      <c r="C2056">
        <v>20310532</v>
      </c>
      <c r="D2056" t="s">
        <v>61</v>
      </c>
      <c r="E2056" s="10">
        <v>46120.541666666664</v>
      </c>
      <c r="F2056" s="10">
        <v>46120.625</v>
      </c>
      <c r="G2056">
        <v>2</v>
      </c>
      <c r="H2056" s="9">
        <f t="shared" si="96"/>
        <v>1.0999999999999999E-2</v>
      </c>
      <c r="I2056">
        <v>1.0999999999999999E-2</v>
      </c>
      <c r="M2056" t="s">
        <v>65</v>
      </c>
      <c r="N2056" t="s">
        <v>29</v>
      </c>
      <c r="P2056" t="s">
        <v>30</v>
      </c>
      <c r="Q2056" t="s">
        <v>31</v>
      </c>
      <c r="R2056">
        <v>82640</v>
      </c>
      <c r="S2056" t="s">
        <v>42</v>
      </c>
      <c r="T2056">
        <v>82630</v>
      </c>
      <c r="U2056" t="s">
        <v>32</v>
      </c>
      <c r="V2056" t="s">
        <v>66</v>
      </c>
      <c r="W2056" t="s">
        <v>44</v>
      </c>
      <c r="X2056" t="s">
        <v>44</v>
      </c>
      <c r="Y2056" s="9">
        <f t="shared" si="97"/>
        <v>0</v>
      </c>
      <c r="Z2056" t="str">
        <f t="shared" si="98"/>
        <v>สแกนต่าง Cost</v>
      </c>
    </row>
    <row r="2057" spans="2:26" x14ac:dyDescent="0.45">
      <c r="B2057" t="s">
        <v>53</v>
      </c>
      <c r="C2057">
        <v>20332134</v>
      </c>
      <c r="D2057" t="s">
        <v>156</v>
      </c>
      <c r="E2057" s="10">
        <v>46120.541666666664</v>
      </c>
      <c r="F2057" s="10">
        <v>46120.583333333336</v>
      </c>
      <c r="G2057">
        <v>1</v>
      </c>
      <c r="H2057" s="9">
        <f t="shared" si="96"/>
        <v>5.0000000000000001E-3</v>
      </c>
      <c r="I2057">
        <v>5.0000000000000001E-3</v>
      </c>
      <c r="M2057" t="s">
        <v>65</v>
      </c>
      <c r="N2057" t="s">
        <v>29</v>
      </c>
      <c r="P2057" t="s">
        <v>30</v>
      </c>
      <c r="Q2057" t="s">
        <v>31</v>
      </c>
      <c r="R2057">
        <v>82640</v>
      </c>
      <c r="S2057" t="s">
        <v>42</v>
      </c>
      <c r="T2057">
        <v>82630</v>
      </c>
      <c r="U2057" t="s">
        <v>32</v>
      </c>
      <c r="V2057" t="s">
        <v>66</v>
      </c>
      <c r="W2057" t="s">
        <v>44</v>
      </c>
      <c r="X2057" t="s">
        <v>44</v>
      </c>
      <c r="Y2057" s="9">
        <f t="shared" si="97"/>
        <v>0</v>
      </c>
      <c r="Z2057" t="str">
        <f t="shared" si="98"/>
        <v>สแกนต่าง Cost</v>
      </c>
    </row>
    <row r="2058" spans="2:26" x14ac:dyDescent="0.45">
      <c r="B2058" t="s">
        <v>53</v>
      </c>
      <c r="C2058">
        <v>20340657</v>
      </c>
      <c r="D2058" t="s">
        <v>221</v>
      </c>
      <c r="E2058" s="10">
        <v>46120.541666666664</v>
      </c>
      <c r="F2058" s="10">
        <v>46120.729166666664</v>
      </c>
      <c r="G2058">
        <v>4.5</v>
      </c>
      <c r="H2058" s="9">
        <f t="shared" si="96"/>
        <v>2.4E-2</v>
      </c>
      <c r="I2058">
        <v>2.4E-2</v>
      </c>
      <c r="M2058" t="s">
        <v>65</v>
      </c>
      <c r="N2058" t="s">
        <v>29</v>
      </c>
      <c r="P2058" t="s">
        <v>30</v>
      </c>
      <c r="Q2058" t="s">
        <v>31</v>
      </c>
      <c r="R2058">
        <v>82640</v>
      </c>
      <c r="S2058" t="s">
        <v>42</v>
      </c>
      <c r="T2058">
        <v>82612</v>
      </c>
      <c r="U2058" t="s">
        <v>153</v>
      </c>
      <c r="V2058" t="s">
        <v>66</v>
      </c>
      <c r="W2058" t="s">
        <v>44</v>
      </c>
      <c r="X2058" t="s">
        <v>44</v>
      </c>
      <c r="Y2058" s="9">
        <f t="shared" si="97"/>
        <v>0</v>
      </c>
      <c r="Z2058" t="str">
        <f t="shared" si="98"/>
        <v>สแกนต่าง Cost</v>
      </c>
    </row>
    <row r="2059" spans="2:26" x14ac:dyDescent="0.45">
      <c r="B2059" t="s">
        <v>53</v>
      </c>
      <c r="C2059">
        <v>20368087</v>
      </c>
      <c r="D2059" t="s">
        <v>260</v>
      </c>
      <c r="E2059" s="10">
        <v>46120.541666666664</v>
      </c>
      <c r="F2059" s="10">
        <v>46120.5625</v>
      </c>
      <c r="G2059">
        <v>0.5</v>
      </c>
      <c r="H2059" s="9">
        <f t="shared" si="96"/>
        <v>3.0000000000000001E-3</v>
      </c>
      <c r="I2059">
        <v>3.0000000000000001E-3</v>
      </c>
      <c r="M2059" t="s">
        <v>65</v>
      </c>
      <c r="N2059" t="s">
        <v>29</v>
      </c>
      <c r="P2059" t="s">
        <v>30</v>
      </c>
      <c r="Q2059" t="s">
        <v>31</v>
      </c>
      <c r="R2059">
        <v>82640</v>
      </c>
      <c r="S2059" t="s">
        <v>42</v>
      </c>
      <c r="T2059">
        <v>82630</v>
      </c>
      <c r="U2059" t="s">
        <v>32</v>
      </c>
      <c r="V2059" t="s">
        <v>66</v>
      </c>
      <c r="W2059" t="s">
        <v>44</v>
      </c>
      <c r="X2059" t="s">
        <v>44</v>
      </c>
      <c r="Y2059" s="9">
        <f t="shared" si="97"/>
        <v>0</v>
      </c>
      <c r="Z2059" t="str">
        <f t="shared" si="98"/>
        <v>สแกนต่าง Cost</v>
      </c>
    </row>
    <row r="2060" spans="2:26" x14ac:dyDescent="0.45">
      <c r="B2060" t="s">
        <v>53</v>
      </c>
      <c r="C2060">
        <v>20060579</v>
      </c>
      <c r="D2060" t="s">
        <v>39</v>
      </c>
      <c r="E2060" s="10">
        <v>46120.458333333336</v>
      </c>
      <c r="F2060" s="10">
        <v>46120.5</v>
      </c>
      <c r="G2060">
        <v>1</v>
      </c>
      <c r="H2060" s="9">
        <f t="shared" si="96"/>
        <v>5.0000000000000001E-3</v>
      </c>
      <c r="I2060">
        <v>5.0000000000000001E-3</v>
      </c>
      <c r="M2060" t="s">
        <v>65</v>
      </c>
      <c r="N2060" t="s">
        <v>29</v>
      </c>
      <c r="P2060" t="s">
        <v>30</v>
      </c>
      <c r="Q2060" t="s">
        <v>31</v>
      </c>
      <c r="R2060">
        <v>82640</v>
      </c>
      <c r="S2060" t="s">
        <v>42</v>
      </c>
      <c r="T2060">
        <v>82611</v>
      </c>
      <c r="U2060" t="s">
        <v>43</v>
      </c>
      <c r="V2060" t="s">
        <v>66</v>
      </c>
      <c r="W2060" t="s">
        <v>44</v>
      </c>
      <c r="X2060" t="s">
        <v>44</v>
      </c>
      <c r="Y2060" s="9">
        <f t="shared" si="97"/>
        <v>0</v>
      </c>
      <c r="Z2060" t="str">
        <f t="shared" si="98"/>
        <v>สแกนต่าง Cost</v>
      </c>
    </row>
    <row r="2061" spans="2:26" x14ac:dyDescent="0.45">
      <c r="B2061" t="s">
        <v>53</v>
      </c>
      <c r="C2061">
        <v>20167851</v>
      </c>
      <c r="D2061" t="s">
        <v>63</v>
      </c>
      <c r="E2061" s="10">
        <v>46120.458333333336</v>
      </c>
      <c r="F2061" s="10">
        <v>46120.5</v>
      </c>
      <c r="G2061">
        <v>1</v>
      </c>
      <c r="H2061" s="9">
        <f t="shared" si="96"/>
        <v>5.0000000000000001E-3</v>
      </c>
      <c r="I2061">
        <v>5.0000000000000001E-3</v>
      </c>
      <c r="M2061" t="s">
        <v>65</v>
      </c>
      <c r="N2061" t="s">
        <v>29</v>
      </c>
      <c r="P2061" t="s">
        <v>30</v>
      </c>
      <c r="Q2061" t="s">
        <v>31</v>
      </c>
      <c r="R2061">
        <v>82640</v>
      </c>
      <c r="S2061" t="s">
        <v>42</v>
      </c>
      <c r="T2061">
        <v>82611</v>
      </c>
      <c r="U2061" t="s">
        <v>43</v>
      </c>
      <c r="V2061" t="s">
        <v>66</v>
      </c>
      <c r="W2061" t="s">
        <v>44</v>
      </c>
      <c r="X2061" t="s">
        <v>44</v>
      </c>
      <c r="Y2061" s="9">
        <f t="shared" si="97"/>
        <v>0</v>
      </c>
      <c r="Z2061" t="str">
        <f t="shared" si="98"/>
        <v>สแกนต่าง Cost</v>
      </c>
    </row>
    <row r="2062" spans="2:26" x14ac:dyDescent="0.45">
      <c r="B2062" t="s">
        <v>53</v>
      </c>
      <c r="C2062">
        <v>20310530</v>
      </c>
      <c r="D2062" t="s">
        <v>220</v>
      </c>
      <c r="E2062" s="10">
        <v>46120.458333333336</v>
      </c>
      <c r="F2062" s="10">
        <v>46120.5</v>
      </c>
      <c r="G2062">
        <v>1</v>
      </c>
      <c r="H2062" s="9">
        <f t="shared" si="96"/>
        <v>5.0000000000000001E-3</v>
      </c>
      <c r="I2062">
        <v>5.0000000000000001E-3</v>
      </c>
      <c r="M2062" t="s">
        <v>65</v>
      </c>
      <c r="N2062" t="s">
        <v>29</v>
      </c>
      <c r="P2062" t="s">
        <v>30</v>
      </c>
      <c r="Q2062" t="s">
        <v>31</v>
      </c>
      <c r="R2062">
        <v>82640</v>
      </c>
      <c r="S2062" t="s">
        <v>42</v>
      </c>
      <c r="T2062">
        <v>82630</v>
      </c>
      <c r="U2062" t="s">
        <v>32</v>
      </c>
      <c r="V2062" t="s">
        <v>66</v>
      </c>
      <c r="W2062" t="s">
        <v>44</v>
      </c>
      <c r="X2062" t="s">
        <v>44</v>
      </c>
      <c r="Y2062" s="9">
        <f t="shared" si="97"/>
        <v>0</v>
      </c>
      <c r="Z2062" t="str">
        <f t="shared" si="98"/>
        <v>สแกนต่าง Cost</v>
      </c>
    </row>
    <row r="2063" spans="2:26" x14ac:dyDescent="0.45">
      <c r="B2063" t="s">
        <v>53</v>
      </c>
      <c r="C2063">
        <v>20332134</v>
      </c>
      <c r="D2063" t="s">
        <v>156</v>
      </c>
      <c r="E2063" s="10">
        <v>46120.458333333336</v>
      </c>
      <c r="F2063" s="10">
        <v>46120.5</v>
      </c>
      <c r="G2063">
        <v>1</v>
      </c>
      <c r="H2063" s="9">
        <f t="shared" si="96"/>
        <v>5.0000000000000001E-3</v>
      </c>
      <c r="I2063">
        <v>5.0000000000000001E-3</v>
      </c>
      <c r="M2063" t="s">
        <v>65</v>
      </c>
      <c r="N2063" t="s">
        <v>29</v>
      </c>
      <c r="P2063" t="s">
        <v>30</v>
      </c>
      <c r="Q2063" t="s">
        <v>31</v>
      </c>
      <c r="R2063">
        <v>82640</v>
      </c>
      <c r="S2063" t="s">
        <v>42</v>
      </c>
      <c r="T2063">
        <v>82612</v>
      </c>
      <c r="U2063" t="s">
        <v>153</v>
      </c>
      <c r="V2063" t="s">
        <v>66</v>
      </c>
      <c r="W2063" t="s">
        <v>44</v>
      </c>
      <c r="X2063" t="s">
        <v>44</v>
      </c>
      <c r="Y2063" s="9">
        <f t="shared" si="97"/>
        <v>0</v>
      </c>
      <c r="Z2063" t="str">
        <f t="shared" si="98"/>
        <v>สแกนต่าง Cost</v>
      </c>
    </row>
    <row r="2064" spans="2:26" x14ac:dyDescent="0.45">
      <c r="B2064" t="s">
        <v>53</v>
      </c>
      <c r="C2064">
        <v>20198839</v>
      </c>
      <c r="D2064" t="s">
        <v>258</v>
      </c>
      <c r="E2064" s="10">
        <v>46120.4375</v>
      </c>
      <c r="F2064" s="10">
        <v>46120.479166666664</v>
      </c>
      <c r="G2064">
        <v>1</v>
      </c>
      <c r="H2064" s="9">
        <f t="shared" si="96"/>
        <v>5.0000000000000001E-3</v>
      </c>
      <c r="I2064">
        <v>5.0000000000000001E-3</v>
      </c>
      <c r="M2064" t="s">
        <v>65</v>
      </c>
      <c r="N2064" t="s">
        <v>29</v>
      </c>
      <c r="P2064" t="s">
        <v>30</v>
      </c>
      <c r="Q2064" t="s">
        <v>31</v>
      </c>
      <c r="R2064">
        <v>82640</v>
      </c>
      <c r="S2064" t="s">
        <v>42</v>
      </c>
      <c r="T2064">
        <v>82611</v>
      </c>
      <c r="U2064" t="s">
        <v>43</v>
      </c>
      <c r="V2064" t="s">
        <v>66</v>
      </c>
      <c r="W2064" t="s">
        <v>44</v>
      </c>
      <c r="X2064" t="s">
        <v>44</v>
      </c>
      <c r="Y2064" s="9">
        <f t="shared" si="97"/>
        <v>0</v>
      </c>
      <c r="Z2064" t="str">
        <f t="shared" si="98"/>
        <v>สแกนต่าง Cost</v>
      </c>
    </row>
    <row r="2065" spans="1:26" x14ac:dyDescent="0.45">
      <c r="B2065" t="s">
        <v>53</v>
      </c>
      <c r="C2065">
        <v>20368087</v>
      </c>
      <c r="D2065" t="s">
        <v>260</v>
      </c>
      <c r="E2065" s="10">
        <v>46120.4375</v>
      </c>
      <c r="F2065" s="10">
        <v>46120.5</v>
      </c>
      <c r="G2065">
        <v>1.5</v>
      </c>
      <c r="H2065" s="9">
        <f t="shared" si="96"/>
        <v>8.0000000000000002E-3</v>
      </c>
      <c r="I2065">
        <v>8.0000000000000002E-3</v>
      </c>
      <c r="M2065" t="s">
        <v>65</v>
      </c>
      <c r="N2065" t="s">
        <v>29</v>
      </c>
      <c r="P2065" t="s">
        <v>30</v>
      </c>
      <c r="Q2065" t="s">
        <v>31</v>
      </c>
      <c r="R2065">
        <v>82640</v>
      </c>
      <c r="S2065" t="s">
        <v>42</v>
      </c>
      <c r="T2065">
        <v>82630</v>
      </c>
      <c r="U2065" t="s">
        <v>32</v>
      </c>
      <c r="V2065" t="s">
        <v>66</v>
      </c>
      <c r="W2065" t="s">
        <v>44</v>
      </c>
      <c r="X2065" t="s">
        <v>44</v>
      </c>
      <c r="Y2065" s="9">
        <f t="shared" si="97"/>
        <v>0</v>
      </c>
      <c r="Z2065" t="str">
        <f t="shared" si="98"/>
        <v>สแกนต่าง Cost</v>
      </c>
    </row>
    <row r="2066" spans="1:26" x14ac:dyDescent="0.45">
      <c r="B2066" t="s">
        <v>53</v>
      </c>
      <c r="C2066">
        <v>20060579</v>
      </c>
      <c r="D2066" t="s">
        <v>39</v>
      </c>
      <c r="E2066" s="10">
        <v>46120.416666666664</v>
      </c>
      <c r="F2066" s="10">
        <v>46120.458333333336</v>
      </c>
      <c r="G2066">
        <v>1</v>
      </c>
      <c r="H2066" s="9">
        <f t="shared" si="96"/>
        <v>5.0000000000000001E-3</v>
      </c>
      <c r="I2066">
        <v>5.0000000000000001E-3</v>
      </c>
      <c r="M2066" t="s">
        <v>65</v>
      </c>
      <c r="N2066" t="s">
        <v>29</v>
      </c>
      <c r="P2066" t="s">
        <v>30</v>
      </c>
      <c r="Q2066" t="s">
        <v>31</v>
      </c>
      <c r="R2066">
        <v>82640</v>
      </c>
      <c r="S2066" t="s">
        <v>42</v>
      </c>
      <c r="T2066">
        <v>82612</v>
      </c>
      <c r="U2066" t="s">
        <v>153</v>
      </c>
      <c r="V2066" t="s">
        <v>66</v>
      </c>
      <c r="W2066" t="s">
        <v>44</v>
      </c>
      <c r="X2066" t="s">
        <v>44</v>
      </c>
      <c r="Y2066" s="9">
        <f t="shared" si="97"/>
        <v>0</v>
      </c>
      <c r="Z2066" t="str">
        <f t="shared" si="98"/>
        <v>สแกนต่าง Cost</v>
      </c>
    </row>
    <row r="2067" spans="1:26" x14ac:dyDescent="0.45">
      <c r="B2067" t="s">
        <v>53</v>
      </c>
      <c r="C2067">
        <v>20310532</v>
      </c>
      <c r="D2067" t="s">
        <v>61</v>
      </c>
      <c r="E2067" s="10">
        <v>46120.416666666664</v>
      </c>
      <c r="F2067" s="10">
        <v>46120.5</v>
      </c>
      <c r="G2067">
        <v>2</v>
      </c>
      <c r="H2067" s="9">
        <f t="shared" si="96"/>
        <v>1.0999999999999999E-2</v>
      </c>
      <c r="I2067">
        <v>1.0999999999999999E-2</v>
      </c>
      <c r="M2067" t="s">
        <v>65</v>
      </c>
      <c r="N2067" t="s">
        <v>29</v>
      </c>
      <c r="P2067" t="s">
        <v>30</v>
      </c>
      <c r="Q2067" t="s">
        <v>31</v>
      </c>
      <c r="R2067">
        <v>82640</v>
      </c>
      <c r="S2067" t="s">
        <v>42</v>
      </c>
      <c r="T2067">
        <v>82612</v>
      </c>
      <c r="U2067" t="s">
        <v>153</v>
      </c>
      <c r="V2067" t="s">
        <v>66</v>
      </c>
      <c r="W2067" t="s">
        <v>44</v>
      </c>
      <c r="X2067" t="s">
        <v>44</v>
      </c>
      <c r="Y2067" s="9">
        <f t="shared" si="97"/>
        <v>0</v>
      </c>
      <c r="Z2067" t="str">
        <f t="shared" si="98"/>
        <v>สแกนต่าง Cost</v>
      </c>
    </row>
    <row r="2068" spans="1:26" x14ac:dyDescent="0.45">
      <c r="B2068" t="s">
        <v>53</v>
      </c>
      <c r="C2068">
        <v>20332134</v>
      </c>
      <c r="D2068" t="s">
        <v>156</v>
      </c>
      <c r="E2068" s="10">
        <v>46120.416666666664</v>
      </c>
      <c r="F2068" s="10">
        <v>46120.458333333336</v>
      </c>
      <c r="G2068">
        <v>1</v>
      </c>
      <c r="H2068" s="9">
        <f t="shared" si="96"/>
        <v>5.0000000000000001E-3</v>
      </c>
      <c r="I2068">
        <v>5.0000000000000001E-3</v>
      </c>
      <c r="M2068" t="s">
        <v>65</v>
      </c>
      <c r="N2068" t="s">
        <v>29</v>
      </c>
      <c r="P2068" t="s">
        <v>30</v>
      </c>
      <c r="Q2068" t="s">
        <v>31</v>
      </c>
      <c r="R2068">
        <v>82640</v>
      </c>
      <c r="S2068" t="s">
        <v>42</v>
      </c>
      <c r="T2068">
        <v>82630</v>
      </c>
      <c r="U2068" t="s">
        <v>32</v>
      </c>
      <c r="V2068" t="s">
        <v>66</v>
      </c>
      <c r="W2068" t="s">
        <v>44</v>
      </c>
      <c r="X2068" t="s">
        <v>44</v>
      </c>
      <c r="Y2068" s="9">
        <f t="shared" si="97"/>
        <v>0</v>
      </c>
      <c r="Z2068" t="str">
        <f t="shared" si="98"/>
        <v>สแกนต่าง Cost</v>
      </c>
    </row>
    <row r="2069" spans="1:26" x14ac:dyDescent="0.45">
      <c r="B2069" t="s">
        <v>53</v>
      </c>
      <c r="C2069">
        <v>20310530</v>
      </c>
      <c r="D2069" t="s">
        <v>220</v>
      </c>
      <c r="E2069" s="10">
        <v>46120.395833333336</v>
      </c>
      <c r="F2069" s="10">
        <v>46120.458333333336</v>
      </c>
      <c r="G2069">
        <v>1.5</v>
      </c>
      <c r="H2069" s="9">
        <f t="shared" si="96"/>
        <v>8.0000000000000002E-3</v>
      </c>
      <c r="I2069">
        <v>8.0000000000000002E-3</v>
      </c>
      <c r="M2069" t="s">
        <v>65</v>
      </c>
      <c r="N2069" t="s">
        <v>29</v>
      </c>
      <c r="P2069" t="s">
        <v>30</v>
      </c>
      <c r="Q2069" t="s">
        <v>31</v>
      </c>
      <c r="R2069">
        <v>82640</v>
      </c>
      <c r="S2069" t="s">
        <v>42</v>
      </c>
      <c r="T2069">
        <v>82612</v>
      </c>
      <c r="U2069" t="s">
        <v>153</v>
      </c>
      <c r="V2069" t="s">
        <v>66</v>
      </c>
      <c r="W2069" t="s">
        <v>44</v>
      </c>
      <c r="X2069" t="s">
        <v>44</v>
      </c>
      <c r="Y2069" s="9">
        <f t="shared" si="97"/>
        <v>0</v>
      </c>
      <c r="Z2069" t="str">
        <f t="shared" si="98"/>
        <v>สแกนต่าง Cost</v>
      </c>
    </row>
    <row r="2070" spans="1:26" x14ac:dyDescent="0.45">
      <c r="A2070">
        <v>26097</v>
      </c>
      <c r="B2070" t="s">
        <v>53</v>
      </c>
      <c r="C2070">
        <v>20030773</v>
      </c>
      <c r="D2070" t="s">
        <v>357</v>
      </c>
      <c r="E2070" s="10">
        <v>46120.375</v>
      </c>
      <c r="F2070" s="10">
        <v>46120.729166666664</v>
      </c>
      <c r="G2070">
        <v>7.5</v>
      </c>
      <c r="H2070" s="9">
        <f t="shared" si="96"/>
        <v>0.04</v>
      </c>
      <c r="I2070">
        <v>0.04</v>
      </c>
      <c r="M2070" t="s">
        <v>65</v>
      </c>
      <c r="N2070" t="s">
        <v>29</v>
      </c>
      <c r="P2070" t="s">
        <v>133</v>
      </c>
      <c r="Q2070" t="s">
        <v>31</v>
      </c>
      <c r="R2070">
        <v>82640</v>
      </c>
      <c r="S2070" t="s">
        <v>42</v>
      </c>
      <c r="T2070">
        <v>82611</v>
      </c>
      <c r="U2070" t="s">
        <v>43</v>
      </c>
      <c r="V2070" t="s">
        <v>43</v>
      </c>
      <c r="W2070" t="s">
        <v>47</v>
      </c>
      <c r="X2070" t="s">
        <v>192</v>
      </c>
      <c r="Y2070" s="9">
        <f t="shared" si="97"/>
        <v>0</v>
      </c>
      <c r="Z2070" t="str">
        <f t="shared" si="98"/>
        <v>สแกนต่าง Cost</v>
      </c>
    </row>
    <row r="2071" spans="1:26" x14ac:dyDescent="0.45">
      <c r="A2071">
        <v>26105</v>
      </c>
      <c r="B2071" t="s">
        <v>53</v>
      </c>
      <c r="C2071">
        <v>20076991</v>
      </c>
      <c r="D2071" t="s">
        <v>76</v>
      </c>
      <c r="E2071" s="10">
        <v>46120.375</v>
      </c>
      <c r="F2071" s="10">
        <v>46120.770833333336</v>
      </c>
      <c r="G2071">
        <v>8.5</v>
      </c>
      <c r="H2071" s="9">
        <f t="shared" si="96"/>
        <v>4.4999999999999998E-2</v>
      </c>
      <c r="I2071">
        <v>4.4999999999999998E-2</v>
      </c>
      <c r="M2071" t="s">
        <v>65</v>
      </c>
      <c r="N2071" t="s">
        <v>29</v>
      </c>
      <c r="P2071" t="s">
        <v>30</v>
      </c>
      <c r="Q2071" t="s">
        <v>31</v>
      </c>
      <c r="R2071">
        <v>82308</v>
      </c>
      <c r="S2071" t="s">
        <v>69</v>
      </c>
      <c r="T2071">
        <v>82301</v>
      </c>
      <c r="U2071" t="s">
        <v>79</v>
      </c>
      <c r="V2071" t="s">
        <v>79</v>
      </c>
      <c r="W2071" t="s">
        <v>80</v>
      </c>
      <c r="X2071" t="s">
        <v>81</v>
      </c>
      <c r="Y2071" s="9">
        <f t="shared" si="97"/>
        <v>0</v>
      </c>
      <c r="Z2071" t="str">
        <f t="shared" si="98"/>
        <v>สแกนต่าง Cost</v>
      </c>
    </row>
    <row r="2072" spans="1:26" x14ac:dyDescent="0.45">
      <c r="B2072" t="s">
        <v>53</v>
      </c>
      <c r="C2072">
        <v>20167851</v>
      </c>
      <c r="D2072" t="s">
        <v>63</v>
      </c>
      <c r="E2072" s="10">
        <v>46120.375</v>
      </c>
      <c r="F2072" s="10">
        <v>46120.458333333336</v>
      </c>
      <c r="G2072">
        <v>2</v>
      </c>
      <c r="H2072" s="9">
        <f t="shared" si="96"/>
        <v>1.0999999999999999E-2</v>
      </c>
      <c r="I2072">
        <v>1.0999999999999999E-2</v>
      </c>
      <c r="M2072" t="s">
        <v>65</v>
      </c>
      <c r="N2072" t="s">
        <v>29</v>
      </c>
      <c r="P2072" t="s">
        <v>30</v>
      </c>
      <c r="Q2072" t="s">
        <v>31</v>
      </c>
      <c r="R2072">
        <v>82640</v>
      </c>
      <c r="S2072" t="s">
        <v>42</v>
      </c>
      <c r="T2072">
        <v>82612</v>
      </c>
      <c r="U2072" t="s">
        <v>153</v>
      </c>
      <c r="V2072" t="s">
        <v>66</v>
      </c>
      <c r="W2072" t="s">
        <v>44</v>
      </c>
      <c r="X2072" t="s">
        <v>44</v>
      </c>
      <c r="Y2072" s="9">
        <f t="shared" si="97"/>
        <v>0</v>
      </c>
      <c r="Z2072" t="str">
        <f t="shared" si="98"/>
        <v>สแกนต่าง Cost</v>
      </c>
    </row>
    <row r="2073" spans="1:26" x14ac:dyDescent="0.45">
      <c r="B2073" t="s">
        <v>53</v>
      </c>
      <c r="C2073">
        <v>20198839</v>
      </c>
      <c r="D2073" t="s">
        <v>258</v>
      </c>
      <c r="E2073" s="10">
        <v>46120.375</v>
      </c>
      <c r="F2073" s="10">
        <v>46120.4375</v>
      </c>
      <c r="G2073">
        <v>1.5</v>
      </c>
      <c r="H2073" s="9">
        <f t="shared" si="96"/>
        <v>8.0000000000000002E-3</v>
      </c>
      <c r="I2073">
        <v>8.0000000000000002E-3</v>
      </c>
      <c r="M2073" t="s">
        <v>65</v>
      </c>
      <c r="N2073" t="s">
        <v>29</v>
      </c>
      <c r="P2073" t="s">
        <v>30</v>
      </c>
      <c r="Q2073" t="s">
        <v>31</v>
      </c>
      <c r="R2073">
        <v>82640</v>
      </c>
      <c r="S2073" t="s">
        <v>42</v>
      </c>
      <c r="T2073">
        <v>82630</v>
      </c>
      <c r="U2073" t="s">
        <v>32</v>
      </c>
      <c r="V2073" t="s">
        <v>66</v>
      </c>
      <c r="W2073" t="s">
        <v>44</v>
      </c>
      <c r="X2073" t="s">
        <v>44</v>
      </c>
      <c r="Y2073" s="9">
        <f t="shared" si="97"/>
        <v>0</v>
      </c>
      <c r="Z2073" t="str">
        <f t="shared" si="98"/>
        <v>สแกนต่าง Cost</v>
      </c>
    </row>
    <row r="2074" spans="1:26" x14ac:dyDescent="0.45">
      <c r="B2074" t="s">
        <v>53</v>
      </c>
      <c r="C2074">
        <v>20332134</v>
      </c>
      <c r="D2074" t="s">
        <v>156</v>
      </c>
      <c r="E2074" s="10">
        <v>46120.375</v>
      </c>
      <c r="F2074" s="10">
        <v>46120.416666666664</v>
      </c>
      <c r="G2074">
        <v>1</v>
      </c>
      <c r="H2074" s="9">
        <f t="shared" si="96"/>
        <v>5.0000000000000001E-3</v>
      </c>
      <c r="I2074">
        <v>5.0000000000000001E-3</v>
      </c>
      <c r="M2074" t="s">
        <v>65</v>
      </c>
      <c r="N2074" t="s">
        <v>29</v>
      </c>
      <c r="P2074" t="s">
        <v>30</v>
      </c>
      <c r="Q2074" t="s">
        <v>31</v>
      </c>
      <c r="R2074">
        <v>82640</v>
      </c>
      <c r="S2074" t="s">
        <v>42</v>
      </c>
      <c r="T2074">
        <v>82612</v>
      </c>
      <c r="U2074" t="s">
        <v>153</v>
      </c>
      <c r="V2074" t="s">
        <v>66</v>
      </c>
      <c r="W2074" t="s">
        <v>44</v>
      </c>
      <c r="X2074" t="s">
        <v>44</v>
      </c>
      <c r="Y2074" s="9">
        <f t="shared" si="97"/>
        <v>0</v>
      </c>
      <c r="Z2074" t="str">
        <f t="shared" si="98"/>
        <v>สแกนต่าง Cost</v>
      </c>
    </row>
    <row r="2075" spans="1:26" x14ac:dyDescent="0.45">
      <c r="B2075" t="s">
        <v>53</v>
      </c>
      <c r="C2075">
        <v>20060579</v>
      </c>
      <c r="D2075" t="s">
        <v>39</v>
      </c>
      <c r="E2075" s="10">
        <v>46120.354166666664</v>
      </c>
      <c r="F2075" s="10">
        <v>46120.395833333336</v>
      </c>
      <c r="G2075">
        <v>1</v>
      </c>
      <c r="H2075" s="9">
        <f t="shared" si="96"/>
        <v>5.0000000000000001E-3</v>
      </c>
      <c r="I2075">
        <v>5.0000000000000001E-3</v>
      </c>
      <c r="M2075" t="s">
        <v>65</v>
      </c>
      <c r="N2075" t="s">
        <v>29</v>
      </c>
      <c r="P2075" t="s">
        <v>30</v>
      </c>
      <c r="Q2075" t="s">
        <v>31</v>
      </c>
      <c r="R2075">
        <v>82640</v>
      </c>
      <c r="S2075" t="s">
        <v>42</v>
      </c>
      <c r="T2075">
        <v>82630</v>
      </c>
      <c r="U2075" t="s">
        <v>32</v>
      </c>
      <c r="V2075" t="s">
        <v>66</v>
      </c>
      <c r="W2075" t="s">
        <v>44</v>
      </c>
      <c r="X2075" t="s">
        <v>44</v>
      </c>
      <c r="Y2075" s="9">
        <f t="shared" si="97"/>
        <v>0</v>
      </c>
      <c r="Z2075" t="str">
        <f t="shared" si="98"/>
        <v>สแกนต่าง Cost</v>
      </c>
    </row>
    <row r="2076" spans="1:26" x14ac:dyDescent="0.45">
      <c r="B2076" t="s">
        <v>53</v>
      </c>
      <c r="C2076">
        <v>20280718</v>
      </c>
      <c r="D2076" t="s">
        <v>256</v>
      </c>
      <c r="E2076" s="10">
        <v>46120.354166666664</v>
      </c>
      <c r="F2076" s="10">
        <v>46120.5</v>
      </c>
      <c r="G2076">
        <v>3.5</v>
      </c>
      <c r="H2076" s="9">
        <f t="shared" si="96"/>
        <v>1.9E-2</v>
      </c>
      <c r="I2076">
        <v>1.9E-2</v>
      </c>
      <c r="M2076" t="s">
        <v>65</v>
      </c>
      <c r="N2076" t="s">
        <v>29</v>
      </c>
      <c r="P2076" t="s">
        <v>30</v>
      </c>
      <c r="Q2076" t="s">
        <v>31</v>
      </c>
      <c r="R2076">
        <v>82640</v>
      </c>
      <c r="S2076" t="s">
        <v>42</v>
      </c>
      <c r="T2076">
        <v>82630</v>
      </c>
      <c r="U2076" t="s">
        <v>32</v>
      </c>
      <c r="V2076" t="s">
        <v>66</v>
      </c>
      <c r="W2076" t="s">
        <v>44</v>
      </c>
      <c r="X2076" t="s">
        <v>44</v>
      </c>
      <c r="Y2076" s="9">
        <f t="shared" si="97"/>
        <v>0</v>
      </c>
      <c r="Z2076" t="str">
        <f t="shared" si="98"/>
        <v>สแกนต่าง Cost</v>
      </c>
    </row>
    <row r="2077" spans="1:26" x14ac:dyDescent="0.45">
      <c r="B2077" t="s">
        <v>53</v>
      </c>
      <c r="C2077">
        <v>20310530</v>
      </c>
      <c r="D2077" t="s">
        <v>220</v>
      </c>
      <c r="E2077" s="10">
        <v>46120.354166666664</v>
      </c>
      <c r="F2077" s="10">
        <v>46120.395833333336</v>
      </c>
      <c r="G2077">
        <v>1</v>
      </c>
      <c r="H2077" s="9">
        <f t="shared" si="96"/>
        <v>5.0000000000000001E-3</v>
      </c>
      <c r="I2077">
        <v>5.0000000000000001E-3</v>
      </c>
      <c r="M2077" t="s">
        <v>65</v>
      </c>
      <c r="N2077" t="s">
        <v>29</v>
      </c>
      <c r="P2077" t="s">
        <v>30</v>
      </c>
      <c r="Q2077" t="s">
        <v>31</v>
      </c>
      <c r="R2077">
        <v>82640</v>
      </c>
      <c r="S2077" t="s">
        <v>42</v>
      </c>
      <c r="T2077">
        <v>82630</v>
      </c>
      <c r="U2077" t="s">
        <v>32</v>
      </c>
      <c r="V2077" t="s">
        <v>66</v>
      </c>
      <c r="W2077" t="s">
        <v>44</v>
      </c>
      <c r="X2077" t="s">
        <v>44</v>
      </c>
      <c r="Y2077" s="9">
        <f t="shared" si="97"/>
        <v>0</v>
      </c>
      <c r="Z2077" t="str">
        <f t="shared" si="98"/>
        <v>สแกนต่าง Cost</v>
      </c>
    </row>
    <row r="2078" spans="1:26" x14ac:dyDescent="0.45">
      <c r="B2078" t="s">
        <v>53</v>
      </c>
      <c r="C2078">
        <v>20340657</v>
      </c>
      <c r="D2078" t="s">
        <v>221</v>
      </c>
      <c r="E2078" s="10">
        <v>46120.354166666664</v>
      </c>
      <c r="F2078" s="10">
        <v>46120.5</v>
      </c>
      <c r="G2078">
        <v>3.5</v>
      </c>
      <c r="H2078" s="9">
        <f t="shared" si="96"/>
        <v>1.9E-2</v>
      </c>
      <c r="I2078">
        <v>1.9E-2</v>
      </c>
      <c r="M2078" t="s">
        <v>65</v>
      </c>
      <c r="N2078" t="s">
        <v>29</v>
      </c>
      <c r="P2078" t="s">
        <v>30</v>
      </c>
      <c r="Q2078" t="s">
        <v>31</v>
      </c>
      <c r="R2078">
        <v>82640</v>
      </c>
      <c r="S2078" t="s">
        <v>42</v>
      </c>
      <c r="T2078">
        <v>82612</v>
      </c>
      <c r="U2078" t="s">
        <v>153</v>
      </c>
      <c r="V2078" t="s">
        <v>66</v>
      </c>
      <c r="W2078" t="s">
        <v>44</v>
      </c>
      <c r="X2078" t="s">
        <v>44</v>
      </c>
      <c r="Y2078" s="9">
        <f t="shared" si="97"/>
        <v>0</v>
      </c>
      <c r="Z2078" t="str">
        <f t="shared" si="98"/>
        <v>สแกนต่าง Cost</v>
      </c>
    </row>
    <row r="2079" spans="1:26" x14ac:dyDescent="0.45">
      <c r="A2079">
        <v>26095</v>
      </c>
      <c r="B2079" t="s">
        <v>53</v>
      </c>
      <c r="C2079">
        <v>20014916</v>
      </c>
      <c r="D2079" t="s">
        <v>167</v>
      </c>
      <c r="E2079" s="10">
        <v>46120.333333333336</v>
      </c>
      <c r="F2079" s="10">
        <v>46120.729166666664</v>
      </c>
      <c r="G2079">
        <v>8.5</v>
      </c>
      <c r="H2079" s="9">
        <f t="shared" si="96"/>
        <v>4.4999999999999998E-2</v>
      </c>
      <c r="I2079">
        <v>4.4999999999999998E-2</v>
      </c>
      <c r="M2079" t="s">
        <v>65</v>
      </c>
      <c r="N2079" t="s">
        <v>29</v>
      </c>
      <c r="P2079" t="s">
        <v>133</v>
      </c>
      <c r="Q2079" t="s">
        <v>31</v>
      </c>
      <c r="R2079">
        <v>82607</v>
      </c>
      <c r="S2079" t="s">
        <v>168</v>
      </c>
      <c r="T2079">
        <v>82640</v>
      </c>
      <c r="U2079" t="s">
        <v>42</v>
      </c>
      <c r="V2079" t="s">
        <v>155</v>
      </c>
      <c r="W2079" t="s">
        <v>47</v>
      </c>
      <c r="X2079" t="s">
        <v>95</v>
      </c>
      <c r="Y2079" s="9">
        <f t="shared" si="97"/>
        <v>0</v>
      </c>
      <c r="Z2079" t="str">
        <f t="shared" si="98"/>
        <v>สแกนต่าง Cost</v>
      </c>
    </row>
    <row r="2080" spans="1:26" x14ac:dyDescent="0.45">
      <c r="A2080">
        <v>26094</v>
      </c>
      <c r="B2080" t="s">
        <v>53</v>
      </c>
      <c r="C2080">
        <v>20017430</v>
      </c>
      <c r="D2080" t="s">
        <v>94</v>
      </c>
      <c r="E2080" s="10">
        <v>46120.333333333336</v>
      </c>
      <c r="F2080" s="10">
        <v>46120.729166666664</v>
      </c>
      <c r="G2080">
        <v>8.5</v>
      </c>
      <c r="H2080" s="9">
        <f t="shared" si="96"/>
        <v>4.4999999999999998E-2</v>
      </c>
      <c r="I2080">
        <v>4.4999999999999998E-2</v>
      </c>
      <c r="M2080" t="s">
        <v>65</v>
      </c>
      <c r="N2080" t="s">
        <v>29</v>
      </c>
      <c r="P2080" t="s">
        <v>30</v>
      </c>
      <c r="Q2080" t="s">
        <v>31</v>
      </c>
      <c r="R2080">
        <v>82301</v>
      </c>
      <c r="S2080" t="s">
        <v>79</v>
      </c>
      <c r="T2080">
        <v>82308</v>
      </c>
      <c r="U2080" t="s">
        <v>69</v>
      </c>
      <c r="V2080" t="s">
        <v>69</v>
      </c>
      <c r="W2080" t="s">
        <v>69</v>
      </c>
      <c r="X2080" t="s">
        <v>95</v>
      </c>
      <c r="Y2080" s="9">
        <f t="shared" si="97"/>
        <v>0</v>
      </c>
      <c r="Z2080" t="str">
        <f t="shared" si="98"/>
        <v>สแกนต่าง Cost</v>
      </c>
    </row>
    <row r="2081" spans="1:26" x14ac:dyDescent="0.45">
      <c r="A2081">
        <v>26106</v>
      </c>
      <c r="B2081" t="s">
        <v>53</v>
      </c>
      <c r="C2081">
        <v>20018611</v>
      </c>
      <c r="D2081" t="s">
        <v>132</v>
      </c>
      <c r="E2081" s="10">
        <v>46120.333333333336</v>
      </c>
      <c r="F2081" s="10">
        <v>46120.729166666664</v>
      </c>
      <c r="G2081">
        <v>8.5</v>
      </c>
      <c r="H2081" s="9">
        <f t="shared" si="96"/>
        <v>4.4999999999999998E-2</v>
      </c>
      <c r="I2081">
        <v>4.4999999999999998E-2</v>
      </c>
      <c r="M2081" t="s">
        <v>65</v>
      </c>
      <c r="N2081" t="s">
        <v>29</v>
      </c>
      <c r="P2081" t="s">
        <v>133</v>
      </c>
      <c r="Q2081" t="s">
        <v>31</v>
      </c>
      <c r="R2081">
        <v>82301</v>
      </c>
      <c r="S2081" t="s">
        <v>79</v>
      </c>
      <c r="T2081">
        <v>82308</v>
      </c>
      <c r="U2081" t="s">
        <v>69</v>
      </c>
      <c r="V2081" t="s">
        <v>69</v>
      </c>
      <c r="W2081" t="s">
        <v>69</v>
      </c>
      <c r="X2081" t="s">
        <v>95</v>
      </c>
      <c r="Y2081" s="9">
        <f t="shared" si="97"/>
        <v>0</v>
      </c>
      <c r="Z2081" t="str">
        <f t="shared" si="98"/>
        <v>สแกนต่าง Cost</v>
      </c>
    </row>
    <row r="2082" spans="1:26" x14ac:dyDescent="0.45">
      <c r="B2082" t="s">
        <v>53</v>
      </c>
      <c r="C2082">
        <v>20018899</v>
      </c>
      <c r="D2082" t="s">
        <v>64</v>
      </c>
      <c r="E2082" s="10">
        <v>46120.333333333336</v>
      </c>
      <c r="F2082" s="10">
        <v>46120.5</v>
      </c>
      <c r="G2082">
        <v>4</v>
      </c>
      <c r="H2082" s="9">
        <f t="shared" si="96"/>
        <v>2.1000000000000001E-2</v>
      </c>
      <c r="I2082">
        <v>2.1000000000000001E-2</v>
      </c>
      <c r="M2082" t="s">
        <v>65</v>
      </c>
      <c r="N2082" t="s">
        <v>29</v>
      </c>
      <c r="P2082" t="s">
        <v>30</v>
      </c>
      <c r="Q2082" t="s">
        <v>31</v>
      </c>
      <c r="R2082">
        <v>82640</v>
      </c>
      <c r="S2082" t="s">
        <v>42</v>
      </c>
      <c r="T2082">
        <v>82652</v>
      </c>
      <c r="U2082" t="s">
        <v>46</v>
      </c>
      <c r="V2082" t="s">
        <v>66</v>
      </c>
      <c r="W2082" t="s">
        <v>37</v>
      </c>
      <c r="X2082" t="s">
        <v>34</v>
      </c>
      <c r="Y2082" s="9">
        <f t="shared" si="97"/>
        <v>0</v>
      </c>
      <c r="Z2082" t="str">
        <f t="shared" si="98"/>
        <v>สแกนต่าง Cost</v>
      </c>
    </row>
    <row r="2083" spans="1:26" x14ac:dyDescent="0.45">
      <c r="B2083" t="s">
        <v>53</v>
      </c>
      <c r="C2083">
        <v>20023163</v>
      </c>
      <c r="D2083" t="s">
        <v>169</v>
      </c>
      <c r="E2083" s="10">
        <v>46120.333333333336</v>
      </c>
      <c r="F2083" s="10">
        <v>46120.729166666664</v>
      </c>
      <c r="G2083">
        <v>8.5</v>
      </c>
      <c r="H2083" s="9">
        <f t="shared" si="96"/>
        <v>4.4999999999999998E-2</v>
      </c>
      <c r="I2083">
        <v>4.4999999999999998E-2</v>
      </c>
      <c r="M2083" t="s">
        <v>65</v>
      </c>
      <c r="N2083" t="s">
        <v>29</v>
      </c>
      <c r="P2083" t="s">
        <v>30</v>
      </c>
      <c r="Q2083" t="s">
        <v>31</v>
      </c>
      <c r="R2083">
        <v>82630</v>
      </c>
      <c r="S2083" t="s">
        <v>32</v>
      </c>
      <c r="T2083">
        <v>82640</v>
      </c>
      <c r="U2083" t="s">
        <v>42</v>
      </c>
      <c r="V2083" t="s">
        <v>70</v>
      </c>
      <c r="W2083" t="s">
        <v>170</v>
      </c>
      <c r="X2083" t="s">
        <v>171</v>
      </c>
      <c r="Y2083" s="9">
        <f t="shared" si="97"/>
        <v>0</v>
      </c>
      <c r="Z2083" t="str">
        <f t="shared" si="98"/>
        <v>สแกนต่าง Cost</v>
      </c>
    </row>
    <row r="2084" spans="1:26" x14ac:dyDescent="0.45">
      <c r="B2084" t="s">
        <v>26</v>
      </c>
      <c r="C2084">
        <v>20025986</v>
      </c>
      <c r="D2084" t="s">
        <v>200</v>
      </c>
      <c r="E2084" s="10">
        <v>46120.333333333336</v>
      </c>
      <c r="F2084" s="10">
        <v>46120.729166666664</v>
      </c>
      <c r="G2084">
        <v>8.5</v>
      </c>
      <c r="H2084" s="9">
        <f t="shared" si="96"/>
        <v>4.4999999999999998E-2</v>
      </c>
      <c r="I2084">
        <v>4.4999999999999998E-2</v>
      </c>
      <c r="M2084" t="s">
        <v>65</v>
      </c>
      <c r="N2084" t="s">
        <v>29</v>
      </c>
      <c r="P2084" t="s">
        <v>30</v>
      </c>
      <c r="Q2084" t="s">
        <v>31</v>
      </c>
      <c r="R2084">
        <v>82910</v>
      </c>
      <c r="S2084" t="s">
        <v>201</v>
      </c>
      <c r="T2084">
        <v>82611</v>
      </c>
      <c r="U2084" t="s">
        <v>43</v>
      </c>
      <c r="V2084" t="s">
        <v>43</v>
      </c>
      <c r="W2084" t="s">
        <v>148</v>
      </c>
      <c r="X2084" t="s">
        <v>171</v>
      </c>
      <c r="Y2084" s="9">
        <f t="shared" si="97"/>
        <v>0</v>
      </c>
      <c r="Z2084" t="str">
        <f t="shared" si="98"/>
        <v>สแกนต่าง Cost</v>
      </c>
    </row>
    <row r="2085" spans="1:26" x14ac:dyDescent="0.45">
      <c r="A2085">
        <v>26104</v>
      </c>
      <c r="B2085" t="s">
        <v>53</v>
      </c>
      <c r="C2085">
        <v>20026402</v>
      </c>
      <c r="D2085" t="s">
        <v>164</v>
      </c>
      <c r="E2085" s="10">
        <v>46120.333333333336</v>
      </c>
      <c r="F2085" s="10">
        <v>46120.729166666664</v>
      </c>
      <c r="G2085">
        <v>8.5</v>
      </c>
      <c r="H2085" s="9">
        <f t="shared" si="96"/>
        <v>4.4999999999999998E-2</v>
      </c>
      <c r="I2085">
        <v>4.4999999999999998E-2</v>
      </c>
      <c r="M2085" t="s">
        <v>65</v>
      </c>
      <c r="N2085" t="s">
        <v>29</v>
      </c>
      <c r="P2085" t="s">
        <v>30</v>
      </c>
      <c r="Q2085" t="s">
        <v>31</v>
      </c>
      <c r="R2085">
        <v>82301</v>
      </c>
      <c r="S2085" t="s">
        <v>79</v>
      </c>
      <c r="T2085">
        <v>82308</v>
      </c>
      <c r="U2085" t="s">
        <v>69</v>
      </c>
      <c r="V2085" t="s">
        <v>69</v>
      </c>
      <c r="W2085" t="s">
        <v>69</v>
      </c>
      <c r="X2085" t="s">
        <v>88</v>
      </c>
      <c r="Y2085" s="9">
        <f t="shared" si="97"/>
        <v>0</v>
      </c>
      <c r="Z2085" t="str">
        <f t="shared" si="98"/>
        <v>สแกนต่าง Cost</v>
      </c>
    </row>
    <row r="2086" spans="1:26" x14ac:dyDescent="0.45">
      <c r="A2086">
        <v>26090</v>
      </c>
      <c r="B2086" t="s">
        <v>53</v>
      </c>
      <c r="C2086">
        <v>20030839</v>
      </c>
      <c r="D2086" t="s">
        <v>235</v>
      </c>
      <c r="E2086" s="10">
        <v>46120.333333333336</v>
      </c>
      <c r="F2086" s="10">
        <v>46120.729166666664</v>
      </c>
      <c r="G2086">
        <v>8.5</v>
      </c>
      <c r="H2086" s="9">
        <f t="shared" si="96"/>
        <v>4.4999999999999998E-2</v>
      </c>
      <c r="I2086">
        <v>4.4999999999999998E-2</v>
      </c>
      <c r="M2086" t="s">
        <v>65</v>
      </c>
      <c r="N2086" t="s">
        <v>29</v>
      </c>
      <c r="P2086" t="s">
        <v>30</v>
      </c>
      <c r="Q2086" t="s">
        <v>31</v>
      </c>
      <c r="R2086">
        <v>82658</v>
      </c>
      <c r="S2086" t="s">
        <v>33</v>
      </c>
      <c r="T2086">
        <v>82664</v>
      </c>
      <c r="U2086" t="s">
        <v>75</v>
      </c>
      <c r="V2086" t="s">
        <v>75</v>
      </c>
      <c r="W2086" t="s">
        <v>37</v>
      </c>
      <c r="X2086" t="s">
        <v>111</v>
      </c>
      <c r="Y2086" s="9">
        <f t="shared" si="97"/>
        <v>0</v>
      </c>
      <c r="Z2086" t="str">
        <f t="shared" si="98"/>
        <v>สแกนต่าง Cost</v>
      </c>
    </row>
    <row r="2087" spans="1:26" x14ac:dyDescent="0.45">
      <c r="B2087" t="s">
        <v>53</v>
      </c>
      <c r="C2087">
        <v>20034535</v>
      </c>
      <c r="D2087" t="s">
        <v>99</v>
      </c>
      <c r="E2087" s="10">
        <v>46120.333333333336</v>
      </c>
      <c r="F2087" s="10">
        <v>46120.729166666664</v>
      </c>
      <c r="G2087">
        <v>8.5</v>
      </c>
      <c r="H2087" s="9">
        <f t="shared" si="96"/>
        <v>4.4999999999999998E-2</v>
      </c>
      <c r="I2087">
        <v>4.4999999999999998E-2</v>
      </c>
      <c r="M2087" t="s">
        <v>65</v>
      </c>
      <c r="N2087" t="s">
        <v>29</v>
      </c>
      <c r="P2087" t="s">
        <v>30</v>
      </c>
      <c r="Q2087" t="s">
        <v>31</v>
      </c>
      <c r="R2087">
        <v>82630</v>
      </c>
      <c r="S2087" t="s">
        <v>32</v>
      </c>
      <c r="T2087">
        <v>82611</v>
      </c>
      <c r="U2087" t="s">
        <v>43</v>
      </c>
      <c r="V2087" t="s">
        <v>43</v>
      </c>
      <c r="W2087" t="s">
        <v>170</v>
      </c>
      <c r="X2087" t="s">
        <v>171</v>
      </c>
      <c r="Y2087" s="9">
        <f t="shared" si="97"/>
        <v>0</v>
      </c>
      <c r="Z2087" t="str">
        <f t="shared" si="98"/>
        <v>สแกนต่าง Cost</v>
      </c>
    </row>
    <row r="2088" spans="1:26" x14ac:dyDescent="0.45">
      <c r="B2088" t="s">
        <v>53</v>
      </c>
      <c r="C2088">
        <v>20037938</v>
      </c>
      <c r="D2088" t="s">
        <v>172</v>
      </c>
      <c r="E2088" s="10">
        <v>46120.333333333336</v>
      </c>
      <c r="F2088" s="10">
        <v>46120.729166666664</v>
      </c>
      <c r="G2088">
        <v>8.5</v>
      </c>
      <c r="H2088" s="9">
        <f t="shared" si="96"/>
        <v>4.4999999999999998E-2</v>
      </c>
      <c r="I2088">
        <v>4.4999999999999998E-2</v>
      </c>
      <c r="M2088" t="s">
        <v>65</v>
      </c>
      <c r="N2088" t="s">
        <v>29</v>
      </c>
      <c r="P2088" t="s">
        <v>30</v>
      </c>
      <c r="Q2088" t="s">
        <v>31</v>
      </c>
      <c r="R2088">
        <v>82630</v>
      </c>
      <c r="S2088" t="s">
        <v>32</v>
      </c>
      <c r="T2088">
        <v>82611</v>
      </c>
      <c r="U2088" t="s">
        <v>43</v>
      </c>
      <c r="V2088" t="s">
        <v>43</v>
      </c>
      <c r="W2088" t="s">
        <v>170</v>
      </c>
      <c r="X2088" t="s">
        <v>171</v>
      </c>
      <c r="Y2088" s="9">
        <f t="shared" si="97"/>
        <v>0</v>
      </c>
      <c r="Z2088" t="str">
        <f t="shared" si="98"/>
        <v>สแกนต่าง Cost</v>
      </c>
    </row>
    <row r="2089" spans="1:26" x14ac:dyDescent="0.45">
      <c r="B2089" t="s">
        <v>53</v>
      </c>
      <c r="C2089">
        <v>20041131</v>
      </c>
      <c r="D2089" t="s">
        <v>173</v>
      </c>
      <c r="E2089" s="10">
        <v>46120.333333333336</v>
      </c>
      <c r="F2089" s="10">
        <v>46120.729166666664</v>
      </c>
      <c r="G2089">
        <v>8.5</v>
      </c>
      <c r="H2089" s="9">
        <f t="shared" si="96"/>
        <v>4.4999999999999998E-2</v>
      </c>
      <c r="I2089">
        <v>4.4999999999999998E-2</v>
      </c>
      <c r="M2089" t="s">
        <v>65</v>
      </c>
      <c r="N2089" t="s">
        <v>29</v>
      </c>
      <c r="P2089" t="s">
        <v>30</v>
      </c>
      <c r="Q2089" t="s">
        <v>31</v>
      </c>
      <c r="R2089">
        <v>82630</v>
      </c>
      <c r="S2089" t="s">
        <v>32</v>
      </c>
      <c r="T2089">
        <v>82611</v>
      </c>
      <c r="U2089" t="s">
        <v>43</v>
      </c>
      <c r="V2089" t="s">
        <v>43</v>
      </c>
      <c r="W2089" t="s">
        <v>170</v>
      </c>
      <c r="X2089" t="s">
        <v>171</v>
      </c>
      <c r="Y2089" s="9">
        <f t="shared" si="97"/>
        <v>0</v>
      </c>
      <c r="Z2089" t="str">
        <f t="shared" si="98"/>
        <v>สแกนต่าง Cost</v>
      </c>
    </row>
    <row r="2090" spans="1:26" x14ac:dyDescent="0.45">
      <c r="B2090" t="s">
        <v>53</v>
      </c>
      <c r="C2090">
        <v>20047023</v>
      </c>
      <c r="D2090" t="s">
        <v>271</v>
      </c>
      <c r="E2090" s="10">
        <v>46120.333333333336</v>
      </c>
      <c r="F2090" s="10">
        <v>46120.729166666664</v>
      </c>
      <c r="G2090">
        <v>8.5</v>
      </c>
      <c r="H2090" s="9">
        <f t="shared" si="96"/>
        <v>4.4999999999999998E-2</v>
      </c>
      <c r="I2090">
        <v>4.4999999999999998E-2</v>
      </c>
      <c r="M2090" t="s">
        <v>65</v>
      </c>
      <c r="N2090" t="s">
        <v>29</v>
      </c>
      <c r="P2090" t="s">
        <v>30</v>
      </c>
      <c r="Q2090" t="s">
        <v>31</v>
      </c>
      <c r="R2090">
        <v>82607</v>
      </c>
      <c r="S2090" t="s">
        <v>168</v>
      </c>
      <c r="T2090">
        <v>82630</v>
      </c>
      <c r="U2090" t="s">
        <v>32</v>
      </c>
      <c r="V2090" t="s">
        <v>155</v>
      </c>
      <c r="W2090" t="s">
        <v>148</v>
      </c>
      <c r="X2090" t="s">
        <v>95</v>
      </c>
      <c r="Y2090" s="9">
        <f t="shared" si="97"/>
        <v>0</v>
      </c>
      <c r="Z2090" t="str">
        <f t="shared" si="98"/>
        <v>สแกนต่าง Cost</v>
      </c>
    </row>
    <row r="2091" spans="1:26" x14ac:dyDescent="0.45">
      <c r="B2091" t="s">
        <v>26</v>
      </c>
      <c r="C2091">
        <v>20066762</v>
      </c>
      <c r="D2091" t="s">
        <v>203</v>
      </c>
      <c r="E2091" s="10">
        <v>46120.333333333336</v>
      </c>
      <c r="F2091" s="10">
        <v>46120.729166666664</v>
      </c>
      <c r="G2091">
        <v>8.5</v>
      </c>
      <c r="H2091" s="9">
        <f t="shared" si="96"/>
        <v>4.4999999999999998E-2</v>
      </c>
      <c r="I2091">
        <v>4.4999999999999998E-2</v>
      </c>
      <c r="M2091" t="s">
        <v>65</v>
      </c>
      <c r="N2091" t="s">
        <v>29</v>
      </c>
      <c r="P2091" t="s">
        <v>30</v>
      </c>
      <c r="Q2091" t="s">
        <v>31</v>
      </c>
      <c r="R2091">
        <v>82910</v>
      </c>
      <c r="S2091" t="s">
        <v>201</v>
      </c>
      <c r="T2091">
        <v>82611</v>
      </c>
      <c r="U2091" t="s">
        <v>43</v>
      </c>
      <c r="V2091" t="s">
        <v>43</v>
      </c>
      <c r="W2091" t="s">
        <v>148</v>
      </c>
      <c r="X2091" t="s">
        <v>171</v>
      </c>
      <c r="Y2091" s="9">
        <f t="shared" si="97"/>
        <v>0</v>
      </c>
      <c r="Z2091" t="str">
        <f t="shared" si="98"/>
        <v>สแกนต่าง Cost</v>
      </c>
    </row>
    <row r="2092" spans="1:26" x14ac:dyDescent="0.45">
      <c r="B2092" t="s">
        <v>53</v>
      </c>
      <c r="C2092">
        <v>20074473</v>
      </c>
      <c r="D2092" t="s">
        <v>276</v>
      </c>
      <c r="E2092" s="10">
        <v>46120.333333333336</v>
      </c>
      <c r="F2092" s="10">
        <v>46120.729166666664</v>
      </c>
      <c r="G2092">
        <v>8.5</v>
      </c>
      <c r="H2092" s="9">
        <f t="shared" si="96"/>
        <v>4.4999999999999998E-2</v>
      </c>
      <c r="I2092">
        <v>4.4999999999999998E-2</v>
      </c>
      <c r="M2092" t="s">
        <v>65</v>
      </c>
      <c r="N2092" t="s">
        <v>29</v>
      </c>
      <c r="P2092" t="s">
        <v>30</v>
      </c>
      <c r="Q2092" t="s">
        <v>31</v>
      </c>
      <c r="R2092">
        <v>82630</v>
      </c>
      <c r="S2092" t="s">
        <v>32</v>
      </c>
      <c r="T2092">
        <v>82640</v>
      </c>
      <c r="U2092" t="s">
        <v>42</v>
      </c>
      <c r="V2092" t="s">
        <v>70</v>
      </c>
      <c r="W2092" t="s">
        <v>170</v>
      </c>
      <c r="X2092" t="s">
        <v>171</v>
      </c>
      <c r="Y2092" s="9">
        <f t="shared" si="97"/>
        <v>0</v>
      </c>
      <c r="Z2092" t="str">
        <f t="shared" si="98"/>
        <v>สแกนต่าง Cost</v>
      </c>
    </row>
    <row r="2093" spans="1:26" x14ac:dyDescent="0.45">
      <c r="B2093" t="s">
        <v>53</v>
      </c>
      <c r="C2093">
        <v>20075871</v>
      </c>
      <c r="D2093" t="s">
        <v>174</v>
      </c>
      <c r="E2093" s="10">
        <v>46120.333333333336</v>
      </c>
      <c r="F2093" s="10">
        <v>46120.729166666664</v>
      </c>
      <c r="G2093">
        <v>8.5</v>
      </c>
      <c r="H2093" s="9">
        <f t="shared" si="96"/>
        <v>4.4999999999999998E-2</v>
      </c>
      <c r="I2093">
        <v>4.4999999999999998E-2</v>
      </c>
      <c r="M2093" t="s">
        <v>65</v>
      </c>
      <c r="N2093" t="s">
        <v>29</v>
      </c>
      <c r="P2093" t="s">
        <v>133</v>
      </c>
      <c r="Q2093" t="s">
        <v>31</v>
      </c>
      <c r="R2093">
        <v>82301</v>
      </c>
      <c r="S2093" t="s">
        <v>79</v>
      </c>
      <c r="T2093">
        <v>82308</v>
      </c>
      <c r="U2093" t="s">
        <v>69</v>
      </c>
      <c r="V2093" t="s">
        <v>69</v>
      </c>
      <c r="W2093" t="s">
        <v>69</v>
      </c>
      <c r="X2093" t="s">
        <v>95</v>
      </c>
      <c r="Y2093" s="9">
        <f t="shared" si="97"/>
        <v>0</v>
      </c>
      <c r="Z2093" t="str">
        <f t="shared" si="98"/>
        <v>สแกนต่าง Cost</v>
      </c>
    </row>
    <row r="2094" spans="1:26" x14ac:dyDescent="0.45">
      <c r="B2094" t="s">
        <v>26</v>
      </c>
      <c r="C2094">
        <v>20075988</v>
      </c>
      <c r="D2094" t="s">
        <v>325</v>
      </c>
      <c r="E2094" s="10">
        <v>46120.333333333336</v>
      </c>
      <c r="F2094" s="10">
        <v>46120.729166666664</v>
      </c>
      <c r="G2094">
        <v>8.5</v>
      </c>
      <c r="H2094" s="9">
        <f t="shared" si="96"/>
        <v>4.4999999999999998E-2</v>
      </c>
      <c r="I2094">
        <v>4.4999999999999998E-2</v>
      </c>
      <c r="M2094" t="s">
        <v>65</v>
      </c>
      <c r="N2094" t="s">
        <v>29</v>
      </c>
      <c r="P2094" t="s">
        <v>30</v>
      </c>
      <c r="Q2094" t="s">
        <v>31</v>
      </c>
      <c r="R2094">
        <v>82607</v>
      </c>
      <c r="S2094" t="s">
        <v>168</v>
      </c>
      <c r="T2094">
        <v>82612</v>
      </c>
      <c r="U2094" t="s">
        <v>153</v>
      </c>
      <c r="V2094" t="s">
        <v>362</v>
      </c>
      <c r="W2094" t="s">
        <v>42</v>
      </c>
      <c r="X2094" t="s">
        <v>34</v>
      </c>
      <c r="Y2094" s="9">
        <f t="shared" si="97"/>
        <v>0</v>
      </c>
      <c r="Z2094" t="str">
        <f t="shared" si="98"/>
        <v>สแกนต่าง Cost</v>
      </c>
    </row>
    <row r="2095" spans="1:26" x14ac:dyDescent="0.45">
      <c r="A2095">
        <v>26705</v>
      </c>
      <c r="B2095" t="s">
        <v>53</v>
      </c>
      <c r="C2095">
        <v>20076436</v>
      </c>
      <c r="D2095" t="s">
        <v>131</v>
      </c>
      <c r="E2095" s="10">
        <v>46120.333333333336</v>
      </c>
      <c r="F2095" s="10">
        <v>46120.729166666664</v>
      </c>
      <c r="G2095">
        <v>8.5</v>
      </c>
      <c r="H2095" s="9">
        <f t="shared" si="96"/>
        <v>4.4999999999999998E-2</v>
      </c>
      <c r="J2095">
        <v>4.4999999999999998E-2</v>
      </c>
      <c r="M2095" t="s">
        <v>77</v>
      </c>
      <c r="N2095" t="s">
        <v>29</v>
      </c>
      <c r="P2095" t="s">
        <v>30</v>
      </c>
      <c r="Q2095" t="s">
        <v>31</v>
      </c>
      <c r="R2095">
        <v>82301</v>
      </c>
      <c r="S2095" t="s">
        <v>79</v>
      </c>
      <c r="T2095">
        <v>82308</v>
      </c>
      <c r="U2095" t="s">
        <v>69</v>
      </c>
      <c r="V2095" t="s">
        <v>69</v>
      </c>
      <c r="W2095" t="s">
        <v>69</v>
      </c>
      <c r="X2095" t="s">
        <v>95</v>
      </c>
      <c r="Y2095" s="9">
        <f t="shared" si="97"/>
        <v>4.4999999999999998E-2</v>
      </c>
      <c r="Z2095" t="str">
        <f t="shared" si="98"/>
        <v>สแกนต่าง Cost</v>
      </c>
    </row>
    <row r="2096" spans="1:26" x14ac:dyDescent="0.45">
      <c r="A2096">
        <v>26089</v>
      </c>
      <c r="B2096" t="s">
        <v>53</v>
      </c>
      <c r="C2096">
        <v>20162724</v>
      </c>
      <c r="D2096" t="s">
        <v>128</v>
      </c>
      <c r="E2096" s="10">
        <v>46120.333333333336</v>
      </c>
      <c r="F2096" s="10">
        <v>46120.729166666664</v>
      </c>
      <c r="G2096">
        <v>8.5</v>
      </c>
      <c r="H2096" s="9">
        <f t="shared" si="96"/>
        <v>4.4999999999999998E-2</v>
      </c>
      <c r="I2096">
        <v>4.4999999999999998E-2</v>
      </c>
      <c r="M2096" t="s">
        <v>65</v>
      </c>
      <c r="N2096" t="s">
        <v>29</v>
      </c>
      <c r="P2096" t="s">
        <v>30</v>
      </c>
      <c r="Q2096" t="s">
        <v>31</v>
      </c>
      <c r="R2096">
        <v>82658</v>
      </c>
      <c r="S2096" t="s">
        <v>33</v>
      </c>
      <c r="T2096">
        <v>82664</v>
      </c>
      <c r="U2096" t="s">
        <v>75</v>
      </c>
      <c r="V2096" t="s">
        <v>75</v>
      </c>
      <c r="W2096" t="s">
        <v>37</v>
      </c>
      <c r="X2096" t="s">
        <v>111</v>
      </c>
      <c r="Y2096" s="9">
        <f t="shared" si="97"/>
        <v>0</v>
      </c>
      <c r="Z2096" t="str">
        <f t="shared" si="98"/>
        <v>สแกนต่าง Cost</v>
      </c>
    </row>
    <row r="2097" spans="1:26" x14ac:dyDescent="0.45">
      <c r="B2097" t="s">
        <v>53</v>
      </c>
      <c r="C2097">
        <v>20167851</v>
      </c>
      <c r="D2097" t="s">
        <v>63</v>
      </c>
      <c r="E2097" s="10">
        <v>46120.333333333336</v>
      </c>
      <c r="F2097" s="10">
        <v>46120.375</v>
      </c>
      <c r="G2097">
        <v>1</v>
      </c>
      <c r="H2097" s="9">
        <f t="shared" si="96"/>
        <v>5.0000000000000001E-3</v>
      </c>
      <c r="I2097">
        <v>5.0000000000000001E-3</v>
      </c>
      <c r="M2097" t="s">
        <v>65</v>
      </c>
      <c r="N2097" t="s">
        <v>29</v>
      </c>
      <c r="P2097" t="s">
        <v>30</v>
      </c>
      <c r="Q2097" t="s">
        <v>31</v>
      </c>
      <c r="R2097">
        <v>82640</v>
      </c>
      <c r="S2097" t="s">
        <v>42</v>
      </c>
      <c r="T2097">
        <v>82630</v>
      </c>
      <c r="U2097" t="s">
        <v>32</v>
      </c>
      <c r="V2097" t="s">
        <v>66</v>
      </c>
      <c r="W2097" t="s">
        <v>44</v>
      </c>
      <c r="X2097" t="s">
        <v>44</v>
      </c>
      <c r="Y2097" s="9">
        <f t="shared" si="97"/>
        <v>0</v>
      </c>
      <c r="Z2097" t="str">
        <f t="shared" si="98"/>
        <v>สแกนต่าง Cost</v>
      </c>
    </row>
    <row r="2098" spans="1:26" x14ac:dyDescent="0.45">
      <c r="B2098" t="s">
        <v>53</v>
      </c>
      <c r="C2098">
        <v>20198711</v>
      </c>
      <c r="D2098" t="s">
        <v>178</v>
      </c>
      <c r="E2098" s="10">
        <v>46120.333333333336</v>
      </c>
      <c r="F2098" s="10">
        <v>46120.729166666664</v>
      </c>
      <c r="G2098">
        <v>8.5</v>
      </c>
      <c r="H2098" s="9">
        <f t="shared" si="96"/>
        <v>4.4999999999999998E-2</v>
      </c>
      <c r="I2098">
        <v>4.4999999999999998E-2</v>
      </c>
      <c r="M2098" t="s">
        <v>65</v>
      </c>
      <c r="N2098" t="s">
        <v>29</v>
      </c>
      <c r="P2098" t="s">
        <v>30</v>
      </c>
      <c r="Q2098" t="s">
        <v>31</v>
      </c>
      <c r="R2098">
        <v>82630</v>
      </c>
      <c r="S2098" t="s">
        <v>32</v>
      </c>
      <c r="T2098">
        <v>82611</v>
      </c>
      <c r="U2098" t="s">
        <v>43</v>
      </c>
      <c r="V2098" t="s">
        <v>43</v>
      </c>
      <c r="W2098" t="s">
        <v>170</v>
      </c>
      <c r="X2098" t="s">
        <v>171</v>
      </c>
      <c r="Y2098" s="9">
        <f t="shared" si="97"/>
        <v>0</v>
      </c>
      <c r="Z2098" t="str">
        <f t="shared" si="98"/>
        <v>สแกนต่าง Cost</v>
      </c>
    </row>
    <row r="2099" spans="1:26" x14ac:dyDescent="0.45">
      <c r="B2099" t="s">
        <v>53</v>
      </c>
      <c r="C2099">
        <v>20198715</v>
      </c>
      <c r="D2099" t="s">
        <v>179</v>
      </c>
      <c r="E2099" s="10">
        <v>46120.333333333336</v>
      </c>
      <c r="F2099" s="10">
        <v>46120.729166666664</v>
      </c>
      <c r="G2099">
        <v>8.5</v>
      </c>
      <c r="H2099" s="9">
        <f t="shared" si="96"/>
        <v>4.4999999999999998E-2</v>
      </c>
      <c r="I2099">
        <v>4.4999999999999998E-2</v>
      </c>
      <c r="M2099" t="s">
        <v>65</v>
      </c>
      <c r="N2099" t="s">
        <v>29</v>
      </c>
      <c r="P2099" t="s">
        <v>30</v>
      </c>
      <c r="Q2099" t="s">
        <v>31</v>
      </c>
      <c r="R2099">
        <v>82630</v>
      </c>
      <c r="S2099" t="s">
        <v>32</v>
      </c>
      <c r="T2099">
        <v>82611</v>
      </c>
      <c r="U2099" t="s">
        <v>43</v>
      </c>
      <c r="V2099" t="s">
        <v>43</v>
      </c>
      <c r="W2099" t="s">
        <v>170</v>
      </c>
      <c r="X2099" t="s">
        <v>171</v>
      </c>
      <c r="Y2099" s="9">
        <f t="shared" si="97"/>
        <v>0</v>
      </c>
      <c r="Z2099" t="str">
        <f t="shared" si="98"/>
        <v>สแกนต่าง Cost</v>
      </c>
    </row>
    <row r="2100" spans="1:26" x14ac:dyDescent="0.45">
      <c r="B2100" t="s">
        <v>53</v>
      </c>
      <c r="C2100">
        <v>20198747</v>
      </c>
      <c r="D2100" t="s">
        <v>180</v>
      </c>
      <c r="E2100">
        <v>46120.333333333336</v>
      </c>
      <c r="F2100">
        <v>46120.729166666664</v>
      </c>
      <c r="G2100">
        <v>8.5</v>
      </c>
      <c r="H2100" s="9">
        <f t="shared" si="96"/>
        <v>4.4999999999999998E-2</v>
      </c>
      <c r="I2100" s="11">
        <v>4.4999999999999998E-2</v>
      </c>
      <c r="M2100" t="s">
        <v>65</v>
      </c>
      <c r="N2100" t="s">
        <v>29</v>
      </c>
      <c r="P2100" t="s">
        <v>30</v>
      </c>
      <c r="Q2100" t="s">
        <v>31</v>
      </c>
      <c r="R2100">
        <v>82630</v>
      </c>
      <c r="S2100" t="s">
        <v>32</v>
      </c>
      <c r="T2100">
        <v>82640</v>
      </c>
      <c r="U2100" t="s">
        <v>42</v>
      </c>
      <c r="V2100" t="s">
        <v>70</v>
      </c>
      <c r="W2100" t="s">
        <v>170</v>
      </c>
      <c r="X2100" t="s">
        <v>171</v>
      </c>
      <c r="Y2100" s="9">
        <f t="shared" si="97"/>
        <v>0</v>
      </c>
      <c r="Z2100" t="str">
        <f t="shared" si="98"/>
        <v>สแกนต่าง Cost</v>
      </c>
    </row>
    <row r="2101" spans="1:26" x14ac:dyDescent="0.45">
      <c r="A2101">
        <v>26091</v>
      </c>
      <c r="B2101" t="s">
        <v>53</v>
      </c>
      <c r="C2101">
        <v>20198835</v>
      </c>
      <c r="D2101" t="s">
        <v>129</v>
      </c>
      <c r="E2101">
        <v>46120.333333333336</v>
      </c>
      <c r="F2101">
        <v>46120.729166666664</v>
      </c>
      <c r="G2101">
        <v>8.5</v>
      </c>
      <c r="H2101" s="9">
        <f t="shared" si="96"/>
        <v>4.4999999999999998E-2</v>
      </c>
      <c r="I2101" s="11">
        <v>4.4999999999999998E-2</v>
      </c>
      <c r="M2101" t="s">
        <v>65</v>
      </c>
      <c r="N2101" t="s">
        <v>29</v>
      </c>
      <c r="P2101" t="s">
        <v>30</v>
      </c>
      <c r="Q2101" t="s">
        <v>31</v>
      </c>
      <c r="R2101">
        <v>82658</v>
      </c>
      <c r="S2101" t="s">
        <v>33</v>
      </c>
      <c r="T2101">
        <v>82664</v>
      </c>
      <c r="U2101" t="s">
        <v>75</v>
      </c>
      <c r="V2101" t="s">
        <v>75</v>
      </c>
      <c r="W2101" t="s">
        <v>37</v>
      </c>
      <c r="X2101" t="s">
        <v>111</v>
      </c>
      <c r="Y2101" s="9">
        <f t="shared" si="97"/>
        <v>0</v>
      </c>
      <c r="Z2101" t="str">
        <f t="shared" si="98"/>
        <v>สแกนต่าง Cost</v>
      </c>
    </row>
    <row r="2102" spans="1:26" x14ac:dyDescent="0.45">
      <c r="B2102" t="s">
        <v>53</v>
      </c>
      <c r="C2102">
        <v>20220646</v>
      </c>
      <c r="D2102" t="s">
        <v>67</v>
      </c>
      <c r="E2102">
        <v>46120.333333333336</v>
      </c>
      <c r="F2102">
        <v>46120.5</v>
      </c>
      <c r="G2102">
        <v>4</v>
      </c>
      <c r="H2102" s="9">
        <f t="shared" si="96"/>
        <v>2.1000000000000001E-2</v>
      </c>
      <c r="I2102" s="11">
        <v>2.1000000000000001E-2</v>
      </c>
      <c r="M2102" t="s">
        <v>65</v>
      </c>
      <c r="N2102" t="s">
        <v>29</v>
      </c>
      <c r="P2102" t="s">
        <v>30</v>
      </c>
      <c r="Q2102" t="s">
        <v>31</v>
      </c>
      <c r="R2102">
        <v>82640</v>
      </c>
      <c r="S2102" t="s">
        <v>42</v>
      </c>
      <c r="T2102">
        <v>82652</v>
      </c>
      <c r="U2102" t="s">
        <v>46</v>
      </c>
      <c r="V2102" t="s">
        <v>66</v>
      </c>
      <c r="W2102" t="s">
        <v>37</v>
      </c>
      <c r="X2102" t="s">
        <v>34</v>
      </c>
      <c r="Y2102" s="9">
        <f t="shared" si="97"/>
        <v>0</v>
      </c>
      <c r="Z2102" t="str">
        <f t="shared" si="98"/>
        <v>สแกนต่าง Cost</v>
      </c>
    </row>
    <row r="2103" spans="1:26" x14ac:dyDescent="0.45">
      <c r="B2103" t="s">
        <v>53</v>
      </c>
      <c r="C2103">
        <v>20225092</v>
      </c>
      <c r="D2103" t="s">
        <v>335</v>
      </c>
      <c r="E2103">
        <v>46120.333333333336</v>
      </c>
      <c r="F2103">
        <v>46120.729166666664</v>
      </c>
      <c r="G2103">
        <v>8.5</v>
      </c>
      <c r="H2103" s="9">
        <f t="shared" si="96"/>
        <v>4.4999999999999998E-2</v>
      </c>
      <c r="I2103">
        <v>4.4999999999999998E-2</v>
      </c>
      <c r="M2103" t="s">
        <v>65</v>
      </c>
      <c r="N2103" t="s">
        <v>29</v>
      </c>
      <c r="P2103" t="s">
        <v>133</v>
      </c>
      <c r="Q2103" t="s">
        <v>31</v>
      </c>
      <c r="R2103">
        <v>82400</v>
      </c>
      <c r="S2103" t="s">
        <v>83</v>
      </c>
      <c r="T2103">
        <v>82664</v>
      </c>
      <c r="U2103" t="s">
        <v>75</v>
      </c>
      <c r="V2103" t="s">
        <v>336</v>
      </c>
      <c r="W2103" t="s">
        <v>44</v>
      </c>
      <c r="X2103" t="s">
        <v>44</v>
      </c>
      <c r="Y2103" s="9">
        <f t="shared" si="97"/>
        <v>0</v>
      </c>
      <c r="Z2103" t="str">
        <f t="shared" si="98"/>
        <v>สแกนต่าง Cost</v>
      </c>
    </row>
    <row r="2104" spans="1:26" x14ac:dyDescent="0.45">
      <c r="A2104">
        <v>26093</v>
      </c>
      <c r="B2104" t="s">
        <v>53</v>
      </c>
      <c r="C2104">
        <v>20267288</v>
      </c>
      <c r="D2104" t="s">
        <v>127</v>
      </c>
      <c r="E2104" s="8">
        <v>46120.333333333336</v>
      </c>
      <c r="F2104" s="8">
        <v>46120.804861111108</v>
      </c>
      <c r="G2104">
        <v>11.316666666666666</v>
      </c>
      <c r="H2104" s="9">
        <f t="shared" si="96"/>
        <v>0.06</v>
      </c>
      <c r="I2104" s="9">
        <v>4.4999999999999998E-2</v>
      </c>
      <c r="J2104" s="9"/>
      <c r="K2104" s="9">
        <v>1.4999999999999999E-2</v>
      </c>
      <c r="L2104" s="9"/>
      <c r="M2104" t="s">
        <v>28</v>
      </c>
      <c r="N2104" t="s">
        <v>40</v>
      </c>
      <c r="O2104" t="s">
        <v>227</v>
      </c>
      <c r="P2104" t="s">
        <v>30</v>
      </c>
      <c r="Q2104" t="s">
        <v>31</v>
      </c>
      <c r="R2104">
        <v>82409</v>
      </c>
      <c r="S2104" t="s">
        <v>74</v>
      </c>
      <c r="T2104">
        <v>82664</v>
      </c>
      <c r="U2104" t="s">
        <v>75</v>
      </c>
      <c r="V2104" t="s">
        <v>75</v>
      </c>
      <c r="W2104" t="s">
        <v>74</v>
      </c>
      <c r="X2104" t="s">
        <v>74</v>
      </c>
      <c r="Y2104" s="9">
        <f t="shared" si="97"/>
        <v>1.4999999999999999E-2</v>
      </c>
      <c r="Z2104" t="str">
        <f t="shared" si="98"/>
        <v>สแกนต่าง Cost</v>
      </c>
    </row>
    <row r="2105" spans="1:26" x14ac:dyDescent="0.45">
      <c r="A2105">
        <v>26096</v>
      </c>
      <c r="B2105" t="s">
        <v>53</v>
      </c>
      <c r="C2105">
        <v>20276269</v>
      </c>
      <c r="D2105" t="s">
        <v>134</v>
      </c>
      <c r="E2105" s="8">
        <v>46120.333333333336</v>
      </c>
      <c r="F2105" s="8">
        <v>46120.729166666664</v>
      </c>
      <c r="G2105">
        <v>9.5</v>
      </c>
      <c r="H2105" s="9">
        <f t="shared" si="96"/>
        <v>4.9999999999999996E-2</v>
      </c>
      <c r="I2105" s="9">
        <v>4.4999999999999998E-2</v>
      </c>
      <c r="J2105" s="9"/>
      <c r="K2105" s="9">
        <v>5.0000000000000001E-3</v>
      </c>
      <c r="L2105" s="9"/>
      <c r="M2105" t="s">
        <v>28</v>
      </c>
      <c r="N2105" t="s">
        <v>29</v>
      </c>
      <c r="P2105" t="s">
        <v>30</v>
      </c>
      <c r="Q2105" t="s">
        <v>31</v>
      </c>
      <c r="R2105">
        <v>82308</v>
      </c>
      <c r="S2105" t="s">
        <v>69</v>
      </c>
      <c r="T2105">
        <v>82301</v>
      </c>
      <c r="U2105" t="s">
        <v>79</v>
      </c>
      <c r="V2105" t="s">
        <v>79</v>
      </c>
      <c r="W2105" t="s">
        <v>80</v>
      </c>
      <c r="X2105" t="s">
        <v>135</v>
      </c>
      <c r="Y2105" s="9">
        <f t="shared" si="97"/>
        <v>5.0000000000000001E-3</v>
      </c>
      <c r="Z2105" t="str">
        <f t="shared" si="98"/>
        <v>สแกนต่าง Cost</v>
      </c>
    </row>
    <row r="2106" spans="1:26" x14ac:dyDescent="0.45">
      <c r="B2106" t="s">
        <v>53</v>
      </c>
      <c r="C2106">
        <v>20280722</v>
      </c>
      <c r="D2106" t="s">
        <v>342</v>
      </c>
      <c r="E2106" s="8">
        <v>46120.333333333336</v>
      </c>
      <c r="F2106" s="8">
        <v>46120.5</v>
      </c>
      <c r="G2106">
        <v>4</v>
      </c>
      <c r="H2106" s="9">
        <f t="shared" si="96"/>
        <v>2.1000000000000001E-2</v>
      </c>
      <c r="I2106" s="9">
        <v>2.1000000000000001E-2</v>
      </c>
      <c r="J2106" s="9"/>
      <c r="K2106" s="9"/>
      <c r="L2106" s="9"/>
      <c r="M2106" t="s">
        <v>65</v>
      </c>
      <c r="N2106" t="s">
        <v>29</v>
      </c>
      <c r="P2106" t="s">
        <v>30</v>
      </c>
      <c r="Q2106" t="s">
        <v>31</v>
      </c>
      <c r="R2106">
        <v>82640</v>
      </c>
      <c r="S2106" t="s">
        <v>42</v>
      </c>
      <c r="T2106">
        <v>82652</v>
      </c>
      <c r="U2106" t="s">
        <v>46</v>
      </c>
      <c r="V2106" t="s">
        <v>66</v>
      </c>
      <c r="W2106" t="s">
        <v>37</v>
      </c>
      <c r="X2106" t="s">
        <v>34</v>
      </c>
      <c r="Y2106" s="9">
        <f t="shared" si="97"/>
        <v>0</v>
      </c>
      <c r="Z2106" t="str">
        <f t="shared" si="98"/>
        <v>สแกนต่าง Cost</v>
      </c>
    </row>
    <row r="2107" spans="1:26" x14ac:dyDescent="0.45">
      <c r="B2107" t="s">
        <v>53</v>
      </c>
      <c r="C2107">
        <v>20310532</v>
      </c>
      <c r="D2107" t="s">
        <v>61</v>
      </c>
      <c r="E2107" s="8">
        <v>46120.333333333336</v>
      </c>
      <c r="F2107" s="8">
        <v>46120.416666666664</v>
      </c>
      <c r="G2107">
        <v>2</v>
      </c>
      <c r="H2107" s="9">
        <f t="shared" si="96"/>
        <v>1.0999999999999999E-2</v>
      </c>
      <c r="I2107" s="9">
        <v>1.0999999999999999E-2</v>
      </c>
      <c r="J2107" s="9"/>
      <c r="K2107" s="9"/>
      <c r="L2107" s="9"/>
      <c r="M2107" t="s">
        <v>65</v>
      </c>
      <c r="N2107" t="s">
        <v>29</v>
      </c>
      <c r="P2107" t="s">
        <v>30</v>
      </c>
      <c r="Q2107" t="s">
        <v>31</v>
      </c>
      <c r="R2107">
        <v>82640</v>
      </c>
      <c r="S2107" t="s">
        <v>42</v>
      </c>
      <c r="T2107">
        <v>82630</v>
      </c>
      <c r="U2107" t="s">
        <v>32</v>
      </c>
      <c r="V2107" t="s">
        <v>66</v>
      </c>
      <c r="W2107" t="s">
        <v>44</v>
      </c>
      <c r="X2107" t="s">
        <v>44</v>
      </c>
      <c r="Y2107" s="9">
        <f t="shared" si="97"/>
        <v>0</v>
      </c>
      <c r="Z2107" t="str">
        <f t="shared" si="98"/>
        <v>สแกนต่าง Cost</v>
      </c>
    </row>
    <row r="2108" spans="1:26" x14ac:dyDescent="0.45">
      <c r="B2108" t="s">
        <v>53</v>
      </c>
      <c r="C2108">
        <v>20319535</v>
      </c>
      <c r="D2108" t="s">
        <v>36</v>
      </c>
      <c r="E2108" s="8">
        <v>46120.333333333336</v>
      </c>
      <c r="F2108" s="8">
        <v>46120.729166666664</v>
      </c>
      <c r="G2108">
        <v>9.5</v>
      </c>
      <c r="H2108" s="9">
        <f t="shared" si="96"/>
        <v>4.9999999999999996E-2</v>
      </c>
      <c r="I2108" s="9">
        <v>4.4999999999999998E-2</v>
      </c>
      <c r="J2108" s="9"/>
      <c r="K2108" s="9">
        <v>5.0000000000000001E-3</v>
      </c>
      <c r="L2108" s="9"/>
      <c r="M2108" t="s">
        <v>28</v>
      </c>
      <c r="N2108" t="s">
        <v>29</v>
      </c>
      <c r="P2108" t="s">
        <v>30</v>
      </c>
      <c r="Q2108" t="s">
        <v>31</v>
      </c>
      <c r="R2108">
        <v>82630</v>
      </c>
      <c r="S2108" t="s">
        <v>32</v>
      </c>
      <c r="T2108">
        <v>82611</v>
      </c>
      <c r="U2108" t="s">
        <v>43</v>
      </c>
      <c r="V2108" t="s">
        <v>43</v>
      </c>
      <c r="W2108" t="s">
        <v>170</v>
      </c>
      <c r="X2108" t="s">
        <v>171</v>
      </c>
      <c r="Y2108" s="9">
        <f t="shared" si="97"/>
        <v>5.0000000000000001E-3</v>
      </c>
      <c r="Z2108" t="str">
        <f t="shared" si="98"/>
        <v>สแกนต่าง Cost</v>
      </c>
    </row>
    <row r="2109" spans="1:26" x14ac:dyDescent="0.45">
      <c r="B2109" t="s">
        <v>26</v>
      </c>
      <c r="C2109">
        <v>20330032</v>
      </c>
      <c r="D2109" t="s">
        <v>204</v>
      </c>
      <c r="E2109" s="8">
        <v>46120.333333333336</v>
      </c>
      <c r="F2109" s="8">
        <v>46120.729166666664</v>
      </c>
      <c r="G2109">
        <v>8.5</v>
      </c>
      <c r="H2109" s="9">
        <f t="shared" si="96"/>
        <v>4.4999999999999998E-2</v>
      </c>
      <c r="I2109" s="9">
        <v>4.4999999999999998E-2</v>
      </c>
      <c r="J2109" s="9"/>
      <c r="K2109" s="9"/>
      <c r="L2109" s="9"/>
      <c r="M2109" t="s">
        <v>77</v>
      </c>
      <c r="N2109" t="s">
        <v>29</v>
      </c>
      <c r="P2109" t="s">
        <v>30</v>
      </c>
      <c r="Q2109" t="s">
        <v>31</v>
      </c>
      <c r="R2109">
        <v>82910</v>
      </c>
      <c r="S2109" t="s">
        <v>201</v>
      </c>
      <c r="T2109">
        <v>82611</v>
      </c>
      <c r="U2109" t="s">
        <v>43</v>
      </c>
      <c r="V2109" t="s">
        <v>43</v>
      </c>
      <c r="W2109" t="s">
        <v>148</v>
      </c>
      <c r="X2109" t="s">
        <v>171</v>
      </c>
      <c r="Y2109" s="9">
        <f t="shared" si="97"/>
        <v>0</v>
      </c>
      <c r="Z2109" t="str">
        <f t="shared" si="98"/>
        <v>สแกนต่าง Cost</v>
      </c>
    </row>
    <row r="2110" spans="1:26" x14ac:dyDescent="0.45">
      <c r="B2110" t="s">
        <v>53</v>
      </c>
      <c r="C2110">
        <v>20332134</v>
      </c>
      <c r="D2110" t="s">
        <v>156</v>
      </c>
      <c r="E2110" s="8">
        <v>46120.333333333336</v>
      </c>
      <c r="F2110" s="8">
        <v>46120.375</v>
      </c>
      <c r="G2110">
        <v>1</v>
      </c>
      <c r="H2110" s="9">
        <f t="shared" si="96"/>
        <v>5.0000000000000001E-3</v>
      </c>
      <c r="I2110" s="9">
        <v>5.0000000000000001E-3</v>
      </c>
      <c r="J2110" s="9"/>
      <c r="K2110" s="9"/>
      <c r="L2110" s="9"/>
      <c r="M2110" t="s">
        <v>65</v>
      </c>
      <c r="N2110" t="s">
        <v>29</v>
      </c>
      <c r="P2110" t="s">
        <v>30</v>
      </c>
      <c r="Q2110" t="s">
        <v>31</v>
      </c>
      <c r="R2110">
        <v>82640</v>
      </c>
      <c r="S2110" t="s">
        <v>42</v>
      </c>
      <c r="T2110">
        <v>82630</v>
      </c>
      <c r="U2110" t="s">
        <v>32</v>
      </c>
      <c r="V2110" t="s">
        <v>66</v>
      </c>
      <c r="W2110" t="s">
        <v>44</v>
      </c>
      <c r="X2110" t="s">
        <v>44</v>
      </c>
      <c r="Y2110" s="9">
        <f t="shared" si="97"/>
        <v>0</v>
      </c>
      <c r="Z2110" t="str">
        <f t="shared" si="98"/>
        <v>สแกนต่าง Cost</v>
      </c>
    </row>
    <row r="2111" spans="1:26" x14ac:dyDescent="0.45">
      <c r="B2111" t="s">
        <v>53</v>
      </c>
      <c r="C2111">
        <v>20344532</v>
      </c>
      <c r="D2111" t="s">
        <v>186</v>
      </c>
      <c r="E2111" s="8">
        <v>46120.333333333336</v>
      </c>
      <c r="F2111" s="8">
        <v>46120.729166666664</v>
      </c>
      <c r="G2111">
        <v>9.5</v>
      </c>
      <c r="H2111" s="9">
        <f t="shared" si="96"/>
        <v>4.9999999999999996E-2</v>
      </c>
      <c r="I2111" s="9">
        <v>4.4999999999999998E-2</v>
      </c>
      <c r="J2111" s="9"/>
      <c r="K2111" s="9">
        <v>5.0000000000000001E-3</v>
      </c>
      <c r="L2111" s="9"/>
      <c r="M2111" t="s">
        <v>28</v>
      </c>
      <c r="N2111" t="s">
        <v>29</v>
      </c>
      <c r="P2111" t="s">
        <v>30</v>
      </c>
      <c r="Q2111" t="s">
        <v>31</v>
      </c>
      <c r="R2111">
        <v>82630</v>
      </c>
      <c r="S2111" t="s">
        <v>32</v>
      </c>
      <c r="T2111">
        <v>82611</v>
      </c>
      <c r="U2111" t="s">
        <v>43</v>
      </c>
      <c r="V2111" t="s">
        <v>43</v>
      </c>
      <c r="W2111" t="s">
        <v>170</v>
      </c>
      <c r="X2111" t="s">
        <v>171</v>
      </c>
      <c r="Y2111" s="9">
        <f t="shared" si="97"/>
        <v>5.0000000000000001E-3</v>
      </c>
      <c r="Z2111" t="str">
        <f t="shared" si="98"/>
        <v>สแกนต่าง Cost</v>
      </c>
    </row>
    <row r="2112" spans="1:26" x14ac:dyDescent="0.45">
      <c r="B2112" t="s">
        <v>53</v>
      </c>
      <c r="C2112">
        <v>20352276</v>
      </c>
      <c r="D2112" t="s">
        <v>187</v>
      </c>
      <c r="E2112" s="8">
        <v>46120.333333333336</v>
      </c>
      <c r="F2112" s="8">
        <v>46120.729166666664</v>
      </c>
      <c r="G2112">
        <v>8.5</v>
      </c>
      <c r="H2112" s="9">
        <f t="shared" si="96"/>
        <v>4.4999999999999998E-2</v>
      </c>
      <c r="I2112" s="9">
        <v>4.4999999999999998E-2</v>
      </c>
      <c r="J2112" s="9"/>
      <c r="K2112" s="9"/>
      <c r="L2112" s="9"/>
      <c r="M2112" t="s">
        <v>65</v>
      </c>
      <c r="N2112" t="s">
        <v>29</v>
      </c>
      <c r="P2112" t="s">
        <v>30</v>
      </c>
      <c r="Q2112" t="s">
        <v>31</v>
      </c>
      <c r="R2112">
        <v>82630</v>
      </c>
      <c r="S2112" t="s">
        <v>32</v>
      </c>
      <c r="T2112">
        <v>82611</v>
      </c>
      <c r="U2112" t="s">
        <v>43</v>
      </c>
      <c r="V2112" t="s">
        <v>43</v>
      </c>
      <c r="W2112" t="s">
        <v>170</v>
      </c>
      <c r="X2112" t="s">
        <v>171</v>
      </c>
      <c r="Y2112" s="9">
        <f t="shared" si="97"/>
        <v>0</v>
      </c>
      <c r="Z2112" t="str">
        <f t="shared" si="98"/>
        <v>สแกนต่าง Cost</v>
      </c>
    </row>
    <row r="2113" spans="1:26" x14ac:dyDescent="0.45">
      <c r="B2113" t="s">
        <v>53</v>
      </c>
      <c r="C2113">
        <v>20368087</v>
      </c>
      <c r="D2113" t="s">
        <v>260</v>
      </c>
      <c r="E2113" s="8">
        <v>46120.333333333336</v>
      </c>
      <c r="F2113" s="8">
        <v>46120.4375</v>
      </c>
      <c r="G2113">
        <v>2.5</v>
      </c>
      <c r="H2113" s="9">
        <f t="shared" si="96"/>
        <v>1.2999999999999999E-2</v>
      </c>
      <c r="I2113" s="9">
        <v>1.2999999999999999E-2</v>
      </c>
      <c r="J2113" s="9"/>
      <c r="K2113" s="9"/>
      <c r="L2113" s="9"/>
      <c r="M2113" t="s">
        <v>65</v>
      </c>
      <c r="N2113" t="s">
        <v>29</v>
      </c>
      <c r="P2113" t="s">
        <v>30</v>
      </c>
      <c r="Q2113" t="s">
        <v>31</v>
      </c>
      <c r="R2113">
        <v>82640</v>
      </c>
      <c r="S2113" t="s">
        <v>42</v>
      </c>
      <c r="T2113">
        <v>82612</v>
      </c>
      <c r="U2113" t="s">
        <v>153</v>
      </c>
      <c r="V2113" t="s">
        <v>66</v>
      </c>
      <c r="W2113" t="s">
        <v>44</v>
      </c>
      <c r="X2113" t="s">
        <v>44</v>
      </c>
      <c r="Y2113" s="9">
        <f t="shared" si="97"/>
        <v>0</v>
      </c>
      <c r="Z2113" t="str">
        <f t="shared" si="98"/>
        <v>สแกนต่าง Cost</v>
      </c>
    </row>
    <row r="2114" spans="1:26" x14ac:dyDescent="0.45">
      <c r="A2114">
        <v>26092</v>
      </c>
      <c r="B2114" t="s">
        <v>53</v>
      </c>
      <c r="C2114">
        <v>20372709</v>
      </c>
      <c r="D2114" t="s">
        <v>130</v>
      </c>
      <c r="E2114" s="8">
        <v>46120.333333333336</v>
      </c>
      <c r="F2114" s="8">
        <v>46120.729166666664</v>
      </c>
      <c r="G2114">
        <v>8.5</v>
      </c>
      <c r="H2114" s="9">
        <f t="shared" si="96"/>
        <v>4.4999999999999998E-2</v>
      </c>
      <c r="I2114" s="9">
        <v>4.4999999999999998E-2</v>
      </c>
      <c r="J2114" s="9"/>
      <c r="K2114" s="9"/>
      <c r="L2114" s="9"/>
      <c r="M2114" t="s">
        <v>65</v>
      </c>
      <c r="N2114" t="s">
        <v>29</v>
      </c>
      <c r="P2114" t="s">
        <v>30</v>
      </c>
      <c r="Q2114" t="s">
        <v>31</v>
      </c>
      <c r="R2114">
        <v>82658</v>
      </c>
      <c r="S2114" t="s">
        <v>33</v>
      </c>
      <c r="T2114">
        <v>82664</v>
      </c>
      <c r="U2114" t="s">
        <v>75</v>
      </c>
      <c r="V2114" t="s">
        <v>75</v>
      </c>
      <c r="W2114" t="s">
        <v>37</v>
      </c>
      <c r="X2114" t="s">
        <v>111</v>
      </c>
      <c r="Y2114" s="9">
        <f t="shared" si="97"/>
        <v>0</v>
      </c>
      <c r="Z2114" t="str">
        <f t="shared" si="98"/>
        <v>สแกนต่าง Cost</v>
      </c>
    </row>
    <row r="2115" spans="1:26" x14ac:dyDescent="0.45">
      <c r="B2115" t="s">
        <v>26</v>
      </c>
      <c r="C2115">
        <v>20373210</v>
      </c>
      <c r="D2115" t="s">
        <v>206</v>
      </c>
      <c r="E2115" s="10">
        <v>46120.333333333336</v>
      </c>
      <c r="F2115" s="10">
        <v>46120.729166666664</v>
      </c>
      <c r="G2115">
        <v>8.5</v>
      </c>
      <c r="H2115" s="9">
        <f t="shared" ref="H2115:H2178" si="99">SUM(I2115:L2115)</f>
        <v>4.4999999999999998E-2</v>
      </c>
      <c r="I2115" s="9">
        <v>4.4999999999999998E-2</v>
      </c>
      <c r="M2115" t="s">
        <v>65</v>
      </c>
      <c r="N2115" t="s">
        <v>29</v>
      </c>
      <c r="P2115" t="s">
        <v>30</v>
      </c>
      <c r="Q2115" t="s">
        <v>31</v>
      </c>
      <c r="R2115">
        <v>82910</v>
      </c>
      <c r="S2115" t="s">
        <v>201</v>
      </c>
      <c r="T2115">
        <v>82611</v>
      </c>
      <c r="U2115" t="s">
        <v>43</v>
      </c>
      <c r="V2115" t="s">
        <v>43</v>
      </c>
      <c r="W2115" t="s">
        <v>148</v>
      </c>
      <c r="X2115" t="s">
        <v>171</v>
      </c>
      <c r="Y2115" s="9">
        <f t="shared" ref="Y2115:Y2178" si="100">SUM(J2115:L2115)</f>
        <v>0</v>
      </c>
      <c r="Z2115" t="str">
        <f t="shared" ref="Z2115:Z2178" si="101">IF(R2115=T2115,"สแกน Cost ตัวเอง","สแกนต่าง Cost")</f>
        <v>สแกนต่าง Cost</v>
      </c>
    </row>
    <row r="2116" spans="1:26" x14ac:dyDescent="0.45">
      <c r="B2116" t="s">
        <v>53</v>
      </c>
      <c r="C2116">
        <v>20401500</v>
      </c>
      <c r="E2116" s="10">
        <v>46120.333333333336</v>
      </c>
      <c r="F2116" s="10">
        <v>46120.770833333336</v>
      </c>
      <c r="G2116">
        <v>10.5</v>
      </c>
      <c r="H2116" s="9">
        <f t="shared" si="99"/>
        <v>5.5999999999999994E-2</v>
      </c>
      <c r="I2116">
        <v>4.4999999999999998E-2</v>
      </c>
      <c r="K2116">
        <v>1.0999999999999999E-2</v>
      </c>
      <c r="M2116" t="s">
        <v>28</v>
      </c>
      <c r="N2116" t="s">
        <v>29</v>
      </c>
      <c r="P2116" t="s">
        <v>30</v>
      </c>
      <c r="R2116">
        <v>82612</v>
      </c>
      <c r="S2116" t="s">
        <v>153</v>
      </c>
      <c r="T2116">
        <v>82630</v>
      </c>
      <c r="U2116" t="s">
        <v>32</v>
      </c>
      <c r="V2116" t="s">
        <v>62</v>
      </c>
      <c r="W2116" t="s">
        <v>148</v>
      </c>
      <c r="X2116" t="s">
        <v>149</v>
      </c>
      <c r="Y2116" s="9">
        <f t="shared" si="100"/>
        <v>1.0999999999999999E-2</v>
      </c>
      <c r="Z2116" t="str">
        <f t="shared" si="101"/>
        <v>สแกนต่าง Cost</v>
      </c>
    </row>
    <row r="2117" spans="1:26" x14ac:dyDescent="0.45">
      <c r="A2117">
        <v>26088</v>
      </c>
      <c r="B2117" t="s">
        <v>53</v>
      </c>
      <c r="C2117">
        <v>20372080</v>
      </c>
      <c r="D2117" t="s">
        <v>117</v>
      </c>
      <c r="E2117" s="10">
        <v>46120.330555555556</v>
      </c>
      <c r="F2117" s="10">
        <v>46120.729166666664</v>
      </c>
      <c r="G2117">
        <v>8.5666666666666664</v>
      </c>
      <c r="H2117" s="9">
        <f t="shared" si="99"/>
        <v>4.5999999999999999E-2</v>
      </c>
      <c r="I2117">
        <v>4.5999999999999999E-2</v>
      </c>
      <c r="M2117" t="s">
        <v>65</v>
      </c>
      <c r="N2117" t="s">
        <v>29</v>
      </c>
      <c r="P2117" t="s">
        <v>30</v>
      </c>
      <c r="Q2117" t="s">
        <v>31</v>
      </c>
      <c r="R2117">
        <v>82400</v>
      </c>
      <c r="S2117" t="s">
        <v>83</v>
      </c>
      <c r="T2117">
        <v>82664</v>
      </c>
      <c r="U2117" t="s">
        <v>75</v>
      </c>
      <c r="V2117" t="s">
        <v>75</v>
      </c>
      <c r="W2117" t="s">
        <v>37</v>
      </c>
      <c r="X2117" t="s">
        <v>92</v>
      </c>
      <c r="Y2117" s="9">
        <f t="shared" si="100"/>
        <v>0</v>
      </c>
      <c r="Z2117" t="str">
        <f t="shared" si="101"/>
        <v>สแกนต่าง Cost</v>
      </c>
    </row>
    <row r="2118" spans="1:26" x14ac:dyDescent="0.45">
      <c r="A2118">
        <v>26086</v>
      </c>
      <c r="B2118" t="s">
        <v>53</v>
      </c>
      <c r="C2118">
        <v>20382170</v>
      </c>
      <c r="D2118" t="s">
        <v>118</v>
      </c>
      <c r="E2118" s="10">
        <v>46120.330555555556</v>
      </c>
      <c r="F2118" s="10">
        <v>46120.729166666664</v>
      </c>
      <c r="G2118">
        <v>8.5666666666666664</v>
      </c>
      <c r="H2118" s="9">
        <f t="shared" si="99"/>
        <v>4.5999999999999999E-2</v>
      </c>
      <c r="I2118">
        <v>4.5999999999999999E-2</v>
      </c>
      <c r="M2118" t="s">
        <v>65</v>
      </c>
      <c r="N2118" t="s">
        <v>29</v>
      </c>
      <c r="P2118" t="s">
        <v>30</v>
      </c>
      <c r="Q2118" t="s">
        <v>31</v>
      </c>
      <c r="R2118">
        <v>82400</v>
      </c>
      <c r="S2118" t="s">
        <v>83</v>
      </c>
      <c r="T2118">
        <v>82664</v>
      </c>
      <c r="U2118" t="s">
        <v>75</v>
      </c>
      <c r="V2118" t="s">
        <v>75</v>
      </c>
      <c r="W2118" t="s">
        <v>37</v>
      </c>
      <c r="X2118" t="s">
        <v>92</v>
      </c>
      <c r="Y2118" s="9">
        <f t="shared" si="100"/>
        <v>0</v>
      </c>
      <c r="Z2118" t="str">
        <f t="shared" si="101"/>
        <v>สแกนต่าง Cost</v>
      </c>
    </row>
    <row r="2119" spans="1:26" x14ac:dyDescent="0.45">
      <c r="A2119">
        <v>26087</v>
      </c>
      <c r="B2119" t="s">
        <v>53</v>
      </c>
      <c r="C2119">
        <v>20382171</v>
      </c>
      <c r="D2119" t="s">
        <v>119</v>
      </c>
      <c r="E2119" s="10">
        <v>46120.330555555556</v>
      </c>
      <c r="F2119" s="10">
        <v>46120.729166666664</v>
      </c>
      <c r="G2119">
        <v>8.5666666666666664</v>
      </c>
      <c r="H2119" s="9">
        <f t="shared" si="99"/>
        <v>4.5999999999999999E-2</v>
      </c>
      <c r="I2119">
        <v>4.5999999999999999E-2</v>
      </c>
      <c r="M2119" t="s">
        <v>65</v>
      </c>
      <c r="N2119" t="s">
        <v>29</v>
      </c>
      <c r="P2119" t="s">
        <v>30</v>
      </c>
      <c r="Q2119" t="s">
        <v>31</v>
      </c>
      <c r="R2119">
        <v>82400</v>
      </c>
      <c r="S2119" t="s">
        <v>83</v>
      </c>
      <c r="T2119">
        <v>82664</v>
      </c>
      <c r="U2119" t="s">
        <v>75</v>
      </c>
      <c r="V2119" t="s">
        <v>75</v>
      </c>
      <c r="W2119" t="s">
        <v>37</v>
      </c>
      <c r="X2119" t="s">
        <v>92</v>
      </c>
      <c r="Y2119" s="9">
        <f t="shared" si="100"/>
        <v>0</v>
      </c>
      <c r="Z2119" t="str">
        <f t="shared" si="101"/>
        <v>สแกนต่าง Cost</v>
      </c>
    </row>
    <row r="2120" spans="1:26" x14ac:dyDescent="0.45">
      <c r="A2120">
        <v>26085</v>
      </c>
      <c r="B2120" t="s">
        <v>53</v>
      </c>
      <c r="C2120">
        <v>20214280</v>
      </c>
      <c r="D2120" t="s">
        <v>136</v>
      </c>
      <c r="E2120" s="10">
        <v>46120.248611111114</v>
      </c>
      <c r="F2120" s="10">
        <v>46120.642361111109</v>
      </c>
      <c r="G2120">
        <v>8.4499999999999993</v>
      </c>
      <c r="H2120" s="9">
        <f t="shared" si="99"/>
        <v>4.4999999999999998E-2</v>
      </c>
      <c r="I2120">
        <v>4.4999999999999998E-2</v>
      </c>
      <c r="M2120" t="s">
        <v>65</v>
      </c>
      <c r="N2120" t="s">
        <v>29</v>
      </c>
      <c r="P2120" t="s">
        <v>30</v>
      </c>
      <c r="Q2120" t="s">
        <v>31</v>
      </c>
      <c r="R2120">
        <v>82415</v>
      </c>
      <c r="S2120" t="s">
        <v>137</v>
      </c>
      <c r="T2120">
        <v>82664</v>
      </c>
      <c r="U2120" t="s">
        <v>75</v>
      </c>
      <c r="V2120" t="s">
        <v>75</v>
      </c>
      <c r="W2120" t="s">
        <v>74</v>
      </c>
      <c r="X2120" t="s">
        <v>74</v>
      </c>
      <c r="Y2120" s="9">
        <f t="shared" si="100"/>
        <v>0</v>
      </c>
      <c r="Z2120" t="str">
        <f t="shared" si="101"/>
        <v>สแกนต่าง Cost</v>
      </c>
    </row>
    <row r="2121" spans="1:26" x14ac:dyDescent="0.45">
      <c r="B2121" t="s">
        <v>53</v>
      </c>
      <c r="C2121">
        <v>20287913</v>
      </c>
      <c r="D2121" t="s">
        <v>329</v>
      </c>
      <c r="E2121" s="10">
        <v>46120.041666666664</v>
      </c>
      <c r="F2121" s="10">
        <v>46120.229166666664</v>
      </c>
      <c r="G2121">
        <v>4.5</v>
      </c>
      <c r="H2121" s="9">
        <f t="shared" si="99"/>
        <v>2.4E-2</v>
      </c>
      <c r="K2121">
        <v>2.4E-2</v>
      </c>
      <c r="M2121" t="s">
        <v>28</v>
      </c>
      <c r="N2121" t="s">
        <v>29</v>
      </c>
      <c r="P2121" t="s">
        <v>30</v>
      </c>
      <c r="Q2121" t="s">
        <v>31</v>
      </c>
      <c r="R2121">
        <v>82640</v>
      </c>
      <c r="S2121" t="s">
        <v>42</v>
      </c>
      <c r="T2121">
        <v>82630</v>
      </c>
      <c r="U2121" t="s">
        <v>32</v>
      </c>
      <c r="V2121" t="s">
        <v>66</v>
      </c>
      <c r="W2121" t="s">
        <v>44</v>
      </c>
      <c r="X2121" t="s">
        <v>44</v>
      </c>
      <c r="Y2121" s="9">
        <f t="shared" si="100"/>
        <v>2.4E-2</v>
      </c>
      <c r="Z2121" t="str">
        <f t="shared" si="101"/>
        <v>สแกนต่าง Cost</v>
      </c>
    </row>
    <row r="2122" spans="1:26" x14ac:dyDescent="0.45">
      <c r="B2122" t="s">
        <v>53</v>
      </c>
      <c r="C2122">
        <v>20287913</v>
      </c>
      <c r="D2122" t="s">
        <v>329</v>
      </c>
      <c r="E2122" s="10">
        <v>46119.833333333336</v>
      </c>
      <c r="F2122" s="10">
        <v>46120</v>
      </c>
      <c r="G2122">
        <v>4</v>
      </c>
      <c r="H2122" s="9">
        <f t="shared" si="99"/>
        <v>2.1000000000000001E-2</v>
      </c>
      <c r="J2122">
        <v>2.1000000000000001E-2</v>
      </c>
      <c r="M2122" t="s">
        <v>77</v>
      </c>
      <c r="N2122" t="s">
        <v>40</v>
      </c>
      <c r="O2122" t="s">
        <v>78</v>
      </c>
      <c r="P2122" t="s">
        <v>30</v>
      </c>
      <c r="Q2122" t="s">
        <v>31</v>
      </c>
      <c r="R2122">
        <v>82640</v>
      </c>
      <c r="S2122" t="s">
        <v>42</v>
      </c>
      <c r="T2122">
        <v>82630</v>
      </c>
      <c r="U2122" t="s">
        <v>32</v>
      </c>
      <c r="V2122" t="s">
        <v>66</v>
      </c>
      <c r="W2122" t="s">
        <v>44</v>
      </c>
      <c r="X2122" t="s">
        <v>44</v>
      </c>
      <c r="Y2122" s="9">
        <f t="shared" si="100"/>
        <v>2.1000000000000001E-2</v>
      </c>
      <c r="Z2122" t="str">
        <f t="shared" si="101"/>
        <v>สแกนต่าง Cost</v>
      </c>
    </row>
    <row r="2123" spans="1:26" x14ac:dyDescent="0.45">
      <c r="A2123">
        <v>26084</v>
      </c>
      <c r="B2123" t="s">
        <v>53</v>
      </c>
      <c r="C2123">
        <v>20343502</v>
      </c>
      <c r="D2123" t="s">
        <v>281</v>
      </c>
      <c r="E2123" s="10">
        <v>46119.757638888892</v>
      </c>
      <c r="F2123" s="10">
        <v>46119.82708333333</v>
      </c>
      <c r="G2123">
        <v>1.6666666666666667</v>
      </c>
      <c r="H2123" s="9">
        <f t="shared" si="99"/>
        <v>8.9999999999999993E-3</v>
      </c>
      <c r="K2123">
        <v>8.9999999999999993E-3</v>
      </c>
      <c r="M2123" t="s">
        <v>28</v>
      </c>
      <c r="N2123" t="s">
        <v>40</v>
      </c>
      <c r="O2123" t="s">
        <v>41</v>
      </c>
      <c r="P2123" t="s">
        <v>30</v>
      </c>
      <c r="Q2123" t="s">
        <v>31</v>
      </c>
      <c r="R2123">
        <v>82652</v>
      </c>
      <c r="S2123" t="s">
        <v>46</v>
      </c>
      <c r="T2123">
        <v>82658</v>
      </c>
      <c r="U2123" t="s">
        <v>33</v>
      </c>
      <c r="V2123" t="s">
        <v>33</v>
      </c>
      <c r="W2123" t="s">
        <v>37</v>
      </c>
      <c r="X2123" t="s">
        <v>331</v>
      </c>
      <c r="Y2123" s="9">
        <f t="shared" si="100"/>
        <v>8.9999999999999993E-3</v>
      </c>
      <c r="Z2123" t="str">
        <f t="shared" si="101"/>
        <v>สแกนต่าง Cost</v>
      </c>
    </row>
    <row r="2124" spans="1:26" x14ac:dyDescent="0.45">
      <c r="A2124">
        <v>26081</v>
      </c>
      <c r="B2124" t="s">
        <v>53</v>
      </c>
      <c r="C2124">
        <v>20031838</v>
      </c>
      <c r="D2124" t="s">
        <v>143</v>
      </c>
      <c r="E2124" s="10">
        <v>46119.746527777781</v>
      </c>
      <c r="F2124" s="10">
        <v>46119.82708333333</v>
      </c>
      <c r="G2124">
        <v>1.9333333333333333</v>
      </c>
      <c r="H2124" s="9">
        <f t="shared" si="99"/>
        <v>0.01</v>
      </c>
      <c r="K2124">
        <v>0.01</v>
      </c>
      <c r="M2124" t="s">
        <v>28</v>
      </c>
      <c r="N2124" t="s">
        <v>40</v>
      </c>
      <c r="O2124" t="s">
        <v>41</v>
      </c>
      <c r="P2124" t="s">
        <v>30</v>
      </c>
      <c r="Q2124" t="s">
        <v>31</v>
      </c>
      <c r="R2124">
        <v>82652</v>
      </c>
      <c r="S2124" t="s">
        <v>46</v>
      </c>
      <c r="T2124">
        <v>82658</v>
      </c>
      <c r="U2124" t="s">
        <v>33</v>
      </c>
      <c r="V2124" t="s">
        <v>33</v>
      </c>
      <c r="W2124" t="s">
        <v>37</v>
      </c>
      <c r="X2124" t="s">
        <v>331</v>
      </c>
      <c r="Y2124" s="9">
        <f t="shared" si="100"/>
        <v>0.01</v>
      </c>
      <c r="Z2124" t="str">
        <f t="shared" si="101"/>
        <v>สแกนต่าง Cost</v>
      </c>
    </row>
    <row r="2125" spans="1:26" x14ac:dyDescent="0.45">
      <c r="B2125" t="s">
        <v>53</v>
      </c>
      <c r="C2125">
        <v>20198811</v>
      </c>
      <c r="D2125" t="s">
        <v>144</v>
      </c>
      <c r="E2125" s="10">
        <v>46119.742361111108</v>
      </c>
      <c r="F2125" s="10">
        <v>46119.82708333333</v>
      </c>
      <c r="G2125">
        <v>2.0333333333333332</v>
      </c>
      <c r="H2125" s="9">
        <f t="shared" si="99"/>
        <v>1.0999999999999999E-2</v>
      </c>
      <c r="K2125">
        <v>1.0999999999999999E-2</v>
      </c>
      <c r="M2125" t="s">
        <v>28</v>
      </c>
      <c r="N2125" t="s">
        <v>40</v>
      </c>
      <c r="O2125" t="s">
        <v>41</v>
      </c>
      <c r="P2125" t="s">
        <v>30</v>
      </c>
      <c r="Q2125" t="s">
        <v>31</v>
      </c>
      <c r="R2125">
        <v>82652</v>
      </c>
      <c r="S2125" t="s">
        <v>46</v>
      </c>
      <c r="T2125">
        <v>82655</v>
      </c>
      <c r="U2125" t="s">
        <v>59</v>
      </c>
      <c r="V2125" t="s">
        <v>59</v>
      </c>
      <c r="W2125" t="s">
        <v>95</v>
      </c>
      <c r="X2125" t="s">
        <v>47</v>
      </c>
      <c r="Y2125" s="9">
        <f t="shared" si="100"/>
        <v>1.0999999999999999E-2</v>
      </c>
      <c r="Z2125" t="str">
        <f t="shared" si="101"/>
        <v>สแกนต่าง Cost</v>
      </c>
    </row>
    <row r="2126" spans="1:26" x14ac:dyDescent="0.45">
      <c r="B2126" t="s">
        <v>53</v>
      </c>
      <c r="C2126">
        <v>20028097</v>
      </c>
      <c r="D2126" t="s">
        <v>139</v>
      </c>
      <c r="E2126" s="10">
        <v>46119.741666666669</v>
      </c>
      <c r="F2126" s="10">
        <v>46119.826388888891</v>
      </c>
      <c r="G2126">
        <v>2.0333333333333332</v>
      </c>
      <c r="H2126" s="9">
        <f t="shared" si="99"/>
        <v>1.0999999999999999E-2</v>
      </c>
      <c r="K2126">
        <v>1.0999999999999999E-2</v>
      </c>
      <c r="M2126" t="s">
        <v>28</v>
      </c>
      <c r="N2126" t="s">
        <v>40</v>
      </c>
      <c r="O2126" t="s">
        <v>41</v>
      </c>
      <c r="P2126" t="s">
        <v>30</v>
      </c>
      <c r="Q2126" t="s">
        <v>31</v>
      </c>
      <c r="R2126">
        <v>82652</v>
      </c>
      <c r="S2126" t="s">
        <v>46</v>
      </c>
      <c r="T2126">
        <v>82655</v>
      </c>
      <c r="U2126" t="s">
        <v>59</v>
      </c>
      <c r="V2126" t="s">
        <v>59</v>
      </c>
      <c r="W2126" t="s">
        <v>95</v>
      </c>
      <c r="X2126" t="s">
        <v>47</v>
      </c>
      <c r="Y2126" s="9">
        <f t="shared" si="100"/>
        <v>1.0999999999999999E-2</v>
      </c>
      <c r="Z2126" t="str">
        <f t="shared" si="101"/>
        <v>สแกนต่าง Cost</v>
      </c>
    </row>
    <row r="2127" spans="1:26" x14ac:dyDescent="0.45">
      <c r="B2127" t="s">
        <v>53</v>
      </c>
      <c r="C2127">
        <v>20386851</v>
      </c>
      <c r="D2127" t="s">
        <v>48</v>
      </c>
      <c r="E2127" s="10">
        <v>46119.741666666669</v>
      </c>
      <c r="F2127" s="10">
        <v>46119.826388888891</v>
      </c>
      <c r="G2127">
        <v>2.0333333333333332</v>
      </c>
      <c r="H2127" s="9">
        <f t="shared" si="99"/>
        <v>1.0999999999999999E-2</v>
      </c>
      <c r="K2127">
        <v>1.0999999999999999E-2</v>
      </c>
      <c r="M2127" t="s">
        <v>28</v>
      </c>
      <c r="N2127" t="s">
        <v>40</v>
      </c>
      <c r="O2127" t="s">
        <v>41</v>
      </c>
      <c r="P2127" t="s">
        <v>30</v>
      </c>
      <c r="Q2127" t="s">
        <v>31</v>
      </c>
      <c r="R2127">
        <v>82652</v>
      </c>
      <c r="S2127" t="s">
        <v>46</v>
      </c>
      <c r="T2127">
        <v>82655</v>
      </c>
      <c r="U2127" t="s">
        <v>59</v>
      </c>
      <c r="V2127" t="s">
        <v>59</v>
      </c>
      <c r="W2127" t="s">
        <v>95</v>
      </c>
      <c r="X2127" t="s">
        <v>47</v>
      </c>
      <c r="Y2127" s="9">
        <f t="shared" si="100"/>
        <v>1.0999999999999999E-2</v>
      </c>
      <c r="Z2127" t="str">
        <f t="shared" si="101"/>
        <v>สแกนต่าง Cost</v>
      </c>
    </row>
    <row r="2128" spans="1:26" x14ac:dyDescent="0.45">
      <c r="B2128" t="s">
        <v>53</v>
      </c>
      <c r="C2128">
        <v>20047023</v>
      </c>
      <c r="D2128" t="s">
        <v>271</v>
      </c>
      <c r="E2128" s="10">
        <v>46119.73333333333</v>
      </c>
      <c r="F2128" s="10">
        <v>46119.827777777777</v>
      </c>
      <c r="G2128">
        <v>2.2666666666666666</v>
      </c>
      <c r="H2128" s="9">
        <f t="shared" si="99"/>
        <v>1.2E-2</v>
      </c>
      <c r="I2128">
        <v>1.2E-2</v>
      </c>
      <c r="M2128" t="s">
        <v>28</v>
      </c>
      <c r="N2128" t="s">
        <v>40</v>
      </c>
      <c r="O2128" t="s">
        <v>41</v>
      </c>
      <c r="P2128" t="s">
        <v>30</v>
      </c>
      <c r="Q2128" t="s">
        <v>31</v>
      </c>
      <c r="R2128">
        <v>82607</v>
      </c>
      <c r="S2128" t="s">
        <v>168</v>
      </c>
      <c r="T2128">
        <v>82611</v>
      </c>
      <c r="U2128" t="s">
        <v>43</v>
      </c>
      <c r="V2128" t="s">
        <v>43</v>
      </c>
      <c r="W2128" t="s">
        <v>148</v>
      </c>
      <c r="X2128" t="s">
        <v>171</v>
      </c>
      <c r="Y2128" s="9">
        <f t="shared" si="100"/>
        <v>0</v>
      </c>
      <c r="Z2128" t="str">
        <f t="shared" si="101"/>
        <v>สแกนต่าง Cost</v>
      </c>
    </row>
    <row r="2129" spans="1:26" x14ac:dyDescent="0.45">
      <c r="A2129">
        <v>26077</v>
      </c>
      <c r="B2129" t="s">
        <v>53</v>
      </c>
      <c r="C2129">
        <v>20233956</v>
      </c>
      <c r="D2129" t="s">
        <v>219</v>
      </c>
      <c r="E2129" s="10">
        <v>46119.732638888891</v>
      </c>
      <c r="F2129" s="10">
        <v>46119.826388888891</v>
      </c>
      <c r="G2129">
        <v>2.25</v>
      </c>
      <c r="H2129" s="9">
        <f t="shared" si="99"/>
        <v>1.2E-2</v>
      </c>
      <c r="K2129">
        <v>1.2E-2</v>
      </c>
      <c r="M2129" t="s">
        <v>28</v>
      </c>
      <c r="N2129" t="s">
        <v>40</v>
      </c>
      <c r="O2129" t="s">
        <v>41</v>
      </c>
      <c r="P2129" t="s">
        <v>30</v>
      </c>
      <c r="Q2129" t="s">
        <v>31</v>
      </c>
      <c r="R2129">
        <v>82680</v>
      </c>
      <c r="S2129" t="s">
        <v>50</v>
      </c>
      <c r="T2129">
        <v>82658</v>
      </c>
      <c r="U2129" t="s">
        <v>33</v>
      </c>
      <c r="V2129" t="s">
        <v>33</v>
      </c>
      <c r="W2129" t="s">
        <v>51</v>
      </c>
      <c r="X2129" t="s">
        <v>52</v>
      </c>
      <c r="Y2129" s="9">
        <f t="shared" si="100"/>
        <v>1.2E-2</v>
      </c>
      <c r="Z2129" t="str">
        <f t="shared" si="101"/>
        <v>สแกนต่าง Cost</v>
      </c>
    </row>
    <row r="2130" spans="1:26" x14ac:dyDescent="0.45">
      <c r="A2130">
        <v>26078</v>
      </c>
      <c r="B2130" t="s">
        <v>53</v>
      </c>
      <c r="C2130">
        <v>20403445</v>
      </c>
      <c r="E2130" s="10">
        <v>46119.732638888891</v>
      </c>
      <c r="F2130" s="10">
        <v>46119.826388888891</v>
      </c>
      <c r="G2130">
        <v>2.25</v>
      </c>
      <c r="H2130" s="9">
        <f t="shared" si="99"/>
        <v>1.2E-2</v>
      </c>
      <c r="K2130">
        <v>1.2E-2</v>
      </c>
      <c r="M2130" t="s">
        <v>28</v>
      </c>
      <c r="N2130" t="s">
        <v>40</v>
      </c>
      <c r="O2130" t="s">
        <v>41</v>
      </c>
      <c r="P2130" t="s">
        <v>30</v>
      </c>
      <c r="R2130">
        <v>82680</v>
      </c>
      <c r="S2130" t="s">
        <v>50</v>
      </c>
      <c r="T2130">
        <v>82658</v>
      </c>
      <c r="U2130" t="s">
        <v>33</v>
      </c>
      <c r="V2130" t="s">
        <v>33</v>
      </c>
      <c r="W2130" t="s">
        <v>51</v>
      </c>
      <c r="X2130" t="s">
        <v>52</v>
      </c>
      <c r="Y2130" s="9">
        <f t="shared" si="100"/>
        <v>1.2E-2</v>
      </c>
      <c r="Z2130" t="str">
        <f t="shared" si="101"/>
        <v>สแกนต่าง Cost</v>
      </c>
    </row>
    <row r="2131" spans="1:26" x14ac:dyDescent="0.45">
      <c r="B2131" t="s">
        <v>53</v>
      </c>
      <c r="C2131">
        <v>20023373</v>
      </c>
      <c r="D2131" t="s">
        <v>97</v>
      </c>
      <c r="E2131" s="10">
        <v>46119.731249999997</v>
      </c>
      <c r="F2131" s="10">
        <v>46119.827777777777</v>
      </c>
      <c r="G2131">
        <v>2.3166666666666669</v>
      </c>
      <c r="H2131" s="9">
        <f t="shared" si="99"/>
        <v>1.2E-2</v>
      </c>
      <c r="K2131">
        <v>1.2E-2</v>
      </c>
      <c r="M2131" t="s">
        <v>28</v>
      </c>
      <c r="N2131" t="s">
        <v>40</v>
      </c>
      <c r="O2131" t="s">
        <v>41</v>
      </c>
      <c r="P2131" t="s">
        <v>30</v>
      </c>
      <c r="Q2131" t="s">
        <v>31</v>
      </c>
      <c r="R2131">
        <v>82630</v>
      </c>
      <c r="S2131" t="s">
        <v>32</v>
      </c>
      <c r="T2131">
        <v>82611</v>
      </c>
      <c r="U2131" t="s">
        <v>43</v>
      </c>
      <c r="V2131" t="s">
        <v>43</v>
      </c>
      <c r="W2131" t="s">
        <v>148</v>
      </c>
      <c r="X2131" t="s">
        <v>171</v>
      </c>
      <c r="Y2131" s="9">
        <f t="shared" si="100"/>
        <v>1.2E-2</v>
      </c>
      <c r="Z2131" t="str">
        <f t="shared" si="101"/>
        <v>สแกนต่าง Cost</v>
      </c>
    </row>
    <row r="2132" spans="1:26" x14ac:dyDescent="0.45">
      <c r="B2132" t="s">
        <v>53</v>
      </c>
      <c r="C2132">
        <v>20169714</v>
      </c>
      <c r="D2132" t="s">
        <v>103</v>
      </c>
      <c r="E2132" s="10">
        <v>46119.731249999997</v>
      </c>
      <c r="F2132" s="10">
        <v>46119.827777777777</v>
      </c>
      <c r="G2132">
        <v>2.3166666666666669</v>
      </c>
      <c r="H2132" s="9">
        <f t="shared" si="99"/>
        <v>1.2E-2</v>
      </c>
      <c r="K2132">
        <v>1.2E-2</v>
      </c>
      <c r="M2132" t="s">
        <v>28</v>
      </c>
      <c r="N2132" t="s">
        <v>40</v>
      </c>
      <c r="O2132" t="s">
        <v>41</v>
      </c>
      <c r="P2132" t="s">
        <v>30</v>
      </c>
      <c r="Q2132" t="s">
        <v>31</v>
      </c>
      <c r="R2132">
        <v>82630</v>
      </c>
      <c r="S2132" t="s">
        <v>32</v>
      </c>
      <c r="T2132">
        <v>82611</v>
      </c>
      <c r="U2132" t="s">
        <v>43</v>
      </c>
      <c r="V2132" t="s">
        <v>43</v>
      </c>
      <c r="W2132" t="s">
        <v>148</v>
      </c>
      <c r="X2132" t="s">
        <v>171</v>
      </c>
      <c r="Y2132" s="9">
        <f t="shared" si="100"/>
        <v>1.2E-2</v>
      </c>
      <c r="Z2132" t="str">
        <f t="shared" si="101"/>
        <v>สแกนต่าง Cost</v>
      </c>
    </row>
    <row r="2133" spans="1:26" x14ac:dyDescent="0.45">
      <c r="A2133">
        <v>26076</v>
      </c>
      <c r="B2133" t="s">
        <v>53</v>
      </c>
      <c r="C2133">
        <v>20344534</v>
      </c>
      <c r="D2133" t="s">
        <v>278</v>
      </c>
      <c r="E2133" s="10">
        <v>46119.731249999997</v>
      </c>
      <c r="F2133" s="10">
        <v>46119.826388888891</v>
      </c>
      <c r="G2133">
        <v>2.2833333333333332</v>
      </c>
      <c r="H2133" s="9">
        <f t="shared" si="99"/>
        <v>1.2E-2</v>
      </c>
      <c r="K2133">
        <v>1.2E-2</v>
      </c>
      <c r="M2133" t="s">
        <v>28</v>
      </c>
      <c r="N2133" t="s">
        <v>40</v>
      </c>
      <c r="O2133" t="s">
        <v>41</v>
      </c>
      <c r="P2133" t="s">
        <v>30</v>
      </c>
      <c r="Q2133" t="s">
        <v>31</v>
      </c>
      <c r="R2133">
        <v>82680</v>
      </c>
      <c r="S2133" t="s">
        <v>50</v>
      </c>
      <c r="T2133">
        <v>82658</v>
      </c>
      <c r="U2133" t="s">
        <v>33</v>
      </c>
      <c r="V2133" t="s">
        <v>33</v>
      </c>
      <c r="W2133" t="s">
        <v>51</v>
      </c>
      <c r="X2133" t="s">
        <v>52</v>
      </c>
      <c r="Y2133" s="9">
        <f t="shared" si="100"/>
        <v>1.2E-2</v>
      </c>
      <c r="Z2133" t="str">
        <f t="shared" si="101"/>
        <v>สแกนต่าง Cost</v>
      </c>
    </row>
    <row r="2134" spans="1:26" x14ac:dyDescent="0.45">
      <c r="B2134" t="s">
        <v>53</v>
      </c>
      <c r="C2134">
        <v>20363688</v>
      </c>
      <c r="D2134" t="s">
        <v>274</v>
      </c>
      <c r="E2134" s="10">
        <v>46119.731249999997</v>
      </c>
      <c r="F2134" s="10">
        <v>46119.827777777777</v>
      </c>
      <c r="G2134">
        <v>2.3166666666666669</v>
      </c>
      <c r="H2134" s="9">
        <f t="shared" si="99"/>
        <v>1.2E-2</v>
      </c>
      <c r="K2134">
        <v>1.2E-2</v>
      </c>
      <c r="M2134" t="s">
        <v>28</v>
      </c>
      <c r="N2134" t="s">
        <v>40</v>
      </c>
      <c r="O2134" t="s">
        <v>41</v>
      </c>
      <c r="P2134" t="s">
        <v>30</v>
      </c>
      <c r="Q2134" t="s">
        <v>31</v>
      </c>
      <c r="R2134">
        <v>82630</v>
      </c>
      <c r="S2134" t="s">
        <v>32</v>
      </c>
      <c r="T2134">
        <v>82611</v>
      </c>
      <c r="U2134" t="s">
        <v>43</v>
      </c>
      <c r="V2134" t="s">
        <v>43</v>
      </c>
      <c r="W2134" t="s">
        <v>148</v>
      </c>
      <c r="X2134" t="s">
        <v>171</v>
      </c>
      <c r="Y2134" s="9">
        <f t="shared" si="100"/>
        <v>1.2E-2</v>
      </c>
      <c r="Z2134" t="str">
        <f t="shared" si="101"/>
        <v>สแกนต่าง Cost</v>
      </c>
    </row>
    <row r="2135" spans="1:26" x14ac:dyDescent="0.45">
      <c r="B2135" t="s">
        <v>53</v>
      </c>
      <c r="C2135">
        <v>20037938</v>
      </c>
      <c r="D2135" t="s">
        <v>172</v>
      </c>
      <c r="E2135" s="10">
        <v>46119.730555555558</v>
      </c>
      <c r="F2135" s="10">
        <v>46119.82708333333</v>
      </c>
      <c r="G2135">
        <v>2.3166666666666669</v>
      </c>
      <c r="H2135" s="9">
        <f t="shared" si="99"/>
        <v>1.2E-2</v>
      </c>
      <c r="K2135">
        <v>1.2E-2</v>
      </c>
      <c r="M2135" t="s">
        <v>28</v>
      </c>
      <c r="N2135" t="s">
        <v>40</v>
      </c>
      <c r="O2135" t="s">
        <v>41</v>
      </c>
      <c r="P2135" t="s">
        <v>30</v>
      </c>
      <c r="Q2135" t="s">
        <v>31</v>
      </c>
      <c r="R2135">
        <v>82630</v>
      </c>
      <c r="S2135" t="s">
        <v>32</v>
      </c>
      <c r="T2135">
        <v>82611</v>
      </c>
      <c r="U2135" t="s">
        <v>43</v>
      </c>
      <c r="V2135" t="s">
        <v>43</v>
      </c>
      <c r="W2135" t="s">
        <v>148</v>
      </c>
      <c r="X2135" t="s">
        <v>171</v>
      </c>
      <c r="Y2135" s="9">
        <f t="shared" si="100"/>
        <v>1.2E-2</v>
      </c>
      <c r="Z2135" t="str">
        <f t="shared" si="101"/>
        <v>สแกนต่าง Cost</v>
      </c>
    </row>
    <row r="2136" spans="1:26" x14ac:dyDescent="0.45">
      <c r="B2136" t="s">
        <v>53</v>
      </c>
      <c r="C2136">
        <v>20163802</v>
      </c>
      <c r="D2136" t="s">
        <v>272</v>
      </c>
      <c r="E2136" s="10">
        <v>46119.730555555558</v>
      </c>
      <c r="F2136" s="10">
        <v>46119.82708333333</v>
      </c>
      <c r="G2136">
        <v>2.3166666666666669</v>
      </c>
      <c r="H2136" s="9">
        <f t="shared" si="99"/>
        <v>1.2E-2</v>
      </c>
      <c r="K2136">
        <v>1.2E-2</v>
      </c>
      <c r="M2136" t="s">
        <v>28</v>
      </c>
      <c r="N2136" t="s">
        <v>40</v>
      </c>
      <c r="O2136" t="s">
        <v>41</v>
      </c>
      <c r="P2136" t="s">
        <v>30</v>
      </c>
      <c r="Q2136" t="s">
        <v>31</v>
      </c>
      <c r="R2136">
        <v>82630</v>
      </c>
      <c r="S2136" t="s">
        <v>32</v>
      </c>
      <c r="T2136">
        <v>82611</v>
      </c>
      <c r="U2136" t="s">
        <v>43</v>
      </c>
      <c r="V2136" t="s">
        <v>43</v>
      </c>
      <c r="W2136" t="s">
        <v>148</v>
      </c>
      <c r="X2136" t="s">
        <v>171</v>
      </c>
      <c r="Y2136" s="9">
        <f t="shared" si="100"/>
        <v>1.2E-2</v>
      </c>
      <c r="Z2136" t="str">
        <f t="shared" si="101"/>
        <v>สแกนต่าง Cost</v>
      </c>
    </row>
    <row r="2137" spans="1:26" x14ac:dyDescent="0.45">
      <c r="A2137">
        <v>26073</v>
      </c>
      <c r="B2137" t="s">
        <v>53</v>
      </c>
      <c r="C2137">
        <v>20038749</v>
      </c>
      <c r="D2137" t="s">
        <v>218</v>
      </c>
      <c r="E2137" s="10">
        <v>46119.729166666664</v>
      </c>
      <c r="F2137" s="10">
        <v>46119.82708333333</v>
      </c>
      <c r="G2137">
        <v>2.35</v>
      </c>
      <c r="H2137" s="9">
        <f t="shared" si="99"/>
        <v>1.2999999999999999E-2</v>
      </c>
      <c r="K2137">
        <v>1.2999999999999999E-2</v>
      </c>
      <c r="M2137" t="s">
        <v>28</v>
      </c>
      <c r="N2137" t="s">
        <v>40</v>
      </c>
      <c r="O2137" t="s">
        <v>41</v>
      </c>
      <c r="P2137" t="s">
        <v>30</v>
      </c>
      <c r="Q2137" t="s">
        <v>31</v>
      </c>
      <c r="R2137">
        <v>82680</v>
      </c>
      <c r="S2137" t="s">
        <v>50</v>
      </c>
      <c r="T2137">
        <v>82658</v>
      </c>
      <c r="U2137" t="s">
        <v>33</v>
      </c>
      <c r="V2137" t="s">
        <v>33</v>
      </c>
      <c r="W2137" t="s">
        <v>51</v>
      </c>
      <c r="X2137" t="s">
        <v>52</v>
      </c>
      <c r="Y2137" s="9">
        <f t="shared" si="100"/>
        <v>1.2999999999999999E-2</v>
      </c>
      <c r="Z2137" t="str">
        <f t="shared" si="101"/>
        <v>สแกนต่าง Cost</v>
      </c>
    </row>
    <row r="2138" spans="1:26" x14ac:dyDescent="0.45">
      <c r="B2138" t="s">
        <v>53</v>
      </c>
      <c r="C2138">
        <v>20198826</v>
      </c>
      <c r="D2138" t="s">
        <v>49</v>
      </c>
      <c r="E2138" s="10">
        <v>46119.729166666664</v>
      </c>
      <c r="F2138" s="10">
        <v>46119.826388888891</v>
      </c>
      <c r="G2138">
        <v>2.3333333333333335</v>
      </c>
      <c r="H2138" s="9">
        <f t="shared" si="99"/>
        <v>1.2E-2</v>
      </c>
      <c r="K2138">
        <v>1.2E-2</v>
      </c>
      <c r="M2138" t="s">
        <v>28</v>
      </c>
      <c r="N2138" t="s">
        <v>40</v>
      </c>
      <c r="O2138" t="s">
        <v>41</v>
      </c>
      <c r="P2138" t="s">
        <v>30</v>
      </c>
      <c r="Q2138" t="s">
        <v>31</v>
      </c>
      <c r="R2138">
        <v>82680</v>
      </c>
      <c r="S2138" t="s">
        <v>50</v>
      </c>
      <c r="T2138">
        <v>82655</v>
      </c>
      <c r="U2138" t="s">
        <v>59</v>
      </c>
      <c r="V2138" t="s">
        <v>59</v>
      </c>
      <c r="W2138" t="s">
        <v>51</v>
      </c>
      <c r="X2138" t="s">
        <v>52</v>
      </c>
      <c r="Y2138" s="9">
        <f t="shared" si="100"/>
        <v>1.2E-2</v>
      </c>
      <c r="Z2138" t="str">
        <f t="shared" si="101"/>
        <v>สแกนต่าง Cost</v>
      </c>
    </row>
    <row r="2139" spans="1:26" x14ac:dyDescent="0.45">
      <c r="A2139">
        <v>26074</v>
      </c>
      <c r="B2139" t="s">
        <v>53</v>
      </c>
      <c r="C2139">
        <v>20342012</v>
      </c>
      <c r="D2139" t="s">
        <v>230</v>
      </c>
      <c r="E2139" s="10">
        <v>46119.729166666664</v>
      </c>
      <c r="F2139" s="10">
        <v>46119.875</v>
      </c>
      <c r="G2139">
        <v>3.5</v>
      </c>
      <c r="H2139" s="9">
        <f t="shared" si="99"/>
        <v>1.9E-2</v>
      </c>
      <c r="K2139">
        <v>1.9E-2</v>
      </c>
      <c r="M2139" t="s">
        <v>28</v>
      </c>
      <c r="N2139" t="s">
        <v>40</v>
      </c>
      <c r="O2139" t="s">
        <v>190</v>
      </c>
      <c r="P2139" t="s">
        <v>30</v>
      </c>
      <c r="Q2139" t="s">
        <v>31</v>
      </c>
      <c r="R2139">
        <v>82611</v>
      </c>
      <c r="S2139" t="s">
        <v>43</v>
      </c>
      <c r="T2139">
        <v>82640</v>
      </c>
      <c r="U2139" t="s">
        <v>42</v>
      </c>
      <c r="V2139" t="s">
        <v>70</v>
      </c>
      <c r="W2139" t="s">
        <v>47</v>
      </c>
      <c r="X2139" t="s">
        <v>95</v>
      </c>
      <c r="Y2139" s="9">
        <f t="shared" si="100"/>
        <v>1.9E-2</v>
      </c>
      <c r="Z2139" t="str">
        <f t="shared" si="101"/>
        <v>สแกนต่าง Cost</v>
      </c>
    </row>
    <row r="2140" spans="1:26" x14ac:dyDescent="0.45">
      <c r="B2140" t="s">
        <v>53</v>
      </c>
      <c r="C2140">
        <v>20034535</v>
      </c>
      <c r="D2140" t="s">
        <v>99</v>
      </c>
      <c r="E2140" s="10">
        <v>46119.724305555559</v>
      </c>
      <c r="F2140" s="10">
        <v>46119.826388888891</v>
      </c>
      <c r="G2140">
        <v>2.4500000000000002</v>
      </c>
      <c r="H2140" s="9">
        <f t="shared" si="99"/>
        <v>1.2999999999999999E-2</v>
      </c>
      <c r="K2140">
        <v>1.2999999999999999E-2</v>
      </c>
      <c r="M2140" t="s">
        <v>28</v>
      </c>
      <c r="N2140" t="s">
        <v>40</v>
      </c>
      <c r="O2140" t="s">
        <v>41</v>
      </c>
      <c r="P2140" t="s">
        <v>30</v>
      </c>
      <c r="Q2140" t="s">
        <v>31</v>
      </c>
      <c r="R2140">
        <v>82630</v>
      </c>
      <c r="S2140" t="s">
        <v>32</v>
      </c>
      <c r="T2140">
        <v>82611</v>
      </c>
      <c r="U2140" t="s">
        <v>43</v>
      </c>
      <c r="V2140" t="s">
        <v>43</v>
      </c>
      <c r="W2140" t="s">
        <v>148</v>
      </c>
      <c r="X2140" t="s">
        <v>171</v>
      </c>
      <c r="Y2140" s="9">
        <f t="shared" si="100"/>
        <v>1.2999999999999999E-2</v>
      </c>
      <c r="Z2140" t="str">
        <f t="shared" si="101"/>
        <v>สแกนต่าง Cost</v>
      </c>
    </row>
    <row r="2141" spans="1:26" x14ac:dyDescent="0.45">
      <c r="B2141" t="s">
        <v>53</v>
      </c>
      <c r="C2141">
        <v>20019647</v>
      </c>
      <c r="D2141" t="s">
        <v>152</v>
      </c>
      <c r="E2141" s="10">
        <v>46119.723611111112</v>
      </c>
      <c r="F2141" s="10">
        <v>46119.826388888891</v>
      </c>
      <c r="G2141">
        <v>2.4666666666666668</v>
      </c>
      <c r="H2141" s="9">
        <f t="shared" si="99"/>
        <v>1.2999999999999999E-2</v>
      </c>
      <c r="K2141">
        <v>1.2999999999999999E-2</v>
      </c>
      <c r="M2141" t="s">
        <v>28</v>
      </c>
      <c r="N2141" t="s">
        <v>40</v>
      </c>
      <c r="O2141" t="s">
        <v>41</v>
      </c>
      <c r="P2141" t="s">
        <v>30</v>
      </c>
      <c r="Q2141" t="s">
        <v>31</v>
      </c>
      <c r="R2141">
        <v>82630</v>
      </c>
      <c r="S2141" t="s">
        <v>32</v>
      </c>
      <c r="T2141">
        <v>82611</v>
      </c>
      <c r="U2141" t="s">
        <v>43</v>
      </c>
      <c r="V2141" t="s">
        <v>43</v>
      </c>
      <c r="W2141" t="s">
        <v>148</v>
      </c>
      <c r="X2141" t="s">
        <v>171</v>
      </c>
      <c r="Y2141" s="9">
        <f t="shared" si="100"/>
        <v>1.2999999999999999E-2</v>
      </c>
      <c r="Z2141" t="str">
        <f t="shared" si="101"/>
        <v>สแกนต่าง Cost</v>
      </c>
    </row>
    <row r="2142" spans="1:26" x14ac:dyDescent="0.45">
      <c r="B2142" t="s">
        <v>53</v>
      </c>
      <c r="C2142">
        <v>20029099</v>
      </c>
      <c r="D2142" t="s">
        <v>163</v>
      </c>
      <c r="E2142" s="10">
        <v>46119.723611111112</v>
      </c>
      <c r="F2142" s="10">
        <v>46119.82708333333</v>
      </c>
      <c r="G2142">
        <v>2.4833333333333334</v>
      </c>
      <c r="H2142" s="9">
        <f t="shared" si="99"/>
        <v>1.2999999999999999E-2</v>
      </c>
      <c r="K2142">
        <v>1.2999999999999999E-2</v>
      </c>
      <c r="M2142" t="s">
        <v>28</v>
      </c>
      <c r="N2142" t="s">
        <v>40</v>
      </c>
      <c r="O2142" t="s">
        <v>41</v>
      </c>
      <c r="P2142" t="s">
        <v>30</v>
      </c>
      <c r="Q2142" t="s">
        <v>31</v>
      </c>
      <c r="R2142">
        <v>82630</v>
      </c>
      <c r="S2142" t="s">
        <v>32</v>
      </c>
      <c r="T2142">
        <v>82611</v>
      </c>
      <c r="U2142" t="s">
        <v>43</v>
      </c>
      <c r="V2142" t="s">
        <v>43</v>
      </c>
      <c r="W2142" t="s">
        <v>148</v>
      </c>
      <c r="X2142" t="s">
        <v>171</v>
      </c>
      <c r="Y2142" s="9">
        <f t="shared" si="100"/>
        <v>1.2999999999999999E-2</v>
      </c>
      <c r="Z2142" t="str">
        <f t="shared" si="101"/>
        <v>สแกนต่าง Cost</v>
      </c>
    </row>
    <row r="2143" spans="1:26" x14ac:dyDescent="0.45">
      <c r="B2143" t="s">
        <v>53</v>
      </c>
      <c r="C2143">
        <v>20056406</v>
      </c>
      <c r="D2143" t="s">
        <v>85</v>
      </c>
      <c r="E2143" s="10">
        <v>46119.723611111112</v>
      </c>
      <c r="F2143" s="10">
        <v>46119.826388888891</v>
      </c>
      <c r="G2143">
        <v>2.4666666666666668</v>
      </c>
      <c r="H2143" s="9">
        <f t="shared" si="99"/>
        <v>1.2999999999999999E-2</v>
      </c>
      <c r="K2143">
        <v>1.2999999999999999E-2</v>
      </c>
      <c r="M2143" t="s">
        <v>28</v>
      </c>
      <c r="N2143" t="s">
        <v>40</v>
      </c>
      <c r="O2143" t="s">
        <v>41</v>
      </c>
      <c r="P2143" t="s">
        <v>30</v>
      </c>
      <c r="Q2143" t="s">
        <v>31</v>
      </c>
      <c r="R2143">
        <v>82630</v>
      </c>
      <c r="S2143" t="s">
        <v>32</v>
      </c>
      <c r="T2143">
        <v>82611</v>
      </c>
      <c r="U2143" t="s">
        <v>43</v>
      </c>
      <c r="V2143" t="s">
        <v>43</v>
      </c>
      <c r="W2143" t="s">
        <v>148</v>
      </c>
      <c r="X2143" t="s">
        <v>171</v>
      </c>
      <c r="Y2143" s="9">
        <f t="shared" si="100"/>
        <v>1.2999999999999999E-2</v>
      </c>
      <c r="Z2143" t="str">
        <f t="shared" si="101"/>
        <v>สแกนต่าง Cost</v>
      </c>
    </row>
    <row r="2144" spans="1:26" x14ac:dyDescent="0.45">
      <c r="B2144" t="s">
        <v>53</v>
      </c>
      <c r="C2144">
        <v>20074652</v>
      </c>
      <c r="D2144" t="s">
        <v>162</v>
      </c>
      <c r="E2144" s="10">
        <v>46119.723611111112</v>
      </c>
      <c r="F2144" s="10">
        <v>46119.826388888891</v>
      </c>
      <c r="G2144">
        <v>2.4666666666666668</v>
      </c>
      <c r="H2144" s="9">
        <f t="shared" si="99"/>
        <v>1.2999999999999999E-2</v>
      </c>
      <c r="K2144">
        <v>1.2999999999999999E-2</v>
      </c>
      <c r="M2144" t="s">
        <v>28</v>
      </c>
      <c r="N2144" t="s">
        <v>40</v>
      </c>
      <c r="O2144" t="s">
        <v>41</v>
      </c>
      <c r="P2144" t="s">
        <v>30</v>
      </c>
      <c r="Q2144" t="s">
        <v>31</v>
      </c>
      <c r="R2144">
        <v>82630</v>
      </c>
      <c r="S2144" t="s">
        <v>32</v>
      </c>
      <c r="T2144">
        <v>82611</v>
      </c>
      <c r="U2144" t="s">
        <v>43</v>
      </c>
      <c r="V2144" t="s">
        <v>43</v>
      </c>
      <c r="W2144" t="s">
        <v>148</v>
      </c>
      <c r="X2144" t="s">
        <v>171</v>
      </c>
      <c r="Y2144" s="9">
        <f t="shared" si="100"/>
        <v>1.2999999999999999E-2</v>
      </c>
      <c r="Z2144" t="str">
        <f t="shared" si="101"/>
        <v>สแกนต่าง Cost</v>
      </c>
    </row>
    <row r="2145" spans="1:26" x14ac:dyDescent="0.45">
      <c r="B2145" t="s">
        <v>53</v>
      </c>
      <c r="C2145">
        <v>20310532</v>
      </c>
      <c r="D2145" t="s">
        <v>61</v>
      </c>
      <c r="E2145" s="10">
        <v>46119.723611111112</v>
      </c>
      <c r="F2145" s="10">
        <v>46119.827777777777</v>
      </c>
      <c r="G2145">
        <v>2.5</v>
      </c>
      <c r="H2145" s="9">
        <f t="shared" si="99"/>
        <v>1.2999999999999999E-2</v>
      </c>
      <c r="K2145">
        <v>1.2999999999999999E-2</v>
      </c>
      <c r="M2145" t="s">
        <v>28</v>
      </c>
      <c r="N2145" t="s">
        <v>40</v>
      </c>
      <c r="O2145" t="s">
        <v>41</v>
      </c>
      <c r="P2145" t="s">
        <v>30</v>
      </c>
      <c r="Q2145" t="s">
        <v>31</v>
      </c>
      <c r="R2145">
        <v>82640</v>
      </c>
      <c r="S2145" t="s">
        <v>42</v>
      </c>
      <c r="T2145">
        <v>82630</v>
      </c>
      <c r="U2145" t="s">
        <v>32</v>
      </c>
      <c r="V2145" t="s">
        <v>70</v>
      </c>
      <c r="W2145" t="s">
        <v>44</v>
      </c>
      <c r="X2145" t="s">
        <v>44</v>
      </c>
      <c r="Y2145" s="9">
        <f t="shared" si="100"/>
        <v>1.2999999999999999E-2</v>
      </c>
      <c r="Z2145" t="str">
        <f t="shared" si="101"/>
        <v>สแกนต่าง Cost</v>
      </c>
    </row>
    <row r="2146" spans="1:26" x14ac:dyDescent="0.45">
      <c r="B2146" t="s">
        <v>53</v>
      </c>
      <c r="C2146">
        <v>20391064</v>
      </c>
      <c r="D2146" t="s">
        <v>121</v>
      </c>
      <c r="E2146" s="10">
        <v>46119.723611111112</v>
      </c>
      <c r="F2146" s="10">
        <v>46119.826388888891</v>
      </c>
      <c r="G2146">
        <v>2.4666666666666668</v>
      </c>
      <c r="H2146" s="9">
        <f t="shared" si="99"/>
        <v>1.2999999999999999E-2</v>
      </c>
      <c r="K2146">
        <v>1.2999999999999999E-2</v>
      </c>
      <c r="M2146" t="s">
        <v>28</v>
      </c>
      <c r="N2146" t="s">
        <v>40</v>
      </c>
      <c r="O2146" t="s">
        <v>41</v>
      </c>
      <c r="P2146" t="s">
        <v>30</v>
      </c>
      <c r="Q2146" t="s">
        <v>31</v>
      </c>
      <c r="R2146">
        <v>82630</v>
      </c>
      <c r="S2146" t="s">
        <v>32</v>
      </c>
      <c r="T2146">
        <v>82611</v>
      </c>
      <c r="U2146" t="s">
        <v>43</v>
      </c>
      <c r="V2146" t="s">
        <v>43</v>
      </c>
      <c r="W2146" t="s">
        <v>148</v>
      </c>
      <c r="X2146" t="s">
        <v>171</v>
      </c>
      <c r="Y2146" s="9">
        <f t="shared" si="100"/>
        <v>1.2999999999999999E-2</v>
      </c>
      <c r="Z2146" t="str">
        <f t="shared" si="101"/>
        <v>สแกนต่าง Cost</v>
      </c>
    </row>
    <row r="2147" spans="1:26" x14ac:dyDescent="0.45">
      <c r="B2147" t="s">
        <v>53</v>
      </c>
      <c r="C2147">
        <v>20027956</v>
      </c>
      <c r="D2147" t="s">
        <v>214</v>
      </c>
      <c r="E2147" s="10">
        <v>46119.722916666666</v>
      </c>
      <c r="F2147" s="10">
        <v>46119.82916666667</v>
      </c>
      <c r="G2147">
        <v>2.5499999999999998</v>
      </c>
      <c r="H2147" s="9">
        <f t="shared" si="99"/>
        <v>1.4E-2</v>
      </c>
      <c r="K2147">
        <v>1.4E-2</v>
      </c>
      <c r="M2147" t="s">
        <v>28</v>
      </c>
      <c r="N2147" t="s">
        <v>40</v>
      </c>
      <c r="O2147" t="s">
        <v>41</v>
      </c>
      <c r="P2147" t="s">
        <v>30</v>
      </c>
      <c r="Q2147" t="s">
        <v>31</v>
      </c>
      <c r="R2147">
        <v>82640</v>
      </c>
      <c r="S2147" t="s">
        <v>42</v>
      </c>
      <c r="T2147">
        <v>82611</v>
      </c>
      <c r="U2147" t="s">
        <v>43</v>
      </c>
      <c r="V2147" t="s">
        <v>43</v>
      </c>
      <c r="W2147" t="s">
        <v>44</v>
      </c>
      <c r="X2147" t="s">
        <v>44</v>
      </c>
      <c r="Y2147" s="9">
        <f t="shared" si="100"/>
        <v>1.4E-2</v>
      </c>
      <c r="Z2147" t="str">
        <f t="shared" si="101"/>
        <v>สแกนต่าง Cost</v>
      </c>
    </row>
    <row r="2148" spans="1:26" x14ac:dyDescent="0.45">
      <c r="B2148" t="s">
        <v>53</v>
      </c>
      <c r="C2148">
        <v>20167851</v>
      </c>
      <c r="D2148" t="s">
        <v>63</v>
      </c>
      <c r="E2148" s="10">
        <v>46119.722916666666</v>
      </c>
      <c r="F2148" s="10">
        <v>46119.854166666664</v>
      </c>
      <c r="G2148">
        <v>3.15</v>
      </c>
      <c r="H2148" s="9">
        <f t="shared" si="99"/>
        <v>1.7000000000000001E-2</v>
      </c>
      <c r="K2148">
        <v>1.7000000000000001E-2</v>
      </c>
      <c r="M2148" t="s">
        <v>28</v>
      </c>
      <c r="N2148" t="s">
        <v>40</v>
      </c>
      <c r="O2148" t="s">
        <v>190</v>
      </c>
      <c r="P2148" t="s">
        <v>30</v>
      </c>
      <c r="Q2148" t="s">
        <v>31</v>
      </c>
      <c r="R2148">
        <v>82640</v>
      </c>
      <c r="S2148" t="s">
        <v>42</v>
      </c>
      <c r="T2148">
        <v>82611</v>
      </c>
      <c r="U2148" t="s">
        <v>43</v>
      </c>
      <c r="V2148" t="s">
        <v>43</v>
      </c>
      <c r="W2148" t="s">
        <v>44</v>
      </c>
      <c r="X2148" t="s">
        <v>44</v>
      </c>
      <c r="Y2148" s="9">
        <f t="shared" si="100"/>
        <v>1.7000000000000001E-2</v>
      </c>
      <c r="Z2148" t="str">
        <f t="shared" si="101"/>
        <v>สแกนต่าง Cost</v>
      </c>
    </row>
    <row r="2149" spans="1:26" x14ac:dyDescent="0.45">
      <c r="B2149" t="s">
        <v>53</v>
      </c>
      <c r="C2149">
        <v>20240959</v>
      </c>
      <c r="D2149" t="s">
        <v>105</v>
      </c>
      <c r="E2149" s="10">
        <v>46119.722916666666</v>
      </c>
      <c r="F2149" s="10">
        <v>46119.826388888891</v>
      </c>
      <c r="G2149">
        <v>2.4833333333333334</v>
      </c>
      <c r="H2149" s="9">
        <f t="shared" si="99"/>
        <v>1.2999999999999999E-2</v>
      </c>
      <c r="K2149">
        <v>1.2999999999999999E-2</v>
      </c>
      <c r="M2149" t="s">
        <v>28</v>
      </c>
      <c r="N2149" t="s">
        <v>40</v>
      </c>
      <c r="O2149" t="s">
        <v>41</v>
      </c>
      <c r="P2149" t="s">
        <v>30</v>
      </c>
      <c r="Q2149" t="s">
        <v>31</v>
      </c>
      <c r="R2149">
        <v>82630</v>
      </c>
      <c r="S2149" t="s">
        <v>32</v>
      </c>
      <c r="T2149">
        <v>82611</v>
      </c>
      <c r="U2149" t="s">
        <v>43</v>
      </c>
      <c r="V2149" t="s">
        <v>43</v>
      </c>
      <c r="W2149" t="s">
        <v>148</v>
      </c>
      <c r="X2149" t="s">
        <v>171</v>
      </c>
      <c r="Y2149" s="9">
        <f t="shared" si="100"/>
        <v>1.2999999999999999E-2</v>
      </c>
      <c r="Z2149" t="str">
        <f t="shared" si="101"/>
        <v>สแกนต่าง Cost</v>
      </c>
    </row>
    <row r="2150" spans="1:26" x14ac:dyDescent="0.45">
      <c r="B2150" t="s">
        <v>53</v>
      </c>
      <c r="C2150">
        <v>20240961</v>
      </c>
      <c r="D2150" t="s">
        <v>239</v>
      </c>
      <c r="E2150" s="10">
        <v>46119.722916666666</v>
      </c>
      <c r="F2150" s="10">
        <v>46119.826388888891</v>
      </c>
      <c r="G2150">
        <v>2.4833333333333334</v>
      </c>
      <c r="H2150" s="9">
        <f t="shared" si="99"/>
        <v>1.2999999999999999E-2</v>
      </c>
      <c r="K2150">
        <v>1.2999999999999999E-2</v>
      </c>
      <c r="M2150" t="s">
        <v>28</v>
      </c>
      <c r="N2150" t="s">
        <v>40</v>
      </c>
      <c r="O2150" t="s">
        <v>41</v>
      </c>
      <c r="P2150" t="s">
        <v>30</v>
      </c>
      <c r="Q2150" t="s">
        <v>31</v>
      </c>
      <c r="R2150">
        <v>82630</v>
      </c>
      <c r="S2150" t="s">
        <v>32</v>
      </c>
      <c r="T2150">
        <v>82611</v>
      </c>
      <c r="U2150" t="s">
        <v>43</v>
      </c>
      <c r="V2150" t="s">
        <v>43</v>
      </c>
      <c r="W2150" t="s">
        <v>148</v>
      </c>
      <c r="X2150" t="s">
        <v>171</v>
      </c>
      <c r="Y2150" s="9">
        <f t="shared" si="100"/>
        <v>1.2999999999999999E-2</v>
      </c>
      <c r="Z2150" t="str">
        <f t="shared" si="101"/>
        <v>สแกนต่าง Cost</v>
      </c>
    </row>
    <row r="2151" spans="1:26" x14ac:dyDescent="0.45">
      <c r="B2151" t="s">
        <v>53</v>
      </c>
      <c r="C2151">
        <v>20244923</v>
      </c>
      <c r="D2151" t="s">
        <v>246</v>
      </c>
      <c r="E2151" s="10">
        <v>46119.722916666666</v>
      </c>
      <c r="F2151" s="10">
        <v>46119.854166666664</v>
      </c>
      <c r="G2151">
        <v>3.15</v>
      </c>
      <c r="H2151" s="9">
        <f t="shared" si="99"/>
        <v>1.7000000000000001E-2</v>
      </c>
      <c r="K2151">
        <v>1.7000000000000001E-2</v>
      </c>
      <c r="M2151" t="s">
        <v>28</v>
      </c>
      <c r="N2151" t="s">
        <v>40</v>
      </c>
      <c r="O2151" t="s">
        <v>190</v>
      </c>
      <c r="P2151" t="s">
        <v>30</v>
      </c>
      <c r="Q2151" t="s">
        <v>31</v>
      </c>
      <c r="R2151">
        <v>82640</v>
      </c>
      <c r="S2151" t="s">
        <v>42</v>
      </c>
      <c r="T2151">
        <v>82611</v>
      </c>
      <c r="U2151" t="s">
        <v>43</v>
      </c>
      <c r="V2151" t="s">
        <v>43</v>
      </c>
      <c r="W2151" t="s">
        <v>44</v>
      </c>
      <c r="X2151" t="s">
        <v>44</v>
      </c>
      <c r="Y2151" s="9">
        <f t="shared" si="100"/>
        <v>1.7000000000000001E-2</v>
      </c>
      <c r="Z2151" t="str">
        <f t="shared" si="101"/>
        <v>สแกนต่าง Cost</v>
      </c>
    </row>
    <row r="2152" spans="1:26" x14ac:dyDescent="0.45">
      <c r="A2152">
        <v>26072</v>
      </c>
      <c r="B2152" t="s">
        <v>53</v>
      </c>
      <c r="C2152">
        <v>20310534</v>
      </c>
      <c r="D2152" t="s">
        <v>228</v>
      </c>
      <c r="E2152" s="10">
        <v>46119.722916666666</v>
      </c>
      <c r="F2152" s="10">
        <v>46119.826388888891</v>
      </c>
      <c r="G2152">
        <v>2.4833333333333334</v>
      </c>
      <c r="H2152" s="9">
        <f t="shared" si="99"/>
        <v>1.2999999999999999E-2</v>
      </c>
      <c r="K2152">
        <v>1.2999999999999999E-2</v>
      </c>
      <c r="M2152" t="s">
        <v>28</v>
      </c>
      <c r="N2152" t="s">
        <v>40</v>
      </c>
      <c r="O2152" t="s">
        <v>41</v>
      </c>
      <c r="P2152" t="s">
        <v>30</v>
      </c>
      <c r="Q2152" t="s">
        <v>31</v>
      </c>
      <c r="R2152">
        <v>82611</v>
      </c>
      <c r="S2152" t="s">
        <v>43</v>
      </c>
      <c r="T2152">
        <v>82640</v>
      </c>
      <c r="U2152" t="s">
        <v>42</v>
      </c>
      <c r="V2152" t="s">
        <v>70</v>
      </c>
      <c r="W2152" t="s">
        <v>71</v>
      </c>
      <c r="X2152" t="s">
        <v>331</v>
      </c>
      <c r="Y2152" s="9">
        <f t="shared" si="100"/>
        <v>1.2999999999999999E-2</v>
      </c>
      <c r="Z2152" t="str">
        <f t="shared" si="101"/>
        <v>สแกนต่าง Cost</v>
      </c>
    </row>
    <row r="2153" spans="1:26" x14ac:dyDescent="0.45">
      <c r="B2153" t="s">
        <v>53</v>
      </c>
      <c r="C2153">
        <v>20332134</v>
      </c>
      <c r="D2153" t="s">
        <v>156</v>
      </c>
      <c r="E2153" s="10">
        <v>46119.722916666666</v>
      </c>
      <c r="F2153" s="10">
        <v>46119.82708333333</v>
      </c>
      <c r="G2153">
        <v>2.5</v>
      </c>
      <c r="H2153" s="9">
        <f t="shared" si="99"/>
        <v>1.2999999999999999E-2</v>
      </c>
      <c r="K2153">
        <v>1.2999999999999999E-2</v>
      </c>
      <c r="M2153" t="s">
        <v>28</v>
      </c>
      <c r="N2153" t="s">
        <v>40</v>
      </c>
      <c r="O2153" t="s">
        <v>41</v>
      </c>
      <c r="P2153" t="s">
        <v>30</v>
      </c>
      <c r="Q2153" t="s">
        <v>31</v>
      </c>
      <c r="R2153">
        <v>82640</v>
      </c>
      <c r="S2153" t="s">
        <v>42</v>
      </c>
      <c r="T2153">
        <v>82612</v>
      </c>
      <c r="U2153" t="s">
        <v>153</v>
      </c>
      <c r="V2153" t="s">
        <v>154</v>
      </c>
      <c r="W2153" t="s">
        <v>44</v>
      </c>
      <c r="X2153" t="s">
        <v>44</v>
      </c>
      <c r="Y2153" s="9">
        <f t="shared" si="100"/>
        <v>1.2999999999999999E-2</v>
      </c>
      <c r="Z2153" t="str">
        <f t="shared" si="101"/>
        <v>สแกนต่าง Cost</v>
      </c>
    </row>
    <row r="2154" spans="1:26" x14ac:dyDescent="0.45">
      <c r="A2154">
        <v>26071</v>
      </c>
      <c r="B2154" t="s">
        <v>53</v>
      </c>
      <c r="C2154">
        <v>20334092</v>
      </c>
      <c r="D2154" t="s">
        <v>224</v>
      </c>
      <c r="E2154" s="10">
        <v>46119.722916666666</v>
      </c>
      <c r="F2154" s="10">
        <v>46119.826388888891</v>
      </c>
      <c r="G2154">
        <v>2.4833333333333334</v>
      </c>
      <c r="H2154" s="9">
        <f t="shared" si="99"/>
        <v>1.2999999999999999E-2</v>
      </c>
      <c r="K2154">
        <v>1.2999999999999999E-2</v>
      </c>
      <c r="M2154" t="s">
        <v>28</v>
      </c>
      <c r="N2154" t="s">
        <v>40</v>
      </c>
      <c r="O2154" t="s">
        <v>41</v>
      </c>
      <c r="P2154" t="s">
        <v>30</v>
      </c>
      <c r="Q2154" t="s">
        <v>31</v>
      </c>
      <c r="R2154">
        <v>82611</v>
      </c>
      <c r="S2154" t="s">
        <v>43</v>
      </c>
      <c r="T2154">
        <v>82640</v>
      </c>
      <c r="U2154" t="s">
        <v>42</v>
      </c>
      <c r="V2154" t="s">
        <v>70</v>
      </c>
      <c r="W2154" t="s">
        <v>71</v>
      </c>
      <c r="X2154" t="s">
        <v>331</v>
      </c>
      <c r="Y2154" s="9">
        <f t="shared" si="100"/>
        <v>1.2999999999999999E-2</v>
      </c>
      <c r="Z2154" t="str">
        <f t="shared" si="101"/>
        <v>สแกนต่าง Cost</v>
      </c>
    </row>
    <row r="2155" spans="1:26" x14ac:dyDescent="0.45">
      <c r="A2155">
        <v>26068</v>
      </c>
      <c r="B2155" t="s">
        <v>53</v>
      </c>
      <c r="C2155">
        <v>20020013</v>
      </c>
      <c r="D2155" t="s">
        <v>223</v>
      </c>
      <c r="E2155" s="10">
        <v>46119.722222222219</v>
      </c>
      <c r="F2155" s="10">
        <v>46119.826388888891</v>
      </c>
      <c r="G2155">
        <v>2.5</v>
      </c>
      <c r="H2155" s="9">
        <f t="shared" si="99"/>
        <v>1.2999999999999999E-2</v>
      </c>
      <c r="K2155">
        <v>1.2999999999999999E-2</v>
      </c>
      <c r="M2155" t="s">
        <v>28</v>
      </c>
      <c r="N2155" t="s">
        <v>40</v>
      </c>
      <c r="O2155" t="s">
        <v>41</v>
      </c>
      <c r="P2155" t="s">
        <v>30</v>
      </c>
      <c r="Q2155" t="s">
        <v>31</v>
      </c>
      <c r="R2155">
        <v>82611</v>
      </c>
      <c r="S2155" t="s">
        <v>43</v>
      </c>
      <c r="T2155">
        <v>82640</v>
      </c>
      <c r="U2155" t="s">
        <v>42</v>
      </c>
      <c r="V2155" t="s">
        <v>70</v>
      </c>
      <c r="W2155" t="s">
        <v>71</v>
      </c>
      <c r="X2155" t="s">
        <v>331</v>
      </c>
      <c r="Y2155" s="9">
        <f t="shared" si="100"/>
        <v>1.2999999999999999E-2</v>
      </c>
      <c r="Z2155" t="str">
        <f t="shared" si="101"/>
        <v>สแกนต่าง Cost</v>
      </c>
    </row>
    <row r="2156" spans="1:26" x14ac:dyDescent="0.45">
      <c r="A2156">
        <v>26070</v>
      </c>
      <c r="B2156" t="s">
        <v>53</v>
      </c>
      <c r="C2156">
        <v>20153442</v>
      </c>
      <c r="D2156" t="s">
        <v>225</v>
      </c>
      <c r="E2156" s="10">
        <v>46119.722222222219</v>
      </c>
      <c r="F2156" s="10">
        <v>46119.826388888891</v>
      </c>
      <c r="G2156">
        <v>2.5</v>
      </c>
      <c r="H2156" s="9">
        <f t="shared" si="99"/>
        <v>1.2999999999999999E-2</v>
      </c>
      <c r="K2156">
        <v>1.2999999999999999E-2</v>
      </c>
      <c r="M2156" t="s">
        <v>28</v>
      </c>
      <c r="N2156" t="s">
        <v>40</v>
      </c>
      <c r="O2156" t="s">
        <v>41</v>
      </c>
      <c r="P2156" t="s">
        <v>30</v>
      </c>
      <c r="Q2156" t="s">
        <v>31</v>
      </c>
      <c r="R2156">
        <v>82611</v>
      </c>
      <c r="S2156" t="s">
        <v>43</v>
      </c>
      <c r="T2156">
        <v>82640</v>
      </c>
      <c r="U2156" t="s">
        <v>42</v>
      </c>
      <c r="V2156" t="s">
        <v>70</v>
      </c>
      <c r="W2156" t="s">
        <v>71</v>
      </c>
      <c r="X2156" t="s">
        <v>331</v>
      </c>
      <c r="Y2156" s="9">
        <f t="shared" si="100"/>
        <v>1.2999999999999999E-2</v>
      </c>
      <c r="Z2156" t="str">
        <f t="shared" si="101"/>
        <v>สแกนต่าง Cost</v>
      </c>
    </row>
    <row r="2157" spans="1:26" x14ac:dyDescent="0.45">
      <c r="A2157">
        <v>26069</v>
      </c>
      <c r="B2157" t="s">
        <v>53</v>
      </c>
      <c r="C2157">
        <v>20186595</v>
      </c>
      <c r="D2157" t="s">
        <v>226</v>
      </c>
      <c r="E2157" s="10">
        <v>46119.722222222219</v>
      </c>
      <c r="F2157" s="10">
        <v>46119.826388888891</v>
      </c>
      <c r="G2157">
        <v>2.5</v>
      </c>
      <c r="H2157" s="9">
        <f t="shared" si="99"/>
        <v>1.2999999999999999E-2</v>
      </c>
      <c r="K2157">
        <v>1.2999999999999999E-2</v>
      </c>
      <c r="M2157" t="s">
        <v>28</v>
      </c>
      <c r="N2157" t="s">
        <v>40</v>
      </c>
      <c r="O2157" t="s">
        <v>41</v>
      </c>
      <c r="P2157" t="s">
        <v>30</v>
      </c>
      <c r="Q2157" t="s">
        <v>31</v>
      </c>
      <c r="R2157">
        <v>82611</v>
      </c>
      <c r="S2157" t="s">
        <v>43</v>
      </c>
      <c r="T2157">
        <v>82640</v>
      </c>
      <c r="U2157" t="s">
        <v>42</v>
      </c>
      <c r="V2157" t="s">
        <v>70</v>
      </c>
      <c r="W2157" t="s">
        <v>71</v>
      </c>
      <c r="X2157" t="s">
        <v>331</v>
      </c>
      <c r="Y2157" s="9">
        <f t="shared" si="100"/>
        <v>1.2999999999999999E-2</v>
      </c>
      <c r="Z2157" t="str">
        <f t="shared" si="101"/>
        <v>สแกนต่าง Cost</v>
      </c>
    </row>
    <row r="2158" spans="1:26" x14ac:dyDescent="0.45">
      <c r="A2158">
        <v>26067</v>
      </c>
      <c r="B2158" t="s">
        <v>53</v>
      </c>
      <c r="C2158">
        <v>20331074</v>
      </c>
      <c r="D2158" t="s">
        <v>364</v>
      </c>
      <c r="E2158" s="10">
        <v>46119.722222222219</v>
      </c>
      <c r="F2158" s="10">
        <v>46119.826388888891</v>
      </c>
      <c r="G2158">
        <v>2.5</v>
      </c>
      <c r="H2158" s="9">
        <f t="shared" si="99"/>
        <v>1.2999999999999999E-2</v>
      </c>
      <c r="K2158">
        <v>1.2999999999999999E-2</v>
      </c>
      <c r="M2158" t="s">
        <v>28</v>
      </c>
      <c r="N2158" t="s">
        <v>40</v>
      </c>
      <c r="O2158" t="s">
        <v>41</v>
      </c>
      <c r="P2158" t="s">
        <v>133</v>
      </c>
      <c r="Q2158" t="s">
        <v>31</v>
      </c>
      <c r="R2158">
        <v>82611</v>
      </c>
      <c r="S2158" t="s">
        <v>43</v>
      </c>
      <c r="T2158">
        <v>82640</v>
      </c>
      <c r="U2158" t="s">
        <v>42</v>
      </c>
      <c r="V2158" t="s">
        <v>70</v>
      </c>
      <c r="W2158" t="s">
        <v>71</v>
      </c>
      <c r="X2158" t="s">
        <v>331</v>
      </c>
      <c r="Y2158" s="9">
        <f t="shared" si="100"/>
        <v>1.2999999999999999E-2</v>
      </c>
      <c r="Z2158" t="str">
        <f t="shared" si="101"/>
        <v>สแกนต่าง Cost</v>
      </c>
    </row>
    <row r="2159" spans="1:26" x14ac:dyDescent="0.45">
      <c r="B2159" t="s">
        <v>53</v>
      </c>
      <c r="C2159">
        <v>20280718</v>
      </c>
      <c r="D2159" t="s">
        <v>256</v>
      </c>
      <c r="E2159" s="10">
        <v>46119.708333333336</v>
      </c>
      <c r="F2159" s="10">
        <v>46119.729166666664</v>
      </c>
      <c r="G2159">
        <v>0.5</v>
      </c>
      <c r="H2159" s="9">
        <f t="shared" si="99"/>
        <v>3.0000000000000001E-3</v>
      </c>
      <c r="J2159">
        <v>3.0000000000000001E-3</v>
      </c>
      <c r="M2159" t="s">
        <v>77</v>
      </c>
      <c r="N2159" t="s">
        <v>40</v>
      </c>
      <c r="O2159" t="s">
        <v>78</v>
      </c>
      <c r="P2159" t="s">
        <v>30</v>
      </c>
      <c r="Q2159" t="s">
        <v>31</v>
      </c>
      <c r="R2159">
        <v>82640</v>
      </c>
      <c r="S2159" t="s">
        <v>42</v>
      </c>
      <c r="T2159">
        <v>82622</v>
      </c>
      <c r="U2159" t="s">
        <v>147</v>
      </c>
      <c r="V2159" t="s">
        <v>66</v>
      </c>
      <c r="W2159" t="s">
        <v>44</v>
      </c>
      <c r="X2159" t="s">
        <v>44</v>
      </c>
      <c r="Y2159" s="9">
        <f t="shared" si="100"/>
        <v>3.0000000000000001E-3</v>
      </c>
      <c r="Z2159" t="str">
        <f t="shared" si="101"/>
        <v>สแกนต่าง Cost</v>
      </c>
    </row>
    <row r="2160" spans="1:26" x14ac:dyDescent="0.45">
      <c r="B2160" t="s">
        <v>53</v>
      </c>
      <c r="C2160">
        <v>20310532</v>
      </c>
      <c r="D2160" t="s">
        <v>61</v>
      </c>
      <c r="E2160" s="10">
        <v>46119.708333333336</v>
      </c>
      <c r="F2160" s="10">
        <v>46119.729166666664</v>
      </c>
      <c r="G2160">
        <v>0.5</v>
      </c>
      <c r="H2160" s="9">
        <f t="shared" si="99"/>
        <v>3.0000000000000001E-3</v>
      </c>
      <c r="I2160">
        <v>3.0000000000000001E-3</v>
      </c>
      <c r="M2160" t="s">
        <v>65</v>
      </c>
      <c r="N2160" t="s">
        <v>29</v>
      </c>
      <c r="P2160" t="s">
        <v>30</v>
      </c>
      <c r="Q2160" t="s">
        <v>31</v>
      </c>
      <c r="R2160">
        <v>82640</v>
      </c>
      <c r="S2160" t="s">
        <v>42</v>
      </c>
      <c r="T2160">
        <v>82630</v>
      </c>
      <c r="U2160" t="s">
        <v>32</v>
      </c>
      <c r="V2160" t="s">
        <v>66</v>
      </c>
      <c r="W2160" t="s">
        <v>44</v>
      </c>
      <c r="X2160" t="s">
        <v>44</v>
      </c>
      <c r="Y2160" s="9">
        <f t="shared" si="100"/>
        <v>0</v>
      </c>
      <c r="Z2160" t="str">
        <f t="shared" si="101"/>
        <v>สแกนต่าง Cost</v>
      </c>
    </row>
    <row r="2161" spans="2:26" x14ac:dyDescent="0.45">
      <c r="B2161" t="s">
        <v>53</v>
      </c>
      <c r="C2161">
        <v>20332134</v>
      </c>
      <c r="D2161" t="s">
        <v>156</v>
      </c>
      <c r="E2161" s="10">
        <v>46119.708333333336</v>
      </c>
      <c r="F2161" s="10">
        <v>46119.729166666664</v>
      </c>
      <c r="G2161">
        <v>0.5</v>
      </c>
      <c r="H2161" s="9">
        <f t="shared" si="99"/>
        <v>3.0000000000000001E-3</v>
      </c>
      <c r="I2161">
        <v>3.0000000000000001E-3</v>
      </c>
      <c r="M2161" t="s">
        <v>65</v>
      </c>
      <c r="N2161" t="s">
        <v>29</v>
      </c>
      <c r="P2161" t="s">
        <v>30</v>
      </c>
      <c r="Q2161" t="s">
        <v>31</v>
      </c>
      <c r="R2161">
        <v>82640</v>
      </c>
      <c r="S2161" t="s">
        <v>42</v>
      </c>
      <c r="T2161">
        <v>82630</v>
      </c>
      <c r="U2161" t="s">
        <v>32</v>
      </c>
      <c r="V2161" t="s">
        <v>66</v>
      </c>
      <c r="W2161" t="s">
        <v>44</v>
      </c>
      <c r="X2161" t="s">
        <v>44</v>
      </c>
      <c r="Y2161" s="9">
        <f t="shared" si="100"/>
        <v>0</v>
      </c>
      <c r="Z2161" t="str">
        <f t="shared" si="101"/>
        <v>สแกนต่าง Cost</v>
      </c>
    </row>
    <row r="2162" spans="2:26" x14ac:dyDescent="0.45">
      <c r="B2162" t="s">
        <v>53</v>
      </c>
      <c r="C2162">
        <v>20340657</v>
      </c>
      <c r="D2162" t="s">
        <v>221</v>
      </c>
      <c r="E2162" s="10">
        <v>46119.708333333336</v>
      </c>
      <c r="F2162" s="10">
        <v>46119.729166666664</v>
      </c>
      <c r="G2162">
        <v>0.5</v>
      </c>
      <c r="H2162" s="9">
        <f t="shared" si="99"/>
        <v>3.0000000000000001E-3</v>
      </c>
      <c r="I2162">
        <v>3.0000000000000001E-3</v>
      </c>
      <c r="M2162" t="s">
        <v>65</v>
      </c>
      <c r="N2162" t="s">
        <v>29</v>
      </c>
      <c r="P2162" t="s">
        <v>30</v>
      </c>
      <c r="Q2162" t="s">
        <v>31</v>
      </c>
      <c r="R2162">
        <v>82640</v>
      </c>
      <c r="S2162" t="s">
        <v>42</v>
      </c>
      <c r="T2162">
        <v>82622</v>
      </c>
      <c r="U2162" t="s">
        <v>147</v>
      </c>
      <c r="V2162" t="s">
        <v>66</v>
      </c>
      <c r="W2162" t="s">
        <v>44</v>
      </c>
      <c r="X2162" t="s">
        <v>44</v>
      </c>
      <c r="Y2162" s="9">
        <f t="shared" si="100"/>
        <v>0</v>
      </c>
      <c r="Z2162" t="str">
        <f t="shared" si="101"/>
        <v>สแกนต่าง Cost</v>
      </c>
    </row>
    <row r="2163" spans="2:26" x14ac:dyDescent="0.45">
      <c r="B2163" t="s">
        <v>53</v>
      </c>
      <c r="C2163">
        <v>20198839</v>
      </c>
      <c r="D2163" t="s">
        <v>258</v>
      </c>
      <c r="E2163" s="10">
        <v>46119.6875</v>
      </c>
      <c r="F2163" s="10">
        <v>46119.729166666664</v>
      </c>
      <c r="G2163">
        <v>1</v>
      </c>
      <c r="H2163" s="9">
        <f t="shared" si="99"/>
        <v>5.0000000000000001E-3</v>
      </c>
      <c r="I2163">
        <v>5.0000000000000001E-3</v>
      </c>
      <c r="M2163" t="s">
        <v>65</v>
      </c>
      <c r="N2163" t="s">
        <v>29</v>
      </c>
      <c r="P2163" t="s">
        <v>30</v>
      </c>
      <c r="Q2163" t="s">
        <v>31</v>
      </c>
      <c r="R2163">
        <v>82640</v>
      </c>
      <c r="S2163" t="s">
        <v>42</v>
      </c>
      <c r="T2163">
        <v>82630</v>
      </c>
      <c r="U2163" t="s">
        <v>32</v>
      </c>
      <c r="V2163" t="s">
        <v>66</v>
      </c>
      <c r="W2163" t="s">
        <v>44</v>
      </c>
      <c r="X2163" t="s">
        <v>44</v>
      </c>
      <c r="Y2163" s="9">
        <f t="shared" si="100"/>
        <v>0</v>
      </c>
      <c r="Z2163" t="str">
        <f t="shared" si="101"/>
        <v>สแกนต่าง Cost</v>
      </c>
    </row>
    <row r="2164" spans="2:26" x14ac:dyDescent="0.45">
      <c r="B2164" t="s">
        <v>53</v>
      </c>
      <c r="C2164">
        <v>20244923</v>
      </c>
      <c r="D2164" t="s">
        <v>246</v>
      </c>
      <c r="E2164" s="10">
        <v>46119.6875</v>
      </c>
      <c r="F2164" s="10">
        <v>46119.729166666664</v>
      </c>
      <c r="G2164">
        <v>1</v>
      </c>
      <c r="H2164" s="9">
        <f t="shared" si="99"/>
        <v>5.0000000000000001E-3</v>
      </c>
      <c r="I2164">
        <v>5.0000000000000001E-3</v>
      </c>
      <c r="M2164" t="s">
        <v>65</v>
      </c>
      <c r="N2164" t="s">
        <v>29</v>
      </c>
      <c r="P2164" t="s">
        <v>30</v>
      </c>
      <c r="Q2164" t="s">
        <v>31</v>
      </c>
      <c r="R2164">
        <v>82640</v>
      </c>
      <c r="S2164" t="s">
        <v>42</v>
      </c>
      <c r="T2164">
        <v>82630</v>
      </c>
      <c r="U2164" t="s">
        <v>32</v>
      </c>
      <c r="V2164" t="s">
        <v>66</v>
      </c>
      <c r="W2164" t="s">
        <v>44</v>
      </c>
      <c r="X2164" t="s">
        <v>44</v>
      </c>
      <c r="Y2164" s="9">
        <f t="shared" si="100"/>
        <v>0</v>
      </c>
      <c r="Z2164" t="str">
        <f t="shared" si="101"/>
        <v>สแกนต่าง Cost</v>
      </c>
    </row>
    <row r="2165" spans="2:26" x14ac:dyDescent="0.45">
      <c r="B2165" t="s">
        <v>53</v>
      </c>
      <c r="C2165">
        <v>20280718</v>
      </c>
      <c r="D2165" t="s">
        <v>256</v>
      </c>
      <c r="E2165" s="10">
        <v>46119.6875</v>
      </c>
      <c r="F2165" s="10">
        <v>46119.708333333336</v>
      </c>
      <c r="G2165">
        <v>0.5</v>
      </c>
      <c r="H2165" s="9">
        <f t="shared" si="99"/>
        <v>3.0000000000000001E-3</v>
      </c>
      <c r="J2165">
        <v>3.0000000000000001E-3</v>
      </c>
      <c r="M2165" t="s">
        <v>77</v>
      </c>
      <c r="N2165" t="s">
        <v>40</v>
      </c>
      <c r="O2165" t="s">
        <v>78</v>
      </c>
      <c r="P2165" t="s">
        <v>30</v>
      </c>
      <c r="Q2165" t="s">
        <v>31</v>
      </c>
      <c r="R2165">
        <v>82640</v>
      </c>
      <c r="S2165" t="s">
        <v>42</v>
      </c>
      <c r="T2165">
        <v>82611</v>
      </c>
      <c r="U2165" t="s">
        <v>43</v>
      </c>
      <c r="V2165" t="s">
        <v>66</v>
      </c>
      <c r="W2165" t="s">
        <v>44</v>
      </c>
      <c r="X2165" t="s">
        <v>44</v>
      </c>
      <c r="Y2165" s="9">
        <f t="shared" si="100"/>
        <v>3.0000000000000001E-3</v>
      </c>
      <c r="Z2165" t="str">
        <f t="shared" si="101"/>
        <v>สแกนต่าง Cost</v>
      </c>
    </row>
    <row r="2166" spans="2:26" x14ac:dyDescent="0.45">
      <c r="B2166" t="s">
        <v>53</v>
      </c>
      <c r="C2166">
        <v>20310530</v>
      </c>
      <c r="D2166" t="s">
        <v>220</v>
      </c>
      <c r="E2166" s="10">
        <v>46119.6875</v>
      </c>
      <c r="F2166" s="10">
        <v>46119.729166666664</v>
      </c>
      <c r="G2166">
        <v>1</v>
      </c>
      <c r="H2166" s="9">
        <f t="shared" si="99"/>
        <v>5.0000000000000001E-3</v>
      </c>
      <c r="I2166">
        <v>5.0000000000000001E-3</v>
      </c>
      <c r="M2166" t="s">
        <v>65</v>
      </c>
      <c r="N2166" t="s">
        <v>29</v>
      </c>
      <c r="P2166" t="s">
        <v>30</v>
      </c>
      <c r="Q2166" t="s">
        <v>31</v>
      </c>
      <c r="R2166">
        <v>82640</v>
      </c>
      <c r="S2166" t="s">
        <v>42</v>
      </c>
      <c r="T2166">
        <v>82622</v>
      </c>
      <c r="U2166" t="s">
        <v>147</v>
      </c>
      <c r="V2166" t="s">
        <v>66</v>
      </c>
      <c r="W2166" t="s">
        <v>44</v>
      </c>
      <c r="X2166" t="s">
        <v>44</v>
      </c>
      <c r="Y2166" s="9">
        <f t="shared" si="100"/>
        <v>0</v>
      </c>
      <c r="Z2166" t="str">
        <f t="shared" si="101"/>
        <v>สแกนต่าง Cost</v>
      </c>
    </row>
    <row r="2167" spans="2:26" x14ac:dyDescent="0.45">
      <c r="B2167" t="s">
        <v>53</v>
      </c>
      <c r="C2167">
        <v>20368087</v>
      </c>
      <c r="D2167" t="s">
        <v>260</v>
      </c>
      <c r="E2167" s="10">
        <v>46119.6875</v>
      </c>
      <c r="F2167" s="10">
        <v>46119.729166666664</v>
      </c>
      <c r="G2167">
        <v>1</v>
      </c>
      <c r="H2167" s="9">
        <f t="shared" si="99"/>
        <v>5.0000000000000001E-3</v>
      </c>
      <c r="J2167">
        <v>5.0000000000000001E-3</v>
      </c>
      <c r="M2167" t="s">
        <v>77</v>
      </c>
      <c r="N2167" t="s">
        <v>40</v>
      </c>
      <c r="O2167" t="s">
        <v>365</v>
      </c>
      <c r="P2167" t="s">
        <v>30</v>
      </c>
      <c r="Q2167" t="s">
        <v>31</v>
      </c>
      <c r="R2167">
        <v>82640</v>
      </c>
      <c r="S2167" t="s">
        <v>42</v>
      </c>
      <c r="T2167">
        <v>82622</v>
      </c>
      <c r="U2167" t="s">
        <v>147</v>
      </c>
      <c r="V2167" t="s">
        <v>66</v>
      </c>
      <c r="W2167" t="s">
        <v>44</v>
      </c>
      <c r="X2167" t="s">
        <v>44</v>
      </c>
      <c r="Y2167" s="9">
        <f t="shared" si="100"/>
        <v>5.0000000000000001E-3</v>
      </c>
      <c r="Z2167" t="str">
        <f t="shared" si="101"/>
        <v>สแกนต่าง Cost</v>
      </c>
    </row>
    <row r="2168" spans="2:26" x14ac:dyDescent="0.45">
      <c r="B2168" t="s">
        <v>53</v>
      </c>
      <c r="C2168">
        <v>20280718</v>
      </c>
      <c r="D2168" t="s">
        <v>256</v>
      </c>
      <c r="E2168" s="10">
        <v>46119.666666666664</v>
      </c>
      <c r="F2168" s="10">
        <v>46119.6875</v>
      </c>
      <c r="G2168">
        <v>0.5</v>
      </c>
      <c r="H2168" s="9">
        <f t="shared" si="99"/>
        <v>3.0000000000000001E-3</v>
      </c>
      <c r="J2168">
        <v>3.0000000000000001E-3</v>
      </c>
      <c r="M2168" t="s">
        <v>77</v>
      </c>
      <c r="N2168" t="s">
        <v>40</v>
      </c>
      <c r="O2168" t="s">
        <v>78</v>
      </c>
      <c r="P2168" t="s">
        <v>30</v>
      </c>
      <c r="Q2168" t="s">
        <v>31</v>
      </c>
      <c r="R2168">
        <v>82640</v>
      </c>
      <c r="S2168" t="s">
        <v>42</v>
      </c>
      <c r="T2168">
        <v>82612</v>
      </c>
      <c r="U2168" t="s">
        <v>153</v>
      </c>
      <c r="V2168" t="s">
        <v>66</v>
      </c>
      <c r="W2168" t="s">
        <v>44</v>
      </c>
      <c r="X2168" t="s">
        <v>44</v>
      </c>
      <c r="Y2168" s="9">
        <f t="shared" si="100"/>
        <v>3.0000000000000001E-3</v>
      </c>
      <c r="Z2168" t="str">
        <f t="shared" si="101"/>
        <v>สแกนต่าง Cost</v>
      </c>
    </row>
    <row r="2169" spans="2:26" x14ac:dyDescent="0.45">
      <c r="B2169" t="s">
        <v>53</v>
      </c>
      <c r="C2169">
        <v>20310530</v>
      </c>
      <c r="D2169" t="s">
        <v>220</v>
      </c>
      <c r="E2169" s="10">
        <v>46119.666666666664</v>
      </c>
      <c r="F2169" s="10">
        <v>46119.6875</v>
      </c>
      <c r="G2169">
        <v>0.5</v>
      </c>
      <c r="H2169" s="9">
        <f t="shared" si="99"/>
        <v>3.0000000000000001E-3</v>
      </c>
      <c r="I2169">
        <v>3.0000000000000001E-3</v>
      </c>
      <c r="M2169" t="s">
        <v>65</v>
      </c>
      <c r="N2169" t="s">
        <v>29</v>
      </c>
      <c r="P2169" t="s">
        <v>30</v>
      </c>
      <c r="Q2169" t="s">
        <v>31</v>
      </c>
      <c r="R2169">
        <v>82640</v>
      </c>
      <c r="S2169" t="s">
        <v>42</v>
      </c>
      <c r="T2169">
        <v>82611</v>
      </c>
      <c r="U2169" t="s">
        <v>43</v>
      </c>
      <c r="V2169" t="s">
        <v>66</v>
      </c>
      <c r="W2169" t="s">
        <v>44</v>
      </c>
      <c r="X2169" t="s">
        <v>44</v>
      </c>
      <c r="Y2169" s="9">
        <f t="shared" si="100"/>
        <v>0</v>
      </c>
      <c r="Z2169" t="str">
        <f t="shared" si="101"/>
        <v>สแกนต่าง Cost</v>
      </c>
    </row>
    <row r="2170" spans="2:26" x14ac:dyDescent="0.45">
      <c r="B2170" t="s">
        <v>53</v>
      </c>
      <c r="C2170">
        <v>20310532</v>
      </c>
      <c r="D2170" t="s">
        <v>61</v>
      </c>
      <c r="E2170" s="10">
        <v>46119.666666666664</v>
      </c>
      <c r="F2170" s="10">
        <v>46119.708333333336</v>
      </c>
      <c r="G2170">
        <v>1</v>
      </c>
      <c r="H2170" s="9">
        <f t="shared" si="99"/>
        <v>5.0000000000000001E-3</v>
      </c>
      <c r="I2170">
        <v>5.0000000000000001E-3</v>
      </c>
      <c r="M2170" t="s">
        <v>65</v>
      </c>
      <c r="N2170" t="s">
        <v>29</v>
      </c>
      <c r="P2170" t="s">
        <v>30</v>
      </c>
      <c r="Q2170" t="s">
        <v>31</v>
      </c>
      <c r="R2170">
        <v>82640</v>
      </c>
      <c r="S2170" t="s">
        <v>42</v>
      </c>
      <c r="T2170">
        <v>82612</v>
      </c>
      <c r="U2170" t="s">
        <v>153</v>
      </c>
      <c r="V2170" t="s">
        <v>66</v>
      </c>
      <c r="W2170" t="s">
        <v>44</v>
      </c>
      <c r="X2170" t="s">
        <v>44</v>
      </c>
      <c r="Y2170" s="9">
        <f t="shared" si="100"/>
        <v>0</v>
      </c>
      <c r="Z2170" t="str">
        <f t="shared" si="101"/>
        <v>สแกนต่าง Cost</v>
      </c>
    </row>
    <row r="2171" spans="2:26" x14ac:dyDescent="0.45">
      <c r="B2171" t="s">
        <v>53</v>
      </c>
      <c r="C2171">
        <v>20332134</v>
      </c>
      <c r="D2171" t="s">
        <v>156</v>
      </c>
      <c r="E2171" s="10">
        <v>46119.666666666664</v>
      </c>
      <c r="F2171" s="10">
        <v>46119.708333333336</v>
      </c>
      <c r="G2171">
        <v>1</v>
      </c>
      <c r="H2171" s="9">
        <f t="shared" si="99"/>
        <v>5.0000000000000001E-3</v>
      </c>
      <c r="I2171">
        <v>5.0000000000000001E-3</v>
      </c>
      <c r="M2171" t="s">
        <v>65</v>
      </c>
      <c r="N2171" t="s">
        <v>29</v>
      </c>
      <c r="P2171" t="s">
        <v>30</v>
      </c>
      <c r="Q2171" t="s">
        <v>31</v>
      </c>
      <c r="R2171">
        <v>82640</v>
      </c>
      <c r="S2171" t="s">
        <v>42</v>
      </c>
      <c r="T2171">
        <v>82612</v>
      </c>
      <c r="U2171" t="s">
        <v>153</v>
      </c>
      <c r="V2171" t="s">
        <v>66</v>
      </c>
      <c r="W2171" t="s">
        <v>44</v>
      </c>
      <c r="X2171" t="s">
        <v>44</v>
      </c>
      <c r="Y2171" s="9">
        <f t="shared" si="100"/>
        <v>0</v>
      </c>
      <c r="Z2171" t="str">
        <f t="shared" si="101"/>
        <v>สแกนต่าง Cost</v>
      </c>
    </row>
    <row r="2172" spans="2:26" x14ac:dyDescent="0.45">
      <c r="B2172" t="s">
        <v>53</v>
      </c>
      <c r="C2172">
        <v>20244923</v>
      </c>
      <c r="D2172" t="s">
        <v>246</v>
      </c>
      <c r="E2172" s="10">
        <v>46119.645833333336</v>
      </c>
      <c r="F2172" s="10">
        <v>46119.666666666664</v>
      </c>
      <c r="G2172">
        <v>0.5</v>
      </c>
      <c r="H2172" s="9">
        <f t="shared" si="99"/>
        <v>3.0000000000000001E-3</v>
      </c>
      <c r="I2172">
        <v>3.0000000000000001E-3</v>
      </c>
      <c r="M2172" t="s">
        <v>65</v>
      </c>
      <c r="N2172" t="s">
        <v>29</v>
      </c>
      <c r="P2172" t="s">
        <v>30</v>
      </c>
      <c r="Q2172" t="s">
        <v>31</v>
      </c>
      <c r="R2172">
        <v>82640</v>
      </c>
      <c r="S2172" t="s">
        <v>42</v>
      </c>
      <c r="T2172">
        <v>82630</v>
      </c>
      <c r="U2172" t="s">
        <v>32</v>
      </c>
      <c r="V2172" t="s">
        <v>66</v>
      </c>
      <c r="W2172" t="s">
        <v>44</v>
      </c>
      <c r="X2172" t="s">
        <v>44</v>
      </c>
      <c r="Y2172" s="9">
        <f t="shared" si="100"/>
        <v>0</v>
      </c>
      <c r="Z2172" t="str">
        <f t="shared" si="101"/>
        <v>สแกนต่าง Cost</v>
      </c>
    </row>
    <row r="2173" spans="2:26" x14ac:dyDescent="0.45">
      <c r="B2173" t="s">
        <v>53</v>
      </c>
      <c r="C2173">
        <v>20026534</v>
      </c>
      <c r="D2173" t="s">
        <v>279</v>
      </c>
      <c r="E2173" s="10">
        <v>46119.625</v>
      </c>
      <c r="F2173" s="10">
        <v>46119.729166666664</v>
      </c>
      <c r="G2173">
        <v>2.5</v>
      </c>
      <c r="H2173" s="9">
        <f t="shared" si="99"/>
        <v>1.2999999999999999E-2</v>
      </c>
      <c r="J2173">
        <v>1.2999999999999999E-2</v>
      </c>
      <c r="M2173" t="s">
        <v>77</v>
      </c>
      <c r="N2173" t="s">
        <v>40</v>
      </c>
      <c r="O2173" t="s">
        <v>78</v>
      </c>
      <c r="P2173" t="s">
        <v>30</v>
      </c>
      <c r="Q2173" t="s">
        <v>31</v>
      </c>
      <c r="R2173">
        <v>82640</v>
      </c>
      <c r="S2173" t="s">
        <v>42</v>
      </c>
      <c r="T2173">
        <v>82611</v>
      </c>
      <c r="U2173" t="s">
        <v>43</v>
      </c>
      <c r="V2173" t="s">
        <v>66</v>
      </c>
      <c r="W2173" t="s">
        <v>44</v>
      </c>
      <c r="X2173" t="s">
        <v>44</v>
      </c>
      <c r="Y2173" s="9">
        <f t="shared" si="100"/>
        <v>1.2999999999999999E-2</v>
      </c>
      <c r="Z2173" t="str">
        <f t="shared" si="101"/>
        <v>สแกนต่าง Cost</v>
      </c>
    </row>
    <row r="2174" spans="2:26" x14ac:dyDescent="0.45">
      <c r="B2174" t="s">
        <v>53</v>
      </c>
      <c r="C2174">
        <v>20027956</v>
      </c>
      <c r="D2174" t="s">
        <v>214</v>
      </c>
      <c r="E2174" s="10">
        <v>46119.625</v>
      </c>
      <c r="F2174" s="10">
        <v>46119.729166666664</v>
      </c>
      <c r="G2174">
        <v>2.5</v>
      </c>
      <c r="H2174" s="9">
        <f t="shared" si="99"/>
        <v>1.2999999999999999E-2</v>
      </c>
      <c r="I2174">
        <v>1.2999999999999999E-2</v>
      </c>
      <c r="M2174" t="s">
        <v>65</v>
      </c>
      <c r="N2174" t="s">
        <v>29</v>
      </c>
      <c r="P2174" t="s">
        <v>30</v>
      </c>
      <c r="Q2174" t="s">
        <v>31</v>
      </c>
      <c r="R2174">
        <v>82640</v>
      </c>
      <c r="S2174" t="s">
        <v>42</v>
      </c>
      <c r="T2174">
        <v>82611</v>
      </c>
      <c r="U2174" t="s">
        <v>43</v>
      </c>
      <c r="V2174" t="s">
        <v>66</v>
      </c>
      <c r="W2174" t="s">
        <v>44</v>
      </c>
      <c r="X2174" t="s">
        <v>44</v>
      </c>
      <c r="Y2174" s="9">
        <f t="shared" si="100"/>
        <v>0</v>
      </c>
      <c r="Z2174" t="str">
        <f t="shared" si="101"/>
        <v>สแกนต่าง Cost</v>
      </c>
    </row>
    <row r="2175" spans="2:26" x14ac:dyDescent="0.45">
      <c r="B2175" t="s">
        <v>53</v>
      </c>
      <c r="C2175">
        <v>20244923</v>
      </c>
      <c r="D2175" t="s">
        <v>246</v>
      </c>
      <c r="E2175" s="10">
        <v>46119.625</v>
      </c>
      <c r="F2175" s="10">
        <v>46119.645833333336</v>
      </c>
      <c r="G2175">
        <v>0.5</v>
      </c>
      <c r="H2175" s="9">
        <f t="shared" si="99"/>
        <v>3.0000000000000001E-3</v>
      </c>
      <c r="I2175">
        <v>3.0000000000000001E-3</v>
      </c>
      <c r="M2175" t="s">
        <v>65</v>
      </c>
      <c r="N2175" t="s">
        <v>29</v>
      </c>
      <c r="P2175" t="s">
        <v>30</v>
      </c>
      <c r="Q2175" t="s">
        <v>31</v>
      </c>
      <c r="R2175">
        <v>82640</v>
      </c>
      <c r="S2175" t="s">
        <v>42</v>
      </c>
      <c r="T2175">
        <v>82612</v>
      </c>
      <c r="U2175" t="s">
        <v>153</v>
      </c>
      <c r="V2175" t="s">
        <v>66</v>
      </c>
      <c r="W2175" t="s">
        <v>44</v>
      </c>
      <c r="X2175" t="s">
        <v>44</v>
      </c>
      <c r="Y2175" s="9">
        <f t="shared" si="100"/>
        <v>0</v>
      </c>
      <c r="Z2175" t="str">
        <f t="shared" si="101"/>
        <v>สแกนต่าง Cost</v>
      </c>
    </row>
    <row r="2176" spans="2:26" x14ac:dyDescent="0.45">
      <c r="B2176" t="s">
        <v>53</v>
      </c>
      <c r="C2176">
        <v>20310530</v>
      </c>
      <c r="D2176" t="s">
        <v>220</v>
      </c>
      <c r="E2176" s="10">
        <v>46119.625</v>
      </c>
      <c r="F2176" s="10">
        <v>46119.666666666664</v>
      </c>
      <c r="G2176">
        <v>1</v>
      </c>
      <c r="H2176" s="9">
        <f t="shared" si="99"/>
        <v>5.0000000000000001E-3</v>
      </c>
      <c r="I2176">
        <v>5.0000000000000001E-3</v>
      </c>
      <c r="M2176" t="s">
        <v>65</v>
      </c>
      <c r="N2176" t="s">
        <v>29</v>
      </c>
      <c r="P2176" t="s">
        <v>30</v>
      </c>
      <c r="Q2176" t="s">
        <v>31</v>
      </c>
      <c r="R2176">
        <v>82640</v>
      </c>
      <c r="S2176" t="s">
        <v>42</v>
      </c>
      <c r="T2176">
        <v>82612</v>
      </c>
      <c r="U2176" t="s">
        <v>153</v>
      </c>
      <c r="V2176" t="s">
        <v>66</v>
      </c>
      <c r="W2176" t="s">
        <v>44</v>
      </c>
      <c r="X2176" t="s">
        <v>44</v>
      </c>
      <c r="Y2176" s="9">
        <f t="shared" si="100"/>
        <v>0</v>
      </c>
      <c r="Z2176" t="str">
        <f t="shared" si="101"/>
        <v>สแกนต่าง Cost</v>
      </c>
    </row>
    <row r="2177" spans="2:26" x14ac:dyDescent="0.45">
      <c r="B2177" t="s">
        <v>53</v>
      </c>
      <c r="C2177">
        <v>20310532</v>
      </c>
      <c r="D2177" t="s">
        <v>61</v>
      </c>
      <c r="E2177" s="10">
        <v>46119.625</v>
      </c>
      <c r="F2177" s="10">
        <v>46119.666666666664</v>
      </c>
      <c r="G2177">
        <v>1</v>
      </c>
      <c r="H2177" s="9">
        <f t="shared" si="99"/>
        <v>5.0000000000000001E-3</v>
      </c>
      <c r="I2177">
        <v>5.0000000000000001E-3</v>
      </c>
      <c r="M2177" t="s">
        <v>65</v>
      </c>
      <c r="N2177" t="s">
        <v>29</v>
      </c>
      <c r="P2177" t="s">
        <v>30</v>
      </c>
      <c r="Q2177" t="s">
        <v>31</v>
      </c>
      <c r="R2177">
        <v>82640</v>
      </c>
      <c r="S2177" t="s">
        <v>42</v>
      </c>
      <c r="T2177">
        <v>82630</v>
      </c>
      <c r="U2177" t="s">
        <v>32</v>
      </c>
      <c r="V2177" t="s">
        <v>66</v>
      </c>
      <c r="W2177" t="s">
        <v>44</v>
      </c>
      <c r="X2177" t="s">
        <v>44</v>
      </c>
      <c r="Y2177" s="9">
        <f t="shared" si="100"/>
        <v>0</v>
      </c>
      <c r="Z2177" t="str">
        <f t="shared" si="101"/>
        <v>สแกนต่าง Cost</v>
      </c>
    </row>
    <row r="2178" spans="2:26" x14ac:dyDescent="0.45">
      <c r="B2178" t="s">
        <v>53</v>
      </c>
      <c r="C2178">
        <v>20332134</v>
      </c>
      <c r="D2178" t="s">
        <v>156</v>
      </c>
      <c r="E2178" s="10">
        <v>46119.625</v>
      </c>
      <c r="F2178" s="10">
        <v>46119.666666666664</v>
      </c>
      <c r="G2178">
        <v>1</v>
      </c>
      <c r="H2178" s="9">
        <f t="shared" si="99"/>
        <v>5.0000000000000001E-3</v>
      </c>
      <c r="I2178">
        <v>5.0000000000000001E-3</v>
      </c>
      <c r="M2178" t="s">
        <v>65</v>
      </c>
      <c r="N2178" t="s">
        <v>29</v>
      </c>
      <c r="P2178" t="s">
        <v>30</v>
      </c>
      <c r="Q2178" t="s">
        <v>31</v>
      </c>
      <c r="R2178">
        <v>82640</v>
      </c>
      <c r="S2178" t="s">
        <v>42</v>
      </c>
      <c r="T2178">
        <v>82630</v>
      </c>
      <c r="U2178" t="s">
        <v>32</v>
      </c>
      <c r="V2178" t="s">
        <v>66</v>
      </c>
      <c r="W2178" t="s">
        <v>44</v>
      </c>
      <c r="X2178" t="s">
        <v>44</v>
      </c>
      <c r="Y2178" s="9">
        <f t="shared" si="100"/>
        <v>0</v>
      </c>
      <c r="Z2178" t="str">
        <f t="shared" si="101"/>
        <v>สแกนต่าง Cost</v>
      </c>
    </row>
    <row r="2179" spans="2:26" x14ac:dyDescent="0.45">
      <c r="B2179" t="s">
        <v>53</v>
      </c>
      <c r="C2179">
        <v>20368087</v>
      </c>
      <c r="D2179" t="s">
        <v>260</v>
      </c>
      <c r="E2179" s="10">
        <v>46119.625</v>
      </c>
      <c r="F2179" s="10">
        <v>46119.6875</v>
      </c>
      <c r="G2179">
        <v>1.5</v>
      </c>
      <c r="H2179" s="9">
        <f t="shared" ref="H2179:H2242" si="102">SUM(I2179:L2179)</f>
        <v>8.0000000000000002E-3</v>
      </c>
      <c r="J2179">
        <v>8.0000000000000002E-3</v>
      </c>
      <c r="M2179" t="s">
        <v>77</v>
      </c>
      <c r="N2179" t="s">
        <v>40</v>
      </c>
      <c r="O2179" t="s">
        <v>365</v>
      </c>
      <c r="P2179" t="s">
        <v>30</v>
      </c>
      <c r="Q2179" t="s">
        <v>31</v>
      </c>
      <c r="R2179">
        <v>82640</v>
      </c>
      <c r="S2179" t="s">
        <v>42</v>
      </c>
      <c r="T2179">
        <v>82630</v>
      </c>
      <c r="U2179" t="s">
        <v>32</v>
      </c>
      <c r="V2179" t="s">
        <v>66</v>
      </c>
      <c r="W2179" t="s">
        <v>44</v>
      </c>
      <c r="X2179" t="s">
        <v>44</v>
      </c>
      <c r="Y2179" s="9">
        <f t="shared" ref="Y2179:Y2242" si="103">SUM(J2179:L2179)</f>
        <v>8.0000000000000002E-3</v>
      </c>
      <c r="Z2179" t="str">
        <f t="shared" ref="Z2179:Z2242" si="104">IF(R2179=T2179,"สแกน Cost ตัวเอง","สแกนต่าง Cost")</f>
        <v>สแกนต่าง Cost</v>
      </c>
    </row>
    <row r="2180" spans="2:26" x14ac:dyDescent="0.45">
      <c r="B2180" t="s">
        <v>53</v>
      </c>
      <c r="C2180">
        <v>20022740</v>
      </c>
      <c r="D2180" t="s">
        <v>259</v>
      </c>
      <c r="E2180" s="10">
        <v>46119.604166666664</v>
      </c>
      <c r="F2180" s="10">
        <v>46119.6875</v>
      </c>
      <c r="G2180">
        <v>2</v>
      </c>
      <c r="H2180" s="9">
        <f t="shared" si="102"/>
        <v>1.0999999999999999E-2</v>
      </c>
      <c r="I2180">
        <v>1.0999999999999999E-2</v>
      </c>
      <c r="M2180" t="s">
        <v>65</v>
      </c>
      <c r="N2180" t="s">
        <v>29</v>
      </c>
      <c r="P2180" t="s">
        <v>30</v>
      </c>
      <c r="Q2180" t="s">
        <v>31</v>
      </c>
      <c r="R2180">
        <v>82640</v>
      </c>
      <c r="S2180" t="s">
        <v>42</v>
      </c>
      <c r="T2180">
        <v>82611</v>
      </c>
      <c r="U2180" t="s">
        <v>43</v>
      </c>
      <c r="V2180" t="s">
        <v>66</v>
      </c>
      <c r="W2180" t="s">
        <v>44</v>
      </c>
      <c r="X2180" t="s">
        <v>44</v>
      </c>
      <c r="Y2180" s="9">
        <f t="shared" si="103"/>
        <v>0</v>
      </c>
      <c r="Z2180" t="str">
        <f t="shared" si="104"/>
        <v>สแกนต่าง Cost</v>
      </c>
    </row>
    <row r="2181" spans="2:26" x14ac:dyDescent="0.45">
      <c r="B2181" t="s">
        <v>53</v>
      </c>
      <c r="C2181">
        <v>20198839</v>
      </c>
      <c r="D2181" t="s">
        <v>258</v>
      </c>
      <c r="E2181" s="10">
        <v>46119.604166666664</v>
      </c>
      <c r="F2181" s="10">
        <v>46119.6875</v>
      </c>
      <c r="G2181">
        <v>2</v>
      </c>
      <c r="H2181" s="9">
        <f t="shared" si="102"/>
        <v>1.0999999999999999E-2</v>
      </c>
      <c r="I2181">
        <v>1.0999999999999999E-2</v>
      </c>
      <c r="M2181" t="s">
        <v>65</v>
      </c>
      <c r="N2181" t="s">
        <v>29</v>
      </c>
      <c r="P2181" t="s">
        <v>30</v>
      </c>
      <c r="Q2181" t="s">
        <v>31</v>
      </c>
      <c r="R2181">
        <v>82640</v>
      </c>
      <c r="S2181" t="s">
        <v>42</v>
      </c>
      <c r="T2181">
        <v>82611</v>
      </c>
      <c r="U2181" t="s">
        <v>43</v>
      </c>
      <c r="V2181" t="s">
        <v>66</v>
      </c>
      <c r="W2181" t="s">
        <v>44</v>
      </c>
      <c r="X2181" t="s">
        <v>44</v>
      </c>
      <c r="Y2181" s="9">
        <f t="shared" si="103"/>
        <v>0</v>
      </c>
      <c r="Z2181" t="str">
        <f t="shared" si="104"/>
        <v>สแกนต่าง Cost</v>
      </c>
    </row>
    <row r="2182" spans="2:26" x14ac:dyDescent="0.45">
      <c r="B2182" t="s">
        <v>53</v>
      </c>
      <c r="C2182">
        <v>20310530</v>
      </c>
      <c r="D2182" t="s">
        <v>220</v>
      </c>
      <c r="E2182" s="10">
        <v>46119.604166666664</v>
      </c>
      <c r="F2182" s="10">
        <v>46119.625</v>
      </c>
      <c r="G2182">
        <v>0.5</v>
      </c>
      <c r="H2182" s="9">
        <f t="shared" si="102"/>
        <v>3.0000000000000001E-3</v>
      </c>
      <c r="I2182">
        <v>3.0000000000000001E-3</v>
      </c>
      <c r="M2182" t="s">
        <v>65</v>
      </c>
      <c r="N2182" t="s">
        <v>29</v>
      </c>
      <c r="P2182" t="s">
        <v>30</v>
      </c>
      <c r="Q2182" t="s">
        <v>31</v>
      </c>
      <c r="R2182">
        <v>82640</v>
      </c>
      <c r="S2182" t="s">
        <v>42</v>
      </c>
      <c r="T2182">
        <v>82611</v>
      </c>
      <c r="U2182" t="s">
        <v>43</v>
      </c>
      <c r="V2182" t="s">
        <v>66</v>
      </c>
      <c r="W2182" t="s">
        <v>44</v>
      </c>
      <c r="X2182" t="s">
        <v>44</v>
      </c>
      <c r="Y2182" s="9">
        <f t="shared" si="103"/>
        <v>0</v>
      </c>
      <c r="Z2182" t="str">
        <f t="shared" si="104"/>
        <v>สแกนต่าง Cost</v>
      </c>
    </row>
    <row r="2183" spans="2:26" x14ac:dyDescent="0.45">
      <c r="B2183" t="s">
        <v>53</v>
      </c>
      <c r="C2183">
        <v>20310530</v>
      </c>
      <c r="D2183" t="s">
        <v>220</v>
      </c>
      <c r="E2183" s="10">
        <v>46119.583333333336</v>
      </c>
      <c r="F2183" s="10">
        <v>46119.604166666664</v>
      </c>
      <c r="G2183">
        <v>0.5</v>
      </c>
      <c r="H2183" s="9">
        <f t="shared" si="102"/>
        <v>3.0000000000000001E-3</v>
      </c>
      <c r="I2183">
        <v>3.0000000000000001E-3</v>
      </c>
      <c r="M2183" t="s">
        <v>65</v>
      </c>
      <c r="N2183" t="s">
        <v>29</v>
      </c>
      <c r="P2183" t="s">
        <v>30</v>
      </c>
      <c r="Q2183" t="s">
        <v>31</v>
      </c>
      <c r="R2183">
        <v>82640</v>
      </c>
      <c r="S2183" t="s">
        <v>42</v>
      </c>
      <c r="T2183">
        <v>82622</v>
      </c>
      <c r="U2183" t="s">
        <v>147</v>
      </c>
      <c r="V2183" t="s">
        <v>66</v>
      </c>
      <c r="W2183" t="s">
        <v>44</v>
      </c>
      <c r="X2183" t="s">
        <v>44</v>
      </c>
      <c r="Y2183" s="9">
        <f t="shared" si="103"/>
        <v>0</v>
      </c>
      <c r="Z2183" t="str">
        <f t="shared" si="104"/>
        <v>สแกนต่าง Cost</v>
      </c>
    </row>
    <row r="2184" spans="2:26" x14ac:dyDescent="0.45">
      <c r="B2184" t="s">
        <v>53</v>
      </c>
      <c r="C2184">
        <v>20310532</v>
      </c>
      <c r="D2184" t="s">
        <v>61</v>
      </c>
      <c r="E2184" s="10">
        <v>46119.583333333336</v>
      </c>
      <c r="F2184" s="10">
        <v>46119.625</v>
      </c>
      <c r="G2184">
        <v>1</v>
      </c>
      <c r="H2184" s="9">
        <f t="shared" si="102"/>
        <v>5.0000000000000001E-3</v>
      </c>
      <c r="I2184">
        <v>5.0000000000000001E-3</v>
      </c>
      <c r="M2184" t="s">
        <v>65</v>
      </c>
      <c r="N2184" t="s">
        <v>29</v>
      </c>
      <c r="P2184" t="s">
        <v>30</v>
      </c>
      <c r="Q2184" t="s">
        <v>31</v>
      </c>
      <c r="R2184">
        <v>82640</v>
      </c>
      <c r="S2184" t="s">
        <v>42</v>
      </c>
      <c r="T2184">
        <v>82612</v>
      </c>
      <c r="U2184" t="s">
        <v>153</v>
      </c>
      <c r="V2184" t="s">
        <v>66</v>
      </c>
      <c r="W2184" t="s">
        <v>44</v>
      </c>
      <c r="X2184" t="s">
        <v>44</v>
      </c>
      <c r="Y2184" s="9">
        <f t="shared" si="103"/>
        <v>0</v>
      </c>
      <c r="Z2184" t="str">
        <f t="shared" si="104"/>
        <v>สแกนต่าง Cost</v>
      </c>
    </row>
    <row r="2185" spans="2:26" x14ac:dyDescent="0.45">
      <c r="B2185" t="s">
        <v>53</v>
      </c>
      <c r="C2185">
        <v>20332134</v>
      </c>
      <c r="D2185" t="s">
        <v>156</v>
      </c>
      <c r="E2185" s="10">
        <v>46119.583333333336</v>
      </c>
      <c r="F2185" s="10">
        <v>46119.625</v>
      </c>
      <c r="G2185">
        <v>1</v>
      </c>
      <c r="H2185" s="9">
        <f t="shared" si="102"/>
        <v>5.0000000000000001E-3</v>
      </c>
      <c r="I2185">
        <v>5.0000000000000001E-3</v>
      </c>
      <c r="M2185" t="s">
        <v>65</v>
      </c>
      <c r="N2185" t="s">
        <v>29</v>
      </c>
      <c r="P2185" t="s">
        <v>30</v>
      </c>
      <c r="Q2185" t="s">
        <v>31</v>
      </c>
      <c r="R2185">
        <v>82640</v>
      </c>
      <c r="S2185" t="s">
        <v>42</v>
      </c>
      <c r="T2185">
        <v>82611</v>
      </c>
      <c r="U2185" t="s">
        <v>43</v>
      </c>
      <c r="V2185" t="s">
        <v>66</v>
      </c>
      <c r="W2185" t="s">
        <v>44</v>
      </c>
      <c r="X2185" t="s">
        <v>44</v>
      </c>
      <c r="Y2185" s="9">
        <f t="shared" si="103"/>
        <v>0</v>
      </c>
      <c r="Z2185" t="str">
        <f t="shared" si="104"/>
        <v>สแกนต่าง Cost</v>
      </c>
    </row>
    <row r="2186" spans="2:26" x14ac:dyDescent="0.45">
      <c r="B2186" t="s">
        <v>53</v>
      </c>
      <c r="C2186">
        <v>20018899</v>
      </c>
      <c r="D2186" t="s">
        <v>64</v>
      </c>
      <c r="E2186" s="10">
        <v>46119.541666666664</v>
      </c>
      <c r="F2186" s="10">
        <v>46119.729166666664</v>
      </c>
      <c r="G2186">
        <v>4.5</v>
      </c>
      <c r="H2186" s="9">
        <f t="shared" si="102"/>
        <v>2.4E-2</v>
      </c>
      <c r="I2186">
        <v>2.4E-2</v>
      </c>
      <c r="M2186" t="s">
        <v>65</v>
      </c>
      <c r="N2186" t="s">
        <v>29</v>
      </c>
      <c r="P2186" t="s">
        <v>30</v>
      </c>
      <c r="Q2186" t="s">
        <v>31</v>
      </c>
      <c r="R2186">
        <v>82640</v>
      </c>
      <c r="S2186" t="s">
        <v>42</v>
      </c>
      <c r="T2186">
        <v>82652</v>
      </c>
      <c r="U2186" t="s">
        <v>46</v>
      </c>
      <c r="V2186" t="s">
        <v>66</v>
      </c>
      <c r="W2186" t="s">
        <v>37</v>
      </c>
      <c r="X2186" t="s">
        <v>34</v>
      </c>
      <c r="Y2186" s="9">
        <f t="shared" si="103"/>
        <v>0</v>
      </c>
      <c r="Z2186" t="str">
        <f t="shared" si="104"/>
        <v>สแกนต่าง Cost</v>
      </c>
    </row>
    <row r="2187" spans="2:26" x14ac:dyDescent="0.45">
      <c r="B2187" t="s">
        <v>53</v>
      </c>
      <c r="C2187">
        <v>20026534</v>
      </c>
      <c r="D2187" t="s">
        <v>279</v>
      </c>
      <c r="E2187" s="10">
        <v>46119.541666666664</v>
      </c>
      <c r="F2187" s="10">
        <v>46119.625</v>
      </c>
      <c r="G2187">
        <v>2</v>
      </c>
      <c r="H2187" s="9">
        <f t="shared" si="102"/>
        <v>1.0999999999999999E-2</v>
      </c>
      <c r="J2187">
        <v>1.0999999999999999E-2</v>
      </c>
      <c r="M2187" t="s">
        <v>77</v>
      </c>
      <c r="N2187" t="s">
        <v>40</v>
      </c>
      <c r="O2187" t="s">
        <v>78</v>
      </c>
      <c r="P2187" t="s">
        <v>30</v>
      </c>
      <c r="Q2187" t="s">
        <v>31</v>
      </c>
      <c r="R2187">
        <v>82640</v>
      </c>
      <c r="S2187" t="s">
        <v>42</v>
      </c>
      <c r="T2187">
        <v>82630</v>
      </c>
      <c r="U2187" t="s">
        <v>32</v>
      </c>
      <c r="V2187" t="s">
        <v>66</v>
      </c>
      <c r="W2187" t="s">
        <v>44</v>
      </c>
      <c r="X2187" t="s">
        <v>44</v>
      </c>
      <c r="Y2187" s="9">
        <f t="shared" si="103"/>
        <v>1.0999999999999999E-2</v>
      </c>
      <c r="Z2187" t="str">
        <f t="shared" si="104"/>
        <v>สแกนต่าง Cost</v>
      </c>
    </row>
    <row r="2188" spans="2:26" x14ac:dyDescent="0.45">
      <c r="B2188" t="s">
        <v>53</v>
      </c>
      <c r="C2188">
        <v>20060579</v>
      </c>
      <c r="D2188" t="s">
        <v>39</v>
      </c>
      <c r="E2188" s="10">
        <v>46119.541666666664</v>
      </c>
      <c r="F2188" s="10">
        <v>46119.708333333336</v>
      </c>
      <c r="G2188">
        <v>4</v>
      </c>
      <c r="H2188" s="9">
        <f t="shared" si="102"/>
        <v>2.1000000000000001E-2</v>
      </c>
      <c r="J2188">
        <v>2.1000000000000001E-2</v>
      </c>
      <c r="M2188" t="s">
        <v>77</v>
      </c>
      <c r="N2188" t="s">
        <v>40</v>
      </c>
      <c r="O2188" t="s">
        <v>366</v>
      </c>
      <c r="P2188" t="s">
        <v>30</v>
      </c>
      <c r="Q2188" t="s">
        <v>31</v>
      </c>
      <c r="R2188">
        <v>82640</v>
      </c>
      <c r="S2188" t="s">
        <v>42</v>
      </c>
      <c r="T2188">
        <v>82611</v>
      </c>
      <c r="U2188" t="s">
        <v>43</v>
      </c>
      <c r="V2188" t="s">
        <v>66</v>
      </c>
      <c r="W2188" t="s">
        <v>44</v>
      </c>
      <c r="X2188" t="s">
        <v>44</v>
      </c>
      <c r="Y2188" s="9">
        <f t="shared" si="103"/>
        <v>2.1000000000000001E-2</v>
      </c>
      <c r="Z2188" t="str">
        <f t="shared" si="104"/>
        <v>สแกนต่าง Cost</v>
      </c>
    </row>
    <row r="2189" spans="2:26" x14ac:dyDescent="0.45">
      <c r="B2189" t="s">
        <v>53</v>
      </c>
      <c r="C2189">
        <v>20167851</v>
      </c>
      <c r="D2189" t="s">
        <v>63</v>
      </c>
      <c r="E2189" s="10">
        <v>46119.541666666664</v>
      </c>
      <c r="F2189" s="10">
        <v>46119.729166666664</v>
      </c>
      <c r="G2189">
        <v>4.5</v>
      </c>
      <c r="H2189" s="9">
        <f t="shared" si="102"/>
        <v>2.4E-2</v>
      </c>
      <c r="I2189">
        <v>2.4E-2</v>
      </c>
      <c r="M2189" t="s">
        <v>65</v>
      </c>
      <c r="N2189" t="s">
        <v>29</v>
      </c>
      <c r="P2189" t="s">
        <v>30</v>
      </c>
      <c r="Q2189" t="s">
        <v>31</v>
      </c>
      <c r="R2189">
        <v>82640</v>
      </c>
      <c r="S2189" t="s">
        <v>42</v>
      </c>
      <c r="T2189">
        <v>82611</v>
      </c>
      <c r="U2189" t="s">
        <v>43</v>
      </c>
      <c r="V2189" t="s">
        <v>66</v>
      </c>
      <c r="W2189" t="s">
        <v>44</v>
      </c>
      <c r="X2189" t="s">
        <v>44</v>
      </c>
      <c r="Y2189" s="9">
        <f t="shared" si="103"/>
        <v>0</v>
      </c>
      <c r="Z2189" t="str">
        <f t="shared" si="104"/>
        <v>สแกนต่าง Cost</v>
      </c>
    </row>
    <row r="2190" spans="2:26" x14ac:dyDescent="0.45">
      <c r="B2190" t="s">
        <v>53</v>
      </c>
      <c r="C2190">
        <v>20198839</v>
      </c>
      <c r="D2190" t="s">
        <v>258</v>
      </c>
      <c r="E2190" s="10">
        <v>46119.541666666664</v>
      </c>
      <c r="F2190" s="10">
        <v>46119.5625</v>
      </c>
      <c r="G2190">
        <v>0.5</v>
      </c>
      <c r="H2190" s="9">
        <f t="shared" si="102"/>
        <v>3.0000000000000001E-3</v>
      </c>
      <c r="I2190">
        <v>3.0000000000000001E-3</v>
      </c>
      <c r="M2190" t="s">
        <v>65</v>
      </c>
      <c r="N2190" t="s">
        <v>29</v>
      </c>
      <c r="P2190" t="s">
        <v>30</v>
      </c>
      <c r="Q2190" t="s">
        <v>31</v>
      </c>
      <c r="R2190">
        <v>82640</v>
      </c>
      <c r="S2190" t="s">
        <v>42</v>
      </c>
      <c r="T2190">
        <v>82630</v>
      </c>
      <c r="U2190" t="s">
        <v>32</v>
      </c>
      <c r="V2190" t="s">
        <v>66</v>
      </c>
      <c r="W2190" t="s">
        <v>44</v>
      </c>
      <c r="X2190" t="s">
        <v>44</v>
      </c>
      <c r="Y2190" s="9">
        <f t="shared" si="103"/>
        <v>0</v>
      </c>
      <c r="Z2190" t="str">
        <f t="shared" si="104"/>
        <v>สแกนต่าง Cost</v>
      </c>
    </row>
    <row r="2191" spans="2:26" x14ac:dyDescent="0.45">
      <c r="B2191" t="s">
        <v>53</v>
      </c>
      <c r="C2191">
        <v>20220646</v>
      </c>
      <c r="D2191" t="s">
        <v>67</v>
      </c>
      <c r="E2191" s="10">
        <v>46119.541666666664</v>
      </c>
      <c r="F2191" s="10">
        <v>46119.729166666664</v>
      </c>
      <c r="G2191">
        <v>4.5</v>
      </c>
      <c r="H2191" s="9">
        <f t="shared" si="102"/>
        <v>2.4E-2</v>
      </c>
      <c r="I2191">
        <v>2.4E-2</v>
      </c>
      <c r="M2191" t="s">
        <v>65</v>
      </c>
      <c r="N2191" t="s">
        <v>29</v>
      </c>
      <c r="P2191" t="s">
        <v>30</v>
      </c>
      <c r="Q2191" t="s">
        <v>31</v>
      </c>
      <c r="R2191">
        <v>82640</v>
      </c>
      <c r="S2191" t="s">
        <v>42</v>
      </c>
      <c r="T2191">
        <v>82652</v>
      </c>
      <c r="U2191" t="s">
        <v>46</v>
      </c>
      <c r="V2191" t="s">
        <v>66</v>
      </c>
      <c r="W2191" t="s">
        <v>37</v>
      </c>
      <c r="X2191" t="s">
        <v>34</v>
      </c>
      <c r="Y2191" s="9">
        <f t="shared" si="103"/>
        <v>0</v>
      </c>
      <c r="Z2191" t="str">
        <f t="shared" si="104"/>
        <v>สแกนต่าง Cost</v>
      </c>
    </row>
    <row r="2192" spans="2:26" x14ac:dyDescent="0.45">
      <c r="B2192" t="s">
        <v>53</v>
      </c>
      <c r="C2192">
        <v>20244923</v>
      </c>
      <c r="D2192" t="s">
        <v>246</v>
      </c>
      <c r="E2192" s="10">
        <v>46119.541666666664</v>
      </c>
      <c r="F2192" s="10">
        <v>46119.625</v>
      </c>
      <c r="G2192">
        <v>2</v>
      </c>
      <c r="H2192" s="9">
        <f t="shared" si="102"/>
        <v>1.0999999999999999E-2</v>
      </c>
      <c r="I2192">
        <v>1.0999999999999999E-2</v>
      </c>
      <c r="M2192" t="s">
        <v>65</v>
      </c>
      <c r="N2192" t="s">
        <v>29</v>
      </c>
      <c r="P2192" t="s">
        <v>30</v>
      </c>
      <c r="Q2192" t="s">
        <v>31</v>
      </c>
      <c r="R2192">
        <v>82640</v>
      </c>
      <c r="S2192" t="s">
        <v>42</v>
      </c>
      <c r="T2192">
        <v>82630</v>
      </c>
      <c r="U2192" t="s">
        <v>32</v>
      </c>
      <c r="V2192" t="s">
        <v>66</v>
      </c>
      <c r="W2192" t="s">
        <v>44</v>
      </c>
      <c r="X2192" t="s">
        <v>44</v>
      </c>
      <c r="Y2192" s="9">
        <f t="shared" si="103"/>
        <v>0</v>
      </c>
      <c r="Z2192" t="str">
        <f t="shared" si="104"/>
        <v>สแกนต่าง Cost</v>
      </c>
    </row>
    <row r="2193" spans="1:26" x14ac:dyDescent="0.45">
      <c r="B2193" t="s">
        <v>53</v>
      </c>
      <c r="C2193">
        <v>20280718</v>
      </c>
      <c r="D2193" t="s">
        <v>256</v>
      </c>
      <c r="E2193" s="10">
        <v>46119.541666666664</v>
      </c>
      <c r="F2193" s="10">
        <v>46119.625</v>
      </c>
      <c r="G2193">
        <v>2</v>
      </c>
      <c r="H2193" s="9">
        <f t="shared" si="102"/>
        <v>1.0999999999999999E-2</v>
      </c>
      <c r="J2193">
        <v>1.0999999999999999E-2</v>
      </c>
      <c r="M2193" t="s">
        <v>77</v>
      </c>
      <c r="N2193" t="s">
        <v>40</v>
      </c>
      <c r="O2193" t="s">
        <v>78</v>
      </c>
      <c r="P2193" t="s">
        <v>30</v>
      </c>
      <c r="Q2193" t="s">
        <v>31</v>
      </c>
      <c r="R2193">
        <v>82640</v>
      </c>
      <c r="S2193" t="s">
        <v>42</v>
      </c>
      <c r="T2193">
        <v>82630</v>
      </c>
      <c r="U2193" t="s">
        <v>32</v>
      </c>
      <c r="V2193" t="s">
        <v>66</v>
      </c>
      <c r="W2193" t="s">
        <v>44</v>
      </c>
      <c r="X2193" t="s">
        <v>44</v>
      </c>
      <c r="Y2193" s="9">
        <f t="shared" si="103"/>
        <v>1.0999999999999999E-2</v>
      </c>
      <c r="Z2193" t="str">
        <f t="shared" si="104"/>
        <v>สแกนต่าง Cost</v>
      </c>
    </row>
    <row r="2194" spans="1:26" x14ac:dyDescent="0.45">
      <c r="B2194" t="s">
        <v>53</v>
      </c>
      <c r="C2194">
        <v>20280722</v>
      </c>
      <c r="D2194" t="s">
        <v>342</v>
      </c>
      <c r="E2194" s="10">
        <v>46119.541666666664</v>
      </c>
      <c r="F2194" s="10">
        <v>46119.729166666664</v>
      </c>
      <c r="G2194">
        <v>4.5</v>
      </c>
      <c r="H2194" s="9">
        <f t="shared" si="102"/>
        <v>2.4E-2</v>
      </c>
      <c r="I2194">
        <v>2.4E-2</v>
      </c>
      <c r="M2194" t="s">
        <v>65</v>
      </c>
      <c r="N2194" t="s">
        <v>29</v>
      </c>
      <c r="P2194" t="s">
        <v>30</v>
      </c>
      <c r="Q2194" t="s">
        <v>31</v>
      </c>
      <c r="R2194">
        <v>82640</v>
      </c>
      <c r="S2194" t="s">
        <v>42</v>
      </c>
      <c r="T2194">
        <v>82652</v>
      </c>
      <c r="U2194" t="s">
        <v>46</v>
      </c>
      <c r="V2194" t="s">
        <v>66</v>
      </c>
      <c r="W2194" t="s">
        <v>37</v>
      </c>
      <c r="X2194" t="s">
        <v>34</v>
      </c>
      <c r="Y2194" s="9">
        <f t="shared" si="103"/>
        <v>0</v>
      </c>
      <c r="Z2194" t="str">
        <f t="shared" si="104"/>
        <v>สแกนต่าง Cost</v>
      </c>
    </row>
    <row r="2195" spans="1:26" x14ac:dyDescent="0.45">
      <c r="B2195" t="s">
        <v>53</v>
      </c>
      <c r="C2195">
        <v>20310530</v>
      </c>
      <c r="D2195" t="s">
        <v>220</v>
      </c>
      <c r="E2195" s="10">
        <v>46119.541666666664</v>
      </c>
      <c r="F2195" s="10">
        <v>46119.5625</v>
      </c>
      <c r="G2195">
        <v>0.5</v>
      </c>
      <c r="H2195" s="9">
        <f t="shared" si="102"/>
        <v>3.0000000000000001E-3</v>
      </c>
      <c r="I2195">
        <v>3.0000000000000001E-3</v>
      </c>
      <c r="M2195" t="s">
        <v>65</v>
      </c>
      <c r="N2195" t="s">
        <v>29</v>
      </c>
      <c r="P2195" t="s">
        <v>30</v>
      </c>
      <c r="Q2195" t="s">
        <v>31</v>
      </c>
      <c r="R2195">
        <v>82640</v>
      </c>
      <c r="S2195" t="s">
        <v>42</v>
      </c>
      <c r="T2195">
        <v>82630</v>
      </c>
      <c r="U2195" t="s">
        <v>32</v>
      </c>
      <c r="V2195" t="s">
        <v>66</v>
      </c>
      <c r="W2195" t="s">
        <v>44</v>
      </c>
      <c r="X2195" t="s">
        <v>44</v>
      </c>
      <c r="Y2195" s="9">
        <f t="shared" si="103"/>
        <v>0</v>
      </c>
      <c r="Z2195" t="str">
        <f t="shared" si="104"/>
        <v>สแกนต่าง Cost</v>
      </c>
    </row>
    <row r="2196" spans="1:26" x14ac:dyDescent="0.45">
      <c r="B2196" t="s">
        <v>53</v>
      </c>
      <c r="C2196">
        <v>20310532</v>
      </c>
      <c r="D2196" t="s">
        <v>61</v>
      </c>
      <c r="E2196" s="10">
        <v>46119.541666666664</v>
      </c>
      <c r="F2196" s="10">
        <v>46119.583333333336</v>
      </c>
      <c r="G2196">
        <v>1</v>
      </c>
      <c r="H2196" s="9">
        <f t="shared" si="102"/>
        <v>5.0000000000000001E-3</v>
      </c>
      <c r="I2196">
        <v>5.0000000000000001E-3</v>
      </c>
      <c r="M2196" t="s">
        <v>65</v>
      </c>
      <c r="N2196" t="s">
        <v>29</v>
      </c>
      <c r="P2196" t="s">
        <v>30</v>
      </c>
      <c r="Q2196" t="s">
        <v>31</v>
      </c>
      <c r="R2196">
        <v>82640</v>
      </c>
      <c r="S2196" t="s">
        <v>42</v>
      </c>
      <c r="T2196">
        <v>82630</v>
      </c>
      <c r="U2196" t="s">
        <v>32</v>
      </c>
      <c r="V2196" t="s">
        <v>66</v>
      </c>
      <c r="W2196" t="s">
        <v>44</v>
      </c>
      <c r="X2196" t="s">
        <v>44</v>
      </c>
      <c r="Y2196" s="9">
        <f t="shared" si="103"/>
        <v>0</v>
      </c>
      <c r="Z2196" t="str">
        <f t="shared" si="104"/>
        <v>สแกนต่าง Cost</v>
      </c>
    </row>
    <row r="2197" spans="1:26" x14ac:dyDescent="0.45">
      <c r="B2197" t="s">
        <v>53</v>
      </c>
      <c r="C2197">
        <v>20332134</v>
      </c>
      <c r="D2197" t="s">
        <v>156</v>
      </c>
      <c r="E2197" s="10">
        <v>46119.541666666664</v>
      </c>
      <c r="F2197" s="10">
        <v>46119.583333333336</v>
      </c>
      <c r="G2197">
        <v>1</v>
      </c>
      <c r="H2197" s="9">
        <f t="shared" si="102"/>
        <v>5.0000000000000001E-3</v>
      </c>
      <c r="I2197">
        <v>5.0000000000000001E-3</v>
      </c>
      <c r="M2197" t="s">
        <v>65</v>
      </c>
      <c r="N2197" t="s">
        <v>29</v>
      </c>
      <c r="P2197" t="s">
        <v>30</v>
      </c>
      <c r="Q2197" t="s">
        <v>31</v>
      </c>
      <c r="R2197">
        <v>82640</v>
      </c>
      <c r="S2197" t="s">
        <v>42</v>
      </c>
      <c r="T2197">
        <v>82630</v>
      </c>
      <c r="U2197" t="s">
        <v>32</v>
      </c>
      <c r="V2197" t="s">
        <v>66</v>
      </c>
      <c r="W2197" t="s">
        <v>44</v>
      </c>
      <c r="X2197" t="s">
        <v>44</v>
      </c>
      <c r="Y2197" s="9">
        <f t="shared" si="103"/>
        <v>0</v>
      </c>
      <c r="Z2197" t="str">
        <f t="shared" si="104"/>
        <v>สแกนต่าง Cost</v>
      </c>
    </row>
    <row r="2198" spans="1:26" x14ac:dyDescent="0.45">
      <c r="B2198" t="s">
        <v>53</v>
      </c>
      <c r="C2198">
        <v>20340657</v>
      </c>
      <c r="D2198" t="s">
        <v>221</v>
      </c>
      <c r="E2198" s="10">
        <v>46119.541666666664</v>
      </c>
      <c r="F2198" s="10">
        <v>46119.708333333336</v>
      </c>
      <c r="G2198">
        <v>4</v>
      </c>
      <c r="H2198" s="9">
        <f t="shared" si="102"/>
        <v>2.1000000000000001E-2</v>
      </c>
      <c r="I2198">
        <v>2.1000000000000001E-2</v>
      </c>
      <c r="M2198" t="s">
        <v>65</v>
      </c>
      <c r="N2198" t="s">
        <v>29</v>
      </c>
      <c r="P2198" t="s">
        <v>30</v>
      </c>
      <c r="Q2198" t="s">
        <v>31</v>
      </c>
      <c r="R2198">
        <v>82640</v>
      </c>
      <c r="S2198" t="s">
        <v>42</v>
      </c>
      <c r="T2198">
        <v>82612</v>
      </c>
      <c r="U2198" t="s">
        <v>153</v>
      </c>
      <c r="V2198" t="s">
        <v>66</v>
      </c>
      <c r="W2198" t="s">
        <v>44</v>
      </c>
      <c r="X2198" t="s">
        <v>44</v>
      </c>
      <c r="Y2198" s="9">
        <f t="shared" si="103"/>
        <v>0</v>
      </c>
      <c r="Z2198" t="str">
        <f t="shared" si="104"/>
        <v>สแกนต่าง Cost</v>
      </c>
    </row>
    <row r="2199" spans="1:26" x14ac:dyDescent="0.45">
      <c r="B2199" t="s">
        <v>53</v>
      </c>
      <c r="C2199">
        <v>20368087</v>
      </c>
      <c r="D2199" t="s">
        <v>260</v>
      </c>
      <c r="E2199" s="10">
        <v>46119.541666666664</v>
      </c>
      <c r="F2199" s="10">
        <v>46119.625</v>
      </c>
      <c r="G2199">
        <v>2</v>
      </c>
      <c r="H2199" s="9">
        <f t="shared" si="102"/>
        <v>1.0999999999999999E-2</v>
      </c>
      <c r="J2199">
        <v>1.0999999999999999E-2</v>
      </c>
      <c r="M2199" t="s">
        <v>77</v>
      </c>
      <c r="N2199" t="s">
        <v>40</v>
      </c>
      <c r="O2199" t="s">
        <v>365</v>
      </c>
      <c r="P2199" t="s">
        <v>30</v>
      </c>
      <c r="Q2199" t="s">
        <v>31</v>
      </c>
      <c r="R2199">
        <v>82640</v>
      </c>
      <c r="S2199" t="s">
        <v>42</v>
      </c>
      <c r="T2199">
        <v>82612</v>
      </c>
      <c r="U2199" t="s">
        <v>153</v>
      </c>
      <c r="V2199" t="s">
        <v>66</v>
      </c>
      <c r="W2199" t="s">
        <v>44</v>
      </c>
      <c r="X2199" t="s">
        <v>44</v>
      </c>
      <c r="Y2199" s="9">
        <f t="shared" si="103"/>
        <v>1.0999999999999999E-2</v>
      </c>
      <c r="Z2199" t="str">
        <f t="shared" si="104"/>
        <v>สแกนต่าง Cost</v>
      </c>
    </row>
    <row r="2200" spans="1:26" x14ac:dyDescent="0.45">
      <c r="A2200">
        <v>26187</v>
      </c>
      <c r="B2200" t="s">
        <v>53</v>
      </c>
      <c r="C2200">
        <v>20048905</v>
      </c>
      <c r="D2200" t="s">
        <v>73</v>
      </c>
      <c r="E2200" s="10">
        <v>46119.539583333331</v>
      </c>
      <c r="F2200" s="10">
        <v>46119.979166666664</v>
      </c>
      <c r="G2200">
        <v>10.55</v>
      </c>
      <c r="H2200" s="9">
        <f t="shared" si="102"/>
        <v>5.5999999999999994E-2</v>
      </c>
      <c r="I2200">
        <v>4.4999999999999998E-2</v>
      </c>
      <c r="K2200">
        <v>1.0999999999999999E-2</v>
      </c>
      <c r="M2200" t="s">
        <v>28</v>
      </c>
      <c r="N2200" t="s">
        <v>40</v>
      </c>
      <c r="O2200" t="s">
        <v>181</v>
      </c>
      <c r="P2200" t="s">
        <v>30</v>
      </c>
      <c r="Q2200" t="s">
        <v>31</v>
      </c>
      <c r="R2200">
        <v>82409</v>
      </c>
      <c r="S2200" t="s">
        <v>74</v>
      </c>
      <c r="T2200">
        <v>82664</v>
      </c>
      <c r="U2200" t="s">
        <v>75</v>
      </c>
      <c r="V2200" t="s">
        <v>75</v>
      </c>
      <c r="W2200" t="s">
        <v>74</v>
      </c>
      <c r="X2200" t="s">
        <v>74</v>
      </c>
      <c r="Y2200" s="9">
        <f t="shared" si="103"/>
        <v>1.0999999999999999E-2</v>
      </c>
      <c r="Z2200" t="str">
        <f t="shared" si="104"/>
        <v>สแกนต่าง Cost</v>
      </c>
    </row>
    <row r="2201" spans="1:26" x14ac:dyDescent="0.45">
      <c r="B2201" t="s">
        <v>53</v>
      </c>
      <c r="C2201">
        <v>20310530</v>
      </c>
      <c r="D2201" t="s">
        <v>220</v>
      </c>
      <c r="E2201" s="10">
        <v>46119.479166666664</v>
      </c>
      <c r="F2201" s="10">
        <v>46119.5</v>
      </c>
      <c r="G2201">
        <v>0.5</v>
      </c>
      <c r="H2201" s="9">
        <f t="shared" si="102"/>
        <v>3.0000000000000001E-3</v>
      </c>
      <c r="I2201">
        <v>3.0000000000000001E-3</v>
      </c>
      <c r="M2201" t="s">
        <v>65</v>
      </c>
      <c r="N2201" t="s">
        <v>29</v>
      </c>
      <c r="P2201" t="s">
        <v>30</v>
      </c>
      <c r="Q2201" t="s">
        <v>31</v>
      </c>
      <c r="R2201">
        <v>82640</v>
      </c>
      <c r="S2201" t="s">
        <v>42</v>
      </c>
      <c r="T2201">
        <v>82611</v>
      </c>
      <c r="U2201" t="s">
        <v>43</v>
      </c>
      <c r="V2201" t="s">
        <v>66</v>
      </c>
      <c r="W2201" t="s">
        <v>44</v>
      </c>
      <c r="X2201" t="s">
        <v>44</v>
      </c>
      <c r="Y2201" s="9">
        <f t="shared" si="103"/>
        <v>0</v>
      </c>
      <c r="Z2201" t="str">
        <f t="shared" si="104"/>
        <v>สแกนต่าง Cost</v>
      </c>
    </row>
    <row r="2202" spans="1:26" x14ac:dyDescent="0.45">
      <c r="B2202" t="s">
        <v>53</v>
      </c>
      <c r="C2202">
        <v>20022740</v>
      </c>
      <c r="D2202" t="s">
        <v>259</v>
      </c>
      <c r="E2202" s="10">
        <v>46119.458333333336</v>
      </c>
      <c r="F2202" s="10">
        <v>46119.5</v>
      </c>
      <c r="G2202">
        <v>1</v>
      </c>
      <c r="H2202" s="9">
        <f t="shared" si="102"/>
        <v>5.0000000000000001E-3</v>
      </c>
      <c r="I2202">
        <v>5.0000000000000001E-3</v>
      </c>
      <c r="M2202" t="s">
        <v>65</v>
      </c>
      <c r="N2202" t="s">
        <v>29</v>
      </c>
      <c r="P2202" t="s">
        <v>30</v>
      </c>
      <c r="Q2202" t="s">
        <v>31</v>
      </c>
      <c r="R2202">
        <v>82640</v>
      </c>
      <c r="S2202" t="s">
        <v>42</v>
      </c>
      <c r="T2202">
        <v>82611</v>
      </c>
      <c r="U2202" t="s">
        <v>43</v>
      </c>
      <c r="V2202" t="s">
        <v>66</v>
      </c>
      <c r="W2202" t="s">
        <v>44</v>
      </c>
      <c r="X2202" t="s">
        <v>44</v>
      </c>
      <c r="Y2202" s="9">
        <f t="shared" si="103"/>
        <v>0</v>
      </c>
      <c r="Z2202" t="str">
        <f t="shared" si="104"/>
        <v>สแกนต่าง Cost</v>
      </c>
    </row>
    <row r="2203" spans="1:26" x14ac:dyDescent="0.45">
      <c r="B2203" t="s">
        <v>53</v>
      </c>
      <c r="C2203">
        <v>20310530</v>
      </c>
      <c r="D2203" t="s">
        <v>220</v>
      </c>
      <c r="E2203" s="10">
        <v>46119.458333333336</v>
      </c>
      <c r="F2203" s="10">
        <v>46119.479166666664</v>
      </c>
      <c r="G2203">
        <v>0.5</v>
      </c>
      <c r="H2203" s="9">
        <f t="shared" si="102"/>
        <v>3.0000000000000001E-3</v>
      </c>
      <c r="I2203">
        <v>3.0000000000000001E-3</v>
      </c>
      <c r="M2203" t="s">
        <v>65</v>
      </c>
      <c r="N2203" t="s">
        <v>29</v>
      </c>
      <c r="P2203" t="s">
        <v>30</v>
      </c>
      <c r="Q2203" t="s">
        <v>31</v>
      </c>
      <c r="R2203">
        <v>82640</v>
      </c>
      <c r="S2203" t="s">
        <v>42</v>
      </c>
      <c r="T2203">
        <v>82622</v>
      </c>
      <c r="U2203" t="s">
        <v>147</v>
      </c>
      <c r="V2203" t="s">
        <v>66</v>
      </c>
      <c r="W2203" t="s">
        <v>44</v>
      </c>
      <c r="X2203" t="s">
        <v>44</v>
      </c>
      <c r="Y2203" s="9">
        <f t="shared" si="103"/>
        <v>0</v>
      </c>
      <c r="Z2203" t="str">
        <f t="shared" si="104"/>
        <v>สแกนต่าง Cost</v>
      </c>
    </row>
    <row r="2204" spans="1:26" x14ac:dyDescent="0.45">
      <c r="B2204" t="s">
        <v>53</v>
      </c>
      <c r="C2204">
        <v>20310532</v>
      </c>
      <c r="D2204" t="s">
        <v>61</v>
      </c>
      <c r="E2204" s="10">
        <v>46119.458333333336</v>
      </c>
      <c r="F2204" s="10">
        <v>46119.5</v>
      </c>
      <c r="G2204">
        <v>1</v>
      </c>
      <c r="H2204" s="9">
        <f t="shared" si="102"/>
        <v>5.0000000000000001E-3</v>
      </c>
      <c r="I2204">
        <v>5.0000000000000001E-3</v>
      </c>
      <c r="M2204" t="s">
        <v>65</v>
      </c>
      <c r="N2204" t="s">
        <v>29</v>
      </c>
      <c r="P2204" t="s">
        <v>30</v>
      </c>
      <c r="Q2204" t="s">
        <v>31</v>
      </c>
      <c r="R2204">
        <v>82640</v>
      </c>
      <c r="S2204" t="s">
        <v>42</v>
      </c>
      <c r="T2204">
        <v>82612</v>
      </c>
      <c r="U2204" t="s">
        <v>153</v>
      </c>
      <c r="V2204" t="s">
        <v>66</v>
      </c>
      <c r="W2204" t="s">
        <v>44</v>
      </c>
      <c r="X2204" t="s">
        <v>44</v>
      </c>
      <c r="Y2204" s="9">
        <f t="shared" si="103"/>
        <v>0</v>
      </c>
      <c r="Z2204" t="str">
        <f t="shared" si="104"/>
        <v>สแกนต่าง Cost</v>
      </c>
    </row>
    <row r="2205" spans="1:26" x14ac:dyDescent="0.45">
      <c r="B2205" t="s">
        <v>53</v>
      </c>
      <c r="C2205">
        <v>20332134</v>
      </c>
      <c r="D2205" t="s">
        <v>156</v>
      </c>
      <c r="E2205" s="10">
        <v>46119.458333333336</v>
      </c>
      <c r="F2205" s="10">
        <v>46119.5</v>
      </c>
      <c r="G2205">
        <v>1</v>
      </c>
      <c r="H2205" s="9">
        <f t="shared" si="102"/>
        <v>5.0000000000000001E-3</v>
      </c>
      <c r="I2205">
        <v>5.0000000000000001E-3</v>
      </c>
      <c r="M2205" t="s">
        <v>65</v>
      </c>
      <c r="N2205" t="s">
        <v>29</v>
      </c>
      <c r="P2205" t="s">
        <v>30</v>
      </c>
      <c r="Q2205" t="s">
        <v>31</v>
      </c>
      <c r="R2205">
        <v>82640</v>
      </c>
      <c r="S2205" t="s">
        <v>42</v>
      </c>
      <c r="T2205">
        <v>82612</v>
      </c>
      <c r="U2205" t="s">
        <v>153</v>
      </c>
      <c r="V2205" t="s">
        <v>66</v>
      </c>
      <c r="W2205" t="s">
        <v>44</v>
      </c>
      <c r="X2205" t="s">
        <v>44</v>
      </c>
      <c r="Y2205" s="9">
        <f t="shared" si="103"/>
        <v>0</v>
      </c>
      <c r="Z2205" t="str">
        <f t="shared" si="104"/>
        <v>สแกนต่าง Cost</v>
      </c>
    </row>
    <row r="2206" spans="1:26" x14ac:dyDescent="0.45">
      <c r="B2206" t="s">
        <v>53</v>
      </c>
      <c r="C2206">
        <v>20198839</v>
      </c>
      <c r="D2206" t="s">
        <v>258</v>
      </c>
      <c r="E2206" s="10">
        <v>46119.4375</v>
      </c>
      <c r="F2206" s="10">
        <v>46119.5</v>
      </c>
      <c r="G2206">
        <v>1.5</v>
      </c>
      <c r="H2206" s="9">
        <f t="shared" si="102"/>
        <v>8.0000000000000002E-3</v>
      </c>
      <c r="I2206">
        <v>8.0000000000000002E-3</v>
      </c>
      <c r="M2206" t="s">
        <v>65</v>
      </c>
      <c r="N2206" t="s">
        <v>29</v>
      </c>
      <c r="P2206" t="s">
        <v>30</v>
      </c>
      <c r="Q2206" t="s">
        <v>31</v>
      </c>
      <c r="R2206">
        <v>82640</v>
      </c>
      <c r="S2206" t="s">
        <v>42</v>
      </c>
      <c r="T2206">
        <v>82630</v>
      </c>
      <c r="U2206" t="s">
        <v>32</v>
      </c>
      <c r="V2206" t="s">
        <v>66</v>
      </c>
      <c r="W2206" t="s">
        <v>44</v>
      </c>
      <c r="X2206" t="s">
        <v>44</v>
      </c>
      <c r="Y2206" s="9">
        <f t="shared" si="103"/>
        <v>0</v>
      </c>
      <c r="Z2206" t="str">
        <f t="shared" si="104"/>
        <v>สแกนต่าง Cost</v>
      </c>
    </row>
    <row r="2207" spans="1:26" x14ac:dyDescent="0.45">
      <c r="B2207" t="s">
        <v>53</v>
      </c>
      <c r="C2207">
        <v>20310532</v>
      </c>
      <c r="D2207" t="s">
        <v>61</v>
      </c>
      <c r="E2207" s="10">
        <v>46119.416666666664</v>
      </c>
      <c r="F2207" s="10">
        <v>46119.458333333336</v>
      </c>
      <c r="G2207">
        <v>1</v>
      </c>
      <c r="H2207" s="9">
        <f t="shared" si="102"/>
        <v>5.0000000000000001E-3</v>
      </c>
      <c r="I2207">
        <v>5.0000000000000001E-3</v>
      </c>
      <c r="M2207" t="s">
        <v>65</v>
      </c>
      <c r="N2207" t="s">
        <v>29</v>
      </c>
      <c r="P2207" t="s">
        <v>30</v>
      </c>
      <c r="Q2207" t="s">
        <v>31</v>
      </c>
      <c r="R2207">
        <v>82640</v>
      </c>
      <c r="S2207" t="s">
        <v>42</v>
      </c>
      <c r="T2207">
        <v>82630</v>
      </c>
      <c r="U2207" t="s">
        <v>32</v>
      </c>
      <c r="V2207" t="s">
        <v>66</v>
      </c>
      <c r="W2207" t="s">
        <v>44</v>
      </c>
      <c r="X2207" t="s">
        <v>44</v>
      </c>
      <c r="Y2207" s="9">
        <f t="shared" si="103"/>
        <v>0</v>
      </c>
      <c r="Z2207" t="str">
        <f t="shared" si="104"/>
        <v>สแกนต่าง Cost</v>
      </c>
    </row>
    <row r="2208" spans="1:26" x14ac:dyDescent="0.45">
      <c r="B2208" t="s">
        <v>53</v>
      </c>
      <c r="C2208">
        <v>20332134</v>
      </c>
      <c r="D2208" t="s">
        <v>156</v>
      </c>
      <c r="E2208" s="10">
        <v>46119.416666666664</v>
      </c>
      <c r="F2208" s="10">
        <v>46119.458333333336</v>
      </c>
      <c r="G2208">
        <v>1</v>
      </c>
      <c r="H2208" s="9">
        <f t="shared" si="102"/>
        <v>5.0000000000000001E-3</v>
      </c>
      <c r="I2208">
        <v>5.0000000000000001E-3</v>
      </c>
      <c r="M2208" t="s">
        <v>65</v>
      </c>
      <c r="N2208" t="s">
        <v>29</v>
      </c>
      <c r="P2208" t="s">
        <v>30</v>
      </c>
      <c r="Q2208" t="s">
        <v>31</v>
      </c>
      <c r="R2208">
        <v>82640</v>
      </c>
      <c r="S2208" t="s">
        <v>42</v>
      </c>
      <c r="T2208">
        <v>82630</v>
      </c>
      <c r="U2208" t="s">
        <v>32</v>
      </c>
      <c r="V2208" t="s">
        <v>66</v>
      </c>
      <c r="W2208" t="s">
        <v>44</v>
      </c>
      <c r="X2208" t="s">
        <v>44</v>
      </c>
      <c r="Y2208" s="9">
        <f t="shared" si="103"/>
        <v>0</v>
      </c>
      <c r="Z2208" t="str">
        <f t="shared" si="104"/>
        <v>สแกนต่าง Cost</v>
      </c>
    </row>
    <row r="2209" spans="1:26" x14ac:dyDescent="0.45">
      <c r="B2209" t="s">
        <v>53</v>
      </c>
      <c r="C2209">
        <v>20340657</v>
      </c>
      <c r="D2209" t="s">
        <v>221</v>
      </c>
      <c r="E2209" s="10">
        <v>46119.416666666664</v>
      </c>
      <c r="F2209" s="10">
        <v>46119.5</v>
      </c>
      <c r="G2209">
        <v>2</v>
      </c>
      <c r="H2209" s="9">
        <f t="shared" si="102"/>
        <v>1.0999999999999999E-2</v>
      </c>
      <c r="I2209">
        <v>1.0999999999999999E-2</v>
      </c>
      <c r="M2209" t="s">
        <v>65</v>
      </c>
      <c r="N2209" t="s">
        <v>29</v>
      </c>
      <c r="P2209" t="s">
        <v>30</v>
      </c>
      <c r="Q2209" t="s">
        <v>31</v>
      </c>
      <c r="R2209">
        <v>82640</v>
      </c>
      <c r="S2209" t="s">
        <v>42</v>
      </c>
      <c r="T2209">
        <v>82612</v>
      </c>
      <c r="U2209" t="s">
        <v>153</v>
      </c>
      <c r="V2209" t="s">
        <v>66</v>
      </c>
      <c r="W2209" t="s">
        <v>44</v>
      </c>
      <c r="X2209" t="s">
        <v>44</v>
      </c>
      <c r="Y2209" s="9">
        <f t="shared" si="103"/>
        <v>0</v>
      </c>
      <c r="Z2209" t="str">
        <f t="shared" si="104"/>
        <v>สแกนต่าง Cost</v>
      </c>
    </row>
    <row r="2210" spans="1:26" x14ac:dyDescent="0.45">
      <c r="B2210" t="s">
        <v>53</v>
      </c>
      <c r="C2210">
        <v>20002403</v>
      </c>
      <c r="D2210" t="s">
        <v>367</v>
      </c>
      <c r="E2210" s="10">
        <v>46119.401388888888</v>
      </c>
      <c r="F2210" s="10">
        <v>46119.729166666664</v>
      </c>
      <c r="G2210">
        <v>6.8666666666666663</v>
      </c>
      <c r="H2210" s="9">
        <f t="shared" si="102"/>
        <v>3.6999999999999998E-2</v>
      </c>
      <c r="I2210">
        <v>3.6999999999999998E-2</v>
      </c>
      <c r="M2210" t="s">
        <v>65</v>
      </c>
      <c r="N2210" t="s">
        <v>29</v>
      </c>
      <c r="P2210" t="s">
        <v>30</v>
      </c>
      <c r="Q2210" t="s">
        <v>31</v>
      </c>
      <c r="R2210">
        <v>82308</v>
      </c>
      <c r="S2210" t="s">
        <v>69</v>
      </c>
      <c r="T2210">
        <v>82611</v>
      </c>
      <c r="U2210" t="s">
        <v>43</v>
      </c>
      <c r="V2210" t="s">
        <v>43</v>
      </c>
      <c r="W2210" t="s">
        <v>42</v>
      </c>
      <c r="X2210" t="s">
        <v>38</v>
      </c>
      <c r="Y2210" s="9">
        <f t="shared" si="103"/>
        <v>0</v>
      </c>
      <c r="Z2210" t="str">
        <f t="shared" si="104"/>
        <v>สแกนต่าง Cost</v>
      </c>
    </row>
    <row r="2211" spans="1:26" x14ac:dyDescent="0.45">
      <c r="B2211" t="s">
        <v>53</v>
      </c>
      <c r="C2211">
        <v>20310530</v>
      </c>
      <c r="D2211" t="s">
        <v>220</v>
      </c>
      <c r="E2211" s="10">
        <v>46119.395833333336</v>
      </c>
      <c r="F2211" s="10">
        <v>46119.4375</v>
      </c>
      <c r="G2211">
        <v>1</v>
      </c>
      <c r="H2211" s="9">
        <f t="shared" si="102"/>
        <v>5.0000000000000001E-3</v>
      </c>
      <c r="I2211">
        <v>5.0000000000000001E-3</v>
      </c>
      <c r="M2211" t="s">
        <v>65</v>
      </c>
      <c r="N2211" t="s">
        <v>29</v>
      </c>
      <c r="P2211" t="s">
        <v>30</v>
      </c>
      <c r="Q2211" t="s">
        <v>31</v>
      </c>
      <c r="R2211">
        <v>82640</v>
      </c>
      <c r="S2211" t="s">
        <v>42</v>
      </c>
      <c r="T2211">
        <v>82630</v>
      </c>
      <c r="U2211" t="s">
        <v>32</v>
      </c>
      <c r="V2211" t="s">
        <v>66</v>
      </c>
      <c r="W2211" t="s">
        <v>44</v>
      </c>
      <c r="X2211" t="s">
        <v>44</v>
      </c>
      <c r="Y2211" s="9">
        <f t="shared" si="103"/>
        <v>0</v>
      </c>
      <c r="Z2211" t="str">
        <f t="shared" si="104"/>
        <v>สแกนต่าง Cost</v>
      </c>
    </row>
    <row r="2212" spans="1:26" x14ac:dyDescent="0.45">
      <c r="A2212">
        <v>26062</v>
      </c>
      <c r="B2212" t="s">
        <v>53</v>
      </c>
      <c r="C2212">
        <v>20352338</v>
      </c>
      <c r="D2212" t="s">
        <v>114</v>
      </c>
      <c r="E2212" s="10">
        <v>46119.378472222219</v>
      </c>
      <c r="F2212" s="10">
        <v>46119.70208333333</v>
      </c>
      <c r="G2212">
        <v>6.7666666666666666</v>
      </c>
      <c r="H2212" s="9">
        <f t="shared" si="102"/>
        <v>3.5999999999999997E-2</v>
      </c>
      <c r="I2212">
        <v>3.5999999999999997E-2</v>
      </c>
      <c r="M2212" t="s">
        <v>65</v>
      </c>
      <c r="N2212" t="s">
        <v>29</v>
      </c>
      <c r="P2212" t="s">
        <v>30</v>
      </c>
      <c r="Q2212" t="s">
        <v>31</v>
      </c>
      <c r="R2212">
        <v>82400</v>
      </c>
      <c r="S2212" t="s">
        <v>83</v>
      </c>
      <c r="T2212">
        <v>82658</v>
      </c>
      <c r="U2212" t="s">
        <v>33</v>
      </c>
      <c r="V2212" t="s">
        <v>33</v>
      </c>
      <c r="W2212" t="s">
        <v>37</v>
      </c>
      <c r="X2212" t="s">
        <v>38</v>
      </c>
      <c r="Y2212" s="9">
        <f t="shared" si="103"/>
        <v>0</v>
      </c>
      <c r="Z2212" t="str">
        <f t="shared" si="104"/>
        <v>สแกนต่าง Cost</v>
      </c>
    </row>
    <row r="2213" spans="1:26" x14ac:dyDescent="0.45">
      <c r="B2213" t="s">
        <v>53</v>
      </c>
      <c r="C2213">
        <v>20198839</v>
      </c>
      <c r="D2213" t="s">
        <v>258</v>
      </c>
      <c r="E2213" s="10">
        <v>46119.375</v>
      </c>
      <c r="F2213" s="10">
        <v>46119.395833333336</v>
      </c>
      <c r="G2213">
        <v>0.5</v>
      </c>
      <c r="H2213" s="9">
        <f t="shared" si="102"/>
        <v>3.0000000000000001E-3</v>
      </c>
      <c r="I2213">
        <v>3.0000000000000001E-3</v>
      </c>
      <c r="M2213" t="s">
        <v>65</v>
      </c>
      <c r="N2213" t="s">
        <v>29</v>
      </c>
      <c r="P2213" t="s">
        <v>30</v>
      </c>
      <c r="Q2213" t="s">
        <v>31</v>
      </c>
      <c r="R2213">
        <v>82640</v>
      </c>
      <c r="S2213" t="s">
        <v>42</v>
      </c>
      <c r="T2213">
        <v>82622</v>
      </c>
      <c r="U2213" t="s">
        <v>147</v>
      </c>
      <c r="V2213" t="s">
        <v>66</v>
      </c>
      <c r="W2213" t="s">
        <v>44</v>
      </c>
      <c r="X2213" t="s">
        <v>44</v>
      </c>
      <c r="Y2213" s="9">
        <f t="shared" si="103"/>
        <v>0</v>
      </c>
      <c r="Z2213" t="str">
        <f t="shared" si="104"/>
        <v>สแกนต่าง Cost</v>
      </c>
    </row>
    <row r="2214" spans="1:26" x14ac:dyDescent="0.45">
      <c r="B2214" t="s">
        <v>53</v>
      </c>
      <c r="C2214">
        <v>20310532</v>
      </c>
      <c r="D2214" t="s">
        <v>61</v>
      </c>
      <c r="E2214" s="10">
        <v>46119.375</v>
      </c>
      <c r="F2214" s="10">
        <v>46119.416666666664</v>
      </c>
      <c r="G2214">
        <v>1</v>
      </c>
      <c r="H2214" s="9">
        <f t="shared" si="102"/>
        <v>5.0000000000000001E-3</v>
      </c>
      <c r="I2214">
        <v>5.0000000000000001E-3</v>
      </c>
      <c r="M2214" t="s">
        <v>65</v>
      </c>
      <c r="N2214" t="s">
        <v>29</v>
      </c>
      <c r="P2214" t="s">
        <v>30</v>
      </c>
      <c r="Q2214" t="s">
        <v>31</v>
      </c>
      <c r="R2214">
        <v>82640</v>
      </c>
      <c r="S2214" t="s">
        <v>42</v>
      </c>
      <c r="T2214">
        <v>82612</v>
      </c>
      <c r="U2214" t="s">
        <v>153</v>
      </c>
      <c r="V2214" t="s">
        <v>66</v>
      </c>
      <c r="W2214" t="s">
        <v>44</v>
      </c>
      <c r="X2214" t="s">
        <v>44</v>
      </c>
      <c r="Y2214" s="9">
        <f t="shared" si="103"/>
        <v>0</v>
      </c>
      <c r="Z2214" t="str">
        <f t="shared" si="104"/>
        <v>สแกนต่าง Cost</v>
      </c>
    </row>
    <row r="2215" spans="1:26" x14ac:dyDescent="0.45">
      <c r="B2215" t="s">
        <v>53</v>
      </c>
      <c r="C2215">
        <v>20332134</v>
      </c>
      <c r="D2215" t="s">
        <v>156</v>
      </c>
      <c r="E2215" s="10">
        <v>46119.375</v>
      </c>
      <c r="F2215" s="10">
        <v>46119.416666666664</v>
      </c>
      <c r="G2215">
        <v>1</v>
      </c>
      <c r="H2215" s="9">
        <f t="shared" si="102"/>
        <v>5.0000000000000001E-3</v>
      </c>
      <c r="I2215">
        <v>5.0000000000000001E-3</v>
      </c>
      <c r="M2215" t="s">
        <v>65</v>
      </c>
      <c r="N2215" t="s">
        <v>29</v>
      </c>
      <c r="P2215" t="s">
        <v>30</v>
      </c>
      <c r="Q2215" t="s">
        <v>31</v>
      </c>
      <c r="R2215">
        <v>82640</v>
      </c>
      <c r="S2215" t="s">
        <v>42</v>
      </c>
      <c r="T2215">
        <v>82612</v>
      </c>
      <c r="U2215" t="s">
        <v>153</v>
      </c>
      <c r="V2215" t="s">
        <v>66</v>
      </c>
      <c r="W2215" t="s">
        <v>44</v>
      </c>
      <c r="X2215" t="s">
        <v>44</v>
      </c>
      <c r="Y2215" s="9">
        <f t="shared" si="103"/>
        <v>0</v>
      </c>
      <c r="Z2215" t="str">
        <f t="shared" si="104"/>
        <v>สแกนต่าง Cost</v>
      </c>
    </row>
    <row r="2216" spans="1:26" x14ac:dyDescent="0.45">
      <c r="B2216" t="s">
        <v>53</v>
      </c>
      <c r="C2216">
        <v>20368087</v>
      </c>
      <c r="D2216" t="s">
        <v>260</v>
      </c>
      <c r="E2216" s="10">
        <v>46119.375</v>
      </c>
      <c r="F2216" s="10">
        <v>46119.458333333336</v>
      </c>
      <c r="G2216">
        <v>2</v>
      </c>
      <c r="H2216" s="9">
        <f t="shared" si="102"/>
        <v>1.0999999999999999E-2</v>
      </c>
      <c r="J2216">
        <v>1.0999999999999999E-2</v>
      </c>
      <c r="M2216" t="s">
        <v>77</v>
      </c>
      <c r="N2216" t="s">
        <v>40</v>
      </c>
      <c r="O2216" t="s">
        <v>365</v>
      </c>
      <c r="P2216" t="s">
        <v>30</v>
      </c>
      <c r="Q2216" t="s">
        <v>31</v>
      </c>
      <c r="R2216">
        <v>82640</v>
      </c>
      <c r="S2216" t="s">
        <v>42</v>
      </c>
      <c r="T2216">
        <v>82630</v>
      </c>
      <c r="U2216" t="s">
        <v>32</v>
      </c>
      <c r="V2216" t="s">
        <v>66</v>
      </c>
      <c r="W2216" t="s">
        <v>44</v>
      </c>
      <c r="X2216" t="s">
        <v>44</v>
      </c>
      <c r="Y2216" s="9">
        <f t="shared" si="103"/>
        <v>1.0999999999999999E-2</v>
      </c>
      <c r="Z2216" t="str">
        <f t="shared" si="104"/>
        <v>สแกนต่าง Cost</v>
      </c>
    </row>
    <row r="2217" spans="1:26" x14ac:dyDescent="0.45">
      <c r="A2217">
        <v>26054</v>
      </c>
      <c r="B2217" t="s">
        <v>53</v>
      </c>
      <c r="C2217">
        <v>20352338</v>
      </c>
      <c r="D2217" t="s">
        <v>114</v>
      </c>
      <c r="E2217" s="10">
        <v>46119.35833333333</v>
      </c>
      <c r="F2217" s="10">
        <v>46119.375694444447</v>
      </c>
      <c r="G2217">
        <v>0.41666666666666669</v>
      </c>
      <c r="H2217" s="9">
        <f t="shared" si="102"/>
        <v>2E-3</v>
      </c>
      <c r="I2217">
        <v>2E-3</v>
      </c>
      <c r="M2217" t="s">
        <v>65</v>
      </c>
      <c r="N2217" t="s">
        <v>29</v>
      </c>
      <c r="P2217" t="s">
        <v>30</v>
      </c>
      <c r="Q2217" t="s">
        <v>31</v>
      </c>
      <c r="R2217">
        <v>82400</v>
      </c>
      <c r="S2217" t="s">
        <v>83</v>
      </c>
      <c r="T2217">
        <v>82658</v>
      </c>
      <c r="U2217" t="s">
        <v>33</v>
      </c>
      <c r="V2217" t="s">
        <v>33</v>
      </c>
      <c r="W2217" t="s">
        <v>34</v>
      </c>
      <c r="X2217" t="s">
        <v>34</v>
      </c>
      <c r="Y2217" s="9">
        <f t="shared" si="103"/>
        <v>0</v>
      </c>
      <c r="Z2217" t="str">
        <f t="shared" si="104"/>
        <v>สแกนต่าง Cost</v>
      </c>
    </row>
    <row r="2218" spans="1:26" x14ac:dyDescent="0.45">
      <c r="A2218">
        <v>26053</v>
      </c>
      <c r="B2218" t="s">
        <v>53</v>
      </c>
      <c r="C2218">
        <v>20372080</v>
      </c>
      <c r="D2218" t="s">
        <v>117</v>
      </c>
      <c r="E2218" s="10">
        <v>46119.35833333333</v>
      </c>
      <c r="F2218" s="10">
        <v>46119.701388888891</v>
      </c>
      <c r="G2218">
        <v>7.2333333333333325</v>
      </c>
      <c r="H2218" s="9">
        <f t="shared" si="102"/>
        <v>3.9E-2</v>
      </c>
      <c r="I2218">
        <v>3.9E-2</v>
      </c>
      <c r="M2218" t="s">
        <v>65</v>
      </c>
      <c r="N2218" t="s">
        <v>29</v>
      </c>
      <c r="P2218" t="s">
        <v>30</v>
      </c>
      <c r="Q2218" t="s">
        <v>31</v>
      </c>
      <c r="R2218">
        <v>82400</v>
      </c>
      <c r="S2218" t="s">
        <v>83</v>
      </c>
      <c r="T2218">
        <v>82658</v>
      </c>
      <c r="U2218" t="s">
        <v>33</v>
      </c>
      <c r="V2218" t="s">
        <v>33</v>
      </c>
      <c r="W2218" t="s">
        <v>34</v>
      </c>
      <c r="X2218" t="s">
        <v>34</v>
      </c>
      <c r="Y2218" s="9">
        <f t="shared" si="103"/>
        <v>0</v>
      </c>
      <c r="Z2218" t="str">
        <f t="shared" si="104"/>
        <v>สแกนต่าง Cost</v>
      </c>
    </row>
    <row r="2219" spans="1:26" x14ac:dyDescent="0.45">
      <c r="A2219">
        <v>26045</v>
      </c>
      <c r="B2219" t="s">
        <v>53</v>
      </c>
      <c r="C2219">
        <v>20382170</v>
      </c>
      <c r="D2219" t="s">
        <v>118</v>
      </c>
      <c r="E2219" s="10">
        <v>46119.357638888891</v>
      </c>
      <c r="F2219" s="10">
        <v>46119.701388888891</v>
      </c>
      <c r="G2219">
        <v>7.25</v>
      </c>
      <c r="H2219" s="9">
        <f t="shared" si="102"/>
        <v>3.9E-2</v>
      </c>
      <c r="I2219">
        <v>3.9E-2</v>
      </c>
      <c r="M2219" t="s">
        <v>65</v>
      </c>
      <c r="N2219" t="s">
        <v>29</v>
      </c>
      <c r="P2219" t="s">
        <v>30</v>
      </c>
      <c r="Q2219" t="s">
        <v>31</v>
      </c>
      <c r="R2219">
        <v>82400</v>
      </c>
      <c r="S2219" t="s">
        <v>83</v>
      </c>
      <c r="T2219">
        <v>82658</v>
      </c>
      <c r="U2219" t="s">
        <v>33</v>
      </c>
      <c r="V2219" t="s">
        <v>33</v>
      </c>
      <c r="W2219" t="s">
        <v>34</v>
      </c>
      <c r="X2219" t="s">
        <v>34</v>
      </c>
      <c r="Y2219" s="9">
        <f t="shared" si="103"/>
        <v>0</v>
      </c>
      <c r="Z2219" t="str">
        <f t="shared" si="104"/>
        <v>สแกนต่าง Cost</v>
      </c>
    </row>
    <row r="2220" spans="1:26" x14ac:dyDescent="0.45">
      <c r="A2220">
        <v>26046</v>
      </c>
      <c r="B2220" t="s">
        <v>53</v>
      </c>
      <c r="C2220">
        <v>20382171</v>
      </c>
      <c r="D2220" t="s">
        <v>119</v>
      </c>
      <c r="E2220" s="10">
        <v>46119.357638888891</v>
      </c>
      <c r="F2220" s="10">
        <v>46119.70208333333</v>
      </c>
      <c r="G2220">
        <v>7.2666666666666675</v>
      </c>
      <c r="H2220" s="9">
        <f t="shared" si="102"/>
        <v>3.9E-2</v>
      </c>
      <c r="I2220">
        <v>3.9E-2</v>
      </c>
      <c r="M2220" t="s">
        <v>65</v>
      </c>
      <c r="N2220" t="s">
        <v>29</v>
      </c>
      <c r="P2220" t="s">
        <v>30</v>
      </c>
      <c r="Q2220" t="s">
        <v>31</v>
      </c>
      <c r="R2220">
        <v>82400</v>
      </c>
      <c r="S2220" t="s">
        <v>83</v>
      </c>
      <c r="T2220">
        <v>82658</v>
      </c>
      <c r="U2220" t="s">
        <v>33</v>
      </c>
      <c r="V2220" t="s">
        <v>33</v>
      </c>
      <c r="W2220" t="s">
        <v>34</v>
      </c>
      <c r="X2220" t="s">
        <v>34</v>
      </c>
      <c r="Y2220" s="9">
        <f t="shared" si="103"/>
        <v>0</v>
      </c>
      <c r="Z2220" t="str">
        <f t="shared" si="104"/>
        <v>สแกนต่าง Cost</v>
      </c>
    </row>
    <row r="2221" spans="1:26" x14ac:dyDescent="0.45">
      <c r="B2221" t="s">
        <v>53</v>
      </c>
      <c r="C2221">
        <v>20026534</v>
      </c>
      <c r="D2221" t="s">
        <v>279</v>
      </c>
      <c r="E2221" s="10">
        <v>46119.354166666664</v>
      </c>
      <c r="F2221" s="10">
        <v>46119.5</v>
      </c>
      <c r="G2221">
        <v>3.5</v>
      </c>
      <c r="H2221" s="9">
        <f t="shared" si="102"/>
        <v>1.9E-2</v>
      </c>
      <c r="J2221">
        <v>1.9E-2</v>
      </c>
      <c r="M2221" t="s">
        <v>77</v>
      </c>
      <c r="N2221" t="s">
        <v>40</v>
      </c>
      <c r="O2221" t="s">
        <v>78</v>
      </c>
      <c r="P2221" t="s">
        <v>30</v>
      </c>
      <c r="Q2221" t="s">
        <v>31</v>
      </c>
      <c r="R2221">
        <v>82640</v>
      </c>
      <c r="S2221" t="s">
        <v>42</v>
      </c>
      <c r="T2221">
        <v>82630</v>
      </c>
      <c r="U2221" t="s">
        <v>32</v>
      </c>
      <c r="V2221" t="s">
        <v>66</v>
      </c>
      <c r="W2221" t="s">
        <v>44</v>
      </c>
      <c r="X2221" t="s">
        <v>44</v>
      </c>
      <c r="Y2221" s="9">
        <f t="shared" si="103"/>
        <v>1.9E-2</v>
      </c>
      <c r="Z2221" t="str">
        <f t="shared" si="104"/>
        <v>สแกนต่าง Cost</v>
      </c>
    </row>
    <row r="2222" spans="1:26" x14ac:dyDescent="0.45">
      <c r="B2222" t="s">
        <v>53</v>
      </c>
      <c r="C2222">
        <v>20060579</v>
      </c>
      <c r="D2222" t="s">
        <v>39</v>
      </c>
      <c r="E2222" s="10">
        <v>46119.354166666664</v>
      </c>
      <c r="F2222" s="10">
        <v>46119.5</v>
      </c>
      <c r="G2222">
        <v>3.5</v>
      </c>
      <c r="H2222" s="9">
        <f t="shared" si="102"/>
        <v>1.9E-2</v>
      </c>
      <c r="J2222">
        <v>1.9E-2</v>
      </c>
      <c r="M2222" t="s">
        <v>77</v>
      </c>
      <c r="N2222" t="s">
        <v>40</v>
      </c>
      <c r="O2222" t="s">
        <v>366</v>
      </c>
      <c r="P2222" t="s">
        <v>30</v>
      </c>
      <c r="Q2222" t="s">
        <v>31</v>
      </c>
      <c r="R2222">
        <v>82640</v>
      </c>
      <c r="S2222" t="s">
        <v>42</v>
      </c>
      <c r="T2222">
        <v>82611</v>
      </c>
      <c r="U2222" t="s">
        <v>43</v>
      </c>
      <c r="V2222" t="s">
        <v>66</v>
      </c>
      <c r="W2222" t="s">
        <v>44</v>
      </c>
      <c r="X2222" t="s">
        <v>44</v>
      </c>
      <c r="Y2222" s="9">
        <f t="shared" si="103"/>
        <v>1.9E-2</v>
      </c>
      <c r="Z2222" t="str">
        <f t="shared" si="104"/>
        <v>สแกนต่าง Cost</v>
      </c>
    </row>
    <row r="2223" spans="1:26" x14ac:dyDescent="0.45">
      <c r="B2223" t="s">
        <v>53</v>
      </c>
      <c r="C2223">
        <v>20244923</v>
      </c>
      <c r="D2223" t="s">
        <v>246</v>
      </c>
      <c r="E2223" s="10">
        <v>46119.354166666664</v>
      </c>
      <c r="F2223" s="10">
        <v>46119.5</v>
      </c>
      <c r="G2223">
        <v>3.5</v>
      </c>
      <c r="H2223" s="9">
        <f t="shared" si="102"/>
        <v>1.9E-2</v>
      </c>
      <c r="I2223">
        <v>1.9E-2</v>
      </c>
      <c r="M2223" t="s">
        <v>65</v>
      </c>
      <c r="N2223" t="s">
        <v>29</v>
      </c>
      <c r="P2223" t="s">
        <v>30</v>
      </c>
      <c r="Q2223" t="s">
        <v>31</v>
      </c>
      <c r="R2223">
        <v>82640</v>
      </c>
      <c r="S2223" t="s">
        <v>42</v>
      </c>
      <c r="T2223">
        <v>82630</v>
      </c>
      <c r="U2223" t="s">
        <v>32</v>
      </c>
      <c r="V2223" t="s">
        <v>66</v>
      </c>
      <c r="W2223" t="s">
        <v>44</v>
      </c>
      <c r="X2223" t="s">
        <v>44</v>
      </c>
      <c r="Y2223" s="9">
        <f t="shared" si="103"/>
        <v>0</v>
      </c>
      <c r="Z2223" t="str">
        <f t="shared" si="104"/>
        <v>สแกนต่าง Cost</v>
      </c>
    </row>
    <row r="2224" spans="1:26" x14ac:dyDescent="0.45">
      <c r="B2224" t="s">
        <v>53</v>
      </c>
      <c r="C2224">
        <v>20280718</v>
      </c>
      <c r="D2224" t="s">
        <v>256</v>
      </c>
      <c r="E2224" s="10">
        <v>46119.354166666664</v>
      </c>
      <c r="F2224" s="10">
        <v>46119.375</v>
      </c>
      <c r="G2224">
        <v>0.5</v>
      </c>
      <c r="H2224" s="9">
        <f t="shared" si="102"/>
        <v>3.0000000000000001E-3</v>
      </c>
      <c r="J2224">
        <v>3.0000000000000001E-3</v>
      </c>
      <c r="M2224" t="s">
        <v>77</v>
      </c>
      <c r="N2224" t="s">
        <v>40</v>
      </c>
      <c r="O2224" t="s">
        <v>78</v>
      </c>
      <c r="P2224" t="s">
        <v>30</v>
      </c>
      <c r="Q2224" t="s">
        <v>31</v>
      </c>
      <c r="R2224">
        <v>82640</v>
      </c>
      <c r="S2224" t="s">
        <v>42</v>
      </c>
      <c r="T2224">
        <v>82630</v>
      </c>
      <c r="U2224" t="s">
        <v>32</v>
      </c>
      <c r="V2224" t="s">
        <v>66</v>
      </c>
      <c r="W2224" t="s">
        <v>44</v>
      </c>
      <c r="X2224" t="s">
        <v>44</v>
      </c>
      <c r="Y2224" s="9">
        <f t="shared" si="103"/>
        <v>3.0000000000000001E-3</v>
      </c>
      <c r="Z2224" t="str">
        <f t="shared" si="104"/>
        <v>สแกนต่าง Cost</v>
      </c>
    </row>
    <row r="2225" spans="1:26" x14ac:dyDescent="0.45">
      <c r="B2225" t="s">
        <v>53</v>
      </c>
      <c r="C2225">
        <v>20280718</v>
      </c>
      <c r="D2225" t="s">
        <v>256</v>
      </c>
      <c r="E2225" s="10">
        <v>46119.354166666664</v>
      </c>
      <c r="F2225" s="10">
        <v>46119.5</v>
      </c>
      <c r="G2225">
        <v>3.5</v>
      </c>
      <c r="H2225" s="9">
        <f t="shared" si="102"/>
        <v>1.9E-2</v>
      </c>
      <c r="J2225">
        <v>1.9E-2</v>
      </c>
      <c r="M2225" t="s">
        <v>77</v>
      </c>
      <c r="N2225" t="s">
        <v>40</v>
      </c>
      <c r="O2225" t="s">
        <v>78</v>
      </c>
      <c r="P2225" t="s">
        <v>30</v>
      </c>
      <c r="Q2225" t="s">
        <v>31</v>
      </c>
      <c r="R2225">
        <v>82640</v>
      </c>
      <c r="S2225" t="s">
        <v>42</v>
      </c>
      <c r="T2225">
        <v>82630</v>
      </c>
      <c r="U2225" t="s">
        <v>32</v>
      </c>
      <c r="V2225" t="s">
        <v>66</v>
      </c>
      <c r="W2225" t="s">
        <v>44</v>
      </c>
      <c r="X2225" t="s">
        <v>44</v>
      </c>
      <c r="Y2225" s="9">
        <f t="shared" si="103"/>
        <v>1.9E-2</v>
      </c>
      <c r="Z2225" t="str">
        <f t="shared" si="104"/>
        <v>สแกนต่าง Cost</v>
      </c>
    </row>
    <row r="2226" spans="1:26" x14ac:dyDescent="0.45">
      <c r="B2226" t="s">
        <v>53</v>
      </c>
      <c r="C2226">
        <v>20310530</v>
      </c>
      <c r="D2226" t="s">
        <v>220</v>
      </c>
      <c r="E2226" s="10">
        <v>46119.354166666664</v>
      </c>
      <c r="F2226" s="10">
        <v>46119.375</v>
      </c>
      <c r="G2226">
        <v>0.5</v>
      </c>
      <c r="H2226" s="9">
        <f t="shared" si="102"/>
        <v>3.0000000000000001E-3</v>
      </c>
      <c r="I2226">
        <v>3.0000000000000001E-3</v>
      </c>
      <c r="M2226" t="s">
        <v>65</v>
      </c>
      <c r="N2226" t="s">
        <v>29</v>
      </c>
      <c r="P2226" t="s">
        <v>30</v>
      </c>
      <c r="Q2226" t="s">
        <v>31</v>
      </c>
      <c r="R2226">
        <v>82640</v>
      </c>
      <c r="S2226" t="s">
        <v>42</v>
      </c>
      <c r="T2226">
        <v>82622</v>
      </c>
      <c r="U2226" t="s">
        <v>147</v>
      </c>
      <c r="V2226" t="s">
        <v>66</v>
      </c>
      <c r="W2226" t="s">
        <v>44</v>
      </c>
      <c r="X2226" t="s">
        <v>44</v>
      </c>
      <c r="Y2226" s="9">
        <f t="shared" si="103"/>
        <v>0</v>
      </c>
      <c r="Z2226" t="str">
        <f t="shared" si="104"/>
        <v>สแกนต่าง Cost</v>
      </c>
    </row>
    <row r="2227" spans="1:26" x14ac:dyDescent="0.45">
      <c r="A2227">
        <v>26060</v>
      </c>
      <c r="B2227" t="s">
        <v>53</v>
      </c>
      <c r="C2227">
        <v>20342012</v>
      </c>
      <c r="D2227" t="s">
        <v>230</v>
      </c>
      <c r="E2227" s="10">
        <v>46119.354166666664</v>
      </c>
      <c r="F2227" s="10">
        <v>46119.729166666664</v>
      </c>
      <c r="G2227">
        <v>8</v>
      </c>
      <c r="H2227" s="9">
        <f t="shared" si="102"/>
        <v>4.2999999999999997E-2</v>
      </c>
      <c r="I2227">
        <v>4.2999999999999997E-2</v>
      </c>
      <c r="M2227" t="s">
        <v>65</v>
      </c>
      <c r="N2227" t="s">
        <v>29</v>
      </c>
      <c r="P2227" t="s">
        <v>30</v>
      </c>
      <c r="Q2227" t="s">
        <v>31</v>
      </c>
      <c r="R2227">
        <v>82611</v>
      </c>
      <c r="S2227" t="s">
        <v>43</v>
      </c>
      <c r="T2227">
        <v>82640</v>
      </c>
      <c r="U2227" t="s">
        <v>42</v>
      </c>
      <c r="V2227" t="s">
        <v>70</v>
      </c>
      <c r="W2227" t="s">
        <v>47</v>
      </c>
      <c r="X2227" t="s">
        <v>95</v>
      </c>
      <c r="Y2227" s="9">
        <f t="shared" si="103"/>
        <v>0</v>
      </c>
      <c r="Z2227" t="str">
        <f t="shared" si="104"/>
        <v>สแกนต่าง Cost</v>
      </c>
    </row>
    <row r="2228" spans="1:26" x14ac:dyDescent="0.45">
      <c r="A2228">
        <v>25671</v>
      </c>
      <c r="B2228" t="s">
        <v>53</v>
      </c>
      <c r="C2228">
        <v>20004913</v>
      </c>
      <c r="D2228" t="s">
        <v>87</v>
      </c>
      <c r="E2228" s="10">
        <v>46119.333333333336</v>
      </c>
      <c r="F2228" s="10">
        <v>46119.729166666664</v>
      </c>
      <c r="G2228">
        <v>8.5</v>
      </c>
      <c r="H2228" s="9">
        <f t="shared" si="102"/>
        <v>4.4999999999999998E-2</v>
      </c>
      <c r="I2228">
        <v>4.4999999999999998E-2</v>
      </c>
      <c r="M2228" t="s">
        <v>65</v>
      </c>
      <c r="N2228" t="s">
        <v>29</v>
      </c>
      <c r="P2228" t="s">
        <v>30</v>
      </c>
      <c r="Q2228" t="s">
        <v>31</v>
      </c>
      <c r="R2228">
        <v>82301</v>
      </c>
      <c r="S2228" t="s">
        <v>79</v>
      </c>
      <c r="T2228">
        <v>82308</v>
      </c>
      <c r="U2228" t="s">
        <v>69</v>
      </c>
      <c r="V2228" t="s">
        <v>69</v>
      </c>
      <c r="W2228" t="s">
        <v>69</v>
      </c>
      <c r="X2228" t="s">
        <v>88</v>
      </c>
      <c r="Y2228" s="9">
        <f t="shared" si="103"/>
        <v>0</v>
      </c>
      <c r="Z2228" t="str">
        <f t="shared" si="104"/>
        <v>สแกนต่าง Cost</v>
      </c>
    </row>
    <row r="2229" spans="1:26" x14ac:dyDescent="0.45">
      <c r="A2229">
        <v>26042</v>
      </c>
      <c r="B2229" t="s">
        <v>53</v>
      </c>
      <c r="C2229">
        <v>20014916</v>
      </c>
      <c r="D2229" t="s">
        <v>167</v>
      </c>
      <c r="E2229" s="10">
        <v>46119.333333333336</v>
      </c>
      <c r="F2229" s="10">
        <v>46119.729166666664</v>
      </c>
      <c r="G2229">
        <v>8.5</v>
      </c>
      <c r="H2229" s="9">
        <f t="shared" si="102"/>
        <v>4.4999999999999998E-2</v>
      </c>
      <c r="I2229">
        <v>4.4999999999999998E-2</v>
      </c>
      <c r="M2229" t="s">
        <v>65</v>
      </c>
      <c r="N2229" t="s">
        <v>29</v>
      </c>
      <c r="P2229" t="s">
        <v>133</v>
      </c>
      <c r="Q2229" t="s">
        <v>31</v>
      </c>
      <c r="R2229">
        <v>82607</v>
      </c>
      <c r="S2229" t="s">
        <v>168</v>
      </c>
      <c r="T2229">
        <v>82640</v>
      </c>
      <c r="U2229" t="s">
        <v>42</v>
      </c>
      <c r="V2229" t="s">
        <v>70</v>
      </c>
      <c r="W2229" t="s">
        <v>47</v>
      </c>
      <c r="X2229" t="s">
        <v>95</v>
      </c>
      <c r="Y2229" s="9">
        <f t="shared" si="103"/>
        <v>0</v>
      </c>
      <c r="Z2229" t="str">
        <f t="shared" si="104"/>
        <v>สแกนต่าง Cost</v>
      </c>
    </row>
    <row r="2230" spans="1:26" x14ac:dyDescent="0.45">
      <c r="A2230">
        <v>26698</v>
      </c>
      <c r="B2230" t="s">
        <v>53</v>
      </c>
      <c r="C2230">
        <v>20018611</v>
      </c>
      <c r="D2230" t="s">
        <v>132</v>
      </c>
      <c r="E2230" s="10">
        <v>46119.333333333336</v>
      </c>
      <c r="F2230" s="10">
        <v>46119.729166666664</v>
      </c>
      <c r="G2230">
        <v>8.5</v>
      </c>
      <c r="H2230" s="9">
        <f t="shared" si="102"/>
        <v>4.4999999999999998E-2</v>
      </c>
      <c r="I2230">
        <v>4.4999999999999998E-2</v>
      </c>
      <c r="M2230" t="s">
        <v>65</v>
      </c>
      <c r="N2230" t="s">
        <v>29</v>
      </c>
      <c r="P2230" t="s">
        <v>133</v>
      </c>
      <c r="Q2230" t="s">
        <v>31</v>
      </c>
      <c r="R2230">
        <v>82301</v>
      </c>
      <c r="S2230" t="s">
        <v>79</v>
      </c>
      <c r="T2230">
        <v>82308</v>
      </c>
      <c r="U2230" t="s">
        <v>69</v>
      </c>
      <c r="V2230" t="s">
        <v>69</v>
      </c>
      <c r="W2230" t="s">
        <v>69</v>
      </c>
      <c r="X2230" t="s">
        <v>95</v>
      </c>
      <c r="Y2230" s="9">
        <f t="shared" si="103"/>
        <v>0</v>
      </c>
      <c r="Z2230" t="str">
        <f t="shared" si="104"/>
        <v>สแกนต่าง Cost</v>
      </c>
    </row>
    <row r="2231" spans="1:26" x14ac:dyDescent="0.45">
      <c r="B2231" t="s">
        <v>53</v>
      </c>
      <c r="C2231">
        <v>20018899</v>
      </c>
      <c r="D2231" t="s">
        <v>64</v>
      </c>
      <c r="E2231" s="10">
        <v>46119.333333333336</v>
      </c>
      <c r="F2231" s="10">
        <v>46119.5</v>
      </c>
      <c r="G2231">
        <v>4</v>
      </c>
      <c r="H2231" s="9">
        <f t="shared" si="102"/>
        <v>2.1000000000000001E-2</v>
      </c>
      <c r="I2231">
        <v>2.1000000000000001E-2</v>
      </c>
      <c r="M2231" t="s">
        <v>65</v>
      </c>
      <c r="N2231" t="s">
        <v>29</v>
      </c>
      <c r="P2231" t="s">
        <v>30</v>
      </c>
      <c r="Q2231" t="s">
        <v>31</v>
      </c>
      <c r="R2231">
        <v>82640</v>
      </c>
      <c r="S2231" t="s">
        <v>42</v>
      </c>
      <c r="T2231">
        <v>82652</v>
      </c>
      <c r="U2231" t="s">
        <v>46</v>
      </c>
      <c r="V2231" t="s">
        <v>66</v>
      </c>
      <c r="W2231" t="s">
        <v>37</v>
      </c>
      <c r="X2231" t="s">
        <v>34</v>
      </c>
      <c r="Y2231" s="9">
        <f t="shared" si="103"/>
        <v>0</v>
      </c>
      <c r="Z2231" t="str">
        <f t="shared" si="104"/>
        <v>สแกนต่าง Cost</v>
      </c>
    </row>
    <row r="2232" spans="1:26" x14ac:dyDescent="0.45">
      <c r="B2232" t="s">
        <v>53</v>
      </c>
      <c r="C2232">
        <v>20023163</v>
      </c>
      <c r="D2232" t="s">
        <v>169</v>
      </c>
      <c r="E2232" s="10">
        <v>46119.333333333336</v>
      </c>
      <c r="F2232" s="10">
        <v>46119.729166666664</v>
      </c>
      <c r="G2232">
        <v>8.5</v>
      </c>
      <c r="H2232" s="9">
        <f t="shared" si="102"/>
        <v>4.4999999999999998E-2</v>
      </c>
      <c r="I2232">
        <v>4.4999999999999998E-2</v>
      </c>
      <c r="M2232" t="s">
        <v>65</v>
      </c>
      <c r="N2232" t="s">
        <v>29</v>
      </c>
      <c r="P2232" t="s">
        <v>30</v>
      </c>
      <c r="Q2232" t="s">
        <v>31</v>
      </c>
      <c r="R2232">
        <v>82630</v>
      </c>
      <c r="S2232" t="s">
        <v>32</v>
      </c>
      <c r="T2232">
        <v>82640</v>
      </c>
      <c r="U2232" t="s">
        <v>42</v>
      </c>
      <c r="V2232" t="s">
        <v>70</v>
      </c>
      <c r="W2232" t="s">
        <v>170</v>
      </c>
      <c r="X2232" t="s">
        <v>171</v>
      </c>
      <c r="Y2232" s="9">
        <f t="shared" si="103"/>
        <v>0</v>
      </c>
      <c r="Z2232" t="str">
        <f t="shared" si="104"/>
        <v>สแกนต่าง Cost</v>
      </c>
    </row>
    <row r="2233" spans="1:26" x14ac:dyDescent="0.45">
      <c r="B2233" t="s">
        <v>53</v>
      </c>
      <c r="C2233">
        <v>20025986</v>
      </c>
      <c r="D2233" t="s">
        <v>200</v>
      </c>
      <c r="E2233" s="10">
        <v>46119.333333333336</v>
      </c>
      <c r="F2233" s="10">
        <v>46119.729166666664</v>
      </c>
      <c r="G2233">
        <v>8.5</v>
      </c>
      <c r="H2233" s="9">
        <f t="shared" si="102"/>
        <v>4.4999999999999998E-2</v>
      </c>
      <c r="I2233">
        <v>4.4999999999999998E-2</v>
      </c>
      <c r="M2233" t="s">
        <v>65</v>
      </c>
      <c r="N2233" t="s">
        <v>29</v>
      </c>
      <c r="P2233" t="s">
        <v>30</v>
      </c>
      <c r="Q2233" t="s">
        <v>31</v>
      </c>
      <c r="R2233">
        <v>82910</v>
      </c>
      <c r="S2233" t="s">
        <v>201</v>
      </c>
      <c r="T2233">
        <v>82611</v>
      </c>
      <c r="U2233" t="s">
        <v>43</v>
      </c>
      <c r="V2233" t="s">
        <v>43</v>
      </c>
      <c r="W2233" t="s">
        <v>148</v>
      </c>
      <c r="X2233" t="s">
        <v>171</v>
      </c>
      <c r="Y2233" s="9">
        <f t="shared" si="103"/>
        <v>0</v>
      </c>
      <c r="Z2233" t="str">
        <f t="shared" si="104"/>
        <v>สแกนต่าง Cost</v>
      </c>
    </row>
    <row r="2234" spans="1:26" x14ac:dyDescent="0.45">
      <c r="B2234" t="s">
        <v>53</v>
      </c>
      <c r="C2234">
        <v>20034535</v>
      </c>
      <c r="D2234" t="s">
        <v>99</v>
      </c>
      <c r="E2234" s="10">
        <v>46119.333333333336</v>
      </c>
      <c r="F2234" s="10">
        <v>46119.729166666664</v>
      </c>
      <c r="G2234">
        <v>8.5</v>
      </c>
      <c r="H2234" s="9">
        <f t="shared" si="102"/>
        <v>4.4999999999999998E-2</v>
      </c>
      <c r="I2234">
        <v>4.4999999999999998E-2</v>
      </c>
      <c r="M2234" t="s">
        <v>65</v>
      </c>
      <c r="N2234" t="s">
        <v>29</v>
      </c>
      <c r="P2234" t="s">
        <v>30</v>
      </c>
      <c r="Q2234" t="s">
        <v>31</v>
      </c>
      <c r="R2234">
        <v>82630</v>
      </c>
      <c r="S2234" t="s">
        <v>32</v>
      </c>
      <c r="T2234">
        <v>82611</v>
      </c>
      <c r="U2234" t="s">
        <v>43</v>
      </c>
      <c r="V2234" t="s">
        <v>43</v>
      </c>
      <c r="W2234" t="s">
        <v>170</v>
      </c>
      <c r="X2234" t="s">
        <v>171</v>
      </c>
      <c r="Y2234" s="9">
        <f t="shared" si="103"/>
        <v>0</v>
      </c>
      <c r="Z2234" t="str">
        <f t="shared" si="104"/>
        <v>สแกนต่าง Cost</v>
      </c>
    </row>
    <row r="2235" spans="1:26" x14ac:dyDescent="0.45">
      <c r="B2235" t="s">
        <v>53</v>
      </c>
      <c r="C2235">
        <v>20037938</v>
      </c>
      <c r="D2235" t="s">
        <v>172</v>
      </c>
      <c r="E2235" s="10">
        <v>46119.333333333336</v>
      </c>
      <c r="F2235" s="10">
        <v>46119.729166666664</v>
      </c>
      <c r="G2235">
        <v>8.5</v>
      </c>
      <c r="H2235" s="9">
        <f t="shared" si="102"/>
        <v>4.4999999999999998E-2</v>
      </c>
      <c r="I2235">
        <v>4.4999999999999998E-2</v>
      </c>
      <c r="M2235" t="s">
        <v>65</v>
      </c>
      <c r="N2235" t="s">
        <v>29</v>
      </c>
      <c r="P2235" t="s">
        <v>30</v>
      </c>
      <c r="Q2235" t="s">
        <v>31</v>
      </c>
      <c r="R2235">
        <v>82630</v>
      </c>
      <c r="S2235" t="s">
        <v>32</v>
      </c>
      <c r="T2235">
        <v>82611</v>
      </c>
      <c r="U2235" t="s">
        <v>43</v>
      </c>
      <c r="V2235" t="s">
        <v>43</v>
      </c>
      <c r="W2235" t="s">
        <v>170</v>
      </c>
      <c r="X2235" t="s">
        <v>171</v>
      </c>
      <c r="Y2235" s="9">
        <f t="shared" si="103"/>
        <v>0</v>
      </c>
      <c r="Z2235" t="str">
        <f t="shared" si="104"/>
        <v>สแกนต่าง Cost</v>
      </c>
    </row>
    <row r="2236" spans="1:26" x14ac:dyDescent="0.45">
      <c r="B2236" t="s">
        <v>53</v>
      </c>
      <c r="C2236">
        <v>20041131</v>
      </c>
      <c r="D2236" t="s">
        <v>173</v>
      </c>
      <c r="E2236" s="10">
        <v>46119.333333333336</v>
      </c>
      <c r="F2236" s="10">
        <v>46119.729166666664</v>
      </c>
      <c r="G2236">
        <v>8.5</v>
      </c>
      <c r="H2236" s="9">
        <f t="shared" si="102"/>
        <v>4.4999999999999998E-2</v>
      </c>
      <c r="I2236">
        <v>4.4999999999999998E-2</v>
      </c>
      <c r="M2236" t="s">
        <v>65</v>
      </c>
      <c r="N2236" t="s">
        <v>29</v>
      </c>
      <c r="P2236" t="s">
        <v>30</v>
      </c>
      <c r="Q2236" t="s">
        <v>31</v>
      </c>
      <c r="R2236">
        <v>82630</v>
      </c>
      <c r="S2236" t="s">
        <v>32</v>
      </c>
      <c r="T2236">
        <v>82611</v>
      </c>
      <c r="U2236" t="s">
        <v>43</v>
      </c>
      <c r="V2236" t="s">
        <v>43</v>
      </c>
      <c r="W2236" t="s">
        <v>170</v>
      </c>
      <c r="X2236" t="s">
        <v>171</v>
      </c>
      <c r="Y2236" s="9">
        <f t="shared" si="103"/>
        <v>0</v>
      </c>
      <c r="Z2236" t="str">
        <f t="shared" si="104"/>
        <v>สแกนต่าง Cost</v>
      </c>
    </row>
    <row r="2237" spans="1:26" x14ac:dyDescent="0.45">
      <c r="B2237" t="s">
        <v>53</v>
      </c>
      <c r="C2237">
        <v>20047023</v>
      </c>
      <c r="D2237" t="s">
        <v>271</v>
      </c>
      <c r="E2237" s="10">
        <v>46119.333333333336</v>
      </c>
      <c r="F2237" s="10">
        <v>46119.729166666664</v>
      </c>
      <c r="G2237">
        <v>8.5</v>
      </c>
      <c r="H2237" s="9">
        <f t="shared" si="102"/>
        <v>4.4999999999999998E-2</v>
      </c>
      <c r="I2237">
        <v>4.4999999999999998E-2</v>
      </c>
      <c r="M2237" t="s">
        <v>65</v>
      </c>
      <c r="N2237" t="s">
        <v>29</v>
      </c>
      <c r="P2237" t="s">
        <v>30</v>
      </c>
      <c r="Q2237" t="s">
        <v>31</v>
      </c>
      <c r="R2237">
        <v>82607</v>
      </c>
      <c r="S2237" t="s">
        <v>168</v>
      </c>
      <c r="T2237">
        <v>82630</v>
      </c>
      <c r="U2237" t="s">
        <v>32</v>
      </c>
      <c r="V2237" t="s">
        <v>155</v>
      </c>
      <c r="W2237" t="s">
        <v>148</v>
      </c>
      <c r="X2237" t="s">
        <v>95</v>
      </c>
      <c r="Y2237" s="9">
        <f t="shared" si="103"/>
        <v>0</v>
      </c>
      <c r="Z2237" t="str">
        <f t="shared" si="104"/>
        <v>สแกนต่าง Cost</v>
      </c>
    </row>
    <row r="2238" spans="1:26" x14ac:dyDescent="0.45">
      <c r="B2238" t="s">
        <v>53</v>
      </c>
      <c r="C2238">
        <v>20066762</v>
      </c>
      <c r="D2238" t="s">
        <v>203</v>
      </c>
      <c r="E2238" s="10">
        <v>46119.333333333336</v>
      </c>
      <c r="F2238" s="10">
        <v>46119.729166666664</v>
      </c>
      <c r="G2238">
        <v>8.5</v>
      </c>
      <c r="H2238" s="9">
        <f t="shared" si="102"/>
        <v>4.4999999999999998E-2</v>
      </c>
      <c r="I2238">
        <v>4.4999999999999998E-2</v>
      </c>
      <c r="M2238" t="s">
        <v>77</v>
      </c>
      <c r="N2238" t="s">
        <v>29</v>
      </c>
      <c r="P2238" t="s">
        <v>30</v>
      </c>
      <c r="Q2238" t="s">
        <v>31</v>
      </c>
      <c r="R2238">
        <v>82910</v>
      </c>
      <c r="S2238" t="s">
        <v>201</v>
      </c>
      <c r="T2238">
        <v>82611</v>
      </c>
      <c r="U2238" t="s">
        <v>43</v>
      </c>
      <c r="V2238" t="s">
        <v>43</v>
      </c>
      <c r="W2238" t="s">
        <v>148</v>
      </c>
      <c r="X2238" t="s">
        <v>171</v>
      </c>
      <c r="Y2238" s="9">
        <f t="shared" si="103"/>
        <v>0</v>
      </c>
      <c r="Z2238" t="str">
        <f t="shared" si="104"/>
        <v>สแกนต่าง Cost</v>
      </c>
    </row>
    <row r="2239" spans="1:26" x14ac:dyDescent="0.45">
      <c r="B2239" t="s">
        <v>53</v>
      </c>
      <c r="C2239">
        <v>20074473</v>
      </c>
      <c r="D2239" t="s">
        <v>276</v>
      </c>
      <c r="E2239" s="10">
        <v>46119.333333333336</v>
      </c>
      <c r="F2239" s="10">
        <v>46119.729166666664</v>
      </c>
      <c r="G2239">
        <v>8.5</v>
      </c>
      <c r="H2239" s="9">
        <f t="shared" si="102"/>
        <v>4.4999999999999998E-2</v>
      </c>
      <c r="I2239">
        <v>4.4999999999999998E-2</v>
      </c>
      <c r="M2239" t="s">
        <v>65</v>
      </c>
      <c r="N2239" t="s">
        <v>29</v>
      </c>
      <c r="P2239" t="s">
        <v>30</v>
      </c>
      <c r="Q2239" t="s">
        <v>31</v>
      </c>
      <c r="R2239">
        <v>82630</v>
      </c>
      <c r="S2239" t="s">
        <v>32</v>
      </c>
      <c r="T2239">
        <v>82640</v>
      </c>
      <c r="U2239" t="s">
        <v>42</v>
      </c>
      <c r="V2239" t="s">
        <v>70</v>
      </c>
      <c r="W2239" t="s">
        <v>170</v>
      </c>
      <c r="X2239" t="s">
        <v>171</v>
      </c>
      <c r="Y2239" s="9">
        <f t="shared" si="103"/>
        <v>0</v>
      </c>
      <c r="Z2239" t="str">
        <f t="shared" si="104"/>
        <v>สแกนต่าง Cost</v>
      </c>
    </row>
    <row r="2240" spans="1:26" x14ac:dyDescent="0.45">
      <c r="B2240" t="s">
        <v>53</v>
      </c>
      <c r="C2240">
        <v>20075871</v>
      </c>
      <c r="D2240" t="s">
        <v>174</v>
      </c>
      <c r="E2240" s="10">
        <v>46119.333333333336</v>
      </c>
      <c r="F2240" s="10">
        <v>46119.729166666664</v>
      </c>
      <c r="G2240">
        <v>8.5</v>
      </c>
      <c r="H2240" s="9">
        <f t="shared" si="102"/>
        <v>4.4999999999999998E-2</v>
      </c>
      <c r="I2240">
        <v>4.4999999999999998E-2</v>
      </c>
      <c r="M2240" t="s">
        <v>65</v>
      </c>
      <c r="N2240" t="s">
        <v>29</v>
      </c>
      <c r="P2240" t="s">
        <v>133</v>
      </c>
      <c r="Q2240" t="s">
        <v>31</v>
      </c>
      <c r="R2240">
        <v>82301</v>
      </c>
      <c r="S2240" t="s">
        <v>79</v>
      </c>
      <c r="T2240">
        <v>82308</v>
      </c>
      <c r="U2240" t="s">
        <v>69</v>
      </c>
      <c r="V2240" t="s">
        <v>69</v>
      </c>
      <c r="W2240" t="s">
        <v>69</v>
      </c>
      <c r="X2240" t="s">
        <v>95</v>
      </c>
      <c r="Y2240" s="9">
        <f t="shared" si="103"/>
        <v>0</v>
      </c>
      <c r="Z2240" t="str">
        <f t="shared" si="104"/>
        <v>สแกนต่าง Cost</v>
      </c>
    </row>
    <row r="2241" spans="1:26" x14ac:dyDescent="0.45">
      <c r="B2241" t="s">
        <v>53</v>
      </c>
      <c r="C2241">
        <v>20075988</v>
      </c>
      <c r="D2241" t="s">
        <v>325</v>
      </c>
      <c r="E2241" s="10">
        <v>46119.333333333336</v>
      </c>
      <c r="F2241" s="10">
        <v>46119.353472222225</v>
      </c>
      <c r="G2241">
        <v>0.48333333333333334</v>
      </c>
      <c r="H2241" s="9">
        <f t="shared" si="102"/>
        <v>3.0000000000000001E-3</v>
      </c>
      <c r="I2241">
        <v>3.0000000000000001E-3</v>
      </c>
      <c r="M2241" t="s">
        <v>65</v>
      </c>
      <c r="N2241" t="s">
        <v>29</v>
      </c>
      <c r="P2241" t="s">
        <v>30</v>
      </c>
      <c r="Q2241" t="s">
        <v>31</v>
      </c>
      <c r="R2241">
        <v>82607</v>
      </c>
      <c r="S2241" t="s">
        <v>168</v>
      </c>
      <c r="T2241">
        <v>82612</v>
      </c>
      <c r="U2241" t="s">
        <v>153</v>
      </c>
      <c r="V2241" t="s">
        <v>362</v>
      </c>
      <c r="W2241" t="s">
        <v>42</v>
      </c>
      <c r="X2241" t="s">
        <v>34</v>
      </c>
      <c r="Y2241" s="9">
        <f t="shared" si="103"/>
        <v>0</v>
      </c>
      <c r="Z2241" t="str">
        <f t="shared" si="104"/>
        <v>สแกนต่าง Cost</v>
      </c>
    </row>
    <row r="2242" spans="1:26" x14ac:dyDescent="0.45">
      <c r="B2242" t="s">
        <v>53</v>
      </c>
      <c r="C2242">
        <v>20167851</v>
      </c>
      <c r="D2242" t="s">
        <v>63</v>
      </c>
      <c r="E2242" s="10">
        <v>46119.333333333336</v>
      </c>
      <c r="F2242" s="10">
        <v>46119.5</v>
      </c>
      <c r="G2242">
        <v>4</v>
      </c>
      <c r="H2242" s="9">
        <f t="shared" si="102"/>
        <v>2.1000000000000001E-2</v>
      </c>
      <c r="I2242">
        <v>2.1000000000000001E-2</v>
      </c>
      <c r="M2242" t="s">
        <v>65</v>
      </c>
      <c r="N2242" t="s">
        <v>29</v>
      </c>
      <c r="P2242" t="s">
        <v>30</v>
      </c>
      <c r="Q2242" t="s">
        <v>31</v>
      </c>
      <c r="R2242">
        <v>82640</v>
      </c>
      <c r="S2242" t="s">
        <v>42</v>
      </c>
      <c r="T2242">
        <v>82611</v>
      </c>
      <c r="U2242" t="s">
        <v>43</v>
      </c>
      <c r="V2242" t="s">
        <v>66</v>
      </c>
      <c r="W2242" t="s">
        <v>44</v>
      </c>
      <c r="X2242" t="s">
        <v>44</v>
      </c>
      <c r="Y2242" s="9">
        <f t="shared" si="103"/>
        <v>0</v>
      </c>
      <c r="Z2242" t="str">
        <f t="shared" si="104"/>
        <v>สแกนต่าง Cost</v>
      </c>
    </row>
    <row r="2243" spans="1:26" x14ac:dyDescent="0.45">
      <c r="B2243" t="s">
        <v>53</v>
      </c>
      <c r="C2243">
        <v>20198711</v>
      </c>
      <c r="D2243" t="s">
        <v>178</v>
      </c>
      <c r="E2243" s="10">
        <v>46119.333333333336</v>
      </c>
      <c r="F2243" s="10">
        <v>46119.729166666664</v>
      </c>
      <c r="G2243">
        <v>8.5</v>
      </c>
      <c r="H2243" s="9">
        <f t="shared" ref="H2243:H2306" si="105">SUM(I2243:L2243)</f>
        <v>4.4999999999999998E-2</v>
      </c>
      <c r="J2243">
        <v>4.4999999999999998E-2</v>
      </c>
      <c r="M2243" t="s">
        <v>77</v>
      </c>
      <c r="N2243" t="s">
        <v>29</v>
      </c>
      <c r="P2243" t="s">
        <v>30</v>
      </c>
      <c r="Q2243" t="s">
        <v>31</v>
      </c>
      <c r="R2243">
        <v>82630</v>
      </c>
      <c r="S2243" t="s">
        <v>32</v>
      </c>
      <c r="T2243">
        <v>82611</v>
      </c>
      <c r="U2243" t="s">
        <v>43</v>
      </c>
      <c r="V2243" t="s">
        <v>43</v>
      </c>
      <c r="W2243" t="s">
        <v>170</v>
      </c>
      <c r="X2243" t="s">
        <v>171</v>
      </c>
      <c r="Y2243" s="9">
        <f t="shared" ref="Y2243:Y2306" si="106">SUM(J2243:L2243)</f>
        <v>4.4999999999999998E-2</v>
      </c>
      <c r="Z2243" t="str">
        <f t="shared" ref="Z2243:Z2306" si="107">IF(R2243=T2243,"สแกน Cost ตัวเอง","สแกนต่าง Cost")</f>
        <v>สแกนต่าง Cost</v>
      </c>
    </row>
    <row r="2244" spans="1:26" x14ac:dyDescent="0.45">
      <c r="B2244" t="s">
        <v>53</v>
      </c>
      <c r="C2244">
        <v>20198715</v>
      </c>
      <c r="D2244" t="s">
        <v>179</v>
      </c>
      <c r="E2244" s="10">
        <v>46119.333333333336</v>
      </c>
      <c r="F2244" s="10">
        <v>46119.729166666664</v>
      </c>
      <c r="G2244">
        <v>8.5</v>
      </c>
      <c r="H2244" s="9">
        <f t="shared" si="105"/>
        <v>4.4999999999999998E-2</v>
      </c>
      <c r="I2244">
        <v>4.4999999999999998E-2</v>
      </c>
      <c r="M2244" t="s">
        <v>65</v>
      </c>
      <c r="N2244" t="s">
        <v>29</v>
      </c>
      <c r="P2244" t="s">
        <v>30</v>
      </c>
      <c r="Q2244" t="s">
        <v>31</v>
      </c>
      <c r="R2244">
        <v>82630</v>
      </c>
      <c r="S2244" t="s">
        <v>32</v>
      </c>
      <c r="T2244">
        <v>82611</v>
      </c>
      <c r="U2244" t="s">
        <v>43</v>
      </c>
      <c r="V2244" t="s">
        <v>43</v>
      </c>
      <c r="W2244" t="s">
        <v>170</v>
      </c>
      <c r="X2244" t="s">
        <v>171</v>
      </c>
      <c r="Y2244" s="9">
        <f t="shared" si="106"/>
        <v>0</v>
      </c>
      <c r="Z2244" t="str">
        <f t="shared" si="107"/>
        <v>สแกนต่าง Cost</v>
      </c>
    </row>
    <row r="2245" spans="1:26" x14ac:dyDescent="0.45">
      <c r="B2245" t="s">
        <v>53</v>
      </c>
      <c r="C2245">
        <v>20198747</v>
      </c>
      <c r="D2245" t="s">
        <v>180</v>
      </c>
      <c r="E2245" s="10">
        <v>46119.333333333336</v>
      </c>
      <c r="F2245" s="10">
        <v>46119.729166666664</v>
      </c>
      <c r="G2245">
        <v>8.5</v>
      </c>
      <c r="H2245" s="9">
        <f t="shared" si="105"/>
        <v>4.4999999999999998E-2</v>
      </c>
      <c r="I2245">
        <v>4.4999999999999998E-2</v>
      </c>
      <c r="M2245" t="s">
        <v>65</v>
      </c>
      <c r="N2245" t="s">
        <v>29</v>
      </c>
      <c r="P2245" t="s">
        <v>30</v>
      </c>
      <c r="Q2245" t="s">
        <v>31</v>
      </c>
      <c r="R2245">
        <v>82630</v>
      </c>
      <c r="S2245" t="s">
        <v>32</v>
      </c>
      <c r="T2245">
        <v>82640</v>
      </c>
      <c r="U2245" t="s">
        <v>42</v>
      </c>
      <c r="V2245" t="s">
        <v>70</v>
      </c>
      <c r="W2245" t="s">
        <v>170</v>
      </c>
      <c r="X2245" t="s">
        <v>171</v>
      </c>
      <c r="Y2245" s="9">
        <f t="shared" si="106"/>
        <v>0</v>
      </c>
      <c r="Z2245" t="str">
        <f t="shared" si="107"/>
        <v>สแกนต่าง Cost</v>
      </c>
    </row>
    <row r="2246" spans="1:26" x14ac:dyDescent="0.45">
      <c r="B2246" t="s">
        <v>53</v>
      </c>
      <c r="C2246">
        <v>20198839</v>
      </c>
      <c r="D2246" t="s">
        <v>258</v>
      </c>
      <c r="E2246" s="10">
        <v>46119.333333333336</v>
      </c>
      <c r="F2246" s="10">
        <v>46119.375</v>
      </c>
      <c r="G2246">
        <v>1</v>
      </c>
      <c r="H2246" s="9">
        <f t="shared" si="105"/>
        <v>5.0000000000000001E-3</v>
      </c>
      <c r="I2246">
        <v>5.0000000000000001E-3</v>
      </c>
      <c r="M2246" t="s">
        <v>65</v>
      </c>
      <c r="N2246" t="s">
        <v>29</v>
      </c>
      <c r="P2246" t="s">
        <v>30</v>
      </c>
      <c r="Q2246" t="s">
        <v>31</v>
      </c>
      <c r="R2246">
        <v>82640</v>
      </c>
      <c r="S2246" t="s">
        <v>42</v>
      </c>
      <c r="T2246">
        <v>82612</v>
      </c>
      <c r="U2246" t="s">
        <v>153</v>
      </c>
      <c r="V2246" t="s">
        <v>66</v>
      </c>
      <c r="W2246" t="s">
        <v>44</v>
      </c>
      <c r="X2246" t="s">
        <v>44</v>
      </c>
      <c r="Y2246" s="9">
        <f t="shared" si="106"/>
        <v>0</v>
      </c>
      <c r="Z2246" t="str">
        <f t="shared" si="107"/>
        <v>สแกนต่าง Cost</v>
      </c>
    </row>
    <row r="2247" spans="1:26" x14ac:dyDescent="0.45">
      <c r="B2247" t="s">
        <v>53</v>
      </c>
      <c r="C2247">
        <v>20220646</v>
      </c>
      <c r="D2247" t="s">
        <v>67</v>
      </c>
      <c r="E2247" s="10">
        <v>46119.333333333336</v>
      </c>
      <c r="F2247" s="10">
        <v>46119.5</v>
      </c>
      <c r="G2247">
        <v>4</v>
      </c>
      <c r="H2247" s="9">
        <f t="shared" si="105"/>
        <v>2.1000000000000001E-2</v>
      </c>
      <c r="I2247">
        <v>2.1000000000000001E-2</v>
      </c>
      <c r="M2247" t="s">
        <v>65</v>
      </c>
      <c r="N2247" t="s">
        <v>29</v>
      </c>
      <c r="P2247" t="s">
        <v>30</v>
      </c>
      <c r="Q2247" t="s">
        <v>31</v>
      </c>
      <c r="R2247">
        <v>82640</v>
      </c>
      <c r="S2247" t="s">
        <v>42</v>
      </c>
      <c r="T2247">
        <v>82652</v>
      </c>
      <c r="U2247" t="s">
        <v>46</v>
      </c>
      <c r="V2247" t="s">
        <v>66</v>
      </c>
      <c r="W2247" t="s">
        <v>37</v>
      </c>
      <c r="X2247" t="s">
        <v>34</v>
      </c>
      <c r="Y2247" s="9">
        <f t="shared" si="106"/>
        <v>0</v>
      </c>
      <c r="Z2247" t="str">
        <f t="shared" si="107"/>
        <v>สแกนต่าง Cost</v>
      </c>
    </row>
    <row r="2248" spans="1:26" x14ac:dyDescent="0.45">
      <c r="B2248" t="s">
        <v>53</v>
      </c>
      <c r="C2248">
        <v>20225092</v>
      </c>
      <c r="D2248" t="s">
        <v>335</v>
      </c>
      <c r="E2248" s="10">
        <v>46119.333333333336</v>
      </c>
      <c r="F2248" s="10">
        <v>46119.729166666664</v>
      </c>
      <c r="G2248">
        <v>8.5</v>
      </c>
      <c r="H2248" s="9">
        <f t="shared" si="105"/>
        <v>4.4999999999999998E-2</v>
      </c>
      <c r="I2248">
        <v>4.4999999999999998E-2</v>
      </c>
      <c r="M2248" t="s">
        <v>65</v>
      </c>
      <c r="N2248" t="s">
        <v>29</v>
      </c>
      <c r="P2248" t="s">
        <v>133</v>
      </c>
      <c r="Q2248" t="s">
        <v>31</v>
      </c>
      <c r="R2248">
        <v>82400</v>
      </c>
      <c r="S2248" t="s">
        <v>83</v>
      </c>
      <c r="T2248">
        <v>82664</v>
      </c>
      <c r="U2248" t="s">
        <v>75</v>
      </c>
      <c r="V2248" t="s">
        <v>336</v>
      </c>
      <c r="W2248" t="s">
        <v>44</v>
      </c>
      <c r="X2248" t="s">
        <v>44</v>
      </c>
      <c r="Y2248" s="9">
        <f t="shared" si="106"/>
        <v>0</v>
      </c>
      <c r="Z2248" t="str">
        <f t="shared" si="107"/>
        <v>สแกนต่าง Cost</v>
      </c>
    </row>
    <row r="2249" spans="1:26" x14ac:dyDescent="0.45">
      <c r="B2249" t="s">
        <v>53</v>
      </c>
      <c r="C2249">
        <v>20244923</v>
      </c>
      <c r="D2249" t="s">
        <v>246</v>
      </c>
      <c r="E2249" s="10">
        <v>46119.333333333336</v>
      </c>
      <c r="F2249" s="10">
        <v>46119.354166666664</v>
      </c>
      <c r="G2249">
        <v>0.5</v>
      </c>
      <c r="H2249" s="9">
        <f t="shared" si="105"/>
        <v>3.0000000000000001E-3</v>
      </c>
      <c r="I2249">
        <v>3.0000000000000001E-3</v>
      </c>
      <c r="M2249" t="s">
        <v>65</v>
      </c>
      <c r="N2249" t="s">
        <v>29</v>
      </c>
      <c r="P2249" t="s">
        <v>30</v>
      </c>
      <c r="Q2249" t="s">
        <v>31</v>
      </c>
      <c r="R2249">
        <v>82640</v>
      </c>
      <c r="S2249" t="s">
        <v>42</v>
      </c>
      <c r="T2249">
        <v>82611</v>
      </c>
      <c r="U2249" t="s">
        <v>43</v>
      </c>
      <c r="V2249" t="s">
        <v>66</v>
      </c>
      <c r="W2249" t="s">
        <v>44</v>
      </c>
      <c r="X2249" t="s">
        <v>44</v>
      </c>
      <c r="Y2249" s="9">
        <f t="shared" si="106"/>
        <v>0</v>
      </c>
      <c r="Z2249" t="str">
        <f t="shared" si="107"/>
        <v>สแกนต่าง Cost</v>
      </c>
    </row>
    <row r="2250" spans="1:26" x14ac:dyDescent="0.45">
      <c r="A2250">
        <v>26041</v>
      </c>
      <c r="B2250" t="s">
        <v>53</v>
      </c>
      <c r="C2250">
        <v>20267288</v>
      </c>
      <c r="D2250" t="s">
        <v>127</v>
      </c>
      <c r="E2250" s="10">
        <v>46119.333333333336</v>
      </c>
      <c r="F2250" s="10">
        <v>46119.82708333333</v>
      </c>
      <c r="G2250">
        <v>11.85</v>
      </c>
      <c r="H2250" s="9">
        <f t="shared" si="105"/>
        <v>6.3E-2</v>
      </c>
      <c r="I2250">
        <v>4.4999999999999998E-2</v>
      </c>
      <c r="K2250">
        <v>1.7999999999999999E-2</v>
      </c>
      <c r="M2250" t="s">
        <v>28</v>
      </c>
      <c r="N2250" t="s">
        <v>40</v>
      </c>
      <c r="O2250" t="s">
        <v>41</v>
      </c>
      <c r="P2250" t="s">
        <v>30</v>
      </c>
      <c r="Q2250" t="s">
        <v>31</v>
      </c>
      <c r="R2250">
        <v>82409</v>
      </c>
      <c r="S2250" t="s">
        <v>74</v>
      </c>
      <c r="T2250">
        <v>82664</v>
      </c>
      <c r="U2250" t="s">
        <v>75</v>
      </c>
      <c r="V2250" t="s">
        <v>75</v>
      </c>
      <c r="W2250" t="s">
        <v>74</v>
      </c>
      <c r="X2250" t="s">
        <v>74</v>
      </c>
      <c r="Y2250" s="9">
        <f t="shared" si="106"/>
        <v>1.7999999999999999E-2</v>
      </c>
      <c r="Z2250" t="str">
        <f t="shared" si="107"/>
        <v>สแกนต่าง Cost</v>
      </c>
    </row>
    <row r="2251" spans="1:26" x14ac:dyDescent="0.45">
      <c r="B2251" t="s">
        <v>53</v>
      </c>
      <c r="C2251">
        <v>20280722</v>
      </c>
      <c r="D2251" t="s">
        <v>342</v>
      </c>
      <c r="E2251" s="10">
        <v>46119.333333333336</v>
      </c>
      <c r="F2251" s="10">
        <v>46119.5</v>
      </c>
      <c r="G2251">
        <v>4</v>
      </c>
      <c r="H2251" s="9">
        <f t="shared" si="105"/>
        <v>2.1000000000000001E-2</v>
      </c>
      <c r="I2251">
        <v>2.1000000000000001E-2</v>
      </c>
      <c r="M2251" t="s">
        <v>65</v>
      </c>
      <c r="N2251" t="s">
        <v>29</v>
      </c>
      <c r="P2251" t="s">
        <v>30</v>
      </c>
      <c r="Q2251" t="s">
        <v>31</v>
      </c>
      <c r="R2251">
        <v>82640</v>
      </c>
      <c r="S2251" t="s">
        <v>42</v>
      </c>
      <c r="T2251">
        <v>82652</v>
      </c>
      <c r="U2251" t="s">
        <v>46</v>
      </c>
      <c r="V2251" t="s">
        <v>66</v>
      </c>
      <c r="W2251" t="s">
        <v>37</v>
      </c>
      <c r="X2251" t="s">
        <v>34</v>
      </c>
      <c r="Y2251" s="9">
        <f t="shared" si="106"/>
        <v>0</v>
      </c>
      <c r="Z2251" t="str">
        <f t="shared" si="107"/>
        <v>สแกนต่าง Cost</v>
      </c>
    </row>
    <row r="2252" spans="1:26" x14ac:dyDescent="0.45">
      <c r="B2252" t="s">
        <v>53</v>
      </c>
      <c r="C2252">
        <v>20310532</v>
      </c>
      <c r="D2252" t="s">
        <v>61</v>
      </c>
      <c r="E2252" s="10">
        <v>46119.333333333336</v>
      </c>
      <c r="F2252" s="10">
        <v>46119.375</v>
      </c>
      <c r="G2252">
        <v>1</v>
      </c>
      <c r="H2252" s="9">
        <f t="shared" si="105"/>
        <v>5.0000000000000001E-3</v>
      </c>
      <c r="I2252">
        <v>5.0000000000000001E-3</v>
      </c>
      <c r="M2252" t="s">
        <v>65</v>
      </c>
      <c r="N2252" t="s">
        <v>29</v>
      </c>
      <c r="P2252" t="s">
        <v>30</v>
      </c>
      <c r="Q2252" t="s">
        <v>31</v>
      </c>
      <c r="R2252">
        <v>82640</v>
      </c>
      <c r="S2252" t="s">
        <v>42</v>
      </c>
      <c r="T2252">
        <v>82630</v>
      </c>
      <c r="U2252" t="s">
        <v>32</v>
      </c>
      <c r="V2252" t="s">
        <v>66</v>
      </c>
      <c r="W2252" t="s">
        <v>44</v>
      </c>
      <c r="X2252" t="s">
        <v>44</v>
      </c>
      <c r="Y2252" s="9">
        <f t="shared" si="106"/>
        <v>0</v>
      </c>
      <c r="Z2252" t="str">
        <f t="shared" si="107"/>
        <v>สแกนต่าง Cost</v>
      </c>
    </row>
    <row r="2253" spans="1:26" x14ac:dyDescent="0.45">
      <c r="B2253" t="s">
        <v>53</v>
      </c>
      <c r="C2253">
        <v>20319535</v>
      </c>
      <c r="D2253" t="s">
        <v>36</v>
      </c>
      <c r="E2253" s="10">
        <v>46119.333333333336</v>
      </c>
      <c r="F2253" s="10">
        <v>46119.729166666664</v>
      </c>
      <c r="G2253">
        <v>9.5</v>
      </c>
      <c r="H2253" s="9">
        <f t="shared" si="105"/>
        <v>4.9999999999999996E-2</v>
      </c>
      <c r="I2253">
        <v>4.4999999999999998E-2</v>
      </c>
      <c r="K2253">
        <v>5.0000000000000001E-3</v>
      </c>
      <c r="M2253" t="s">
        <v>28</v>
      </c>
      <c r="N2253" t="s">
        <v>29</v>
      </c>
      <c r="P2253" t="s">
        <v>30</v>
      </c>
      <c r="Q2253" t="s">
        <v>31</v>
      </c>
      <c r="R2253">
        <v>82630</v>
      </c>
      <c r="S2253" t="s">
        <v>32</v>
      </c>
      <c r="T2253">
        <v>82611</v>
      </c>
      <c r="U2253" t="s">
        <v>43</v>
      </c>
      <c r="V2253" t="s">
        <v>43</v>
      </c>
      <c r="W2253" t="s">
        <v>170</v>
      </c>
      <c r="X2253" t="s">
        <v>171</v>
      </c>
      <c r="Y2253" s="9">
        <f t="shared" si="106"/>
        <v>5.0000000000000001E-3</v>
      </c>
      <c r="Z2253" t="str">
        <f t="shared" si="107"/>
        <v>สแกนต่าง Cost</v>
      </c>
    </row>
    <row r="2254" spans="1:26" x14ac:dyDescent="0.45">
      <c r="B2254" t="s">
        <v>53</v>
      </c>
      <c r="C2254">
        <v>20330032</v>
      </c>
      <c r="D2254" t="s">
        <v>204</v>
      </c>
      <c r="E2254" s="10">
        <v>46119.333333333336</v>
      </c>
      <c r="F2254" s="10">
        <v>46119.729166666664</v>
      </c>
      <c r="G2254">
        <v>8.5</v>
      </c>
      <c r="H2254" s="9">
        <f t="shared" si="105"/>
        <v>4.4999999999999998E-2</v>
      </c>
      <c r="I2254">
        <v>4.4999999999999998E-2</v>
      </c>
      <c r="M2254" t="s">
        <v>65</v>
      </c>
      <c r="N2254" t="s">
        <v>29</v>
      </c>
      <c r="P2254" t="s">
        <v>30</v>
      </c>
      <c r="Q2254" t="s">
        <v>31</v>
      </c>
      <c r="R2254">
        <v>82910</v>
      </c>
      <c r="S2254" t="s">
        <v>201</v>
      </c>
      <c r="T2254">
        <v>82611</v>
      </c>
      <c r="U2254" t="s">
        <v>43</v>
      </c>
      <c r="V2254" t="s">
        <v>43</v>
      </c>
      <c r="W2254" t="s">
        <v>148</v>
      </c>
      <c r="X2254" t="s">
        <v>171</v>
      </c>
      <c r="Y2254" s="9">
        <f t="shared" si="106"/>
        <v>0</v>
      </c>
      <c r="Z2254" t="str">
        <f t="shared" si="107"/>
        <v>สแกนต่าง Cost</v>
      </c>
    </row>
    <row r="2255" spans="1:26" x14ac:dyDescent="0.45">
      <c r="B2255" t="s">
        <v>53</v>
      </c>
      <c r="C2255">
        <v>20332134</v>
      </c>
      <c r="D2255" t="s">
        <v>156</v>
      </c>
      <c r="E2255" s="10">
        <v>46119.333333333336</v>
      </c>
      <c r="F2255" s="10">
        <v>46119.375</v>
      </c>
      <c r="G2255">
        <v>1</v>
      </c>
      <c r="H2255" s="9">
        <f t="shared" si="105"/>
        <v>5.0000000000000001E-3</v>
      </c>
      <c r="I2255">
        <v>5.0000000000000001E-3</v>
      </c>
      <c r="M2255" t="s">
        <v>65</v>
      </c>
      <c r="N2255" t="s">
        <v>29</v>
      </c>
      <c r="P2255" t="s">
        <v>30</v>
      </c>
      <c r="Q2255" t="s">
        <v>31</v>
      </c>
      <c r="R2255">
        <v>82640</v>
      </c>
      <c r="S2255" t="s">
        <v>42</v>
      </c>
      <c r="T2255">
        <v>82630</v>
      </c>
      <c r="U2255" t="s">
        <v>32</v>
      </c>
      <c r="V2255" t="s">
        <v>66</v>
      </c>
      <c r="W2255" t="s">
        <v>44</v>
      </c>
      <c r="X2255" t="s">
        <v>44</v>
      </c>
      <c r="Y2255" s="9">
        <f t="shared" si="106"/>
        <v>0</v>
      </c>
      <c r="Z2255" t="str">
        <f t="shared" si="107"/>
        <v>สแกนต่าง Cost</v>
      </c>
    </row>
    <row r="2256" spans="1:26" x14ac:dyDescent="0.45">
      <c r="B2256" t="s">
        <v>53</v>
      </c>
      <c r="C2256">
        <v>20344532</v>
      </c>
      <c r="D2256" t="s">
        <v>186</v>
      </c>
      <c r="E2256" s="10">
        <v>46119.333333333336</v>
      </c>
      <c r="F2256" s="10">
        <v>46119.729166666664</v>
      </c>
      <c r="G2256">
        <v>9.5</v>
      </c>
      <c r="H2256" s="9">
        <f t="shared" si="105"/>
        <v>4.9999999999999996E-2</v>
      </c>
      <c r="I2256">
        <v>4.4999999999999998E-2</v>
      </c>
      <c r="K2256">
        <v>5.0000000000000001E-3</v>
      </c>
      <c r="M2256" t="s">
        <v>28</v>
      </c>
      <c r="N2256" t="s">
        <v>29</v>
      </c>
      <c r="P2256" t="s">
        <v>30</v>
      </c>
      <c r="Q2256" t="s">
        <v>31</v>
      </c>
      <c r="R2256">
        <v>82630</v>
      </c>
      <c r="S2256" t="s">
        <v>32</v>
      </c>
      <c r="T2256">
        <v>82611</v>
      </c>
      <c r="U2256" t="s">
        <v>43</v>
      </c>
      <c r="V2256" t="s">
        <v>43</v>
      </c>
      <c r="W2256" t="s">
        <v>170</v>
      </c>
      <c r="X2256" t="s">
        <v>171</v>
      </c>
      <c r="Y2256" s="9">
        <f t="shared" si="106"/>
        <v>5.0000000000000001E-3</v>
      </c>
      <c r="Z2256" t="str">
        <f t="shared" si="107"/>
        <v>สแกนต่าง Cost</v>
      </c>
    </row>
    <row r="2257" spans="1:26" x14ac:dyDescent="0.45">
      <c r="A2257">
        <v>26039</v>
      </c>
      <c r="B2257" t="s">
        <v>53</v>
      </c>
      <c r="C2257">
        <v>20344551</v>
      </c>
      <c r="D2257" t="s">
        <v>110</v>
      </c>
      <c r="E2257" s="10">
        <v>46119.333333333336</v>
      </c>
      <c r="F2257" s="10">
        <v>46119.729166666664</v>
      </c>
      <c r="G2257">
        <v>8.5</v>
      </c>
      <c r="H2257" s="9">
        <f t="shared" si="105"/>
        <v>4.4999999999999998E-2</v>
      </c>
      <c r="I2257">
        <v>4.4999999999999998E-2</v>
      </c>
      <c r="M2257" t="s">
        <v>65</v>
      </c>
      <c r="N2257" t="s">
        <v>29</v>
      </c>
      <c r="P2257" t="s">
        <v>30</v>
      </c>
      <c r="Q2257" t="s">
        <v>31</v>
      </c>
      <c r="R2257">
        <v>82655</v>
      </c>
      <c r="S2257" t="s">
        <v>59</v>
      </c>
      <c r="T2257">
        <v>82664</v>
      </c>
      <c r="U2257" t="s">
        <v>75</v>
      </c>
      <c r="V2257" t="s">
        <v>75</v>
      </c>
      <c r="W2257" t="s">
        <v>37</v>
      </c>
      <c r="X2257" t="s">
        <v>111</v>
      </c>
      <c r="Y2257" s="9">
        <f t="shared" si="106"/>
        <v>0</v>
      </c>
      <c r="Z2257" t="str">
        <f t="shared" si="107"/>
        <v>สแกนต่าง Cost</v>
      </c>
    </row>
    <row r="2258" spans="1:26" x14ac:dyDescent="0.45">
      <c r="A2258">
        <v>26040</v>
      </c>
      <c r="B2258" t="s">
        <v>53</v>
      </c>
      <c r="C2258">
        <v>20344552</v>
      </c>
      <c r="D2258" t="s">
        <v>112</v>
      </c>
      <c r="E2258" s="10">
        <v>46119.333333333336</v>
      </c>
      <c r="F2258" s="10">
        <v>46119.729166666664</v>
      </c>
      <c r="G2258">
        <v>8.5</v>
      </c>
      <c r="H2258" s="9">
        <f t="shared" si="105"/>
        <v>4.4999999999999998E-2</v>
      </c>
      <c r="I2258">
        <v>4.4999999999999998E-2</v>
      </c>
      <c r="M2258" t="s">
        <v>65</v>
      </c>
      <c r="N2258" t="s">
        <v>29</v>
      </c>
      <c r="P2258" t="s">
        <v>30</v>
      </c>
      <c r="Q2258" t="s">
        <v>31</v>
      </c>
      <c r="R2258">
        <v>82655</v>
      </c>
      <c r="S2258" t="s">
        <v>59</v>
      </c>
      <c r="T2258">
        <v>82664</v>
      </c>
      <c r="U2258" t="s">
        <v>75</v>
      </c>
      <c r="V2258" t="s">
        <v>75</v>
      </c>
      <c r="W2258" t="s">
        <v>37</v>
      </c>
      <c r="X2258" t="s">
        <v>111</v>
      </c>
      <c r="Y2258" s="9">
        <f t="shared" si="106"/>
        <v>0</v>
      </c>
      <c r="Z2258" t="str">
        <f t="shared" si="107"/>
        <v>สแกนต่าง Cost</v>
      </c>
    </row>
    <row r="2259" spans="1:26" x14ac:dyDescent="0.45">
      <c r="B2259" t="s">
        <v>53</v>
      </c>
      <c r="C2259">
        <v>20352276</v>
      </c>
      <c r="D2259" t="s">
        <v>187</v>
      </c>
      <c r="E2259" s="10">
        <v>46119.333333333336</v>
      </c>
      <c r="F2259" s="10">
        <v>46119.729166666664</v>
      </c>
      <c r="G2259">
        <v>8.5</v>
      </c>
      <c r="H2259" s="9">
        <f t="shared" si="105"/>
        <v>4.4999999999999998E-2</v>
      </c>
      <c r="I2259">
        <v>4.4999999999999998E-2</v>
      </c>
      <c r="M2259" t="s">
        <v>65</v>
      </c>
      <c r="N2259" t="s">
        <v>29</v>
      </c>
      <c r="P2259" t="s">
        <v>30</v>
      </c>
      <c r="Q2259" t="s">
        <v>31</v>
      </c>
      <c r="R2259">
        <v>82630</v>
      </c>
      <c r="S2259" t="s">
        <v>32</v>
      </c>
      <c r="T2259">
        <v>82611</v>
      </c>
      <c r="U2259" t="s">
        <v>43</v>
      </c>
      <c r="V2259" t="s">
        <v>43</v>
      </c>
      <c r="W2259" t="s">
        <v>170</v>
      </c>
      <c r="X2259" t="s">
        <v>171</v>
      </c>
      <c r="Y2259" s="9">
        <f t="shared" si="106"/>
        <v>0</v>
      </c>
      <c r="Z2259" t="str">
        <f t="shared" si="107"/>
        <v>สแกนต่าง Cost</v>
      </c>
    </row>
    <row r="2260" spans="1:26" x14ac:dyDescent="0.45">
      <c r="B2260" t="s">
        <v>53</v>
      </c>
      <c r="C2260">
        <v>20373210</v>
      </c>
      <c r="D2260" t="s">
        <v>206</v>
      </c>
      <c r="E2260" s="10">
        <v>46119.333333333336</v>
      </c>
      <c r="F2260" s="10">
        <v>46119.729166666664</v>
      </c>
      <c r="G2260">
        <v>8.5</v>
      </c>
      <c r="H2260" s="9">
        <f t="shared" si="105"/>
        <v>4.4999999999999998E-2</v>
      </c>
      <c r="I2260">
        <v>4.4999999999999998E-2</v>
      </c>
      <c r="M2260" t="s">
        <v>65</v>
      </c>
      <c r="N2260" t="s">
        <v>29</v>
      </c>
      <c r="P2260" t="s">
        <v>30</v>
      </c>
      <c r="Q2260" t="s">
        <v>31</v>
      </c>
      <c r="R2260">
        <v>82910</v>
      </c>
      <c r="S2260" t="s">
        <v>201</v>
      </c>
      <c r="T2260">
        <v>82611</v>
      </c>
      <c r="U2260" t="s">
        <v>43</v>
      </c>
      <c r="V2260" t="s">
        <v>43</v>
      </c>
      <c r="W2260" t="s">
        <v>148</v>
      </c>
      <c r="X2260" t="s">
        <v>171</v>
      </c>
      <c r="Y2260" s="9">
        <f t="shared" si="106"/>
        <v>0</v>
      </c>
      <c r="Z2260" t="str">
        <f t="shared" si="107"/>
        <v>สแกนต่าง Cost</v>
      </c>
    </row>
    <row r="2261" spans="1:26" x14ac:dyDescent="0.45">
      <c r="A2261">
        <v>26037</v>
      </c>
      <c r="B2261" t="s">
        <v>53</v>
      </c>
      <c r="C2261">
        <v>20198835</v>
      </c>
      <c r="D2261" t="s">
        <v>129</v>
      </c>
      <c r="E2261" s="10">
        <v>46119.330555555556</v>
      </c>
      <c r="F2261" s="10">
        <v>46119.729166666664</v>
      </c>
      <c r="G2261">
        <v>8.5666666666666664</v>
      </c>
      <c r="H2261" s="9">
        <f t="shared" si="105"/>
        <v>4.5999999999999999E-2</v>
      </c>
      <c r="I2261">
        <v>4.5999999999999999E-2</v>
      </c>
      <c r="M2261" t="s">
        <v>65</v>
      </c>
      <c r="N2261" t="s">
        <v>29</v>
      </c>
      <c r="P2261" t="s">
        <v>30</v>
      </c>
      <c r="Q2261" t="s">
        <v>31</v>
      </c>
      <c r="R2261">
        <v>82658</v>
      </c>
      <c r="S2261" t="s">
        <v>33</v>
      </c>
      <c r="T2261">
        <v>82664</v>
      </c>
      <c r="U2261" t="s">
        <v>75</v>
      </c>
      <c r="V2261" t="s">
        <v>75</v>
      </c>
      <c r="W2261" t="s">
        <v>37</v>
      </c>
      <c r="X2261" t="s">
        <v>111</v>
      </c>
      <c r="Y2261" s="9">
        <f t="shared" si="106"/>
        <v>0</v>
      </c>
      <c r="Z2261" t="str">
        <f t="shared" si="107"/>
        <v>สแกนต่าง Cost</v>
      </c>
    </row>
    <row r="2262" spans="1:26" x14ac:dyDescent="0.45">
      <c r="A2262">
        <v>26038</v>
      </c>
      <c r="B2262" t="s">
        <v>53</v>
      </c>
      <c r="C2262">
        <v>20372709</v>
      </c>
      <c r="D2262" t="s">
        <v>130</v>
      </c>
      <c r="E2262" s="10">
        <v>46119.330555555556</v>
      </c>
      <c r="F2262" s="10">
        <v>46119.729166666664</v>
      </c>
      <c r="G2262">
        <v>8.5666666666666664</v>
      </c>
      <c r="H2262" s="9">
        <f t="shared" si="105"/>
        <v>4.5999999999999999E-2</v>
      </c>
      <c r="I2262">
        <v>4.5999999999999999E-2</v>
      </c>
      <c r="M2262" t="s">
        <v>65</v>
      </c>
      <c r="N2262" t="s">
        <v>29</v>
      </c>
      <c r="P2262" t="s">
        <v>30</v>
      </c>
      <c r="Q2262" t="s">
        <v>31</v>
      </c>
      <c r="R2262">
        <v>82658</v>
      </c>
      <c r="S2262" t="s">
        <v>33</v>
      </c>
      <c r="T2262">
        <v>82664</v>
      </c>
      <c r="U2262" t="s">
        <v>75</v>
      </c>
      <c r="V2262" t="s">
        <v>75</v>
      </c>
      <c r="W2262" t="s">
        <v>37</v>
      </c>
      <c r="X2262" t="s">
        <v>111</v>
      </c>
      <c r="Y2262" s="9">
        <f t="shared" si="106"/>
        <v>0</v>
      </c>
      <c r="Z2262" t="str">
        <f t="shared" si="107"/>
        <v>สแกนต่าง Cost</v>
      </c>
    </row>
    <row r="2263" spans="1:26" x14ac:dyDescent="0.45">
      <c r="A2263">
        <v>26036</v>
      </c>
      <c r="B2263" t="s">
        <v>53</v>
      </c>
      <c r="C2263">
        <v>20030839</v>
      </c>
      <c r="D2263" t="s">
        <v>235</v>
      </c>
      <c r="E2263" s="10">
        <v>46119.329861111109</v>
      </c>
      <c r="F2263" s="10">
        <v>46119.729166666664</v>
      </c>
      <c r="G2263">
        <v>8.5833333333333339</v>
      </c>
      <c r="H2263" s="9">
        <f t="shared" si="105"/>
        <v>4.5999999999999999E-2</v>
      </c>
      <c r="I2263">
        <v>4.5999999999999999E-2</v>
      </c>
      <c r="M2263" t="s">
        <v>65</v>
      </c>
      <c r="N2263" t="s">
        <v>29</v>
      </c>
      <c r="P2263" t="s">
        <v>30</v>
      </c>
      <c r="Q2263" t="s">
        <v>31</v>
      </c>
      <c r="R2263">
        <v>82658</v>
      </c>
      <c r="S2263" t="s">
        <v>33</v>
      </c>
      <c r="T2263">
        <v>82664</v>
      </c>
      <c r="U2263" t="s">
        <v>75</v>
      </c>
      <c r="V2263" t="s">
        <v>75</v>
      </c>
      <c r="W2263" t="s">
        <v>37</v>
      </c>
      <c r="X2263" t="s">
        <v>111</v>
      </c>
      <c r="Y2263" s="9">
        <f t="shared" si="106"/>
        <v>0</v>
      </c>
      <c r="Z2263" t="str">
        <f t="shared" si="107"/>
        <v>สแกนต่าง Cost</v>
      </c>
    </row>
    <row r="2264" spans="1:26" x14ac:dyDescent="0.45">
      <c r="A2264">
        <v>26035</v>
      </c>
      <c r="B2264" t="s">
        <v>53</v>
      </c>
      <c r="C2264">
        <v>20162724</v>
      </c>
      <c r="D2264" t="s">
        <v>128</v>
      </c>
      <c r="E2264" s="10">
        <v>46119.329861111109</v>
      </c>
      <c r="F2264" s="10">
        <v>46119.729166666664</v>
      </c>
      <c r="G2264">
        <v>8.5833333333333339</v>
      </c>
      <c r="H2264" s="9">
        <f t="shared" si="105"/>
        <v>4.5999999999999999E-2</v>
      </c>
      <c r="I2264">
        <v>4.5999999999999999E-2</v>
      </c>
      <c r="M2264" t="s">
        <v>65</v>
      </c>
      <c r="N2264" t="s">
        <v>29</v>
      </c>
      <c r="P2264" t="s">
        <v>30</v>
      </c>
      <c r="Q2264" t="s">
        <v>31</v>
      </c>
      <c r="R2264">
        <v>82658</v>
      </c>
      <c r="S2264" t="s">
        <v>33</v>
      </c>
      <c r="T2264">
        <v>82664</v>
      </c>
      <c r="U2264" t="s">
        <v>75</v>
      </c>
      <c r="V2264" t="s">
        <v>75</v>
      </c>
      <c r="W2264" t="s">
        <v>37</v>
      </c>
      <c r="X2264" t="s">
        <v>111</v>
      </c>
      <c r="Y2264" s="9">
        <f t="shared" si="106"/>
        <v>0</v>
      </c>
      <c r="Z2264" t="str">
        <f t="shared" si="107"/>
        <v>สแกนต่าง Cost</v>
      </c>
    </row>
    <row r="2265" spans="1:26" x14ac:dyDescent="0.45">
      <c r="A2265">
        <v>25669</v>
      </c>
      <c r="B2265" t="s">
        <v>53</v>
      </c>
      <c r="C2265">
        <v>20017430</v>
      </c>
      <c r="D2265" t="s">
        <v>94</v>
      </c>
      <c r="E2265" s="10">
        <v>46119.291666666664</v>
      </c>
      <c r="F2265" s="10">
        <v>46119.729166666664</v>
      </c>
      <c r="G2265">
        <v>10.5</v>
      </c>
      <c r="H2265" s="9">
        <f t="shared" si="105"/>
        <v>5.5999999999999994E-2</v>
      </c>
      <c r="I2265">
        <v>4.4999999999999998E-2</v>
      </c>
      <c r="K2265">
        <v>1.0999999999999999E-2</v>
      </c>
      <c r="M2265" t="s">
        <v>28</v>
      </c>
      <c r="N2265" t="s">
        <v>40</v>
      </c>
      <c r="O2265" t="s">
        <v>241</v>
      </c>
      <c r="P2265" t="s">
        <v>30</v>
      </c>
      <c r="Q2265" t="s">
        <v>31</v>
      </c>
      <c r="R2265">
        <v>82301</v>
      </c>
      <c r="S2265" t="s">
        <v>79</v>
      </c>
      <c r="T2265">
        <v>82308</v>
      </c>
      <c r="U2265" t="s">
        <v>69</v>
      </c>
      <c r="V2265" t="s">
        <v>69</v>
      </c>
      <c r="W2265" t="s">
        <v>69</v>
      </c>
      <c r="X2265" t="s">
        <v>95</v>
      </c>
      <c r="Y2265" s="9">
        <f t="shared" si="106"/>
        <v>1.0999999999999999E-2</v>
      </c>
      <c r="Z2265" t="str">
        <f t="shared" si="107"/>
        <v>สแกนต่าง Cost</v>
      </c>
    </row>
    <row r="2266" spans="1:26" x14ac:dyDescent="0.45">
      <c r="A2266">
        <v>25668</v>
      </c>
      <c r="B2266" t="s">
        <v>53</v>
      </c>
      <c r="C2266">
        <v>20038911</v>
      </c>
      <c r="D2266" t="s">
        <v>240</v>
      </c>
      <c r="E2266" s="10">
        <v>46119.291666666664</v>
      </c>
      <c r="F2266" s="10">
        <v>46119.333333333336</v>
      </c>
      <c r="G2266">
        <v>1</v>
      </c>
      <c r="H2266" s="9">
        <f t="shared" si="105"/>
        <v>5.0000000000000001E-3</v>
      </c>
      <c r="K2266">
        <v>5.0000000000000001E-3</v>
      </c>
      <c r="M2266" t="s">
        <v>28</v>
      </c>
      <c r="N2266" t="s">
        <v>40</v>
      </c>
      <c r="O2266" t="s">
        <v>241</v>
      </c>
      <c r="P2266" t="s">
        <v>30</v>
      </c>
      <c r="Q2266" t="s">
        <v>31</v>
      </c>
      <c r="R2266">
        <v>82301</v>
      </c>
      <c r="S2266" t="s">
        <v>79</v>
      </c>
      <c r="T2266">
        <v>82308</v>
      </c>
      <c r="U2266" t="s">
        <v>69</v>
      </c>
      <c r="V2266" t="s">
        <v>69</v>
      </c>
      <c r="W2266" t="s">
        <v>69</v>
      </c>
      <c r="X2266" t="s">
        <v>95</v>
      </c>
      <c r="Y2266" s="9">
        <f t="shared" si="106"/>
        <v>5.0000000000000001E-3</v>
      </c>
      <c r="Z2266" t="str">
        <f t="shared" si="107"/>
        <v>สแกนต่าง Cost</v>
      </c>
    </row>
    <row r="2267" spans="1:26" x14ac:dyDescent="0.45">
      <c r="A2267">
        <v>25670</v>
      </c>
      <c r="B2267" t="s">
        <v>53</v>
      </c>
      <c r="C2267">
        <v>20276269</v>
      </c>
      <c r="D2267" t="s">
        <v>134</v>
      </c>
      <c r="E2267" s="10">
        <v>46119.291666666664</v>
      </c>
      <c r="F2267" s="10">
        <v>46119.458333333336</v>
      </c>
      <c r="G2267">
        <v>4</v>
      </c>
      <c r="H2267" s="9">
        <f t="shared" si="105"/>
        <v>2.1000000000000001E-2</v>
      </c>
      <c r="I2267">
        <v>2.1000000000000001E-2</v>
      </c>
      <c r="M2267" t="s">
        <v>65</v>
      </c>
      <c r="N2267" t="s">
        <v>29</v>
      </c>
      <c r="P2267" t="s">
        <v>30</v>
      </c>
      <c r="Q2267" t="s">
        <v>31</v>
      </c>
      <c r="R2267">
        <v>82308</v>
      </c>
      <c r="S2267" t="s">
        <v>69</v>
      </c>
      <c r="T2267">
        <v>82301</v>
      </c>
      <c r="U2267" t="s">
        <v>79</v>
      </c>
      <c r="V2267" t="s">
        <v>79</v>
      </c>
      <c r="W2267" t="s">
        <v>80</v>
      </c>
      <c r="X2267" t="s">
        <v>135</v>
      </c>
      <c r="Y2267" s="9">
        <f t="shared" si="106"/>
        <v>0</v>
      </c>
      <c r="Z2267" t="str">
        <f t="shared" si="107"/>
        <v>สแกนต่าง Cost</v>
      </c>
    </row>
    <row r="2268" spans="1:26" x14ac:dyDescent="0.45">
      <c r="A2268">
        <v>26034</v>
      </c>
      <c r="B2268" t="s">
        <v>53</v>
      </c>
      <c r="C2268">
        <v>20214280</v>
      </c>
      <c r="D2268" t="s">
        <v>136</v>
      </c>
      <c r="E2268" s="10">
        <v>46119.248611111114</v>
      </c>
      <c r="F2268" s="10">
        <v>46119.729166666664</v>
      </c>
      <c r="G2268">
        <v>11.533333333333333</v>
      </c>
      <c r="H2268" s="9">
        <f t="shared" si="105"/>
        <v>6.0999999999999999E-2</v>
      </c>
      <c r="I2268">
        <v>4.4999999999999998E-2</v>
      </c>
      <c r="K2268">
        <v>1.6E-2</v>
      </c>
      <c r="M2268" t="s">
        <v>28</v>
      </c>
      <c r="N2268" t="s">
        <v>40</v>
      </c>
      <c r="O2268" t="s">
        <v>41</v>
      </c>
      <c r="P2268" t="s">
        <v>30</v>
      </c>
      <c r="Q2268" t="s">
        <v>31</v>
      </c>
      <c r="R2268">
        <v>82415</v>
      </c>
      <c r="S2268" t="s">
        <v>137</v>
      </c>
      <c r="T2268">
        <v>82664</v>
      </c>
      <c r="U2268" t="s">
        <v>75</v>
      </c>
      <c r="V2268" t="s">
        <v>75</v>
      </c>
      <c r="W2268" t="s">
        <v>74</v>
      </c>
      <c r="X2268" t="s">
        <v>74</v>
      </c>
      <c r="Y2268" s="9">
        <f t="shared" si="106"/>
        <v>1.6E-2</v>
      </c>
      <c r="Z2268" t="str">
        <f t="shared" si="107"/>
        <v>สแกนต่าง Cost</v>
      </c>
    </row>
    <row r="2269" spans="1:26" x14ac:dyDescent="0.45">
      <c r="A2269">
        <v>26033</v>
      </c>
      <c r="B2269" t="s">
        <v>53</v>
      </c>
      <c r="C2269">
        <v>20198721</v>
      </c>
      <c r="D2269" t="s">
        <v>35</v>
      </c>
      <c r="E2269" s="10">
        <v>46118.837500000001</v>
      </c>
      <c r="F2269" s="10">
        <v>46119.201388888891</v>
      </c>
      <c r="G2269">
        <v>7.7333333333333325</v>
      </c>
      <c r="H2269" s="9">
        <f t="shared" si="105"/>
        <v>4.1000000000000002E-2</v>
      </c>
      <c r="J2269">
        <v>4.1000000000000002E-2</v>
      </c>
      <c r="M2269" t="s">
        <v>77</v>
      </c>
      <c r="N2269" t="s">
        <v>40</v>
      </c>
      <c r="O2269" t="s">
        <v>247</v>
      </c>
      <c r="P2269" t="s">
        <v>30</v>
      </c>
      <c r="Q2269" t="s">
        <v>31</v>
      </c>
      <c r="R2269">
        <v>82630</v>
      </c>
      <c r="S2269" t="s">
        <v>32</v>
      </c>
      <c r="T2269">
        <v>82658</v>
      </c>
      <c r="U2269" t="s">
        <v>33</v>
      </c>
      <c r="V2269" t="s">
        <v>33</v>
      </c>
      <c r="W2269" t="s">
        <v>34</v>
      </c>
      <c r="X2269" t="s">
        <v>34</v>
      </c>
      <c r="Y2269" s="9">
        <f t="shared" si="106"/>
        <v>4.1000000000000002E-2</v>
      </c>
      <c r="Z2269" t="str">
        <f t="shared" si="107"/>
        <v>สแกนต่าง Cost</v>
      </c>
    </row>
    <row r="2270" spans="1:26" x14ac:dyDescent="0.45">
      <c r="A2270">
        <v>26031</v>
      </c>
      <c r="B2270" t="s">
        <v>53</v>
      </c>
      <c r="C2270">
        <v>20049568</v>
      </c>
      <c r="D2270" t="s">
        <v>368</v>
      </c>
      <c r="E2270" s="10">
        <v>46118.836805555555</v>
      </c>
      <c r="F2270" s="10">
        <v>46119.201388888891</v>
      </c>
      <c r="G2270">
        <v>7.75</v>
      </c>
      <c r="H2270" s="9">
        <f t="shared" si="105"/>
        <v>4.1000000000000002E-2</v>
      </c>
      <c r="J2270">
        <v>4.1000000000000002E-2</v>
      </c>
      <c r="M2270" t="s">
        <v>77</v>
      </c>
      <c r="N2270" t="s">
        <v>40</v>
      </c>
      <c r="O2270" t="s">
        <v>247</v>
      </c>
      <c r="P2270" t="s">
        <v>30</v>
      </c>
      <c r="Q2270" t="s">
        <v>31</v>
      </c>
      <c r="R2270">
        <v>82630</v>
      </c>
      <c r="S2270" t="s">
        <v>32</v>
      </c>
      <c r="T2270">
        <v>82658</v>
      </c>
      <c r="U2270" t="s">
        <v>33</v>
      </c>
      <c r="V2270" t="s">
        <v>33</v>
      </c>
      <c r="W2270" t="s">
        <v>37</v>
      </c>
      <c r="X2270" t="s">
        <v>38</v>
      </c>
      <c r="Y2270" s="9">
        <f t="shared" si="106"/>
        <v>4.1000000000000002E-2</v>
      </c>
      <c r="Z2270" t="str">
        <f t="shared" si="107"/>
        <v>สแกนต่าง Cost</v>
      </c>
    </row>
    <row r="2271" spans="1:26" x14ac:dyDescent="0.45">
      <c r="A2271">
        <v>26030</v>
      </c>
      <c r="B2271" t="s">
        <v>53</v>
      </c>
      <c r="C2271">
        <v>20319535</v>
      </c>
      <c r="D2271" t="s">
        <v>36</v>
      </c>
      <c r="E2271" s="10">
        <v>46118.836805555555</v>
      </c>
      <c r="F2271" s="10">
        <v>46119.201388888891</v>
      </c>
      <c r="G2271">
        <v>7.75</v>
      </c>
      <c r="H2271" s="9">
        <f t="shared" si="105"/>
        <v>4.1000000000000002E-2</v>
      </c>
      <c r="J2271">
        <v>4.1000000000000002E-2</v>
      </c>
      <c r="M2271" t="s">
        <v>77</v>
      </c>
      <c r="N2271" t="s">
        <v>40</v>
      </c>
      <c r="O2271" t="s">
        <v>247</v>
      </c>
      <c r="P2271" t="s">
        <v>30</v>
      </c>
      <c r="Q2271" t="s">
        <v>31</v>
      </c>
      <c r="R2271">
        <v>82630</v>
      </c>
      <c r="S2271" t="s">
        <v>32</v>
      </c>
      <c r="T2271">
        <v>82658</v>
      </c>
      <c r="U2271" t="s">
        <v>33</v>
      </c>
      <c r="V2271" t="s">
        <v>33</v>
      </c>
      <c r="W2271" t="s">
        <v>37</v>
      </c>
      <c r="X2271" t="s">
        <v>38</v>
      </c>
      <c r="Y2271" s="9">
        <f t="shared" si="106"/>
        <v>4.1000000000000002E-2</v>
      </c>
      <c r="Z2271" t="str">
        <f t="shared" si="107"/>
        <v>สแกนต่าง Cost</v>
      </c>
    </row>
    <row r="2272" spans="1:26" x14ac:dyDescent="0.45">
      <c r="B2272" t="s">
        <v>53</v>
      </c>
      <c r="C2272">
        <v>20023373</v>
      </c>
      <c r="D2272" t="s">
        <v>97</v>
      </c>
      <c r="E2272" s="10">
        <v>46118.701388888891</v>
      </c>
      <c r="F2272" s="10">
        <v>46118.729166666664</v>
      </c>
      <c r="G2272">
        <v>0.66666666666666663</v>
      </c>
      <c r="H2272" s="9">
        <f t="shared" si="105"/>
        <v>4.0000000000000001E-3</v>
      </c>
      <c r="I2272">
        <v>4.0000000000000001E-3</v>
      </c>
      <c r="M2272" t="s">
        <v>65</v>
      </c>
      <c r="N2272" t="s">
        <v>29</v>
      </c>
      <c r="P2272" t="s">
        <v>30</v>
      </c>
      <c r="Q2272" t="s">
        <v>31</v>
      </c>
      <c r="R2272">
        <v>82630</v>
      </c>
      <c r="S2272" t="s">
        <v>32</v>
      </c>
      <c r="T2272">
        <v>82611</v>
      </c>
      <c r="U2272" t="s">
        <v>43</v>
      </c>
      <c r="V2272" t="s">
        <v>43</v>
      </c>
      <c r="W2272" t="s">
        <v>148</v>
      </c>
      <c r="X2272" t="s">
        <v>171</v>
      </c>
      <c r="Y2272" s="9">
        <f t="shared" si="106"/>
        <v>0</v>
      </c>
      <c r="Z2272" t="str">
        <f t="shared" si="107"/>
        <v>สแกนต่าง Cost</v>
      </c>
    </row>
    <row r="2273" spans="1:26" x14ac:dyDescent="0.45">
      <c r="B2273" t="s">
        <v>53</v>
      </c>
      <c r="C2273">
        <v>20018899</v>
      </c>
      <c r="D2273" t="s">
        <v>64</v>
      </c>
      <c r="E2273" s="10">
        <v>46118.541666666664</v>
      </c>
      <c r="F2273" s="10">
        <v>46118.729166666664</v>
      </c>
      <c r="G2273">
        <v>4.5</v>
      </c>
      <c r="H2273" s="9">
        <f t="shared" si="105"/>
        <v>2.4E-2</v>
      </c>
      <c r="J2273">
        <v>2.4E-2</v>
      </c>
      <c r="M2273" t="s">
        <v>77</v>
      </c>
      <c r="N2273" t="s">
        <v>29</v>
      </c>
      <c r="P2273" t="s">
        <v>30</v>
      </c>
      <c r="Q2273" t="s">
        <v>31</v>
      </c>
      <c r="R2273">
        <v>82640</v>
      </c>
      <c r="S2273" t="s">
        <v>42</v>
      </c>
      <c r="T2273">
        <v>82652</v>
      </c>
      <c r="U2273" t="s">
        <v>46</v>
      </c>
      <c r="V2273" t="s">
        <v>66</v>
      </c>
      <c r="W2273" t="s">
        <v>37</v>
      </c>
      <c r="X2273" t="s">
        <v>34</v>
      </c>
      <c r="Y2273" s="9">
        <f t="shared" si="106"/>
        <v>2.4E-2</v>
      </c>
      <c r="Z2273" t="str">
        <f t="shared" si="107"/>
        <v>สแกนต่าง Cost</v>
      </c>
    </row>
    <row r="2274" spans="1:26" x14ac:dyDescent="0.45">
      <c r="B2274" t="s">
        <v>53</v>
      </c>
      <c r="C2274">
        <v>20220646</v>
      </c>
      <c r="D2274" t="s">
        <v>67</v>
      </c>
      <c r="E2274" s="10">
        <v>46118.541666666664</v>
      </c>
      <c r="F2274" s="10">
        <v>46118.729166666664</v>
      </c>
      <c r="G2274">
        <v>4.5</v>
      </c>
      <c r="H2274" s="9">
        <f t="shared" si="105"/>
        <v>2.4E-2</v>
      </c>
      <c r="J2274">
        <v>2.4E-2</v>
      </c>
      <c r="M2274" t="s">
        <v>77</v>
      </c>
      <c r="N2274" t="s">
        <v>29</v>
      </c>
      <c r="P2274" t="s">
        <v>30</v>
      </c>
      <c r="Q2274" t="s">
        <v>31</v>
      </c>
      <c r="R2274">
        <v>82640</v>
      </c>
      <c r="S2274" t="s">
        <v>42</v>
      </c>
      <c r="T2274">
        <v>82652</v>
      </c>
      <c r="U2274" t="s">
        <v>46</v>
      </c>
      <c r="V2274" t="s">
        <v>66</v>
      </c>
      <c r="W2274" t="s">
        <v>37</v>
      </c>
      <c r="X2274" t="s">
        <v>34</v>
      </c>
      <c r="Y2274" s="9">
        <f t="shared" si="106"/>
        <v>2.4E-2</v>
      </c>
      <c r="Z2274" t="str">
        <f t="shared" si="107"/>
        <v>สแกนต่าง Cost</v>
      </c>
    </row>
    <row r="2275" spans="1:26" x14ac:dyDescent="0.45">
      <c r="B2275" t="s">
        <v>53</v>
      </c>
      <c r="C2275">
        <v>20280722</v>
      </c>
      <c r="D2275" t="s">
        <v>342</v>
      </c>
      <c r="E2275" s="10">
        <v>46118.541666666664</v>
      </c>
      <c r="F2275" s="10">
        <v>46118.729166666664</v>
      </c>
      <c r="G2275">
        <v>4.5</v>
      </c>
      <c r="H2275" s="9">
        <f t="shared" si="105"/>
        <v>2.4E-2</v>
      </c>
      <c r="J2275">
        <v>2.4E-2</v>
      </c>
      <c r="M2275" t="s">
        <v>77</v>
      </c>
      <c r="N2275" t="s">
        <v>40</v>
      </c>
      <c r="O2275" t="s">
        <v>247</v>
      </c>
      <c r="P2275" t="s">
        <v>30</v>
      </c>
      <c r="Q2275" t="s">
        <v>31</v>
      </c>
      <c r="R2275">
        <v>82640</v>
      </c>
      <c r="S2275" t="s">
        <v>42</v>
      </c>
      <c r="T2275">
        <v>82652</v>
      </c>
      <c r="U2275" t="s">
        <v>46</v>
      </c>
      <c r="V2275" t="s">
        <v>66</v>
      </c>
      <c r="W2275" t="s">
        <v>37</v>
      </c>
      <c r="X2275" t="s">
        <v>34</v>
      </c>
      <c r="Y2275" s="9">
        <f t="shared" si="106"/>
        <v>2.4E-2</v>
      </c>
      <c r="Z2275" t="str">
        <f t="shared" si="107"/>
        <v>สแกนต่าง Cost</v>
      </c>
    </row>
    <row r="2276" spans="1:26" x14ac:dyDescent="0.45">
      <c r="B2276" t="s">
        <v>53</v>
      </c>
      <c r="C2276">
        <v>20334391</v>
      </c>
      <c r="D2276" t="s">
        <v>185</v>
      </c>
      <c r="E2276" s="10">
        <v>46118.368750000001</v>
      </c>
      <c r="F2276" s="10">
        <v>46118.706250000003</v>
      </c>
      <c r="G2276">
        <v>7.1</v>
      </c>
      <c r="H2276" s="9">
        <f t="shared" si="105"/>
        <v>3.7999999999999999E-2</v>
      </c>
      <c r="I2276">
        <v>3.7999999999999999E-2</v>
      </c>
      <c r="M2276" t="s">
        <v>65</v>
      </c>
      <c r="N2276" t="s">
        <v>29</v>
      </c>
      <c r="P2276" t="s">
        <v>30</v>
      </c>
      <c r="Q2276" t="s">
        <v>31</v>
      </c>
      <c r="R2276">
        <v>82640</v>
      </c>
      <c r="S2276" t="s">
        <v>42</v>
      </c>
      <c r="T2276">
        <v>82611</v>
      </c>
      <c r="U2276" t="s">
        <v>43</v>
      </c>
      <c r="V2276" t="s">
        <v>43</v>
      </c>
      <c r="W2276" t="s">
        <v>42</v>
      </c>
      <c r="X2276" t="s">
        <v>38</v>
      </c>
      <c r="Y2276" s="9">
        <f t="shared" si="106"/>
        <v>0</v>
      </c>
      <c r="Z2276" t="str">
        <f t="shared" si="107"/>
        <v>สแกนต่าง Cost</v>
      </c>
    </row>
    <row r="2277" spans="1:26" x14ac:dyDescent="0.45">
      <c r="A2277">
        <v>26026</v>
      </c>
      <c r="B2277" t="s">
        <v>53</v>
      </c>
      <c r="C2277">
        <v>20382170</v>
      </c>
      <c r="D2277" t="s">
        <v>118</v>
      </c>
      <c r="E2277" s="10">
        <v>46118.367361111108</v>
      </c>
      <c r="F2277" s="10">
        <v>46118.729166666664</v>
      </c>
      <c r="G2277">
        <v>7.6833333333333336</v>
      </c>
      <c r="H2277" s="9">
        <f t="shared" si="105"/>
        <v>4.1000000000000002E-2</v>
      </c>
      <c r="J2277">
        <v>4.1000000000000002E-2</v>
      </c>
      <c r="M2277" t="s">
        <v>77</v>
      </c>
      <c r="N2277" t="s">
        <v>40</v>
      </c>
      <c r="O2277" t="s">
        <v>78</v>
      </c>
      <c r="P2277" t="s">
        <v>30</v>
      </c>
      <c r="Q2277" t="s">
        <v>31</v>
      </c>
      <c r="R2277">
        <v>82400</v>
      </c>
      <c r="S2277" t="s">
        <v>83</v>
      </c>
      <c r="T2277">
        <v>82658</v>
      </c>
      <c r="U2277" t="s">
        <v>33</v>
      </c>
      <c r="V2277" t="s">
        <v>33</v>
      </c>
      <c r="W2277" t="s">
        <v>91</v>
      </c>
      <c r="X2277" t="s">
        <v>34</v>
      </c>
      <c r="Y2277" s="9">
        <f t="shared" si="106"/>
        <v>4.1000000000000002E-2</v>
      </c>
      <c r="Z2277" t="str">
        <f t="shared" si="107"/>
        <v>สแกนต่าง Cost</v>
      </c>
    </row>
    <row r="2278" spans="1:26" x14ac:dyDescent="0.45">
      <c r="A2278">
        <v>26027</v>
      </c>
      <c r="B2278" t="s">
        <v>53</v>
      </c>
      <c r="C2278">
        <v>20382171</v>
      </c>
      <c r="D2278" t="s">
        <v>119</v>
      </c>
      <c r="E2278" s="10">
        <v>46118.367361111108</v>
      </c>
      <c r="F2278" s="10">
        <v>46118.729166666664</v>
      </c>
      <c r="G2278">
        <v>7.6833333333333336</v>
      </c>
      <c r="H2278" s="9">
        <f t="shared" si="105"/>
        <v>4.1000000000000002E-2</v>
      </c>
      <c r="J2278">
        <v>4.1000000000000002E-2</v>
      </c>
      <c r="M2278" t="s">
        <v>77</v>
      </c>
      <c r="N2278" t="s">
        <v>40</v>
      </c>
      <c r="O2278" t="s">
        <v>78</v>
      </c>
      <c r="P2278" t="s">
        <v>30</v>
      </c>
      <c r="Q2278" t="s">
        <v>31</v>
      </c>
      <c r="R2278">
        <v>82400</v>
      </c>
      <c r="S2278" t="s">
        <v>83</v>
      </c>
      <c r="T2278">
        <v>82658</v>
      </c>
      <c r="U2278" t="s">
        <v>33</v>
      </c>
      <c r="V2278" t="s">
        <v>33</v>
      </c>
      <c r="W2278" t="s">
        <v>91</v>
      </c>
      <c r="X2278" t="s">
        <v>34</v>
      </c>
      <c r="Y2278" s="9">
        <f t="shared" si="106"/>
        <v>4.1000000000000002E-2</v>
      </c>
      <c r="Z2278" t="str">
        <f t="shared" si="107"/>
        <v>สแกนต่าง Cost</v>
      </c>
    </row>
    <row r="2279" spans="1:26" x14ac:dyDescent="0.45">
      <c r="A2279">
        <v>26025</v>
      </c>
      <c r="B2279" t="s">
        <v>53</v>
      </c>
      <c r="C2279">
        <v>20372080</v>
      </c>
      <c r="D2279" t="s">
        <v>117</v>
      </c>
      <c r="E2279" s="10">
        <v>46118.363194444442</v>
      </c>
      <c r="F2279" s="10">
        <v>46118.729166666664</v>
      </c>
      <c r="G2279">
        <v>7.7833333333333332</v>
      </c>
      <c r="H2279" s="9">
        <f t="shared" si="105"/>
        <v>4.2000000000000003E-2</v>
      </c>
      <c r="J2279">
        <v>4.2000000000000003E-2</v>
      </c>
      <c r="M2279" t="s">
        <v>77</v>
      </c>
      <c r="N2279" t="s">
        <v>40</v>
      </c>
      <c r="O2279" t="s">
        <v>78</v>
      </c>
      <c r="P2279" t="s">
        <v>30</v>
      </c>
      <c r="Q2279" t="s">
        <v>31</v>
      </c>
      <c r="R2279">
        <v>82400</v>
      </c>
      <c r="S2279" t="s">
        <v>83</v>
      </c>
      <c r="T2279">
        <v>82658</v>
      </c>
      <c r="U2279" t="s">
        <v>33</v>
      </c>
      <c r="V2279" t="s">
        <v>33</v>
      </c>
      <c r="W2279" t="s">
        <v>34</v>
      </c>
      <c r="X2279" t="s">
        <v>34</v>
      </c>
      <c r="Y2279" s="9">
        <f t="shared" si="106"/>
        <v>4.2000000000000003E-2</v>
      </c>
      <c r="Z2279" t="str">
        <f t="shared" si="107"/>
        <v>สแกนต่าง Cost</v>
      </c>
    </row>
    <row r="2280" spans="1:26" x14ac:dyDescent="0.45">
      <c r="A2280">
        <v>26013</v>
      </c>
      <c r="B2280" t="s">
        <v>53</v>
      </c>
      <c r="C2280">
        <v>20028097</v>
      </c>
      <c r="D2280" t="s">
        <v>139</v>
      </c>
      <c r="E2280" s="10">
        <v>46118.345833333333</v>
      </c>
      <c r="F2280" s="10">
        <v>46118.729166666664</v>
      </c>
      <c r="G2280">
        <v>8.1999999999999993</v>
      </c>
      <c r="H2280" s="9">
        <f t="shared" si="105"/>
        <v>4.3999999999999997E-2</v>
      </c>
      <c r="I2280">
        <v>4.3999999999999997E-2</v>
      </c>
      <c r="M2280" t="s">
        <v>65</v>
      </c>
      <c r="N2280" t="s">
        <v>29</v>
      </c>
      <c r="P2280" t="s">
        <v>30</v>
      </c>
      <c r="Q2280" t="s">
        <v>31</v>
      </c>
      <c r="R2280">
        <v>82652</v>
      </c>
      <c r="S2280" t="s">
        <v>46</v>
      </c>
      <c r="T2280">
        <v>82658</v>
      </c>
      <c r="U2280" t="s">
        <v>33</v>
      </c>
      <c r="V2280" t="s">
        <v>33</v>
      </c>
      <c r="W2280" t="s">
        <v>37</v>
      </c>
      <c r="X2280" t="s">
        <v>38</v>
      </c>
      <c r="Y2280" s="9">
        <f t="shared" si="106"/>
        <v>0</v>
      </c>
      <c r="Z2280" t="str">
        <f t="shared" si="107"/>
        <v>สแกนต่าง Cost</v>
      </c>
    </row>
    <row r="2281" spans="1:26" x14ac:dyDescent="0.45">
      <c r="B2281" t="s">
        <v>53</v>
      </c>
      <c r="C2281">
        <v>20077414</v>
      </c>
      <c r="D2281" t="s">
        <v>369</v>
      </c>
      <c r="E2281" s="10">
        <v>46118.345138888886</v>
      </c>
      <c r="F2281" s="10">
        <v>46118.70208333333</v>
      </c>
      <c r="G2281">
        <v>7.5666666666666664</v>
      </c>
      <c r="H2281" s="9">
        <f t="shared" si="105"/>
        <v>0.04</v>
      </c>
      <c r="I2281">
        <v>0.04</v>
      </c>
      <c r="M2281" t="s">
        <v>65</v>
      </c>
      <c r="N2281" t="s">
        <v>29</v>
      </c>
      <c r="P2281" t="s">
        <v>30</v>
      </c>
      <c r="Q2281" t="s">
        <v>31</v>
      </c>
      <c r="R2281">
        <v>82640</v>
      </c>
      <c r="S2281" t="s">
        <v>42</v>
      </c>
      <c r="T2281">
        <v>82611</v>
      </c>
      <c r="U2281" t="s">
        <v>43</v>
      </c>
      <c r="V2281" t="s">
        <v>43</v>
      </c>
      <c r="W2281" t="s">
        <v>148</v>
      </c>
      <c r="X2281" t="s">
        <v>171</v>
      </c>
      <c r="Y2281" s="9">
        <f t="shared" si="106"/>
        <v>0</v>
      </c>
      <c r="Z2281" t="str">
        <f t="shared" si="107"/>
        <v>สแกนต่าง Cost</v>
      </c>
    </row>
    <row r="2282" spans="1:26" x14ac:dyDescent="0.45">
      <c r="A2282">
        <v>26003</v>
      </c>
      <c r="B2282" t="s">
        <v>53</v>
      </c>
      <c r="C2282">
        <v>20003999</v>
      </c>
      <c r="D2282" t="s">
        <v>340</v>
      </c>
      <c r="E2282" s="10">
        <v>46118.333333333336</v>
      </c>
      <c r="F2282" s="10">
        <v>46118.729166666664</v>
      </c>
      <c r="G2282">
        <v>8.5</v>
      </c>
      <c r="H2282" s="9">
        <f t="shared" si="105"/>
        <v>4.4999999999999998E-2</v>
      </c>
      <c r="I2282">
        <v>4.4999999999999998E-2</v>
      </c>
      <c r="M2282" t="s">
        <v>65</v>
      </c>
      <c r="N2282" t="s">
        <v>29</v>
      </c>
      <c r="P2282" t="s">
        <v>30</v>
      </c>
      <c r="Q2282" t="s">
        <v>31</v>
      </c>
      <c r="R2282">
        <v>82301</v>
      </c>
      <c r="S2282" t="s">
        <v>79</v>
      </c>
      <c r="T2282">
        <v>82658</v>
      </c>
      <c r="U2282" t="s">
        <v>33</v>
      </c>
      <c r="V2282" t="s">
        <v>33</v>
      </c>
      <c r="W2282" t="s">
        <v>37</v>
      </c>
      <c r="X2282" t="s">
        <v>38</v>
      </c>
      <c r="Y2282" s="9">
        <f t="shared" si="106"/>
        <v>0</v>
      </c>
      <c r="Z2282" t="str">
        <f t="shared" si="107"/>
        <v>สแกนต่าง Cost</v>
      </c>
    </row>
    <row r="2283" spans="1:26" x14ac:dyDescent="0.45">
      <c r="B2283" t="s">
        <v>53</v>
      </c>
      <c r="C2283">
        <v>20005043</v>
      </c>
      <c r="D2283" t="s">
        <v>370</v>
      </c>
      <c r="E2283" s="10">
        <v>46118.333333333336</v>
      </c>
      <c r="F2283" s="10">
        <v>46118.70208333333</v>
      </c>
      <c r="G2283">
        <v>7.85</v>
      </c>
      <c r="H2283" s="9">
        <f t="shared" si="105"/>
        <v>4.2000000000000003E-2</v>
      </c>
      <c r="J2283">
        <v>4.2000000000000003E-2</v>
      </c>
      <c r="M2283" t="s">
        <v>77</v>
      </c>
      <c r="N2283" t="s">
        <v>40</v>
      </c>
      <c r="O2283" t="s">
        <v>251</v>
      </c>
      <c r="P2283" t="s">
        <v>30</v>
      </c>
      <c r="Q2283" t="s">
        <v>31</v>
      </c>
      <c r="R2283">
        <v>82630</v>
      </c>
      <c r="S2283" t="s">
        <v>32</v>
      </c>
      <c r="T2283">
        <v>82611</v>
      </c>
      <c r="U2283" t="s">
        <v>43</v>
      </c>
      <c r="V2283" t="s">
        <v>43</v>
      </c>
      <c r="W2283" t="s">
        <v>148</v>
      </c>
      <c r="X2283" t="s">
        <v>171</v>
      </c>
      <c r="Y2283" s="9">
        <f t="shared" si="106"/>
        <v>4.2000000000000003E-2</v>
      </c>
      <c r="Z2283" t="str">
        <f t="shared" si="107"/>
        <v>สแกนต่าง Cost</v>
      </c>
    </row>
    <row r="2284" spans="1:26" x14ac:dyDescent="0.45">
      <c r="B2284" t="s">
        <v>53</v>
      </c>
      <c r="C2284">
        <v>20015521</v>
      </c>
      <c r="D2284" t="s">
        <v>371</v>
      </c>
      <c r="E2284" s="10">
        <v>46118.333333333336</v>
      </c>
      <c r="F2284" s="10">
        <v>46118.701388888891</v>
      </c>
      <c r="G2284">
        <v>7.8333333333333339</v>
      </c>
      <c r="H2284" s="9">
        <f t="shared" si="105"/>
        <v>4.2000000000000003E-2</v>
      </c>
      <c r="I2284">
        <v>4.2000000000000003E-2</v>
      </c>
      <c r="M2284" t="s">
        <v>65</v>
      </c>
      <c r="N2284" t="s">
        <v>29</v>
      </c>
      <c r="P2284" t="s">
        <v>133</v>
      </c>
      <c r="Q2284" t="s">
        <v>31</v>
      </c>
      <c r="R2284">
        <v>82640</v>
      </c>
      <c r="S2284" t="s">
        <v>42</v>
      </c>
      <c r="T2284">
        <v>82611</v>
      </c>
      <c r="U2284" t="s">
        <v>43</v>
      </c>
      <c r="V2284" t="s">
        <v>43</v>
      </c>
      <c r="W2284" t="s">
        <v>148</v>
      </c>
      <c r="X2284" t="s">
        <v>171</v>
      </c>
      <c r="Y2284" s="9">
        <f t="shared" si="106"/>
        <v>0</v>
      </c>
      <c r="Z2284" t="str">
        <f t="shared" si="107"/>
        <v>สแกนต่าง Cost</v>
      </c>
    </row>
    <row r="2285" spans="1:26" x14ac:dyDescent="0.45">
      <c r="B2285" t="s">
        <v>53</v>
      </c>
      <c r="C2285">
        <v>20016437</v>
      </c>
      <c r="D2285" t="s">
        <v>309</v>
      </c>
      <c r="E2285" s="10">
        <v>46118.333333333336</v>
      </c>
      <c r="F2285" s="10">
        <v>46118.701388888891</v>
      </c>
      <c r="G2285">
        <v>7.8333333333333339</v>
      </c>
      <c r="H2285" s="9">
        <f t="shared" si="105"/>
        <v>4.2000000000000003E-2</v>
      </c>
      <c r="I2285">
        <v>4.2000000000000003E-2</v>
      </c>
      <c r="M2285" t="s">
        <v>65</v>
      </c>
      <c r="N2285" t="s">
        <v>29</v>
      </c>
      <c r="P2285" t="s">
        <v>30</v>
      </c>
      <c r="Q2285" t="s">
        <v>31</v>
      </c>
      <c r="R2285">
        <v>82630</v>
      </c>
      <c r="S2285" t="s">
        <v>32</v>
      </c>
      <c r="T2285">
        <v>82611</v>
      </c>
      <c r="U2285" t="s">
        <v>43</v>
      </c>
      <c r="V2285" t="s">
        <v>43</v>
      </c>
      <c r="W2285" t="s">
        <v>148</v>
      </c>
      <c r="X2285" t="s">
        <v>171</v>
      </c>
      <c r="Y2285" s="9">
        <f t="shared" si="106"/>
        <v>0</v>
      </c>
      <c r="Z2285" t="str">
        <f t="shared" si="107"/>
        <v>สแกนต่าง Cost</v>
      </c>
    </row>
    <row r="2286" spans="1:26" x14ac:dyDescent="0.45">
      <c r="B2286" t="s">
        <v>53</v>
      </c>
      <c r="C2286">
        <v>20018899</v>
      </c>
      <c r="D2286" t="s">
        <v>64</v>
      </c>
      <c r="E2286" s="10">
        <v>46118.333333333336</v>
      </c>
      <c r="F2286" s="10">
        <v>46118.5</v>
      </c>
      <c r="G2286">
        <v>4</v>
      </c>
      <c r="H2286" s="9">
        <f t="shared" si="105"/>
        <v>2.1000000000000001E-2</v>
      </c>
      <c r="J2286">
        <v>2.1000000000000001E-2</v>
      </c>
      <c r="M2286" t="s">
        <v>77</v>
      </c>
      <c r="N2286" t="s">
        <v>29</v>
      </c>
      <c r="P2286" t="s">
        <v>30</v>
      </c>
      <c r="Q2286" t="s">
        <v>31</v>
      </c>
      <c r="R2286">
        <v>82640</v>
      </c>
      <c r="S2286" t="s">
        <v>42</v>
      </c>
      <c r="T2286">
        <v>82652</v>
      </c>
      <c r="U2286" t="s">
        <v>46</v>
      </c>
      <c r="V2286" t="s">
        <v>66</v>
      </c>
      <c r="W2286" t="s">
        <v>37</v>
      </c>
      <c r="X2286" t="s">
        <v>34</v>
      </c>
      <c r="Y2286" s="9">
        <f t="shared" si="106"/>
        <v>2.1000000000000001E-2</v>
      </c>
      <c r="Z2286" t="str">
        <f t="shared" si="107"/>
        <v>สแกนต่าง Cost</v>
      </c>
    </row>
    <row r="2287" spans="1:26" x14ac:dyDescent="0.45">
      <c r="A2287">
        <v>26007</v>
      </c>
      <c r="B2287" t="s">
        <v>53</v>
      </c>
      <c r="C2287">
        <v>20023073</v>
      </c>
      <c r="D2287" t="s">
        <v>199</v>
      </c>
      <c r="E2287" s="10">
        <v>46118.333333333336</v>
      </c>
      <c r="F2287" s="10">
        <v>46118.729166666664</v>
      </c>
      <c r="G2287">
        <v>8.5</v>
      </c>
      <c r="H2287" s="9">
        <f t="shared" si="105"/>
        <v>4.4999999999999998E-2</v>
      </c>
      <c r="I2287">
        <v>4.4999999999999998E-2</v>
      </c>
      <c r="M2287" t="s">
        <v>65</v>
      </c>
      <c r="N2287" t="s">
        <v>29</v>
      </c>
      <c r="P2287" t="s">
        <v>30</v>
      </c>
      <c r="Q2287" t="s">
        <v>31</v>
      </c>
      <c r="R2287">
        <v>82301</v>
      </c>
      <c r="S2287" t="s">
        <v>79</v>
      </c>
      <c r="T2287">
        <v>82658</v>
      </c>
      <c r="U2287" t="s">
        <v>33</v>
      </c>
      <c r="V2287" t="s">
        <v>33</v>
      </c>
      <c r="W2287" t="s">
        <v>37</v>
      </c>
      <c r="X2287" t="s">
        <v>38</v>
      </c>
      <c r="Y2287" s="9">
        <f t="shared" si="106"/>
        <v>0</v>
      </c>
      <c r="Z2287" t="str">
        <f t="shared" si="107"/>
        <v>สแกนต่าง Cost</v>
      </c>
    </row>
    <row r="2288" spans="1:26" x14ac:dyDescent="0.45">
      <c r="B2288" t="s">
        <v>53</v>
      </c>
      <c r="C2288">
        <v>20023163</v>
      </c>
      <c r="D2288" t="s">
        <v>169</v>
      </c>
      <c r="E2288" s="10">
        <v>46118.333333333336</v>
      </c>
      <c r="F2288" s="10">
        <v>46118.729166666664</v>
      </c>
      <c r="G2288">
        <v>8.5</v>
      </c>
      <c r="H2288" s="9">
        <f t="shared" si="105"/>
        <v>4.4999999999999998E-2</v>
      </c>
      <c r="I2288">
        <v>4.4999999999999998E-2</v>
      </c>
      <c r="M2288" t="s">
        <v>65</v>
      </c>
      <c r="N2288" t="s">
        <v>29</v>
      </c>
      <c r="P2288" t="s">
        <v>30</v>
      </c>
      <c r="Q2288" t="s">
        <v>31</v>
      </c>
      <c r="R2288">
        <v>82630</v>
      </c>
      <c r="S2288" t="s">
        <v>32</v>
      </c>
      <c r="T2288">
        <v>82640</v>
      </c>
      <c r="U2288" t="s">
        <v>42</v>
      </c>
      <c r="V2288" t="s">
        <v>70</v>
      </c>
      <c r="W2288" t="s">
        <v>170</v>
      </c>
      <c r="X2288" t="s">
        <v>171</v>
      </c>
      <c r="Y2288" s="9">
        <f t="shared" si="106"/>
        <v>0</v>
      </c>
      <c r="Z2288" t="str">
        <f t="shared" si="107"/>
        <v>สแกนต่าง Cost</v>
      </c>
    </row>
    <row r="2289" spans="1:26" x14ac:dyDescent="0.45">
      <c r="A2289">
        <v>26000</v>
      </c>
      <c r="B2289" t="s">
        <v>53</v>
      </c>
      <c r="C2289">
        <v>20025088</v>
      </c>
      <c r="D2289" t="s">
        <v>372</v>
      </c>
      <c r="E2289" s="10">
        <v>46118.333333333336</v>
      </c>
      <c r="F2289" s="10">
        <v>46118.729166666664</v>
      </c>
      <c r="G2289">
        <v>8.5</v>
      </c>
      <c r="H2289" s="9">
        <f t="shared" si="105"/>
        <v>4.4999999999999998E-2</v>
      </c>
      <c r="I2289">
        <v>4.4999999999999998E-2</v>
      </c>
      <c r="M2289" t="s">
        <v>65</v>
      </c>
      <c r="N2289" t="s">
        <v>29</v>
      </c>
      <c r="P2289" t="s">
        <v>133</v>
      </c>
      <c r="Q2289" t="s">
        <v>31</v>
      </c>
      <c r="R2289">
        <v>82308</v>
      </c>
      <c r="S2289" t="s">
        <v>69</v>
      </c>
      <c r="T2289">
        <v>82658</v>
      </c>
      <c r="U2289" t="s">
        <v>33</v>
      </c>
      <c r="V2289" t="s">
        <v>33</v>
      </c>
      <c r="W2289" t="s">
        <v>37</v>
      </c>
      <c r="X2289" t="s">
        <v>38</v>
      </c>
      <c r="Y2289" s="9">
        <f t="shared" si="106"/>
        <v>0</v>
      </c>
      <c r="Z2289" t="str">
        <f t="shared" si="107"/>
        <v>สแกนต่าง Cost</v>
      </c>
    </row>
    <row r="2290" spans="1:26" x14ac:dyDescent="0.45">
      <c r="B2290" t="s">
        <v>53</v>
      </c>
      <c r="C2290">
        <v>20029099</v>
      </c>
      <c r="D2290" t="s">
        <v>163</v>
      </c>
      <c r="E2290" s="10">
        <v>46118.333333333336</v>
      </c>
      <c r="F2290" s="10">
        <v>46118.70208333333</v>
      </c>
      <c r="G2290">
        <v>7.85</v>
      </c>
      <c r="H2290" s="9">
        <f t="shared" si="105"/>
        <v>4.2000000000000003E-2</v>
      </c>
      <c r="J2290">
        <v>4.2000000000000003E-2</v>
      </c>
      <c r="M2290" t="s">
        <v>77</v>
      </c>
      <c r="N2290" t="s">
        <v>40</v>
      </c>
      <c r="O2290" t="s">
        <v>247</v>
      </c>
      <c r="P2290" t="s">
        <v>30</v>
      </c>
      <c r="Q2290" t="s">
        <v>31</v>
      </c>
      <c r="R2290">
        <v>82630</v>
      </c>
      <c r="S2290" t="s">
        <v>32</v>
      </c>
      <c r="T2290">
        <v>82611</v>
      </c>
      <c r="U2290" t="s">
        <v>43</v>
      </c>
      <c r="V2290" t="s">
        <v>43</v>
      </c>
      <c r="W2290" t="s">
        <v>148</v>
      </c>
      <c r="X2290" t="s">
        <v>171</v>
      </c>
      <c r="Y2290" s="9">
        <f t="shared" si="106"/>
        <v>4.2000000000000003E-2</v>
      </c>
      <c r="Z2290" t="str">
        <f t="shared" si="107"/>
        <v>สแกนต่าง Cost</v>
      </c>
    </row>
    <row r="2291" spans="1:26" x14ac:dyDescent="0.45">
      <c r="A2291">
        <v>25661</v>
      </c>
      <c r="B2291" t="s">
        <v>53</v>
      </c>
      <c r="C2291">
        <v>20030839</v>
      </c>
      <c r="D2291" t="s">
        <v>235</v>
      </c>
      <c r="E2291" s="10">
        <v>46118.333333333336</v>
      </c>
      <c r="F2291" s="10">
        <v>46118.729166666664</v>
      </c>
      <c r="G2291">
        <v>8.5</v>
      </c>
      <c r="H2291" s="9">
        <f t="shared" si="105"/>
        <v>4.4999999999999998E-2</v>
      </c>
      <c r="J2291">
        <v>4.4999999999999998E-2</v>
      </c>
      <c r="M2291" t="s">
        <v>77</v>
      </c>
      <c r="N2291" t="s">
        <v>40</v>
      </c>
      <c r="O2291" t="s">
        <v>78</v>
      </c>
      <c r="P2291" t="s">
        <v>30</v>
      </c>
      <c r="Q2291" t="s">
        <v>31</v>
      </c>
      <c r="R2291">
        <v>82658</v>
      </c>
      <c r="S2291" t="s">
        <v>33</v>
      </c>
      <c r="T2291">
        <v>82664</v>
      </c>
      <c r="U2291" t="s">
        <v>75</v>
      </c>
      <c r="V2291" t="s">
        <v>75</v>
      </c>
      <c r="W2291" t="s">
        <v>37</v>
      </c>
      <c r="X2291" t="s">
        <v>111</v>
      </c>
      <c r="Y2291" s="9">
        <f t="shared" si="106"/>
        <v>4.4999999999999998E-2</v>
      </c>
      <c r="Z2291" t="str">
        <f t="shared" si="107"/>
        <v>สแกนต่าง Cost</v>
      </c>
    </row>
    <row r="2292" spans="1:26" x14ac:dyDescent="0.45">
      <c r="A2292">
        <v>26006</v>
      </c>
      <c r="B2292" t="s">
        <v>53</v>
      </c>
      <c r="C2292">
        <v>20031838</v>
      </c>
      <c r="D2292" t="s">
        <v>143</v>
      </c>
      <c r="E2292" s="10">
        <v>46118.333333333336</v>
      </c>
      <c r="F2292" s="10">
        <v>46118.729166666664</v>
      </c>
      <c r="G2292">
        <v>8.5</v>
      </c>
      <c r="H2292" s="9">
        <f t="shared" si="105"/>
        <v>4.4999999999999998E-2</v>
      </c>
      <c r="I2292">
        <v>4.4999999999999998E-2</v>
      </c>
      <c r="M2292" t="s">
        <v>65</v>
      </c>
      <c r="N2292" t="s">
        <v>29</v>
      </c>
      <c r="P2292" t="s">
        <v>30</v>
      </c>
      <c r="Q2292" t="s">
        <v>31</v>
      </c>
      <c r="R2292">
        <v>82652</v>
      </c>
      <c r="S2292" t="s">
        <v>46</v>
      </c>
      <c r="T2292">
        <v>82658</v>
      </c>
      <c r="U2292" t="s">
        <v>33</v>
      </c>
      <c r="V2292" t="s">
        <v>33</v>
      </c>
      <c r="W2292" t="s">
        <v>37</v>
      </c>
      <c r="X2292" t="s">
        <v>38</v>
      </c>
      <c r="Y2292" s="9">
        <f t="shared" si="106"/>
        <v>0</v>
      </c>
      <c r="Z2292" t="str">
        <f t="shared" si="107"/>
        <v>สแกนต่าง Cost</v>
      </c>
    </row>
    <row r="2293" spans="1:26" x14ac:dyDescent="0.45">
      <c r="B2293" t="s">
        <v>53</v>
      </c>
      <c r="C2293">
        <v>20034535</v>
      </c>
      <c r="D2293" t="s">
        <v>99</v>
      </c>
      <c r="E2293" s="10">
        <v>46118.333333333336</v>
      </c>
      <c r="F2293" s="10">
        <v>46118.701388888891</v>
      </c>
      <c r="G2293">
        <v>7.8333333333333339</v>
      </c>
      <c r="H2293" s="9">
        <f t="shared" si="105"/>
        <v>4.2000000000000003E-2</v>
      </c>
      <c r="J2293">
        <v>4.2000000000000003E-2</v>
      </c>
      <c r="M2293" t="s">
        <v>77</v>
      </c>
      <c r="N2293" t="s">
        <v>40</v>
      </c>
      <c r="O2293" t="s">
        <v>247</v>
      </c>
      <c r="P2293" t="s">
        <v>30</v>
      </c>
      <c r="Q2293" t="s">
        <v>31</v>
      </c>
      <c r="R2293">
        <v>82630</v>
      </c>
      <c r="S2293" t="s">
        <v>32</v>
      </c>
      <c r="T2293">
        <v>82611</v>
      </c>
      <c r="U2293" t="s">
        <v>43</v>
      </c>
      <c r="V2293" t="s">
        <v>43</v>
      </c>
      <c r="W2293" t="s">
        <v>148</v>
      </c>
      <c r="X2293" t="s">
        <v>171</v>
      </c>
      <c r="Y2293" s="9">
        <f t="shared" si="106"/>
        <v>4.2000000000000003E-2</v>
      </c>
      <c r="Z2293" t="str">
        <f t="shared" si="107"/>
        <v>สแกนต่าง Cost</v>
      </c>
    </row>
    <row r="2294" spans="1:26" x14ac:dyDescent="0.45">
      <c r="B2294" t="s">
        <v>53</v>
      </c>
      <c r="C2294">
        <v>20034535</v>
      </c>
      <c r="D2294" t="s">
        <v>99</v>
      </c>
      <c r="E2294" s="10">
        <v>46118.333333333336</v>
      </c>
      <c r="F2294" s="10">
        <v>46118.729166666664</v>
      </c>
      <c r="G2294">
        <v>8.5</v>
      </c>
      <c r="H2294" s="9">
        <f t="shared" si="105"/>
        <v>4.4999999999999998E-2</v>
      </c>
      <c r="J2294">
        <v>4.4999999999999998E-2</v>
      </c>
      <c r="M2294" t="s">
        <v>77</v>
      </c>
      <c r="N2294" t="s">
        <v>40</v>
      </c>
      <c r="O2294" t="s">
        <v>247</v>
      </c>
      <c r="P2294" t="s">
        <v>30</v>
      </c>
      <c r="Q2294" t="s">
        <v>31</v>
      </c>
      <c r="R2294">
        <v>82630</v>
      </c>
      <c r="S2294" t="s">
        <v>32</v>
      </c>
      <c r="T2294">
        <v>82611</v>
      </c>
      <c r="U2294" t="s">
        <v>43</v>
      </c>
      <c r="V2294" t="s">
        <v>43</v>
      </c>
      <c r="W2294" t="s">
        <v>170</v>
      </c>
      <c r="X2294" t="s">
        <v>171</v>
      </c>
      <c r="Y2294" s="9">
        <f t="shared" si="106"/>
        <v>4.4999999999999998E-2</v>
      </c>
      <c r="Z2294" t="str">
        <f t="shared" si="107"/>
        <v>สแกนต่าง Cost</v>
      </c>
    </row>
    <row r="2295" spans="1:26" x14ac:dyDescent="0.45">
      <c r="B2295" t="s">
        <v>53</v>
      </c>
      <c r="C2295">
        <v>20037938</v>
      </c>
      <c r="D2295" t="s">
        <v>172</v>
      </c>
      <c r="E2295" s="10">
        <v>46118.333333333336</v>
      </c>
      <c r="F2295" s="10">
        <v>46118.729166666664</v>
      </c>
      <c r="G2295">
        <v>8.5</v>
      </c>
      <c r="H2295" s="9">
        <f t="shared" si="105"/>
        <v>4.4999999999999998E-2</v>
      </c>
      <c r="I2295">
        <v>4.4999999999999998E-2</v>
      </c>
      <c r="M2295" t="s">
        <v>65</v>
      </c>
      <c r="N2295" t="s">
        <v>29</v>
      </c>
      <c r="P2295" t="s">
        <v>30</v>
      </c>
      <c r="Q2295" t="s">
        <v>31</v>
      </c>
      <c r="R2295">
        <v>82630</v>
      </c>
      <c r="S2295" t="s">
        <v>32</v>
      </c>
      <c r="T2295">
        <v>82611</v>
      </c>
      <c r="U2295" t="s">
        <v>43</v>
      </c>
      <c r="V2295" t="s">
        <v>43</v>
      </c>
      <c r="W2295" t="s">
        <v>170</v>
      </c>
      <c r="X2295" t="s">
        <v>171</v>
      </c>
      <c r="Y2295" s="9">
        <f t="shared" si="106"/>
        <v>0</v>
      </c>
      <c r="Z2295" t="str">
        <f t="shared" si="107"/>
        <v>สแกนต่าง Cost</v>
      </c>
    </row>
    <row r="2296" spans="1:26" x14ac:dyDescent="0.45">
      <c r="B2296" t="s">
        <v>53</v>
      </c>
      <c r="C2296">
        <v>20041131</v>
      </c>
      <c r="D2296" t="s">
        <v>173</v>
      </c>
      <c r="E2296" s="10">
        <v>46118.333333333336</v>
      </c>
      <c r="F2296" s="10">
        <v>46118.729166666664</v>
      </c>
      <c r="G2296">
        <v>8.5</v>
      </c>
      <c r="H2296" s="9">
        <f t="shared" si="105"/>
        <v>4.4999999999999998E-2</v>
      </c>
      <c r="J2296">
        <v>4.4999999999999998E-2</v>
      </c>
      <c r="M2296" t="s">
        <v>77</v>
      </c>
      <c r="N2296" t="s">
        <v>29</v>
      </c>
      <c r="P2296" t="s">
        <v>30</v>
      </c>
      <c r="Q2296" t="s">
        <v>31</v>
      </c>
      <c r="R2296">
        <v>82630</v>
      </c>
      <c r="S2296" t="s">
        <v>32</v>
      </c>
      <c r="T2296">
        <v>82611</v>
      </c>
      <c r="U2296" t="s">
        <v>43</v>
      </c>
      <c r="V2296" t="s">
        <v>43</v>
      </c>
      <c r="W2296" t="s">
        <v>170</v>
      </c>
      <c r="X2296" t="s">
        <v>171</v>
      </c>
      <c r="Y2296" s="9">
        <f t="shared" si="106"/>
        <v>4.4999999999999998E-2</v>
      </c>
      <c r="Z2296" t="str">
        <f t="shared" si="107"/>
        <v>สแกนต่าง Cost</v>
      </c>
    </row>
    <row r="2297" spans="1:26" x14ac:dyDescent="0.45">
      <c r="B2297" t="s">
        <v>53</v>
      </c>
      <c r="C2297">
        <v>20056406</v>
      </c>
      <c r="D2297" t="s">
        <v>85</v>
      </c>
      <c r="E2297" s="10">
        <v>46118.333333333336</v>
      </c>
      <c r="F2297" s="10">
        <v>46118.701388888891</v>
      </c>
      <c r="G2297">
        <v>7.8333333333333339</v>
      </c>
      <c r="H2297" s="9">
        <f t="shared" si="105"/>
        <v>4.2000000000000003E-2</v>
      </c>
      <c r="J2297">
        <v>4.2000000000000003E-2</v>
      </c>
      <c r="M2297" t="s">
        <v>77</v>
      </c>
      <c r="N2297" t="s">
        <v>40</v>
      </c>
      <c r="O2297" t="s">
        <v>247</v>
      </c>
      <c r="P2297" t="s">
        <v>30</v>
      </c>
      <c r="Q2297" t="s">
        <v>31</v>
      </c>
      <c r="R2297">
        <v>82630</v>
      </c>
      <c r="S2297" t="s">
        <v>32</v>
      </c>
      <c r="T2297">
        <v>82611</v>
      </c>
      <c r="U2297" t="s">
        <v>43</v>
      </c>
      <c r="V2297" t="s">
        <v>43</v>
      </c>
      <c r="W2297" t="s">
        <v>148</v>
      </c>
      <c r="X2297" t="s">
        <v>171</v>
      </c>
      <c r="Y2297" s="9">
        <f t="shared" si="106"/>
        <v>4.2000000000000003E-2</v>
      </c>
      <c r="Z2297" t="str">
        <f t="shared" si="107"/>
        <v>สแกนต่าง Cost</v>
      </c>
    </row>
    <row r="2298" spans="1:26" x14ac:dyDescent="0.45">
      <c r="B2298" t="s">
        <v>53</v>
      </c>
      <c r="C2298">
        <v>20065497</v>
      </c>
      <c r="D2298" t="s">
        <v>373</v>
      </c>
      <c r="E2298" s="10">
        <v>46118.333333333336</v>
      </c>
      <c r="F2298" s="10">
        <v>46118.701388888891</v>
      </c>
      <c r="G2298">
        <v>7.8333333333333339</v>
      </c>
      <c r="H2298" s="9">
        <f t="shared" si="105"/>
        <v>4.2000000000000003E-2</v>
      </c>
      <c r="I2298">
        <v>4.2000000000000003E-2</v>
      </c>
      <c r="M2298" t="s">
        <v>65</v>
      </c>
      <c r="N2298" t="s">
        <v>29</v>
      </c>
      <c r="P2298" t="s">
        <v>30</v>
      </c>
      <c r="Q2298" t="s">
        <v>31</v>
      </c>
      <c r="R2298">
        <v>82630</v>
      </c>
      <c r="S2298" t="s">
        <v>32</v>
      </c>
      <c r="T2298">
        <v>82611</v>
      </c>
      <c r="U2298" t="s">
        <v>43</v>
      </c>
      <c r="V2298" t="s">
        <v>43</v>
      </c>
      <c r="W2298" t="s">
        <v>148</v>
      </c>
      <c r="X2298" t="s">
        <v>171</v>
      </c>
      <c r="Y2298" s="9">
        <f t="shared" si="106"/>
        <v>0</v>
      </c>
      <c r="Z2298" t="str">
        <f t="shared" si="107"/>
        <v>สแกนต่าง Cost</v>
      </c>
    </row>
    <row r="2299" spans="1:26" x14ac:dyDescent="0.45">
      <c r="B2299" t="s">
        <v>53</v>
      </c>
      <c r="C2299">
        <v>20074473</v>
      </c>
      <c r="D2299" t="s">
        <v>276</v>
      </c>
      <c r="E2299" s="10">
        <v>46118.333333333336</v>
      </c>
      <c r="F2299" s="10">
        <v>46118.729166666664</v>
      </c>
      <c r="G2299">
        <v>8.5</v>
      </c>
      <c r="H2299" s="9">
        <f t="shared" si="105"/>
        <v>4.4999999999999998E-2</v>
      </c>
      <c r="I2299">
        <v>4.4999999999999998E-2</v>
      </c>
      <c r="M2299" t="s">
        <v>65</v>
      </c>
      <c r="N2299" t="s">
        <v>29</v>
      </c>
      <c r="P2299" t="s">
        <v>30</v>
      </c>
      <c r="Q2299" t="s">
        <v>31</v>
      </c>
      <c r="R2299">
        <v>82630</v>
      </c>
      <c r="S2299" t="s">
        <v>32</v>
      </c>
      <c r="T2299">
        <v>82640</v>
      </c>
      <c r="U2299" t="s">
        <v>42</v>
      </c>
      <c r="V2299" t="s">
        <v>70</v>
      </c>
      <c r="W2299" t="s">
        <v>170</v>
      </c>
      <c r="X2299" t="s">
        <v>171</v>
      </c>
      <c r="Y2299" s="9">
        <f t="shared" si="106"/>
        <v>0</v>
      </c>
      <c r="Z2299" t="str">
        <f t="shared" si="107"/>
        <v>สแกนต่าง Cost</v>
      </c>
    </row>
    <row r="2300" spans="1:26" x14ac:dyDescent="0.45">
      <c r="B2300" t="s">
        <v>53</v>
      </c>
      <c r="C2300">
        <v>20074652</v>
      </c>
      <c r="D2300" t="s">
        <v>162</v>
      </c>
      <c r="E2300" s="10">
        <v>46118.333333333336</v>
      </c>
      <c r="F2300" s="10">
        <v>46118.701388888891</v>
      </c>
      <c r="G2300">
        <v>7.8333333333333339</v>
      </c>
      <c r="H2300" s="9">
        <f t="shared" si="105"/>
        <v>4.2000000000000003E-2</v>
      </c>
      <c r="J2300">
        <v>4.2000000000000003E-2</v>
      </c>
      <c r="M2300" t="s">
        <v>77</v>
      </c>
      <c r="N2300" t="s">
        <v>40</v>
      </c>
      <c r="O2300" t="s">
        <v>247</v>
      </c>
      <c r="P2300" t="s">
        <v>30</v>
      </c>
      <c r="Q2300" t="s">
        <v>31</v>
      </c>
      <c r="R2300">
        <v>82630</v>
      </c>
      <c r="S2300" t="s">
        <v>32</v>
      </c>
      <c r="T2300">
        <v>82611</v>
      </c>
      <c r="U2300" t="s">
        <v>43</v>
      </c>
      <c r="V2300" t="s">
        <v>43</v>
      </c>
      <c r="W2300" t="s">
        <v>148</v>
      </c>
      <c r="X2300" t="s">
        <v>171</v>
      </c>
      <c r="Y2300" s="9">
        <f t="shared" si="106"/>
        <v>4.2000000000000003E-2</v>
      </c>
      <c r="Z2300" t="str">
        <f t="shared" si="107"/>
        <v>สแกนต่าง Cost</v>
      </c>
    </row>
    <row r="2301" spans="1:26" x14ac:dyDescent="0.45">
      <c r="B2301" t="s">
        <v>53</v>
      </c>
      <c r="C2301">
        <v>20075632</v>
      </c>
      <c r="D2301" t="s">
        <v>374</v>
      </c>
      <c r="E2301" s="10">
        <v>46118.333333333336</v>
      </c>
      <c r="F2301" s="10">
        <v>46118.701388888891</v>
      </c>
      <c r="G2301">
        <v>7.8333333333333339</v>
      </c>
      <c r="H2301" s="9">
        <f t="shared" si="105"/>
        <v>4.2000000000000003E-2</v>
      </c>
      <c r="I2301">
        <v>4.2000000000000003E-2</v>
      </c>
      <c r="M2301" t="s">
        <v>65</v>
      </c>
      <c r="N2301" t="s">
        <v>29</v>
      </c>
      <c r="P2301" t="s">
        <v>133</v>
      </c>
      <c r="Q2301" t="s">
        <v>31</v>
      </c>
      <c r="R2301">
        <v>82640</v>
      </c>
      <c r="S2301" t="s">
        <v>42</v>
      </c>
      <c r="T2301">
        <v>82611</v>
      </c>
      <c r="U2301" t="s">
        <v>43</v>
      </c>
      <c r="V2301" t="s">
        <v>43</v>
      </c>
      <c r="W2301" t="s">
        <v>148</v>
      </c>
      <c r="X2301" t="s">
        <v>171</v>
      </c>
      <c r="Y2301" s="9">
        <f t="shared" si="106"/>
        <v>0</v>
      </c>
      <c r="Z2301" t="str">
        <f t="shared" si="107"/>
        <v>สแกนต่าง Cost</v>
      </c>
    </row>
    <row r="2302" spans="1:26" x14ac:dyDescent="0.45">
      <c r="A2302">
        <v>26001</v>
      </c>
      <c r="B2302" t="s">
        <v>53</v>
      </c>
      <c r="C2302">
        <v>20076991</v>
      </c>
      <c r="D2302" t="s">
        <v>76</v>
      </c>
      <c r="E2302" s="10">
        <v>46118.333333333336</v>
      </c>
      <c r="F2302" s="10">
        <v>46118.729166666664</v>
      </c>
      <c r="G2302">
        <v>8.5</v>
      </c>
      <c r="H2302" s="9">
        <f t="shared" si="105"/>
        <v>4.4999999999999998E-2</v>
      </c>
      <c r="I2302">
        <v>4.4999999999999998E-2</v>
      </c>
      <c r="M2302" t="s">
        <v>65</v>
      </c>
      <c r="N2302" t="s">
        <v>29</v>
      </c>
      <c r="P2302" t="s">
        <v>30</v>
      </c>
      <c r="Q2302" t="s">
        <v>31</v>
      </c>
      <c r="R2302">
        <v>82308</v>
      </c>
      <c r="S2302" t="s">
        <v>69</v>
      </c>
      <c r="T2302">
        <v>82658</v>
      </c>
      <c r="U2302" t="s">
        <v>33</v>
      </c>
      <c r="V2302" t="s">
        <v>33</v>
      </c>
      <c r="W2302" t="s">
        <v>37</v>
      </c>
      <c r="X2302" t="s">
        <v>38</v>
      </c>
      <c r="Y2302" s="9">
        <f t="shared" si="106"/>
        <v>0</v>
      </c>
      <c r="Z2302" t="str">
        <f t="shared" si="107"/>
        <v>สแกนต่าง Cost</v>
      </c>
    </row>
    <row r="2303" spans="1:26" x14ac:dyDescent="0.45">
      <c r="A2303">
        <v>25993</v>
      </c>
      <c r="B2303" t="s">
        <v>53</v>
      </c>
      <c r="C2303">
        <v>20078191</v>
      </c>
      <c r="D2303" t="s">
        <v>283</v>
      </c>
      <c r="E2303" s="10">
        <v>46118.333333333336</v>
      </c>
      <c r="F2303" s="10">
        <v>46118.729166666664</v>
      </c>
      <c r="G2303">
        <v>8.5</v>
      </c>
      <c r="H2303" s="9">
        <f t="shared" si="105"/>
        <v>4.4999999999999998E-2</v>
      </c>
      <c r="I2303">
        <v>4.4999999999999998E-2</v>
      </c>
      <c r="M2303" t="s">
        <v>65</v>
      </c>
      <c r="N2303" t="s">
        <v>29</v>
      </c>
      <c r="P2303" t="s">
        <v>133</v>
      </c>
      <c r="Q2303" t="s">
        <v>31</v>
      </c>
      <c r="R2303">
        <v>82301</v>
      </c>
      <c r="S2303" t="s">
        <v>79</v>
      </c>
      <c r="T2303">
        <v>82658</v>
      </c>
      <c r="U2303" t="s">
        <v>33</v>
      </c>
      <c r="V2303" t="s">
        <v>33</v>
      </c>
      <c r="W2303" t="s">
        <v>34</v>
      </c>
      <c r="X2303" t="s">
        <v>34</v>
      </c>
      <c r="Y2303" s="9">
        <f t="shared" si="106"/>
        <v>0</v>
      </c>
      <c r="Z2303" t="str">
        <f t="shared" si="107"/>
        <v>สแกนต่าง Cost</v>
      </c>
    </row>
    <row r="2304" spans="1:26" x14ac:dyDescent="0.45">
      <c r="B2304" t="s">
        <v>53</v>
      </c>
      <c r="C2304">
        <v>20156338</v>
      </c>
      <c r="D2304" t="s">
        <v>102</v>
      </c>
      <c r="E2304" s="10">
        <v>46118.333333333336</v>
      </c>
      <c r="F2304" s="10">
        <v>46118.701388888891</v>
      </c>
      <c r="G2304">
        <v>7.8333333333333339</v>
      </c>
      <c r="H2304" s="9">
        <f t="shared" si="105"/>
        <v>4.2000000000000003E-2</v>
      </c>
      <c r="J2304">
        <v>4.2000000000000003E-2</v>
      </c>
      <c r="M2304" t="s">
        <v>77</v>
      </c>
      <c r="N2304" t="s">
        <v>40</v>
      </c>
      <c r="O2304" t="s">
        <v>247</v>
      </c>
      <c r="P2304" t="s">
        <v>30</v>
      </c>
      <c r="Q2304" t="s">
        <v>31</v>
      </c>
      <c r="R2304">
        <v>82630</v>
      </c>
      <c r="S2304" t="s">
        <v>32</v>
      </c>
      <c r="T2304">
        <v>82611</v>
      </c>
      <c r="U2304" t="s">
        <v>43</v>
      </c>
      <c r="V2304" t="s">
        <v>43</v>
      </c>
      <c r="W2304" t="s">
        <v>148</v>
      </c>
      <c r="X2304" t="s">
        <v>171</v>
      </c>
      <c r="Y2304" s="9">
        <f t="shared" si="106"/>
        <v>4.2000000000000003E-2</v>
      </c>
      <c r="Z2304" t="str">
        <f t="shared" si="107"/>
        <v>สแกนต่าง Cost</v>
      </c>
    </row>
    <row r="2305" spans="1:26" x14ac:dyDescent="0.45">
      <c r="A2305">
        <v>25660</v>
      </c>
      <c r="B2305" t="s">
        <v>53</v>
      </c>
      <c r="C2305">
        <v>20162724</v>
      </c>
      <c r="D2305" t="s">
        <v>128</v>
      </c>
      <c r="E2305" s="10">
        <v>46118.333333333336</v>
      </c>
      <c r="F2305" s="10">
        <v>46118.729166666664</v>
      </c>
      <c r="G2305">
        <v>8.5</v>
      </c>
      <c r="H2305" s="9">
        <f t="shared" si="105"/>
        <v>4.4999999999999998E-2</v>
      </c>
      <c r="J2305">
        <v>4.4999999999999998E-2</v>
      </c>
      <c r="M2305" t="s">
        <v>77</v>
      </c>
      <c r="N2305" t="s">
        <v>40</v>
      </c>
      <c r="O2305" t="s">
        <v>78</v>
      </c>
      <c r="P2305" t="s">
        <v>30</v>
      </c>
      <c r="Q2305" t="s">
        <v>31</v>
      </c>
      <c r="R2305">
        <v>82658</v>
      </c>
      <c r="S2305" t="s">
        <v>33</v>
      </c>
      <c r="T2305">
        <v>82664</v>
      </c>
      <c r="U2305" t="s">
        <v>75</v>
      </c>
      <c r="V2305" t="s">
        <v>75</v>
      </c>
      <c r="W2305" t="s">
        <v>37</v>
      </c>
      <c r="X2305" t="s">
        <v>111</v>
      </c>
      <c r="Y2305" s="9">
        <f t="shared" si="106"/>
        <v>4.4999999999999998E-2</v>
      </c>
      <c r="Z2305" t="str">
        <f t="shared" si="107"/>
        <v>สแกนต่าง Cost</v>
      </c>
    </row>
    <row r="2306" spans="1:26" x14ac:dyDescent="0.45">
      <c r="A2306">
        <v>26002</v>
      </c>
      <c r="B2306" t="s">
        <v>53</v>
      </c>
      <c r="C2306">
        <v>20190541</v>
      </c>
      <c r="D2306" t="s">
        <v>344</v>
      </c>
      <c r="E2306" s="10">
        <v>46118.333333333336</v>
      </c>
      <c r="F2306" s="10">
        <v>46118.729166666664</v>
      </c>
      <c r="G2306">
        <v>8.5</v>
      </c>
      <c r="H2306" s="9">
        <f t="shared" si="105"/>
        <v>4.4999999999999998E-2</v>
      </c>
      <c r="J2306">
        <v>4.4999999999999998E-2</v>
      </c>
      <c r="M2306" t="s">
        <v>77</v>
      </c>
      <c r="N2306" t="s">
        <v>40</v>
      </c>
      <c r="O2306" t="s">
        <v>78</v>
      </c>
      <c r="P2306" t="s">
        <v>30</v>
      </c>
      <c r="Q2306" t="s">
        <v>31</v>
      </c>
      <c r="R2306">
        <v>82303</v>
      </c>
      <c r="S2306" t="s">
        <v>56</v>
      </c>
      <c r="T2306">
        <v>82658</v>
      </c>
      <c r="U2306" t="s">
        <v>33</v>
      </c>
      <c r="V2306" t="s">
        <v>33</v>
      </c>
      <c r="W2306" t="s">
        <v>37</v>
      </c>
      <c r="X2306" t="s">
        <v>38</v>
      </c>
      <c r="Y2306" s="9">
        <f t="shared" si="106"/>
        <v>4.4999999999999998E-2</v>
      </c>
      <c r="Z2306" t="str">
        <f t="shared" si="107"/>
        <v>สแกนต่าง Cost</v>
      </c>
    </row>
    <row r="2307" spans="1:26" x14ac:dyDescent="0.45">
      <c r="B2307" t="s">
        <v>53</v>
      </c>
      <c r="C2307">
        <v>20198711</v>
      </c>
      <c r="D2307" t="s">
        <v>178</v>
      </c>
      <c r="E2307" s="10">
        <v>46118.333333333336</v>
      </c>
      <c r="F2307" s="10">
        <v>46118.729166666664</v>
      </c>
      <c r="G2307">
        <v>8.5</v>
      </c>
      <c r="H2307" s="9">
        <f t="shared" ref="H2307:H2370" si="108">SUM(I2307:L2307)</f>
        <v>4.4999999999999998E-2</v>
      </c>
      <c r="I2307">
        <v>4.4999999999999998E-2</v>
      </c>
      <c r="M2307" t="s">
        <v>65</v>
      </c>
      <c r="N2307" t="s">
        <v>29</v>
      </c>
      <c r="P2307" t="s">
        <v>30</v>
      </c>
      <c r="Q2307" t="s">
        <v>31</v>
      </c>
      <c r="R2307">
        <v>82630</v>
      </c>
      <c r="S2307" t="s">
        <v>32</v>
      </c>
      <c r="T2307">
        <v>82611</v>
      </c>
      <c r="U2307" t="s">
        <v>43</v>
      </c>
      <c r="V2307" t="s">
        <v>43</v>
      </c>
      <c r="W2307" t="s">
        <v>170</v>
      </c>
      <c r="X2307" t="s">
        <v>171</v>
      </c>
      <c r="Y2307" s="9">
        <f t="shared" ref="Y2307:Y2370" si="109">SUM(J2307:L2307)</f>
        <v>0</v>
      </c>
      <c r="Z2307" t="str">
        <f t="shared" ref="Z2307:Z2370" si="110">IF(R2307=T2307,"สแกน Cost ตัวเอง","สแกนต่าง Cost")</f>
        <v>สแกนต่าง Cost</v>
      </c>
    </row>
    <row r="2308" spans="1:26" x14ac:dyDescent="0.45">
      <c r="B2308" t="s">
        <v>53</v>
      </c>
      <c r="C2308">
        <v>20198715</v>
      </c>
      <c r="D2308" t="s">
        <v>179</v>
      </c>
      <c r="E2308" s="10">
        <v>46118.333333333336</v>
      </c>
      <c r="F2308" s="10">
        <v>46118.729166666664</v>
      </c>
      <c r="G2308">
        <v>8.5</v>
      </c>
      <c r="H2308" s="9">
        <f t="shared" si="108"/>
        <v>4.4999999999999998E-2</v>
      </c>
      <c r="I2308">
        <v>4.4999999999999998E-2</v>
      </c>
      <c r="M2308" t="s">
        <v>65</v>
      </c>
      <c r="N2308" t="s">
        <v>29</v>
      </c>
      <c r="P2308" t="s">
        <v>30</v>
      </c>
      <c r="Q2308" t="s">
        <v>31</v>
      </c>
      <c r="R2308">
        <v>82630</v>
      </c>
      <c r="S2308" t="s">
        <v>32</v>
      </c>
      <c r="T2308">
        <v>82611</v>
      </c>
      <c r="U2308" t="s">
        <v>43</v>
      </c>
      <c r="V2308" t="s">
        <v>43</v>
      </c>
      <c r="W2308" t="s">
        <v>170</v>
      </c>
      <c r="X2308" t="s">
        <v>171</v>
      </c>
      <c r="Y2308" s="9">
        <f t="shared" si="109"/>
        <v>0</v>
      </c>
      <c r="Z2308" t="str">
        <f t="shared" si="110"/>
        <v>สแกนต่าง Cost</v>
      </c>
    </row>
    <row r="2309" spans="1:26" x14ac:dyDescent="0.45">
      <c r="B2309" t="s">
        <v>53</v>
      </c>
      <c r="C2309">
        <v>20198747</v>
      </c>
      <c r="D2309" t="s">
        <v>180</v>
      </c>
      <c r="E2309" s="10">
        <v>46118.333333333336</v>
      </c>
      <c r="F2309" s="10">
        <v>46118.729166666664</v>
      </c>
      <c r="G2309">
        <v>8.5</v>
      </c>
      <c r="H2309" s="9">
        <f t="shared" si="108"/>
        <v>4.4999999999999998E-2</v>
      </c>
      <c r="I2309">
        <v>4.4999999999999998E-2</v>
      </c>
      <c r="M2309" t="s">
        <v>65</v>
      </c>
      <c r="N2309" t="s">
        <v>29</v>
      </c>
      <c r="P2309" t="s">
        <v>30</v>
      </c>
      <c r="Q2309" t="s">
        <v>31</v>
      </c>
      <c r="R2309">
        <v>82630</v>
      </c>
      <c r="S2309" t="s">
        <v>32</v>
      </c>
      <c r="T2309">
        <v>82640</v>
      </c>
      <c r="U2309" t="s">
        <v>42</v>
      </c>
      <c r="V2309" t="s">
        <v>70</v>
      </c>
      <c r="W2309" t="s">
        <v>170</v>
      </c>
      <c r="X2309" t="s">
        <v>171</v>
      </c>
      <c r="Y2309" s="9">
        <f t="shared" si="109"/>
        <v>0</v>
      </c>
      <c r="Z2309" t="str">
        <f t="shared" si="110"/>
        <v>สแกนต่าง Cost</v>
      </c>
    </row>
    <row r="2310" spans="1:26" x14ac:dyDescent="0.45">
      <c r="B2310" t="s">
        <v>53</v>
      </c>
      <c r="C2310">
        <v>20198811</v>
      </c>
      <c r="D2310" t="s">
        <v>144</v>
      </c>
      <c r="E2310" s="10">
        <v>46118.333333333336</v>
      </c>
      <c r="F2310" s="10">
        <v>46118.729166666664</v>
      </c>
      <c r="G2310">
        <v>8.5</v>
      </c>
      <c r="H2310" s="9">
        <f t="shared" si="108"/>
        <v>4.4999999999999998E-2</v>
      </c>
      <c r="I2310">
        <v>4.4999999999999998E-2</v>
      </c>
      <c r="M2310" t="s">
        <v>65</v>
      </c>
      <c r="N2310" t="s">
        <v>29</v>
      </c>
      <c r="P2310" t="s">
        <v>30</v>
      </c>
      <c r="Q2310" t="s">
        <v>31</v>
      </c>
      <c r="R2310">
        <v>82652</v>
      </c>
      <c r="S2310" t="s">
        <v>46</v>
      </c>
      <c r="T2310">
        <v>82655</v>
      </c>
      <c r="U2310" t="s">
        <v>59</v>
      </c>
      <c r="V2310" t="s">
        <v>59</v>
      </c>
      <c r="W2310" t="s">
        <v>37</v>
      </c>
      <c r="X2310" t="s">
        <v>38</v>
      </c>
      <c r="Y2310" s="9">
        <f t="shared" si="109"/>
        <v>0</v>
      </c>
      <c r="Z2310" t="str">
        <f t="shared" si="110"/>
        <v>สแกนต่าง Cost</v>
      </c>
    </row>
    <row r="2311" spans="1:26" x14ac:dyDescent="0.45">
      <c r="A2311">
        <v>25662</v>
      </c>
      <c r="B2311" t="s">
        <v>53</v>
      </c>
      <c r="C2311">
        <v>20198835</v>
      </c>
      <c r="D2311" t="s">
        <v>129</v>
      </c>
      <c r="E2311" s="10">
        <v>46118.333333333336</v>
      </c>
      <c r="F2311" s="10">
        <v>46118.729166666664</v>
      </c>
      <c r="G2311">
        <v>8.5</v>
      </c>
      <c r="H2311" s="9">
        <f t="shared" si="108"/>
        <v>4.4999999999999998E-2</v>
      </c>
      <c r="J2311">
        <v>4.4999999999999998E-2</v>
      </c>
      <c r="M2311" t="s">
        <v>77</v>
      </c>
      <c r="N2311" t="s">
        <v>40</v>
      </c>
      <c r="O2311" t="s">
        <v>78</v>
      </c>
      <c r="P2311" t="s">
        <v>30</v>
      </c>
      <c r="Q2311" t="s">
        <v>31</v>
      </c>
      <c r="R2311">
        <v>82658</v>
      </c>
      <c r="S2311" t="s">
        <v>33</v>
      </c>
      <c r="T2311">
        <v>82664</v>
      </c>
      <c r="U2311" t="s">
        <v>75</v>
      </c>
      <c r="V2311" t="s">
        <v>75</v>
      </c>
      <c r="W2311" t="s">
        <v>37</v>
      </c>
      <c r="X2311" t="s">
        <v>111</v>
      </c>
      <c r="Y2311" s="9">
        <f t="shared" si="109"/>
        <v>4.4999999999999998E-2</v>
      </c>
      <c r="Z2311" t="str">
        <f t="shared" si="110"/>
        <v>สแกนต่าง Cost</v>
      </c>
    </row>
    <row r="2312" spans="1:26" x14ac:dyDescent="0.45">
      <c r="B2312" t="s">
        <v>53</v>
      </c>
      <c r="C2312">
        <v>20220646</v>
      </c>
      <c r="D2312" t="s">
        <v>67</v>
      </c>
      <c r="E2312" s="10">
        <v>46118.333333333336</v>
      </c>
      <c r="F2312" s="10">
        <v>46118.5</v>
      </c>
      <c r="G2312">
        <v>4</v>
      </c>
      <c r="H2312" s="9">
        <f t="shared" si="108"/>
        <v>2.1000000000000001E-2</v>
      </c>
      <c r="J2312">
        <v>2.1000000000000001E-2</v>
      </c>
      <c r="M2312" t="s">
        <v>77</v>
      </c>
      <c r="N2312" t="s">
        <v>29</v>
      </c>
      <c r="P2312" t="s">
        <v>30</v>
      </c>
      <c r="Q2312" t="s">
        <v>31</v>
      </c>
      <c r="R2312">
        <v>82640</v>
      </c>
      <c r="S2312" t="s">
        <v>42</v>
      </c>
      <c r="T2312">
        <v>82652</v>
      </c>
      <c r="U2312" t="s">
        <v>46</v>
      </c>
      <c r="V2312" t="s">
        <v>66</v>
      </c>
      <c r="W2312" t="s">
        <v>37</v>
      </c>
      <c r="X2312" t="s">
        <v>34</v>
      </c>
      <c r="Y2312" s="9">
        <f t="shared" si="109"/>
        <v>2.1000000000000001E-2</v>
      </c>
      <c r="Z2312" t="str">
        <f t="shared" si="110"/>
        <v>สแกนต่าง Cost</v>
      </c>
    </row>
    <row r="2313" spans="1:26" x14ac:dyDescent="0.45">
      <c r="A2313">
        <v>25998</v>
      </c>
      <c r="B2313" t="s">
        <v>53</v>
      </c>
      <c r="C2313">
        <v>20238352</v>
      </c>
      <c r="D2313" t="s">
        <v>375</v>
      </c>
      <c r="E2313" s="10">
        <v>46118.333333333336</v>
      </c>
      <c r="F2313" s="10">
        <v>46118.729166666664</v>
      </c>
      <c r="G2313">
        <v>8.5</v>
      </c>
      <c r="H2313" s="9">
        <f t="shared" si="108"/>
        <v>4.4999999999999998E-2</v>
      </c>
      <c r="I2313">
        <v>4.4999999999999998E-2</v>
      </c>
      <c r="M2313" t="s">
        <v>65</v>
      </c>
      <c r="N2313" t="s">
        <v>29</v>
      </c>
      <c r="P2313" t="s">
        <v>30</v>
      </c>
      <c r="Q2313" t="s">
        <v>31</v>
      </c>
      <c r="R2313">
        <v>82210</v>
      </c>
      <c r="S2313" t="s">
        <v>184</v>
      </c>
      <c r="T2313">
        <v>82658</v>
      </c>
      <c r="U2313" t="s">
        <v>33</v>
      </c>
      <c r="V2313" t="s">
        <v>33</v>
      </c>
      <c r="W2313" t="s">
        <v>37</v>
      </c>
      <c r="X2313" t="s">
        <v>38</v>
      </c>
      <c r="Y2313" s="9">
        <f t="shared" si="109"/>
        <v>0</v>
      </c>
      <c r="Z2313" t="str">
        <f t="shared" si="110"/>
        <v>สแกนต่าง Cost</v>
      </c>
    </row>
    <row r="2314" spans="1:26" x14ac:dyDescent="0.45">
      <c r="B2314" t="s">
        <v>53</v>
      </c>
      <c r="C2314">
        <v>20240961</v>
      </c>
      <c r="D2314" t="s">
        <v>239</v>
      </c>
      <c r="E2314" s="10">
        <v>46118.333333333336</v>
      </c>
      <c r="F2314" s="10">
        <v>46118.701388888891</v>
      </c>
      <c r="G2314">
        <v>7.8333333333333339</v>
      </c>
      <c r="H2314" s="9">
        <f t="shared" si="108"/>
        <v>4.2000000000000003E-2</v>
      </c>
      <c r="J2314">
        <v>4.2000000000000003E-2</v>
      </c>
      <c r="M2314" t="s">
        <v>77</v>
      </c>
      <c r="N2314" t="s">
        <v>40</v>
      </c>
      <c r="O2314" t="s">
        <v>247</v>
      </c>
      <c r="P2314" t="s">
        <v>30</v>
      </c>
      <c r="Q2314" t="s">
        <v>31</v>
      </c>
      <c r="R2314">
        <v>82630</v>
      </c>
      <c r="S2314" t="s">
        <v>32</v>
      </c>
      <c r="T2314">
        <v>82611</v>
      </c>
      <c r="U2314" t="s">
        <v>43</v>
      </c>
      <c r="V2314" t="s">
        <v>43</v>
      </c>
      <c r="W2314" t="s">
        <v>148</v>
      </c>
      <c r="X2314" t="s">
        <v>171</v>
      </c>
      <c r="Y2314" s="9">
        <f t="shared" si="109"/>
        <v>4.2000000000000003E-2</v>
      </c>
      <c r="Z2314" t="str">
        <f t="shared" si="110"/>
        <v>สแกนต่าง Cost</v>
      </c>
    </row>
    <row r="2315" spans="1:26" x14ac:dyDescent="0.45">
      <c r="A2315">
        <v>26005</v>
      </c>
      <c r="B2315" t="s">
        <v>53</v>
      </c>
      <c r="C2315">
        <v>20276251</v>
      </c>
      <c r="D2315" t="s">
        <v>376</v>
      </c>
      <c r="E2315" s="10">
        <v>46118.333333333336</v>
      </c>
      <c r="F2315" s="10">
        <v>46118.729166666664</v>
      </c>
      <c r="G2315">
        <v>8.5</v>
      </c>
      <c r="H2315" s="9">
        <f t="shared" si="108"/>
        <v>4.4999999999999998E-2</v>
      </c>
      <c r="J2315">
        <v>4.4999999999999998E-2</v>
      </c>
      <c r="M2315" t="s">
        <v>77</v>
      </c>
      <c r="N2315" t="s">
        <v>40</v>
      </c>
      <c r="O2315" t="s">
        <v>78</v>
      </c>
      <c r="P2315" t="s">
        <v>30</v>
      </c>
      <c r="Q2315" t="s">
        <v>31</v>
      </c>
      <c r="R2315">
        <v>82210</v>
      </c>
      <c r="S2315" t="s">
        <v>184</v>
      </c>
      <c r="T2315">
        <v>82658</v>
      </c>
      <c r="U2315" t="s">
        <v>33</v>
      </c>
      <c r="V2315" t="s">
        <v>33</v>
      </c>
      <c r="W2315" t="s">
        <v>37</v>
      </c>
      <c r="X2315" t="s">
        <v>38</v>
      </c>
      <c r="Y2315" s="9">
        <f t="shared" si="109"/>
        <v>4.4999999999999998E-2</v>
      </c>
      <c r="Z2315" t="str">
        <f t="shared" si="110"/>
        <v>สแกนต่าง Cost</v>
      </c>
    </row>
    <row r="2316" spans="1:26" x14ac:dyDescent="0.45">
      <c r="A2316">
        <v>26004</v>
      </c>
      <c r="B2316" t="s">
        <v>53</v>
      </c>
      <c r="C2316">
        <v>20276266</v>
      </c>
      <c r="D2316" t="s">
        <v>292</v>
      </c>
      <c r="E2316" s="10">
        <v>46118.333333333336</v>
      </c>
      <c r="F2316" s="10">
        <v>46118.729166666664</v>
      </c>
      <c r="G2316">
        <v>8.5</v>
      </c>
      <c r="H2316" s="9">
        <f t="shared" si="108"/>
        <v>4.4999999999999998E-2</v>
      </c>
      <c r="J2316">
        <v>4.4999999999999998E-2</v>
      </c>
      <c r="M2316" t="s">
        <v>77</v>
      </c>
      <c r="N2316" t="s">
        <v>40</v>
      </c>
      <c r="O2316" t="s">
        <v>78</v>
      </c>
      <c r="P2316" t="s">
        <v>30</v>
      </c>
      <c r="Q2316" t="s">
        <v>31</v>
      </c>
      <c r="R2316">
        <v>82301</v>
      </c>
      <c r="S2316" t="s">
        <v>79</v>
      </c>
      <c r="T2316">
        <v>82658</v>
      </c>
      <c r="U2316" t="s">
        <v>33</v>
      </c>
      <c r="V2316" t="s">
        <v>33</v>
      </c>
      <c r="W2316" t="s">
        <v>37</v>
      </c>
      <c r="X2316" t="s">
        <v>38</v>
      </c>
      <c r="Y2316" s="9">
        <f t="shared" si="109"/>
        <v>4.4999999999999998E-2</v>
      </c>
      <c r="Z2316" t="str">
        <f t="shared" si="110"/>
        <v>สแกนต่าง Cost</v>
      </c>
    </row>
    <row r="2317" spans="1:26" x14ac:dyDescent="0.45">
      <c r="B2317" t="s">
        <v>53</v>
      </c>
      <c r="C2317">
        <v>20280722</v>
      </c>
      <c r="D2317" t="s">
        <v>342</v>
      </c>
      <c r="E2317" s="10">
        <v>46118.333333333336</v>
      </c>
      <c r="F2317" s="10">
        <v>46118.5</v>
      </c>
      <c r="G2317">
        <v>4</v>
      </c>
      <c r="H2317" s="9">
        <f t="shared" si="108"/>
        <v>2.1000000000000001E-2</v>
      </c>
      <c r="J2317">
        <v>2.1000000000000001E-2</v>
      </c>
      <c r="M2317" t="s">
        <v>77</v>
      </c>
      <c r="N2317" t="s">
        <v>40</v>
      </c>
      <c r="O2317" t="s">
        <v>247</v>
      </c>
      <c r="P2317" t="s">
        <v>30</v>
      </c>
      <c r="Q2317" t="s">
        <v>31</v>
      </c>
      <c r="R2317">
        <v>82640</v>
      </c>
      <c r="S2317" t="s">
        <v>42</v>
      </c>
      <c r="T2317">
        <v>82652</v>
      </c>
      <c r="U2317" t="s">
        <v>46</v>
      </c>
      <c r="V2317" t="s">
        <v>66</v>
      </c>
      <c r="W2317" t="s">
        <v>37</v>
      </c>
      <c r="X2317" t="s">
        <v>34</v>
      </c>
      <c r="Y2317" s="9">
        <f t="shared" si="109"/>
        <v>2.1000000000000001E-2</v>
      </c>
      <c r="Z2317" t="str">
        <f t="shared" si="110"/>
        <v>สแกนต่าง Cost</v>
      </c>
    </row>
    <row r="2318" spans="1:26" x14ac:dyDescent="0.45">
      <c r="A2318">
        <v>25997</v>
      </c>
      <c r="B2318" t="s">
        <v>53</v>
      </c>
      <c r="C2318">
        <v>20284710</v>
      </c>
      <c r="D2318" t="s">
        <v>182</v>
      </c>
      <c r="E2318" s="10">
        <v>46118.333333333336</v>
      </c>
      <c r="F2318" s="10">
        <v>46118.729166666664</v>
      </c>
      <c r="G2318">
        <v>8.5</v>
      </c>
      <c r="H2318" s="9">
        <f t="shared" si="108"/>
        <v>4.4999999999999998E-2</v>
      </c>
      <c r="I2318">
        <v>4.4999999999999998E-2</v>
      </c>
      <c r="M2318" t="s">
        <v>65</v>
      </c>
      <c r="N2318" t="s">
        <v>29</v>
      </c>
      <c r="P2318" t="s">
        <v>30</v>
      </c>
      <c r="Q2318" t="s">
        <v>31</v>
      </c>
      <c r="R2318">
        <v>82210</v>
      </c>
      <c r="S2318" t="s">
        <v>184</v>
      </c>
      <c r="T2318">
        <v>82658</v>
      </c>
      <c r="U2318" t="s">
        <v>33</v>
      </c>
      <c r="V2318" t="s">
        <v>33</v>
      </c>
      <c r="W2318" t="s">
        <v>37</v>
      </c>
      <c r="X2318" t="s">
        <v>38</v>
      </c>
      <c r="Y2318" s="9">
        <f t="shared" si="109"/>
        <v>0</v>
      </c>
      <c r="Z2318" t="str">
        <f t="shared" si="110"/>
        <v>สแกนต่าง Cost</v>
      </c>
    </row>
    <row r="2319" spans="1:26" x14ac:dyDescent="0.45">
      <c r="B2319" t="s">
        <v>53</v>
      </c>
      <c r="C2319">
        <v>20287440</v>
      </c>
      <c r="D2319" t="s">
        <v>253</v>
      </c>
      <c r="E2319" s="10">
        <v>46118.333333333336</v>
      </c>
      <c r="F2319" s="10">
        <v>46118.706250000003</v>
      </c>
      <c r="G2319">
        <v>7.9499999999999993</v>
      </c>
      <c r="H2319" s="9">
        <f t="shared" si="108"/>
        <v>4.2999999999999997E-2</v>
      </c>
      <c r="I2319">
        <v>4.2999999999999997E-2</v>
      </c>
      <c r="M2319" t="s">
        <v>65</v>
      </c>
      <c r="N2319" t="s">
        <v>29</v>
      </c>
      <c r="P2319" t="s">
        <v>30</v>
      </c>
      <c r="Q2319" t="s">
        <v>31</v>
      </c>
      <c r="R2319">
        <v>82640</v>
      </c>
      <c r="S2319" t="s">
        <v>42</v>
      </c>
      <c r="T2319">
        <v>82611</v>
      </c>
      <c r="U2319" t="s">
        <v>43</v>
      </c>
      <c r="V2319" t="s">
        <v>43</v>
      </c>
      <c r="W2319" t="s">
        <v>42</v>
      </c>
      <c r="X2319" t="s">
        <v>38</v>
      </c>
      <c r="Y2319" s="9">
        <f t="shared" si="109"/>
        <v>0</v>
      </c>
      <c r="Z2319" t="str">
        <f t="shared" si="110"/>
        <v>สแกนต่าง Cost</v>
      </c>
    </row>
    <row r="2320" spans="1:26" x14ac:dyDescent="0.45">
      <c r="B2320" t="s">
        <v>53</v>
      </c>
      <c r="C2320">
        <v>20319535</v>
      </c>
      <c r="D2320" t="s">
        <v>36</v>
      </c>
      <c r="E2320" s="10">
        <v>46118.333333333336</v>
      </c>
      <c r="F2320" s="10">
        <v>46118.729166666664</v>
      </c>
      <c r="G2320">
        <v>9.5</v>
      </c>
      <c r="H2320" s="9">
        <f t="shared" si="108"/>
        <v>5.0000000000000001E-3</v>
      </c>
      <c r="L2320">
        <v>5.0000000000000001E-3</v>
      </c>
      <c r="M2320" t="s">
        <v>255</v>
      </c>
      <c r="N2320" t="s">
        <v>29</v>
      </c>
      <c r="P2320" t="s">
        <v>30</v>
      </c>
      <c r="Q2320" t="s">
        <v>31</v>
      </c>
      <c r="R2320">
        <v>82630</v>
      </c>
      <c r="S2320" t="s">
        <v>32</v>
      </c>
      <c r="T2320">
        <v>82611</v>
      </c>
      <c r="U2320" t="s">
        <v>43</v>
      </c>
      <c r="V2320" t="s">
        <v>43</v>
      </c>
      <c r="W2320" t="s">
        <v>170</v>
      </c>
      <c r="X2320" t="s">
        <v>171</v>
      </c>
      <c r="Y2320" s="9">
        <f t="shared" si="109"/>
        <v>5.0000000000000001E-3</v>
      </c>
      <c r="Z2320" t="str">
        <f t="shared" si="110"/>
        <v>สแกนต่าง Cost</v>
      </c>
    </row>
    <row r="2321" spans="1:26" x14ac:dyDescent="0.45">
      <c r="A2321">
        <v>26008</v>
      </c>
      <c r="B2321" t="s">
        <v>53</v>
      </c>
      <c r="C2321">
        <v>20343502</v>
      </c>
      <c r="D2321" t="s">
        <v>281</v>
      </c>
      <c r="E2321" s="10">
        <v>46118.333333333336</v>
      </c>
      <c r="F2321" s="10">
        <v>46118.729166666664</v>
      </c>
      <c r="G2321">
        <v>8.5</v>
      </c>
      <c r="H2321" s="9">
        <f t="shared" si="108"/>
        <v>4.4999999999999998E-2</v>
      </c>
      <c r="I2321">
        <v>4.4999999999999998E-2</v>
      </c>
      <c r="M2321" t="s">
        <v>65</v>
      </c>
      <c r="N2321" t="s">
        <v>29</v>
      </c>
      <c r="P2321" t="s">
        <v>30</v>
      </c>
      <c r="Q2321" t="s">
        <v>31</v>
      </c>
      <c r="R2321">
        <v>82652</v>
      </c>
      <c r="S2321" t="s">
        <v>46</v>
      </c>
      <c r="T2321">
        <v>82658</v>
      </c>
      <c r="U2321" t="s">
        <v>33</v>
      </c>
      <c r="V2321" t="s">
        <v>33</v>
      </c>
      <c r="W2321" t="s">
        <v>37</v>
      </c>
      <c r="X2321" t="s">
        <v>38</v>
      </c>
      <c r="Y2321" s="9">
        <f t="shared" si="109"/>
        <v>0</v>
      </c>
      <c r="Z2321" t="str">
        <f t="shared" si="110"/>
        <v>สแกนต่าง Cost</v>
      </c>
    </row>
    <row r="2322" spans="1:26" x14ac:dyDescent="0.45">
      <c r="B2322" t="s">
        <v>53</v>
      </c>
      <c r="C2322">
        <v>20344532</v>
      </c>
      <c r="D2322" t="s">
        <v>186</v>
      </c>
      <c r="E2322" s="10">
        <v>46118.333333333336</v>
      </c>
      <c r="F2322" s="10">
        <v>46118.729166666664</v>
      </c>
      <c r="G2322">
        <v>9.5</v>
      </c>
      <c r="H2322" s="9">
        <f t="shared" si="108"/>
        <v>5.0000000000000001E-3</v>
      </c>
      <c r="L2322">
        <v>5.0000000000000001E-3</v>
      </c>
      <c r="M2322" t="s">
        <v>255</v>
      </c>
      <c r="N2322" t="s">
        <v>29</v>
      </c>
      <c r="P2322" t="s">
        <v>30</v>
      </c>
      <c r="Q2322" t="s">
        <v>31</v>
      </c>
      <c r="R2322">
        <v>82630</v>
      </c>
      <c r="S2322" t="s">
        <v>32</v>
      </c>
      <c r="T2322">
        <v>82611</v>
      </c>
      <c r="U2322" t="s">
        <v>43</v>
      </c>
      <c r="V2322" t="s">
        <v>43</v>
      </c>
      <c r="W2322" t="s">
        <v>170</v>
      </c>
      <c r="X2322" t="s">
        <v>171</v>
      </c>
      <c r="Y2322" s="9">
        <f t="shared" si="109"/>
        <v>5.0000000000000001E-3</v>
      </c>
      <c r="Z2322" t="str">
        <f t="shared" si="110"/>
        <v>สแกนต่าง Cost</v>
      </c>
    </row>
    <row r="2323" spans="1:26" x14ac:dyDescent="0.45">
      <c r="A2323">
        <v>25995</v>
      </c>
      <c r="B2323" t="s">
        <v>53</v>
      </c>
      <c r="C2323">
        <v>20344534</v>
      </c>
      <c r="D2323" t="s">
        <v>278</v>
      </c>
      <c r="E2323" s="10">
        <v>46118.333333333336</v>
      </c>
      <c r="F2323" s="10">
        <v>46118.729166666664</v>
      </c>
      <c r="G2323">
        <v>8.5</v>
      </c>
      <c r="H2323" s="9">
        <f t="shared" si="108"/>
        <v>4.4999999999999998E-2</v>
      </c>
      <c r="J2323">
        <v>4.4999999999999998E-2</v>
      </c>
      <c r="M2323" t="s">
        <v>77</v>
      </c>
      <c r="N2323" t="s">
        <v>40</v>
      </c>
      <c r="O2323" t="s">
        <v>78</v>
      </c>
      <c r="P2323" t="s">
        <v>30</v>
      </c>
      <c r="Q2323" t="s">
        <v>31</v>
      </c>
      <c r="R2323">
        <v>82680</v>
      </c>
      <c r="S2323" t="s">
        <v>50</v>
      </c>
      <c r="T2323">
        <v>82658</v>
      </c>
      <c r="U2323" t="s">
        <v>33</v>
      </c>
      <c r="V2323" t="s">
        <v>33</v>
      </c>
      <c r="W2323" t="s">
        <v>34</v>
      </c>
      <c r="X2323" t="s">
        <v>34</v>
      </c>
      <c r="Y2323" s="9">
        <f t="shared" si="109"/>
        <v>4.4999999999999998E-2</v>
      </c>
      <c r="Z2323" t="str">
        <f t="shared" si="110"/>
        <v>สแกนต่าง Cost</v>
      </c>
    </row>
    <row r="2324" spans="1:26" x14ac:dyDescent="0.45">
      <c r="A2324">
        <v>25663</v>
      </c>
      <c r="B2324" t="s">
        <v>53</v>
      </c>
      <c r="C2324">
        <v>20344551</v>
      </c>
      <c r="D2324" t="s">
        <v>110</v>
      </c>
      <c r="E2324" s="10">
        <v>46118.333333333336</v>
      </c>
      <c r="F2324" s="10">
        <v>46118.729166666664</v>
      </c>
      <c r="G2324">
        <v>8.5</v>
      </c>
      <c r="H2324" s="9">
        <f t="shared" si="108"/>
        <v>4.4999999999999998E-2</v>
      </c>
      <c r="J2324">
        <v>4.4999999999999998E-2</v>
      </c>
      <c r="M2324" t="s">
        <v>77</v>
      </c>
      <c r="N2324" t="s">
        <v>40</v>
      </c>
      <c r="O2324" t="s">
        <v>78</v>
      </c>
      <c r="P2324" t="s">
        <v>30</v>
      </c>
      <c r="Q2324" t="s">
        <v>31</v>
      </c>
      <c r="R2324">
        <v>82655</v>
      </c>
      <c r="S2324" t="s">
        <v>59</v>
      </c>
      <c r="T2324">
        <v>82664</v>
      </c>
      <c r="U2324" t="s">
        <v>75</v>
      </c>
      <c r="V2324" t="s">
        <v>75</v>
      </c>
      <c r="W2324" t="s">
        <v>37</v>
      </c>
      <c r="X2324" t="s">
        <v>111</v>
      </c>
      <c r="Y2324" s="9">
        <f t="shared" si="109"/>
        <v>4.4999999999999998E-2</v>
      </c>
      <c r="Z2324" t="str">
        <f t="shared" si="110"/>
        <v>สแกนต่าง Cost</v>
      </c>
    </row>
    <row r="2325" spans="1:26" x14ac:dyDescent="0.45">
      <c r="A2325">
        <v>25664</v>
      </c>
      <c r="B2325" t="s">
        <v>53</v>
      </c>
      <c r="C2325">
        <v>20344552</v>
      </c>
      <c r="D2325" t="s">
        <v>112</v>
      </c>
      <c r="E2325" s="10">
        <v>46118.333333333336</v>
      </c>
      <c r="F2325" s="10">
        <v>46118.729166666664</v>
      </c>
      <c r="G2325">
        <v>8.5</v>
      </c>
      <c r="H2325" s="9">
        <f t="shared" si="108"/>
        <v>4.4999999999999998E-2</v>
      </c>
      <c r="I2325">
        <v>4.4999999999999998E-2</v>
      </c>
      <c r="M2325" t="s">
        <v>65</v>
      </c>
      <c r="N2325" t="s">
        <v>29</v>
      </c>
      <c r="P2325" t="s">
        <v>30</v>
      </c>
      <c r="Q2325" t="s">
        <v>31</v>
      </c>
      <c r="R2325">
        <v>82655</v>
      </c>
      <c r="S2325" t="s">
        <v>59</v>
      </c>
      <c r="T2325">
        <v>82664</v>
      </c>
      <c r="U2325" t="s">
        <v>75</v>
      </c>
      <c r="V2325" t="s">
        <v>75</v>
      </c>
      <c r="W2325" t="s">
        <v>37</v>
      </c>
      <c r="X2325" t="s">
        <v>111</v>
      </c>
      <c r="Y2325" s="9">
        <f t="shared" si="109"/>
        <v>0</v>
      </c>
      <c r="Z2325" t="str">
        <f t="shared" si="110"/>
        <v>สแกนต่าง Cost</v>
      </c>
    </row>
    <row r="2326" spans="1:26" x14ac:dyDescent="0.45">
      <c r="B2326" t="s">
        <v>53</v>
      </c>
      <c r="C2326">
        <v>20352276</v>
      </c>
      <c r="D2326" t="s">
        <v>187</v>
      </c>
      <c r="E2326" s="10">
        <v>46118.333333333336</v>
      </c>
      <c r="F2326" s="10">
        <v>46118.729166666664</v>
      </c>
      <c r="G2326">
        <v>8.5</v>
      </c>
      <c r="H2326" s="9">
        <f t="shared" si="108"/>
        <v>4.4999999999999998E-2</v>
      </c>
      <c r="I2326">
        <v>4.4999999999999998E-2</v>
      </c>
      <c r="M2326" t="s">
        <v>65</v>
      </c>
      <c r="N2326" t="s">
        <v>29</v>
      </c>
      <c r="P2326" t="s">
        <v>30</v>
      </c>
      <c r="Q2326" t="s">
        <v>31</v>
      </c>
      <c r="R2326">
        <v>82630</v>
      </c>
      <c r="S2326" t="s">
        <v>32</v>
      </c>
      <c r="T2326">
        <v>82611</v>
      </c>
      <c r="U2326" t="s">
        <v>43</v>
      </c>
      <c r="V2326" t="s">
        <v>43</v>
      </c>
      <c r="W2326" t="s">
        <v>170</v>
      </c>
      <c r="X2326" t="s">
        <v>171</v>
      </c>
      <c r="Y2326" s="9">
        <f t="shared" si="109"/>
        <v>0</v>
      </c>
      <c r="Z2326" t="str">
        <f t="shared" si="110"/>
        <v>สแกนต่าง Cost</v>
      </c>
    </row>
    <row r="2327" spans="1:26" x14ac:dyDescent="0.45">
      <c r="B2327" t="s">
        <v>53</v>
      </c>
      <c r="C2327">
        <v>20369751</v>
      </c>
      <c r="D2327" t="s">
        <v>313</v>
      </c>
      <c r="E2327" s="10">
        <v>46118.333333333336</v>
      </c>
      <c r="F2327" s="10">
        <v>46118.701388888891</v>
      </c>
      <c r="G2327">
        <v>7.8333333333333339</v>
      </c>
      <c r="H2327" s="9">
        <f t="shared" si="108"/>
        <v>4.2000000000000003E-2</v>
      </c>
      <c r="J2327">
        <v>4.2000000000000003E-2</v>
      </c>
      <c r="M2327" t="s">
        <v>77</v>
      </c>
      <c r="N2327" t="s">
        <v>40</v>
      </c>
      <c r="O2327" t="s">
        <v>247</v>
      </c>
      <c r="P2327" t="s">
        <v>30</v>
      </c>
      <c r="Q2327" t="s">
        <v>31</v>
      </c>
      <c r="R2327">
        <v>82630</v>
      </c>
      <c r="S2327" t="s">
        <v>32</v>
      </c>
      <c r="T2327">
        <v>82611</v>
      </c>
      <c r="U2327" t="s">
        <v>43</v>
      </c>
      <c r="V2327" t="s">
        <v>43</v>
      </c>
      <c r="W2327" t="s">
        <v>148</v>
      </c>
      <c r="X2327" t="s">
        <v>171</v>
      </c>
      <c r="Y2327" s="9">
        <f t="shared" si="109"/>
        <v>4.2000000000000003E-2</v>
      </c>
      <c r="Z2327" t="str">
        <f t="shared" si="110"/>
        <v>สแกนต่าง Cost</v>
      </c>
    </row>
    <row r="2328" spans="1:26" x14ac:dyDescent="0.45">
      <c r="A2328">
        <v>25665</v>
      </c>
      <c r="B2328" t="s">
        <v>53</v>
      </c>
      <c r="C2328">
        <v>20372709</v>
      </c>
      <c r="D2328" t="s">
        <v>130</v>
      </c>
      <c r="E2328" s="10">
        <v>46118.333333333336</v>
      </c>
      <c r="F2328" s="10">
        <v>46118.729166666664</v>
      </c>
      <c r="G2328">
        <v>8.5</v>
      </c>
      <c r="H2328" s="9">
        <f t="shared" si="108"/>
        <v>4.4999999999999998E-2</v>
      </c>
      <c r="I2328">
        <v>4.4999999999999998E-2</v>
      </c>
      <c r="M2328" t="s">
        <v>65</v>
      </c>
      <c r="N2328" t="s">
        <v>29</v>
      </c>
      <c r="P2328" t="s">
        <v>30</v>
      </c>
      <c r="Q2328" t="s">
        <v>31</v>
      </c>
      <c r="R2328">
        <v>82658</v>
      </c>
      <c r="S2328" t="s">
        <v>33</v>
      </c>
      <c r="T2328">
        <v>82664</v>
      </c>
      <c r="U2328" t="s">
        <v>75</v>
      </c>
      <c r="V2328" t="s">
        <v>75</v>
      </c>
      <c r="W2328" t="s">
        <v>37</v>
      </c>
      <c r="X2328" t="s">
        <v>111</v>
      </c>
      <c r="Y2328" s="9">
        <f t="shared" si="109"/>
        <v>0</v>
      </c>
      <c r="Z2328" t="str">
        <f t="shared" si="110"/>
        <v>สแกนต่าง Cost</v>
      </c>
    </row>
    <row r="2329" spans="1:26" x14ac:dyDescent="0.45">
      <c r="A2329">
        <v>25996</v>
      </c>
      <c r="B2329" t="s">
        <v>53</v>
      </c>
      <c r="C2329">
        <v>20386851</v>
      </c>
      <c r="D2329" t="s">
        <v>48</v>
      </c>
      <c r="E2329" s="10">
        <v>46118.333333333336</v>
      </c>
      <c r="F2329" s="10">
        <v>46118.729166666664</v>
      </c>
      <c r="G2329">
        <v>8.5</v>
      </c>
      <c r="H2329" s="9">
        <f t="shared" si="108"/>
        <v>4.4999999999999998E-2</v>
      </c>
      <c r="I2329">
        <v>4.4999999999999998E-2</v>
      </c>
      <c r="M2329" t="s">
        <v>65</v>
      </c>
      <c r="N2329" t="s">
        <v>29</v>
      </c>
      <c r="P2329" t="s">
        <v>30</v>
      </c>
      <c r="Q2329" t="s">
        <v>31</v>
      </c>
      <c r="R2329">
        <v>82652</v>
      </c>
      <c r="S2329" t="s">
        <v>46</v>
      </c>
      <c r="T2329">
        <v>82658</v>
      </c>
      <c r="U2329" t="s">
        <v>33</v>
      </c>
      <c r="V2329" t="s">
        <v>33</v>
      </c>
      <c r="W2329" t="s">
        <v>37</v>
      </c>
      <c r="X2329" t="s">
        <v>38</v>
      </c>
      <c r="Y2329" s="9">
        <f t="shared" si="109"/>
        <v>0</v>
      </c>
      <c r="Z2329" t="str">
        <f t="shared" si="110"/>
        <v>สแกนต่าง Cost</v>
      </c>
    </row>
    <row r="2330" spans="1:26" x14ac:dyDescent="0.45">
      <c r="A2330">
        <v>25999</v>
      </c>
      <c r="B2330" t="s">
        <v>53</v>
      </c>
      <c r="C2330">
        <v>20396185</v>
      </c>
      <c r="D2330" t="s">
        <v>48</v>
      </c>
      <c r="E2330" s="10">
        <v>46118.333333333336</v>
      </c>
      <c r="F2330" s="10">
        <v>46118.729166666664</v>
      </c>
      <c r="G2330">
        <v>8.5</v>
      </c>
      <c r="H2330" s="9">
        <f t="shared" si="108"/>
        <v>4.4999999999999998E-2</v>
      </c>
      <c r="J2330">
        <v>4.4999999999999998E-2</v>
      </c>
      <c r="M2330" t="s">
        <v>77</v>
      </c>
      <c r="N2330" t="s">
        <v>40</v>
      </c>
      <c r="O2330" t="s">
        <v>78</v>
      </c>
      <c r="P2330" t="s">
        <v>30</v>
      </c>
      <c r="Q2330" t="s">
        <v>31</v>
      </c>
      <c r="R2330">
        <v>82210</v>
      </c>
      <c r="S2330" t="s">
        <v>184</v>
      </c>
      <c r="T2330">
        <v>82658</v>
      </c>
      <c r="U2330" t="s">
        <v>33</v>
      </c>
      <c r="V2330" t="s">
        <v>33</v>
      </c>
      <c r="W2330" t="s">
        <v>37</v>
      </c>
      <c r="X2330" t="s">
        <v>38</v>
      </c>
      <c r="Y2330" s="9">
        <f t="shared" si="109"/>
        <v>4.4999999999999998E-2</v>
      </c>
      <c r="Z2330" t="str">
        <f t="shared" si="110"/>
        <v>สแกนต่าง Cost</v>
      </c>
    </row>
    <row r="2331" spans="1:26" x14ac:dyDescent="0.45">
      <c r="A2331">
        <v>25994</v>
      </c>
      <c r="B2331" t="s">
        <v>53</v>
      </c>
      <c r="C2331">
        <v>20403445</v>
      </c>
      <c r="E2331" s="10">
        <v>46118.333333333336</v>
      </c>
      <c r="F2331" s="10">
        <v>46118.729166666664</v>
      </c>
      <c r="G2331">
        <v>8.5</v>
      </c>
      <c r="H2331" s="9">
        <f t="shared" si="108"/>
        <v>4.4999999999999998E-2</v>
      </c>
      <c r="J2331">
        <v>4.4999999999999998E-2</v>
      </c>
      <c r="M2331" t="s">
        <v>77</v>
      </c>
      <c r="N2331" t="s">
        <v>40</v>
      </c>
      <c r="O2331" t="s">
        <v>78</v>
      </c>
      <c r="P2331" t="s">
        <v>30</v>
      </c>
      <c r="R2331">
        <v>82680</v>
      </c>
      <c r="S2331" t="s">
        <v>50</v>
      </c>
      <c r="T2331">
        <v>82658</v>
      </c>
      <c r="U2331" t="s">
        <v>33</v>
      </c>
      <c r="V2331" t="s">
        <v>33</v>
      </c>
      <c r="W2331" t="s">
        <v>34</v>
      </c>
      <c r="X2331" t="s">
        <v>34</v>
      </c>
      <c r="Y2331" s="9">
        <f t="shared" si="109"/>
        <v>4.4999999999999998E-2</v>
      </c>
      <c r="Z2331" t="str">
        <f t="shared" si="110"/>
        <v>สแกนต่าง Cost</v>
      </c>
    </row>
    <row r="2332" spans="1:26" x14ac:dyDescent="0.45">
      <c r="B2332" t="s">
        <v>53</v>
      </c>
      <c r="C2332">
        <v>20167851</v>
      </c>
      <c r="D2332" t="s">
        <v>63</v>
      </c>
      <c r="E2332" s="10">
        <v>46118.331250000003</v>
      </c>
      <c r="F2332" s="10">
        <v>46118.706250000003</v>
      </c>
      <c r="G2332">
        <v>8</v>
      </c>
      <c r="H2332" s="9">
        <f t="shared" si="108"/>
        <v>4.2999999999999997E-2</v>
      </c>
      <c r="J2332">
        <v>4.2999999999999997E-2</v>
      </c>
      <c r="M2332" t="s">
        <v>77</v>
      </c>
      <c r="N2332" t="s">
        <v>40</v>
      </c>
      <c r="O2332" t="s">
        <v>247</v>
      </c>
      <c r="P2332" t="s">
        <v>30</v>
      </c>
      <c r="Q2332" t="s">
        <v>31</v>
      </c>
      <c r="R2332">
        <v>82640</v>
      </c>
      <c r="S2332" t="s">
        <v>42</v>
      </c>
      <c r="T2332">
        <v>82611</v>
      </c>
      <c r="U2332" t="s">
        <v>43</v>
      </c>
      <c r="V2332" t="s">
        <v>43</v>
      </c>
      <c r="W2332" t="s">
        <v>44</v>
      </c>
      <c r="X2332" t="s">
        <v>44</v>
      </c>
      <c r="Y2332" s="9">
        <f t="shared" si="109"/>
        <v>4.2999999999999997E-2</v>
      </c>
      <c r="Z2332" t="str">
        <f t="shared" si="110"/>
        <v>สแกนต่าง Cost</v>
      </c>
    </row>
    <row r="2333" spans="1:26" x14ac:dyDescent="0.45">
      <c r="A2333">
        <v>25989</v>
      </c>
      <c r="B2333" t="s">
        <v>53</v>
      </c>
      <c r="C2333">
        <v>20233956</v>
      </c>
      <c r="D2333" t="s">
        <v>219</v>
      </c>
      <c r="E2333" s="10">
        <v>46118.32916666667</v>
      </c>
      <c r="F2333" s="10">
        <v>46118.729166666664</v>
      </c>
      <c r="G2333">
        <v>8.6</v>
      </c>
      <c r="H2333" s="9">
        <f t="shared" si="108"/>
        <v>4.5999999999999999E-2</v>
      </c>
      <c r="J2333">
        <v>4.5999999999999999E-2</v>
      </c>
      <c r="M2333" t="s">
        <v>77</v>
      </c>
      <c r="N2333" t="s">
        <v>40</v>
      </c>
      <c r="O2333" t="s">
        <v>78</v>
      </c>
      <c r="P2333" t="s">
        <v>30</v>
      </c>
      <c r="Q2333" t="s">
        <v>31</v>
      </c>
      <c r="R2333">
        <v>82680</v>
      </c>
      <c r="S2333" t="s">
        <v>50</v>
      </c>
      <c r="T2333">
        <v>82658</v>
      </c>
      <c r="U2333" t="s">
        <v>33</v>
      </c>
      <c r="V2333" t="s">
        <v>33</v>
      </c>
      <c r="W2333" t="s">
        <v>34</v>
      </c>
      <c r="X2333" t="s">
        <v>34</v>
      </c>
      <c r="Y2333" s="9">
        <f t="shared" si="109"/>
        <v>4.5999999999999999E-2</v>
      </c>
      <c r="Z2333" t="str">
        <f t="shared" si="110"/>
        <v>สแกนต่าง Cost</v>
      </c>
    </row>
    <row r="2334" spans="1:26" x14ac:dyDescent="0.45">
      <c r="A2334">
        <v>25990</v>
      </c>
      <c r="B2334" t="s">
        <v>53</v>
      </c>
      <c r="C2334">
        <v>20344817</v>
      </c>
      <c r="D2334" t="s">
        <v>217</v>
      </c>
      <c r="E2334" s="10">
        <v>46118.32916666667</v>
      </c>
      <c r="F2334" s="10">
        <v>46118.729166666664</v>
      </c>
      <c r="G2334">
        <v>8.6</v>
      </c>
      <c r="H2334" s="9">
        <f t="shared" si="108"/>
        <v>4.5999999999999999E-2</v>
      </c>
      <c r="J2334">
        <v>4.5999999999999999E-2</v>
      </c>
      <c r="M2334" t="s">
        <v>77</v>
      </c>
      <c r="N2334" t="s">
        <v>40</v>
      </c>
      <c r="O2334" t="s">
        <v>78</v>
      </c>
      <c r="P2334" t="s">
        <v>30</v>
      </c>
      <c r="Q2334" t="s">
        <v>31</v>
      </c>
      <c r="R2334">
        <v>82655</v>
      </c>
      <c r="S2334" t="s">
        <v>59</v>
      </c>
      <c r="T2334">
        <v>82658</v>
      </c>
      <c r="U2334" t="s">
        <v>33</v>
      </c>
      <c r="V2334" t="s">
        <v>33</v>
      </c>
      <c r="W2334" t="s">
        <v>34</v>
      </c>
      <c r="X2334" t="s">
        <v>34</v>
      </c>
      <c r="Y2334" s="9">
        <f t="shared" si="109"/>
        <v>4.5999999999999999E-2</v>
      </c>
      <c r="Z2334" t="str">
        <f t="shared" si="110"/>
        <v>สแกนต่าง Cost</v>
      </c>
    </row>
    <row r="2335" spans="1:26" x14ac:dyDescent="0.45">
      <c r="B2335" t="s">
        <v>53</v>
      </c>
      <c r="C2335">
        <v>20363721</v>
      </c>
      <c r="D2335" t="s">
        <v>377</v>
      </c>
      <c r="E2335" s="10">
        <v>46118.32916666667</v>
      </c>
      <c r="F2335" s="10">
        <v>46118.701388888891</v>
      </c>
      <c r="G2335">
        <v>7.9333333333333336</v>
      </c>
      <c r="H2335" s="9">
        <f t="shared" si="108"/>
        <v>4.2000000000000003E-2</v>
      </c>
      <c r="J2335">
        <v>4.2000000000000003E-2</v>
      </c>
      <c r="M2335" t="s">
        <v>77</v>
      </c>
      <c r="N2335" t="s">
        <v>40</v>
      </c>
      <c r="O2335" t="s">
        <v>247</v>
      </c>
      <c r="P2335" t="s">
        <v>30</v>
      </c>
      <c r="Q2335" t="s">
        <v>31</v>
      </c>
      <c r="R2335">
        <v>82630</v>
      </c>
      <c r="S2335" t="s">
        <v>32</v>
      </c>
      <c r="T2335">
        <v>82611</v>
      </c>
      <c r="U2335" t="s">
        <v>43</v>
      </c>
      <c r="V2335" t="s">
        <v>43</v>
      </c>
      <c r="W2335" t="s">
        <v>148</v>
      </c>
      <c r="X2335" t="s">
        <v>171</v>
      </c>
      <c r="Y2335" s="9">
        <f t="shared" si="109"/>
        <v>4.2000000000000003E-2</v>
      </c>
      <c r="Z2335" t="str">
        <f t="shared" si="110"/>
        <v>สแกนต่าง Cost</v>
      </c>
    </row>
    <row r="2336" spans="1:26" x14ac:dyDescent="0.45">
      <c r="A2336">
        <v>25988</v>
      </c>
      <c r="B2336" t="s">
        <v>53</v>
      </c>
      <c r="C2336">
        <v>20038749</v>
      </c>
      <c r="D2336" t="s">
        <v>218</v>
      </c>
      <c r="E2336" s="10">
        <v>46118.328472222223</v>
      </c>
      <c r="F2336" s="10">
        <v>46118.729166666664</v>
      </c>
      <c r="G2336">
        <v>8.6166666666666671</v>
      </c>
      <c r="H2336" s="9">
        <f t="shared" si="108"/>
        <v>4.5999999999999999E-2</v>
      </c>
      <c r="J2336">
        <v>4.5999999999999999E-2</v>
      </c>
      <c r="M2336" t="s">
        <v>77</v>
      </c>
      <c r="N2336" t="s">
        <v>40</v>
      </c>
      <c r="O2336" t="s">
        <v>78</v>
      </c>
      <c r="P2336" t="s">
        <v>30</v>
      </c>
      <c r="Q2336" t="s">
        <v>31</v>
      </c>
      <c r="R2336">
        <v>82680</v>
      </c>
      <c r="S2336" t="s">
        <v>50</v>
      </c>
      <c r="T2336">
        <v>82658</v>
      </c>
      <c r="U2336" t="s">
        <v>33</v>
      </c>
      <c r="V2336" t="s">
        <v>33</v>
      </c>
      <c r="W2336" t="s">
        <v>34</v>
      </c>
      <c r="X2336" t="s">
        <v>34</v>
      </c>
      <c r="Y2336" s="9">
        <f t="shared" si="109"/>
        <v>4.5999999999999999E-2</v>
      </c>
      <c r="Z2336" t="str">
        <f t="shared" si="110"/>
        <v>สแกนต่าง Cost</v>
      </c>
    </row>
    <row r="2337" spans="1:26" x14ac:dyDescent="0.45">
      <c r="A2337">
        <v>25987</v>
      </c>
      <c r="B2337" t="s">
        <v>53</v>
      </c>
      <c r="C2337">
        <v>20076321</v>
      </c>
      <c r="D2337" t="s">
        <v>349</v>
      </c>
      <c r="E2337" s="10">
        <v>46118.328472222223</v>
      </c>
      <c r="F2337" s="10">
        <v>46118.729166666664</v>
      </c>
      <c r="G2337">
        <v>8.6166666666666671</v>
      </c>
      <c r="H2337" s="9">
        <f t="shared" si="108"/>
        <v>4.5999999999999999E-2</v>
      </c>
      <c r="I2337">
        <v>4.5999999999999999E-2</v>
      </c>
      <c r="M2337" t="s">
        <v>65</v>
      </c>
      <c r="N2337" t="s">
        <v>29</v>
      </c>
      <c r="P2337" t="s">
        <v>133</v>
      </c>
      <c r="Q2337" t="s">
        <v>31</v>
      </c>
      <c r="R2337">
        <v>82308</v>
      </c>
      <c r="S2337" t="s">
        <v>69</v>
      </c>
      <c r="T2337">
        <v>82658</v>
      </c>
      <c r="U2337" t="s">
        <v>33</v>
      </c>
      <c r="V2337" t="s">
        <v>33</v>
      </c>
      <c r="W2337" t="s">
        <v>34</v>
      </c>
      <c r="X2337" t="s">
        <v>34</v>
      </c>
      <c r="Y2337" s="9">
        <f t="shared" si="109"/>
        <v>0</v>
      </c>
      <c r="Z2337" t="str">
        <f t="shared" si="110"/>
        <v>สแกนต่าง Cost</v>
      </c>
    </row>
    <row r="2338" spans="1:26" x14ac:dyDescent="0.45">
      <c r="B2338" t="s">
        <v>53</v>
      </c>
      <c r="C2338">
        <v>20027956</v>
      </c>
      <c r="D2338" t="s">
        <v>214</v>
      </c>
      <c r="E2338" s="10">
        <v>46118.327777777777</v>
      </c>
      <c r="F2338" s="10">
        <v>46118.706250000003</v>
      </c>
      <c r="G2338">
        <v>8.0833333333333339</v>
      </c>
      <c r="H2338" s="9">
        <f t="shared" si="108"/>
        <v>4.2999999999999997E-2</v>
      </c>
      <c r="J2338">
        <v>4.2999999999999997E-2</v>
      </c>
      <c r="M2338" t="s">
        <v>77</v>
      </c>
      <c r="N2338" t="s">
        <v>40</v>
      </c>
      <c r="O2338" t="s">
        <v>247</v>
      </c>
      <c r="P2338" t="s">
        <v>30</v>
      </c>
      <c r="Q2338" t="s">
        <v>31</v>
      </c>
      <c r="R2338">
        <v>82640</v>
      </c>
      <c r="S2338" t="s">
        <v>42</v>
      </c>
      <c r="T2338">
        <v>82611</v>
      </c>
      <c r="U2338" t="s">
        <v>43</v>
      </c>
      <c r="V2338" t="s">
        <v>43</v>
      </c>
      <c r="W2338" t="s">
        <v>44</v>
      </c>
      <c r="X2338" t="s">
        <v>44</v>
      </c>
      <c r="Y2338" s="9">
        <f t="shared" si="109"/>
        <v>4.2999999999999997E-2</v>
      </c>
      <c r="Z2338" t="str">
        <f t="shared" si="110"/>
        <v>สแกนต่าง Cost</v>
      </c>
    </row>
    <row r="2339" spans="1:26" x14ac:dyDescent="0.45">
      <c r="B2339" t="s">
        <v>53</v>
      </c>
      <c r="C2339">
        <v>20244923</v>
      </c>
      <c r="D2339" t="s">
        <v>246</v>
      </c>
      <c r="E2339" s="10">
        <v>46118.32708333333</v>
      </c>
      <c r="F2339" s="10">
        <v>46118.645138888889</v>
      </c>
      <c r="G2339">
        <v>6.6333333333333337</v>
      </c>
      <c r="H2339" s="9">
        <f t="shared" si="108"/>
        <v>3.5000000000000003E-2</v>
      </c>
      <c r="J2339">
        <v>3.5000000000000003E-2</v>
      </c>
      <c r="M2339" t="s">
        <v>77</v>
      </c>
      <c r="N2339" t="s">
        <v>40</v>
      </c>
      <c r="O2339" t="s">
        <v>378</v>
      </c>
      <c r="P2339" t="s">
        <v>30</v>
      </c>
      <c r="Q2339" t="s">
        <v>31</v>
      </c>
      <c r="R2339">
        <v>82640</v>
      </c>
      <c r="S2339" t="s">
        <v>42</v>
      </c>
      <c r="T2339">
        <v>82611</v>
      </c>
      <c r="U2339" t="s">
        <v>43</v>
      </c>
      <c r="V2339" t="s">
        <v>43</v>
      </c>
      <c r="W2339" t="s">
        <v>44</v>
      </c>
      <c r="X2339" t="s">
        <v>44</v>
      </c>
      <c r="Y2339" s="9">
        <f t="shared" si="109"/>
        <v>3.5000000000000003E-2</v>
      </c>
      <c r="Z2339" t="str">
        <f t="shared" si="110"/>
        <v>สแกนต่าง Cost</v>
      </c>
    </row>
    <row r="2340" spans="1:26" x14ac:dyDescent="0.45">
      <c r="B2340" t="s">
        <v>53</v>
      </c>
      <c r="C2340">
        <v>20282543</v>
      </c>
      <c r="D2340" t="s">
        <v>311</v>
      </c>
      <c r="E2340" s="10">
        <v>46118.32708333333</v>
      </c>
      <c r="F2340" s="10">
        <v>46118.702777777777</v>
      </c>
      <c r="G2340">
        <v>8.0166666666666675</v>
      </c>
      <c r="H2340" s="9">
        <f t="shared" si="108"/>
        <v>4.2999999999999997E-2</v>
      </c>
      <c r="I2340">
        <v>4.2999999999999997E-2</v>
      </c>
      <c r="M2340" t="s">
        <v>65</v>
      </c>
      <c r="N2340" t="s">
        <v>29</v>
      </c>
      <c r="P2340" t="s">
        <v>30</v>
      </c>
      <c r="Q2340" t="s">
        <v>31</v>
      </c>
      <c r="R2340">
        <v>82630</v>
      </c>
      <c r="S2340" t="s">
        <v>32</v>
      </c>
      <c r="T2340">
        <v>82611</v>
      </c>
      <c r="U2340" t="s">
        <v>43</v>
      </c>
      <c r="V2340" t="s">
        <v>43</v>
      </c>
      <c r="W2340" t="s">
        <v>148</v>
      </c>
      <c r="X2340" t="s">
        <v>171</v>
      </c>
      <c r="Y2340" s="9">
        <f t="shared" si="109"/>
        <v>0</v>
      </c>
      <c r="Z2340" t="str">
        <f t="shared" si="110"/>
        <v>สแกนต่าง Cost</v>
      </c>
    </row>
    <row r="2341" spans="1:26" x14ac:dyDescent="0.45">
      <c r="B2341" t="s">
        <v>53</v>
      </c>
      <c r="C2341">
        <v>20016435</v>
      </c>
      <c r="D2341" t="s">
        <v>315</v>
      </c>
      <c r="E2341" s="10">
        <v>46118.325694444444</v>
      </c>
      <c r="F2341" s="10">
        <v>46118.701388888891</v>
      </c>
      <c r="G2341">
        <v>8.0166666666666675</v>
      </c>
      <c r="H2341" s="9">
        <f t="shared" si="108"/>
        <v>4.2999999999999997E-2</v>
      </c>
      <c r="J2341">
        <v>4.2999999999999997E-2</v>
      </c>
      <c r="M2341" t="s">
        <v>77</v>
      </c>
      <c r="N2341" t="s">
        <v>40</v>
      </c>
      <c r="O2341" t="s">
        <v>247</v>
      </c>
      <c r="P2341" t="s">
        <v>30</v>
      </c>
      <c r="Q2341" t="s">
        <v>31</v>
      </c>
      <c r="R2341">
        <v>82630</v>
      </c>
      <c r="S2341" t="s">
        <v>32</v>
      </c>
      <c r="T2341">
        <v>82611</v>
      </c>
      <c r="U2341" t="s">
        <v>43</v>
      </c>
      <c r="V2341" t="s">
        <v>43</v>
      </c>
      <c r="W2341" t="s">
        <v>148</v>
      </c>
      <c r="X2341" t="s">
        <v>171</v>
      </c>
      <c r="Y2341" s="9">
        <f t="shared" si="109"/>
        <v>4.2999999999999997E-2</v>
      </c>
      <c r="Z2341" t="str">
        <f t="shared" si="110"/>
        <v>สแกนต่าง Cost</v>
      </c>
    </row>
    <row r="2342" spans="1:26" x14ac:dyDescent="0.45">
      <c r="B2342" t="s">
        <v>53</v>
      </c>
      <c r="C2342">
        <v>20019820</v>
      </c>
      <c r="D2342" t="s">
        <v>316</v>
      </c>
      <c r="E2342" s="10">
        <v>46118.325694444444</v>
      </c>
      <c r="F2342" s="10">
        <v>46118.702777777777</v>
      </c>
      <c r="G2342">
        <v>8.0500000000000007</v>
      </c>
      <c r="H2342" s="9">
        <f t="shared" si="108"/>
        <v>4.2999999999999997E-2</v>
      </c>
      <c r="I2342">
        <v>4.2999999999999997E-2</v>
      </c>
      <c r="M2342" t="s">
        <v>65</v>
      </c>
      <c r="N2342" t="s">
        <v>29</v>
      </c>
      <c r="P2342" t="s">
        <v>30</v>
      </c>
      <c r="Q2342" t="s">
        <v>31</v>
      </c>
      <c r="R2342">
        <v>82630</v>
      </c>
      <c r="S2342" t="s">
        <v>32</v>
      </c>
      <c r="T2342">
        <v>82611</v>
      </c>
      <c r="U2342" t="s">
        <v>43</v>
      </c>
      <c r="V2342" t="s">
        <v>43</v>
      </c>
      <c r="W2342" t="s">
        <v>148</v>
      </c>
      <c r="X2342" t="s">
        <v>171</v>
      </c>
      <c r="Y2342" s="9">
        <f t="shared" si="109"/>
        <v>0</v>
      </c>
      <c r="Z2342" t="str">
        <f t="shared" si="110"/>
        <v>สแกนต่าง Cost</v>
      </c>
    </row>
    <row r="2343" spans="1:26" x14ac:dyDescent="0.45">
      <c r="B2343" t="s">
        <v>53</v>
      </c>
      <c r="C2343">
        <v>20075019</v>
      </c>
      <c r="D2343" t="s">
        <v>252</v>
      </c>
      <c r="E2343" s="10">
        <v>46118.325694444444</v>
      </c>
      <c r="F2343" s="10">
        <v>46118.701388888891</v>
      </c>
      <c r="G2343">
        <v>8.0166666666666675</v>
      </c>
      <c r="H2343" s="9">
        <f t="shared" si="108"/>
        <v>4.2999999999999997E-2</v>
      </c>
      <c r="I2343">
        <v>4.2999999999999997E-2</v>
      </c>
      <c r="M2343" t="s">
        <v>65</v>
      </c>
      <c r="N2343" t="s">
        <v>29</v>
      </c>
      <c r="P2343" t="s">
        <v>30</v>
      </c>
      <c r="Q2343" t="s">
        <v>31</v>
      </c>
      <c r="R2343">
        <v>82640</v>
      </c>
      <c r="S2343" t="s">
        <v>42</v>
      </c>
      <c r="T2343">
        <v>82611</v>
      </c>
      <c r="U2343" t="s">
        <v>43</v>
      </c>
      <c r="V2343" t="s">
        <v>43</v>
      </c>
      <c r="W2343" t="s">
        <v>148</v>
      </c>
      <c r="X2343" t="s">
        <v>171</v>
      </c>
      <c r="Y2343" s="9">
        <f t="shared" si="109"/>
        <v>0</v>
      </c>
      <c r="Z2343" t="str">
        <f t="shared" si="110"/>
        <v>สแกนต่าง Cost</v>
      </c>
    </row>
    <row r="2344" spans="1:26" x14ac:dyDescent="0.45">
      <c r="B2344" t="s">
        <v>53</v>
      </c>
      <c r="C2344">
        <v>20198747</v>
      </c>
      <c r="D2344" t="s">
        <v>180</v>
      </c>
      <c r="E2344" s="10">
        <v>46118.325694444444</v>
      </c>
      <c r="F2344" s="10">
        <v>46118.701388888891</v>
      </c>
      <c r="G2344">
        <v>8.0166666666666675</v>
      </c>
      <c r="H2344" s="9">
        <f t="shared" si="108"/>
        <v>4.2999999999999997E-2</v>
      </c>
      <c r="I2344">
        <v>4.2999999999999997E-2</v>
      </c>
      <c r="M2344" t="s">
        <v>65</v>
      </c>
      <c r="N2344" t="s">
        <v>29</v>
      </c>
      <c r="P2344" t="s">
        <v>30</v>
      </c>
      <c r="Q2344" t="s">
        <v>31</v>
      </c>
      <c r="R2344">
        <v>82630</v>
      </c>
      <c r="S2344" t="s">
        <v>32</v>
      </c>
      <c r="T2344">
        <v>82611</v>
      </c>
      <c r="U2344" t="s">
        <v>43</v>
      </c>
      <c r="V2344" t="s">
        <v>43</v>
      </c>
      <c r="W2344" t="s">
        <v>148</v>
      </c>
      <c r="X2344" t="s">
        <v>171</v>
      </c>
      <c r="Y2344" s="9">
        <f t="shared" si="109"/>
        <v>0</v>
      </c>
      <c r="Z2344" t="str">
        <f t="shared" si="110"/>
        <v>สแกนต่าง Cost</v>
      </c>
    </row>
    <row r="2345" spans="1:26" x14ac:dyDescent="0.45">
      <c r="A2345">
        <v>25986</v>
      </c>
      <c r="B2345" t="s">
        <v>53</v>
      </c>
      <c r="C2345">
        <v>20334399</v>
      </c>
      <c r="D2345" t="s">
        <v>237</v>
      </c>
      <c r="E2345" s="10">
        <v>46118.325694444444</v>
      </c>
      <c r="F2345" s="10">
        <v>46118.729166666664</v>
      </c>
      <c r="G2345">
        <v>8.6833333333333336</v>
      </c>
      <c r="H2345" s="9">
        <f t="shared" si="108"/>
        <v>4.5999999999999999E-2</v>
      </c>
      <c r="J2345">
        <v>4.5999999999999999E-2</v>
      </c>
      <c r="M2345" t="s">
        <v>77</v>
      </c>
      <c r="N2345" t="s">
        <v>40</v>
      </c>
      <c r="O2345" t="s">
        <v>78</v>
      </c>
      <c r="P2345" t="s">
        <v>30</v>
      </c>
      <c r="Q2345" t="s">
        <v>31</v>
      </c>
      <c r="R2345">
        <v>82301</v>
      </c>
      <c r="S2345" t="s">
        <v>79</v>
      </c>
      <c r="T2345">
        <v>82658</v>
      </c>
      <c r="U2345" t="s">
        <v>33</v>
      </c>
      <c r="V2345" t="s">
        <v>33</v>
      </c>
      <c r="W2345" t="s">
        <v>37</v>
      </c>
      <c r="X2345" t="s">
        <v>38</v>
      </c>
      <c r="Y2345" s="9">
        <f t="shared" si="109"/>
        <v>4.5999999999999999E-2</v>
      </c>
      <c r="Z2345" t="str">
        <f t="shared" si="110"/>
        <v>สแกนต่าง Cost</v>
      </c>
    </row>
    <row r="2346" spans="1:26" x14ac:dyDescent="0.45">
      <c r="A2346">
        <v>25984</v>
      </c>
      <c r="B2346" t="s">
        <v>53</v>
      </c>
      <c r="C2346">
        <v>20039228</v>
      </c>
      <c r="D2346" t="s">
        <v>289</v>
      </c>
      <c r="E2346" s="10">
        <v>46118.324999999997</v>
      </c>
      <c r="F2346" s="10">
        <v>46118.729166666664</v>
      </c>
      <c r="G2346">
        <v>8.6999999999999993</v>
      </c>
      <c r="H2346" s="9">
        <f t="shared" si="108"/>
        <v>4.7E-2</v>
      </c>
      <c r="J2346">
        <v>4.7E-2</v>
      </c>
      <c r="M2346" t="s">
        <v>77</v>
      </c>
      <c r="N2346" t="s">
        <v>40</v>
      </c>
      <c r="O2346" t="s">
        <v>78</v>
      </c>
      <c r="P2346" t="s">
        <v>30</v>
      </c>
      <c r="Q2346" t="s">
        <v>31</v>
      </c>
      <c r="R2346">
        <v>82655</v>
      </c>
      <c r="S2346" t="s">
        <v>59</v>
      </c>
      <c r="T2346">
        <v>82658</v>
      </c>
      <c r="U2346" t="s">
        <v>33</v>
      </c>
      <c r="V2346" t="s">
        <v>33</v>
      </c>
      <c r="W2346" t="s">
        <v>37</v>
      </c>
      <c r="X2346" t="s">
        <v>38</v>
      </c>
      <c r="Y2346" s="9">
        <f t="shared" si="109"/>
        <v>4.7E-2</v>
      </c>
      <c r="Z2346" t="str">
        <f t="shared" si="110"/>
        <v>สแกนต่าง Cost</v>
      </c>
    </row>
    <row r="2347" spans="1:26" x14ac:dyDescent="0.45">
      <c r="A2347">
        <v>25985</v>
      </c>
      <c r="B2347" t="s">
        <v>53</v>
      </c>
      <c r="C2347">
        <v>20292379</v>
      </c>
      <c r="D2347" t="s">
        <v>341</v>
      </c>
      <c r="E2347" s="10">
        <v>46118.324999999997</v>
      </c>
      <c r="F2347" s="10">
        <v>46118.729166666664</v>
      </c>
      <c r="G2347">
        <v>8.6999999999999993</v>
      </c>
      <c r="H2347" s="9">
        <f t="shared" si="108"/>
        <v>4.7E-2</v>
      </c>
      <c r="J2347">
        <v>4.7E-2</v>
      </c>
      <c r="M2347" t="s">
        <v>77</v>
      </c>
      <c r="N2347" t="s">
        <v>40</v>
      </c>
      <c r="O2347" t="s">
        <v>78</v>
      </c>
      <c r="P2347" t="s">
        <v>30</v>
      </c>
      <c r="Q2347" t="s">
        <v>31</v>
      </c>
      <c r="R2347">
        <v>82301</v>
      </c>
      <c r="S2347" t="s">
        <v>79</v>
      </c>
      <c r="T2347">
        <v>82658</v>
      </c>
      <c r="U2347" t="s">
        <v>33</v>
      </c>
      <c r="V2347" t="s">
        <v>33</v>
      </c>
      <c r="W2347" t="s">
        <v>37</v>
      </c>
      <c r="X2347" t="s">
        <v>38</v>
      </c>
      <c r="Y2347" s="9">
        <f t="shared" si="109"/>
        <v>4.7E-2</v>
      </c>
      <c r="Z2347" t="str">
        <f t="shared" si="110"/>
        <v>สแกนต่าง Cost</v>
      </c>
    </row>
    <row r="2348" spans="1:26" x14ac:dyDescent="0.45">
      <c r="A2348">
        <v>25659</v>
      </c>
      <c r="B2348" t="s">
        <v>53</v>
      </c>
      <c r="C2348">
        <v>20214280</v>
      </c>
      <c r="D2348" t="s">
        <v>136</v>
      </c>
      <c r="E2348" s="10">
        <v>46118.317361111112</v>
      </c>
      <c r="F2348" s="10">
        <v>46118.729166666664</v>
      </c>
      <c r="G2348">
        <v>9.8833333333333329</v>
      </c>
      <c r="H2348" s="9">
        <f t="shared" si="108"/>
        <v>5.1999999999999998E-2</v>
      </c>
      <c r="I2348">
        <v>4.4999999999999998E-2</v>
      </c>
      <c r="K2348">
        <v>7.0000000000000001E-3</v>
      </c>
      <c r="M2348" t="s">
        <v>28</v>
      </c>
      <c r="N2348" t="s">
        <v>29</v>
      </c>
      <c r="P2348" t="s">
        <v>30</v>
      </c>
      <c r="Q2348" t="s">
        <v>31</v>
      </c>
      <c r="R2348">
        <v>82415</v>
      </c>
      <c r="S2348" t="s">
        <v>137</v>
      </c>
      <c r="T2348">
        <v>82664</v>
      </c>
      <c r="U2348" t="s">
        <v>75</v>
      </c>
      <c r="V2348" t="s">
        <v>75</v>
      </c>
      <c r="W2348" t="s">
        <v>74</v>
      </c>
      <c r="X2348" t="s">
        <v>74</v>
      </c>
      <c r="Y2348" s="9">
        <f t="shared" si="109"/>
        <v>7.0000000000000001E-3</v>
      </c>
      <c r="Z2348" t="str">
        <f t="shared" si="110"/>
        <v>สแกนต่าง Cost</v>
      </c>
    </row>
    <row r="2349" spans="1:26" x14ac:dyDescent="0.45">
      <c r="A2349">
        <v>25983</v>
      </c>
      <c r="B2349" t="s">
        <v>53</v>
      </c>
      <c r="C2349">
        <v>20319535</v>
      </c>
      <c r="D2349" t="s">
        <v>36</v>
      </c>
      <c r="E2349" s="10">
        <v>46117.850694444445</v>
      </c>
      <c r="F2349" s="10">
        <v>46118.20208333333</v>
      </c>
      <c r="G2349">
        <v>7.4333333333333336</v>
      </c>
      <c r="H2349" s="9">
        <f t="shared" si="108"/>
        <v>0.04</v>
      </c>
      <c r="J2349">
        <v>0.04</v>
      </c>
      <c r="M2349" t="s">
        <v>77</v>
      </c>
      <c r="N2349" t="s">
        <v>40</v>
      </c>
      <c r="O2349" t="s">
        <v>247</v>
      </c>
      <c r="P2349" t="s">
        <v>30</v>
      </c>
      <c r="Q2349" t="s">
        <v>31</v>
      </c>
      <c r="R2349">
        <v>82630</v>
      </c>
      <c r="S2349" t="s">
        <v>32</v>
      </c>
      <c r="T2349">
        <v>82658</v>
      </c>
      <c r="U2349" t="s">
        <v>33</v>
      </c>
      <c r="V2349" t="s">
        <v>33</v>
      </c>
      <c r="W2349" t="s">
        <v>37</v>
      </c>
      <c r="X2349" t="s">
        <v>38</v>
      </c>
      <c r="Y2349" s="9">
        <f t="shared" si="109"/>
        <v>0.04</v>
      </c>
      <c r="Z2349" t="str">
        <f t="shared" si="110"/>
        <v>สแกนต่าง Cost</v>
      </c>
    </row>
    <row r="2350" spans="1:26" x14ac:dyDescent="0.45">
      <c r="A2350">
        <v>25982</v>
      </c>
      <c r="B2350" t="s">
        <v>53</v>
      </c>
      <c r="C2350">
        <v>20319542</v>
      </c>
      <c r="D2350" t="s">
        <v>379</v>
      </c>
      <c r="E2350" s="10">
        <v>46117.845833333333</v>
      </c>
      <c r="F2350" s="10">
        <v>46118.20416666667</v>
      </c>
      <c r="G2350">
        <v>7.6</v>
      </c>
      <c r="H2350" s="9">
        <f t="shared" si="108"/>
        <v>4.1000000000000002E-2</v>
      </c>
      <c r="J2350">
        <v>4.1000000000000002E-2</v>
      </c>
      <c r="M2350" t="s">
        <v>77</v>
      </c>
      <c r="N2350" t="s">
        <v>40</v>
      </c>
      <c r="O2350" t="s">
        <v>247</v>
      </c>
      <c r="P2350" t="s">
        <v>30</v>
      </c>
      <c r="Q2350" t="s">
        <v>31</v>
      </c>
      <c r="R2350">
        <v>82630</v>
      </c>
      <c r="S2350" t="s">
        <v>32</v>
      </c>
      <c r="T2350">
        <v>82658</v>
      </c>
      <c r="U2350" t="s">
        <v>33</v>
      </c>
      <c r="V2350" t="s">
        <v>33</v>
      </c>
      <c r="W2350" t="s">
        <v>34</v>
      </c>
      <c r="X2350" t="s">
        <v>34</v>
      </c>
      <c r="Y2350" s="9">
        <f t="shared" si="109"/>
        <v>4.1000000000000002E-2</v>
      </c>
      <c r="Z2350" t="str">
        <f t="shared" si="110"/>
        <v>สแกนต่าง Cost</v>
      </c>
    </row>
    <row r="2351" spans="1:26" x14ac:dyDescent="0.45">
      <c r="A2351">
        <v>25981</v>
      </c>
      <c r="B2351" t="s">
        <v>53</v>
      </c>
      <c r="C2351">
        <v>20344532</v>
      </c>
      <c r="D2351" t="s">
        <v>186</v>
      </c>
      <c r="E2351" s="10">
        <v>46117.845833333333</v>
      </c>
      <c r="F2351" s="10">
        <v>46118.203472222223</v>
      </c>
      <c r="G2351">
        <v>7.5833333333333339</v>
      </c>
      <c r="H2351" s="9">
        <f t="shared" si="108"/>
        <v>4.1000000000000002E-2</v>
      </c>
      <c r="J2351">
        <v>4.1000000000000002E-2</v>
      </c>
      <c r="M2351" t="s">
        <v>77</v>
      </c>
      <c r="N2351" t="s">
        <v>40</v>
      </c>
      <c r="O2351" t="s">
        <v>247</v>
      </c>
      <c r="P2351" t="s">
        <v>30</v>
      </c>
      <c r="Q2351" t="s">
        <v>31</v>
      </c>
      <c r="R2351">
        <v>82630</v>
      </c>
      <c r="S2351" t="s">
        <v>32</v>
      </c>
      <c r="T2351">
        <v>82658</v>
      </c>
      <c r="U2351" t="s">
        <v>33</v>
      </c>
      <c r="V2351" t="s">
        <v>33</v>
      </c>
      <c r="W2351" t="s">
        <v>34</v>
      </c>
      <c r="X2351" t="s">
        <v>34</v>
      </c>
      <c r="Y2351" s="9">
        <f t="shared" si="109"/>
        <v>4.1000000000000002E-2</v>
      </c>
      <c r="Z2351" t="str">
        <f t="shared" si="110"/>
        <v>สแกนต่าง Cost</v>
      </c>
    </row>
    <row r="2352" spans="1:26" x14ac:dyDescent="0.45">
      <c r="A2352">
        <v>25980</v>
      </c>
      <c r="B2352" t="s">
        <v>53</v>
      </c>
      <c r="C2352">
        <v>20198721</v>
      </c>
      <c r="D2352" t="s">
        <v>35</v>
      </c>
      <c r="E2352" s="10">
        <v>46117.845138888886</v>
      </c>
      <c r="F2352" s="10">
        <v>46118.203472222223</v>
      </c>
      <c r="G2352">
        <v>7.6</v>
      </c>
      <c r="H2352" s="9">
        <f t="shared" si="108"/>
        <v>4.1000000000000002E-2</v>
      </c>
      <c r="J2352">
        <v>4.1000000000000002E-2</v>
      </c>
      <c r="M2352" t="s">
        <v>77</v>
      </c>
      <c r="N2352" t="s">
        <v>40</v>
      </c>
      <c r="O2352" t="s">
        <v>247</v>
      </c>
      <c r="P2352" t="s">
        <v>30</v>
      </c>
      <c r="Q2352" t="s">
        <v>31</v>
      </c>
      <c r="R2352">
        <v>82630</v>
      </c>
      <c r="S2352" t="s">
        <v>32</v>
      </c>
      <c r="T2352">
        <v>82658</v>
      </c>
      <c r="U2352" t="s">
        <v>33</v>
      </c>
      <c r="V2352" t="s">
        <v>33</v>
      </c>
      <c r="W2352" t="s">
        <v>34</v>
      </c>
      <c r="X2352" t="s">
        <v>34</v>
      </c>
      <c r="Y2352" s="9">
        <f t="shared" si="109"/>
        <v>4.1000000000000002E-2</v>
      </c>
      <c r="Z2352" t="str">
        <f t="shared" si="110"/>
        <v>สแกนต่าง Cost</v>
      </c>
    </row>
    <row r="2353" spans="1:26" x14ac:dyDescent="0.45">
      <c r="A2353">
        <v>25972</v>
      </c>
      <c r="B2353" t="s">
        <v>53</v>
      </c>
      <c r="C2353">
        <v>20197492</v>
      </c>
      <c r="D2353" t="s">
        <v>268</v>
      </c>
      <c r="E2353" s="10">
        <v>46117.745138888888</v>
      </c>
      <c r="F2353" s="10">
        <v>46117.827777777777</v>
      </c>
      <c r="G2353">
        <v>1.9833333333333334</v>
      </c>
      <c r="H2353" s="9">
        <f t="shared" si="108"/>
        <v>1.0999999999999999E-2</v>
      </c>
      <c r="L2353">
        <v>1.0999999999999999E-2</v>
      </c>
      <c r="M2353" t="s">
        <v>255</v>
      </c>
      <c r="N2353" t="s">
        <v>40</v>
      </c>
      <c r="O2353" t="s">
        <v>41</v>
      </c>
      <c r="P2353" t="s">
        <v>30</v>
      </c>
      <c r="Q2353" t="s">
        <v>31</v>
      </c>
      <c r="R2353">
        <v>82652</v>
      </c>
      <c r="S2353" t="s">
        <v>46</v>
      </c>
      <c r="T2353">
        <v>82658</v>
      </c>
      <c r="U2353" t="s">
        <v>33</v>
      </c>
      <c r="V2353" t="s">
        <v>33</v>
      </c>
      <c r="W2353" t="s">
        <v>37</v>
      </c>
      <c r="X2353" t="s">
        <v>38</v>
      </c>
      <c r="Y2353" s="9">
        <f t="shared" si="109"/>
        <v>1.0999999999999999E-2</v>
      </c>
      <c r="Z2353" t="str">
        <f t="shared" si="110"/>
        <v>สแกนต่าง Cost</v>
      </c>
    </row>
    <row r="2354" spans="1:26" x14ac:dyDescent="0.45">
      <c r="A2354">
        <v>25971</v>
      </c>
      <c r="B2354" t="s">
        <v>53</v>
      </c>
      <c r="C2354">
        <v>20198805</v>
      </c>
      <c r="D2354" t="s">
        <v>211</v>
      </c>
      <c r="E2354" s="10">
        <v>46117.745138888888</v>
      </c>
      <c r="F2354" s="10">
        <v>46117.826388888891</v>
      </c>
      <c r="G2354">
        <v>1.95</v>
      </c>
      <c r="H2354" s="9">
        <f t="shared" si="108"/>
        <v>0.01</v>
      </c>
      <c r="L2354">
        <v>0.01</v>
      </c>
      <c r="M2354" t="s">
        <v>255</v>
      </c>
      <c r="N2354" t="s">
        <v>40</v>
      </c>
      <c r="O2354" t="s">
        <v>41</v>
      </c>
      <c r="P2354" t="s">
        <v>30</v>
      </c>
      <c r="Q2354" t="s">
        <v>31</v>
      </c>
      <c r="R2354">
        <v>82652</v>
      </c>
      <c r="S2354" t="s">
        <v>46</v>
      </c>
      <c r="T2354">
        <v>82658</v>
      </c>
      <c r="U2354" t="s">
        <v>33</v>
      </c>
      <c r="V2354" t="s">
        <v>33</v>
      </c>
      <c r="W2354" t="s">
        <v>37</v>
      </c>
      <c r="X2354" t="s">
        <v>38</v>
      </c>
      <c r="Y2354" s="9">
        <f t="shared" si="109"/>
        <v>0.01</v>
      </c>
      <c r="Z2354" t="str">
        <f t="shared" si="110"/>
        <v>สแกนต่าง Cost</v>
      </c>
    </row>
    <row r="2355" spans="1:26" x14ac:dyDescent="0.45">
      <c r="A2355">
        <v>25655</v>
      </c>
      <c r="B2355" t="s">
        <v>53</v>
      </c>
      <c r="C2355">
        <v>20048905</v>
      </c>
      <c r="D2355" t="s">
        <v>73</v>
      </c>
      <c r="E2355" s="10">
        <v>46117.722222222219</v>
      </c>
      <c r="F2355" s="10">
        <v>46117.843055555553</v>
      </c>
      <c r="G2355">
        <v>2.9</v>
      </c>
      <c r="H2355" s="9">
        <f t="shared" si="108"/>
        <v>1.6E-2</v>
      </c>
      <c r="J2355">
        <v>1.6E-2</v>
      </c>
      <c r="M2355" t="s">
        <v>77</v>
      </c>
      <c r="N2355" t="s">
        <v>40</v>
      </c>
      <c r="O2355" t="s">
        <v>247</v>
      </c>
      <c r="P2355" t="s">
        <v>30</v>
      </c>
      <c r="Q2355" t="s">
        <v>31</v>
      </c>
      <c r="R2355">
        <v>82409</v>
      </c>
      <c r="S2355" t="s">
        <v>74</v>
      </c>
      <c r="T2355">
        <v>82664</v>
      </c>
      <c r="U2355" t="s">
        <v>75</v>
      </c>
      <c r="V2355" t="s">
        <v>75</v>
      </c>
      <c r="W2355" t="s">
        <v>74</v>
      </c>
      <c r="X2355" t="s">
        <v>74</v>
      </c>
      <c r="Y2355" s="9">
        <f t="shared" si="109"/>
        <v>1.6E-2</v>
      </c>
      <c r="Z2355" t="str">
        <f t="shared" si="110"/>
        <v>สแกนต่าง Cost</v>
      </c>
    </row>
    <row r="2356" spans="1:26" x14ac:dyDescent="0.45">
      <c r="A2356">
        <v>25970</v>
      </c>
      <c r="B2356" t="s">
        <v>53</v>
      </c>
      <c r="C2356">
        <v>20045685</v>
      </c>
      <c r="D2356" t="s">
        <v>262</v>
      </c>
      <c r="E2356" s="10">
        <v>46117.490277777775</v>
      </c>
      <c r="F2356" s="10">
        <v>46117.729166666664</v>
      </c>
      <c r="G2356">
        <v>5.7333333333333334</v>
      </c>
      <c r="H2356" s="9">
        <f t="shared" si="108"/>
        <v>3.1E-2</v>
      </c>
      <c r="L2356">
        <v>3.1E-2</v>
      </c>
      <c r="M2356" t="s">
        <v>255</v>
      </c>
      <c r="N2356" t="s">
        <v>40</v>
      </c>
      <c r="O2356" t="s">
        <v>380</v>
      </c>
      <c r="P2356" t="s">
        <v>30</v>
      </c>
      <c r="Q2356" t="s">
        <v>31</v>
      </c>
      <c r="R2356">
        <v>82652</v>
      </c>
      <c r="S2356" t="s">
        <v>46</v>
      </c>
      <c r="T2356">
        <v>82658</v>
      </c>
      <c r="U2356" t="s">
        <v>33</v>
      </c>
      <c r="V2356" t="s">
        <v>33</v>
      </c>
      <c r="W2356" t="s">
        <v>37</v>
      </c>
      <c r="X2356" t="s">
        <v>38</v>
      </c>
      <c r="Y2356" s="9">
        <f t="shared" si="109"/>
        <v>3.1E-2</v>
      </c>
      <c r="Z2356" t="str">
        <f t="shared" si="110"/>
        <v>สแกนต่าง Cost</v>
      </c>
    </row>
    <row r="2357" spans="1:26" x14ac:dyDescent="0.45">
      <c r="B2357" t="s">
        <v>53</v>
      </c>
      <c r="C2357">
        <v>20075031</v>
      </c>
      <c r="D2357" t="s">
        <v>191</v>
      </c>
      <c r="E2357" s="10">
        <v>46117.4375</v>
      </c>
      <c r="F2357" s="10">
        <v>46117.677083333336</v>
      </c>
      <c r="G2357">
        <v>4.75</v>
      </c>
      <c r="H2357" s="9">
        <f t="shared" si="108"/>
        <v>2.5000000000000001E-2</v>
      </c>
      <c r="J2357">
        <v>2.5000000000000001E-2</v>
      </c>
      <c r="M2357" t="s">
        <v>77</v>
      </c>
      <c r="N2357" t="s">
        <v>29</v>
      </c>
      <c r="P2357" t="s">
        <v>30</v>
      </c>
      <c r="Q2357" t="s">
        <v>31</v>
      </c>
      <c r="R2357">
        <v>82640</v>
      </c>
      <c r="S2357" t="s">
        <v>42</v>
      </c>
      <c r="T2357">
        <v>82611</v>
      </c>
      <c r="U2357" t="s">
        <v>43</v>
      </c>
      <c r="V2357" t="s">
        <v>43</v>
      </c>
      <c r="W2357" t="s">
        <v>243</v>
      </c>
      <c r="X2357" t="s">
        <v>243</v>
      </c>
      <c r="Y2357" s="9">
        <f t="shared" si="109"/>
        <v>2.5000000000000001E-2</v>
      </c>
      <c r="Z2357" t="str">
        <f t="shared" si="110"/>
        <v>สแกนต่าง Cost</v>
      </c>
    </row>
    <row r="2358" spans="1:26" x14ac:dyDescent="0.45">
      <c r="A2358">
        <v>25967</v>
      </c>
      <c r="B2358" t="s">
        <v>53</v>
      </c>
      <c r="C2358">
        <v>20238352</v>
      </c>
      <c r="D2358" t="s">
        <v>375</v>
      </c>
      <c r="E2358" s="10">
        <v>46117.379166666666</v>
      </c>
      <c r="F2358" s="10">
        <v>46117.729166666664</v>
      </c>
      <c r="G2358">
        <v>7.4</v>
      </c>
      <c r="H2358" s="9">
        <f t="shared" si="108"/>
        <v>0.04</v>
      </c>
      <c r="J2358">
        <v>0.04</v>
      </c>
      <c r="M2358" t="s">
        <v>77</v>
      </c>
      <c r="N2358" t="s">
        <v>40</v>
      </c>
      <c r="O2358" t="s">
        <v>78</v>
      </c>
      <c r="P2358" t="s">
        <v>30</v>
      </c>
      <c r="Q2358" t="s">
        <v>31</v>
      </c>
      <c r="R2358">
        <v>82210</v>
      </c>
      <c r="S2358" t="s">
        <v>184</v>
      </c>
      <c r="T2358">
        <v>82658</v>
      </c>
      <c r="U2358" t="s">
        <v>33</v>
      </c>
      <c r="V2358" t="s">
        <v>33</v>
      </c>
      <c r="W2358" t="s">
        <v>37</v>
      </c>
      <c r="X2358" t="s">
        <v>38</v>
      </c>
      <c r="Y2358" s="9">
        <f t="shared" si="109"/>
        <v>0.04</v>
      </c>
      <c r="Z2358" t="str">
        <f t="shared" si="110"/>
        <v>สแกนต่าง Cost</v>
      </c>
    </row>
    <row r="2359" spans="1:26" x14ac:dyDescent="0.45">
      <c r="A2359">
        <v>25968</v>
      </c>
      <c r="B2359" t="s">
        <v>53</v>
      </c>
      <c r="C2359">
        <v>20292379</v>
      </c>
      <c r="D2359" t="s">
        <v>341</v>
      </c>
      <c r="E2359" s="10">
        <v>46117.379166666666</v>
      </c>
      <c r="F2359" s="10">
        <v>46117.729166666664</v>
      </c>
      <c r="G2359">
        <v>7.4</v>
      </c>
      <c r="H2359" s="9">
        <f t="shared" si="108"/>
        <v>0.04</v>
      </c>
      <c r="J2359">
        <v>0.04</v>
      </c>
      <c r="M2359" t="s">
        <v>77</v>
      </c>
      <c r="N2359" t="s">
        <v>40</v>
      </c>
      <c r="O2359" t="s">
        <v>78</v>
      </c>
      <c r="P2359" t="s">
        <v>30</v>
      </c>
      <c r="Q2359" t="s">
        <v>31</v>
      </c>
      <c r="R2359">
        <v>82301</v>
      </c>
      <c r="S2359" t="s">
        <v>79</v>
      </c>
      <c r="T2359">
        <v>82658</v>
      </c>
      <c r="U2359" t="s">
        <v>33</v>
      </c>
      <c r="V2359" t="s">
        <v>33</v>
      </c>
      <c r="W2359" t="s">
        <v>37</v>
      </c>
      <c r="X2359" t="s">
        <v>38</v>
      </c>
      <c r="Y2359" s="9">
        <f t="shared" si="109"/>
        <v>0.04</v>
      </c>
      <c r="Z2359" t="str">
        <f t="shared" si="110"/>
        <v>สแกนต่าง Cost</v>
      </c>
    </row>
    <row r="2360" spans="1:26" x14ac:dyDescent="0.45">
      <c r="A2360">
        <v>25969</v>
      </c>
      <c r="B2360" t="s">
        <v>53</v>
      </c>
      <c r="C2360">
        <v>20396185</v>
      </c>
      <c r="D2360" t="s">
        <v>48</v>
      </c>
      <c r="E2360" s="10">
        <v>46117.379166666666</v>
      </c>
      <c r="F2360" s="10">
        <v>46117.729166666664</v>
      </c>
      <c r="G2360">
        <v>7.4</v>
      </c>
      <c r="H2360" s="9">
        <f t="shared" si="108"/>
        <v>0.04</v>
      </c>
      <c r="J2360">
        <v>0.04</v>
      </c>
      <c r="M2360" t="s">
        <v>77</v>
      </c>
      <c r="N2360" t="s">
        <v>40</v>
      </c>
      <c r="O2360" t="s">
        <v>78</v>
      </c>
      <c r="P2360" t="s">
        <v>30</v>
      </c>
      <c r="Q2360" t="s">
        <v>31</v>
      </c>
      <c r="R2360">
        <v>82210</v>
      </c>
      <c r="S2360" t="s">
        <v>184</v>
      </c>
      <c r="T2360">
        <v>82658</v>
      </c>
      <c r="U2360" t="s">
        <v>33</v>
      </c>
      <c r="V2360" t="s">
        <v>33</v>
      </c>
      <c r="W2360" t="s">
        <v>37</v>
      </c>
      <c r="X2360" t="s">
        <v>38</v>
      </c>
      <c r="Y2360" s="9">
        <f t="shared" si="109"/>
        <v>0.04</v>
      </c>
      <c r="Z2360" t="str">
        <f t="shared" si="110"/>
        <v>สแกนต่าง Cost</v>
      </c>
    </row>
    <row r="2361" spans="1:26" x14ac:dyDescent="0.45">
      <c r="A2361">
        <v>25964</v>
      </c>
      <c r="B2361" t="s">
        <v>53</v>
      </c>
      <c r="C2361">
        <v>20198853</v>
      </c>
      <c r="D2361" t="s">
        <v>213</v>
      </c>
      <c r="E2361" s="10">
        <v>46117.378472222219</v>
      </c>
      <c r="F2361" s="10">
        <v>46117.729166666664</v>
      </c>
      <c r="G2361">
        <v>7.4166666666666661</v>
      </c>
      <c r="H2361" s="9">
        <f t="shared" si="108"/>
        <v>0.04</v>
      </c>
      <c r="J2361">
        <v>0.04</v>
      </c>
      <c r="M2361" t="s">
        <v>77</v>
      </c>
      <c r="N2361" t="s">
        <v>40</v>
      </c>
      <c r="O2361" t="s">
        <v>78</v>
      </c>
      <c r="P2361" t="s">
        <v>30</v>
      </c>
      <c r="Q2361" t="s">
        <v>31</v>
      </c>
      <c r="R2361">
        <v>82640</v>
      </c>
      <c r="S2361" t="s">
        <v>42</v>
      </c>
      <c r="T2361">
        <v>82658</v>
      </c>
      <c r="U2361" t="s">
        <v>33</v>
      </c>
      <c r="V2361" t="s">
        <v>33</v>
      </c>
      <c r="W2361" t="s">
        <v>37</v>
      </c>
      <c r="X2361" t="s">
        <v>38</v>
      </c>
      <c r="Y2361" s="9">
        <f t="shared" si="109"/>
        <v>0.04</v>
      </c>
      <c r="Z2361" t="str">
        <f t="shared" si="110"/>
        <v>สแกนต่าง Cost</v>
      </c>
    </row>
    <row r="2362" spans="1:26" x14ac:dyDescent="0.45">
      <c r="A2362">
        <v>25963</v>
      </c>
      <c r="B2362" t="s">
        <v>53</v>
      </c>
      <c r="C2362">
        <v>20280718</v>
      </c>
      <c r="D2362" t="s">
        <v>256</v>
      </c>
      <c r="E2362" s="10">
        <v>46117.378472222219</v>
      </c>
      <c r="F2362" s="10">
        <v>46117.729166666664</v>
      </c>
      <c r="G2362">
        <v>7.4166666666666661</v>
      </c>
      <c r="H2362" s="9">
        <f t="shared" si="108"/>
        <v>0.04</v>
      </c>
      <c r="J2362">
        <v>0.04</v>
      </c>
      <c r="M2362" t="s">
        <v>77</v>
      </c>
      <c r="N2362" t="s">
        <v>40</v>
      </c>
      <c r="O2362" t="s">
        <v>78</v>
      </c>
      <c r="P2362" t="s">
        <v>30</v>
      </c>
      <c r="Q2362" t="s">
        <v>31</v>
      </c>
      <c r="R2362">
        <v>82640</v>
      </c>
      <c r="S2362" t="s">
        <v>42</v>
      </c>
      <c r="T2362">
        <v>82658</v>
      </c>
      <c r="U2362" t="s">
        <v>33</v>
      </c>
      <c r="V2362" t="s">
        <v>33</v>
      </c>
      <c r="W2362" t="s">
        <v>37</v>
      </c>
      <c r="X2362" t="s">
        <v>38</v>
      </c>
      <c r="Y2362" s="9">
        <f t="shared" si="109"/>
        <v>0.04</v>
      </c>
      <c r="Z2362" t="str">
        <f t="shared" si="110"/>
        <v>สแกนต่าง Cost</v>
      </c>
    </row>
    <row r="2363" spans="1:26" x14ac:dyDescent="0.45">
      <c r="A2363">
        <v>25962</v>
      </c>
      <c r="B2363" t="s">
        <v>53</v>
      </c>
      <c r="C2363">
        <v>20280722</v>
      </c>
      <c r="D2363" t="s">
        <v>342</v>
      </c>
      <c r="E2363" s="10">
        <v>46117.378472222219</v>
      </c>
      <c r="F2363" s="10">
        <v>46117.729166666664</v>
      </c>
      <c r="G2363">
        <v>7.4166666666666661</v>
      </c>
      <c r="H2363" s="9">
        <f t="shared" si="108"/>
        <v>0.04</v>
      </c>
      <c r="J2363">
        <v>0.04</v>
      </c>
      <c r="M2363" t="s">
        <v>77</v>
      </c>
      <c r="N2363" t="s">
        <v>40</v>
      </c>
      <c r="O2363" t="s">
        <v>78</v>
      </c>
      <c r="P2363" t="s">
        <v>30</v>
      </c>
      <c r="Q2363" t="s">
        <v>31</v>
      </c>
      <c r="R2363">
        <v>82640</v>
      </c>
      <c r="S2363" t="s">
        <v>42</v>
      </c>
      <c r="T2363">
        <v>82658</v>
      </c>
      <c r="U2363" t="s">
        <v>33</v>
      </c>
      <c r="V2363" t="s">
        <v>33</v>
      </c>
      <c r="W2363" t="s">
        <v>37</v>
      </c>
      <c r="X2363" t="s">
        <v>38</v>
      </c>
      <c r="Y2363" s="9">
        <f t="shared" si="109"/>
        <v>0.04</v>
      </c>
      <c r="Z2363" t="str">
        <f t="shared" si="110"/>
        <v>สแกนต่าง Cost</v>
      </c>
    </row>
    <row r="2364" spans="1:26" x14ac:dyDescent="0.45">
      <c r="A2364">
        <v>25966</v>
      </c>
      <c r="B2364" t="s">
        <v>53</v>
      </c>
      <c r="C2364">
        <v>20284710</v>
      </c>
      <c r="D2364" t="s">
        <v>182</v>
      </c>
      <c r="E2364" s="10">
        <v>46117.378472222219</v>
      </c>
      <c r="F2364" s="10">
        <v>46117.729166666664</v>
      </c>
      <c r="G2364">
        <v>8.4166666666666661</v>
      </c>
      <c r="H2364" s="9">
        <f t="shared" si="108"/>
        <v>4.4999999999999998E-2</v>
      </c>
      <c r="L2364">
        <v>4.4999999999999998E-2</v>
      </c>
      <c r="M2364" t="s">
        <v>255</v>
      </c>
      <c r="N2364" t="s">
        <v>29</v>
      </c>
      <c r="P2364" t="s">
        <v>30</v>
      </c>
      <c r="Q2364" t="s">
        <v>31</v>
      </c>
      <c r="R2364">
        <v>82210</v>
      </c>
      <c r="S2364" t="s">
        <v>184</v>
      </c>
      <c r="T2364">
        <v>82658</v>
      </c>
      <c r="U2364" t="s">
        <v>33</v>
      </c>
      <c r="V2364" t="s">
        <v>33</v>
      </c>
      <c r="W2364" t="s">
        <v>37</v>
      </c>
      <c r="X2364" t="s">
        <v>38</v>
      </c>
      <c r="Y2364" s="9">
        <f t="shared" si="109"/>
        <v>4.4999999999999998E-2</v>
      </c>
      <c r="Z2364" t="str">
        <f t="shared" si="110"/>
        <v>สแกนต่าง Cost</v>
      </c>
    </row>
    <row r="2365" spans="1:26" x14ac:dyDescent="0.45">
      <c r="A2365">
        <v>25965</v>
      </c>
      <c r="B2365" t="s">
        <v>53</v>
      </c>
      <c r="C2365">
        <v>20340628</v>
      </c>
      <c r="D2365" t="s">
        <v>381</v>
      </c>
      <c r="E2365" s="10">
        <v>46117.378472222219</v>
      </c>
      <c r="F2365" s="10">
        <v>46117.729166666664</v>
      </c>
      <c r="G2365">
        <v>7.4166666666666661</v>
      </c>
      <c r="H2365" s="9">
        <f t="shared" si="108"/>
        <v>0.04</v>
      </c>
      <c r="J2365">
        <v>0.04</v>
      </c>
      <c r="M2365" t="s">
        <v>77</v>
      </c>
      <c r="N2365" t="s">
        <v>40</v>
      </c>
      <c r="O2365" t="s">
        <v>78</v>
      </c>
      <c r="P2365" t="s">
        <v>30</v>
      </c>
      <c r="Q2365" t="s">
        <v>31</v>
      </c>
      <c r="R2365">
        <v>82640</v>
      </c>
      <c r="S2365" t="s">
        <v>42</v>
      </c>
      <c r="T2365">
        <v>82658</v>
      </c>
      <c r="U2365" t="s">
        <v>33</v>
      </c>
      <c r="V2365" t="s">
        <v>33</v>
      </c>
      <c r="W2365" t="s">
        <v>37</v>
      </c>
      <c r="X2365" t="s">
        <v>38</v>
      </c>
      <c r="Y2365" s="9">
        <f t="shared" si="109"/>
        <v>0.04</v>
      </c>
      <c r="Z2365" t="str">
        <f t="shared" si="110"/>
        <v>สแกนต่าง Cost</v>
      </c>
    </row>
    <row r="2366" spans="1:26" x14ac:dyDescent="0.45">
      <c r="A2366">
        <v>25961</v>
      </c>
      <c r="B2366" t="s">
        <v>53</v>
      </c>
      <c r="C2366">
        <v>20015462</v>
      </c>
      <c r="D2366" t="s">
        <v>347</v>
      </c>
      <c r="E2366" s="10">
        <v>46117.37777777778</v>
      </c>
      <c r="F2366" s="10">
        <v>46117.729166666664</v>
      </c>
      <c r="G2366">
        <v>7.4333333333333336</v>
      </c>
      <c r="H2366" s="9">
        <f t="shared" si="108"/>
        <v>0.04</v>
      </c>
      <c r="J2366">
        <v>0.04</v>
      </c>
      <c r="M2366" t="s">
        <v>77</v>
      </c>
      <c r="N2366" t="s">
        <v>40</v>
      </c>
      <c r="O2366" t="s">
        <v>78</v>
      </c>
      <c r="P2366" t="s">
        <v>30</v>
      </c>
      <c r="Q2366" t="s">
        <v>31</v>
      </c>
      <c r="R2366">
        <v>82303</v>
      </c>
      <c r="S2366" t="s">
        <v>56</v>
      </c>
      <c r="T2366">
        <v>82658</v>
      </c>
      <c r="U2366" t="s">
        <v>33</v>
      </c>
      <c r="V2366" t="s">
        <v>33</v>
      </c>
      <c r="W2366" t="s">
        <v>37</v>
      </c>
      <c r="X2366" t="s">
        <v>38</v>
      </c>
      <c r="Y2366" s="9">
        <f t="shared" si="109"/>
        <v>0.04</v>
      </c>
      <c r="Z2366" t="str">
        <f t="shared" si="110"/>
        <v>สแกนต่าง Cost</v>
      </c>
    </row>
    <row r="2367" spans="1:26" x14ac:dyDescent="0.45">
      <c r="A2367">
        <v>25959</v>
      </c>
      <c r="B2367" t="s">
        <v>53</v>
      </c>
      <c r="C2367">
        <v>20276251</v>
      </c>
      <c r="D2367" t="s">
        <v>376</v>
      </c>
      <c r="E2367" s="10">
        <v>46117.37777777778</v>
      </c>
      <c r="F2367" s="10">
        <v>46117.729166666664</v>
      </c>
      <c r="G2367">
        <v>7.4333333333333336</v>
      </c>
      <c r="H2367" s="9">
        <f t="shared" si="108"/>
        <v>0.04</v>
      </c>
      <c r="J2367">
        <v>0.04</v>
      </c>
      <c r="M2367" t="s">
        <v>77</v>
      </c>
      <c r="N2367" t="s">
        <v>40</v>
      </c>
      <c r="O2367" t="s">
        <v>78</v>
      </c>
      <c r="P2367" t="s">
        <v>30</v>
      </c>
      <c r="Q2367" t="s">
        <v>31</v>
      </c>
      <c r="R2367">
        <v>82210</v>
      </c>
      <c r="S2367" t="s">
        <v>184</v>
      </c>
      <c r="T2367">
        <v>82658</v>
      </c>
      <c r="U2367" t="s">
        <v>33</v>
      </c>
      <c r="V2367" t="s">
        <v>33</v>
      </c>
      <c r="W2367" t="s">
        <v>37</v>
      </c>
      <c r="X2367" t="s">
        <v>38</v>
      </c>
      <c r="Y2367" s="9">
        <f t="shared" si="109"/>
        <v>0.04</v>
      </c>
      <c r="Z2367" t="str">
        <f t="shared" si="110"/>
        <v>สแกนต่าง Cost</v>
      </c>
    </row>
    <row r="2368" spans="1:26" x14ac:dyDescent="0.45">
      <c r="A2368">
        <v>25960</v>
      </c>
      <c r="B2368" t="s">
        <v>53</v>
      </c>
      <c r="C2368">
        <v>20276266</v>
      </c>
      <c r="D2368" t="s">
        <v>292</v>
      </c>
      <c r="E2368" s="10">
        <v>46117.37777777778</v>
      </c>
      <c r="F2368" s="10">
        <v>46117.729166666664</v>
      </c>
      <c r="G2368">
        <v>7.4333333333333336</v>
      </c>
      <c r="H2368" s="9">
        <f t="shared" si="108"/>
        <v>0.04</v>
      </c>
      <c r="J2368">
        <v>0.04</v>
      </c>
      <c r="M2368" t="s">
        <v>77</v>
      </c>
      <c r="N2368" t="s">
        <v>40</v>
      </c>
      <c r="O2368" t="s">
        <v>78</v>
      </c>
      <c r="P2368" t="s">
        <v>30</v>
      </c>
      <c r="Q2368" t="s">
        <v>31</v>
      </c>
      <c r="R2368">
        <v>82301</v>
      </c>
      <c r="S2368" t="s">
        <v>79</v>
      </c>
      <c r="T2368">
        <v>82658</v>
      </c>
      <c r="U2368" t="s">
        <v>33</v>
      </c>
      <c r="V2368" t="s">
        <v>33</v>
      </c>
      <c r="W2368" t="s">
        <v>37</v>
      </c>
      <c r="X2368" t="s">
        <v>38</v>
      </c>
      <c r="Y2368" s="9">
        <f t="shared" si="109"/>
        <v>0.04</v>
      </c>
      <c r="Z2368" t="str">
        <f t="shared" si="110"/>
        <v>สแกนต่าง Cost</v>
      </c>
    </row>
    <row r="2369" spans="1:26" x14ac:dyDescent="0.45">
      <c r="A2369">
        <v>25957</v>
      </c>
      <c r="B2369" t="s">
        <v>53</v>
      </c>
      <c r="C2369">
        <v>20076991</v>
      </c>
      <c r="D2369" t="s">
        <v>76</v>
      </c>
      <c r="E2369" s="10">
        <v>46117.369444444441</v>
      </c>
      <c r="F2369" s="10">
        <v>46117.729166666664</v>
      </c>
      <c r="G2369">
        <v>7.6333333333333329</v>
      </c>
      <c r="H2369" s="9">
        <f t="shared" si="108"/>
        <v>4.1000000000000002E-2</v>
      </c>
      <c r="J2369">
        <v>4.1000000000000002E-2</v>
      </c>
      <c r="M2369" t="s">
        <v>77</v>
      </c>
      <c r="N2369" t="s">
        <v>40</v>
      </c>
      <c r="O2369" t="s">
        <v>78</v>
      </c>
      <c r="P2369" t="s">
        <v>30</v>
      </c>
      <c r="Q2369" t="s">
        <v>31</v>
      </c>
      <c r="R2369">
        <v>82308</v>
      </c>
      <c r="S2369" t="s">
        <v>69</v>
      </c>
      <c r="T2369">
        <v>82658</v>
      </c>
      <c r="U2369" t="s">
        <v>33</v>
      </c>
      <c r="V2369" t="s">
        <v>33</v>
      </c>
      <c r="W2369" t="s">
        <v>37</v>
      </c>
      <c r="X2369" t="s">
        <v>38</v>
      </c>
      <c r="Y2369" s="9">
        <f t="shared" si="109"/>
        <v>4.1000000000000002E-2</v>
      </c>
      <c r="Z2369" t="str">
        <f t="shared" si="110"/>
        <v>สแกนต่าง Cost</v>
      </c>
    </row>
    <row r="2370" spans="1:26" x14ac:dyDescent="0.45">
      <c r="A2370">
        <v>25958</v>
      </c>
      <c r="B2370" t="s">
        <v>53</v>
      </c>
      <c r="C2370">
        <v>20334399</v>
      </c>
      <c r="D2370" t="s">
        <v>237</v>
      </c>
      <c r="E2370" s="10">
        <v>46117.369444444441</v>
      </c>
      <c r="F2370" s="10">
        <v>46117.729166666664</v>
      </c>
      <c r="G2370">
        <v>7.6333333333333329</v>
      </c>
      <c r="H2370" s="9">
        <f t="shared" si="108"/>
        <v>4.1000000000000002E-2</v>
      </c>
      <c r="J2370">
        <v>4.1000000000000002E-2</v>
      </c>
      <c r="M2370" t="s">
        <v>77</v>
      </c>
      <c r="N2370" t="s">
        <v>40</v>
      </c>
      <c r="O2370" t="s">
        <v>78</v>
      </c>
      <c r="P2370" t="s">
        <v>30</v>
      </c>
      <c r="Q2370" t="s">
        <v>31</v>
      </c>
      <c r="R2370">
        <v>82301</v>
      </c>
      <c r="S2370" t="s">
        <v>79</v>
      </c>
      <c r="T2370">
        <v>82658</v>
      </c>
      <c r="U2370" t="s">
        <v>33</v>
      </c>
      <c r="V2370" t="s">
        <v>33</v>
      </c>
      <c r="W2370" t="s">
        <v>37</v>
      </c>
      <c r="X2370" t="s">
        <v>38</v>
      </c>
      <c r="Y2370" s="9">
        <f t="shared" si="109"/>
        <v>4.1000000000000002E-2</v>
      </c>
      <c r="Z2370" t="str">
        <f t="shared" si="110"/>
        <v>สแกนต่าง Cost</v>
      </c>
    </row>
    <row r="2371" spans="1:26" x14ac:dyDescent="0.45">
      <c r="A2371">
        <v>25956</v>
      </c>
      <c r="B2371" t="s">
        <v>53</v>
      </c>
      <c r="C2371">
        <v>20023073</v>
      </c>
      <c r="D2371" t="s">
        <v>199</v>
      </c>
      <c r="E2371" s="10">
        <v>46117.368750000001</v>
      </c>
      <c r="F2371" s="10">
        <v>46117.729166666664</v>
      </c>
      <c r="G2371">
        <v>7.65</v>
      </c>
      <c r="H2371" s="9">
        <f t="shared" ref="H2371:H2434" si="111">SUM(I2371:L2371)</f>
        <v>4.1000000000000002E-2</v>
      </c>
      <c r="J2371">
        <v>4.1000000000000002E-2</v>
      </c>
      <c r="M2371" t="s">
        <v>77</v>
      </c>
      <c r="N2371" t="s">
        <v>40</v>
      </c>
      <c r="O2371" t="s">
        <v>78</v>
      </c>
      <c r="P2371" t="s">
        <v>30</v>
      </c>
      <c r="Q2371" t="s">
        <v>31</v>
      </c>
      <c r="R2371">
        <v>82301</v>
      </c>
      <c r="S2371" t="s">
        <v>79</v>
      </c>
      <c r="T2371">
        <v>82658</v>
      </c>
      <c r="U2371" t="s">
        <v>33</v>
      </c>
      <c r="V2371" t="s">
        <v>33</v>
      </c>
      <c r="W2371" t="s">
        <v>37</v>
      </c>
      <c r="X2371" t="s">
        <v>38</v>
      </c>
      <c r="Y2371" s="9">
        <f t="shared" ref="Y2371:Y2434" si="112">SUM(J2371:L2371)</f>
        <v>4.1000000000000002E-2</v>
      </c>
      <c r="Z2371" t="str">
        <f t="shared" ref="Z2371:Z2434" si="113">IF(R2371=T2371,"สแกน Cost ตัวเอง","สแกนต่าง Cost")</f>
        <v>สแกนต่าง Cost</v>
      </c>
    </row>
    <row r="2372" spans="1:26" x14ac:dyDescent="0.45">
      <c r="A2372">
        <v>25951</v>
      </c>
      <c r="B2372" t="s">
        <v>53</v>
      </c>
      <c r="C2372">
        <v>20075019</v>
      </c>
      <c r="D2372" t="s">
        <v>252</v>
      </c>
      <c r="E2372" s="10">
        <v>46117.365277777775</v>
      </c>
      <c r="F2372" s="10">
        <v>46117.708333333336</v>
      </c>
      <c r="G2372">
        <v>7.2333333333333325</v>
      </c>
      <c r="H2372" s="9">
        <f t="shared" si="111"/>
        <v>3.9E-2</v>
      </c>
      <c r="J2372">
        <v>3.9E-2</v>
      </c>
      <c r="M2372" t="s">
        <v>77</v>
      </c>
      <c r="N2372" t="s">
        <v>40</v>
      </c>
      <c r="O2372" t="s">
        <v>247</v>
      </c>
      <c r="P2372" t="s">
        <v>30</v>
      </c>
      <c r="Q2372" t="s">
        <v>31</v>
      </c>
      <c r="R2372">
        <v>82640</v>
      </c>
      <c r="S2372" t="s">
        <v>42</v>
      </c>
      <c r="T2372">
        <v>82658</v>
      </c>
      <c r="U2372" t="s">
        <v>33</v>
      </c>
      <c r="V2372" t="s">
        <v>33</v>
      </c>
      <c r="W2372" t="s">
        <v>34</v>
      </c>
      <c r="X2372" t="s">
        <v>34</v>
      </c>
      <c r="Y2372" s="9">
        <f t="shared" si="112"/>
        <v>3.9E-2</v>
      </c>
      <c r="Z2372" t="str">
        <f t="shared" si="113"/>
        <v>สแกนต่าง Cost</v>
      </c>
    </row>
    <row r="2373" spans="1:26" x14ac:dyDescent="0.45">
      <c r="A2373">
        <v>25955</v>
      </c>
      <c r="B2373" t="s">
        <v>53</v>
      </c>
      <c r="C2373">
        <v>20372080</v>
      </c>
      <c r="D2373" t="s">
        <v>117</v>
      </c>
      <c r="E2373" s="10">
        <v>46117.365277777775</v>
      </c>
      <c r="F2373" s="10">
        <v>46117.729166666664</v>
      </c>
      <c r="G2373">
        <v>7.7333333333333325</v>
      </c>
      <c r="H2373" s="9">
        <f t="shared" si="111"/>
        <v>4.1000000000000002E-2</v>
      </c>
      <c r="J2373">
        <v>4.1000000000000002E-2</v>
      </c>
      <c r="M2373" t="s">
        <v>77</v>
      </c>
      <c r="N2373" t="s">
        <v>40</v>
      </c>
      <c r="O2373" t="s">
        <v>78</v>
      </c>
      <c r="P2373" t="s">
        <v>30</v>
      </c>
      <c r="Q2373" t="s">
        <v>31</v>
      </c>
      <c r="R2373">
        <v>82400</v>
      </c>
      <c r="S2373" t="s">
        <v>83</v>
      </c>
      <c r="T2373">
        <v>82658</v>
      </c>
      <c r="U2373" t="s">
        <v>33</v>
      </c>
      <c r="V2373" t="s">
        <v>33</v>
      </c>
      <c r="W2373" t="s">
        <v>34</v>
      </c>
      <c r="X2373" t="s">
        <v>34</v>
      </c>
      <c r="Y2373" s="9">
        <f t="shared" si="112"/>
        <v>4.1000000000000002E-2</v>
      </c>
      <c r="Z2373" t="str">
        <f t="shared" si="113"/>
        <v>สแกนต่าง Cost</v>
      </c>
    </row>
    <row r="2374" spans="1:26" x14ac:dyDescent="0.45">
      <c r="A2374">
        <v>25952</v>
      </c>
      <c r="B2374" t="s">
        <v>53</v>
      </c>
      <c r="C2374">
        <v>20382170</v>
      </c>
      <c r="D2374" t="s">
        <v>118</v>
      </c>
      <c r="E2374" s="10">
        <v>46117.365277777775</v>
      </c>
      <c r="F2374" s="10">
        <v>46117.729166666664</v>
      </c>
      <c r="G2374">
        <v>7.7333333333333325</v>
      </c>
      <c r="H2374" s="9">
        <f t="shared" si="111"/>
        <v>4.1000000000000002E-2</v>
      </c>
      <c r="J2374">
        <v>4.1000000000000002E-2</v>
      </c>
      <c r="M2374" t="s">
        <v>77</v>
      </c>
      <c r="N2374" t="s">
        <v>40</v>
      </c>
      <c r="O2374" t="s">
        <v>78</v>
      </c>
      <c r="P2374" t="s">
        <v>30</v>
      </c>
      <c r="Q2374" t="s">
        <v>31</v>
      </c>
      <c r="R2374">
        <v>82400</v>
      </c>
      <c r="S2374" t="s">
        <v>83</v>
      </c>
      <c r="T2374">
        <v>82658</v>
      </c>
      <c r="U2374" t="s">
        <v>33</v>
      </c>
      <c r="V2374" t="s">
        <v>33</v>
      </c>
      <c r="W2374" t="s">
        <v>34</v>
      </c>
      <c r="X2374" t="s">
        <v>34</v>
      </c>
      <c r="Y2374" s="9">
        <f t="shared" si="112"/>
        <v>4.1000000000000002E-2</v>
      </c>
      <c r="Z2374" t="str">
        <f t="shared" si="113"/>
        <v>สแกนต่าง Cost</v>
      </c>
    </row>
    <row r="2375" spans="1:26" x14ac:dyDescent="0.45">
      <c r="A2375">
        <v>25954</v>
      </c>
      <c r="B2375" t="s">
        <v>53</v>
      </c>
      <c r="C2375">
        <v>20382171</v>
      </c>
      <c r="D2375" t="s">
        <v>119</v>
      </c>
      <c r="E2375" s="10">
        <v>46117.365277777775</v>
      </c>
      <c r="F2375" s="10">
        <v>46117.729166666664</v>
      </c>
      <c r="G2375">
        <v>7.7333333333333325</v>
      </c>
      <c r="H2375" s="9">
        <f t="shared" si="111"/>
        <v>4.1000000000000002E-2</v>
      </c>
      <c r="J2375">
        <v>4.1000000000000002E-2</v>
      </c>
      <c r="M2375" t="s">
        <v>77</v>
      </c>
      <c r="N2375" t="s">
        <v>40</v>
      </c>
      <c r="O2375" t="s">
        <v>78</v>
      </c>
      <c r="P2375" t="s">
        <v>30</v>
      </c>
      <c r="Q2375" t="s">
        <v>31</v>
      </c>
      <c r="R2375">
        <v>82400</v>
      </c>
      <c r="S2375" t="s">
        <v>83</v>
      </c>
      <c r="T2375">
        <v>82658</v>
      </c>
      <c r="U2375" t="s">
        <v>33</v>
      </c>
      <c r="V2375" t="s">
        <v>33</v>
      </c>
      <c r="W2375" t="s">
        <v>34</v>
      </c>
      <c r="X2375" t="s">
        <v>34</v>
      </c>
      <c r="Y2375" s="9">
        <f t="shared" si="112"/>
        <v>4.1000000000000002E-2</v>
      </c>
      <c r="Z2375" t="str">
        <f t="shared" si="113"/>
        <v>สแกนต่าง Cost</v>
      </c>
    </row>
    <row r="2376" spans="1:26" x14ac:dyDescent="0.45">
      <c r="A2376">
        <v>25953</v>
      </c>
      <c r="B2376" t="s">
        <v>53</v>
      </c>
      <c r="C2376">
        <v>20399673</v>
      </c>
      <c r="D2376" t="s">
        <v>48</v>
      </c>
      <c r="E2376" s="10">
        <v>46117.365277777775</v>
      </c>
      <c r="F2376" s="10">
        <v>46117.82916666667</v>
      </c>
      <c r="G2376">
        <v>11.133333333333333</v>
      </c>
      <c r="H2376" s="9">
        <f t="shared" si="111"/>
        <v>1.4E-2</v>
      </c>
      <c r="L2376">
        <v>1.4E-2</v>
      </c>
      <c r="M2376" t="s">
        <v>255</v>
      </c>
      <c r="N2376" t="s">
        <v>40</v>
      </c>
      <c r="O2376" t="s">
        <v>41</v>
      </c>
      <c r="P2376" t="s">
        <v>30</v>
      </c>
      <c r="Q2376" t="s">
        <v>31</v>
      </c>
      <c r="R2376">
        <v>82611</v>
      </c>
      <c r="S2376" t="s">
        <v>43</v>
      </c>
      <c r="T2376">
        <v>82658</v>
      </c>
      <c r="U2376" t="s">
        <v>33</v>
      </c>
      <c r="V2376" t="s">
        <v>33</v>
      </c>
      <c r="W2376" t="s">
        <v>34</v>
      </c>
      <c r="X2376" t="s">
        <v>34</v>
      </c>
      <c r="Y2376" s="9">
        <f t="shared" si="112"/>
        <v>1.4E-2</v>
      </c>
      <c r="Z2376" t="str">
        <f t="shared" si="113"/>
        <v>สแกนต่าง Cost</v>
      </c>
    </row>
    <row r="2377" spans="1:26" x14ac:dyDescent="0.45">
      <c r="A2377">
        <v>25950</v>
      </c>
      <c r="B2377" t="s">
        <v>53</v>
      </c>
      <c r="C2377">
        <v>20399631</v>
      </c>
      <c r="D2377" t="s">
        <v>48</v>
      </c>
      <c r="E2377" s="10">
        <v>46117.363194444442</v>
      </c>
      <c r="F2377" s="10">
        <v>46117.706944444442</v>
      </c>
      <c r="G2377">
        <v>7.25</v>
      </c>
      <c r="H2377" s="9">
        <f t="shared" si="111"/>
        <v>3.9E-2</v>
      </c>
      <c r="J2377">
        <v>3.9E-2</v>
      </c>
      <c r="M2377" t="s">
        <v>77</v>
      </c>
      <c r="N2377" t="s">
        <v>40</v>
      </c>
      <c r="O2377" t="s">
        <v>247</v>
      </c>
      <c r="P2377" t="s">
        <v>30</v>
      </c>
      <c r="Q2377" t="s">
        <v>31</v>
      </c>
      <c r="R2377">
        <v>82640</v>
      </c>
      <c r="S2377" t="s">
        <v>42</v>
      </c>
      <c r="T2377">
        <v>82658</v>
      </c>
      <c r="U2377" t="s">
        <v>33</v>
      </c>
      <c r="V2377" t="s">
        <v>33</v>
      </c>
      <c r="W2377" t="s">
        <v>37</v>
      </c>
      <c r="X2377" t="s">
        <v>38</v>
      </c>
      <c r="Y2377" s="9">
        <f t="shared" si="112"/>
        <v>3.9E-2</v>
      </c>
      <c r="Z2377" t="str">
        <f t="shared" si="113"/>
        <v>สแกนต่าง Cost</v>
      </c>
    </row>
    <row r="2378" spans="1:26" x14ac:dyDescent="0.45">
      <c r="A2378">
        <v>25945</v>
      </c>
      <c r="B2378" t="s">
        <v>53</v>
      </c>
      <c r="C2378">
        <v>20031838</v>
      </c>
      <c r="D2378" t="s">
        <v>143</v>
      </c>
      <c r="E2378" s="10">
        <v>46117.333333333336</v>
      </c>
      <c r="F2378" s="10">
        <v>46117.729166666664</v>
      </c>
      <c r="G2378">
        <v>8.5</v>
      </c>
      <c r="H2378" s="9">
        <f t="shared" si="111"/>
        <v>4.4999999999999998E-2</v>
      </c>
      <c r="J2378">
        <v>4.4999999999999998E-2</v>
      </c>
      <c r="M2378" t="s">
        <v>77</v>
      </c>
      <c r="N2378" t="s">
        <v>40</v>
      </c>
      <c r="O2378" t="s">
        <v>78</v>
      </c>
      <c r="P2378" t="s">
        <v>30</v>
      </c>
      <c r="Q2378" t="s">
        <v>31</v>
      </c>
      <c r="R2378">
        <v>82652</v>
      </c>
      <c r="S2378" t="s">
        <v>46</v>
      </c>
      <c r="T2378">
        <v>82658</v>
      </c>
      <c r="U2378" t="s">
        <v>33</v>
      </c>
      <c r="V2378" t="s">
        <v>33</v>
      </c>
      <c r="W2378" t="s">
        <v>37</v>
      </c>
      <c r="X2378" t="s">
        <v>38</v>
      </c>
      <c r="Y2378" s="9">
        <f t="shared" si="112"/>
        <v>4.4999999999999998E-2</v>
      </c>
      <c r="Z2378" t="str">
        <f t="shared" si="113"/>
        <v>สแกนต่าง Cost</v>
      </c>
    </row>
    <row r="2379" spans="1:26" x14ac:dyDescent="0.45">
      <c r="A2379">
        <v>25946</v>
      </c>
      <c r="B2379" t="s">
        <v>53</v>
      </c>
      <c r="C2379">
        <v>20078191</v>
      </c>
      <c r="D2379" t="s">
        <v>283</v>
      </c>
      <c r="E2379" s="10">
        <v>46117.333333333336</v>
      </c>
      <c r="F2379" s="10">
        <v>46117.729166666664</v>
      </c>
      <c r="G2379">
        <v>8.5</v>
      </c>
      <c r="H2379" s="9">
        <f t="shared" si="111"/>
        <v>4.4999999999999998E-2</v>
      </c>
      <c r="J2379">
        <v>4.4999999999999998E-2</v>
      </c>
      <c r="M2379" t="s">
        <v>77</v>
      </c>
      <c r="N2379" t="s">
        <v>40</v>
      </c>
      <c r="O2379" t="s">
        <v>78</v>
      </c>
      <c r="P2379" t="s">
        <v>133</v>
      </c>
      <c r="Q2379" t="s">
        <v>31</v>
      </c>
      <c r="R2379">
        <v>82301</v>
      </c>
      <c r="S2379" t="s">
        <v>79</v>
      </c>
      <c r="T2379">
        <v>82658</v>
      </c>
      <c r="U2379" t="s">
        <v>33</v>
      </c>
      <c r="V2379" t="s">
        <v>33</v>
      </c>
      <c r="W2379" t="s">
        <v>34</v>
      </c>
      <c r="X2379" t="s">
        <v>34</v>
      </c>
      <c r="Y2379" s="9">
        <f t="shared" si="112"/>
        <v>4.4999999999999998E-2</v>
      </c>
      <c r="Z2379" t="str">
        <f t="shared" si="113"/>
        <v>สแกนต่าง Cost</v>
      </c>
    </row>
    <row r="2380" spans="1:26" x14ac:dyDescent="0.45">
      <c r="B2380" t="s">
        <v>53</v>
      </c>
      <c r="C2380">
        <v>20078230</v>
      </c>
      <c r="D2380" t="s">
        <v>382</v>
      </c>
      <c r="E2380" s="10">
        <v>46117.333333333336</v>
      </c>
      <c r="F2380" s="10">
        <v>46117.703472222223</v>
      </c>
      <c r="G2380">
        <v>7.8833333333333329</v>
      </c>
      <c r="H2380" s="9">
        <f t="shared" si="111"/>
        <v>4.2000000000000003E-2</v>
      </c>
      <c r="J2380">
        <v>4.2000000000000003E-2</v>
      </c>
      <c r="M2380" t="s">
        <v>77</v>
      </c>
      <c r="N2380" t="s">
        <v>40</v>
      </c>
      <c r="O2380" t="s">
        <v>247</v>
      </c>
      <c r="P2380" t="s">
        <v>133</v>
      </c>
      <c r="Q2380" t="s">
        <v>31</v>
      </c>
      <c r="R2380">
        <v>82640</v>
      </c>
      <c r="S2380" t="s">
        <v>42</v>
      </c>
      <c r="T2380">
        <v>82611</v>
      </c>
      <c r="U2380" t="s">
        <v>43</v>
      </c>
      <c r="V2380" t="s">
        <v>43</v>
      </c>
      <c r="W2380" t="s">
        <v>42</v>
      </c>
      <c r="X2380" t="s">
        <v>38</v>
      </c>
      <c r="Y2380" s="9">
        <f t="shared" si="112"/>
        <v>4.2000000000000003E-2</v>
      </c>
      <c r="Z2380" t="str">
        <f t="shared" si="113"/>
        <v>สแกนต่าง Cost</v>
      </c>
    </row>
    <row r="2381" spans="1:26" x14ac:dyDescent="0.45">
      <c r="B2381" t="s">
        <v>53</v>
      </c>
      <c r="C2381">
        <v>20078230</v>
      </c>
      <c r="D2381" t="s">
        <v>382</v>
      </c>
      <c r="E2381" s="10">
        <v>46117.333333333336</v>
      </c>
      <c r="F2381" s="10">
        <v>46117.708333333336</v>
      </c>
      <c r="G2381">
        <v>8</v>
      </c>
      <c r="H2381" s="9">
        <f t="shared" si="111"/>
        <v>4.2999999999999997E-2</v>
      </c>
      <c r="J2381">
        <v>4.2999999999999997E-2</v>
      </c>
      <c r="M2381" t="s">
        <v>77</v>
      </c>
      <c r="N2381" t="s">
        <v>40</v>
      </c>
      <c r="O2381" t="s">
        <v>247</v>
      </c>
      <c r="P2381" t="s">
        <v>133</v>
      </c>
      <c r="Q2381" t="s">
        <v>31</v>
      </c>
      <c r="R2381">
        <v>82640</v>
      </c>
      <c r="S2381" t="s">
        <v>42</v>
      </c>
      <c r="T2381">
        <v>82611</v>
      </c>
      <c r="U2381" t="s">
        <v>43</v>
      </c>
      <c r="V2381" t="s">
        <v>43</v>
      </c>
      <c r="W2381" t="s">
        <v>42</v>
      </c>
      <c r="X2381" t="s">
        <v>38</v>
      </c>
      <c r="Y2381" s="9">
        <f t="shared" si="112"/>
        <v>4.2999999999999997E-2</v>
      </c>
      <c r="Z2381" t="str">
        <f t="shared" si="113"/>
        <v>สแกนต่าง Cost</v>
      </c>
    </row>
    <row r="2382" spans="1:26" x14ac:dyDescent="0.45">
      <c r="A2382">
        <v>25650</v>
      </c>
      <c r="B2382" t="s">
        <v>53</v>
      </c>
      <c r="C2382">
        <v>20162724</v>
      </c>
      <c r="D2382" t="s">
        <v>128</v>
      </c>
      <c r="E2382" s="10">
        <v>46117.333333333336</v>
      </c>
      <c r="F2382" s="10">
        <v>46117.829861111109</v>
      </c>
      <c r="G2382">
        <v>10.916666666666666</v>
      </c>
      <c r="H2382" s="9">
        <f t="shared" si="111"/>
        <v>5.8000000000000003E-2</v>
      </c>
      <c r="J2382">
        <v>5.8000000000000003E-2</v>
      </c>
      <c r="M2382" t="s">
        <v>77</v>
      </c>
      <c r="N2382" t="s">
        <v>40</v>
      </c>
      <c r="O2382" t="s">
        <v>78</v>
      </c>
      <c r="P2382" t="s">
        <v>30</v>
      </c>
      <c r="Q2382" t="s">
        <v>31</v>
      </c>
      <c r="R2382">
        <v>82658</v>
      </c>
      <c r="S2382" t="s">
        <v>33</v>
      </c>
      <c r="T2382">
        <v>82664</v>
      </c>
      <c r="U2382" t="s">
        <v>75</v>
      </c>
      <c r="V2382" t="s">
        <v>75</v>
      </c>
      <c r="W2382" t="s">
        <v>37</v>
      </c>
      <c r="X2382" t="s">
        <v>111</v>
      </c>
      <c r="Y2382" s="9">
        <f t="shared" si="112"/>
        <v>5.8000000000000003E-2</v>
      </c>
      <c r="Z2382" t="str">
        <f t="shared" si="113"/>
        <v>สแกนต่าง Cost</v>
      </c>
    </row>
    <row r="2383" spans="1:26" x14ac:dyDescent="0.45">
      <c r="A2383">
        <v>25651</v>
      </c>
      <c r="B2383" t="s">
        <v>53</v>
      </c>
      <c r="C2383">
        <v>20198835</v>
      </c>
      <c r="D2383" t="s">
        <v>129</v>
      </c>
      <c r="E2383" s="10">
        <v>46117.333333333336</v>
      </c>
      <c r="F2383" s="10">
        <v>46117.829861111109</v>
      </c>
      <c r="G2383">
        <v>10.916666666666666</v>
      </c>
      <c r="H2383" s="9">
        <f t="shared" si="111"/>
        <v>5.8000000000000003E-2</v>
      </c>
      <c r="J2383">
        <v>5.8000000000000003E-2</v>
      </c>
      <c r="M2383" t="s">
        <v>77</v>
      </c>
      <c r="N2383" t="s">
        <v>40</v>
      </c>
      <c r="O2383" t="s">
        <v>78</v>
      </c>
      <c r="P2383" t="s">
        <v>30</v>
      </c>
      <c r="Q2383" t="s">
        <v>31</v>
      </c>
      <c r="R2383">
        <v>82658</v>
      </c>
      <c r="S2383" t="s">
        <v>33</v>
      </c>
      <c r="T2383">
        <v>82664</v>
      </c>
      <c r="U2383" t="s">
        <v>75</v>
      </c>
      <c r="V2383" t="s">
        <v>75</v>
      </c>
      <c r="W2383" t="s">
        <v>37</v>
      </c>
      <c r="X2383" t="s">
        <v>111</v>
      </c>
      <c r="Y2383" s="9">
        <f t="shared" si="112"/>
        <v>5.8000000000000003E-2</v>
      </c>
      <c r="Z2383" t="str">
        <f t="shared" si="113"/>
        <v>สแกนต่าง Cost</v>
      </c>
    </row>
    <row r="2384" spans="1:26" x14ac:dyDescent="0.45">
      <c r="A2384">
        <v>25948</v>
      </c>
      <c r="B2384" t="s">
        <v>53</v>
      </c>
      <c r="C2384">
        <v>20343502</v>
      </c>
      <c r="D2384" t="s">
        <v>281</v>
      </c>
      <c r="E2384" s="10">
        <v>46117.333333333336</v>
      </c>
      <c r="F2384" s="10">
        <v>46117.826388888891</v>
      </c>
      <c r="G2384">
        <v>10.833333333333334</v>
      </c>
      <c r="H2384" s="9">
        <f t="shared" si="111"/>
        <v>5.8000000000000003E-2</v>
      </c>
      <c r="J2384">
        <v>5.8000000000000003E-2</v>
      </c>
      <c r="M2384" t="s">
        <v>77</v>
      </c>
      <c r="N2384" t="s">
        <v>40</v>
      </c>
      <c r="O2384" t="s">
        <v>78</v>
      </c>
      <c r="P2384" t="s">
        <v>30</v>
      </c>
      <c r="Q2384" t="s">
        <v>31</v>
      </c>
      <c r="R2384">
        <v>82652</v>
      </c>
      <c r="S2384" t="s">
        <v>46</v>
      </c>
      <c r="T2384">
        <v>82658</v>
      </c>
      <c r="U2384" t="s">
        <v>33</v>
      </c>
      <c r="V2384" t="s">
        <v>33</v>
      </c>
      <c r="W2384" t="s">
        <v>37</v>
      </c>
      <c r="X2384" t="s">
        <v>38</v>
      </c>
      <c r="Y2384" s="9">
        <f t="shared" si="112"/>
        <v>5.8000000000000003E-2</v>
      </c>
      <c r="Z2384" t="str">
        <f t="shared" si="113"/>
        <v>สแกนต่าง Cost</v>
      </c>
    </row>
    <row r="2385" spans="1:26" x14ac:dyDescent="0.45">
      <c r="A2385">
        <v>25944</v>
      </c>
      <c r="B2385" t="s">
        <v>53</v>
      </c>
      <c r="C2385">
        <v>20344534</v>
      </c>
      <c r="D2385" t="s">
        <v>278</v>
      </c>
      <c r="E2385" s="10">
        <v>46117.333333333336</v>
      </c>
      <c r="F2385" s="10">
        <v>46117.729166666664</v>
      </c>
      <c r="G2385">
        <v>8.5</v>
      </c>
      <c r="H2385" s="9">
        <f t="shared" si="111"/>
        <v>4.4999999999999998E-2</v>
      </c>
      <c r="J2385">
        <v>4.4999999999999998E-2</v>
      </c>
      <c r="M2385" t="s">
        <v>77</v>
      </c>
      <c r="N2385" t="s">
        <v>40</v>
      </c>
      <c r="O2385" t="s">
        <v>78</v>
      </c>
      <c r="P2385" t="s">
        <v>30</v>
      </c>
      <c r="Q2385" t="s">
        <v>31</v>
      </c>
      <c r="R2385">
        <v>82680</v>
      </c>
      <c r="S2385" t="s">
        <v>50</v>
      </c>
      <c r="T2385">
        <v>82658</v>
      </c>
      <c r="U2385" t="s">
        <v>33</v>
      </c>
      <c r="V2385" t="s">
        <v>33</v>
      </c>
      <c r="W2385" t="s">
        <v>34</v>
      </c>
      <c r="X2385" t="s">
        <v>34</v>
      </c>
      <c r="Y2385" s="9">
        <f t="shared" si="112"/>
        <v>4.4999999999999998E-2</v>
      </c>
      <c r="Z2385" t="str">
        <f t="shared" si="113"/>
        <v>สแกนต่าง Cost</v>
      </c>
    </row>
    <row r="2386" spans="1:26" x14ac:dyDescent="0.45">
      <c r="A2386">
        <v>25653</v>
      </c>
      <c r="B2386" t="s">
        <v>53</v>
      </c>
      <c r="C2386">
        <v>20344551</v>
      </c>
      <c r="D2386" t="s">
        <v>110</v>
      </c>
      <c r="E2386" s="10">
        <v>46117.333333333336</v>
      </c>
      <c r="F2386" s="10">
        <v>46117.830555555556</v>
      </c>
      <c r="G2386">
        <v>10.933333333333334</v>
      </c>
      <c r="H2386" s="9">
        <f t="shared" si="111"/>
        <v>5.8000000000000003E-2</v>
      </c>
      <c r="J2386">
        <v>5.8000000000000003E-2</v>
      </c>
      <c r="M2386" t="s">
        <v>77</v>
      </c>
      <c r="N2386" t="s">
        <v>40</v>
      </c>
      <c r="O2386" t="s">
        <v>78</v>
      </c>
      <c r="P2386" t="s">
        <v>30</v>
      </c>
      <c r="Q2386" t="s">
        <v>31</v>
      </c>
      <c r="R2386">
        <v>82655</v>
      </c>
      <c r="S2386" t="s">
        <v>59</v>
      </c>
      <c r="T2386">
        <v>82664</v>
      </c>
      <c r="U2386" t="s">
        <v>75</v>
      </c>
      <c r="V2386" t="s">
        <v>75</v>
      </c>
      <c r="W2386" t="s">
        <v>37</v>
      </c>
      <c r="X2386" t="s">
        <v>111</v>
      </c>
      <c r="Y2386" s="9">
        <f t="shared" si="112"/>
        <v>5.8000000000000003E-2</v>
      </c>
      <c r="Z2386" t="str">
        <f t="shared" si="113"/>
        <v>สแกนต่าง Cost</v>
      </c>
    </row>
    <row r="2387" spans="1:26" x14ac:dyDescent="0.45">
      <c r="A2387">
        <v>25654</v>
      </c>
      <c r="B2387" t="s">
        <v>53</v>
      </c>
      <c r="C2387">
        <v>20344552</v>
      </c>
      <c r="D2387" t="s">
        <v>112</v>
      </c>
      <c r="E2387" s="10">
        <v>46117.333333333336</v>
      </c>
      <c r="F2387" s="10">
        <v>46117.830555555556</v>
      </c>
      <c r="G2387">
        <v>10.933333333333334</v>
      </c>
      <c r="H2387" s="9">
        <f t="shared" si="111"/>
        <v>5.8000000000000003E-2</v>
      </c>
      <c r="J2387">
        <v>5.8000000000000003E-2</v>
      </c>
      <c r="M2387" t="s">
        <v>77</v>
      </c>
      <c r="N2387" t="s">
        <v>40</v>
      </c>
      <c r="O2387" t="s">
        <v>78</v>
      </c>
      <c r="P2387" t="s">
        <v>30</v>
      </c>
      <c r="Q2387" t="s">
        <v>31</v>
      </c>
      <c r="R2387">
        <v>82655</v>
      </c>
      <c r="S2387" t="s">
        <v>59</v>
      </c>
      <c r="T2387">
        <v>82664</v>
      </c>
      <c r="U2387" t="s">
        <v>75</v>
      </c>
      <c r="V2387" t="s">
        <v>75</v>
      </c>
      <c r="W2387" t="s">
        <v>37</v>
      </c>
      <c r="X2387" t="s">
        <v>111</v>
      </c>
      <c r="Y2387" s="9">
        <f t="shared" si="112"/>
        <v>5.8000000000000003E-2</v>
      </c>
      <c r="Z2387" t="str">
        <f t="shared" si="113"/>
        <v>สแกนต่าง Cost</v>
      </c>
    </row>
    <row r="2388" spans="1:26" x14ac:dyDescent="0.45">
      <c r="B2388" t="s">
        <v>53</v>
      </c>
      <c r="C2388">
        <v>20372707</v>
      </c>
      <c r="D2388" t="s">
        <v>383</v>
      </c>
      <c r="E2388" s="10">
        <v>46117.333333333336</v>
      </c>
      <c r="F2388" s="10">
        <v>46117.826388888891</v>
      </c>
      <c r="G2388">
        <v>10.833333333333334</v>
      </c>
      <c r="H2388" s="9">
        <f t="shared" si="111"/>
        <v>5.8000000000000003E-2</v>
      </c>
      <c r="J2388">
        <v>5.8000000000000003E-2</v>
      </c>
      <c r="M2388" t="s">
        <v>77</v>
      </c>
      <c r="N2388" t="s">
        <v>40</v>
      </c>
      <c r="O2388" t="s">
        <v>78</v>
      </c>
      <c r="P2388" t="s">
        <v>30</v>
      </c>
      <c r="Q2388" t="s">
        <v>31</v>
      </c>
      <c r="R2388">
        <v>82658</v>
      </c>
      <c r="S2388" t="s">
        <v>33</v>
      </c>
      <c r="T2388">
        <v>82655</v>
      </c>
      <c r="U2388" t="s">
        <v>59</v>
      </c>
      <c r="V2388" t="s">
        <v>59</v>
      </c>
      <c r="W2388" t="s">
        <v>37</v>
      </c>
      <c r="X2388" t="s">
        <v>38</v>
      </c>
      <c r="Y2388" s="9">
        <f t="shared" si="112"/>
        <v>5.8000000000000003E-2</v>
      </c>
      <c r="Z2388" t="str">
        <f t="shared" si="113"/>
        <v>สแกนต่าง Cost</v>
      </c>
    </row>
    <row r="2389" spans="1:26" x14ac:dyDescent="0.45">
      <c r="A2389">
        <v>25652</v>
      </c>
      <c r="B2389" t="s">
        <v>53</v>
      </c>
      <c r="C2389">
        <v>20372709</v>
      </c>
      <c r="D2389" t="s">
        <v>130</v>
      </c>
      <c r="E2389" s="10">
        <v>46117.333333333336</v>
      </c>
      <c r="F2389" s="10">
        <v>46117.830555555556</v>
      </c>
      <c r="G2389">
        <v>10.933333333333334</v>
      </c>
      <c r="H2389" s="9">
        <f t="shared" si="111"/>
        <v>5.8000000000000003E-2</v>
      </c>
      <c r="J2389">
        <v>5.8000000000000003E-2</v>
      </c>
      <c r="M2389" t="s">
        <v>77</v>
      </c>
      <c r="N2389" t="s">
        <v>40</v>
      </c>
      <c r="O2389" t="s">
        <v>78</v>
      </c>
      <c r="P2389" t="s">
        <v>30</v>
      </c>
      <c r="Q2389" t="s">
        <v>31</v>
      </c>
      <c r="R2389">
        <v>82658</v>
      </c>
      <c r="S2389" t="s">
        <v>33</v>
      </c>
      <c r="T2389">
        <v>82664</v>
      </c>
      <c r="U2389" t="s">
        <v>75</v>
      </c>
      <c r="V2389" t="s">
        <v>75</v>
      </c>
      <c r="W2389" t="s">
        <v>37</v>
      </c>
      <c r="X2389" t="s">
        <v>111</v>
      </c>
      <c r="Y2389" s="9">
        <f t="shared" si="112"/>
        <v>5.8000000000000003E-2</v>
      </c>
      <c r="Z2389" t="str">
        <f t="shared" si="113"/>
        <v>สแกนต่าง Cost</v>
      </c>
    </row>
    <row r="2390" spans="1:26" x14ac:dyDescent="0.45">
      <c r="A2390">
        <v>25947</v>
      </c>
      <c r="B2390" t="s">
        <v>53</v>
      </c>
      <c r="C2390">
        <v>20403445</v>
      </c>
      <c r="E2390" s="10">
        <v>46117.333333333336</v>
      </c>
      <c r="F2390" s="10">
        <v>46117.729166666664</v>
      </c>
      <c r="G2390">
        <v>8.5</v>
      </c>
      <c r="H2390" s="9">
        <f t="shared" si="111"/>
        <v>4.4999999999999998E-2</v>
      </c>
      <c r="J2390">
        <v>4.4999999999999998E-2</v>
      </c>
      <c r="M2390" t="s">
        <v>77</v>
      </c>
      <c r="N2390" t="s">
        <v>40</v>
      </c>
      <c r="O2390" t="s">
        <v>78</v>
      </c>
      <c r="P2390" t="s">
        <v>30</v>
      </c>
      <c r="R2390">
        <v>82680</v>
      </c>
      <c r="S2390" t="s">
        <v>50</v>
      </c>
      <c r="T2390">
        <v>82658</v>
      </c>
      <c r="U2390" t="s">
        <v>33</v>
      </c>
      <c r="V2390" t="s">
        <v>33</v>
      </c>
      <c r="W2390" t="s">
        <v>34</v>
      </c>
      <c r="X2390" t="s">
        <v>34</v>
      </c>
      <c r="Y2390" s="9">
        <f t="shared" si="112"/>
        <v>4.4999999999999998E-2</v>
      </c>
      <c r="Z2390" t="str">
        <f t="shared" si="113"/>
        <v>สแกนต่าง Cost</v>
      </c>
    </row>
    <row r="2391" spans="1:26" x14ac:dyDescent="0.45">
      <c r="A2391">
        <v>25941</v>
      </c>
      <c r="B2391" t="s">
        <v>53</v>
      </c>
      <c r="C2391">
        <v>20031153</v>
      </c>
      <c r="D2391" t="s">
        <v>142</v>
      </c>
      <c r="E2391" s="10">
        <v>46117.332638888889</v>
      </c>
      <c r="F2391" s="10">
        <v>46117.82916666667</v>
      </c>
      <c r="G2391">
        <v>10.916666666666666</v>
      </c>
      <c r="H2391" s="9">
        <f t="shared" si="111"/>
        <v>5.8000000000000003E-2</v>
      </c>
      <c r="J2391">
        <v>5.8000000000000003E-2</v>
      </c>
      <c r="M2391" t="s">
        <v>77</v>
      </c>
      <c r="N2391" t="s">
        <v>40</v>
      </c>
      <c r="O2391" t="s">
        <v>78</v>
      </c>
      <c r="P2391" t="s">
        <v>30</v>
      </c>
      <c r="Q2391" t="s">
        <v>31</v>
      </c>
      <c r="R2391">
        <v>82652</v>
      </c>
      <c r="S2391" t="s">
        <v>46</v>
      </c>
      <c r="T2391">
        <v>82658</v>
      </c>
      <c r="U2391" t="s">
        <v>33</v>
      </c>
      <c r="V2391" t="s">
        <v>33</v>
      </c>
      <c r="W2391" t="s">
        <v>37</v>
      </c>
      <c r="X2391" t="s">
        <v>38</v>
      </c>
      <c r="Y2391" s="9">
        <f t="shared" si="112"/>
        <v>5.8000000000000003E-2</v>
      </c>
      <c r="Z2391" t="str">
        <f t="shared" si="113"/>
        <v>สแกนต่าง Cost</v>
      </c>
    </row>
    <row r="2392" spans="1:26" x14ac:dyDescent="0.45">
      <c r="A2392">
        <v>25943</v>
      </c>
      <c r="B2392" t="s">
        <v>53</v>
      </c>
      <c r="C2392">
        <v>20038749</v>
      </c>
      <c r="D2392" t="s">
        <v>218</v>
      </c>
      <c r="E2392" s="10">
        <v>46117.332638888889</v>
      </c>
      <c r="F2392" s="10">
        <v>46117.826388888891</v>
      </c>
      <c r="G2392">
        <v>10.85</v>
      </c>
      <c r="H2392" s="9">
        <f t="shared" si="111"/>
        <v>5.8000000000000003E-2</v>
      </c>
      <c r="J2392">
        <v>5.8000000000000003E-2</v>
      </c>
      <c r="M2392" t="s">
        <v>77</v>
      </c>
      <c r="N2392" t="s">
        <v>40</v>
      </c>
      <c r="O2392" t="s">
        <v>78</v>
      </c>
      <c r="P2392" t="s">
        <v>30</v>
      </c>
      <c r="Q2392" t="s">
        <v>31</v>
      </c>
      <c r="R2392">
        <v>82680</v>
      </c>
      <c r="S2392" t="s">
        <v>50</v>
      </c>
      <c r="T2392">
        <v>82658</v>
      </c>
      <c r="U2392" t="s">
        <v>33</v>
      </c>
      <c r="V2392" t="s">
        <v>33</v>
      </c>
      <c r="W2392" t="s">
        <v>34</v>
      </c>
      <c r="X2392" t="s">
        <v>34</v>
      </c>
      <c r="Y2392" s="9">
        <f t="shared" si="112"/>
        <v>5.8000000000000003E-2</v>
      </c>
      <c r="Z2392" t="str">
        <f t="shared" si="113"/>
        <v>สแกนต่าง Cost</v>
      </c>
    </row>
    <row r="2393" spans="1:26" x14ac:dyDescent="0.45">
      <c r="A2393">
        <v>25940</v>
      </c>
      <c r="B2393" t="s">
        <v>53</v>
      </c>
      <c r="C2393">
        <v>20198811</v>
      </c>
      <c r="D2393" t="s">
        <v>144</v>
      </c>
      <c r="E2393" s="10">
        <v>46117.332638888889</v>
      </c>
      <c r="F2393" s="10">
        <v>46117.826388888891</v>
      </c>
      <c r="G2393">
        <v>10.85</v>
      </c>
      <c r="H2393" s="9">
        <f t="shared" si="111"/>
        <v>5.8000000000000003E-2</v>
      </c>
      <c r="J2393">
        <v>5.8000000000000003E-2</v>
      </c>
      <c r="M2393" t="s">
        <v>77</v>
      </c>
      <c r="N2393" t="s">
        <v>40</v>
      </c>
      <c r="O2393" t="s">
        <v>78</v>
      </c>
      <c r="P2393" t="s">
        <v>30</v>
      </c>
      <c r="Q2393" t="s">
        <v>31</v>
      </c>
      <c r="R2393">
        <v>82652</v>
      </c>
      <c r="S2393" t="s">
        <v>46</v>
      </c>
      <c r="T2393">
        <v>82658</v>
      </c>
      <c r="U2393" t="s">
        <v>33</v>
      </c>
      <c r="V2393" t="s">
        <v>33</v>
      </c>
      <c r="W2393" t="s">
        <v>37</v>
      </c>
      <c r="X2393" t="s">
        <v>38</v>
      </c>
      <c r="Y2393" s="9">
        <f t="shared" si="112"/>
        <v>5.8000000000000003E-2</v>
      </c>
      <c r="Z2393" t="str">
        <f t="shared" si="113"/>
        <v>สแกนต่าง Cost</v>
      </c>
    </row>
    <row r="2394" spans="1:26" x14ac:dyDescent="0.45">
      <c r="A2394">
        <v>25942</v>
      </c>
      <c r="B2394" t="s">
        <v>53</v>
      </c>
      <c r="C2394">
        <v>20386851</v>
      </c>
      <c r="D2394" t="s">
        <v>48</v>
      </c>
      <c r="E2394" s="10">
        <v>46117.332638888889</v>
      </c>
      <c r="F2394" s="10">
        <v>46117.826388888891</v>
      </c>
      <c r="G2394">
        <v>10.85</v>
      </c>
      <c r="H2394" s="9">
        <f t="shared" si="111"/>
        <v>5.8000000000000003E-2</v>
      </c>
      <c r="J2394">
        <v>5.8000000000000003E-2</v>
      </c>
      <c r="M2394" t="s">
        <v>77</v>
      </c>
      <c r="N2394" t="s">
        <v>40</v>
      </c>
      <c r="O2394" t="s">
        <v>78</v>
      </c>
      <c r="P2394" t="s">
        <v>30</v>
      </c>
      <c r="Q2394" t="s">
        <v>31</v>
      </c>
      <c r="R2394">
        <v>82652</v>
      </c>
      <c r="S2394" t="s">
        <v>46</v>
      </c>
      <c r="T2394">
        <v>82658</v>
      </c>
      <c r="U2394" t="s">
        <v>33</v>
      </c>
      <c r="V2394" t="s">
        <v>33</v>
      </c>
      <c r="W2394" t="s">
        <v>37</v>
      </c>
      <c r="X2394" t="s">
        <v>38</v>
      </c>
      <c r="Y2394" s="9">
        <f t="shared" si="112"/>
        <v>5.8000000000000003E-2</v>
      </c>
      <c r="Z2394" t="str">
        <f t="shared" si="113"/>
        <v>สแกนต่าง Cost</v>
      </c>
    </row>
    <row r="2395" spans="1:26" x14ac:dyDescent="0.45">
      <c r="A2395">
        <v>25935</v>
      </c>
      <c r="B2395" t="s">
        <v>53</v>
      </c>
      <c r="C2395">
        <v>20039228</v>
      </c>
      <c r="D2395" t="s">
        <v>289</v>
      </c>
      <c r="E2395" s="10">
        <v>46117.331944444442</v>
      </c>
      <c r="F2395" s="10">
        <v>46117.729166666664</v>
      </c>
      <c r="G2395">
        <v>8.5333333333333332</v>
      </c>
      <c r="H2395" s="9">
        <f t="shared" si="111"/>
        <v>4.5999999999999999E-2</v>
      </c>
      <c r="J2395">
        <v>4.5999999999999999E-2</v>
      </c>
      <c r="M2395" t="s">
        <v>77</v>
      </c>
      <c r="N2395" t="s">
        <v>40</v>
      </c>
      <c r="O2395" t="s">
        <v>78</v>
      </c>
      <c r="P2395" t="s">
        <v>30</v>
      </c>
      <c r="Q2395" t="s">
        <v>31</v>
      </c>
      <c r="R2395">
        <v>82655</v>
      </c>
      <c r="S2395" t="s">
        <v>59</v>
      </c>
      <c r="T2395">
        <v>82658</v>
      </c>
      <c r="U2395" t="s">
        <v>33</v>
      </c>
      <c r="V2395" t="s">
        <v>33</v>
      </c>
      <c r="W2395" t="s">
        <v>37</v>
      </c>
      <c r="X2395" t="s">
        <v>38</v>
      </c>
      <c r="Y2395" s="9">
        <f t="shared" si="112"/>
        <v>4.5999999999999999E-2</v>
      </c>
      <c r="Z2395" t="str">
        <f t="shared" si="113"/>
        <v>สแกนต่าง Cost</v>
      </c>
    </row>
    <row r="2396" spans="1:26" x14ac:dyDescent="0.45">
      <c r="A2396">
        <v>25936</v>
      </c>
      <c r="B2396" t="s">
        <v>53</v>
      </c>
      <c r="C2396">
        <v>20076321</v>
      </c>
      <c r="D2396" t="s">
        <v>349</v>
      </c>
      <c r="E2396" s="10">
        <v>46117.331944444442</v>
      </c>
      <c r="F2396" s="10">
        <v>46117.729166666664</v>
      </c>
      <c r="G2396">
        <v>8.5333333333333332</v>
      </c>
      <c r="H2396" s="9">
        <f t="shared" si="111"/>
        <v>4.5999999999999999E-2</v>
      </c>
      <c r="J2396">
        <v>4.5999999999999999E-2</v>
      </c>
      <c r="M2396" t="s">
        <v>77</v>
      </c>
      <c r="N2396" t="s">
        <v>40</v>
      </c>
      <c r="O2396" t="s">
        <v>78</v>
      </c>
      <c r="P2396" t="s">
        <v>133</v>
      </c>
      <c r="Q2396" t="s">
        <v>31</v>
      </c>
      <c r="R2396">
        <v>82308</v>
      </c>
      <c r="S2396" t="s">
        <v>69</v>
      </c>
      <c r="T2396">
        <v>82658</v>
      </c>
      <c r="U2396" t="s">
        <v>33</v>
      </c>
      <c r="V2396" t="s">
        <v>33</v>
      </c>
      <c r="W2396" t="s">
        <v>34</v>
      </c>
      <c r="X2396" t="s">
        <v>34</v>
      </c>
      <c r="Y2396" s="9">
        <f t="shared" si="112"/>
        <v>4.5999999999999999E-2</v>
      </c>
      <c r="Z2396" t="str">
        <f t="shared" si="113"/>
        <v>สแกนต่าง Cost</v>
      </c>
    </row>
    <row r="2397" spans="1:26" x14ac:dyDescent="0.45">
      <c r="A2397">
        <v>25934</v>
      </c>
      <c r="B2397" t="s">
        <v>53</v>
      </c>
      <c r="C2397">
        <v>20028097</v>
      </c>
      <c r="D2397" t="s">
        <v>139</v>
      </c>
      <c r="E2397" s="10">
        <v>46117.331250000003</v>
      </c>
      <c r="F2397" s="10">
        <v>46117.82916666667</v>
      </c>
      <c r="G2397">
        <v>10.95</v>
      </c>
      <c r="H2397" s="9">
        <f t="shared" si="111"/>
        <v>5.8999999999999997E-2</v>
      </c>
      <c r="J2397">
        <v>5.8999999999999997E-2</v>
      </c>
      <c r="M2397" t="s">
        <v>77</v>
      </c>
      <c r="N2397" t="s">
        <v>40</v>
      </c>
      <c r="O2397" t="s">
        <v>78</v>
      </c>
      <c r="P2397" t="s">
        <v>30</v>
      </c>
      <c r="Q2397" t="s">
        <v>31</v>
      </c>
      <c r="R2397">
        <v>82652</v>
      </c>
      <c r="S2397" t="s">
        <v>46</v>
      </c>
      <c r="T2397">
        <v>82658</v>
      </c>
      <c r="U2397" t="s">
        <v>33</v>
      </c>
      <c r="V2397" t="s">
        <v>33</v>
      </c>
      <c r="W2397" t="s">
        <v>37</v>
      </c>
      <c r="X2397" t="s">
        <v>38</v>
      </c>
      <c r="Y2397" s="9">
        <f t="shared" si="112"/>
        <v>5.8999999999999997E-2</v>
      </c>
      <c r="Z2397" t="str">
        <f t="shared" si="113"/>
        <v>สแกนต่าง Cost</v>
      </c>
    </row>
    <row r="2398" spans="1:26" x14ac:dyDescent="0.45">
      <c r="B2398" t="s">
        <v>53</v>
      </c>
      <c r="C2398">
        <v>20167851</v>
      </c>
      <c r="D2398" t="s">
        <v>63</v>
      </c>
      <c r="E2398" s="10">
        <v>46117.330555555556</v>
      </c>
      <c r="F2398" s="10">
        <v>46117.703472222223</v>
      </c>
      <c r="G2398">
        <v>7.9499999999999993</v>
      </c>
      <c r="H2398" s="9">
        <f t="shared" si="111"/>
        <v>4.2999999999999997E-2</v>
      </c>
      <c r="J2398">
        <v>4.2999999999999997E-2</v>
      </c>
      <c r="M2398" t="s">
        <v>77</v>
      </c>
      <c r="N2398" t="s">
        <v>40</v>
      </c>
      <c r="O2398" t="s">
        <v>247</v>
      </c>
      <c r="P2398" t="s">
        <v>30</v>
      </c>
      <c r="Q2398" t="s">
        <v>31</v>
      </c>
      <c r="R2398">
        <v>82640</v>
      </c>
      <c r="S2398" t="s">
        <v>42</v>
      </c>
      <c r="T2398">
        <v>82611</v>
      </c>
      <c r="U2398" t="s">
        <v>43</v>
      </c>
      <c r="V2398" t="s">
        <v>43</v>
      </c>
      <c r="W2398" t="s">
        <v>44</v>
      </c>
      <c r="X2398" t="s">
        <v>44</v>
      </c>
      <c r="Y2398" s="9">
        <f t="shared" si="112"/>
        <v>4.2999999999999997E-2</v>
      </c>
      <c r="Z2398" t="str">
        <f t="shared" si="113"/>
        <v>สแกนต่าง Cost</v>
      </c>
    </row>
    <row r="2399" spans="1:26" x14ac:dyDescent="0.45">
      <c r="B2399" t="s">
        <v>53</v>
      </c>
      <c r="C2399">
        <v>20027956</v>
      </c>
      <c r="D2399" t="s">
        <v>214</v>
      </c>
      <c r="E2399" s="10">
        <v>46117.329861111109</v>
      </c>
      <c r="F2399" s="10">
        <v>46117.703472222223</v>
      </c>
      <c r="G2399">
        <v>7.9666666666666668</v>
      </c>
      <c r="H2399" s="9">
        <f t="shared" si="111"/>
        <v>4.2999999999999997E-2</v>
      </c>
      <c r="J2399">
        <v>4.2999999999999997E-2</v>
      </c>
      <c r="M2399" t="s">
        <v>77</v>
      </c>
      <c r="N2399" t="s">
        <v>40</v>
      </c>
      <c r="O2399" t="s">
        <v>247</v>
      </c>
      <c r="P2399" t="s">
        <v>30</v>
      </c>
      <c r="Q2399" t="s">
        <v>31</v>
      </c>
      <c r="R2399">
        <v>82640</v>
      </c>
      <c r="S2399" t="s">
        <v>42</v>
      </c>
      <c r="T2399">
        <v>82611</v>
      </c>
      <c r="U2399" t="s">
        <v>43</v>
      </c>
      <c r="V2399" t="s">
        <v>43</v>
      </c>
      <c r="W2399" t="s">
        <v>44</v>
      </c>
      <c r="X2399" t="s">
        <v>44</v>
      </c>
      <c r="Y2399" s="9">
        <f t="shared" si="112"/>
        <v>4.2999999999999997E-2</v>
      </c>
      <c r="Z2399" t="str">
        <f t="shared" si="113"/>
        <v>สแกนต่าง Cost</v>
      </c>
    </row>
    <row r="2400" spans="1:26" x14ac:dyDescent="0.45">
      <c r="B2400" t="s">
        <v>53</v>
      </c>
      <c r="C2400">
        <v>20244923</v>
      </c>
      <c r="D2400" t="s">
        <v>246</v>
      </c>
      <c r="E2400" s="10">
        <v>46117.328472222223</v>
      </c>
      <c r="F2400" s="10">
        <v>46117.703472222223</v>
      </c>
      <c r="G2400">
        <v>8</v>
      </c>
      <c r="H2400" s="9">
        <f t="shared" si="111"/>
        <v>4.2999999999999997E-2</v>
      </c>
      <c r="J2400">
        <v>4.2999999999999997E-2</v>
      </c>
      <c r="M2400" t="s">
        <v>77</v>
      </c>
      <c r="N2400" t="s">
        <v>40</v>
      </c>
      <c r="O2400" t="s">
        <v>247</v>
      </c>
      <c r="P2400" t="s">
        <v>30</v>
      </c>
      <c r="Q2400" t="s">
        <v>31</v>
      </c>
      <c r="R2400">
        <v>82640</v>
      </c>
      <c r="S2400" t="s">
        <v>42</v>
      </c>
      <c r="T2400">
        <v>82611</v>
      </c>
      <c r="U2400" t="s">
        <v>43</v>
      </c>
      <c r="V2400" t="s">
        <v>43</v>
      </c>
      <c r="W2400" t="s">
        <v>44</v>
      </c>
      <c r="X2400" t="s">
        <v>44</v>
      </c>
      <c r="Y2400" s="9">
        <f t="shared" si="112"/>
        <v>4.2999999999999997E-2</v>
      </c>
      <c r="Z2400" t="str">
        <f t="shared" si="113"/>
        <v>สแกนต่าง Cost</v>
      </c>
    </row>
    <row r="2401" spans="1:26" x14ac:dyDescent="0.45">
      <c r="A2401">
        <v>25649</v>
      </c>
      <c r="B2401" t="s">
        <v>53</v>
      </c>
      <c r="C2401">
        <v>20267288</v>
      </c>
      <c r="D2401" t="s">
        <v>127</v>
      </c>
      <c r="E2401" s="10">
        <v>46117.321527777778</v>
      </c>
      <c r="F2401" s="10">
        <v>46117.729166666664</v>
      </c>
      <c r="G2401">
        <v>8.7833333333333332</v>
      </c>
      <c r="H2401" s="9">
        <f t="shared" si="111"/>
        <v>4.7E-2</v>
      </c>
      <c r="J2401">
        <v>4.7E-2</v>
      </c>
      <c r="M2401" t="s">
        <v>77</v>
      </c>
      <c r="N2401" t="s">
        <v>40</v>
      </c>
      <c r="O2401" t="s">
        <v>247</v>
      </c>
      <c r="P2401" t="s">
        <v>30</v>
      </c>
      <c r="Q2401" t="s">
        <v>31</v>
      </c>
      <c r="R2401">
        <v>82409</v>
      </c>
      <c r="S2401" t="s">
        <v>74</v>
      </c>
      <c r="T2401">
        <v>82664</v>
      </c>
      <c r="U2401" t="s">
        <v>75</v>
      </c>
      <c r="V2401" t="s">
        <v>75</v>
      </c>
      <c r="W2401" t="s">
        <v>74</v>
      </c>
      <c r="X2401" t="s">
        <v>74</v>
      </c>
      <c r="Y2401" s="9">
        <f t="shared" si="112"/>
        <v>4.7E-2</v>
      </c>
      <c r="Z2401" t="str">
        <f t="shared" si="113"/>
        <v>สแกนต่าง Cost</v>
      </c>
    </row>
    <row r="2402" spans="1:26" x14ac:dyDescent="0.45">
      <c r="B2402" t="s">
        <v>53</v>
      </c>
      <c r="C2402">
        <v>20310532</v>
      </c>
      <c r="D2402" t="s">
        <v>61</v>
      </c>
      <c r="E2402" s="10">
        <v>46117.041666666664</v>
      </c>
      <c r="F2402" s="10">
        <v>46117.229166666664</v>
      </c>
      <c r="G2402">
        <v>4.5</v>
      </c>
      <c r="H2402" s="9">
        <f t="shared" si="111"/>
        <v>2.4E-2</v>
      </c>
      <c r="L2402">
        <v>2.4E-2</v>
      </c>
      <c r="M2402" t="s">
        <v>255</v>
      </c>
      <c r="N2402" t="s">
        <v>29</v>
      </c>
      <c r="P2402" t="s">
        <v>30</v>
      </c>
      <c r="Q2402" t="s">
        <v>31</v>
      </c>
      <c r="R2402">
        <v>82640</v>
      </c>
      <c r="S2402" t="s">
        <v>42</v>
      </c>
      <c r="T2402">
        <v>82630</v>
      </c>
      <c r="U2402" t="s">
        <v>32</v>
      </c>
      <c r="V2402" t="s">
        <v>66</v>
      </c>
      <c r="W2402" t="s">
        <v>44</v>
      </c>
      <c r="X2402" t="s">
        <v>44</v>
      </c>
      <c r="Y2402" s="9">
        <f t="shared" si="112"/>
        <v>2.4E-2</v>
      </c>
      <c r="Z2402" t="str">
        <f t="shared" si="113"/>
        <v>สแกนต่าง Cost</v>
      </c>
    </row>
    <row r="2403" spans="1:26" x14ac:dyDescent="0.45">
      <c r="A2403">
        <v>25933</v>
      </c>
      <c r="B2403" t="s">
        <v>53</v>
      </c>
      <c r="C2403">
        <v>20049568</v>
      </c>
      <c r="D2403" t="s">
        <v>368</v>
      </c>
      <c r="E2403" s="10">
        <v>46116.857638888891</v>
      </c>
      <c r="F2403" s="10">
        <v>46117.325694444444</v>
      </c>
      <c r="G2403">
        <v>11.233333333333333</v>
      </c>
      <c r="H2403" s="9">
        <f t="shared" si="111"/>
        <v>0.06</v>
      </c>
      <c r="I2403">
        <v>4.4999999999999998E-2</v>
      </c>
      <c r="K2403">
        <v>1.4999999999999999E-2</v>
      </c>
      <c r="M2403" t="s">
        <v>28</v>
      </c>
      <c r="N2403" t="s">
        <v>40</v>
      </c>
      <c r="O2403" t="s">
        <v>41</v>
      </c>
      <c r="P2403" t="s">
        <v>30</v>
      </c>
      <c r="Q2403" t="s">
        <v>31</v>
      </c>
      <c r="R2403">
        <v>82630</v>
      </c>
      <c r="S2403" t="s">
        <v>32</v>
      </c>
      <c r="T2403">
        <v>82658</v>
      </c>
      <c r="U2403" t="s">
        <v>33</v>
      </c>
      <c r="V2403" t="s">
        <v>33</v>
      </c>
      <c r="W2403" t="s">
        <v>37</v>
      </c>
      <c r="X2403" t="s">
        <v>38</v>
      </c>
      <c r="Y2403" s="9">
        <f t="shared" si="112"/>
        <v>1.4999999999999999E-2</v>
      </c>
      <c r="Z2403" t="str">
        <f t="shared" si="113"/>
        <v>สแกนต่าง Cost</v>
      </c>
    </row>
    <row r="2404" spans="1:26" x14ac:dyDescent="0.45">
      <c r="A2404">
        <v>25932</v>
      </c>
      <c r="B2404" t="s">
        <v>53</v>
      </c>
      <c r="C2404">
        <v>20319535</v>
      </c>
      <c r="D2404" t="s">
        <v>36</v>
      </c>
      <c r="E2404" s="10">
        <v>46116.856944444444</v>
      </c>
      <c r="F2404" s="10">
        <v>46117.325694444444</v>
      </c>
      <c r="G2404">
        <v>11.25</v>
      </c>
      <c r="H2404" s="9">
        <f t="shared" si="111"/>
        <v>0.06</v>
      </c>
      <c r="I2404">
        <v>4.4999999999999998E-2</v>
      </c>
      <c r="K2404">
        <v>1.4999999999999999E-2</v>
      </c>
      <c r="M2404" t="s">
        <v>28</v>
      </c>
      <c r="N2404" t="s">
        <v>40</v>
      </c>
      <c r="O2404" t="s">
        <v>41</v>
      </c>
      <c r="P2404" t="s">
        <v>30</v>
      </c>
      <c r="Q2404" t="s">
        <v>31</v>
      </c>
      <c r="R2404">
        <v>82630</v>
      </c>
      <c r="S2404" t="s">
        <v>32</v>
      </c>
      <c r="T2404">
        <v>82658</v>
      </c>
      <c r="U2404" t="s">
        <v>33</v>
      </c>
      <c r="V2404" t="s">
        <v>33</v>
      </c>
      <c r="W2404" t="s">
        <v>37</v>
      </c>
      <c r="X2404" t="s">
        <v>38</v>
      </c>
      <c r="Y2404" s="9">
        <f t="shared" si="112"/>
        <v>1.4999999999999999E-2</v>
      </c>
      <c r="Z2404" t="str">
        <f t="shared" si="113"/>
        <v>สแกนต่าง Cost</v>
      </c>
    </row>
    <row r="2405" spans="1:26" x14ac:dyDescent="0.45">
      <c r="A2405">
        <v>25928</v>
      </c>
      <c r="B2405" t="s">
        <v>53</v>
      </c>
      <c r="C2405">
        <v>20319542</v>
      </c>
      <c r="D2405" t="s">
        <v>379</v>
      </c>
      <c r="E2405" s="10">
        <v>46116.849305555559</v>
      </c>
      <c r="F2405" s="10">
        <v>46117.227777777778</v>
      </c>
      <c r="G2405">
        <v>8.0833333333333339</v>
      </c>
      <c r="H2405" s="9">
        <f t="shared" si="111"/>
        <v>4.2999999999999997E-2</v>
      </c>
      <c r="I2405">
        <v>4.2999999999999997E-2</v>
      </c>
      <c r="M2405" t="s">
        <v>65</v>
      </c>
      <c r="N2405" t="s">
        <v>29</v>
      </c>
      <c r="P2405" t="s">
        <v>30</v>
      </c>
      <c r="Q2405" t="s">
        <v>31</v>
      </c>
      <c r="R2405">
        <v>82630</v>
      </c>
      <c r="S2405" t="s">
        <v>32</v>
      </c>
      <c r="T2405">
        <v>82658</v>
      </c>
      <c r="U2405" t="s">
        <v>33</v>
      </c>
      <c r="V2405" t="s">
        <v>33</v>
      </c>
      <c r="W2405" t="s">
        <v>34</v>
      </c>
      <c r="X2405" t="s">
        <v>34</v>
      </c>
      <c r="Y2405" s="9">
        <f t="shared" si="112"/>
        <v>0</v>
      </c>
      <c r="Z2405" t="str">
        <f t="shared" si="113"/>
        <v>สแกนต่าง Cost</v>
      </c>
    </row>
    <row r="2406" spans="1:26" x14ac:dyDescent="0.45">
      <c r="A2406">
        <v>25929</v>
      </c>
      <c r="B2406" t="s">
        <v>53</v>
      </c>
      <c r="C2406">
        <v>20344532</v>
      </c>
      <c r="D2406" t="s">
        <v>186</v>
      </c>
      <c r="E2406" s="10">
        <v>46116.849305555559</v>
      </c>
      <c r="F2406" s="10">
        <v>46117.327777777777</v>
      </c>
      <c r="G2406">
        <v>11.483333333333333</v>
      </c>
      <c r="H2406" s="9">
        <f t="shared" si="111"/>
        <v>6.0999999999999999E-2</v>
      </c>
      <c r="I2406">
        <v>4.4999999999999998E-2</v>
      </c>
      <c r="K2406">
        <v>1.6E-2</v>
      </c>
      <c r="M2406" t="s">
        <v>28</v>
      </c>
      <c r="N2406" t="s">
        <v>40</v>
      </c>
      <c r="O2406" t="s">
        <v>41</v>
      </c>
      <c r="P2406" t="s">
        <v>30</v>
      </c>
      <c r="Q2406" t="s">
        <v>31</v>
      </c>
      <c r="R2406">
        <v>82630</v>
      </c>
      <c r="S2406" t="s">
        <v>32</v>
      </c>
      <c r="T2406">
        <v>82658</v>
      </c>
      <c r="U2406" t="s">
        <v>33</v>
      </c>
      <c r="V2406" t="s">
        <v>33</v>
      </c>
      <c r="W2406" t="s">
        <v>34</v>
      </c>
      <c r="X2406" t="s">
        <v>34</v>
      </c>
      <c r="Y2406" s="9">
        <f t="shared" si="112"/>
        <v>1.6E-2</v>
      </c>
      <c r="Z2406" t="str">
        <f t="shared" si="113"/>
        <v>สแกนต่าง Cost</v>
      </c>
    </row>
    <row r="2407" spans="1:26" x14ac:dyDescent="0.45">
      <c r="B2407" t="s">
        <v>53</v>
      </c>
      <c r="C2407">
        <v>20310532</v>
      </c>
      <c r="D2407" t="s">
        <v>61</v>
      </c>
      <c r="E2407" s="10">
        <v>46116.833333333336</v>
      </c>
      <c r="F2407" s="10">
        <v>46117</v>
      </c>
      <c r="G2407">
        <v>4</v>
      </c>
      <c r="H2407" s="9">
        <f t="shared" si="111"/>
        <v>2.1000000000000001E-2</v>
      </c>
      <c r="J2407">
        <v>2.1000000000000001E-2</v>
      </c>
      <c r="M2407" t="s">
        <v>77</v>
      </c>
      <c r="N2407" t="s">
        <v>40</v>
      </c>
      <c r="O2407" t="s">
        <v>78</v>
      </c>
      <c r="P2407" t="s">
        <v>30</v>
      </c>
      <c r="Q2407" t="s">
        <v>31</v>
      </c>
      <c r="R2407">
        <v>82640</v>
      </c>
      <c r="S2407" t="s">
        <v>42</v>
      </c>
      <c r="T2407">
        <v>82630</v>
      </c>
      <c r="U2407" t="s">
        <v>32</v>
      </c>
      <c r="V2407" t="s">
        <v>66</v>
      </c>
      <c r="W2407" t="s">
        <v>44</v>
      </c>
      <c r="X2407" t="s">
        <v>44</v>
      </c>
      <c r="Y2407" s="9">
        <f t="shared" si="112"/>
        <v>2.1000000000000001E-2</v>
      </c>
      <c r="Z2407" t="str">
        <f t="shared" si="113"/>
        <v>สแกนต่าง Cost</v>
      </c>
    </row>
    <row r="2408" spans="1:26" x14ac:dyDescent="0.45">
      <c r="A2408">
        <v>25924</v>
      </c>
      <c r="B2408" t="s">
        <v>53</v>
      </c>
      <c r="C2408">
        <v>20034645</v>
      </c>
      <c r="D2408" t="s">
        <v>359</v>
      </c>
      <c r="E2408" s="10">
        <v>46116.793749999997</v>
      </c>
      <c r="F2408" s="10">
        <v>46116.951388888891</v>
      </c>
      <c r="G2408">
        <v>3.7833333333333332</v>
      </c>
      <c r="H2408" s="9">
        <f t="shared" si="111"/>
        <v>0.02</v>
      </c>
      <c r="J2408">
        <v>0.02</v>
      </c>
      <c r="M2408" t="s">
        <v>77</v>
      </c>
      <c r="N2408" t="s">
        <v>40</v>
      </c>
      <c r="O2408" t="s">
        <v>78</v>
      </c>
      <c r="P2408" t="s">
        <v>30</v>
      </c>
      <c r="Q2408" t="s">
        <v>31</v>
      </c>
      <c r="R2408">
        <v>82652</v>
      </c>
      <c r="S2408" t="s">
        <v>46</v>
      </c>
      <c r="T2408">
        <v>82658</v>
      </c>
      <c r="U2408" t="s">
        <v>33</v>
      </c>
      <c r="V2408" t="s">
        <v>33</v>
      </c>
      <c r="W2408" t="s">
        <v>37</v>
      </c>
      <c r="X2408" t="s">
        <v>38</v>
      </c>
      <c r="Y2408" s="9">
        <f t="shared" si="112"/>
        <v>0.02</v>
      </c>
      <c r="Z2408" t="str">
        <f t="shared" si="113"/>
        <v>สแกนต่าง Cost</v>
      </c>
    </row>
    <row r="2409" spans="1:26" x14ac:dyDescent="0.45">
      <c r="A2409">
        <v>25923</v>
      </c>
      <c r="B2409" t="s">
        <v>53</v>
      </c>
      <c r="C2409">
        <v>20039177</v>
      </c>
      <c r="D2409" t="s">
        <v>188</v>
      </c>
      <c r="E2409" s="10">
        <v>46116.748611111114</v>
      </c>
      <c r="F2409" s="10">
        <v>46116.927777777775</v>
      </c>
      <c r="G2409">
        <v>4.3</v>
      </c>
      <c r="H2409" s="9">
        <f t="shared" si="111"/>
        <v>2.3E-2</v>
      </c>
      <c r="L2409">
        <v>2.3E-2</v>
      </c>
      <c r="M2409" t="s">
        <v>255</v>
      </c>
      <c r="N2409" t="s">
        <v>40</v>
      </c>
      <c r="O2409" t="s">
        <v>140</v>
      </c>
      <c r="P2409" t="s">
        <v>30</v>
      </c>
      <c r="Q2409" t="s">
        <v>31</v>
      </c>
      <c r="R2409">
        <v>82655</v>
      </c>
      <c r="S2409" t="s">
        <v>59</v>
      </c>
      <c r="T2409">
        <v>82658</v>
      </c>
      <c r="U2409" t="s">
        <v>33</v>
      </c>
      <c r="V2409" t="s">
        <v>33</v>
      </c>
      <c r="W2409" t="s">
        <v>37</v>
      </c>
      <c r="X2409" t="s">
        <v>38</v>
      </c>
      <c r="Y2409" s="9">
        <f t="shared" si="112"/>
        <v>2.3E-2</v>
      </c>
      <c r="Z2409" t="str">
        <f t="shared" si="113"/>
        <v>สแกนต่าง Cost</v>
      </c>
    </row>
    <row r="2410" spans="1:26" x14ac:dyDescent="0.45">
      <c r="A2410">
        <v>25921</v>
      </c>
      <c r="B2410" t="s">
        <v>53</v>
      </c>
      <c r="C2410">
        <v>20198805</v>
      </c>
      <c r="D2410" t="s">
        <v>211</v>
      </c>
      <c r="E2410" s="10">
        <v>46116.743750000001</v>
      </c>
      <c r="F2410" s="10">
        <v>46116.909722222219</v>
      </c>
      <c r="G2410">
        <v>3.9833333333333334</v>
      </c>
      <c r="H2410" s="9">
        <f t="shared" si="111"/>
        <v>2.1000000000000001E-2</v>
      </c>
      <c r="L2410">
        <v>2.1000000000000001E-2</v>
      </c>
      <c r="M2410" t="s">
        <v>255</v>
      </c>
      <c r="N2410" t="s">
        <v>40</v>
      </c>
      <c r="O2410" t="s">
        <v>140</v>
      </c>
      <c r="P2410" t="s">
        <v>30</v>
      </c>
      <c r="Q2410" t="s">
        <v>31</v>
      </c>
      <c r="R2410">
        <v>82652</v>
      </c>
      <c r="S2410" t="s">
        <v>46</v>
      </c>
      <c r="T2410">
        <v>82658</v>
      </c>
      <c r="U2410" t="s">
        <v>33</v>
      </c>
      <c r="V2410" t="s">
        <v>33</v>
      </c>
      <c r="W2410" t="s">
        <v>37</v>
      </c>
      <c r="X2410" t="s">
        <v>38</v>
      </c>
      <c r="Y2410" s="9">
        <f t="shared" si="112"/>
        <v>2.1000000000000001E-2</v>
      </c>
      <c r="Z2410" t="str">
        <f t="shared" si="113"/>
        <v>สแกนต่าง Cost</v>
      </c>
    </row>
    <row r="2411" spans="1:26" x14ac:dyDescent="0.45">
      <c r="A2411">
        <v>25920</v>
      </c>
      <c r="B2411" t="s">
        <v>53</v>
      </c>
      <c r="C2411">
        <v>20197492</v>
      </c>
      <c r="D2411" t="s">
        <v>268</v>
      </c>
      <c r="E2411" s="10">
        <v>46116.743055555555</v>
      </c>
      <c r="F2411" s="10">
        <v>46116.910416666666</v>
      </c>
      <c r="G2411">
        <v>4.0166666666666666</v>
      </c>
      <c r="H2411" s="9">
        <f t="shared" si="111"/>
        <v>2.1000000000000001E-2</v>
      </c>
      <c r="L2411">
        <v>2.1000000000000001E-2</v>
      </c>
      <c r="M2411" t="s">
        <v>255</v>
      </c>
      <c r="N2411" t="s">
        <v>40</v>
      </c>
      <c r="O2411" t="s">
        <v>140</v>
      </c>
      <c r="P2411" t="s">
        <v>30</v>
      </c>
      <c r="Q2411" t="s">
        <v>31</v>
      </c>
      <c r="R2411">
        <v>82652</v>
      </c>
      <c r="S2411" t="s">
        <v>46</v>
      </c>
      <c r="T2411">
        <v>82658</v>
      </c>
      <c r="U2411" t="s">
        <v>33</v>
      </c>
      <c r="V2411" t="s">
        <v>33</v>
      </c>
      <c r="W2411" t="s">
        <v>37</v>
      </c>
      <c r="X2411" t="s">
        <v>38</v>
      </c>
      <c r="Y2411" s="9">
        <f t="shared" si="112"/>
        <v>2.1000000000000001E-2</v>
      </c>
      <c r="Z2411" t="str">
        <f t="shared" si="113"/>
        <v>สแกนต่าง Cost</v>
      </c>
    </row>
    <row r="2412" spans="1:26" x14ac:dyDescent="0.45">
      <c r="A2412">
        <v>25919</v>
      </c>
      <c r="B2412" t="s">
        <v>53</v>
      </c>
      <c r="C2412">
        <v>20344542</v>
      </c>
      <c r="D2412" t="s">
        <v>384</v>
      </c>
      <c r="E2412" s="10">
        <v>46116.742361111108</v>
      </c>
      <c r="F2412" s="10">
        <v>46116.909722222219</v>
      </c>
      <c r="G2412">
        <v>4.0166666666666666</v>
      </c>
      <c r="H2412" s="9">
        <f t="shared" si="111"/>
        <v>2.1000000000000001E-2</v>
      </c>
      <c r="L2412">
        <v>2.1000000000000001E-2</v>
      </c>
      <c r="M2412" t="s">
        <v>255</v>
      </c>
      <c r="N2412" t="s">
        <v>40</v>
      </c>
      <c r="O2412" t="s">
        <v>140</v>
      </c>
      <c r="P2412" t="s">
        <v>30</v>
      </c>
      <c r="Q2412" t="s">
        <v>31</v>
      </c>
      <c r="R2412">
        <v>82655</v>
      </c>
      <c r="S2412" t="s">
        <v>59</v>
      </c>
      <c r="T2412">
        <v>82658</v>
      </c>
      <c r="U2412" t="s">
        <v>33</v>
      </c>
      <c r="V2412" t="s">
        <v>33</v>
      </c>
      <c r="W2412" t="s">
        <v>37</v>
      </c>
      <c r="X2412" t="s">
        <v>38</v>
      </c>
      <c r="Y2412" s="9">
        <f t="shared" si="112"/>
        <v>2.1000000000000001E-2</v>
      </c>
      <c r="Z2412" t="str">
        <f t="shared" si="113"/>
        <v>สแกนต่าง Cost</v>
      </c>
    </row>
    <row r="2413" spans="1:26" x14ac:dyDescent="0.45">
      <c r="A2413">
        <v>25917</v>
      </c>
      <c r="B2413" t="s">
        <v>53</v>
      </c>
      <c r="C2413">
        <v>20198811</v>
      </c>
      <c r="D2413" t="s">
        <v>144</v>
      </c>
      <c r="E2413" s="10">
        <v>46116.741666666669</v>
      </c>
      <c r="F2413" s="10">
        <v>46116.905555555553</v>
      </c>
      <c r="G2413">
        <v>3.9333333333333331</v>
      </c>
      <c r="H2413" s="9">
        <f t="shared" si="111"/>
        <v>2.1000000000000001E-2</v>
      </c>
      <c r="L2413">
        <v>2.1000000000000001E-2</v>
      </c>
      <c r="M2413" t="s">
        <v>255</v>
      </c>
      <c r="N2413" t="s">
        <v>40</v>
      </c>
      <c r="O2413" t="s">
        <v>140</v>
      </c>
      <c r="P2413" t="s">
        <v>30</v>
      </c>
      <c r="Q2413" t="s">
        <v>31</v>
      </c>
      <c r="R2413">
        <v>82652</v>
      </c>
      <c r="S2413" t="s">
        <v>46</v>
      </c>
      <c r="T2413">
        <v>82658</v>
      </c>
      <c r="U2413" t="s">
        <v>33</v>
      </c>
      <c r="V2413" t="s">
        <v>33</v>
      </c>
      <c r="W2413" t="s">
        <v>37</v>
      </c>
      <c r="X2413" t="s">
        <v>38</v>
      </c>
      <c r="Y2413" s="9">
        <f t="shared" si="112"/>
        <v>2.1000000000000001E-2</v>
      </c>
      <c r="Z2413" t="str">
        <f t="shared" si="113"/>
        <v>สแกนต่าง Cost</v>
      </c>
    </row>
    <row r="2414" spans="1:26" x14ac:dyDescent="0.45">
      <c r="A2414">
        <v>25918</v>
      </c>
      <c r="B2414" t="s">
        <v>53</v>
      </c>
      <c r="C2414">
        <v>20386852</v>
      </c>
      <c r="D2414" t="s">
        <v>48</v>
      </c>
      <c r="E2414" s="10">
        <v>46116.741666666669</v>
      </c>
      <c r="F2414" s="10">
        <v>46116.909722222219</v>
      </c>
      <c r="G2414">
        <v>4.0333333333333332</v>
      </c>
      <c r="H2414" s="9">
        <f t="shared" si="111"/>
        <v>2.1999999999999999E-2</v>
      </c>
      <c r="L2414">
        <v>2.1999999999999999E-2</v>
      </c>
      <c r="M2414" t="s">
        <v>255</v>
      </c>
      <c r="N2414" t="s">
        <v>40</v>
      </c>
      <c r="O2414" t="s">
        <v>140</v>
      </c>
      <c r="P2414" t="s">
        <v>30</v>
      </c>
      <c r="Q2414" t="s">
        <v>31</v>
      </c>
      <c r="R2414">
        <v>82655</v>
      </c>
      <c r="S2414" t="s">
        <v>59</v>
      </c>
      <c r="T2414">
        <v>82658</v>
      </c>
      <c r="U2414" t="s">
        <v>33</v>
      </c>
      <c r="V2414" t="s">
        <v>33</v>
      </c>
      <c r="W2414" t="s">
        <v>37</v>
      </c>
      <c r="X2414" t="s">
        <v>38</v>
      </c>
      <c r="Y2414" s="9">
        <f t="shared" si="112"/>
        <v>2.1999999999999999E-2</v>
      </c>
      <c r="Z2414" t="str">
        <f t="shared" si="113"/>
        <v>สแกนต่าง Cost</v>
      </c>
    </row>
    <row r="2415" spans="1:26" x14ac:dyDescent="0.45">
      <c r="A2415">
        <v>25916</v>
      </c>
      <c r="B2415" t="s">
        <v>53</v>
      </c>
      <c r="C2415">
        <v>20039227</v>
      </c>
      <c r="D2415" t="s">
        <v>58</v>
      </c>
      <c r="E2415" s="10">
        <v>46116.731944444444</v>
      </c>
      <c r="F2415" s="10">
        <v>46116.916666666664</v>
      </c>
      <c r="G2415">
        <v>4.4333333333333336</v>
      </c>
      <c r="H2415" s="9">
        <f t="shared" si="111"/>
        <v>2.4E-2</v>
      </c>
      <c r="L2415">
        <v>2.4E-2</v>
      </c>
      <c r="M2415" t="s">
        <v>255</v>
      </c>
      <c r="N2415" t="s">
        <v>40</v>
      </c>
      <c r="O2415" t="s">
        <v>140</v>
      </c>
      <c r="P2415" t="s">
        <v>30</v>
      </c>
      <c r="Q2415" t="s">
        <v>31</v>
      </c>
      <c r="R2415">
        <v>82652</v>
      </c>
      <c r="S2415" t="s">
        <v>46</v>
      </c>
      <c r="T2415">
        <v>82658</v>
      </c>
      <c r="U2415" t="s">
        <v>33</v>
      </c>
      <c r="V2415" t="s">
        <v>33</v>
      </c>
      <c r="W2415" t="s">
        <v>37</v>
      </c>
      <c r="X2415" t="s">
        <v>38</v>
      </c>
      <c r="Y2415" s="9">
        <f t="shared" si="112"/>
        <v>2.4E-2</v>
      </c>
      <c r="Z2415" t="str">
        <f t="shared" si="113"/>
        <v>สแกนต่าง Cost</v>
      </c>
    </row>
    <row r="2416" spans="1:26" x14ac:dyDescent="0.45">
      <c r="A2416">
        <v>25915</v>
      </c>
      <c r="B2416" t="s">
        <v>53</v>
      </c>
      <c r="C2416">
        <v>20334399</v>
      </c>
      <c r="D2416" t="s">
        <v>237</v>
      </c>
      <c r="E2416" s="10">
        <v>46116.725694444445</v>
      </c>
      <c r="F2416" s="10">
        <v>46116.729166666664</v>
      </c>
      <c r="G2416">
        <v>8.3333333333333329E-2</v>
      </c>
      <c r="H2416" s="9">
        <f t="shared" si="111"/>
        <v>0</v>
      </c>
      <c r="J2416">
        <v>0</v>
      </c>
      <c r="M2416" t="s">
        <v>77</v>
      </c>
      <c r="N2416" t="s">
        <v>40</v>
      </c>
      <c r="O2416" t="s">
        <v>78</v>
      </c>
      <c r="P2416" t="s">
        <v>30</v>
      </c>
      <c r="Q2416" t="s">
        <v>31</v>
      </c>
      <c r="R2416">
        <v>82301</v>
      </c>
      <c r="S2416" t="s">
        <v>79</v>
      </c>
      <c r="T2416">
        <v>82658</v>
      </c>
      <c r="U2416" t="s">
        <v>33</v>
      </c>
      <c r="V2416" t="s">
        <v>33</v>
      </c>
      <c r="W2416" t="s">
        <v>37</v>
      </c>
      <c r="X2416" t="s">
        <v>38</v>
      </c>
      <c r="Y2416" s="9">
        <f t="shared" si="112"/>
        <v>0</v>
      </c>
      <c r="Z2416" t="str">
        <f t="shared" si="113"/>
        <v>สแกนต่าง Cost</v>
      </c>
    </row>
    <row r="2417" spans="1:26" x14ac:dyDescent="0.45">
      <c r="A2417">
        <v>25914</v>
      </c>
      <c r="B2417" t="s">
        <v>53</v>
      </c>
      <c r="C2417">
        <v>20344817</v>
      </c>
      <c r="D2417" t="s">
        <v>217</v>
      </c>
      <c r="E2417" s="10">
        <v>46116.723611111112</v>
      </c>
      <c r="F2417" s="10">
        <v>46116.82708333333</v>
      </c>
      <c r="G2417">
        <v>2.4833333333333334</v>
      </c>
      <c r="H2417" s="9">
        <f t="shared" si="111"/>
        <v>1.2999999999999999E-2</v>
      </c>
      <c r="L2417">
        <v>1.2999999999999999E-2</v>
      </c>
      <c r="M2417" t="s">
        <v>255</v>
      </c>
      <c r="N2417" t="s">
        <v>40</v>
      </c>
      <c r="O2417" t="s">
        <v>41</v>
      </c>
      <c r="P2417" t="s">
        <v>30</v>
      </c>
      <c r="Q2417" t="s">
        <v>31</v>
      </c>
      <c r="R2417">
        <v>82655</v>
      </c>
      <c r="S2417" t="s">
        <v>59</v>
      </c>
      <c r="T2417">
        <v>82658</v>
      </c>
      <c r="U2417" t="s">
        <v>33</v>
      </c>
      <c r="V2417" t="s">
        <v>33</v>
      </c>
      <c r="W2417" t="s">
        <v>34</v>
      </c>
      <c r="X2417" t="s">
        <v>34</v>
      </c>
      <c r="Y2417" s="9">
        <f t="shared" si="112"/>
        <v>1.2999999999999999E-2</v>
      </c>
      <c r="Z2417" t="str">
        <f t="shared" si="113"/>
        <v>สแกนต่าง Cost</v>
      </c>
    </row>
    <row r="2418" spans="1:26" x14ac:dyDescent="0.45">
      <c r="A2418">
        <v>27309</v>
      </c>
      <c r="B2418" t="s">
        <v>53</v>
      </c>
      <c r="C2418">
        <v>20047023</v>
      </c>
      <c r="D2418" t="s">
        <v>271</v>
      </c>
      <c r="E2418" s="10">
        <v>46116.723078703704</v>
      </c>
      <c r="F2418" s="10">
        <v>46116.729166666664</v>
      </c>
      <c r="G2418">
        <v>0.14611111111111111</v>
      </c>
      <c r="H2418" s="9">
        <f t="shared" si="111"/>
        <v>1E-3</v>
      </c>
      <c r="I2418">
        <v>1E-3</v>
      </c>
      <c r="M2418" t="s">
        <v>77</v>
      </c>
      <c r="N2418" t="s">
        <v>40</v>
      </c>
      <c r="O2418" t="s">
        <v>78</v>
      </c>
      <c r="P2418" t="s">
        <v>30</v>
      </c>
      <c r="Q2418" t="s">
        <v>31</v>
      </c>
      <c r="R2418">
        <v>82607</v>
      </c>
      <c r="S2418" t="s">
        <v>168</v>
      </c>
      <c r="T2418">
        <v>82630</v>
      </c>
      <c r="U2418" t="s">
        <v>32</v>
      </c>
      <c r="V2418" t="s">
        <v>155</v>
      </c>
      <c r="W2418" t="s">
        <v>148</v>
      </c>
      <c r="X2418" t="s">
        <v>95</v>
      </c>
      <c r="Y2418" s="9">
        <f t="shared" si="112"/>
        <v>0</v>
      </c>
      <c r="Z2418" t="str">
        <f t="shared" si="113"/>
        <v>สแกนต่าง Cost</v>
      </c>
    </row>
    <row r="2419" spans="1:26" x14ac:dyDescent="0.45">
      <c r="A2419">
        <v>25912</v>
      </c>
      <c r="B2419" t="s">
        <v>53</v>
      </c>
      <c r="C2419">
        <v>20038749</v>
      </c>
      <c r="D2419" t="s">
        <v>218</v>
      </c>
      <c r="E2419" s="10">
        <v>46116.722916666666</v>
      </c>
      <c r="F2419" s="10">
        <v>46116.909722222219</v>
      </c>
      <c r="G2419">
        <v>4.4833333333333334</v>
      </c>
      <c r="H2419" s="9">
        <f t="shared" si="111"/>
        <v>2.4E-2</v>
      </c>
      <c r="L2419">
        <v>2.4E-2</v>
      </c>
      <c r="M2419" t="s">
        <v>255</v>
      </c>
      <c r="N2419" t="s">
        <v>40</v>
      </c>
      <c r="O2419" t="s">
        <v>140</v>
      </c>
      <c r="P2419" t="s">
        <v>30</v>
      </c>
      <c r="Q2419" t="s">
        <v>31</v>
      </c>
      <c r="R2419">
        <v>82680</v>
      </c>
      <c r="S2419" t="s">
        <v>50</v>
      </c>
      <c r="T2419">
        <v>82658</v>
      </c>
      <c r="U2419" t="s">
        <v>33</v>
      </c>
      <c r="V2419" t="s">
        <v>33</v>
      </c>
      <c r="W2419" t="s">
        <v>34</v>
      </c>
      <c r="X2419" t="s">
        <v>34</v>
      </c>
      <c r="Y2419" s="9">
        <f t="shared" si="112"/>
        <v>2.4E-2</v>
      </c>
      <c r="Z2419" t="str">
        <f t="shared" si="113"/>
        <v>สแกนต่าง Cost</v>
      </c>
    </row>
    <row r="2420" spans="1:26" x14ac:dyDescent="0.45">
      <c r="A2420">
        <v>25975</v>
      </c>
      <c r="B2420" t="s">
        <v>53</v>
      </c>
      <c r="C2420">
        <v>20002403</v>
      </c>
      <c r="D2420" t="s">
        <v>367</v>
      </c>
      <c r="E2420" s="10">
        <v>46116.722222222219</v>
      </c>
      <c r="F2420" s="10">
        <v>46116.729166666664</v>
      </c>
      <c r="G2420">
        <v>0.16666666666666666</v>
      </c>
      <c r="H2420" s="9">
        <f t="shared" si="111"/>
        <v>1E-3</v>
      </c>
      <c r="I2420">
        <v>1E-3</v>
      </c>
      <c r="M2420" t="s">
        <v>65</v>
      </c>
      <c r="N2420" t="s">
        <v>29</v>
      </c>
      <c r="P2420" t="s">
        <v>30</v>
      </c>
      <c r="Q2420" t="s">
        <v>31</v>
      </c>
      <c r="R2420">
        <v>82308</v>
      </c>
      <c r="S2420" t="s">
        <v>69</v>
      </c>
      <c r="T2420">
        <v>82658</v>
      </c>
      <c r="U2420" t="s">
        <v>33</v>
      </c>
      <c r="V2420" t="s">
        <v>33</v>
      </c>
      <c r="W2420" t="s">
        <v>37</v>
      </c>
      <c r="X2420" t="s">
        <v>38</v>
      </c>
      <c r="Y2420" s="9">
        <f t="shared" si="112"/>
        <v>0</v>
      </c>
      <c r="Z2420" t="str">
        <f t="shared" si="113"/>
        <v>สแกนต่าง Cost</v>
      </c>
    </row>
    <row r="2421" spans="1:26" x14ac:dyDescent="0.45">
      <c r="B2421" t="s">
        <v>53</v>
      </c>
      <c r="C2421">
        <v>20310530</v>
      </c>
      <c r="D2421" t="s">
        <v>220</v>
      </c>
      <c r="E2421" s="10">
        <v>46116.708333333336</v>
      </c>
      <c r="F2421" s="10">
        <v>46116.729166666664</v>
      </c>
      <c r="G2421">
        <v>0.5</v>
      </c>
      <c r="H2421" s="9">
        <f t="shared" si="111"/>
        <v>3.0000000000000001E-3</v>
      </c>
      <c r="J2421">
        <v>3.0000000000000001E-3</v>
      </c>
      <c r="M2421" t="s">
        <v>77</v>
      </c>
      <c r="N2421" t="s">
        <v>40</v>
      </c>
      <c r="O2421" t="s">
        <v>78</v>
      </c>
      <c r="P2421" t="s">
        <v>30</v>
      </c>
      <c r="Q2421" t="s">
        <v>31</v>
      </c>
      <c r="R2421">
        <v>82640</v>
      </c>
      <c r="S2421" t="s">
        <v>42</v>
      </c>
      <c r="T2421">
        <v>82630</v>
      </c>
      <c r="U2421" t="s">
        <v>32</v>
      </c>
      <c r="V2421" t="s">
        <v>66</v>
      </c>
      <c r="W2421" t="s">
        <v>44</v>
      </c>
      <c r="X2421" t="s">
        <v>44</v>
      </c>
      <c r="Y2421" s="9">
        <f t="shared" si="112"/>
        <v>3.0000000000000001E-3</v>
      </c>
      <c r="Z2421" t="str">
        <f t="shared" si="113"/>
        <v>สแกนต่าง Cost</v>
      </c>
    </row>
    <row r="2422" spans="1:26" x14ac:dyDescent="0.45">
      <c r="B2422" t="s">
        <v>53</v>
      </c>
      <c r="C2422">
        <v>20026534</v>
      </c>
      <c r="D2422" t="s">
        <v>279</v>
      </c>
      <c r="E2422" s="10">
        <v>46116.6875</v>
      </c>
      <c r="F2422" s="10">
        <v>46116.729166666664</v>
      </c>
      <c r="G2422">
        <v>1</v>
      </c>
      <c r="H2422" s="9">
        <f t="shared" si="111"/>
        <v>5.0000000000000001E-3</v>
      </c>
      <c r="I2422">
        <v>5.0000000000000001E-3</v>
      </c>
      <c r="M2422" t="s">
        <v>65</v>
      </c>
      <c r="N2422" t="s">
        <v>29</v>
      </c>
      <c r="P2422" t="s">
        <v>30</v>
      </c>
      <c r="Q2422" t="s">
        <v>31</v>
      </c>
      <c r="R2422">
        <v>82640</v>
      </c>
      <c r="S2422" t="s">
        <v>42</v>
      </c>
      <c r="T2422">
        <v>82630</v>
      </c>
      <c r="U2422" t="s">
        <v>32</v>
      </c>
      <c r="V2422" t="s">
        <v>66</v>
      </c>
      <c r="W2422" t="s">
        <v>44</v>
      </c>
      <c r="X2422" t="s">
        <v>44</v>
      </c>
      <c r="Y2422" s="9">
        <f t="shared" si="112"/>
        <v>0</v>
      </c>
      <c r="Z2422" t="str">
        <f t="shared" si="113"/>
        <v>สแกนต่าง Cost</v>
      </c>
    </row>
    <row r="2423" spans="1:26" x14ac:dyDescent="0.45">
      <c r="B2423" t="s">
        <v>53</v>
      </c>
      <c r="C2423">
        <v>20198839</v>
      </c>
      <c r="D2423" t="s">
        <v>258</v>
      </c>
      <c r="E2423" s="10">
        <v>46116.6875</v>
      </c>
      <c r="F2423" s="10">
        <v>46116.729166666664</v>
      </c>
      <c r="G2423">
        <v>1</v>
      </c>
      <c r="H2423" s="9">
        <f t="shared" si="111"/>
        <v>5.0000000000000001E-3</v>
      </c>
      <c r="I2423">
        <v>5.0000000000000001E-3</v>
      </c>
      <c r="M2423" t="s">
        <v>65</v>
      </c>
      <c r="N2423" t="s">
        <v>29</v>
      </c>
      <c r="P2423" t="s">
        <v>30</v>
      </c>
      <c r="Q2423" t="s">
        <v>31</v>
      </c>
      <c r="R2423">
        <v>82640</v>
      </c>
      <c r="S2423" t="s">
        <v>42</v>
      </c>
      <c r="T2423">
        <v>82611</v>
      </c>
      <c r="U2423" t="s">
        <v>43</v>
      </c>
      <c r="V2423" t="s">
        <v>66</v>
      </c>
      <c r="W2423" t="s">
        <v>44</v>
      </c>
      <c r="X2423" t="s">
        <v>44</v>
      </c>
      <c r="Y2423" s="9">
        <f t="shared" si="112"/>
        <v>0</v>
      </c>
      <c r="Z2423" t="str">
        <f t="shared" si="113"/>
        <v>สแกนต่าง Cost</v>
      </c>
    </row>
    <row r="2424" spans="1:26" x14ac:dyDescent="0.45">
      <c r="B2424" t="s">
        <v>53</v>
      </c>
      <c r="C2424">
        <v>20280718</v>
      </c>
      <c r="D2424" t="s">
        <v>256</v>
      </c>
      <c r="E2424" s="10">
        <v>46116.6875</v>
      </c>
      <c r="F2424" s="10">
        <v>46116.729166666664</v>
      </c>
      <c r="G2424">
        <v>1</v>
      </c>
      <c r="H2424" s="9">
        <f t="shared" si="111"/>
        <v>5.0000000000000001E-3</v>
      </c>
      <c r="I2424">
        <v>5.0000000000000001E-3</v>
      </c>
      <c r="M2424" t="s">
        <v>65</v>
      </c>
      <c r="N2424" t="s">
        <v>29</v>
      </c>
      <c r="P2424" t="s">
        <v>30</v>
      </c>
      <c r="Q2424" t="s">
        <v>31</v>
      </c>
      <c r="R2424">
        <v>82640</v>
      </c>
      <c r="S2424" t="s">
        <v>42</v>
      </c>
      <c r="T2424">
        <v>82611</v>
      </c>
      <c r="U2424" t="s">
        <v>43</v>
      </c>
      <c r="V2424" t="s">
        <v>66</v>
      </c>
      <c r="W2424" t="s">
        <v>44</v>
      </c>
      <c r="X2424" t="s">
        <v>44</v>
      </c>
      <c r="Y2424" s="9">
        <f t="shared" si="112"/>
        <v>0</v>
      </c>
      <c r="Z2424" t="str">
        <f t="shared" si="113"/>
        <v>สแกนต่าง Cost</v>
      </c>
    </row>
    <row r="2425" spans="1:26" x14ac:dyDescent="0.45">
      <c r="B2425" t="s">
        <v>53</v>
      </c>
      <c r="C2425">
        <v>20027956</v>
      </c>
      <c r="D2425" t="s">
        <v>214</v>
      </c>
      <c r="E2425" s="10">
        <v>46116.666666666664</v>
      </c>
      <c r="F2425" s="10">
        <v>46116.708333333336</v>
      </c>
      <c r="G2425">
        <v>1</v>
      </c>
      <c r="H2425" s="9">
        <f t="shared" si="111"/>
        <v>5.0000000000000001E-3</v>
      </c>
      <c r="J2425">
        <v>5.0000000000000001E-3</v>
      </c>
      <c r="M2425" t="s">
        <v>77</v>
      </c>
      <c r="N2425" t="s">
        <v>40</v>
      </c>
      <c r="O2425" t="s">
        <v>78</v>
      </c>
      <c r="P2425" t="s">
        <v>30</v>
      </c>
      <c r="Q2425" t="s">
        <v>31</v>
      </c>
      <c r="R2425">
        <v>82640</v>
      </c>
      <c r="S2425" t="s">
        <v>42</v>
      </c>
      <c r="T2425">
        <v>82611</v>
      </c>
      <c r="U2425" t="s">
        <v>43</v>
      </c>
      <c r="V2425" t="s">
        <v>66</v>
      </c>
      <c r="W2425" t="s">
        <v>44</v>
      </c>
      <c r="X2425" t="s">
        <v>44</v>
      </c>
      <c r="Y2425" s="9">
        <f t="shared" si="112"/>
        <v>5.0000000000000001E-3</v>
      </c>
      <c r="Z2425" t="str">
        <f t="shared" si="113"/>
        <v>สแกนต่าง Cost</v>
      </c>
    </row>
    <row r="2426" spans="1:26" x14ac:dyDescent="0.45">
      <c r="B2426" t="s">
        <v>53</v>
      </c>
      <c r="C2426">
        <v>20310530</v>
      </c>
      <c r="D2426" t="s">
        <v>220</v>
      </c>
      <c r="E2426" s="10">
        <v>46116.666666666664</v>
      </c>
      <c r="F2426" s="10">
        <v>46116.6875</v>
      </c>
      <c r="G2426">
        <v>0.5</v>
      </c>
      <c r="H2426" s="9">
        <f t="shared" si="111"/>
        <v>3.0000000000000001E-3</v>
      </c>
      <c r="J2426">
        <v>3.0000000000000001E-3</v>
      </c>
      <c r="M2426" t="s">
        <v>77</v>
      </c>
      <c r="N2426" t="s">
        <v>40</v>
      </c>
      <c r="O2426" t="s">
        <v>78</v>
      </c>
      <c r="P2426" t="s">
        <v>30</v>
      </c>
      <c r="Q2426" t="s">
        <v>31</v>
      </c>
      <c r="R2426">
        <v>82640</v>
      </c>
      <c r="S2426" t="s">
        <v>42</v>
      </c>
      <c r="T2426">
        <v>82622</v>
      </c>
      <c r="U2426" t="s">
        <v>147</v>
      </c>
      <c r="V2426" t="s">
        <v>66</v>
      </c>
      <c r="W2426" t="s">
        <v>44</v>
      </c>
      <c r="X2426" t="s">
        <v>44</v>
      </c>
      <c r="Y2426" s="9">
        <f t="shared" si="112"/>
        <v>3.0000000000000001E-3</v>
      </c>
      <c r="Z2426" t="str">
        <f t="shared" si="113"/>
        <v>สแกนต่าง Cost</v>
      </c>
    </row>
    <row r="2427" spans="1:26" x14ac:dyDescent="0.45">
      <c r="B2427" t="s">
        <v>53</v>
      </c>
      <c r="C2427">
        <v>20280718</v>
      </c>
      <c r="D2427" t="s">
        <v>256</v>
      </c>
      <c r="E2427" s="10">
        <v>46116.645833333336</v>
      </c>
      <c r="F2427" s="10">
        <v>46116.6875</v>
      </c>
      <c r="G2427">
        <v>1</v>
      </c>
      <c r="H2427" s="9">
        <f t="shared" si="111"/>
        <v>5.0000000000000001E-3</v>
      </c>
      <c r="I2427">
        <v>5.0000000000000001E-3</v>
      </c>
      <c r="M2427" t="s">
        <v>65</v>
      </c>
      <c r="N2427" t="s">
        <v>29</v>
      </c>
      <c r="P2427" t="s">
        <v>30</v>
      </c>
      <c r="Q2427" t="s">
        <v>31</v>
      </c>
      <c r="R2427">
        <v>82640</v>
      </c>
      <c r="S2427" t="s">
        <v>42</v>
      </c>
      <c r="T2427">
        <v>82612</v>
      </c>
      <c r="U2427" t="s">
        <v>153</v>
      </c>
      <c r="V2427" t="s">
        <v>66</v>
      </c>
      <c r="W2427" t="s">
        <v>44</v>
      </c>
      <c r="X2427" t="s">
        <v>44</v>
      </c>
      <c r="Y2427" s="9">
        <f t="shared" si="112"/>
        <v>0</v>
      </c>
      <c r="Z2427" t="str">
        <f t="shared" si="113"/>
        <v>สแกนต่าง Cost</v>
      </c>
    </row>
    <row r="2428" spans="1:26" x14ac:dyDescent="0.45">
      <c r="B2428" t="s">
        <v>53</v>
      </c>
      <c r="C2428">
        <v>20280718</v>
      </c>
      <c r="D2428" t="s">
        <v>256</v>
      </c>
      <c r="E2428" s="10">
        <v>46116.645833333336</v>
      </c>
      <c r="F2428" s="10">
        <v>46116.6875</v>
      </c>
      <c r="G2428">
        <v>1</v>
      </c>
      <c r="H2428" s="9">
        <f t="shared" si="111"/>
        <v>5.0000000000000001E-3</v>
      </c>
      <c r="I2428">
        <v>5.0000000000000001E-3</v>
      </c>
      <c r="M2428" t="s">
        <v>65</v>
      </c>
      <c r="N2428" t="s">
        <v>29</v>
      </c>
      <c r="P2428" t="s">
        <v>30</v>
      </c>
      <c r="Q2428" t="s">
        <v>31</v>
      </c>
      <c r="R2428">
        <v>82640</v>
      </c>
      <c r="S2428" t="s">
        <v>42</v>
      </c>
      <c r="T2428">
        <v>82630</v>
      </c>
      <c r="U2428" t="s">
        <v>32</v>
      </c>
      <c r="V2428" t="s">
        <v>66</v>
      </c>
      <c r="W2428" t="s">
        <v>44</v>
      </c>
      <c r="X2428" t="s">
        <v>44</v>
      </c>
      <c r="Y2428" s="9">
        <f t="shared" si="112"/>
        <v>0</v>
      </c>
      <c r="Z2428" t="str">
        <f t="shared" si="113"/>
        <v>สแกนต่าง Cost</v>
      </c>
    </row>
    <row r="2429" spans="1:26" x14ac:dyDescent="0.45">
      <c r="B2429" t="s">
        <v>53</v>
      </c>
      <c r="C2429">
        <v>20310530</v>
      </c>
      <c r="D2429" t="s">
        <v>220</v>
      </c>
      <c r="E2429" s="10">
        <v>46116.645833333336</v>
      </c>
      <c r="F2429" s="10">
        <v>46116.666666666664</v>
      </c>
      <c r="G2429">
        <v>0.5</v>
      </c>
      <c r="H2429" s="9">
        <f t="shared" si="111"/>
        <v>3.0000000000000001E-3</v>
      </c>
      <c r="J2429">
        <v>3.0000000000000001E-3</v>
      </c>
      <c r="M2429" t="s">
        <v>77</v>
      </c>
      <c r="N2429" t="s">
        <v>40</v>
      </c>
      <c r="O2429" t="s">
        <v>78</v>
      </c>
      <c r="P2429" t="s">
        <v>30</v>
      </c>
      <c r="Q2429" t="s">
        <v>31</v>
      </c>
      <c r="R2429">
        <v>82640</v>
      </c>
      <c r="S2429" t="s">
        <v>42</v>
      </c>
      <c r="T2429">
        <v>82611</v>
      </c>
      <c r="U2429" t="s">
        <v>43</v>
      </c>
      <c r="V2429" t="s">
        <v>66</v>
      </c>
      <c r="W2429" t="s">
        <v>44</v>
      </c>
      <c r="X2429" t="s">
        <v>44</v>
      </c>
      <c r="Y2429" s="9">
        <f t="shared" si="112"/>
        <v>3.0000000000000001E-3</v>
      </c>
      <c r="Z2429" t="str">
        <f t="shared" si="113"/>
        <v>สแกนต่าง Cost</v>
      </c>
    </row>
    <row r="2430" spans="1:26" x14ac:dyDescent="0.45">
      <c r="B2430" t="s">
        <v>53</v>
      </c>
      <c r="C2430">
        <v>20368087</v>
      </c>
      <c r="D2430" t="s">
        <v>260</v>
      </c>
      <c r="E2430" s="10">
        <v>46116.645833333336</v>
      </c>
      <c r="F2430" s="10">
        <v>46116.729166666664</v>
      </c>
      <c r="G2430">
        <v>2</v>
      </c>
      <c r="H2430" s="9">
        <f t="shared" si="111"/>
        <v>1.0999999999999999E-2</v>
      </c>
      <c r="I2430">
        <v>1.0999999999999999E-2</v>
      </c>
      <c r="M2430" t="s">
        <v>65</v>
      </c>
      <c r="N2430" t="s">
        <v>29</v>
      </c>
      <c r="P2430" t="s">
        <v>30</v>
      </c>
      <c r="Q2430" t="s">
        <v>31</v>
      </c>
      <c r="R2430">
        <v>82640</v>
      </c>
      <c r="S2430" t="s">
        <v>42</v>
      </c>
      <c r="T2430">
        <v>82630</v>
      </c>
      <c r="U2430" t="s">
        <v>32</v>
      </c>
      <c r="V2430" t="s">
        <v>66</v>
      </c>
      <c r="W2430" t="s">
        <v>44</v>
      </c>
      <c r="X2430" t="s">
        <v>44</v>
      </c>
      <c r="Y2430" s="9">
        <f t="shared" si="112"/>
        <v>0</v>
      </c>
      <c r="Z2430" t="str">
        <f t="shared" si="113"/>
        <v>สแกนต่าง Cost</v>
      </c>
    </row>
    <row r="2431" spans="1:26" x14ac:dyDescent="0.45">
      <c r="B2431" t="s">
        <v>53</v>
      </c>
      <c r="C2431">
        <v>20026534</v>
      </c>
      <c r="D2431" t="s">
        <v>279</v>
      </c>
      <c r="E2431" s="10">
        <v>46116.625</v>
      </c>
      <c r="F2431" s="10">
        <v>46116.6875</v>
      </c>
      <c r="G2431">
        <v>1.5</v>
      </c>
      <c r="H2431" s="9">
        <f t="shared" si="111"/>
        <v>8.0000000000000002E-3</v>
      </c>
      <c r="I2431">
        <v>8.0000000000000002E-3</v>
      </c>
      <c r="M2431" t="s">
        <v>65</v>
      </c>
      <c r="N2431" t="s">
        <v>29</v>
      </c>
      <c r="P2431" t="s">
        <v>30</v>
      </c>
      <c r="Q2431" t="s">
        <v>31</v>
      </c>
      <c r="R2431">
        <v>82640</v>
      </c>
      <c r="S2431" t="s">
        <v>42</v>
      </c>
      <c r="T2431">
        <v>82611</v>
      </c>
      <c r="U2431" t="s">
        <v>43</v>
      </c>
      <c r="V2431" t="s">
        <v>66</v>
      </c>
      <c r="W2431" t="s">
        <v>44</v>
      </c>
      <c r="X2431" t="s">
        <v>44</v>
      </c>
      <c r="Y2431" s="9">
        <f t="shared" si="112"/>
        <v>0</v>
      </c>
      <c r="Z2431" t="str">
        <f t="shared" si="113"/>
        <v>สแกนต่าง Cost</v>
      </c>
    </row>
    <row r="2432" spans="1:26" x14ac:dyDescent="0.45">
      <c r="B2432" t="s">
        <v>53</v>
      </c>
      <c r="C2432">
        <v>20167851</v>
      </c>
      <c r="D2432" t="s">
        <v>63</v>
      </c>
      <c r="E2432" s="10">
        <v>46116.625</v>
      </c>
      <c r="F2432" s="10">
        <v>46116.6875</v>
      </c>
      <c r="G2432">
        <v>1.5</v>
      </c>
      <c r="H2432" s="9">
        <f t="shared" si="111"/>
        <v>8.0000000000000002E-3</v>
      </c>
      <c r="J2432">
        <v>8.0000000000000002E-3</v>
      </c>
      <c r="M2432" t="s">
        <v>77</v>
      </c>
      <c r="N2432" t="s">
        <v>40</v>
      </c>
      <c r="O2432" t="s">
        <v>78</v>
      </c>
      <c r="P2432" t="s">
        <v>30</v>
      </c>
      <c r="Q2432" t="s">
        <v>31</v>
      </c>
      <c r="R2432">
        <v>82640</v>
      </c>
      <c r="S2432" t="s">
        <v>42</v>
      </c>
      <c r="T2432">
        <v>82611</v>
      </c>
      <c r="U2432" t="s">
        <v>43</v>
      </c>
      <c r="V2432" t="s">
        <v>66</v>
      </c>
      <c r="W2432" t="s">
        <v>44</v>
      </c>
      <c r="X2432" t="s">
        <v>44</v>
      </c>
      <c r="Y2432" s="9">
        <f t="shared" si="112"/>
        <v>8.0000000000000002E-3</v>
      </c>
      <c r="Z2432" t="str">
        <f t="shared" si="113"/>
        <v>สแกนต่าง Cost</v>
      </c>
    </row>
    <row r="2433" spans="1:26" x14ac:dyDescent="0.45">
      <c r="B2433" t="s">
        <v>53</v>
      </c>
      <c r="C2433">
        <v>20280718</v>
      </c>
      <c r="D2433" t="s">
        <v>256</v>
      </c>
      <c r="E2433" s="10">
        <v>46116.625</v>
      </c>
      <c r="F2433" s="10">
        <v>46116.645833333336</v>
      </c>
      <c r="G2433">
        <v>0.5</v>
      </c>
      <c r="H2433" s="9">
        <f t="shared" si="111"/>
        <v>3.0000000000000001E-3</v>
      </c>
      <c r="I2433">
        <v>3.0000000000000001E-3</v>
      </c>
      <c r="M2433" t="s">
        <v>65</v>
      </c>
      <c r="N2433" t="s">
        <v>29</v>
      </c>
      <c r="P2433" t="s">
        <v>30</v>
      </c>
      <c r="Q2433" t="s">
        <v>31</v>
      </c>
      <c r="R2433">
        <v>82640</v>
      </c>
      <c r="S2433" t="s">
        <v>42</v>
      </c>
      <c r="T2433">
        <v>82611</v>
      </c>
      <c r="U2433" t="s">
        <v>43</v>
      </c>
      <c r="V2433" t="s">
        <v>66</v>
      </c>
      <c r="W2433" t="s">
        <v>44</v>
      </c>
      <c r="X2433" t="s">
        <v>44</v>
      </c>
      <c r="Y2433" s="9">
        <f t="shared" si="112"/>
        <v>0</v>
      </c>
      <c r="Z2433" t="str">
        <f t="shared" si="113"/>
        <v>สแกนต่าง Cost</v>
      </c>
    </row>
    <row r="2434" spans="1:26" x14ac:dyDescent="0.45">
      <c r="B2434" t="s">
        <v>53</v>
      </c>
      <c r="C2434">
        <v>20310530</v>
      </c>
      <c r="D2434" t="s">
        <v>220</v>
      </c>
      <c r="E2434" s="10">
        <v>46116.625</v>
      </c>
      <c r="F2434" s="10">
        <v>46116.645833333336</v>
      </c>
      <c r="G2434">
        <v>0.5</v>
      </c>
      <c r="H2434" s="9">
        <f t="shared" si="111"/>
        <v>3.0000000000000001E-3</v>
      </c>
      <c r="J2434">
        <v>3.0000000000000001E-3</v>
      </c>
      <c r="M2434" t="s">
        <v>77</v>
      </c>
      <c r="N2434" t="s">
        <v>40</v>
      </c>
      <c r="O2434" t="s">
        <v>78</v>
      </c>
      <c r="P2434" t="s">
        <v>30</v>
      </c>
      <c r="Q2434" t="s">
        <v>31</v>
      </c>
      <c r="R2434">
        <v>82640</v>
      </c>
      <c r="S2434" t="s">
        <v>42</v>
      </c>
      <c r="T2434">
        <v>82612</v>
      </c>
      <c r="U2434" t="s">
        <v>153</v>
      </c>
      <c r="V2434" t="s">
        <v>66</v>
      </c>
      <c r="W2434" t="s">
        <v>44</v>
      </c>
      <c r="X2434" t="s">
        <v>44</v>
      </c>
      <c r="Y2434" s="9">
        <f t="shared" si="112"/>
        <v>3.0000000000000001E-3</v>
      </c>
      <c r="Z2434" t="str">
        <f t="shared" si="113"/>
        <v>สแกนต่าง Cost</v>
      </c>
    </row>
    <row r="2435" spans="1:26" x14ac:dyDescent="0.45">
      <c r="B2435" t="s">
        <v>53</v>
      </c>
      <c r="C2435">
        <v>20280718</v>
      </c>
      <c r="D2435" t="s">
        <v>256</v>
      </c>
      <c r="E2435" s="10">
        <v>46116.604166666664</v>
      </c>
      <c r="F2435" s="10">
        <v>46116.625</v>
      </c>
      <c r="G2435">
        <v>0.5</v>
      </c>
      <c r="H2435" s="9">
        <f t="shared" ref="H2435:H2498" si="114">SUM(I2435:L2435)</f>
        <v>3.0000000000000001E-3</v>
      </c>
      <c r="I2435">
        <v>3.0000000000000001E-3</v>
      </c>
      <c r="M2435" t="s">
        <v>65</v>
      </c>
      <c r="N2435" t="s">
        <v>29</v>
      </c>
      <c r="P2435" t="s">
        <v>30</v>
      </c>
      <c r="Q2435" t="s">
        <v>31</v>
      </c>
      <c r="R2435">
        <v>82640</v>
      </c>
      <c r="S2435" t="s">
        <v>42</v>
      </c>
      <c r="T2435">
        <v>82622</v>
      </c>
      <c r="U2435" t="s">
        <v>147</v>
      </c>
      <c r="V2435" t="s">
        <v>66</v>
      </c>
      <c r="W2435" t="s">
        <v>44</v>
      </c>
      <c r="X2435" t="s">
        <v>44</v>
      </c>
      <c r="Y2435" s="9">
        <f t="shared" ref="Y2435:Y2498" si="115">SUM(J2435:L2435)</f>
        <v>0</v>
      </c>
      <c r="Z2435" t="str">
        <f t="shared" ref="Z2435:Z2498" si="116">IF(R2435=T2435,"สแกน Cost ตัวเอง","สแกนต่าง Cost")</f>
        <v>สแกนต่าง Cost</v>
      </c>
    </row>
    <row r="2436" spans="1:26" x14ac:dyDescent="0.45">
      <c r="B2436" t="s">
        <v>53</v>
      </c>
      <c r="C2436">
        <v>20310530</v>
      </c>
      <c r="D2436" t="s">
        <v>220</v>
      </c>
      <c r="E2436" s="10">
        <v>46116.604166666664</v>
      </c>
      <c r="F2436" s="10">
        <v>46116.625</v>
      </c>
      <c r="G2436">
        <v>0.5</v>
      </c>
      <c r="H2436" s="9">
        <f t="shared" si="114"/>
        <v>3.0000000000000001E-3</v>
      </c>
      <c r="J2436">
        <v>3.0000000000000001E-3</v>
      </c>
      <c r="M2436" t="s">
        <v>77</v>
      </c>
      <c r="N2436" t="s">
        <v>40</v>
      </c>
      <c r="O2436" t="s">
        <v>78</v>
      </c>
      <c r="P2436" t="s">
        <v>30</v>
      </c>
      <c r="Q2436" t="s">
        <v>31</v>
      </c>
      <c r="R2436">
        <v>82640</v>
      </c>
      <c r="S2436" t="s">
        <v>42</v>
      </c>
      <c r="T2436">
        <v>82611</v>
      </c>
      <c r="U2436" t="s">
        <v>43</v>
      </c>
      <c r="V2436" t="s">
        <v>66</v>
      </c>
      <c r="W2436" t="s">
        <v>44</v>
      </c>
      <c r="X2436" t="s">
        <v>44</v>
      </c>
      <c r="Y2436" s="9">
        <f t="shared" si="115"/>
        <v>3.0000000000000001E-3</v>
      </c>
      <c r="Z2436" t="str">
        <f t="shared" si="116"/>
        <v>สแกนต่าง Cost</v>
      </c>
    </row>
    <row r="2437" spans="1:26" x14ac:dyDescent="0.45">
      <c r="A2437">
        <v>25645</v>
      </c>
      <c r="B2437" t="s">
        <v>53</v>
      </c>
      <c r="C2437">
        <v>20048905</v>
      </c>
      <c r="D2437" t="s">
        <v>73</v>
      </c>
      <c r="E2437" s="10">
        <v>46116.584027777775</v>
      </c>
      <c r="F2437" s="10">
        <v>46116.927083333336</v>
      </c>
      <c r="G2437">
        <v>7.2333333333333325</v>
      </c>
      <c r="H2437" s="9">
        <f t="shared" si="114"/>
        <v>3.9E-2</v>
      </c>
      <c r="I2437">
        <v>3.9E-2</v>
      </c>
      <c r="M2437" t="s">
        <v>65</v>
      </c>
      <c r="N2437" t="s">
        <v>29</v>
      </c>
      <c r="P2437" t="s">
        <v>30</v>
      </c>
      <c r="Q2437" t="s">
        <v>31</v>
      </c>
      <c r="R2437">
        <v>82409</v>
      </c>
      <c r="S2437" t="s">
        <v>74</v>
      </c>
      <c r="T2437">
        <v>82664</v>
      </c>
      <c r="U2437" t="s">
        <v>75</v>
      </c>
      <c r="V2437" t="s">
        <v>75</v>
      </c>
      <c r="W2437" t="s">
        <v>74</v>
      </c>
      <c r="X2437" t="s">
        <v>74</v>
      </c>
      <c r="Y2437" s="9">
        <f t="shared" si="115"/>
        <v>0</v>
      </c>
      <c r="Z2437" t="str">
        <f t="shared" si="116"/>
        <v>สแกนต่าง Cost</v>
      </c>
    </row>
    <row r="2438" spans="1:26" x14ac:dyDescent="0.45">
      <c r="B2438" t="s">
        <v>53</v>
      </c>
      <c r="C2438">
        <v>20026534</v>
      </c>
      <c r="D2438" t="s">
        <v>279</v>
      </c>
      <c r="E2438" s="10">
        <v>46116.583333333336</v>
      </c>
      <c r="F2438" s="10">
        <v>46116.625</v>
      </c>
      <c r="G2438">
        <v>1</v>
      </c>
      <c r="H2438" s="9">
        <f t="shared" si="114"/>
        <v>5.0000000000000001E-3</v>
      </c>
      <c r="I2438">
        <v>5.0000000000000001E-3</v>
      </c>
      <c r="M2438" t="s">
        <v>65</v>
      </c>
      <c r="N2438" t="s">
        <v>29</v>
      </c>
      <c r="P2438" t="s">
        <v>30</v>
      </c>
      <c r="Q2438" t="s">
        <v>31</v>
      </c>
      <c r="R2438">
        <v>82640</v>
      </c>
      <c r="S2438" t="s">
        <v>42</v>
      </c>
      <c r="T2438">
        <v>82630</v>
      </c>
      <c r="U2438" t="s">
        <v>32</v>
      </c>
      <c r="V2438" t="s">
        <v>66</v>
      </c>
      <c r="W2438" t="s">
        <v>44</v>
      </c>
      <c r="X2438" t="s">
        <v>44</v>
      </c>
      <c r="Y2438" s="9">
        <f t="shared" si="115"/>
        <v>0</v>
      </c>
      <c r="Z2438" t="str">
        <f t="shared" si="116"/>
        <v>สแกนต่าง Cost</v>
      </c>
    </row>
    <row r="2439" spans="1:26" x14ac:dyDescent="0.45">
      <c r="B2439" t="s">
        <v>53</v>
      </c>
      <c r="C2439">
        <v>20198839</v>
      </c>
      <c r="D2439" t="s">
        <v>258</v>
      </c>
      <c r="E2439" s="10">
        <v>46116.583333333336</v>
      </c>
      <c r="F2439" s="10">
        <v>46116.604166666664</v>
      </c>
      <c r="G2439">
        <v>0.5</v>
      </c>
      <c r="H2439" s="9">
        <f t="shared" si="114"/>
        <v>3.0000000000000001E-3</v>
      </c>
      <c r="I2439">
        <v>3.0000000000000001E-3</v>
      </c>
      <c r="M2439" t="s">
        <v>65</v>
      </c>
      <c r="N2439" t="s">
        <v>29</v>
      </c>
      <c r="P2439" t="s">
        <v>30</v>
      </c>
      <c r="Q2439" t="s">
        <v>31</v>
      </c>
      <c r="R2439">
        <v>82640</v>
      </c>
      <c r="S2439" t="s">
        <v>42</v>
      </c>
      <c r="T2439">
        <v>82630</v>
      </c>
      <c r="U2439" t="s">
        <v>32</v>
      </c>
      <c r="V2439" t="s">
        <v>66</v>
      </c>
      <c r="W2439" t="s">
        <v>44</v>
      </c>
      <c r="X2439" t="s">
        <v>44</v>
      </c>
      <c r="Y2439" s="9">
        <f t="shared" si="115"/>
        <v>0</v>
      </c>
      <c r="Z2439" t="str">
        <f t="shared" si="116"/>
        <v>สแกนต่าง Cost</v>
      </c>
    </row>
    <row r="2440" spans="1:26" x14ac:dyDescent="0.45">
      <c r="B2440" t="s">
        <v>53</v>
      </c>
      <c r="C2440">
        <v>20310530</v>
      </c>
      <c r="D2440" t="s">
        <v>220</v>
      </c>
      <c r="E2440" s="10">
        <v>46116.583333333336</v>
      </c>
      <c r="F2440" s="10">
        <v>46116.604166666664</v>
      </c>
      <c r="G2440">
        <v>0.5</v>
      </c>
      <c r="H2440" s="9">
        <f t="shared" si="114"/>
        <v>3.0000000000000001E-3</v>
      </c>
      <c r="J2440">
        <v>3.0000000000000001E-3</v>
      </c>
      <c r="M2440" t="s">
        <v>77</v>
      </c>
      <c r="N2440" t="s">
        <v>40</v>
      </c>
      <c r="O2440" t="s">
        <v>78</v>
      </c>
      <c r="P2440" t="s">
        <v>30</v>
      </c>
      <c r="Q2440" t="s">
        <v>31</v>
      </c>
      <c r="R2440">
        <v>82640</v>
      </c>
      <c r="S2440" t="s">
        <v>42</v>
      </c>
      <c r="T2440">
        <v>82622</v>
      </c>
      <c r="U2440" t="s">
        <v>147</v>
      </c>
      <c r="V2440" t="s">
        <v>66</v>
      </c>
      <c r="W2440" t="s">
        <v>44</v>
      </c>
      <c r="X2440" t="s">
        <v>44</v>
      </c>
      <c r="Y2440" s="9">
        <f t="shared" si="115"/>
        <v>3.0000000000000001E-3</v>
      </c>
      <c r="Z2440" t="str">
        <f t="shared" si="116"/>
        <v>สแกนต่าง Cost</v>
      </c>
    </row>
    <row r="2441" spans="1:26" x14ac:dyDescent="0.45">
      <c r="B2441" t="s">
        <v>53</v>
      </c>
      <c r="C2441">
        <v>20332134</v>
      </c>
      <c r="D2441" t="s">
        <v>156</v>
      </c>
      <c r="E2441" s="10">
        <v>46116.583333333336</v>
      </c>
      <c r="F2441" s="10">
        <v>46116.729166666664</v>
      </c>
      <c r="G2441">
        <v>3.5</v>
      </c>
      <c r="H2441" s="9">
        <f t="shared" si="114"/>
        <v>1.9E-2</v>
      </c>
      <c r="J2441">
        <v>1.9E-2</v>
      </c>
      <c r="M2441" t="s">
        <v>77</v>
      </c>
      <c r="N2441" t="s">
        <v>40</v>
      </c>
      <c r="O2441" t="s">
        <v>78</v>
      </c>
      <c r="P2441" t="s">
        <v>30</v>
      </c>
      <c r="Q2441" t="s">
        <v>31</v>
      </c>
      <c r="R2441">
        <v>82640</v>
      </c>
      <c r="S2441" t="s">
        <v>42</v>
      </c>
      <c r="T2441">
        <v>82630</v>
      </c>
      <c r="U2441" t="s">
        <v>32</v>
      </c>
      <c r="V2441" t="s">
        <v>66</v>
      </c>
      <c r="W2441" t="s">
        <v>44</v>
      </c>
      <c r="X2441" t="s">
        <v>44</v>
      </c>
      <c r="Y2441" s="9">
        <f t="shared" si="115"/>
        <v>1.9E-2</v>
      </c>
      <c r="Z2441" t="str">
        <f t="shared" si="116"/>
        <v>สแกนต่าง Cost</v>
      </c>
    </row>
    <row r="2442" spans="1:26" x14ac:dyDescent="0.45">
      <c r="B2442" t="s">
        <v>53</v>
      </c>
      <c r="C2442">
        <v>20026534</v>
      </c>
      <c r="D2442" t="s">
        <v>279</v>
      </c>
      <c r="E2442" s="10">
        <v>46116.5625</v>
      </c>
      <c r="F2442" s="10">
        <v>46116.583333333336</v>
      </c>
      <c r="G2442">
        <v>0.5</v>
      </c>
      <c r="H2442" s="9">
        <f t="shared" si="114"/>
        <v>3.0000000000000001E-3</v>
      </c>
      <c r="I2442">
        <v>3.0000000000000001E-3</v>
      </c>
      <c r="M2442" t="s">
        <v>65</v>
      </c>
      <c r="N2442" t="s">
        <v>29</v>
      </c>
      <c r="P2442" t="s">
        <v>30</v>
      </c>
      <c r="Q2442" t="s">
        <v>31</v>
      </c>
      <c r="R2442">
        <v>82640</v>
      </c>
      <c r="S2442" t="s">
        <v>42</v>
      </c>
      <c r="T2442">
        <v>82611</v>
      </c>
      <c r="U2442" t="s">
        <v>43</v>
      </c>
      <c r="V2442" t="s">
        <v>66</v>
      </c>
      <c r="W2442" t="s">
        <v>44</v>
      </c>
      <c r="X2442" t="s">
        <v>44</v>
      </c>
      <c r="Y2442" s="9">
        <f t="shared" si="115"/>
        <v>0</v>
      </c>
      <c r="Z2442" t="str">
        <f t="shared" si="116"/>
        <v>สแกนต่าง Cost</v>
      </c>
    </row>
    <row r="2443" spans="1:26" x14ac:dyDescent="0.45">
      <c r="B2443" t="s">
        <v>53</v>
      </c>
      <c r="C2443">
        <v>20167851</v>
      </c>
      <c r="D2443" t="s">
        <v>63</v>
      </c>
      <c r="E2443" s="10">
        <v>46116.5625</v>
      </c>
      <c r="F2443" s="10">
        <v>46116.625</v>
      </c>
      <c r="G2443">
        <v>1.5</v>
      </c>
      <c r="H2443" s="9">
        <f t="shared" si="114"/>
        <v>8.0000000000000002E-3</v>
      </c>
      <c r="J2443">
        <v>8.0000000000000002E-3</v>
      </c>
      <c r="M2443" t="s">
        <v>77</v>
      </c>
      <c r="N2443" t="s">
        <v>40</v>
      </c>
      <c r="O2443" t="s">
        <v>78</v>
      </c>
      <c r="P2443" t="s">
        <v>30</v>
      </c>
      <c r="Q2443" t="s">
        <v>31</v>
      </c>
      <c r="R2443">
        <v>82640</v>
      </c>
      <c r="S2443" t="s">
        <v>42</v>
      </c>
      <c r="T2443">
        <v>82630</v>
      </c>
      <c r="U2443" t="s">
        <v>32</v>
      </c>
      <c r="V2443" t="s">
        <v>66</v>
      </c>
      <c r="W2443" t="s">
        <v>44</v>
      </c>
      <c r="X2443" t="s">
        <v>44</v>
      </c>
      <c r="Y2443" s="9">
        <f t="shared" si="115"/>
        <v>8.0000000000000002E-3</v>
      </c>
      <c r="Z2443" t="str">
        <f t="shared" si="116"/>
        <v>สแกนต่าง Cost</v>
      </c>
    </row>
    <row r="2444" spans="1:26" x14ac:dyDescent="0.45">
      <c r="B2444" t="s">
        <v>53</v>
      </c>
      <c r="C2444">
        <v>20368087</v>
      </c>
      <c r="D2444" t="s">
        <v>260</v>
      </c>
      <c r="E2444" s="10">
        <v>46116.5625</v>
      </c>
      <c r="F2444" s="10">
        <v>46116.645833333336</v>
      </c>
      <c r="G2444">
        <v>2</v>
      </c>
      <c r="H2444" s="9">
        <f t="shared" si="114"/>
        <v>1.0999999999999999E-2</v>
      </c>
      <c r="I2444">
        <v>1.0999999999999999E-2</v>
      </c>
      <c r="M2444" t="s">
        <v>65</v>
      </c>
      <c r="N2444" t="s">
        <v>29</v>
      </c>
      <c r="P2444" t="s">
        <v>30</v>
      </c>
      <c r="Q2444" t="s">
        <v>31</v>
      </c>
      <c r="R2444">
        <v>82640</v>
      </c>
      <c r="S2444" t="s">
        <v>42</v>
      </c>
      <c r="T2444">
        <v>82612</v>
      </c>
      <c r="U2444" t="s">
        <v>153</v>
      </c>
      <c r="V2444" t="s">
        <v>66</v>
      </c>
      <c r="W2444" t="s">
        <v>44</v>
      </c>
      <c r="X2444" t="s">
        <v>44</v>
      </c>
      <c r="Y2444" s="9">
        <f t="shared" si="115"/>
        <v>0</v>
      </c>
      <c r="Z2444" t="str">
        <f t="shared" si="116"/>
        <v>สแกนต่าง Cost</v>
      </c>
    </row>
    <row r="2445" spans="1:26" x14ac:dyDescent="0.45">
      <c r="B2445" t="s">
        <v>53</v>
      </c>
      <c r="C2445">
        <v>20026534</v>
      </c>
      <c r="D2445" t="s">
        <v>279</v>
      </c>
      <c r="E2445" s="10">
        <v>46116.541666666664</v>
      </c>
      <c r="F2445" s="10">
        <v>46116.5625</v>
      </c>
      <c r="G2445">
        <v>0.5</v>
      </c>
      <c r="H2445" s="9">
        <f t="shared" si="114"/>
        <v>3.0000000000000001E-3</v>
      </c>
      <c r="I2445">
        <v>3.0000000000000001E-3</v>
      </c>
      <c r="M2445" t="s">
        <v>65</v>
      </c>
      <c r="N2445" t="s">
        <v>29</v>
      </c>
      <c r="P2445" t="s">
        <v>30</v>
      </c>
      <c r="Q2445" t="s">
        <v>31</v>
      </c>
      <c r="R2445">
        <v>82640</v>
      </c>
      <c r="S2445" t="s">
        <v>42</v>
      </c>
      <c r="T2445">
        <v>82630</v>
      </c>
      <c r="U2445" t="s">
        <v>32</v>
      </c>
      <c r="V2445" t="s">
        <v>66</v>
      </c>
      <c r="W2445" t="s">
        <v>44</v>
      </c>
      <c r="X2445" t="s">
        <v>44</v>
      </c>
      <c r="Y2445" s="9">
        <f t="shared" si="115"/>
        <v>0</v>
      </c>
      <c r="Z2445" t="str">
        <f t="shared" si="116"/>
        <v>สแกนต่าง Cost</v>
      </c>
    </row>
    <row r="2446" spans="1:26" x14ac:dyDescent="0.45">
      <c r="B2446" t="s">
        <v>53</v>
      </c>
      <c r="C2446">
        <v>20060579</v>
      </c>
      <c r="D2446" t="s">
        <v>39</v>
      </c>
      <c r="E2446" s="10">
        <v>46116.541666666664</v>
      </c>
      <c r="F2446" s="10">
        <v>46116.729166666664</v>
      </c>
      <c r="G2446">
        <v>4.5</v>
      </c>
      <c r="H2446" s="9">
        <f t="shared" si="114"/>
        <v>2.4E-2</v>
      </c>
      <c r="I2446">
        <v>2.4E-2</v>
      </c>
      <c r="M2446" t="s">
        <v>65</v>
      </c>
      <c r="N2446" t="s">
        <v>29</v>
      </c>
      <c r="P2446" t="s">
        <v>30</v>
      </c>
      <c r="Q2446" t="s">
        <v>31</v>
      </c>
      <c r="R2446">
        <v>82640</v>
      </c>
      <c r="S2446" t="s">
        <v>42</v>
      </c>
      <c r="T2446">
        <v>82630</v>
      </c>
      <c r="U2446" t="s">
        <v>32</v>
      </c>
      <c r="V2446" t="s">
        <v>66</v>
      </c>
      <c r="W2446" t="s">
        <v>44</v>
      </c>
      <c r="X2446" t="s">
        <v>44</v>
      </c>
      <c r="Y2446" s="9">
        <f t="shared" si="115"/>
        <v>0</v>
      </c>
      <c r="Z2446" t="str">
        <f t="shared" si="116"/>
        <v>สแกนต่าง Cost</v>
      </c>
    </row>
    <row r="2447" spans="1:26" x14ac:dyDescent="0.45">
      <c r="B2447" t="s">
        <v>53</v>
      </c>
      <c r="C2447">
        <v>20167851</v>
      </c>
      <c r="D2447" t="s">
        <v>63</v>
      </c>
      <c r="E2447" s="10">
        <v>46116.541666666664</v>
      </c>
      <c r="F2447" s="10">
        <v>46116.5625</v>
      </c>
      <c r="G2447">
        <v>0.5</v>
      </c>
      <c r="H2447" s="9">
        <f t="shared" si="114"/>
        <v>3.0000000000000001E-3</v>
      </c>
      <c r="J2447">
        <v>3.0000000000000001E-3</v>
      </c>
      <c r="M2447" t="s">
        <v>77</v>
      </c>
      <c r="N2447" t="s">
        <v>40</v>
      </c>
      <c r="O2447" t="s">
        <v>78</v>
      </c>
      <c r="P2447" t="s">
        <v>30</v>
      </c>
      <c r="Q2447" t="s">
        <v>31</v>
      </c>
      <c r="R2447">
        <v>82640</v>
      </c>
      <c r="S2447" t="s">
        <v>42</v>
      </c>
      <c r="T2447">
        <v>82612</v>
      </c>
      <c r="U2447" t="s">
        <v>153</v>
      </c>
      <c r="V2447" t="s">
        <v>66</v>
      </c>
      <c r="W2447" t="s">
        <v>44</v>
      </c>
      <c r="X2447" t="s">
        <v>44</v>
      </c>
      <c r="Y2447" s="9">
        <f t="shared" si="115"/>
        <v>3.0000000000000001E-3</v>
      </c>
      <c r="Z2447" t="str">
        <f t="shared" si="116"/>
        <v>สแกนต่าง Cost</v>
      </c>
    </row>
    <row r="2448" spans="1:26" x14ac:dyDescent="0.45">
      <c r="B2448" t="s">
        <v>53</v>
      </c>
      <c r="C2448">
        <v>20280718</v>
      </c>
      <c r="D2448" t="s">
        <v>256</v>
      </c>
      <c r="E2448" s="10">
        <v>46116.541666666664</v>
      </c>
      <c r="F2448" s="10">
        <v>46116.583333333336</v>
      </c>
      <c r="G2448">
        <v>1</v>
      </c>
      <c r="H2448" s="9">
        <f t="shared" si="114"/>
        <v>5.0000000000000001E-3</v>
      </c>
      <c r="I2448">
        <v>5.0000000000000001E-3</v>
      </c>
      <c r="M2448" t="s">
        <v>65</v>
      </c>
      <c r="N2448" t="s">
        <v>29</v>
      </c>
      <c r="P2448" t="s">
        <v>30</v>
      </c>
      <c r="Q2448" t="s">
        <v>31</v>
      </c>
      <c r="R2448">
        <v>82640</v>
      </c>
      <c r="S2448" t="s">
        <v>42</v>
      </c>
      <c r="T2448">
        <v>82630</v>
      </c>
      <c r="U2448" t="s">
        <v>32</v>
      </c>
      <c r="V2448" t="s">
        <v>66</v>
      </c>
      <c r="W2448" t="s">
        <v>44</v>
      </c>
      <c r="X2448" t="s">
        <v>44</v>
      </c>
      <c r="Y2448" s="9">
        <f t="shared" si="115"/>
        <v>0</v>
      </c>
      <c r="Z2448" t="str">
        <f t="shared" si="116"/>
        <v>สแกนต่าง Cost</v>
      </c>
    </row>
    <row r="2449" spans="1:26" x14ac:dyDescent="0.45">
      <c r="B2449" t="s">
        <v>53</v>
      </c>
      <c r="C2449">
        <v>20280718</v>
      </c>
      <c r="D2449" t="s">
        <v>256</v>
      </c>
      <c r="E2449" s="10">
        <v>46116.541666666664</v>
      </c>
      <c r="F2449" s="10">
        <v>46116.604166666664</v>
      </c>
      <c r="G2449">
        <v>1.5</v>
      </c>
      <c r="H2449" s="9">
        <f t="shared" si="114"/>
        <v>8.0000000000000002E-3</v>
      </c>
      <c r="I2449">
        <v>8.0000000000000002E-3</v>
      </c>
      <c r="M2449" t="s">
        <v>65</v>
      </c>
      <c r="N2449" t="s">
        <v>29</v>
      </c>
      <c r="P2449" t="s">
        <v>30</v>
      </c>
      <c r="Q2449" t="s">
        <v>31</v>
      </c>
      <c r="R2449">
        <v>82640</v>
      </c>
      <c r="S2449" t="s">
        <v>42</v>
      </c>
      <c r="T2449">
        <v>82630</v>
      </c>
      <c r="U2449" t="s">
        <v>32</v>
      </c>
      <c r="V2449" t="s">
        <v>66</v>
      </c>
      <c r="W2449" t="s">
        <v>44</v>
      </c>
      <c r="X2449" t="s">
        <v>44</v>
      </c>
      <c r="Y2449" s="9">
        <f t="shared" si="115"/>
        <v>0</v>
      </c>
      <c r="Z2449" t="str">
        <f t="shared" si="116"/>
        <v>สแกนต่าง Cost</v>
      </c>
    </row>
    <row r="2450" spans="1:26" x14ac:dyDescent="0.45">
      <c r="B2450" t="s">
        <v>53</v>
      </c>
      <c r="C2450">
        <v>20310530</v>
      </c>
      <c r="D2450" t="s">
        <v>220</v>
      </c>
      <c r="E2450" s="10">
        <v>46116.541666666664</v>
      </c>
      <c r="F2450" s="10">
        <v>46116.5625</v>
      </c>
      <c r="G2450">
        <v>0.5</v>
      </c>
      <c r="H2450" s="9">
        <f t="shared" si="114"/>
        <v>3.0000000000000001E-3</v>
      </c>
      <c r="J2450">
        <v>3.0000000000000001E-3</v>
      </c>
      <c r="M2450" t="s">
        <v>77</v>
      </c>
      <c r="N2450" t="s">
        <v>40</v>
      </c>
      <c r="O2450" t="s">
        <v>78</v>
      </c>
      <c r="P2450" t="s">
        <v>30</v>
      </c>
      <c r="Q2450" t="s">
        <v>31</v>
      </c>
      <c r="R2450">
        <v>82640</v>
      </c>
      <c r="S2450" t="s">
        <v>42</v>
      </c>
      <c r="T2450">
        <v>82630</v>
      </c>
      <c r="U2450" t="s">
        <v>32</v>
      </c>
      <c r="V2450" t="s">
        <v>66</v>
      </c>
      <c r="W2450" t="s">
        <v>44</v>
      </c>
      <c r="X2450" t="s">
        <v>44</v>
      </c>
      <c r="Y2450" s="9">
        <f t="shared" si="115"/>
        <v>3.0000000000000001E-3</v>
      </c>
      <c r="Z2450" t="str">
        <f t="shared" si="116"/>
        <v>สแกนต่าง Cost</v>
      </c>
    </row>
    <row r="2451" spans="1:26" x14ac:dyDescent="0.45">
      <c r="B2451" t="s">
        <v>53</v>
      </c>
      <c r="C2451">
        <v>20332134</v>
      </c>
      <c r="D2451" t="s">
        <v>156</v>
      </c>
      <c r="E2451" s="10">
        <v>46116.541666666664</v>
      </c>
      <c r="F2451" s="10">
        <v>46116.583333333336</v>
      </c>
      <c r="G2451">
        <v>1</v>
      </c>
      <c r="H2451" s="9">
        <f t="shared" si="114"/>
        <v>5.0000000000000001E-3</v>
      </c>
      <c r="J2451">
        <v>5.0000000000000001E-3</v>
      </c>
      <c r="M2451" t="s">
        <v>77</v>
      </c>
      <c r="N2451" t="s">
        <v>40</v>
      </c>
      <c r="O2451" t="s">
        <v>78</v>
      </c>
      <c r="P2451" t="s">
        <v>30</v>
      </c>
      <c r="Q2451" t="s">
        <v>31</v>
      </c>
      <c r="R2451">
        <v>82640</v>
      </c>
      <c r="S2451" t="s">
        <v>42</v>
      </c>
      <c r="T2451">
        <v>82611</v>
      </c>
      <c r="U2451" t="s">
        <v>43</v>
      </c>
      <c r="V2451" t="s">
        <v>66</v>
      </c>
      <c r="W2451" t="s">
        <v>44</v>
      </c>
      <c r="X2451" t="s">
        <v>44</v>
      </c>
      <c r="Y2451" s="9">
        <f t="shared" si="115"/>
        <v>5.0000000000000001E-3</v>
      </c>
      <c r="Z2451" t="str">
        <f t="shared" si="116"/>
        <v>สแกนต่าง Cost</v>
      </c>
    </row>
    <row r="2452" spans="1:26" x14ac:dyDescent="0.45">
      <c r="B2452" t="s">
        <v>53</v>
      </c>
      <c r="C2452">
        <v>20340657</v>
      </c>
      <c r="D2452" t="s">
        <v>221</v>
      </c>
      <c r="E2452" s="10">
        <v>46116.541666666664</v>
      </c>
      <c r="F2452" s="10">
        <v>46116.729166666664</v>
      </c>
      <c r="G2452">
        <v>4.5</v>
      </c>
      <c r="H2452" s="9">
        <f t="shared" si="114"/>
        <v>2.4E-2</v>
      </c>
      <c r="I2452">
        <v>2.4E-2</v>
      </c>
      <c r="M2452" t="s">
        <v>65</v>
      </c>
      <c r="N2452" t="s">
        <v>29</v>
      </c>
      <c r="P2452" t="s">
        <v>30</v>
      </c>
      <c r="Q2452" t="s">
        <v>31</v>
      </c>
      <c r="R2452">
        <v>82640</v>
      </c>
      <c r="S2452" t="s">
        <v>42</v>
      </c>
      <c r="T2452">
        <v>82612</v>
      </c>
      <c r="U2452" t="s">
        <v>153</v>
      </c>
      <c r="V2452" t="s">
        <v>66</v>
      </c>
      <c r="W2452" t="s">
        <v>44</v>
      </c>
      <c r="X2452" t="s">
        <v>44</v>
      </c>
      <c r="Y2452" s="9">
        <f t="shared" si="115"/>
        <v>0</v>
      </c>
      <c r="Z2452" t="str">
        <f t="shared" si="116"/>
        <v>สแกนต่าง Cost</v>
      </c>
    </row>
    <row r="2453" spans="1:26" x14ac:dyDescent="0.45">
      <c r="B2453" t="s">
        <v>53</v>
      </c>
      <c r="C2453">
        <v>20368087</v>
      </c>
      <c r="D2453" t="s">
        <v>260</v>
      </c>
      <c r="E2453" s="10">
        <v>46116.541666666664</v>
      </c>
      <c r="F2453" s="10">
        <v>46116.5625</v>
      </c>
      <c r="G2453">
        <v>0.5</v>
      </c>
      <c r="H2453" s="9">
        <f t="shared" si="114"/>
        <v>3.0000000000000001E-3</v>
      </c>
      <c r="I2453">
        <v>3.0000000000000001E-3</v>
      </c>
      <c r="M2453" t="s">
        <v>65</v>
      </c>
      <c r="N2453" t="s">
        <v>29</v>
      </c>
      <c r="P2453" t="s">
        <v>30</v>
      </c>
      <c r="Q2453" t="s">
        <v>31</v>
      </c>
      <c r="R2453">
        <v>82640</v>
      </c>
      <c r="S2453" t="s">
        <v>42</v>
      </c>
      <c r="T2453">
        <v>82630</v>
      </c>
      <c r="U2453" t="s">
        <v>32</v>
      </c>
      <c r="V2453" t="s">
        <v>66</v>
      </c>
      <c r="W2453" t="s">
        <v>44</v>
      </c>
      <c r="X2453" t="s">
        <v>44</v>
      </c>
      <c r="Y2453" s="9">
        <f t="shared" si="115"/>
        <v>0</v>
      </c>
      <c r="Z2453" t="str">
        <f t="shared" si="116"/>
        <v>สแกนต่าง Cost</v>
      </c>
    </row>
    <row r="2454" spans="1:26" x14ac:dyDescent="0.45">
      <c r="B2454" t="s">
        <v>53</v>
      </c>
      <c r="C2454">
        <v>20060579</v>
      </c>
      <c r="D2454" t="s">
        <v>39</v>
      </c>
      <c r="E2454" s="10">
        <v>46116.479166666664</v>
      </c>
      <c r="F2454" s="10">
        <v>46116.5</v>
      </c>
      <c r="G2454">
        <v>0.5</v>
      </c>
      <c r="H2454" s="9">
        <f t="shared" si="114"/>
        <v>3.0000000000000001E-3</v>
      </c>
      <c r="I2454">
        <v>3.0000000000000001E-3</v>
      </c>
      <c r="M2454" t="s">
        <v>65</v>
      </c>
      <c r="N2454" t="s">
        <v>29</v>
      </c>
      <c r="P2454" t="s">
        <v>30</v>
      </c>
      <c r="Q2454" t="s">
        <v>31</v>
      </c>
      <c r="R2454">
        <v>82640</v>
      </c>
      <c r="S2454" t="s">
        <v>42</v>
      </c>
      <c r="T2454">
        <v>82630</v>
      </c>
      <c r="U2454" t="s">
        <v>32</v>
      </c>
      <c r="V2454" t="s">
        <v>66</v>
      </c>
      <c r="W2454" t="s">
        <v>44</v>
      </c>
      <c r="X2454" t="s">
        <v>44</v>
      </c>
      <c r="Y2454" s="9">
        <f t="shared" si="115"/>
        <v>0</v>
      </c>
      <c r="Z2454" t="str">
        <f t="shared" si="116"/>
        <v>สแกนต่าง Cost</v>
      </c>
    </row>
    <row r="2455" spans="1:26" x14ac:dyDescent="0.45">
      <c r="B2455" t="s">
        <v>53</v>
      </c>
      <c r="C2455">
        <v>20167851</v>
      </c>
      <c r="D2455" t="s">
        <v>63</v>
      </c>
      <c r="E2455" s="10">
        <v>46116.479166666664</v>
      </c>
      <c r="F2455" s="10">
        <v>46116.5</v>
      </c>
      <c r="G2455">
        <v>0.5</v>
      </c>
      <c r="H2455" s="9">
        <f t="shared" si="114"/>
        <v>3.0000000000000001E-3</v>
      </c>
      <c r="J2455">
        <v>3.0000000000000001E-3</v>
      </c>
      <c r="M2455" t="s">
        <v>77</v>
      </c>
      <c r="N2455" t="s">
        <v>40</v>
      </c>
      <c r="O2455" t="s">
        <v>78</v>
      </c>
      <c r="P2455" t="s">
        <v>30</v>
      </c>
      <c r="Q2455" t="s">
        <v>31</v>
      </c>
      <c r="R2455">
        <v>82640</v>
      </c>
      <c r="S2455" t="s">
        <v>42</v>
      </c>
      <c r="T2455">
        <v>82611</v>
      </c>
      <c r="U2455" t="s">
        <v>43</v>
      </c>
      <c r="V2455" t="s">
        <v>66</v>
      </c>
      <c r="W2455" t="s">
        <v>44</v>
      </c>
      <c r="X2455" t="s">
        <v>44</v>
      </c>
      <c r="Y2455" s="9">
        <f t="shared" si="115"/>
        <v>3.0000000000000001E-3</v>
      </c>
      <c r="Z2455" t="str">
        <f t="shared" si="116"/>
        <v>สแกนต่าง Cost</v>
      </c>
    </row>
    <row r="2456" spans="1:26" x14ac:dyDescent="0.45">
      <c r="B2456" t="s">
        <v>53</v>
      </c>
      <c r="C2456">
        <v>20280718</v>
      </c>
      <c r="D2456" t="s">
        <v>256</v>
      </c>
      <c r="E2456" s="10">
        <v>46116.479166666664</v>
      </c>
      <c r="F2456" s="10">
        <v>46116.5</v>
      </c>
      <c r="G2456">
        <v>0.5</v>
      </c>
      <c r="H2456" s="9">
        <f t="shared" si="114"/>
        <v>3.0000000000000001E-3</v>
      </c>
      <c r="I2456">
        <v>3.0000000000000001E-3</v>
      </c>
      <c r="M2456" t="s">
        <v>65</v>
      </c>
      <c r="N2456" t="s">
        <v>29</v>
      </c>
      <c r="P2456" t="s">
        <v>30</v>
      </c>
      <c r="Q2456" t="s">
        <v>31</v>
      </c>
      <c r="R2456">
        <v>82640</v>
      </c>
      <c r="S2456" t="s">
        <v>42</v>
      </c>
      <c r="T2456">
        <v>82630</v>
      </c>
      <c r="U2456" t="s">
        <v>32</v>
      </c>
      <c r="V2456" t="s">
        <v>66</v>
      </c>
      <c r="W2456" t="s">
        <v>44</v>
      </c>
      <c r="X2456" t="s">
        <v>44</v>
      </c>
      <c r="Y2456" s="9">
        <f t="shared" si="115"/>
        <v>0</v>
      </c>
      <c r="Z2456" t="str">
        <f t="shared" si="116"/>
        <v>สแกนต่าง Cost</v>
      </c>
    </row>
    <row r="2457" spans="1:26" x14ac:dyDescent="0.45">
      <c r="B2457" t="s">
        <v>53</v>
      </c>
      <c r="C2457">
        <v>20310530</v>
      </c>
      <c r="D2457" t="s">
        <v>220</v>
      </c>
      <c r="E2457" s="10">
        <v>46116.479166666664</v>
      </c>
      <c r="F2457" s="10">
        <v>46116.5</v>
      </c>
      <c r="G2457">
        <v>0.5</v>
      </c>
      <c r="H2457" s="9">
        <f t="shared" si="114"/>
        <v>3.0000000000000001E-3</v>
      </c>
      <c r="J2457">
        <v>3.0000000000000001E-3</v>
      </c>
      <c r="M2457" t="s">
        <v>77</v>
      </c>
      <c r="N2457" t="s">
        <v>40</v>
      </c>
      <c r="O2457" t="s">
        <v>78</v>
      </c>
      <c r="P2457" t="s">
        <v>30</v>
      </c>
      <c r="Q2457" t="s">
        <v>31</v>
      </c>
      <c r="R2457">
        <v>82640</v>
      </c>
      <c r="S2457" t="s">
        <v>42</v>
      </c>
      <c r="T2457">
        <v>82612</v>
      </c>
      <c r="U2457" t="s">
        <v>153</v>
      </c>
      <c r="V2457" t="s">
        <v>66</v>
      </c>
      <c r="W2457" t="s">
        <v>44</v>
      </c>
      <c r="X2457" t="s">
        <v>44</v>
      </c>
      <c r="Y2457" s="9">
        <f t="shared" si="115"/>
        <v>3.0000000000000001E-3</v>
      </c>
      <c r="Z2457" t="str">
        <f t="shared" si="116"/>
        <v>สแกนต่าง Cost</v>
      </c>
    </row>
    <row r="2458" spans="1:26" x14ac:dyDescent="0.45">
      <c r="B2458" t="s">
        <v>53</v>
      </c>
      <c r="C2458">
        <v>20368087</v>
      </c>
      <c r="D2458" t="s">
        <v>260</v>
      </c>
      <c r="E2458" s="10">
        <v>46116.479166666664</v>
      </c>
      <c r="F2458" s="10">
        <v>46116.5</v>
      </c>
      <c r="G2458">
        <v>0.5</v>
      </c>
      <c r="H2458" s="9">
        <f t="shared" si="114"/>
        <v>3.0000000000000001E-3</v>
      </c>
      <c r="I2458">
        <v>3.0000000000000001E-3</v>
      </c>
      <c r="M2458" t="s">
        <v>65</v>
      </c>
      <c r="N2458" t="s">
        <v>29</v>
      </c>
      <c r="P2458" t="s">
        <v>30</v>
      </c>
      <c r="Q2458" t="s">
        <v>31</v>
      </c>
      <c r="R2458">
        <v>82640</v>
      </c>
      <c r="S2458" t="s">
        <v>42</v>
      </c>
      <c r="T2458">
        <v>82630</v>
      </c>
      <c r="U2458" t="s">
        <v>32</v>
      </c>
      <c r="V2458" t="s">
        <v>66</v>
      </c>
      <c r="W2458" t="s">
        <v>44</v>
      </c>
      <c r="X2458" t="s">
        <v>44</v>
      </c>
      <c r="Y2458" s="9">
        <f t="shared" si="115"/>
        <v>0</v>
      </c>
      <c r="Z2458" t="str">
        <f t="shared" si="116"/>
        <v>สแกนต่าง Cost</v>
      </c>
    </row>
    <row r="2459" spans="1:26" x14ac:dyDescent="0.45">
      <c r="A2459">
        <v>25974</v>
      </c>
      <c r="B2459" t="s">
        <v>53</v>
      </c>
      <c r="C2459">
        <v>20328003</v>
      </c>
      <c r="D2459" t="s">
        <v>107</v>
      </c>
      <c r="E2459" s="10">
        <v>46116.470138888886</v>
      </c>
      <c r="F2459" s="10">
        <v>46116.729166666664</v>
      </c>
      <c r="G2459">
        <v>5.2166666666666668</v>
      </c>
      <c r="H2459" s="9">
        <f t="shared" si="114"/>
        <v>2.8000000000000001E-2</v>
      </c>
      <c r="I2459">
        <v>2.8000000000000001E-2</v>
      </c>
      <c r="M2459" t="s">
        <v>65</v>
      </c>
      <c r="N2459" t="s">
        <v>29</v>
      </c>
      <c r="P2459" t="s">
        <v>30</v>
      </c>
      <c r="Q2459" t="s">
        <v>31</v>
      </c>
      <c r="R2459">
        <v>82400</v>
      </c>
      <c r="S2459" t="s">
        <v>83</v>
      </c>
      <c r="T2459">
        <v>82658</v>
      </c>
      <c r="U2459" t="s">
        <v>33</v>
      </c>
      <c r="V2459" t="s">
        <v>33</v>
      </c>
      <c r="W2459" t="s">
        <v>34</v>
      </c>
      <c r="X2459" t="s">
        <v>34</v>
      </c>
      <c r="Y2459" s="9">
        <f t="shared" si="115"/>
        <v>0</v>
      </c>
      <c r="Z2459" t="str">
        <f t="shared" si="116"/>
        <v>สแกนต่าง Cost</v>
      </c>
    </row>
    <row r="2460" spans="1:26" x14ac:dyDescent="0.45">
      <c r="A2460">
        <v>25909</v>
      </c>
      <c r="B2460" t="s">
        <v>53</v>
      </c>
      <c r="C2460">
        <v>20331986</v>
      </c>
      <c r="D2460" t="s">
        <v>108</v>
      </c>
      <c r="E2460" s="10">
        <v>46116.469444444447</v>
      </c>
      <c r="F2460" s="10">
        <v>46116.729166666664</v>
      </c>
      <c r="G2460">
        <v>5.2333333333333334</v>
      </c>
      <c r="H2460" s="9">
        <f t="shared" si="114"/>
        <v>2.8000000000000001E-2</v>
      </c>
      <c r="I2460">
        <v>2.8000000000000001E-2</v>
      </c>
      <c r="M2460" t="s">
        <v>65</v>
      </c>
      <c r="N2460" t="s">
        <v>29</v>
      </c>
      <c r="P2460" t="s">
        <v>30</v>
      </c>
      <c r="Q2460" t="s">
        <v>31</v>
      </c>
      <c r="R2460">
        <v>82400</v>
      </c>
      <c r="S2460" t="s">
        <v>83</v>
      </c>
      <c r="T2460">
        <v>82658</v>
      </c>
      <c r="U2460" t="s">
        <v>33</v>
      </c>
      <c r="V2460" t="s">
        <v>33</v>
      </c>
      <c r="W2460" t="s">
        <v>34</v>
      </c>
      <c r="X2460" t="s">
        <v>34</v>
      </c>
      <c r="Y2460" s="9">
        <f t="shared" si="115"/>
        <v>0</v>
      </c>
      <c r="Z2460" t="str">
        <f t="shared" si="116"/>
        <v>สแกนต่าง Cost</v>
      </c>
    </row>
    <row r="2461" spans="1:26" x14ac:dyDescent="0.45">
      <c r="A2461">
        <v>25910</v>
      </c>
      <c r="B2461" t="s">
        <v>53</v>
      </c>
      <c r="C2461">
        <v>20352282</v>
      </c>
      <c r="D2461" t="s">
        <v>84</v>
      </c>
      <c r="E2461" s="10">
        <v>46116.469444444447</v>
      </c>
      <c r="F2461" s="10">
        <v>46116.729166666664</v>
      </c>
      <c r="G2461">
        <v>5.2333333333333334</v>
      </c>
      <c r="H2461" s="9">
        <f t="shared" si="114"/>
        <v>2.8000000000000001E-2</v>
      </c>
      <c r="I2461">
        <v>2.8000000000000001E-2</v>
      </c>
      <c r="M2461" t="s">
        <v>65</v>
      </c>
      <c r="N2461" t="s">
        <v>29</v>
      </c>
      <c r="P2461" t="s">
        <v>30</v>
      </c>
      <c r="Q2461" t="s">
        <v>31</v>
      </c>
      <c r="R2461">
        <v>82400</v>
      </c>
      <c r="S2461" t="s">
        <v>83</v>
      </c>
      <c r="T2461">
        <v>82658</v>
      </c>
      <c r="U2461" t="s">
        <v>33</v>
      </c>
      <c r="V2461" t="s">
        <v>33</v>
      </c>
      <c r="W2461" t="s">
        <v>34</v>
      </c>
      <c r="X2461" t="s">
        <v>34</v>
      </c>
      <c r="Y2461" s="9">
        <f t="shared" si="115"/>
        <v>0</v>
      </c>
      <c r="Z2461" t="str">
        <f t="shared" si="116"/>
        <v>สแกนต่าง Cost</v>
      </c>
    </row>
    <row r="2462" spans="1:26" x14ac:dyDescent="0.45">
      <c r="A2462">
        <v>25907</v>
      </c>
      <c r="B2462" t="s">
        <v>53</v>
      </c>
      <c r="C2462">
        <v>20372079</v>
      </c>
      <c r="D2462" t="s">
        <v>116</v>
      </c>
      <c r="E2462" s="10">
        <v>46116.467361111114</v>
      </c>
      <c r="F2462" s="10">
        <v>46116.729166666664</v>
      </c>
      <c r="G2462">
        <v>5.2833333333333332</v>
      </c>
      <c r="H2462" s="9">
        <f t="shared" si="114"/>
        <v>2.8000000000000001E-2</v>
      </c>
      <c r="I2462">
        <v>2.8000000000000001E-2</v>
      </c>
      <c r="M2462" t="s">
        <v>65</v>
      </c>
      <c r="N2462" t="s">
        <v>29</v>
      </c>
      <c r="P2462" t="s">
        <v>30</v>
      </c>
      <c r="Q2462" t="s">
        <v>31</v>
      </c>
      <c r="R2462">
        <v>82400</v>
      </c>
      <c r="S2462" t="s">
        <v>83</v>
      </c>
      <c r="T2462">
        <v>82658</v>
      </c>
      <c r="U2462" t="s">
        <v>33</v>
      </c>
      <c r="V2462" t="s">
        <v>33</v>
      </c>
      <c r="W2462" t="s">
        <v>34</v>
      </c>
      <c r="X2462" t="s">
        <v>34</v>
      </c>
      <c r="Y2462" s="9">
        <f t="shared" si="115"/>
        <v>0</v>
      </c>
      <c r="Z2462" t="str">
        <f t="shared" si="116"/>
        <v>สแกนต่าง Cost</v>
      </c>
    </row>
    <row r="2463" spans="1:26" x14ac:dyDescent="0.45">
      <c r="B2463" t="s">
        <v>53</v>
      </c>
      <c r="C2463">
        <v>20198839</v>
      </c>
      <c r="D2463" t="s">
        <v>258</v>
      </c>
      <c r="E2463" s="10">
        <v>46116.458333333336</v>
      </c>
      <c r="F2463" s="10">
        <v>46116.5</v>
      </c>
      <c r="G2463">
        <v>1</v>
      </c>
      <c r="H2463" s="9">
        <f t="shared" si="114"/>
        <v>5.0000000000000001E-3</v>
      </c>
      <c r="I2463">
        <v>5.0000000000000001E-3</v>
      </c>
      <c r="M2463" t="s">
        <v>65</v>
      </c>
      <c r="N2463" t="s">
        <v>29</v>
      </c>
      <c r="P2463" t="s">
        <v>30</v>
      </c>
      <c r="Q2463" t="s">
        <v>31</v>
      </c>
      <c r="R2463">
        <v>82640</v>
      </c>
      <c r="S2463" t="s">
        <v>42</v>
      </c>
      <c r="T2463">
        <v>82611</v>
      </c>
      <c r="U2463" t="s">
        <v>43</v>
      </c>
      <c r="V2463" t="s">
        <v>66</v>
      </c>
      <c r="W2463" t="s">
        <v>44</v>
      </c>
      <c r="X2463" t="s">
        <v>44</v>
      </c>
      <c r="Y2463" s="9">
        <f t="shared" si="115"/>
        <v>0</v>
      </c>
      <c r="Z2463" t="str">
        <f t="shared" si="116"/>
        <v>สแกนต่าง Cost</v>
      </c>
    </row>
    <row r="2464" spans="1:26" x14ac:dyDescent="0.45">
      <c r="B2464" t="s">
        <v>53</v>
      </c>
      <c r="C2464">
        <v>20280718</v>
      </c>
      <c r="D2464" t="s">
        <v>256</v>
      </c>
      <c r="E2464" s="10">
        <v>46116.458333333336</v>
      </c>
      <c r="F2464" s="10">
        <v>46116.479166666664</v>
      </c>
      <c r="G2464">
        <v>0.5</v>
      </c>
      <c r="H2464" s="9">
        <f t="shared" si="114"/>
        <v>3.0000000000000001E-3</v>
      </c>
      <c r="I2464">
        <v>3.0000000000000001E-3</v>
      </c>
      <c r="M2464" t="s">
        <v>65</v>
      </c>
      <c r="N2464" t="s">
        <v>29</v>
      </c>
      <c r="P2464" t="s">
        <v>30</v>
      </c>
      <c r="Q2464" t="s">
        <v>31</v>
      </c>
      <c r="R2464">
        <v>82640</v>
      </c>
      <c r="S2464" t="s">
        <v>42</v>
      </c>
      <c r="T2464">
        <v>82611</v>
      </c>
      <c r="U2464" t="s">
        <v>43</v>
      </c>
      <c r="V2464" t="s">
        <v>66</v>
      </c>
      <c r="W2464" t="s">
        <v>44</v>
      </c>
      <c r="X2464" t="s">
        <v>44</v>
      </c>
      <c r="Y2464" s="9">
        <f t="shared" si="115"/>
        <v>0</v>
      </c>
      <c r="Z2464" t="str">
        <f t="shared" si="116"/>
        <v>สแกนต่าง Cost</v>
      </c>
    </row>
    <row r="2465" spans="1:26" x14ac:dyDescent="0.45">
      <c r="B2465" t="s">
        <v>53</v>
      </c>
      <c r="C2465">
        <v>20310530</v>
      </c>
      <c r="D2465" t="s">
        <v>220</v>
      </c>
      <c r="E2465" s="10">
        <v>46116.458333333336</v>
      </c>
      <c r="F2465" s="10">
        <v>46116.479166666664</v>
      </c>
      <c r="G2465">
        <v>0.5</v>
      </c>
      <c r="H2465" s="9">
        <f t="shared" si="114"/>
        <v>3.0000000000000001E-3</v>
      </c>
      <c r="J2465">
        <v>3.0000000000000001E-3</v>
      </c>
      <c r="M2465" t="s">
        <v>77</v>
      </c>
      <c r="N2465" t="s">
        <v>40</v>
      </c>
      <c r="O2465" t="s">
        <v>78</v>
      </c>
      <c r="P2465" t="s">
        <v>30</v>
      </c>
      <c r="Q2465" t="s">
        <v>31</v>
      </c>
      <c r="R2465">
        <v>82640</v>
      </c>
      <c r="S2465" t="s">
        <v>42</v>
      </c>
      <c r="T2465">
        <v>82611</v>
      </c>
      <c r="U2465" t="s">
        <v>43</v>
      </c>
      <c r="V2465" t="s">
        <v>66</v>
      </c>
      <c r="W2465" t="s">
        <v>44</v>
      </c>
      <c r="X2465" t="s">
        <v>44</v>
      </c>
      <c r="Y2465" s="9">
        <f t="shared" si="115"/>
        <v>3.0000000000000001E-3</v>
      </c>
      <c r="Z2465" t="str">
        <f t="shared" si="116"/>
        <v>สแกนต่าง Cost</v>
      </c>
    </row>
    <row r="2466" spans="1:26" x14ac:dyDescent="0.45">
      <c r="B2466" t="s">
        <v>53</v>
      </c>
      <c r="C2466">
        <v>20280718</v>
      </c>
      <c r="D2466" t="s">
        <v>256</v>
      </c>
      <c r="E2466" s="10">
        <v>46116.4375</v>
      </c>
      <c r="F2466" s="10">
        <v>46116.458333333336</v>
      </c>
      <c r="G2466">
        <v>0.5</v>
      </c>
      <c r="H2466" s="9">
        <f t="shared" si="114"/>
        <v>3.0000000000000001E-3</v>
      </c>
      <c r="I2466">
        <v>3.0000000000000001E-3</v>
      </c>
      <c r="M2466" t="s">
        <v>65</v>
      </c>
      <c r="N2466" t="s">
        <v>29</v>
      </c>
      <c r="P2466" t="s">
        <v>30</v>
      </c>
      <c r="Q2466" t="s">
        <v>31</v>
      </c>
      <c r="R2466">
        <v>82640</v>
      </c>
      <c r="S2466" t="s">
        <v>42</v>
      </c>
      <c r="T2466">
        <v>82630</v>
      </c>
      <c r="U2466" t="s">
        <v>32</v>
      </c>
      <c r="V2466" t="s">
        <v>66</v>
      </c>
      <c r="W2466" t="s">
        <v>44</v>
      </c>
      <c r="X2466" t="s">
        <v>44</v>
      </c>
      <c r="Y2466" s="9">
        <f t="shared" si="115"/>
        <v>0</v>
      </c>
      <c r="Z2466" t="str">
        <f t="shared" si="116"/>
        <v>สแกนต่าง Cost</v>
      </c>
    </row>
    <row r="2467" spans="1:26" x14ac:dyDescent="0.45">
      <c r="B2467" t="s">
        <v>53</v>
      </c>
      <c r="C2467">
        <v>20310530</v>
      </c>
      <c r="D2467" t="s">
        <v>220</v>
      </c>
      <c r="E2467" s="10">
        <v>46116.4375</v>
      </c>
      <c r="F2467" s="10">
        <v>46116.458333333336</v>
      </c>
      <c r="G2467">
        <v>0.5</v>
      </c>
      <c r="H2467" s="9">
        <f t="shared" si="114"/>
        <v>3.0000000000000001E-3</v>
      </c>
      <c r="J2467">
        <v>3.0000000000000001E-3</v>
      </c>
      <c r="M2467" t="s">
        <v>77</v>
      </c>
      <c r="N2467" t="s">
        <v>40</v>
      </c>
      <c r="O2467" t="s">
        <v>78</v>
      </c>
      <c r="P2467" t="s">
        <v>30</v>
      </c>
      <c r="Q2467" t="s">
        <v>31</v>
      </c>
      <c r="R2467">
        <v>82640</v>
      </c>
      <c r="S2467" t="s">
        <v>42</v>
      </c>
      <c r="T2467">
        <v>82622</v>
      </c>
      <c r="U2467" t="s">
        <v>147</v>
      </c>
      <c r="V2467" t="s">
        <v>66</v>
      </c>
      <c r="W2467" t="s">
        <v>44</v>
      </c>
      <c r="X2467" t="s">
        <v>44</v>
      </c>
      <c r="Y2467" s="9">
        <f t="shared" si="115"/>
        <v>3.0000000000000001E-3</v>
      </c>
      <c r="Z2467" t="str">
        <f t="shared" si="116"/>
        <v>สแกนต่าง Cost</v>
      </c>
    </row>
    <row r="2468" spans="1:26" x14ac:dyDescent="0.45">
      <c r="B2468" t="s">
        <v>53</v>
      </c>
      <c r="C2468">
        <v>20332134</v>
      </c>
      <c r="D2468" t="s">
        <v>156</v>
      </c>
      <c r="E2468" s="10">
        <v>46116.4375</v>
      </c>
      <c r="F2468" s="10">
        <v>46116.5</v>
      </c>
      <c r="G2468">
        <v>1.5</v>
      </c>
      <c r="H2468" s="9">
        <f t="shared" si="114"/>
        <v>8.0000000000000002E-3</v>
      </c>
      <c r="J2468">
        <v>8.0000000000000002E-3</v>
      </c>
      <c r="M2468" t="s">
        <v>77</v>
      </c>
      <c r="N2468" t="s">
        <v>40</v>
      </c>
      <c r="O2468" t="s">
        <v>78</v>
      </c>
      <c r="P2468" t="s">
        <v>30</v>
      </c>
      <c r="Q2468" t="s">
        <v>31</v>
      </c>
      <c r="R2468">
        <v>82640</v>
      </c>
      <c r="S2468" t="s">
        <v>42</v>
      </c>
      <c r="T2468">
        <v>82630</v>
      </c>
      <c r="U2468" t="s">
        <v>32</v>
      </c>
      <c r="V2468" t="s">
        <v>66</v>
      </c>
      <c r="W2468" t="s">
        <v>44</v>
      </c>
      <c r="X2468" t="s">
        <v>44</v>
      </c>
      <c r="Y2468" s="9">
        <f t="shared" si="115"/>
        <v>8.0000000000000002E-3</v>
      </c>
      <c r="Z2468" t="str">
        <f t="shared" si="116"/>
        <v>สแกนต่าง Cost</v>
      </c>
    </row>
    <row r="2469" spans="1:26" x14ac:dyDescent="0.45">
      <c r="B2469" t="s">
        <v>53</v>
      </c>
      <c r="C2469">
        <v>20026534</v>
      </c>
      <c r="D2469" t="s">
        <v>279</v>
      </c>
      <c r="E2469" s="10">
        <v>46116.416666666664</v>
      </c>
      <c r="F2469" s="10">
        <v>46116.5</v>
      </c>
      <c r="G2469">
        <v>2</v>
      </c>
      <c r="H2469" s="9">
        <f t="shared" si="114"/>
        <v>1.0999999999999999E-2</v>
      </c>
      <c r="I2469">
        <v>1.0999999999999999E-2</v>
      </c>
      <c r="M2469" t="s">
        <v>65</v>
      </c>
      <c r="N2469" t="s">
        <v>29</v>
      </c>
      <c r="P2469" t="s">
        <v>30</v>
      </c>
      <c r="Q2469" t="s">
        <v>31</v>
      </c>
      <c r="R2469">
        <v>82640</v>
      </c>
      <c r="S2469" t="s">
        <v>42</v>
      </c>
      <c r="T2469">
        <v>82630</v>
      </c>
      <c r="U2469" t="s">
        <v>32</v>
      </c>
      <c r="V2469" t="s">
        <v>66</v>
      </c>
      <c r="W2469" t="s">
        <v>44</v>
      </c>
      <c r="X2469" t="s">
        <v>44</v>
      </c>
      <c r="Y2469" s="9">
        <f t="shared" si="115"/>
        <v>0</v>
      </c>
      <c r="Z2469" t="str">
        <f t="shared" si="116"/>
        <v>สแกนต่าง Cost</v>
      </c>
    </row>
    <row r="2470" spans="1:26" x14ac:dyDescent="0.45">
      <c r="B2470" t="s">
        <v>53</v>
      </c>
      <c r="C2470">
        <v>20060579</v>
      </c>
      <c r="D2470" t="s">
        <v>39</v>
      </c>
      <c r="E2470" s="10">
        <v>46116.416666666664</v>
      </c>
      <c r="F2470" s="10">
        <v>46116.479166666664</v>
      </c>
      <c r="G2470">
        <v>1.5</v>
      </c>
      <c r="H2470" s="9">
        <f t="shared" si="114"/>
        <v>8.0000000000000002E-3</v>
      </c>
      <c r="I2470">
        <v>8.0000000000000002E-3</v>
      </c>
      <c r="M2470" t="s">
        <v>65</v>
      </c>
      <c r="N2470" t="s">
        <v>29</v>
      </c>
      <c r="P2470" t="s">
        <v>30</v>
      </c>
      <c r="Q2470" t="s">
        <v>31</v>
      </c>
      <c r="R2470">
        <v>82640</v>
      </c>
      <c r="S2470" t="s">
        <v>42</v>
      </c>
      <c r="T2470">
        <v>82612</v>
      </c>
      <c r="U2470" t="s">
        <v>153</v>
      </c>
      <c r="V2470" t="s">
        <v>66</v>
      </c>
      <c r="W2470" t="s">
        <v>44</v>
      </c>
      <c r="X2470" t="s">
        <v>44</v>
      </c>
      <c r="Y2470" s="9">
        <f t="shared" si="115"/>
        <v>0</v>
      </c>
      <c r="Z2470" t="str">
        <f t="shared" si="116"/>
        <v>สแกนต่าง Cost</v>
      </c>
    </row>
    <row r="2471" spans="1:26" x14ac:dyDescent="0.45">
      <c r="B2471" t="s">
        <v>53</v>
      </c>
      <c r="C2471">
        <v>20167851</v>
      </c>
      <c r="D2471" t="s">
        <v>63</v>
      </c>
      <c r="E2471" s="10">
        <v>46116.416666666664</v>
      </c>
      <c r="F2471" s="10">
        <v>46116.479166666664</v>
      </c>
      <c r="G2471">
        <v>1.5</v>
      </c>
      <c r="H2471" s="9">
        <f t="shared" si="114"/>
        <v>8.0000000000000002E-3</v>
      </c>
      <c r="J2471">
        <v>8.0000000000000002E-3</v>
      </c>
      <c r="M2471" t="s">
        <v>77</v>
      </c>
      <c r="N2471" t="s">
        <v>40</v>
      </c>
      <c r="O2471" t="s">
        <v>78</v>
      </c>
      <c r="P2471" t="s">
        <v>30</v>
      </c>
      <c r="Q2471" t="s">
        <v>31</v>
      </c>
      <c r="R2471">
        <v>82640</v>
      </c>
      <c r="S2471" t="s">
        <v>42</v>
      </c>
      <c r="T2471">
        <v>82630</v>
      </c>
      <c r="U2471" t="s">
        <v>32</v>
      </c>
      <c r="V2471" t="s">
        <v>66</v>
      </c>
      <c r="W2471" t="s">
        <v>44</v>
      </c>
      <c r="X2471" t="s">
        <v>44</v>
      </c>
      <c r="Y2471" s="9">
        <f t="shared" si="115"/>
        <v>8.0000000000000002E-3</v>
      </c>
      <c r="Z2471" t="str">
        <f t="shared" si="116"/>
        <v>สแกนต่าง Cost</v>
      </c>
    </row>
    <row r="2472" spans="1:26" x14ac:dyDescent="0.45">
      <c r="B2472" t="s">
        <v>53</v>
      </c>
      <c r="C2472">
        <v>20198839</v>
      </c>
      <c r="D2472" t="s">
        <v>258</v>
      </c>
      <c r="E2472" s="10">
        <v>46116.416666666664</v>
      </c>
      <c r="F2472" s="10">
        <v>46116.458333333336</v>
      </c>
      <c r="G2472">
        <v>1</v>
      </c>
      <c r="H2472" s="9">
        <f t="shared" si="114"/>
        <v>5.0000000000000001E-3</v>
      </c>
      <c r="I2472">
        <v>5.0000000000000001E-3</v>
      </c>
      <c r="M2472" t="s">
        <v>65</v>
      </c>
      <c r="N2472" t="s">
        <v>29</v>
      </c>
      <c r="P2472" t="s">
        <v>30</v>
      </c>
      <c r="Q2472" t="s">
        <v>31</v>
      </c>
      <c r="R2472">
        <v>82640</v>
      </c>
      <c r="S2472" t="s">
        <v>42</v>
      </c>
      <c r="T2472">
        <v>82652</v>
      </c>
      <c r="U2472" t="s">
        <v>46</v>
      </c>
      <c r="V2472" t="s">
        <v>66</v>
      </c>
      <c r="W2472" t="s">
        <v>44</v>
      </c>
      <c r="X2472" t="s">
        <v>44</v>
      </c>
      <c r="Y2472" s="9">
        <f t="shared" si="115"/>
        <v>0</v>
      </c>
      <c r="Z2472" t="str">
        <f t="shared" si="116"/>
        <v>สแกนต่าง Cost</v>
      </c>
    </row>
    <row r="2473" spans="1:26" x14ac:dyDescent="0.45">
      <c r="B2473" t="s">
        <v>53</v>
      </c>
      <c r="C2473">
        <v>20280718</v>
      </c>
      <c r="D2473" t="s">
        <v>256</v>
      </c>
      <c r="E2473" s="10">
        <v>46116.416666666664</v>
      </c>
      <c r="F2473" s="10">
        <v>46116.4375</v>
      </c>
      <c r="G2473">
        <v>0.5</v>
      </c>
      <c r="H2473" s="9">
        <f t="shared" si="114"/>
        <v>3.0000000000000001E-3</v>
      </c>
      <c r="I2473">
        <v>3.0000000000000001E-3</v>
      </c>
      <c r="M2473" t="s">
        <v>65</v>
      </c>
      <c r="N2473" t="s">
        <v>29</v>
      </c>
      <c r="P2473" t="s">
        <v>30</v>
      </c>
      <c r="Q2473" t="s">
        <v>31</v>
      </c>
      <c r="R2473">
        <v>82640</v>
      </c>
      <c r="S2473" t="s">
        <v>42</v>
      </c>
      <c r="T2473">
        <v>82622</v>
      </c>
      <c r="U2473" t="s">
        <v>147</v>
      </c>
      <c r="V2473" t="s">
        <v>66</v>
      </c>
      <c r="W2473" t="s">
        <v>44</v>
      </c>
      <c r="X2473" t="s">
        <v>44</v>
      </c>
      <c r="Y2473" s="9">
        <f t="shared" si="115"/>
        <v>0</v>
      </c>
      <c r="Z2473" t="str">
        <f t="shared" si="116"/>
        <v>สแกนต่าง Cost</v>
      </c>
    </row>
    <row r="2474" spans="1:26" x14ac:dyDescent="0.45">
      <c r="B2474" t="s">
        <v>53</v>
      </c>
      <c r="C2474">
        <v>20026534</v>
      </c>
      <c r="D2474" t="s">
        <v>279</v>
      </c>
      <c r="E2474" s="10">
        <v>46116.395833333336</v>
      </c>
      <c r="F2474" s="10">
        <v>46116.416666666664</v>
      </c>
      <c r="G2474">
        <v>0.5</v>
      </c>
      <c r="H2474" s="9">
        <f t="shared" si="114"/>
        <v>3.0000000000000001E-3</v>
      </c>
      <c r="I2474">
        <v>3.0000000000000001E-3</v>
      </c>
      <c r="M2474" t="s">
        <v>65</v>
      </c>
      <c r="N2474" t="s">
        <v>29</v>
      </c>
      <c r="P2474" t="s">
        <v>30</v>
      </c>
      <c r="Q2474" t="s">
        <v>31</v>
      </c>
      <c r="R2474">
        <v>82640</v>
      </c>
      <c r="S2474" t="s">
        <v>42</v>
      </c>
      <c r="T2474">
        <v>82611</v>
      </c>
      <c r="U2474" t="s">
        <v>43</v>
      </c>
      <c r="V2474" t="s">
        <v>66</v>
      </c>
      <c r="W2474" t="s">
        <v>44</v>
      </c>
      <c r="X2474" t="s">
        <v>44</v>
      </c>
      <c r="Y2474" s="9">
        <f t="shared" si="115"/>
        <v>0</v>
      </c>
      <c r="Z2474" t="str">
        <f t="shared" si="116"/>
        <v>สแกนต่าง Cost</v>
      </c>
    </row>
    <row r="2475" spans="1:26" x14ac:dyDescent="0.45">
      <c r="B2475" t="s">
        <v>53</v>
      </c>
      <c r="C2475">
        <v>20310530</v>
      </c>
      <c r="D2475" t="s">
        <v>220</v>
      </c>
      <c r="E2475" s="10">
        <v>46116.395833333336</v>
      </c>
      <c r="F2475" s="10">
        <v>46116.416666666664</v>
      </c>
      <c r="G2475">
        <v>0.5</v>
      </c>
      <c r="H2475" s="9">
        <f t="shared" si="114"/>
        <v>3.0000000000000001E-3</v>
      </c>
      <c r="J2475">
        <v>3.0000000000000001E-3</v>
      </c>
      <c r="M2475" t="s">
        <v>77</v>
      </c>
      <c r="N2475" t="s">
        <v>40</v>
      </c>
      <c r="O2475" t="s">
        <v>78</v>
      </c>
      <c r="P2475" t="s">
        <v>30</v>
      </c>
      <c r="Q2475" t="s">
        <v>31</v>
      </c>
      <c r="R2475">
        <v>82640</v>
      </c>
      <c r="S2475" t="s">
        <v>42</v>
      </c>
      <c r="T2475">
        <v>82630</v>
      </c>
      <c r="U2475" t="s">
        <v>32</v>
      </c>
      <c r="V2475" t="s">
        <v>66</v>
      </c>
      <c r="W2475" t="s">
        <v>44</v>
      </c>
      <c r="X2475" t="s">
        <v>44</v>
      </c>
      <c r="Y2475" s="9">
        <f t="shared" si="115"/>
        <v>3.0000000000000001E-3</v>
      </c>
      <c r="Z2475" t="str">
        <f t="shared" si="116"/>
        <v>สแกนต่าง Cost</v>
      </c>
    </row>
    <row r="2476" spans="1:26" x14ac:dyDescent="0.45">
      <c r="A2476">
        <v>25904</v>
      </c>
      <c r="B2476" t="s">
        <v>53</v>
      </c>
      <c r="C2476">
        <v>20372079</v>
      </c>
      <c r="D2476" t="s">
        <v>116</v>
      </c>
      <c r="E2476" s="10">
        <v>46116.381944444445</v>
      </c>
      <c r="F2476" s="10">
        <v>46116.463888888888</v>
      </c>
      <c r="G2476">
        <v>1.9666666666666666</v>
      </c>
      <c r="H2476" s="9">
        <f t="shared" si="114"/>
        <v>1.0999999999999999E-2</v>
      </c>
      <c r="I2476">
        <v>1.0999999999999999E-2</v>
      </c>
      <c r="M2476" t="s">
        <v>65</v>
      </c>
      <c r="N2476" t="s">
        <v>29</v>
      </c>
      <c r="P2476" t="s">
        <v>30</v>
      </c>
      <c r="Q2476" t="s">
        <v>31</v>
      </c>
      <c r="R2476">
        <v>82400</v>
      </c>
      <c r="S2476" t="s">
        <v>83</v>
      </c>
      <c r="T2476">
        <v>82652</v>
      </c>
      <c r="U2476" t="s">
        <v>46</v>
      </c>
      <c r="V2476" t="s">
        <v>46</v>
      </c>
      <c r="W2476" t="s">
        <v>91</v>
      </c>
      <c r="X2476" t="s">
        <v>34</v>
      </c>
      <c r="Y2476" s="9">
        <f t="shared" si="115"/>
        <v>0</v>
      </c>
      <c r="Z2476" t="str">
        <f t="shared" si="116"/>
        <v>สแกนต่าง Cost</v>
      </c>
    </row>
    <row r="2477" spans="1:26" x14ac:dyDescent="0.45">
      <c r="A2477">
        <v>25901</v>
      </c>
      <c r="B2477" t="s">
        <v>53</v>
      </c>
      <c r="C2477">
        <v>20328003</v>
      </c>
      <c r="D2477" t="s">
        <v>107</v>
      </c>
      <c r="E2477" s="10">
        <v>46116.37777777778</v>
      </c>
      <c r="F2477" s="10">
        <v>46116.463194444441</v>
      </c>
      <c r="G2477">
        <v>2.0499999999999998</v>
      </c>
      <c r="H2477" s="9">
        <f t="shared" si="114"/>
        <v>1.0999999999999999E-2</v>
      </c>
      <c r="I2477">
        <v>1.0999999999999999E-2</v>
      </c>
      <c r="M2477" t="s">
        <v>65</v>
      </c>
      <c r="N2477" t="s">
        <v>29</v>
      </c>
      <c r="P2477" t="s">
        <v>30</v>
      </c>
      <c r="Q2477" t="s">
        <v>31</v>
      </c>
      <c r="R2477">
        <v>82400</v>
      </c>
      <c r="S2477" t="s">
        <v>83</v>
      </c>
      <c r="T2477">
        <v>82652</v>
      </c>
      <c r="U2477" t="s">
        <v>46</v>
      </c>
      <c r="V2477" t="s">
        <v>46</v>
      </c>
      <c r="W2477" t="s">
        <v>91</v>
      </c>
      <c r="X2477" t="s">
        <v>34</v>
      </c>
      <c r="Y2477" s="9">
        <f t="shared" si="115"/>
        <v>0</v>
      </c>
      <c r="Z2477" t="str">
        <f t="shared" si="116"/>
        <v>สแกนต่าง Cost</v>
      </c>
    </row>
    <row r="2478" spans="1:26" x14ac:dyDescent="0.45">
      <c r="A2478">
        <v>25902</v>
      </c>
      <c r="B2478" t="s">
        <v>53</v>
      </c>
      <c r="C2478">
        <v>20352282</v>
      </c>
      <c r="D2478" t="s">
        <v>84</v>
      </c>
      <c r="E2478" s="10">
        <v>46116.37777777778</v>
      </c>
      <c r="F2478" s="10">
        <v>46116.463194444441</v>
      </c>
      <c r="G2478">
        <v>2.0499999999999998</v>
      </c>
      <c r="H2478" s="9">
        <f t="shared" si="114"/>
        <v>1.0999999999999999E-2</v>
      </c>
      <c r="I2478">
        <v>1.0999999999999999E-2</v>
      </c>
      <c r="M2478" t="s">
        <v>65</v>
      </c>
      <c r="N2478" t="s">
        <v>29</v>
      </c>
      <c r="P2478" t="s">
        <v>30</v>
      </c>
      <c r="Q2478" t="s">
        <v>31</v>
      </c>
      <c r="R2478">
        <v>82400</v>
      </c>
      <c r="S2478" t="s">
        <v>83</v>
      </c>
      <c r="T2478">
        <v>82652</v>
      </c>
      <c r="U2478" t="s">
        <v>46</v>
      </c>
      <c r="V2478" t="s">
        <v>46</v>
      </c>
      <c r="W2478" t="s">
        <v>91</v>
      </c>
      <c r="X2478" t="s">
        <v>34</v>
      </c>
      <c r="Y2478" s="9">
        <f t="shared" si="115"/>
        <v>0</v>
      </c>
      <c r="Z2478" t="str">
        <f t="shared" si="116"/>
        <v>สแกนต่าง Cost</v>
      </c>
    </row>
    <row r="2479" spans="1:26" x14ac:dyDescent="0.45">
      <c r="A2479">
        <v>25520</v>
      </c>
      <c r="B2479" t="s">
        <v>53</v>
      </c>
      <c r="C2479">
        <v>20015221</v>
      </c>
      <c r="D2479" t="s">
        <v>307</v>
      </c>
      <c r="E2479" s="10">
        <v>46116.375</v>
      </c>
      <c r="F2479" s="10">
        <v>46116.770833333336</v>
      </c>
      <c r="G2479">
        <v>8.5</v>
      </c>
      <c r="H2479" s="9">
        <f t="shared" si="114"/>
        <v>4.4999999999999998E-2</v>
      </c>
      <c r="I2479">
        <v>4.4999999999999998E-2</v>
      </c>
      <c r="M2479" t="s">
        <v>65</v>
      </c>
      <c r="N2479" t="s">
        <v>29</v>
      </c>
      <c r="P2479" t="s">
        <v>30</v>
      </c>
      <c r="Q2479" t="s">
        <v>31</v>
      </c>
      <c r="R2479">
        <v>82301</v>
      </c>
      <c r="S2479" t="s">
        <v>79</v>
      </c>
      <c r="T2479">
        <v>82308</v>
      </c>
      <c r="U2479" t="s">
        <v>69</v>
      </c>
      <c r="V2479" t="s">
        <v>69</v>
      </c>
      <c r="W2479" t="s">
        <v>69</v>
      </c>
      <c r="X2479" t="s">
        <v>88</v>
      </c>
      <c r="Y2479" s="9">
        <f t="shared" si="115"/>
        <v>0</v>
      </c>
      <c r="Z2479" t="str">
        <f t="shared" si="116"/>
        <v>สแกนต่าง Cost</v>
      </c>
    </row>
    <row r="2480" spans="1:26" x14ac:dyDescent="0.45">
      <c r="A2480">
        <v>25886</v>
      </c>
      <c r="B2480" t="s">
        <v>53</v>
      </c>
      <c r="C2480">
        <v>20023073</v>
      </c>
      <c r="D2480" t="s">
        <v>199</v>
      </c>
      <c r="E2480" s="10">
        <v>46116.375</v>
      </c>
      <c r="F2480" s="10">
        <v>46116.729166666664</v>
      </c>
      <c r="G2480">
        <v>7.5</v>
      </c>
      <c r="H2480" s="9">
        <f t="shared" si="114"/>
        <v>0.04</v>
      </c>
      <c r="J2480">
        <v>0.04</v>
      </c>
      <c r="M2480" t="s">
        <v>77</v>
      </c>
      <c r="N2480" t="s">
        <v>40</v>
      </c>
      <c r="O2480" t="s">
        <v>78</v>
      </c>
      <c r="P2480" t="s">
        <v>30</v>
      </c>
      <c r="Q2480" t="s">
        <v>31</v>
      </c>
      <c r="R2480">
        <v>82301</v>
      </c>
      <c r="S2480" t="s">
        <v>79</v>
      </c>
      <c r="T2480">
        <v>82658</v>
      </c>
      <c r="U2480" t="s">
        <v>33</v>
      </c>
      <c r="V2480" t="s">
        <v>33</v>
      </c>
      <c r="W2480" t="s">
        <v>37</v>
      </c>
      <c r="X2480" t="s">
        <v>38</v>
      </c>
      <c r="Y2480" s="9">
        <f t="shared" si="115"/>
        <v>0.04</v>
      </c>
      <c r="Z2480" t="str">
        <f t="shared" si="116"/>
        <v>สแกนต่าง Cost</v>
      </c>
    </row>
    <row r="2481" spans="1:26" x14ac:dyDescent="0.45">
      <c r="A2481">
        <v>25888</v>
      </c>
      <c r="B2481" t="s">
        <v>53</v>
      </c>
      <c r="C2481">
        <v>20025699</v>
      </c>
      <c r="D2481" t="s">
        <v>234</v>
      </c>
      <c r="E2481" s="10">
        <v>46116.375</v>
      </c>
      <c r="F2481" s="10">
        <v>46116.729166666664</v>
      </c>
      <c r="G2481">
        <v>7.5</v>
      </c>
      <c r="H2481" s="9">
        <f t="shared" si="114"/>
        <v>0.04</v>
      </c>
      <c r="I2481">
        <v>0.04</v>
      </c>
      <c r="M2481" t="s">
        <v>65</v>
      </c>
      <c r="N2481" t="s">
        <v>29</v>
      </c>
      <c r="P2481" t="s">
        <v>30</v>
      </c>
      <c r="Q2481" t="s">
        <v>31</v>
      </c>
      <c r="R2481">
        <v>82301</v>
      </c>
      <c r="S2481" t="s">
        <v>79</v>
      </c>
      <c r="T2481">
        <v>82658</v>
      </c>
      <c r="U2481" t="s">
        <v>33</v>
      </c>
      <c r="V2481" t="s">
        <v>33</v>
      </c>
      <c r="W2481" t="s">
        <v>37</v>
      </c>
      <c r="X2481" t="s">
        <v>38</v>
      </c>
      <c r="Y2481" s="9">
        <f t="shared" si="115"/>
        <v>0</v>
      </c>
      <c r="Z2481" t="str">
        <f t="shared" si="116"/>
        <v>สแกนต่าง Cost</v>
      </c>
    </row>
    <row r="2482" spans="1:26" x14ac:dyDescent="0.45">
      <c r="B2482" t="s">
        <v>53</v>
      </c>
      <c r="C2482">
        <v>20198839</v>
      </c>
      <c r="D2482" t="s">
        <v>258</v>
      </c>
      <c r="E2482" s="10">
        <v>46116.375</v>
      </c>
      <c r="F2482" s="10">
        <v>46116.416666666664</v>
      </c>
      <c r="G2482">
        <v>1</v>
      </c>
      <c r="H2482" s="9">
        <f t="shared" si="114"/>
        <v>5.0000000000000001E-3</v>
      </c>
      <c r="I2482">
        <v>5.0000000000000001E-3</v>
      </c>
      <c r="M2482" t="s">
        <v>65</v>
      </c>
      <c r="N2482" t="s">
        <v>29</v>
      </c>
      <c r="P2482" t="s">
        <v>30</v>
      </c>
      <c r="Q2482" t="s">
        <v>31</v>
      </c>
      <c r="R2482">
        <v>82640</v>
      </c>
      <c r="S2482" t="s">
        <v>42</v>
      </c>
      <c r="T2482">
        <v>82611</v>
      </c>
      <c r="U2482" t="s">
        <v>43</v>
      </c>
      <c r="V2482" t="s">
        <v>66</v>
      </c>
      <c r="W2482" t="s">
        <v>44</v>
      </c>
      <c r="X2482" t="s">
        <v>44</v>
      </c>
      <c r="Y2482" s="9">
        <f t="shared" si="115"/>
        <v>0</v>
      </c>
      <c r="Z2482" t="str">
        <f t="shared" si="116"/>
        <v>สแกนต่าง Cost</v>
      </c>
    </row>
    <row r="2483" spans="1:26" x14ac:dyDescent="0.45">
      <c r="A2483">
        <v>25885</v>
      </c>
      <c r="B2483" t="s">
        <v>53</v>
      </c>
      <c r="C2483">
        <v>20276251</v>
      </c>
      <c r="D2483" t="s">
        <v>376</v>
      </c>
      <c r="E2483" s="10">
        <v>46116.375</v>
      </c>
      <c r="F2483" s="10">
        <v>46116.729166666664</v>
      </c>
      <c r="G2483">
        <v>7.5</v>
      </c>
      <c r="H2483" s="9">
        <f t="shared" si="114"/>
        <v>0.04</v>
      </c>
      <c r="I2483">
        <v>0.04</v>
      </c>
      <c r="M2483" t="s">
        <v>65</v>
      </c>
      <c r="N2483" t="s">
        <v>29</v>
      </c>
      <c r="P2483" t="s">
        <v>30</v>
      </c>
      <c r="Q2483" t="s">
        <v>31</v>
      </c>
      <c r="R2483">
        <v>82210</v>
      </c>
      <c r="S2483" t="s">
        <v>184</v>
      </c>
      <c r="T2483">
        <v>82658</v>
      </c>
      <c r="U2483" t="s">
        <v>33</v>
      </c>
      <c r="V2483" t="s">
        <v>33</v>
      </c>
      <c r="W2483" t="s">
        <v>37</v>
      </c>
      <c r="X2483" t="s">
        <v>38</v>
      </c>
      <c r="Y2483" s="9">
        <f t="shared" si="115"/>
        <v>0</v>
      </c>
      <c r="Z2483" t="str">
        <f t="shared" si="116"/>
        <v>สแกนต่าง Cost</v>
      </c>
    </row>
    <row r="2484" spans="1:26" x14ac:dyDescent="0.45">
      <c r="A2484">
        <v>25887</v>
      </c>
      <c r="B2484" t="s">
        <v>53</v>
      </c>
      <c r="C2484">
        <v>20276264</v>
      </c>
      <c r="D2484" t="s">
        <v>236</v>
      </c>
      <c r="E2484" s="10">
        <v>46116.375</v>
      </c>
      <c r="F2484" s="10">
        <v>46116.729166666664</v>
      </c>
      <c r="G2484">
        <v>7.5</v>
      </c>
      <c r="H2484" s="9">
        <f t="shared" si="114"/>
        <v>0.04</v>
      </c>
      <c r="J2484">
        <v>0.04</v>
      </c>
      <c r="M2484" t="s">
        <v>77</v>
      </c>
      <c r="N2484" t="s">
        <v>29</v>
      </c>
      <c r="P2484" t="s">
        <v>30</v>
      </c>
      <c r="Q2484" t="s">
        <v>31</v>
      </c>
      <c r="R2484">
        <v>82301</v>
      </c>
      <c r="S2484" t="s">
        <v>79</v>
      </c>
      <c r="T2484">
        <v>82658</v>
      </c>
      <c r="U2484" t="s">
        <v>33</v>
      </c>
      <c r="V2484" t="s">
        <v>33</v>
      </c>
      <c r="W2484" t="s">
        <v>37</v>
      </c>
      <c r="X2484" t="s">
        <v>38</v>
      </c>
      <c r="Y2484" s="9">
        <f t="shared" si="115"/>
        <v>0.04</v>
      </c>
      <c r="Z2484" t="str">
        <f t="shared" si="116"/>
        <v>สแกนต่าง Cost</v>
      </c>
    </row>
    <row r="2485" spans="1:26" x14ac:dyDescent="0.45">
      <c r="B2485" t="s">
        <v>53</v>
      </c>
      <c r="C2485">
        <v>20310530</v>
      </c>
      <c r="D2485" t="s">
        <v>220</v>
      </c>
      <c r="E2485" s="10">
        <v>46116.375</v>
      </c>
      <c r="F2485" s="10">
        <v>46116.395833333336</v>
      </c>
      <c r="G2485">
        <v>0.5</v>
      </c>
      <c r="H2485" s="9">
        <f t="shared" si="114"/>
        <v>3.0000000000000001E-3</v>
      </c>
      <c r="J2485">
        <v>3.0000000000000001E-3</v>
      </c>
      <c r="M2485" t="s">
        <v>77</v>
      </c>
      <c r="N2485" t="s">
        <v>40</v>
      </c>
      <c r="O2485" t="s">
        <v>78</v>
      </c>
      <c r="P2485" t="s">
        <v>30</v>
      </c>
      <c r="Q2485" t="s">
        <v>31</v>
      </c>
      <c r="R2485">
        <v>82640</v>
      </c>
      <c r="S2485" t="s">
        <v>42</v>
      </c>
      <c r="T2485">
        <v>82622</v>
      </c>
      <c r="U2485" t="s">
        <v>147</v>
      </c>
      <c r="V2485" t="s">
        <v>66</v>
      </c>
      <c r="W2485" t="s">
        <v>44</v>
      </c>
      <c r="X2485" t="s">
        <v>44</v>
      </c>
      <c r="Y2485" s="9">
        <f t="shared" si="115"/>
        <v>3.0000000000000001E-3</v>
      </c>
      <c r="Z2485" t="str">
        <f t="shared" si="116"/>
        <v>สแกนต่าง Cost</v>
      </c>
    </row>
    <row r="2486" spans="1:26" x14ac:dyDescent="0.45">
      <c r="A2486">
        <v>25889</v>
      </c>
      <c r="B2486" t="s">
        <v>53</v>
      </c>
      <c r="C2486">
        <v>20331986</v>
      </c>
      <c r="D2486" t="s">
        <v>108</v>
      </c>
      <c r="E2486" s="10">
        <v>46116.375</v>
      </c>
      <c r="F2486" s="10">
        <v>46116.463194444441</v>
      </c>
      <c r="G2486">
        <v>2.1166666666666667</v>
      </c>
      <c r="H2486" s="9">
        <f t="shared" si="114"/>
        <v>1.0999999999999999E-2</v>
      </c>
      <c r="I2486">
        <v>1.0999999999999999E-2</v>
      </c>
      <c r="M2486" t="s">
        <v>65</v>
      </c>
      <c r="N2486" t="s">
        <v>29</v>
      </c>
      <c r="P2486" t="s">
        <v>30</v>
      </c>
      <c r="Q2486" t="s">
        <v>31</v>
      </c>
      <c r="R2486">
        <v>82400</v>
      </c>
      <c r="S2486" t="s">
        <v>83</v>
      </c>
      <c r="T2486">
        <v>82652</v>
      </c>
      <c r="U2486" t="s">
        <v>46</v>
      </c>
      <c r="V2486" t="s">
        <v>46</v>
      </c>
      <c r="W2486" t="s">
        <v>34</v>
      </c>
      <c r="X2486" t="s">
        <v>34</v>
      </c>
      <c r="Y2486" s="9">
        <f t="shared" si="115"/>
        <v>0</v>
      </c>
      <c r="Z2486" t="str">
        <f t="shared" si="116"/>
        <v>สแกนต่าง Cost</v>
      </c>
    </row>
    <row r="2487" spans="1:26" x14ac:dyDescent="0.45">
      <c r="B2487" t="s">
        <v>53</v>
      </c>
      <c r="C2487">
        <v>20332134</v>
      </c>
      <c r="D2487" t="s">
        <v>156</v>
      </c>
      <c r="E2487" s="10">
        <v>46116.375</v>
      </c>
      <c r="F2487" s="10">
        <v>46116.4375</v>
      </c>
      <c r="G2487">
        <v>1.5</v>
      </c>
      <c r="H2487" s="9">
        <f t="shared" si="114"/>
        <v>8.0000000000000002E-3</v>
      </c>
      <c r="J2487">
        <v>8.0000000000000002E-3</v>
      </c>
      <c r="M2487" t="s">
        <v>77</v>
      </c>
      <c r="N2487" t="s">
        <v>40</v>
      </c>
      <c r="O2487" t="s">
        <v>78</v>
      </c>
      <c r="P2487" t="s">
        <v>30</v>
      </c>
      <c r="Q2487" t="s">
        <v>31</v>
      </c>
      <c r="R2487">
        <v>82640</v>
      </c>
      <c r="S2487" t="s">
        <v>42</v>
      </c>
      <c r="T2487">
        <v>82612</v>
      </c>
      <c r="U2487" t="s">
        <v>153</v>
      </c>
      <c r="V2487" t="s">
        <v>66</v>
      </c>
      <c r="W2487" t="s">
        <v>44</v>
      </c>
      <c r="X2487" t="s">
        <v>44</v>
      </c>
      <c r="Y2487" s="9">
        <f t="shared" si="115"/>
        <v>8.0000000000000002E-3</v>
      </c>
      <c r="Z2487" t="str">
        <f t="shared" si="116"/>
        <v>สแกนต่าง Cost</v>
      </c>
    </row>
    <row r="2488" spans="1:26" x14ac:dyDescent="0.45">
      <c r="A2488">
        <v>25884</v>
      </c>
      <c r="B2488" t="s">
        <v>53</v>
      </c>
      <c r="C2488">
        <v>20054824</v>
      </c>
      <c r="D2488" t="s">
        <v>385</v>
      </c>
      <c r="E2488" s="10">
        <v>46116.374305555553</v>
      </c>
      <c r="F2488" s="10">
        <v>46116.729166666664</v>
      </c>
      <c r="G2488">
        <v>7.5166666666666675</v>
      </c>
      <c r="H2488" s="9">
        <f t="shared" si="114"/>
        <v>0.04</v>
      </c>
      <c r="I2488">
        <v>0.04</v>
      </c>
      <c r="M2488" t="s">
        <v>65</v>
      </c>
      <c r="N2488" t="s">
        <v>29</v>
      </c>
      <c r="P2488" t="s">
        <v>30</v>
      </c>
      <c r="Q2488" t="s">
        <v>31</v>
      </c>
      <c r="R2488">
        <v>82640</v>
      </c>
      <c r="S2488" t="s">
        <v>42</v>
      </c>
      <c r="T2488">
        <v>82658</v>
      </c>
      <c r="U2488" t="s">
        <v>33</v>
      </c>
      <c r="V2488" t="s">
        <v>33</v>
      </c>
      <c r="W2488" t="s">
        <v>37</v>
      </c>
      <c r="X2488" t="s">
        <v>38</v>
      </c>
      <c r="Y2488" s="9">
        <f t="shared" si="115"/>
        <v>0</v>
      </c>
      <c r="Z2488" t="str">
        <f t="shared" si="116"/>
        <v>สแกนต่าง Cost</v>
      </c>
    </row>
    <row r="2489" spans="1:26" x14ac:dyDescent="0.45">
      <c r="B2489" t="s">
        <v>53</v>
      </c>
      <c r="C2489">
        <v>20026534</v>
      </c>
      <c r="D2489" t="s">
        <v>279</v>
      </c>
      <c r="E2489" s="10">
        <v>46116.354166666664</v>
      </c>
      <c r="F2489" s="10">
        <v>46116.395833333336</v>
      </c>
      <c r="G2489">
        <v>1</v>
      </c>
      <c r="H2489" s="9">
        <f t="shared" si="114"/>
        <v>5.0000000000000001E-3</v>
      </c>
      <c r="I2489">
        <v>5.0000000000000001E-3</v>
      </c>
      <c r="M2489" t="s">
        <v>65</v>
      </c>
      <c r="N2489" t="s">
        <v>29</v>
      </c>
      <c r="P2489" t="s">
        <v>30</v>
      </c>
      <c r="Q2489" t="s">
        <v>31</v>
      </c>
      <c r="R2489">
        <v>82640</v>
      </c>
      <c r="S2489" t="s">
        <v>42</v>
      </c>
      <c r="T2489">
        <v>82630</v>
      </c>
      <c r="U2489" t="s">
        <v>32</v>
      </c>
      <c r="V2489" t="s">
        <v>66</v>
      </c>
      <c r="W2489" t="s">
        <v>44</v>
      </c>
      <c r="X2489" t="s">
        <v>44</v>
      </c>
      <c r="Y2489" s="9">
        <f t="shared" si="115"/>
        <v>0</v>
      </c>
      <c r="Z2489" t="str">
        <f t="shared" si="116"/>
        <v>สแกนต่าง Cost</v>
      </c>
    </row>
    <row r="2490" spans="1:26" x14ac:dyDescent="0.45">
      <c r="B2490" t="s">
        <v>53</v>
      </c>
      <c r="C2490">
        <v>20060579</v>
      </c>
      <c r="D2490" t="s">
        <v>39</v>
      </c>
      <c r="E2490" s="10">
        <v>46116.354166666664</v>
      </c>
      <c r="F2490" s="10">
        <v>46116.416666666664</v>
      </c>
      <c r="G2490">
        <v>1.5</v>
      </c>
      <c r="H2490" s="9">
        <f t="shared" si="114"/>
        <v>8.0000000000000002E-3</v>
      </c>
      <c r="I2490">
        <v>8.0000000000000002E-3</v>
      </c>
      <c r="M2490" t="s">
        <v>65</v>
      </c>
      <c r="N2490" t="s">
        <v>29</v>
      </c>
      <c r="P2490" t="s">
        <v>30</v>
      </c>
      <c r="Q2490" t="s">
        <v>31</v>
      </c>
      <c r="R2490">
        <v>82640</v>
      </c>
      <c r="S2490" t="s">
        <v>42</v>
      </c>
      <c r="T2490">
        <v>82630</v>
      </c>
      <c r="U2490" t="s">
        <v>32</v>
      </c>
      <c r="V2490" t="s">
        <v>66</v>
      </c>
      <c r="W2490" t="s">
        <v>44</v>
      </c>
      <c r="X2490" t="s">
        <v>44</v>
      </c>
      <c r="Y2490" s="9">
        <f t="shared" si="115"/>
        <v>0</v>
      </c>
      <c r="Z2490" t="str">
        <f t="shared" si="116"/>
        <v>สแกนต่าง Cost</v>
      </c>
    </row>
    <row r="2491" spans="1:26" x14ac:dyDescent="0.45">
      <c r="B2491" t="s">
        <v>53</v>
      </c>
      <c r="C2491">
        <v>20280718</v>
      </c>
      <c r="D2491" t="s">
        <v>256</v>
      </c>
      <c r="E2491" s="10">
        <v>46116.354166666664</v>
      </c>
      <c r="F2491" s="10">
        <v>46116.5</v>
      </c>
      <c r="G2491">
        <v>3.5</v>
      </c>
      <c r="H2491" s="9">
        <f t="shared" si="114"/>
        <v>1.9E-2</v>
      </c>
      <c r="I2491">
        <v>1.9E-2</v>
      </c>
      <c r="M2491" t="s">
        <v>65</v>
      </c>
      <c r="N2491" t="s">
        <v>29</v>
      </c>
      <c r="P2491" t="s">
        <v>30</v>
      </c>
      <c r="Q2491" t="s">
        <v>31</v>
      </c>
      <c r="R2491">
        <v>82640</v>
      </c>
      <c r="S2491" t="s">
        <v>42</v>
      </c>
      <c r="T2491">
        <v>82630</v>
      </c>
      <c r="U2491" t="s">
        <v>32</v>
      </c>
      <c r="V2491" t="s">
        <v>66</v>
      </c>
      <c r="W2491" t="s">
        <v>44</v>
      </c>
      <c r="X2491" t="s">
        <v>44</v>
      </c>
      <c r="Y2491" s="9">
        <f t="shared" si="115"/>
        <v>0</v>
      </c>
      <c r="Z2491" t="str">
        <f t="shared" si="116"/>
        <v>สแกนต่าง Cost</v>
      </c>
    </row>
    <row r="2492" spans="1:26" x14ac:dyDescent="0.45">
      <c r="B2492" t="s">
        <v>53</v>
      </c>
      <c r="C2492">
        <v>20310530</v>
      </c>
      <c r="D2492" t="s">
        <v>220</v>
      </c>
      <c r="E2492" s="10">
        <v>46116.354166666664</v>
      </c>
      <c r="F2492" s="10">
        <v>46116.375</v>
      </c>
      <c r="G2492">
        <v>0.5</v>
      </c>
      <c r="H2492" s="9">
        <f t="shared" si="114"/>
        <v>3.0000000000000001E-3</v>
      </c>
      <c r="J2492">
        <v>3.0000000000000001E-3</v>
      </c>
      <c r="M2492" t="s">
        <v>77</v>
      </c>
      <c r="N2492" t="s">
        <v>40</v>
      </c>
      <c r="O2492" t="s">
        <v>78</v>
      </c>
      <c r="P2492" t="s">
        <v>30</v>
      </c>
      <c r="Q2492" t="s">
        <v>31</v>
      </c>
      <c r="R2492">
        <v>82640</v>
      </c>
      <c r="S2492" t="s">
        <v>42</v>
      </c>
      <c r="T2492">
        <v>82611</v>
      </c>
      <c r="U2492" t="s">
        <v>43</v>
      </c>
      <c r="V2492" t="s">
        <v>66</v>
      </c>
      <c r="W2492" t="s">
        <v>44</v>
      </c>
      <c r="X2492" t="s">
        <v>44</v>
      </c>
      <c r="Y2492" s="9">
        <f t="shared" si="115"/>
        <v>3.0000000000000001E-3</v>
      </c>
      <c r="Z2492" t="str">
        <f t="shared" si="116"/>
        <v>สแกนต่าง Cost</v>
      </c>
    </row>
    <row r="2493" spans="1:26" x14ac:dyDescent="0.45">
      <c r="A2493">
        <v>27305</v>
      </c>
      <c r="B2493" t="s">
        <v>53</v>
      </c>
      <c r="C2493">
        <v>20047023</v>
      </c>
      <c r="D2493" t="s">
        <v>271</v>
      </c>
      <c r="E2493" s="10">
        <v>46116.350902777776</v>
      </c>
      <c r="F2493" s="10">
        <v>46116.729166666664</v>
      </c>
      <c r="G2493">
        <v>8.0783333333333331</v>
      </c>
      <c r="H2493" s="9">
        <f t="shared" si="114"/>
        <v>4.2999999999999997E-2</v>
      </c>
      <c r="I2493">
        <v>4.2999999999999997E-2</v>
      </c>
      <c r="M2493" t="s">
        <v>77</v>
      </c>
      <c r="N2493" t="s">
        <v>40</v>
      </c>
      <c r="O2493" t="s">
        <v>78</v>
      </c>
      <c r="P2493" t="s">
        <v>30</v>
      </c>
      <c r="Q2493" t="s">
        <v>31</v>
      </c>
      <c r="R2493">
        <v>82607</v>
      </c>
      <c r="S2493" t="s">
        <v>168</v>
      </c>
      <c r="T2493">
        <v>82630</v>
      </c>
      <c r="U2493" t="s">
        <v>32</v>
      </c>
      <c r="V2493" t="s">
        <v>155</v>
      </c>
      <c r="W2493" t="s">
        <v>148</v>
      </c>
      <c r="X2493" t="s">
        <v>95</v>
      </c>
      <c r="Y2493" s="9">
        <f t="shared" si="115"/>
        <v>0</v>
      </c>
      <c r="Z2493" t="str">
        <f t="shared" si="116"/>
        <v>สแกนต่าง Cost</v>
      </c>
    </row>
    <row r="2494" spans="1:26" x14ac:dyDescent="0.45">
      <c r="A2494">
        <v>27304</v>
      </c>
      <c r="B2494" t="s">
        <v>53</v>
      </c>
      <c r="C2494">
        <v>20372707</v>
      </c>
      <c r="D2494" t="s">
        <v>383</v>
      </c>
      <c r="E2494" s="10">
        <v>46116.346805555557</v>
      </c>
      <c r="F2494" s="10">
        <v>46116.729166666664</v>
      </c>
      <c r="G2494">
        <v>8.1766666666666659</v>
      </c>
      <c r="H2494" s="9">
        <f t="shared" si="114"/>
        <v>4.3999999999999997E-2</v>
      </c>
      <c r="J2494">
        <v>4.3999999999999997E-2</v>
      </c>
      <c r="M2494" t="s">
        <v>77</v>
      </c>
      <c r="N2494" t="s">
        <v>40</v>
      </c>
      <c r="O2494" t="s">
        <v>78</v>
      </c>
      <c r="P2494" t="s">
        <v>30</v>
      </c>
      <c r="Q2494" t="s">
        <v>31</v>
      </c>
      <c r="R2494">
        <v>82658</v>
      </c>
      <c r="S2494" t="s">
        <v>33</v>
      </c>
      <c r="T2494">
        <v>82655</v>
      </c>
      <c r="U2494" t="s">
        <v>59</v>
      </c>
      <c r="V2494" t="s">
        <v>59</v>
      </c>
      <c r="W2494" t="s">
        <v>37</v>
      </c>
      <c r="X2494" t="s">
        <v>38</v>
      </c>
      <c r="Y2494" s="9">
        <f t="shared" si="115"/>
        <v>4.3999999999999997E-2</v>
      </c>
      <c r="Z2494" t="str">
        <f t="shared" si="116"/>
        <v>สแกนต่าง Cost</v>
      </c>
    </row>
    <row r="2495" spans="1:26" x14ac:dyDescent="0.45">
      <c r="A2495">
        <v>25642</v>
      </c>
      <c r="B2495" t="s">
        <v>53</v>
      </c>
      <c r="C2495">
        <v>20018611</v>
      </c>
      <c r="D2495" t="s">
        <v>132</v>
      </c>
      <c r="E2495" s="10">
        <v>46116.34652777778</v>
      </c>
      <c r="F2495" s="10">
        <v>46116.729166666664</v>
      </c>
      <c r="G2495">
        <v>8.1833333333333336</v>
      </c>
      <c r="H2495" s="9">
        <f t="shared" si="114"/>
        <v>4.3999999999999997E-2</v>
      </c>
      <c r="J2495">
        <v>4.3999999999999997E-2</v>
      </c>
      <c r="M2495" t="s">
        <v>77</v>
      </c>
      <c r="N2495" t="s">
        <v>40</v>
      </c>
      <c r="O2495" t="s">
        <v>78</v>
      </c>
      <c r="P2495" t="s">
        <v>133</v>
      </c>
      <c r="Q2495" t="s">
        <v>31</v>
      </c>
      <c r="R2495">
        <v>82301</v>
      </c>
      <c r="S2495" t="s">
        <v>79</v>
      </c>
      <c r="T2495">
        <v>82308</v>
      </c>
      <c r="U2495" t="s">
        <v>69</v>
      </c>
      <c r="V2495" t="s">
        <v>69</v>
      </c>
      <c r="W2495" t="s">
        <v>69</v>
      </c>
      <c r="X2495" t="s">
        <v>95</v>
      </c>
      <c r="Y2495" s="9">
        <f t="shared" si="115"/>
        <v>4.3999999999999997E-2</v>
      </c>
      <c r="Z2495" t="str">
        <f t="shared" si="116"/>
        <v>สแกนต่าง Cost</v>
      </c>
    </row>
    <row r="2496" spans="1:26" x14ac:dyDescent="0.45">
      <c r="A2496">
        <v>25641</v>
      </c>
      <c r="B2496" t="s">
        <v>53</v>
      </c>
      <c r="C2496">
        <v>20017430</v>
      </c>
      <c r="D2496" t="s">
        <v>94</v>
      </c>
      <c r="E2496" s="10">
        <v>46116.345833333333</v>
      </c>
      <c r="F2496" s="10">
        <v>46116.729166666664</v>
      </c>
      <c r="G2496">
        <v>8.1999999999999993</v>
      </c>
      <c r="H2496" s="9">
        <f t="shared" si="114"/>
        <v>4.3999999999999997E-2</v>
      </c>
      <c r="J2496">
        <v>4.3999999999999997E-2</v>
      </c>
      <c r="M2496" t="s">
        <v>77</v>
      </c>
      <c r="N2496" t="s">
        <v>40</v>
      </c>
      <c r="O2496" t="s">
        <v>78</v>
      </c>
      <c r="P2496" t="s">
        <v>30</v>
      </c>
      <c r="Q2496" t="s">
        <v>31</v>
      </c>
      <c r="R2496">
        <v>82301</v>
      </c>
      <c r="S2496" t="s">
        <v>79</v>
      </c>
      <c r="T2496">
        <v>82308</v>
      </c>
      <c r="U2496" t="s">
        <v>69</v>
      </c>
      <c r="V2496" t="s">
        <v>69</v>
      </c>
      <c r="W2496" t="s">
        <v>69</v>
      </c>
      <c r="X2496" t="s">
        <v>95</v>
      </c>
      <c r="Y2496" s="9">
        <f t="shared" si="115"/>
        <v>4.3999999999999997E-2</v>
      </c>
      <c r="Z2496" t="str">
        <f t="shared" si="116"/>
        <v>สแกนต่าง Cost</v>
      </c>
    </row>
    <row r="2497" spans="1:26" x14ac:dyDescent="0.45">
      <c r="A2497">
        <v>25869</v>
      </c>
      <c r="B2497" t="s">
        <v>53</v>
      </c>
      <c r="C2497">
        <v>20031838</v>
      </c>
      <c r="D2497" t="s">
        <v>143</v>
      </c>
      <c r="E2497" s="10">
        <v>46116.345833333333</v>
      </c>
      <c r="F2497" s="10">
        <v>46116.911111111112</v>
      </c>
      <c r="G2497">
        <v>12.566666666666666</v>
      </c>
      <c r="H2497" s="9">
        <f t="shared" si="114"/>
        <v>6.7000000000000004E-2</v>
      </c>
      <c r="J2497">
        <v>6.7000000000000004E-2</v>
      </c>
      <c r="M2497" t="s">
        <v>77</v>
      </c>
      <c r="N2497" t="s">
        <v>40</v>
      </c>
      <c r="O2497" t="s">
        <v>78</v>
      </c>
      <c r="P2497" t="s">
        <v>30</v>
      </c>
      <c r="Q2497" t="s">
        <v>31</v>
      </c>
      <c r="R2497">
        <v>82652</v>
      </c>
      <c r="S2497" t="s">
        <v>46</v>
      </c>
      <c r="T2497">
        <v>82658</v>
      </c>
      <c r="U2497" t="s">
        <v>33</v>
      </c>
      <c r="V2497" t="s">
        <v>33</v>
      </c>
      <c r="W2497" t="s">
        <v>37</v>
      </c>
      <c r="X2497" t="s">
        <v>38</v>
      </c>
      <c r="Y2497" s="9">
        <f t="shared" si="115"/>
        <v>6.7000000000000004E-2</v>
      </c>
      <c r="Z2497" t="str">
        <f t="shared" si="116"/>
        <v>สแกนต่าง Cost</v>
      </c>
    </row>
    <row r="2498" spans="1:26" x14ac:dyDescent="0.45">
      <c r="A2498">
        <v>25866</v>
      </c>
      <c r="B2498" t="s">
        <v>53</v>
      </c>
      <c r="C2498">
        <v>20028098</v>
      </c>
      <c r="D2498" t="s">
        <v>209</v>
      </c>
      <c r="E2498" s="10">
        <v>46116.345138888886</v>
      </c>
      <c r="F2498" s="10">
        <v>46116.910416666666</v>
      </c>
      <c r="G2498">
        <v>12.566666666666666</v>
      </c>
      <c r="H2498" s="9">
        <f t="shared" si="114"/>
        <v>6.7000000000000004E-2</v>
      </c>
      <c r="J2498">
        <v>6.7000000000000004E-2</v>
      </c>
      <c r="M2498" t="s">
        <v>77</v>
      </c>
      <c r="N2498" t="s">
        <v>40</v>
      </c>
      <c r="O2498" t="s">
        <v>78</v>
      </c>
      <c r="P2498" t="s">
        <v>30</v>
      </c>
      <c r="Q2498" t="s">
        <v>31</v>
      </c>
      <c r="R2498">
        <v>82655</v>
      </c>
      <c r="S2498" t="s">
        <v>59</v>
      </c>
      <c r="T2498">
        <v>82658</v>
      </c>
      <c r="U2498" t="s">
        <v>33</v>
      </c>
      <c r="V2498" t="s">
        <v>33</v>
      </c>
      <c r="W2498" t="s">
        <v>37</v>
      </c>
      <c r="X2498" t="s">
        <v>38</v>
      </c>
      <c r="Y2498" s="9">
        <f t="shared" si="115"/>
        <v>6.7000000000000004E-2</v>
      </c>
      <c r="Z2498" t="str">
        <f t="shared" si="116"/>
        <v>สแกนต่าง Cost</v>
      </c>
    </row>
    <row r="2499" spans="1:26" x14ac:dyDescent="0.45">
      <c r="A2499">
        <v>25640</v>
      </c>
      <c r="B2499" t="s">
        <v>53</v>
      </c>
      <c r="C2499">
        <v>20074796</v>
      </c>
      <c r="D2499" t="s">
        <v>189</v>
      </c>
      <c r="E2499" s="10">
        <v>46116.345138888886</v>
      </c>
      <c r="F2499" s="10">
        <v>46116.729166666664</v>
      </c>
      <c r="G2499">
        <v>8.2166666666666668</v>
      </c>
      <c r="H2499" s="9">
        <f t="shared" ref="H2499:H2562" si="117">SUM(I2499:L2499)</f>
        <v>4.3999999999999997E-2</v>
      </c>
      <c r="J2499">
        <v>4.3999999999999997E-2</v>
      </c>
      <c r="M2499" t="s">
        <v>77</v>
      </c>
      <c r="N2499" t="s">
        <v>40</v>
      </c>
      <c r="O2499" t="s">
        <v>78</v>
      </c>
      <c r="P2499" t="s">
        <v>30</v>
      </c>
      <c r="Q2499" t="s">
        <v>31</v>
      </c>
      <c r="R2499">
        <v>82306</v>
      </c>
      <c r="S2499" t="s">
        <v>55</v>
      </c>
      <c r="T2499">
        <v>82920</v>
      </c>
      <c r="U2499" t="s">
        <v>158</v>
      </c>
      <c r="V2499" t="s">
        <v>158</v>
      </c>
      <c r="W2499" t="s">
        <v>159</v>
      </c>
      <c r="X2499" t="s">
        <v>160</v>
      </c>
      <c r="Y2499" s="9">
        <f t="shared" ref="Y2499:Y2562" si="118">SUM(J2499:L2499)</f>
        <v>4.3999999999999997E-2</v>
      </c>
      <c r="Z2499" t="str">
        <f t="shared" ref="Z2499:Z2562" si="119">IF(R2499=T2499,"สแกน Cost ตัวเอง","สแกนต่าง Cost")</f>
        <v>สแกนต่าง Cost</v>
      </c>
    </row>
    <row r="2500" spans="1:26" x14ac:dyDescent="0.45">
      <c r="A2500">
        <v>25868</v>
      </c>
      <c r="B2500" t="s">
        <v>53</v>
      </c>
      <c r="C2500">
        <v>20343502</v>
      </c>
      <c r="D2500" t="s">
        <v>281</v>
      </c>
      <c r="E2500" s="10">
        <v>46116.345138888886</v>
      </c>
      <c r="F2500" s="10">
        <v>46116.911805555559</v>
      </c>
      <c r="G2500">
        <v>12.6</v>
      </c>
      <c r="H2500" s="9">
        <f t="shared" si="117"/>
        <v>6.7000000000000004E-2</v>
      </c>
      <c r="J2500">
        <v>6.7000000000000004E-2</v>
      </c>
      <c r="M2500" t="s">
        <v>77</v>
      </c>
      <c r="N2500" t="s">
        <v>40</v>
      </c>
      <c r="O2500" t="s">
        <v>386</v>
      </c>
      <c r="P2500" t="s">
        <v>30</v>
      </c>
      <c r="Q2500" t="s">
        <v>31</v>
      </c>
      <c r="R2500">
        <v>82652</v>
      </c>
      <c r="S2500" t="s">
        <v>46</v>
      </c>
      <c r="T2500">
        <v>82658</v>
      </c>
      <c r="U2500" t="s">
        <v>33</v>
      </c>
      <c r="V2500" t="s">
        <v>33</v>
      </c>
      <c r="W2500" t="s">
        <v>37</v>
      </c>
      <c r="X2500" t="s">
        <v>38</v>
      </c>
      <c r="Y2500" s="9">
        <f t="shared" si="118"/>
        <v>6.7000000000000004E-2</v>
      </c>
      <c r="Z2500" t="str">
        <f t="shared" si="119"/>
        <v>สแกนต่าง Cost</v>
      </c>
    </row>
    <row r="2501" spans="1:26" x14ac:dyDescent="0.45">
      <c r="A2501">
        <v>25639</v>
      </c>
      <c r="B2501" t="s">
        <v>53</v>
      </c>
      <c r="C2501">
        <v>20076492</v>
      </c>
      <c r="D2501" t="s">
        <v>193</v>
      </c>
      <c r="E2501" s="10">
        <v>46116.344444444447</v>
      </c>
      <c r="F2501" s="10">
        <v>46116.729166666664</v>
      </c>
      <c r="G2501">
        <v>8.2333333333333325</v>
      </c>
      <c r="H2501" s="9">
        <f t="shared" si="117"/>
        <v>4.3999999999999997E-2</v>
      </c>
      <c r="J2501">
        <v>4.3999999999999997E-2</v>
      </c>
      <c r="M2501" t="s">
        <v>77</v>
      </c>
      <c r="N2501" t="s">
        <v>40</v>
      </c>
      <c r="O2501" t="s">
        <v>78</v>
      </c>
      <c r="P2501" t="s">
        <v>30</v>
      </c>
      <c r="Q2501" t="s">
        <v>31</v>
      </c>
      <c r="R2501">
        <v>82306</v>
      </c>
      <c r="S2501" t="s">
        <v>55</v>
      </c>
      <c r="T2501">
        <v>82920</v>
      </c>
      <c r="U2501" t="s">
        <v>158</v>
      </c>
      <c r="V2501" t="s">
        <v>158</v>
      </c>
      <c r="W2501" t="s">
        <v>159</v>
      </c>
      <c r="X2501" t="s">
        <v>160</v>
      </c>
      <c r="Y2501" s="9">
        <f t="shared" si="118"/>
        <v>4.3999999999999997E-2</v>
      </c>
      <c r="Z2501" t="str">
        <f t="shared" si="119"/>
        <v>สแกนต่าง Cost</v>
      </c>
    </row>
    <row r="2502" spans="1:26" x14ac:dyDescent="0.45">
      <c r="A2502">
        <v>26541</v>
      </c>
      <c r="B2502" t="s">
        <v>53</v>
      </c>
      <c r="C2502">
        <v>20014916</v>
      </c>
      <c r="D2502" t="s">
        <v>167</v>
      </c>
      <c r="E2502" s="10">
        <v>46116.333333333336</v>
      </c>
      <c r="F2502" s="10">
        <v>46116.729166666664</v>
      </c>
      <c r="G2502">
        <v>8.5</v>
      </c>
      <c r="H2502" s="9">
        <f t="shared" si="117"/>
        <v>4.4999999999999998E-2</v>
      </c>
      <c r="I2502">
        <v>4.4999999999999998E-2</v>
      </c>
      <c r="M2502" t="s">
        <v>77</v>
      </c>
      <c r="N2502" t="s">
        <v>40</v>
      </c>
      <c r="O2502" t="s">
        <v>78</v>
      </c>
      <c r="P2502" t="s">
        <v>133</v>
      </c>
      <c r="Q2502" t="s">
        <v>31</v>
      </c>
      <c r="R2502">
        <v>82607</v>
      </c>
      <c r="S2502" t="s">
        <v>168</v>
      </c>
      <c r="T2502">
        <v>82640</v>
      </c>
      <c r="U2502" t="s">
        <v>42</v>
      </c>
      <c r="V2502" t="s">
        <v>155</v>
      </c>
      <c r="W2502" t="s">
        <v>47</v>
      </c>
      <c r="X2502" t="s">
        <v>95</v>
      </c>
      <c r="Y2502" s="9">
        <f t="shared" si="118"/>
        <v>0</v>
      </c>
      <c r="Z2502" t="str">
        <f t="shared" si="119"/>
        <v>สแกนต่าง Cost</v>
      </c>
    </row>
    <row r="2503" spans="1:26" x14ac:dyDescent="0.45">
      <c r="B2503" t="s">
        <v>53</v>
      </c>
      <c r="C2503">
        <v>20022740</v>
      </c>
      <c r="D2503" t="s">
        <v>259</v>
      </c>
      <c r="E2503" s="10">
        <v>46116.333333333336</v>
      </c>
      <c r="F2503" s="10">
        <v>46116.416666666664</v>
      </c>
      <c r="G2503">
        <v>2</v>
      </c>
      <c r="H2503" s="9">
        <f t="shared" si="117"/>
        <v>1.0999999999999999E-2</v>
      </c>
      <c r="J2503">
        <v>1.0999999999999999E-2</v>
      </c>
      <c r="M2503" t="s">
        <v>77</v>
      </c>
      <c r="N2503" t="s">
        <v>40</v>
      </c>
      <c r="O2503" t="s">
        <v>245</v>
      </c>
      <c r="P2503" t="s">
        <v>30</v>
      </c>
      <c r="Q2503" t="s">
        <v>31</v>
      </c>
      <c r="R2503">
        <v>82640</v>
      </c>
      <c r="S2503" t="s">
        <v>42</v>
      </c>
      <c r="T2503">
        <v>82611</v>
      </c>
      <c r="U2503" t="s">
        <v>43</v>
      </c>
      <c r="V2503" t="s">
        <v>66</v>
      </c>
      <c r="W2503" t="s">
        <v>44</v>
      </c>
      <c r="X2503" t="s">
        <v>44</v>
      </c>
      <c r="Y2503" s="9">
        <f t="shared" si="118"/>
        <v>1.0999999999999999E-2</v>
      </c>
      <c r="Z2503" t="str">
        <f t="shared" si="119"/>
        <v>สแกนต่าง Cost</v>
      </c>
    </row>
    <row r="2504" spans="1:26" x14ac:dyDescent="0.45">
      <c r="B2504" t="s">
        <v>53</v>
      </c>
      <c r="C2504">
        <v>20023163</v>
      </c>
      <c r="D2504" t="s">
        <v>169</v>
      </c>
      <c r="E2504" s="10">
        <v>46116.333333333336</v>
      </c>
      <c r="F2504" s="10">
        <v>46116.729166666664</v>
      </c>
      <c r="G2504">
        <v>8.5</v>
      </c>
      <c r="H2504" s="9">
        <f t="shared" si="117"/>
        <v>4.4999999999999998E-2</v>
      </c>
      <c r="J2504">
        <v>4.4999999999999998E-2</v>
      </c>
      <c r="M2504" t="s">
        <v>77</v>
      </c>
      <c r="N2504" t="s">
        <v>40</v>
      </c>
      <c r="O2504" t="s">
        <v>78</v>
      </c>
      <c r="P2504" t="s">
        <v>30</v>
      </c>
      <c r="Q2504" t="s">
        <v>31</v>
      </c>
      <c r="R2504">
        <v>82630</v>
      </c>
      <c r="S2504" t="s">
        <v>32</v>
      </c>
      <c r="T2504">
        <v>82640</v>
      </c>
      <c r="U2504" t="s">
        <v>42</v>
      </c>
      <c r="V2504" t="s">
        <v>70</v>
      </c>
      <c r="W2504" t="s">
        <v>170</v>
      </c>
      <c r="X2504" t="s">
        <v>171</v>
      </c>
      <c r="Y2504" s="9">
        <f t="shared" si="118"/>
        <v>4.4999999999999998E-2</v>
      </c>
      <c r="Z2504" t="str">
        <f t="shared" si="119"/>
        <v>สแกนต่าง Cost</v>
      </c>
    </row>
    <row r="2505" spans="1:26" x14ac:dyDescent="0.45">
      <c r="A2505">
        <v>27313</v>
      </c>
      <c r="B2505" t="s">
        <v>53</v>
      </c>
      <c r="C2505">
        <v>20024254</v>
      </c>
      <c r="D2505" t="s">
        <v>233</v>
      </c>
      <c r="E2505" s="10">
        <v>46116.333333333336</v>
      </c>
      <c r="F2505" s="10">
        <v>46116.729166666664</v>
      </c>
      <c r="G2505">
        <v>8.5</v>
      </c>
      <c r="H2505" s="9">
        <f t="shared" si="117"/>
        <v>4.4999999999999998E-2</v>
      </c>
      <c r="I2505">
        <v>4.4999999999999998E-2</v>
      </c>
      <c r="M2505" t="s">
        <v>77</v>
      </c>
      <c r="N2505" t="s">
        <v>29</v>
      </c>
      <c r="P2505" t="s">
        <v>30</v>
      </c>
      <c r="Q2505" t="s">
        <v>31</v>
      </c>
      <c r="R2505">
        <v>82910</v>
      </c>
      <c r="S2505" t="s">
        <v>201</v>
      </c>
      <c r="T2505">
        <v>82611</v>
      </c>
      <c r="U2505" t="s">
        <v>43</v>
      </c>
      <c r="V2505" t="s">
        <v>43</v>
      </c>
      <c r="W2505" t="s">
        <v>148</v>
      </c>
      <c r="X2505" t="s">
        <v>171</v>
      </c>
      <c r="Y2505" s="9">
        <f t="shared" si="118"/>
        <v>0</v>
      </c>
      <c r="Z2505" t="str">
        <f t="shared" si="119"/>
        <v>สแกนต่าง Cost</v>
      </c>
    </row>
    <row r="2506" spans="1:26" x14ac:dyDescent="0.45">
      <c r="B2506" t="s">
        <v>53</v>
      </c>
      <c r="C2506">
        <v>20027956</v>
      </c>
      <c r="D2506" t="s">
        <v>214</v>
      </c>
      <c r="E2506" s="10">
        <v>46116.333333333336</v>
      </c>
      <c r="F2506" s="10">
        <v>46116.416666666664</v>
      </c>
      <c r="G2506">
        <v>2</v>
      </c>
      <c r="H2506" s="9">
        <f t="shared" si="117"/>
        <v>1.0999999999999999E-2</v>
      </c>
      <c r="J2506">
        <v>1.0999999999999999E-2</v>
      </c>
      <c r="M2506" t="s">
        <v>77</v>
      </c>
      <c r="N2506" t="s">
        <v>40</v>
      </c>
      <c r="O2506" t="s">
        <v>78</v>
      </c>
      <c r="P2506" t="s">
        <v>30</v>
      </c>
      <c r="Q2506" t="s">
        <v>31</v>
      </c>
      <c r="R2506">
        <v>82640</v>
      </c>
      <c r="S2506" t="s">
        <v>42</v>
      </c>
      <c r="T2506">
        <v>82611</v>
      </c>
      <c r="U2506" t="s">
        <v>43</v>
      </c>
      <c r="V2506" t="s">
        <v>66</v>
      </c>
      <c r="W2506" t="s">
        <v>44</v>
      </c>
      <c r="X2506" t="s">
        <v>44</v>
      </c>
      <c r="Y2506" s="9">
        <f t="shared" si="118"/>
        <v>1.0999999999999999E-2</v>
      </c>
      <c r="Z2506" t="str">
        <f t="shared" si="119"/>
        <v>สแกนต่าง Cost</v>
      </c>
    </row>
    <row r="2507" spans="1:26" x14ac:dyDescent="0.45">
      <c r="A2507">
        <v>25855</v>
      </c>
      <c r="B2507" t="s">
        <v>53</v>
      </c>
      <c r="C2507">
        <v>20028097</v>
      </c>
      <c r="D2507" t="s">
        <v>139</v>
      </c>
      <c r="E2507" s="10">
        <v>46116.333333333336</v>
      </c>
      <c r="F2507" s="10">
        <v>46116.911111111112</v>
      </c>
      <c r="G2507">
        <v>12.866666666666667</v>
      </c>
      <c r="H2507" s="9">
        <f t="shared" si="117"/>
        <v>6.9000000000000006E-2</v>
      </c>
      <c r="J2507">
        <v>6.9000000000000006E-2</v>
      </c>
      <c r="M2507" t="s">
        <v>77</v>
      </c>
      <c r="N2507" t="s">
        <v>40</v>
      </c>
      <c r="O2507" t="s">
        <v>78</v>
      </c>
      <c r="P2507" t="s">
        <v>30</v>
      </c>
      <c r="Q2507" t="s">
        <v>31</v>
      </c>
      <c r="R2507">
        <v>82652</v>
      </c>
      <c r="S2507" t="s">
        <v>46</v>
      </c>
      <c r="T2507">
        <v>82658</v>
      </c>
      <c r="U2507" t="s">
        <v>33</v>
      </c>
      <c r="V2507" t="s">
        <v>33</v>
      </c>
      <c r="W2507" t="s">
        <v>37</v>
      </c>
      <c r="X2507" t="s">
        <v>38</v>
      </c>
      <c r="Y2507" s="9">
        <f t="shared" si="118"/>
        <v>6.9000000000000006E-2</v>
      </c>
      <c r="Z2507" t="str">
        <f t="shared" si="119"/>
        <v>สแกนต่าง Cost</v>
      </c>
    </row>
    <row r="2508" spans="1:26" x14ac:dyDescent="0.45">
      <c r="A2508">
        <v>25865</v>
      </c>
      <c r="B2508" t="s">
        <v>53</v>
      </c>
      <c r="C2508">
        <v>20031153</v>
      </c>
      <c r="D2508" t="s">
        <v>142</v>
      </c>
      <c r="E2508" s="10">
        <v>46116.333333333336</v>
      </c>
      <c r="F2508" s="10">
        <v>46116.911805555559</v>
      </c>
      <c r="G2508">
        <v>12.883333333333333</v>
      </c>
      <c r="H2508" s="9">
        <f t="shared" si="117"/>
        <v>6.9000000000000006E-2</v>
      </c>
      <c r="J2508">
        <v>6.9000000000000006E-2</v>
      </c>
      <c r="M2508" t="s">
        <v>77</v>
      </c>
      <c r="N2508" t="s">
        <v>40</v>
      </c>
      <c r="O2508" t="s">
        <v>78</v>
      </c>
      <c r="P2508" t="s">
        <v>30</v>
      </c>
      <c r="Q2508" t="s">
        <v>31</v>
      </c>
      <c r="R2508">
        <v>82652</v>
      </c>
      <c r="S2508" t="s">
        <v>46</v>
      </c>
      <c r="T2508">
        <v>82658</v>
      </c>
      <c r="U2508" t="s">
        <v>33</v>
      </c>
      <c r="V2508" t="s">
        <v>33</v>
      </c>
      <c r="W2508" t="s">
        <v>37</v>
      </c>
      <c r="X2508" t="s">
        <v>38</v>
      </c>
      <c r="Y2508" s="9">
        <f t="shared" si="118"/>
        <v>6.9000000000000006E-2</v>
      </c>
      <c r="Z2508" t="str">
        <f t="shared" si="119"/>
        <v>สแกนต่าง Cost</v>
      </c>
    </row>
    <row r="2509" spans="1:26" x14ac:dyDescent="0.45">
      <c r="B2509" t="s">
        <v>53</v>
      </c>
      <c r="C2509">
        <v>20034535</v>
      </c>
      <c r="D2509" t="s">
        <v>99</v>
      </c>
      <c r="E2509" s="10">
        <v>46116.333333333336</v>
      </c>
      <c r="F2509" s="10">
        <v>46116.729166666664</v>
      </c>
      <c r="G2509">
        <v>8.5</v>
      </c>
      <c r="H2509" s="9">
        <f t="shared" si="117"/>
        <v>4.4999999999999998E-2</v>
      </c>
      <c r="J2509">
        <v>4.4999999999999998E-2</v>
      </c>
      <c r="M2509" t="s">
        <v>77</v>
      </c>
      <c r="N2509" t="s">
        <v>40</v>
      </c>
      <c r="O2509" t="s">
        <v>78</v>
      </c>
      <c r="P2509" t="s">
        <v>30</v>
      </c>
      <c r="Q2509" t="s">
        <v>31</v>
      </c>
      <c r="R2509">
        <v>82630</v>
      </c>
      <c r="S2509" t="s">
        <v>32</v>
      </c>
      <c r="T2509">
        <v>82611</v>
      </c>
      <c r="U2509" t="s">
        <v>43</v>
      </c>
      <c r="V2509" t="s">
        <v>43</v>
      </c>
      <c r="W2509" t="s">
        <v>170</v>
      </c>
      <c r="X2509" t="s">
        <v>171</v>
      </c>
      <c r="Y2509" s="9">
        <f t="shared" si="118"/>
        <v>4.4999999999999998E-2</v>
      </c>
      <c r="Z2509" t="str">
        <f t="shared" si="119"/>
        <v>สแกนต่าง Cost</v>
      </c>
    </row>
    <row r="2510" spans="1:26" x14ac:dyDescent="0.45">
      <c r="B2510" t="s">
        <v>53</v>
      </c>
      <c r="C2510">
        <v>20037938</v>
      </c>
      <c r="D2510" t="s">
        <v>172</v>
      </c>
      <c r="E2510" s="10">
        <v>46116.333333333336</v>
      </c>
      <c r="F2510" s="10">
        <v>46116.729166666664</v>
      </c>
      <c r="G2510">
        <v>8.5</v>
      </c>
      <c r="H2510" s="9">
        <f t="shared" si="117"/>
        <v>4.4999999999999998E-2</v>
      </c>
      <c r="J2510">
        <v>4.4999999999999998E-2</v>
      </c>
      <c r="M2510" t="s">
        <v>77</v>
      </c>
      <c r="N2510" t="s">
        <v>40</v>
      </c>
      <c r="O2510" t="s">
        <v>78</v>
      </c>
      <c r="P2510" t="s">
        <v>30</v>
      </c>
      <c r="Q2510" t="s">
        <v>31</v>
      </c>
      <c r="R2510">
        <v>82630</v>
      </c>
      <c r="S2510" t="s">
        <v>32</v>
      </c>
      <c r="T2510">
        <v>82611</v>
      </c>
      <c r="U2510" t="s">
        <v>43</v>
      </c>
      <c r="V2510" t="s">
        <v>43</v>
      </c>
      <c r="W2510" t="s">
        <v>170</v>
      </c>
      <c r="X2510" t="s">
        <v>171</v>
      </c>
      <c r="Y2510" s="9">
        <f t="shared" si="118"/>
        <v>4.4999999999999998E-2</v>
      </c>
      <c r="Z2510" t="str">
        <f t="shared" si="119"/>
        <v>สแกนต่าง Cost</v>
      </c>
    </row>
    <row r="2511" spans="1:26" x14ac:dyDescent="0.45">
      <c r="B2511" t="s">
        <v>53</v>
      </c>
      <c r="C2511">
        <v>20041131</v>
      </c>
      <c r="D2511" t="s">
        <v>173</v>
      </c>
      <c r="E2511" s="10">
        <v>46116.333333333336</v>
      </c>
      <c r="F2511" s="10">
        <v>46116.729166666664</v>
      </c>
      <c r="G2511">
        <v>8.5</v>
      </c>
      <c r="H2511" s="9">
        <f t="shared" si="117"/>
        <v>4.4999999999999998E-2</v>
      </c>
      <c r="I2511">
        <v>4.4999999999999998E-2</v>
      </c>
      <c r="M2511" t="s">
        <v>65</v>
      </c>
      <c r="N2511" t="s">
        <v>29</v>
      </c>
      <c r="P2511" t="s">
        <v>30</v>
      </c>
      <c r="Q2511" t="s">
        <v>31</v>
      </c>
      <c r="R2511">
        <v>82630</v>
      </c>
      <c r="S2511" t="s">
        <v>32</v>
      </c>
      <c r="T2511">
        <v>82611</v>
      </c>
      <c r="U2511" t="s">
        <v>43</v>
      </c>
      <c r="V2511" t="s">
        <v>43</v>
      </c>
      <c r="W2511" t="s">
        <v>170</v>
      </c>
      <c r="X2511" t="s">
        <v>171</v>
      </c>
      <c r="Y2511" s="9">
        <f t="shared" si="118"/>
        <v>0</v>
      </c>
      <c r="Z2511" t="str">
        <f t="shared" si="119"/>
        <v>สแกนต่าง Cost</v>
      </c>
    </row>
    <row r="2512" spans="1:26" x14ac:dyDescent="0.45">
      <c r="A2512">
        <v>27311</v>
      </c>
      <c r="B2512" t="s">
        <v>53</v>
      </c>
      <c r="C2512">
        <v>20066762</v>
      </c>
      <c r="D2512" t="s">
        <v>203</v>
      </c>
      <c r="E2512" s="10">
        <v>46116.333333333336</v>
      </c>
      <c r="F2512" s="10">
        <v>46116.729166666664</v>
      </c>
      <c r="G2512">
        <v>8.5</v>
      </c>
      <c r="H2512" s="9">
        <f t="shared" si="117"/>
        <v>4.4999999999999998E-2</v>
      </c>
      <c r="I2512">
        <v>4.4999999999999998E-2</v>
      </c>
      <c r="M2512" t="s">
        <v>65</v>
      </c>
      <c r="N2512" t="s">
        <v>29</v>
      </c>
      <c r="P2512" t="s">
        <v>30</v>
      </c>
      <c r="Q2512" t="s">
        <v>31</v>
      </c>
      <c r="R2512">
        <v>82910</v>
      </c>
      <c r="S2512" t="s">
        <v>201</v>
      </c>
      <c r="T2512">
        <v>82611</v>
      </c>
      <c r="U2512" t="s">
        <v>43</v>
      </c>
      <c r="V2512" t="s">
        <v>43</v>
      </c>
      <c r="W2512" t="s">
        <v>148</v>
      </c>
      <c r="X2512" t="s">
        <v>171</v>
      </c>
      <c r="Y2512" s="9">
        <f t="shared" si="118"/>
        <v>0</v>
      </c>
      <c r="Z2512" t="str">
        <f t="shared" si="119"/>
        <v>สแกนต่าง Cost</v>
      </c>
    </row>
    <row r="2513" spans="1:26" x14ac:dyDescent="0.45">
      <c r="B2513" t="s">
        <v>53</v>
      </c>
      <c r="C2513">
        <v>20074473</v>
      </c>
      <c r="D2513" t="s">
        <v>276</v>
      </c>
      <c r="E2513" s="10">
        <v>46116.333333333336</v>
      </c>
      <c r="F2513" s="10">
        <v>46116.729166666664</v>
      </c>
      <c r="G2513">
        <v>8.5</v>
      </c>
      <c r="H2513" s="9">
        <f t="shared" si="117"/>
        <v>4.4999999999999998E-2</v>
      </c>
      <c r="J2513">
        <v>4.4999999999999998E-2</v>
      </c>
      <c r="M2513" t="s">
        <v>77</v>
      </c>
      <c r="N2513" t="s">
        <v>40</v>
      </c>
      <c r="O2513" t="s">
        <v>78</v>
      </c>
      <c r="P2513" t="s">
        <v>30</v>
      </c>
      <c r="Q2513" t="s">
        <v>31</v>
      </c>
      <c r="R2513">
        <v>82630</v>
      </c>
      <c r="S2513" t="s">
        <v>32</v>
      </c>
      <c r="T2513">
        <v>82640</v>
      </c>
      <c r="U2513" t="s">
        <v>42</v>
      </c>
      <c r="V2513" t="s">
        <v>70</v>
      </c>
      <c r="W2513" t="s">
        <v>170</v>
      </c>
      <c r="X2513" t="s">
        <v>171</v>
      </c>
      <c r="Y2513" s="9">
        <f t="shared" si="118"/>
        <v>4.4999999999999998E-2</v>
      </c>
      <c r="Z2513" t="str">
        <f t="shared" si="119"/>
        <v>สแกนต่าง Cost</v>
      </c>
    </row>
    <row r="2514" spans="1:26" x14ac:dyDescent="0.45">
      <c r="B2514" t="s">
        <v>53</v>
      </c>
      <c r="C2514">
        <v>20075871</v>
      </c>
      <c r="D2514" t="s">
        <v>174</v>
      </c>
      <c r="E2514" s="10">
        <v>46116.333333333336</v>
      </c>
      <c r="F2514" s="10">
        <v>46116.729166666664</v>
      </c>
      <c r="G2514">
        <v>8.5</v>
      </c>
      <c r="H2514" s="9">
        <f t="shared" si="117"/>
        <v>4.4999999999999998E-2</v>
      </c>
      <c r="I2514">
        <v>4.4999999999999998E-2</v>
      </c>
      <c r="M2514" t="s">
        <v>65</v>
      </c>
      <c r="N2514" t="s">
        <v>29</v>
      </c>
      <c r="P2514" t="s">
        <v>133</v>
      </c>
      <c r="Q2514" t="s">
        <v>31</v>
      </c>
      <c r="R2514">
        <v>82301</v>
      </c>
      <c r="S2514" t="s">
        <v>79</v>
      </c>
      <c r="T2514">
        <v>82308</v>
      </c>
      <c r="U2514" t="s">
        <v>69</v>
      </c>
      <c r="V2514" t="s">
        <v>69</v>
      </c>
      <c r="W2514" t="s">
        <v>69</v>
      </c>
      <c r="X2514" t="s">
        <v>95</v>
      </c>
      <c r="Y2514" s="9">
        <f t="shared" si="118"/>
        <v>0</v>
      </c>
      <c r="Z2514" t="str">
        <f t="shared" si="119"/>
        <v>สแกนต่าง Cost</v>
      </c>
    </row>
    <row r="2515" spans="1:26" x14ac:dyDescent="0.45">
      <c r="A2515">
        <v>26704</v>
      </c>
      <c r="B2515" t="s">
        <v>53</v>
      </c>
      <c r="C2515">
        <v>20076436</v>
      </c>
      <c r="D2515" t="s">
        <v>131</v>
      </c>
      <c r="E2515" s="10">
        <v>46116.333333333336</v>
      </c>
      <c r="F2515" s="10">
        <v>46116.729166666664</v>
      </c>
      <c r="G2515">
        <v>8.5</v>
      </c>
      <c r="H2515" s="9">
        <f t="shared" si="117"/>
        <v>4.4999999999999998E-2</v>
      </c>
      <c r="I2515">
        <v>4.4999999999999998E-2</v>
      </c>
      <c r="M2515" t="s">
        <v>65</v>
      </c>
      <c r="N2515" t="s">
        <v>29</v>
      </c>
      <c r="P2515" t="s">
        <v>30</v>
      </c>
      <c r="Q2515" t="s">
        <v>31</v>
      </c>
      <c r="R2515">
        <v>82301</v>
      </c>
      <c r="S2515" t="s">
        <v>79</v>
      </c>
      <c r="T2515">
        <v>82308</v>
      </c>
      <c r="U2515" t="s">
        <v>69</v>
      </c>
      <c r="V2515" t="s">
        <v>69</v>
      </c>
      <c r="W2515" t="s">
        <v>69</v>
      </c>
      <c r="X2515" t="s">
        <v>95</v>
      </c>
      <c r="Y2515" s="9">
        <f t="shared" si="118"/>
        <v>0</v>
      </c>
      <c r="Z2515" t="str">
        <f t="shared" si="119"/>
        <v>สแกนต่าง Cost</v>
      </c>
    </row>
    <row r="2516" spans="1:26" x14ac:dyDescent="0.45">
      <c r="A2516">
        <v>25638</v>
      </c>
      <c r="B2516" t="s">
        <v>53</v>
      </c>
      <c r="C2516">
        <v>20076571</v>
      </c>
      <c r="D2516" t="s">
        <v>327</v>
      </c>
      <c r="E2516" s="10">
        <v>46116.333333333336</v>
      </c>
      <c r="F2516" s="10">
        <v>46116.729166666664</v>
      </c>
      <c r="G2516">
        <v>8.5</v>
      </c>
      <c r="H2516" s="9">
        <f t="shared" si="117"/>
        <v>4.4999999999999998E-2</v>
      </c>
      <c r="J2516">
        <v>4.4999999999999998E-2</v>
      </c>
      <c r="M2516" t="s">
        <v>77</v>
      </c>
      <c r="N2516" t="s">
        <v>40</v>
      </c>
      <c r="O2516" t="s">
        <v>78</v>
      </c>
      <c r="P2516" t="s">
        <v>30</v>
      </c>
      <c r="Q2516" t="s">
        <v>31</v>
      </c>
      <c r="R2516">
        <v>82306</v>
      </c>
      <c r="S2516" t="s">
        <v>55</v>
      </c>
      <c r="T2516">
        <v>82920</v>
      </c>
      <c r="U2516" t="s">
        <v>158</v>
      </c>
      <c r="V2516" t="s">
        <v>158</v>
      </c>
      <c r="W2516" t="s">
        <v>159</v>
      </c>
      <c r="X2516" t="s">
        <v>160</v>
      </c>
      <c r="Y2516" s="9">
        <f t="shared" si="118"/>
        <v>4.4999999999999998E-2</v>
      </c>
      <c r="Z2516" t="str">
        <f t="shared" si="119"/>
        <v>สแกนต่าง Cost</v>
      </c>
    </row>
    <row r="2517" spans="1:26" x14ac:dyDescent="0.45">
      <c r="A2517">
        <v>25861</v>
      </c>
      <c r="B2517" t="s">
        <v>53</v>
      </c>
      <c r="C2517">
        <v>20078191</v>
      </c>
      <c r="D2517" t="s">
        <v>283</v>
      </c>
      <c r="E2517" s="10">
        <v>46116.333333333336</v>
      </c>
      <c r="F2517" s="10">
        <v>46116.729166666664</v>
      </c>
      <c r="G2517">
        <v>8.5</v>
      </c>
      <c r="H2517" s="9">
        <f t="shared" si="117"/>
        <v>4.4999999999999998E-2</v>
      </c>
      <c r="J2517">
        <v>4.4999999999999998E-2</v>
      </c>
      <c r="M2517" t="s">
        <v>77</v>
      </c>
      <c r="N2517" t="s">
        <v>40</v>
      </c>
      <c r="O2517" t="s">
        <v>78</v>
      </c>
      <c r="P2517" t="s">
        <v>133</v>
      </c>
      <c r="Q2517" t="s">
        <v>31</v>
      </c>
      <c r="R2517">
        <v>82301</v>
      </c>
      <c r="S2517" t="s">
        <v>79</v>
      </c>
      <c r="T2517">
        <v>82658</v>
      </c>
      <c r="U2517" t="s">
        <v>33</v>
      </c>
      <c r="V2517" t="s">
        <v>33</v>
      </c>
      <c r="W2517" t="s">
        <v>34</v>
      </c>
      <c r="X2517" t="s">
        <v>34</v>
      </c>
      <c r="Y2517" s="9">
        <f t="shared" si="118"/>
        <v>4.4999999999999998E-2</v>
      </c>
      <c r="Z2517" t="str">
        <f t="shared" si="119"/>
        <v>สแกนต่าง Cost</v>
      </c>
    </row>
    <row r="2518" spans="1:26" x14ac:dyDescent="0.45">
      <c r="B2518" t="s">
        <v>53</v>
      </c>
      <c r="C2518">
        <v>20167851</v>
      </c>
      <c r="D2518" t="s">
        <v>63</v>
      </c>
      <c r="E2518" s="10">
        <v>46116.333333333336</v>
      </c>
      <c r="F2518" s="10">
        <v>46116.416666666664</v>
      </c>
      <c r="G2518">
        <v>2</v>
      </c>
      <c r="H2518" s="9">
        <f t="shared" si="117"/>
        <v>1.0999999999999999E-2</v>
      </c>
      <c r="J2518">
        <v>1.0999999999999999E-2</v>
      </c>
      <c r="M2518" t="s">
        <v>77</v>
      </c>
      <c r="N2518" t="s">
        <v>40</v>
      </c>
      <c r="O2518" t="s">
        <v>78</v>
      </c>
      <c r="P2518" t="s">
        <v>30</v>
      </c>
      <c r="Q2518" t="s">
        <v>31</v>
      </c>
      <c r="R2518">
        <v>82640</v>
      </c>
      <c r="S2518" t="s">
        <v>42</v>
      </c>
      <c r="T2518">
        <v>82612</v>
      </c>
      <c r="U2518" t="s">
        <v>153</v>
      </c>
      <c r="V2518" t="s">
        <v>66</v>
      </c>
      <c r="W2518" t="s">
        <v>44</v>
      </c>
      <c r="X2518" t="s">
        <v>44</v>
      </c>
      <c r="Y2518" s="9">
        <f t="shared" si="118"/>
        <v>1.0999999999999999E-2</v>
      </c>
      <c r="Z2518" t="str">
        <f t="shared" si="119"/>
        <v>สแกนต่าง Cost</v>
      </c>
    </row>
    <row r="2519" spans="1:26" x14ac:dyDescent="0.45">
      <c r="B2519" t="s">
        <v>53</v>
      </c>
      <c r="C2519">
        <v>20198711</v>
      </c>
      <c r="D2519" t="s">
        <v>178</v>
      </c>
      <c r="E2519" s="10">
        <v>46116.333333333336</v>
      </c>
      <c r="F2519" s="10">
        <v>46116.729166666664</v>
      </c>
      <c r="G2519">
        <v>8.5</v>
      </c>
      <c r="H2519" s="9">
        <f t="shared" si="117"/>
        <v>4.4999999999999998E-2</v>
      </c>
      <c r="I2519">
        <v>4.4999999999999998E-2</v>
      </c>
      <c r="M2519" t="s">
        <v>65</v>
      </c>
      <c r="N2519" t="s">
        <v>29</v>
      </c>
      <c r="P2519" t="s">
        <v>30</v>
      </c>
      <c r="Q2519" t="s">
        <v>31</v>
      </c>
      <c r="R2519">
        <v>82630</v>
      </c>
      <c r="S2519" t="s">
        <v>32</v>
      </c>
      <c r="T2519">
        <v>82611</v>
      </c>
      <c r="U2519" t="s">
        <v>43</v>
      </c>
      <c r="V2519" t="s">
        <v>43</v>
      </c>
      <c r="W2519" t="s">
        <v>170</v>
      </c>
      <c r="X2519" t="s">
        <v>171</v>
      </c>
      <c r="Y2519" s="9">
        <f t="shared" si="118"/>
        <v>0</v>
      </c>
      <c r="Z2519" t="str">
        <f t="shared" si="119"/>
        <v>สแกนต่าง Cost</v>
      </c>
    </row>
    <row r="2520" spans="1:26" x14ac:dyDescent="0.45">
      <c r="B2520" t="s">
        <v>53</v>
      </c>
      <c r="C2520">
        <v>20198715</v>
      </c>
      <c r="D2520" t="s">
        <v>179</v>
      </c>
      <c r="E2520" s="10">
        <v>46116.333333333336</v>
      </c>
      <c r="F2520" s="10">
        <v>46116.729166666664</v>
      </c>
      <c r="G2520">
        <v>8.5</v>
      </c>
      <c r="H2520" s="9">
        <f t="shared" si="117"/>
        <v>4.4999999999999998E-2</v>
      </c>
      <c r="J2520">
        <v>4.4999999999999998E-2</v>
      </c>
      <c r="M2520" t="s">
        <v>77</v>
      </c>
      <c r="N2520" t="s">
        <v>40</v>
      </c>
      <c r="O2520" t="s">
        <v>78</v>
      </c>
      <c r="P2520" t="s">
        <v>30</v>
      </c>
      <c r="Q2520" t="s">
        <v>31</v>
      </c>
      <c r="R2520">
        <v>82630</v>
      </c>
      <c r="S2520" t="s">
        <v>32</v>
      </c>
      <c r="T2520">
        <v>82611</v>
      </c>
      <c r="U2520" t="s">
        <v>43</v>
      </c>
      <c r="V2520" t="s">
        <v>43</v>
      </c>
      <c r="W2520" t="s">
        <v>170</v>
      </c>
      <c r="X2520" t="s">
        <v>171</v>
      </c>
      <c r="Y2520" s="9">
        <f t="shared" si="118"/>
        <v>4.4999999999999998E-2</v>
      </c>
      <c r="Z2520" t="str">
        <f t="shared" si="119"/>
        <v>สแกนต่าง Cost</v>
      </c>
    </row>
    <row r="2521" spans="1:26" x14ac:dyDescent="0.45">
      <c r="B2521" t="s">
        <v>53</v>
      </c>
      <c r="C2521">
        <v>20198747</v>
      </c>
      <c r="D2521" t="s">
        <v>180</v>
      </c>
      <c r="E2521" s="10">
        <v>46116.333333333336</v>
      </c>
      <c r="F2521" s="10">
        <v>46116.729166666664</v>
      </c>
      <c r="G2521">
        <v>8.5</v>
      </c>
      <c r="H2521" s="9">
        <f t="shared" si="117"/>
        <v>4.4999999999999998E-2</v>
      </c>
      <c r="J2521">
        <v>4.4999999999999998E-2</v>
      </c>
      <c r="M2521" t="s">
        <v>77</v>
      </c>
      <c r="N2521" t="s">
        <v>40</v>
      </c>
      <c r="O2521" t="s">
        <v>78</v>
      </c>
      <c r="P2521" t="s">
        <v>30</v>
      </c>
      <c r="Q2521" t="s">
        <v>31</v>
      </c>
      <c r="R2521">
        <v>82630</v>
      </c>
      <c r="S2521" t="s">
        <v>32</v>
      </c>
      <c r="T2521">
        <v>82640</v>
      </c>
      <c r="U2521" t="s">
        <v>42</v>
      </c>
      <c r="V2521" t="s">
        <v>70</v>
      </c>
      <c r="W2521" t="s">
        <v>170</v>
      </c>
      <c r="X2521" t="s">
        <v>171</v>
      </c>
      <c r="Y2521" s="9">
        <f t="shared" si="118"/>
        <v>4.4999999999999998E-2</v>
      </c>
      <c r="Z2521" t="str">
        <f t="shared" si="119"/>
        <v>สแกนต่าง Cost</v>
      </c>
    </row>
    <row r="2522" spans="1:26" x14ac:dyDescent="0.45">
      <c r="A2522">
        <v>25856</v>
      </c>
      <c r="B2522" t="s">
        <v>53</v>
      </c>
      <c r="C2522">
        <v>20198813</v>
      </c>
      <c r="D2522" t="s">
        <v>45</v>
      </c>
      <c r="E2522" s="10">
        <v>46116.333333333336</v>
      </c>
      <c r="F2522" s="10">
        <v>46116.911805555559</v>
      </c>
      <c r="G2522">
        <v>12.883333333333333</v>
      </c>
      <c r="H2522" s="9">
        <f t="shared" si="117"/>
        <v>6.9000000000000006E-2</v>
      </c>
      <c r="J2522">
        <v>6.9000000000000006E-2</v>
      </c>
      <c r="M2522" t="s">
        <v>77</v>
      </c>
      <c r="N2522" t="s">
        <v>40</v>
      </c>
      <c r="O2522" t="s">
        <v>78</v>
      </c>
      <c r="P2522" t="s">
        <v>30</v>
      </c>
      <c r="Q2522" t="s">
        <v>31</v>
      </c>
      <c r="R2522">
        <v>82652</v>
      </c>
      <c r="S2522" t="s">
        <v>46</v>
      </c>
      <c r="T2522">
        <v>82658</v>
      </c>
      <c r="U2522" t="s">
        <v>33</v>
      </c>
      <c r="V2522" t="s">
        <v>33</v>
      </c>
      <c r="W2522" t="s">
        <v>37</v>
      </c>
      <c r="X2522" t="s">
        <v>38</v>
      </c>
      <c r="Y2522" s="9">
        <f t="shared" si="118"/>
        <v>6.9000000000000006E-2</v>
      </c>
      <c r="Z2522" t="str">
        <f t="shared" si="119"/>
        <v>สแกนต่าง Cost</v>
      </c>
    </row>
    <row r="2523" spans="1:26" x14ac:dyDescent="0.45">
      <c r="A2523">
        <v>25863</v>
      </c>
      <c r="B2523" t="s">
        <v>53</v>
      </c>
      <c r="C2523">
        <v>20198826</v>
      </c>
      <c r="D2523" t="s">
        <v>49</v>
      </c>
      <c r="E2523" s="10">
        <v>46116.333333333336</v>
      </c>
      <c r="F2523" s="10">
        <v>46116.82708333333</v>
      </c>
      <c r="G2523">
        <v>10.85</v>
      </c>
      <c r="H2523" s="9">
        <f t="shared" si="117"/>
        <v>5.8000000000000003E-2</v>
      </c>
      <c r="J2523">
        <v>5.8000000000000003E-2</v>
      </c>
      <c r="M2523" t="s">
        <v>77</v>
      </c>
      <c r="N2523" t="s">
        <v>40</v>
      </c>
      <c r="O2523" t="s">
        <v>247</v>
      </c>
      <c r="P2523" t="s">
        <v>30</v>
      </c>
      <c r="Q2523" t="s">
        <v>31</v>
      </c>
      <c r="R2523">
        <v>82680</v>
      </c>
      <c r="S2523" t="s">
        <v>50</v>
      </c>
      <c r="T2523">
        <v>82658</v>
      </c>
      <c r="U2523" t="s">
        <v>33</v>
      </c>
      <c r="V2523" t="s">
        <v>33</v>
      </c>
      <c r="W2523" t="s">
        <v>34</v>
      </c>
      <c r="X2523" t="s">
        <v>34</v>
      </c>
      <c r="Y2523" s="9">
        <f t="shared" si="118"/>
        <v>5.8000000000000003E-2</v>
      </c>
      <c r="Z2523" t="str">
        <f t="shared" si="119"/>
        <v>สแกนต่าง Cost</v>
      </c>
    </row>
    <row r="2524" spans="1:26" x14ac:dyDescent="0.45">
      <c r="A2524">
        <v>25637</v>
      </c>
      <c r="B2524" t="s">
        <v>53</v>
      </c>
      <c r="C2524">
        <v>20238364</v>
      </c>
      <c r="D2524" t="s">
        <v>198</v>
      </c>
      <c r="E2524" s="10">
        <v>46116.333333333336</v>
      </c>
      <c r="F2524" s="10">
        <v>46116.729166666664</v>
      </c>
      <c r="G2524">
        <v>8.5</v>
      </c>
      <c r="H2524" s="9">
        <f t="shared" si="117"/>
        <v>4.4999999999999998E-2</v>
      </c>
      <c r="J2524">
        <v>4.4999999999999998E-2</v>
      </c>
      <c r="M2524" t="s">
        <v>77</v>
      </c>
      <c r="N2524" t="s">
        <v>40</v>
      </c>
      <c r="O2524" t="s">
        <v>78</v>
      </c>
      <c r="P2524" t="s">
        <v>30</v>
      </c>
      <c r="Q2524" t="s">
        <v>31</v>
      </c>
      <c r="R2524">
        <v>82306</v>
      </c>
      <c r="S2524" t="s">
        <v>55</v>
      </c>
      <c r="T2524">
        <v>82920</v>
      </c>
      <c r="U2524" t="s">
        <v>158</v>
      </c>
      <c r="V2524" t="s">
        <v>158</v>
      </c>
      <c r="W2524" t="s">
        <v>159</v>
      </c>
      <c r="X2524" t="s">
        <v>160</v>
      </c>
      <c r="Y2524" s="9">
        <f t="shared" si="118"/>
        <v>4.4999999999999998E-2</v>
      </c>
      <c r="Z2524" t="str">
        <f t="shared" si="119"/>
        <v>สแกนต่าง Cost</v>
      </c>
    </row>
    <row r="2525" spans="1:26" x14ac:dyDescent="0.45">
      <c r="B2525" t="s">
        <v>53</v>
      </c>
      <c r="C2525">
        <v>20244923</v>
      </c>
      <c r="D2525" t="s">
        <v>246</v>
      </c>
      <c r="E2525" s="10">
        <v>46116.333333333336</v>
      </c>
      <c r="F2525" s="10">
        <v>46116.5</v>
      </c>
      <c r="G2525">
        <v>4</v>
      </c>
      <c r="H2525" s="9">
        <f t="shared" si="117"/>
        <v>2.1000000000000001E-2</v>
      </c>
      <c r="J2525">
        <v>2.1000000000000001E-2</v>
      </c>
      <c r="M2525" t="s">
        <v>77</v>
      </c>
      <c r="N2525" t="s">
        <v>40</v>
      </c>
      <c r="O2525" t="s">
        <v>183</v>
      </c>
      <c r="P2525" t="s">
        <v>30</v>
      </c>
      <c r="Q2525" t="s">
        <v>31</v>
      </c>
      <c r="R2525">
        <v>82640</v>
      </c>
      <c r="S2525" t="s">
        <v>42</v>
      </c>
      <c r="T2525">
        <v>82630</v>
      </c>
      <c r="U2525" t="s">
        <v>32</v>
      </c>
      <c r="V2525" t="s">
        <v>66</v>
      </c>
      <c r="W2525" t="s">
        <v>44</v>
      </c>
      <c r="X2525" t="s">
        <v>44</v>
      </c>
      <c r="Y2525" s="9">
        <f t="shared" si="118"/>
        <v>2.1000000000000001E-2</v>
      </c>
      <c r="Z2525" t="str">
        <f t="shared" si="119"/>
        <v>สแกนต่าง Cost</v>
      </c>
    </row>
    <row r="2526" spans="1:26" x14ac:dyDescent="0.45">
      <c r="A2526">
        <v>25667</v>
      </c>
      <c r="B2526" t="s">
        <v>53</v>
      </c>
      <c r="C2526">
        <v>20250211</v>
      </c>
      <c r="D2526" t="s">
        <v>387</v>
      </c>
      <c r="E2526" s="10">
        <v>46116.333333333336</v>
      </c>
      <c r="F2526" s="10">
        <v>46116.833333333336</v>
      </c>
      <c r="G2526">
        <v>12</v>
      </c>
      <c r="H2526" s="9">
        <f t="shared" si="117"/>
        <v>6.4000000000000001E-2</v>
      </c>
      <c r="I2526">
        <v>4.4999999999999998E-2</v>
      </c>
      <c r="K2526">
        <v>1.9E-2</v>
      </c>
      <c r="M2526" t="s">
        <v>28</v>
      </c>
      <c r="N2526" t="s">
        <v>40</v>
      </c>
      <c r="O2526" t="s">
        <v>41</v>
      </c>
      <c r="P2526" t="s">
        <v>30</v>
      </c>
      <c r="Q2526" t="s">
        <v>31</v>
      </c>
      <c r="R2526">
        <v>82301</v>
      </c>
      <c r="S2526" t="s">
        <v>79</v>
      </c>
      <c r="T2526">
        <v>82664</v>
      </c>
      <c r="U2526" t="s">
        <v>75</v>
      </c>
      <c r="V2526" t="s">
        <v>75</v>
      </c>
      <c r="W2526" t="s">
        <v>95</v>
      </c>
      <c r="X2526" t="s">
        <v>47</v>
      </c>
      <c r="Y2526" s="9">
        <f t="shared" si="118"/>
        <v>1.9E-2</v>
      </c>
      <c r="Z2526" t="str">
        <f t="shared" si="119"/>
        <v>สแกนต่าง Cost</v>
      </c>
    </row>
    <row r="2527" spans="1:26" x14ac:dyDescent="0.45">
      <c r="B2527" t="s">
        <v>53</v>
      </c>
      <c r="C2527">
        <v>20280718</v>
      </c>
      <c r="D2527" t="s">
        <v>256</v>
      </c>
      <c r="E2527" s="10">
        <v>46116.333333333336</v>
      </c>
      <c r="F2527" s="10">
        <v>46116.395833333336</v>
      </c>
      <c r="G2527">
        <v>1.5</v>
      </c>
      <c r="H2527" s="9">
        <f t="shared" si="117"/>
        <v>8.0000000000000002E-3</v>
      </c>
      <c r="I2527">
        <v>8.0000000000000002E-3</v>
      </c>
      <c r="M2527" t="s">
        <v>65</v>
      </c>
      <c r="N2527" t="s">
        <v>29</v>
      </c>
      <c r="P2527" t="s">
        <v>30</v>
      </c>
      <c r="Q2527" t="s">
        <v>31</v>
      </c>
      <c r="R2527">
        <v>82640</v>
      </c>
      <c r="S2527" t="s">
        <v>42</v>
      </c>
      <c r="T2527">
        <v>82630</v>
      </c>
      <c r="U2527" t="s">
        <v>32</v>
      </c>
      <c r="V2527" t="s">
        <v>66</v>
      </c>
      <c r="W2527" t="s">
        <v>44</v>
      </c>
      <c r="X2527" t="s">
        <v>44</v>
      </c>
      <c r="Y2527" s="9">
        <f t="shared" si="118"/>
        <v>0</v>
      </c>
      <c r="Z2527" t="str">
        <f t="shared" si="119"/>
        <v>สแกนต่าง Cost</v>
      </c>
    </row>
    <row r="2528" spans="1:26" x14ac:dyDescent="0.45">
      <c r="A2528">
        <v>25859</v>
      </c>
      <c r="B2528" t="s">
        <v>53</v>
      </c>
      <c r="C2528">
        <v>20287440</v>
      </c>
      <c r="D2528" t="s">
        <v>253</v>
      </c>
      <c r="E2528" s="10">
        <v>46116.333333333336</v>
      </c>
      <c r="F2528" s="10">
        <v>46116.729166666664</v>
      </c>
      <c r="G2528">
        <v>8.5</v>
      </c>
      <c r="H2528" s="9">
        <f t="shared" si="117"/>
        <v>4.4999999999999998E-2</v>
      </c>
      <c r="J2528">
        <v>4.4999999999999998E-2</v>
      </c>
      <c r="M2528" t="s">
        <v>77</v>
      </c>
      <c r="N2528" t="s">
        <v>40</v>
      </c>
      <c r="O2528" t="s">
        <v>78</v>
      </c>
      <c r="P2528" t="s">
        <v>30</v>
      </c>
      <c r="Q2528" t="s">
        <v>31</v>
      </c>
      <c r="R2528">
        <v>82640</v>
      </c>
      <c r="S2528" t="s">
        <v>42</v>
      </c>
      <c r="T2528">
        <v>82658</v>
      </c>
      <c r="U2528" t="s">
        <v>33</v>
      </c>
      <c r="V2528" t="s">
        <v>33</v>
      </c>
      <c r="W2528" t="s">
        <v>37</v>
      </c>
      <c r="X2528" t="s">
        <v>38</v>
      </c>
      <c r="Y2528" s="9">
        <f t="shared" si="118"/>
        <v>4.4999999999999998E-2</v>
      </c>
      <c r="Z2528" t="str">
        <f t="shared" si="119"/>
        <v>สแกนต่าง Cost</v>
      </c>
    </row>
    <row r="2529" spans="1:26" x14ac:dyDescent="0.45">
      <c r="A2529">
        <v>25860</v>
      </c>
      <c r="B2529" t="s">
        <v>53</v>
      </c>
      <c r="C2529">
        <v>20310534</v>
      </c>
      <c r="D2529" t="s">
        <v>228</v>
      </c>
      <c r="E2529" s="10">
        <v>46116.333333333336</v>
      </c>
      <c r="F2529" s="10">
        <v>46116.729166666664</v>
      </c>
      <c r="G2529">
        <v>8.5</v>
      </c>
      <c r="H2529" s="9">
        <f t="shared" si="117"/>
        <v>4.4999999999999998E-2</v>
      </c>
      <c r="J2529">
        <v>4.4999999999999998E-2</v>
      </c>
      <c r="M2529" t="s">
        <v>77</v>
      </c>
      <c r="N2529" t="s">
        <v>40</v>
      </c>
      <c r="O2529" t="s">
        <v>78</v>
      </c>
      <c r="P2529" t="s">
        <v>30</v>
      </c>
      <c r="Q2529" t="s">
        <v>31</v>
      </c>
      <c r="R2529">
        <v>82611</v>
      </c>
      <c r="S2529" t="s">
        <v>43</v>
      </c>
      <c r="T2529">
        <v>82658</v>
      </c>
      <c r="U2529" t="s">
        <v>33</v>
      </c>
      <c r="V2529" t="s">
        <v>33</v>
      </c>
      <c r="W2529" t="s">
        <v>37</v>
      </c>
      <c r="X2529" t="s">
        <v>38</v>
      </c>
      <c r="Y2529" s="9">
        <f t="shared" si="118"/>
        <v>4.4999999999999998E-2</v>
      </c>
      <c r="Z2529" t="str">
        <f t="shared" si="119"/>
        <v>สแกนต่าง Cost</v>
      </c>
    </row>
    <row r="2530" spans="1:26" x14ac:dyDescent="0.45">
      <c r="B2530" t="s">
        <v>53</v>
      </c>
      <c r="C2530">
        <v>20319535</v>
      </c>
      <c r="D2530" t="s">
        <v>36</v>
      </c>
      <c r="E2530" s="10">
        <v>46116.333333333336</v>
      </c>
      <c r="F2530" s="10">
        <v>46116.729166666664</v>
      </c>
      <c r="G2530">
        <v>9.5</v>
      </c>
      <c r="H2530" s="9">
        <f t="shared" si="117"/>
        <v>4.9999999999999996E-2</v>
      </c>
      <c r="I2530">
        <v>4.4999999999999998E-2</v>
      </c>
      <c r="K2530">
        <v>5.0000000000000001E-3</v>
      </c>
      <c r="M2530" t="s">
        <v>28</v>
      </c>
      <c r="N2530" t="s">
        <v>40</v>
      </c>
      <c r="O2530" t="s">
        <v>41</v>
      </c>
      <c r="P2530" t="s">
        <v>30</v>
      </c>
      <c r="Q2530" t="s">
        <v>31</v>
      </c>
      <c r="R2530">
        <v>82630</v>
      </c>
      <c r="S2530" t="s">
        <v>32</v>
      </c>
      <c r="T2530">
        <v>82611</v>
      </c>
      <c r="U2530" t="s">
        <v>43</v>
      </c>
      <c r="V2530" t="s">
        <v>43</v>
      </c>
      <c r="W2530" t="s">
        <v>170</v>
      </c>
      <c r="X2530" t="s">
        <v>171</v>
      </c>
      <c r="Y2530" s="9">
        <f t="shared" si="118"/>
        <v>5.0000000000000001E-3</v>
      </c>
      <c r="Z2530" t="str">
        <f t="shared" si="119"/>
        <v>สแกนต่าง Cost</v>
      </c>
    </row>
    <row r="2531" spans="1:26" x14ac:dyDescent="0.45">
      <c r="A2531">
        <v>27312</v>
      </c>
      <c r="B2531" t="s">
        <v>53</v>
      </c>
      <c r="C2531">
        <v>20330032</v>
      </c>
      <c r="D2531" t="s">
        <v>204</v>
      </c>
      <c r="E2531" s="10">
        <v>46116.333333333336</v>
      </c>
      <c r="F2531" s="10">
        <v>46116.729166666664</v>
      </c>
      <c r="G2531">
        <v>8.5</v>
      </c>
      <c r="H2531" s="9">
        <f t="shared" si="117"/>
        <v>4.4999999999999998E-2</v>
      </c>
      <c r="I2531">
        <v>4.4999999999999998E-2</v>
      </c>
      <c r="M2531" t="s">
        <v>65</v>
      </c>
      <c r="N2531" t="s">
        <v>29</v>
      </c>
      <c r="P2531" t="s">
        <v>30</v>
      </c>
      <c r="Q2531" t="s">
        <v>31</v>
      </c>
      <c r="R2531">
        <v>82910</v>
      </c>
      <c r="S2531" t="s">
        <v>201</v>
      </c>
      <c r="T2531">
        <v>82611</v>
      </c>
      <c r="U2531" t="s">
        <v>43</v>
      </c>
      <c r="V2531" t="s">
        <v>43</v>
      </c>
      <c r="W2531" t="s">
        <v>148</v>
      </c>
      <c r="X2531" t="s">
        <v>171</v>
      </c>
      <c r="Y2531" s="9">
        <f t="shared" si="118"/>
        <v>0</v>
      </c>
      <c r="Z2531" t="str">
        <f t="shared" si="119"/>
        <v>สแกนต่าง Cost</v>
      </c>
    </row>
    <row r="2532" spans="1:26" x14ac:dyDescent="0.45">
      <c r="B2532" t="s">
        <v>53</v>
      </c>
      <c r="C2532">
        <v>20332134</v>
      </c>
      <c r="D2532" t="s">
        <v>156</v>
      </c>
      <c r="E2532" s="10">
        <v>46116.333333333336</v>
      </c>
      <c r="F2532" s="10">
        <v>46116.375</v>
      </c>
      <c r="G2532">
        <v>1</v>
      </c>
      <c r="H2532" s="9">
        <f t="shared" si="117"/>
        <v>5.0000000000000001E-3</v>
      </c>
      <c r="J2532">
        <v>5.0000000000000001E-3</v>
      </c>
      <c r="M2532" t="s">
        <v>77</v>
      </c>
      <c r="N2532" t="s">
        <v>40</v>
      </c>
      <c r="O2532" t="s">
        <v>78</v>
      </c>
      <c r="P2532" t="s">
        <v>30</v>
      </c>
      <c r="Q2532" t="s">
        <v>31</v>
      </c>
      <c r="R2532">
        <v>82640</v>
      </c>
      <c r="S2532" t="s">
        <v>42</v>
      </c>
      <c r="T2532">
        <v>82630</v>
      </c>
      <c r="U2532" t="s">
        <v>32</v>
      </c>
      <c r="V2532" t="s">
        <v>66</v>
      </c>
      <c r="W2532" t="s">
        <v>44</v>
      </c>
      <c r="X2532" t="s">
        <v>44</v>
      </c>
      <c r="Y2532" s="9">
        <f t="shared" si="118"/>
        <v>5.0000000000000001E-3</v>
      </c>
      <c r="Z2532" t="str">
        <f t="shared" si="119"/>
        <v>สแกนต่าง Cost</v>
      </c>
    </row>
    <row r="2533" spans="1:26" x14ac:dyDescent="0.45">
      <c r="B2533" t="s">
        <v>53</v>
      </c>
      <c r="C2533">
        <v>20344532</v>
      </c>
      <c r="D2533" t="s">
        <v>186</v>
      </c>
      <c r="E2533" s="10">
        <v>46116.333333333336</v>
      </c>
      <c r="F2533" s="10">
        <v>46116.729166666664</v>
      </c>
      <c r="G2533">
        <v>9.5</v>
      </c>
      <c r="H2533" s="9">
        <f t="shared" si="117"/>
        <v>4.9999999999999996E-2</v>
      </c>
      <c r="I2533">
        <v>4.4999999999999998E-2</v>
      </c>
      <c r="K2533">
        <v>5.0000000000000001E-3</v>
      </c>
      <c r="M2533" t="s">
        <v>28</v>
      </c>
      <c r="N2533" t="s">
        <v>40</v>
      </c>
      <c r="O2533" t="s">
        <v>41</v>
      </c>
      <c r="P2533" t="s">
        <v>30</v>
      </c>
      <c r="Q2533" t="s">
        <v>31</v>
      </c>
      <c r="R2533">
        <v>82630</v>
      </c>
      <c r="S2533" t="s">
        <v>32</v>
      </c>
      <c r="T2533">
        <v>82611</v>
      </c>
      <c r="U2533" t="s">
        <v>43</v>
      </c>
      <c r="V2533" t="s">
        <v>43</v>
      </c>
      <c r="W2533" t="s">
        <v>170</v>
      </c>
      <c r="X2533" t="s">
        <v>171</v>
      </c>
      <c r="Y2533" s="9">
        <f t="shared" si="118"/>
        <v>5.0000000000000001E-3</v>
      </c>
      <c r="Z2533" t="str">
        <f t="shared" si="119"/>
        <v>สแกนต่าง Cost</v>
      </c>
    </row>
    <row r="2534" spans="1:26" x14ac:dyDescent="0.45">
      <c r="A2534">
        <v>25857</v>
      </c>
      <c r="B2534" t="s">
        <v>53</v>
      </c>
      <c r="C2534">
        <v>20344534</v>
      </c>
      <c r="D2534" t="s">
        <v>278</v>
      </c>
      <c r="E2534" s="10">
        <v>46116.333333333336</v>
      </c>
      <c r="F2534" s="10">
        <v>46116.729166666664</v>
      </c>
      <c r="G2534">
        <v>8.5</v>
      </c>
      <c r="H2534" s="9">
        <f t="shared" si="117"/>
        <v>4.4999999999999998E-2</v>
      </c>
      <c r="J2534">
        <v>4.4999999999999998E-2</v>
      </c>
      <c r="M2534" t="s">
        <v>77</v>
      </c>
      <c r="N2534" t="s">
        <v>40</v>
      </c>
      <c r="O2534" t="s">
        <v>78</v>
      </c>
      <c r="P2534" t="s">
        <v>30</v>
      </c>
      <c r="Q2534" t="s">
        <v>31</v>
      </c>
      <c r="R2534">
        <v>82680</v>
      </c>
      <c r="S2534" t="s">
        <v>50</v>
      </c>
      <c r="T2534">
        <v>82658</v>
      </c>
      <c r="U2534" t="s">
        <v>33</v>
      </c>
      <c r="V2534" t="s">
        <v>33</v>
      </c>
      <c r="W2534" t="s">
        <v>34</v>
      </c>
      <c r="X2534" t="s">
        <v>34</v>
      </c>
      <c r="Y2534" s="9">
        <f t="shared" si="118"/>
        <v>4.4999999999999998E-2</v>
      </c>
      <c r="Z2534" t="str">
        <f t="shared" si="119"/>
        <v>สแกนต่าง Cost</v>
      </c>
    </row>
    <row r="2535" spans="1:26" x14ac:dyDescent="0.45">
      <c r="A2535">
        <v>25635</v>
      </c>
      <c r="B2535" t="s">
        <v>53</v>
      </c>
      <c r="C2535">
        <v>20344551</v>
      </c>
      <c r="D2535" t="s">
        <v>110</v>
      </c>
      <c r="E2535" s="10">
        <v>46116.333333333336</v>
      </c>
      <c r="F2535" s="10">
        <v>46116.913194444445</v>
      </c>
      <c r="G2535">
        <v>12.916666666666666</v>
      </c>
      <c r="H2535" s="9">
        <f t="shared" si="117"/>
        <v>6.9000000000000006E-2</v>
      </c>
      <c r="J2535">
        <v>6.9000000000000006E-2</v>
      </c>
      <c r="M2535" t="s">
        <v>77</v>
      </c>
      <c r="N2535" t="s">
        <v>40</v>
      </c>
      <c r="O2535" t="s">
        <v>78</v>
      </c>
      <c r="P2535" t="s">
        <v>30</v>
      </c>
      <c r="Q2535" t="s">
        <v>31</v>
      </c>
      <c r="R2535">
        <v>82655</v>
      </c>
      <c r="S2535" t="s">
        <v>59</v>
      </c>
      <c r="T2535">
        <v>82664</v>
      </c>
      <c r="U2535" t="s">
        <v>75</v>
      </c>
      <c r="V2535" t="s">
        <v>75</v>
      </c>
      <c r="W2535" t="s">
        <v>37</v>
      </c>
      <c r="X2535" t="s">
        <v>111</v>
      </c>
      <c r="Y2535" s="9">
        <f t="shared" si="118"/>
        <v>6.9000000000000006E-2</v>
      </c>
      <c r="Z2535" t="str">
        <f t="shared" si="119"/>
        <v>สแกนต่าง Cost</v>
      </c>
    </row>
    <row r="2536" spans="1:26" x14ac:dyDescent="0.45">
      <c r="A2536">
        <v>25636</v>
      </c>
      <c r="B2536" t="s">
        <v>53</v>
      </c>
      <c r="C2536">
        <v>20344552</v>
      </c>
      <c r="D2536" t="s">
        <v>112</v>
      </c>
      <c r="E2536" s="10">
        <v>46116.333333333336</v>
      </c>
      <c r="F2536" s="10">
        <v>46116.913194444445</v>
      </c>
      <c r="G2536">
        <v>12.916666666666666</v>
      </c>
      <c r="H2536" s="9">
        <f t="shared" si="117"/>
        <v>6.9000000000000006E-2</v>
      </c>
      <c r="J2536">
        <v>6.9000000000000006E-2</v>
      </c>
      <c r="M2536" t="s">
        <v>77</v>
      </c>
      <c r="N2536" t="s">
        <v>40</v>
      </c>
      <c r="O2536" t="s">
        <v>78</v>
      </c>
      <c r="P2536" t="s">
        <v>30</v>
      </c>
      <c r="Q2536" t="s">
        <v>31</v>
      </c>
      <c r="R2536">
        <v>82655</v>
      </c>
      <c r="S2536" t="s">
        <v>59</v>
      </c>
      <c r="T2536">
        <v>82664</v>
      </c>
      <c r="U2536" t="s">
        <v>75</v>
      </c>
      <c r="V2536" t="s">
        <v>75</v>
      </c>
      <c r="W2536" t="s">
        <v>37</v>
      </c>
      <c r="X2536" t="s">
        <v>111</v>
      </c>
      <c r="Y2536" s="9">
        <f t="shared" si="118"/>
        <v>6.9000000000000006E-2</v>
      </c>
      <c r="Z2536" t="str">
        <f t="shared" si="119"/>
        <v>สแกนต่าง Cost</v>
      </c>
    </row>
    <row r="2537" spans="1:26" x14ac:dyDescent="0.45">
      <c r="B2537" t="s">
        <v>53</v>
      </c>
      <c r="C2537">
        <v>20352276</v>
      </c>
      <c r="D2537" t="s">
        <v>187</v>
      </c>
      <c r="E2537" s="10">
        <v>46116.333333333336</v>
      </c>
      <c r="F2537" s="10">
        <v>46116.729166666664</v>
      </c>
      <c r="G2537">
        <v>8.5</v>
      </c>
      <c r="H2537" s="9">
        <f t="shared" si="117"/>
        <v>4.4999999999999998E-2</v>
      </c>
      <c r="J2537">
        <v>4.4999999999999998E-2</v>
      </c>
      <c r="M2537" t="s">
        <v>77</v>
      </c>
      <c r="N2537" t="s">
        <v>29</v>
      </c>
      <c r="P2537" t="s">
        <v>30</v>
      </c>
      <c r="Q2537" t="s">
        <v>31</v>
      </c>
      <c r="R2537">
        <v>82630</v>
      </c>
      <c r="S2537" t="s">
        <v>32</v>
      </c>
      <c r="T2537">
        <v>82611</v>
      </c>
      <c r="U2537" t="s">
        <v>43</v>
      </c>
      <c r="V2537" t="s">
        <v>43</v>
      </c>
      <c r="W2537" t="s">
        <v>170</v>
      </c>
      <c r="X2537" t="s">
        <v>171</v>
      </c>
      <c r="Y2537" s="9">
        <f t="shared" si="118"/>
        <v>4.4999999999999998E-2</v>
      </c>
      <c r="Z2537" t="str">
        <f t="shared" si="119"/>
        <v>สแกนต่าง Cost</v>
      </c>
    </row>
    <row r="2538" spans="1:26" x14ac:dyDescent="0.45">
      <c r="B2538" t="s">
        <v>53</v>
      </c>
      <c r="C2538">
        <v>20368087</v>
      </c>
      <c r="D2538" t="s">
        <v>260</v>
      </c>
      <c r="E2538" s="10">
        <v>46116.333333333336</v>
      </c>
      <c r="F2538" s="10">
        <v>46116.416666666664</v>
      </c>
      <c r="G2538">
        <v>2</v>
      </c>
      <c r="H2538" s="9">
        <f t="shared" si="117"/>
        <v>1.0999999999999999E-2</v>
      </c>
      <c r="I2538">
        <v>1.0999999999999999E-2</v>
      </c>
      <c r="M2538" t="s">
        <v>65</v>
      </c>
      <c r="N2538" t="s">
        <v>29</v>
      </c>
      <c r="P2538" t="s">
        <v>30</v>
      </c>
      <c r="Q2538" t="s">
        <v>31</v>
      </c>
      <c r="R2538">
        <v>82640</v>
      </c>
      <c r="S2538" t="s">
        <v>42</v>
      </c>
      <c r="T2538">
        <v>82630</v>
      </c>
      <c r="U2538" t="s">
        <v>32</v>
      </c>
      <c r="V2538" t="s">
        <v>66</v>
      </c>
      <c r="W2538" t="s">
        <v>44</v>
      </c>
      <c r="X2538" t="s">
        <v>44</v>
      </c>
      <c r="Y2538" s="9">
        <f t="shared" si="118"/>
        <v>0</v>
      </c>
      <c r="Z2538" t="str">
        <f t="shared" si="119"/>
        <v>สแกนต่าง Cost</v>
      </c>
    </row>
    <row r="2539" spans="1:26" x14ac:dyDescent="0.45">
      <c r="A2539">
        <v>27310</v>
      </c>
      <c r="B2539" t="s">
        <v>53</v>
      </c>
      <c r="C2539">
        <v>20373210</v>
      </c>
      <c r="D2539" t="s">
        <v>206</v>
      </c>
      <c r="E2539" s="10">
        <v>46116.333333333336</v>
      </c>
      <c r="F2539" s="10">
        <v>46116.729166666664</v>
      </c>
      <c r="G2539">
        <v>8.5</v>
      </c>
      <c r="H2539" s="9">
        <f t="shared" si="117"/>
        <v>4.4999999999999998E-2</v>
      </c>
      <c r="I2539">
        <v>4.4999999999999998E-2</v>
      </c>
      <c r="M2539" t="s">
        <v>65</v>
      </c>
      <c r="N2539" t="s">
        <v>29</v>
      </c>
      <c r="P2539" t="s">
        <v>30</v>
      </c>
      <c r="Q2539" t="s">
        <v>31</v>
      </c>
      <c r="R2539">
        <v>82910</v>
      </c>
      <c r="S2539" t="s">
        <v>201</v>
      </c>
      <c r="T2539">
        <v>82611</v>
      </c>
      <c r="U2539" t="s">
        <v>43</v>
      </c>
      <c r="V2539" t="s">
        <v>43</v>
      </c>
      <c r="W2539" t="s">
        <v>148</v>
      </c>
      <c r="X2539" t="s">
        <v>171</v>
      </c>
      <c r="Y2539" s="9">
        <f t="shared" si="118"/>
        <v>0</v>
      </c>
      <c r="Z2539" t="str">
        <f t="shared" si="119"/>
        <v>สแกนต่าง Cost</v>
      </c>
    </row>
    <row r="2540" spans="1:26" x14ac:dyDescent="0.45">
      <c r="A2540">
        <v>25862</v>
      </c>
      <c r="B2540" t="s">
        <v>53</v>
      </c>
      <c r="C2540">
        <v>20386851</v>
      </c>
      <c r="D2540" t="s">
        <v>48</v>
      </c>
      <c r="E2540" s="10">
        <v>46116.333333333336</v>
      </c>
      <c r="F2540" s="10">
        <v>46116.82916666667</v>
      </c>
      <c r="G2540">
        <v>10.9</v>
      </c>
      <c r="H2540" s="9">
        <f t="shared" si="117"/>
        <v>5.8000000000000003E-2</v>
      </c>
      <c r="J2540">
        <v>5.8000000000000003E-2</v>
      </c>
      <c r="M2540" t="s">
        <v>77</v>
      </c>
      <c r="N2540" t="s">
        <v>40</v>
      </c>
      <c r="O2540" t="s">
        <v>78</v>
      </c>
      <c r="P2540" t="s">
        <v>30</v>
      </c>
      <c r="Q2540" t="s">
        <v>31</v>
      </c>
      <c r="R2540">
        <v>82652</v>
      </c>
      <c r="S2540" t="s">
        <v>46</v>
      </c>
      <c r="T2540">
        <v>82658</v>
      </c>
      <c r="U2540" t="s">
        <v>33</v>
      </c>
      <c r="V2540" t="s">
        <v>33</v>
      </c>
      <c r="W2540" t="s">
        <v>37</v>
      </c>
      <c r="X2540" t="s">
        <v>38</v>
      </c>
      <c r="Y2540" s="9">
        <f t="shared" si="118"/>
        <v>5.8000000000000003E-2</v>
      </c>
      <c r="Z2540" t="str">
        <f t="shared" si="119"/>
        <v>สแกนต่าง Cost</v>
      </c>
    </row>
    <row r="2541" spans="1:26" x14ac:dyDescent="0.45">
      <c r="A2541">
        <v>25858</v>
      </c>
      <c r="B2541" t="s">
        <v>53</v>
      </c>
      <c r="C2541">
        <v>20403445</v>
      </c>
      <c r="E2541" s="10">
        <v>46116.333333333336</v>
      </c>
      <c r="F2541" s="10">
        <v>46116.729166666664</v>
      </c>
      <c r="G2541">
        <v>8.5</v>
      </c>
      <c r="H2541" s="9">
        <f t="shared" si="117"/>
        <v>4.4999999999999998E-2</v>
      </c>
      <c r="J2541">
        <v>4.4999999999999998E-2</v>
      </c>
      <c r="M2541" t="s">
        <v>77</v>
      </c>
      <c r="N2541" t="s">
        <v>40</v>
      </c>
      <c r="O2541" t="s">
        <v>78</v>
      </c>
      <c r="P2541" t="s">
        <v>30</v>
      </c>
      <c r="R2541">
        <v>82680</v>
      </c>
      <c r="S2541" t="s">
        <v>50</v>
      </c>
      <c r="T2541">
        <v>82658</v>
      </c>
      <c r="U2541" t="s">
        <v>33</v>
      </c>
      <c r="V2541" t="s">
        <v>33</v>
      </c>
      <c r="W2541" t="s">
        <v>34</v>
      </c>
      <c r="X2541" t="s">
        <v>34</v>
      </c>
      <c r="Y2541" s="9">
        <f t="shared" si="118"/>
        <v>4.4999999999999998E-2</v>
      </c>
      <c r="Z2541" t="str">
        <f t="shared" si="119"/>
        <v>สแกนต่าง Cost</v>
      </c>
    </row>
    <row r="2542" spans="1:26" x14ac:dyDescent="0.45">
      <c r="A2542">
        <v>25854</v>
      </c>
      <c r="B2542" t="s">
        <v>53</v>
      </c>
      <c r="C2542">
        <v>20039228</v>
      </c>
      <c r="D2542" t="s">
        <v>289</v>
      </c>
      <c r="E2542" s="10">
        <v>46116.332638888889</v>
      </c>
      <c r="F2542" s="10">
        <v>46116.916666666664</v>
      </c>
      <c r="G2542">
        <v>13.016666666666667</v>
      </c>
      <c r="H2542" s="9">
        <f t="shared" si="117"/>
        <v>7.0000000000000007E-2</v>
      </c>
      <c r="J2542">
        <v>7.0000000000000007E-2</v>
      </c>
      <c r="M2542" t="s">
        <v>77</v>
      </c>
      <c r="N2542" t="s">
        <v>40</v>
      </c>
      <c r="O2542" t="s">
        <v>78</v>
      </c>
      <c r="P2542" t="s">
        <v>30</v>
      </c>
      <c r="Q2542" t="s">
        <v>31</v>
      </c>
      <c r="R2542">
        <v>82655</v>
      </c>
      <c r="S2542" t="s">
        <v>59</v>
      </c>
      <c r="T2542">
        <v>82658</v>
      </c>
      <c r="U2542" t="s">
        <v>33</v>
      </c>
      <c r="V2542" t="s">
        <v>33</v>
      </c>
      <c r="W2542" t="s">
        <v>37</v>
      </c>
      <c r="X2542" t="s">
        <v>38</v>
      </c>
      <c r="Y2542" s="9">
        <f t="shared" si="118"/>
        <v>7.0000000000000007E-2</v>
      </c>
      <c r="Z2542" t="str">
        <f t="shared" si="119"/>
        <v>สแกนต่าง Cost</v>
      </c>
    </row>
    <row r="2543" spans="1:26" x14ac:dyDescent="0.45">
      <c r="A2543">
        <v>25633</v>
      </c>
      <c r="B2543" t="s">
        <v>53</v>
      </c>
      <c r="C2543">
        <v>20198835</v>
      </c>
      <c r="D2543" t="s">
        <v>129</v>
      </c>
      <c r="E2543" s="10">
        <v>46116.332638888889</v>
      </c>
      <c r="F2543" s="10">
        <v>46116.912499999999</v>
      </c>
      <c r="G2543">
        <v>12.916666666666666</v>
      </c>
      <c r="H2543" s="9">
        <f t="shared" si="117"/>
        <v>6.9000000000000006E-2</v>
      </c>
      <c r="J2543">
        <v>6.9000000000000006E-2</v>
      </c>
      <c r="M2543" t="s">
        <v>77</v>
      </c>
      <c r="N2543" t="s">
        <v>40</v>
      </c>
      <c r="O2543" t="s">
        <v>78</v>
      </c>
      <c r="P2543" t="s">
        <v>30</v>
      </c>
      <c r="Q2543" t="s">
        <v>31</v>
      </c>
      <c r="R2543">
        <v>82658</v>
      </c>
      <c r="S2543" t="s">
        <v>33</v>
      </c>
      <c r="T2543">
        <v>82664</v>
      </c>
      <c r="U2543" t="s">
        <v>75</v>
      </c>
      <c r="V2543" t="s">
        <v>75</v>
      </c>
      <c r="W2543" t="s">
        <v>37</v>
      </c>
      <c r="X2543" t="s">
        <v>111</v>
      </c>
      <c r="Y2543" s="9">
        <f t="shared" si="118"/>
        <v>6.9000000000000006E-2</v>
      </c>
      <c r="Z2543" t="str">
        <f t="shared" si="119"/>
        <v>สแกนต่าง Cost</v>
      </c>
    </row>
    <row r="2544" spans="1:26" x14ac:dyDescent="0.45">
      <c r="A2544">
        <v>25632</v>
      </c>
      <c r="B2544" t="s">
        <v>53</v>
      </c>
      <c r="C2544">
        <v>20267288</v>
      </c>
      <c r="D2544" t="s">
        <v>127</v>
      </c>
      <c r="E2544" s="10">
        <v>46116.332638888889</v>
      </c>
      <c r="F2544" s="10">
        <v>46116.792361111111</v>
      </c>
      <c r="G2544">
        <v>11.033333333333333</v>
      </c>
      <c r="H2544" s="9">
        <f t="shared" si="117"/>
        <v>5.8999999999999997E-2</v>
      </c>
      <c r="I2544">
        <v>4.4999999999999998E-2</v>
      </c>
      <c r="K2544">
        <v>1.4E-2</v>
      </c>
      <c r="M2544" t="s">
        <v>28</v>
      </c>
      <c r="N2544" t="s">
        <v>40</v>
      </c>
      <c r="O2544" t="s">
        <v>181</v>
      </c>
      <c r="P2544" t="s">
        <v>30</v>
      </c>
      <c r="Q2544" t="s">
        <v>31</v>
      </c>
      <c r="R2544">
        <v>82409</v>
      </c>
      <c r="S2544" t="s">
        <v>74</v>
      </c>
      <c r="T2544">
        <v>82664</v>
      </c>
      <c r="U2544" t="s">
        <v>75</v>
      </c>
      <c r="V2544" t="s">
        <v>75</v>
      </c>
      <c r="W2544" t="s">
        <v>74</v>
      </c>
      <c r="X2544" t="s">
        <v>74</v>
      </c>
      <c r="Y2544" s="9">
        <f t="shared" si="118"/>
        <v>1.4E-2</v>
      </c>
      <c r="Z2544" t="str">
        <f t="shared" si="119"/>
        <v>สแกนต่าง Cost</v>
      </c>
    </row>
    <row r="2545" spans="1:26" x14ac:dyDescent="0.45">
      <c r="A2545">
        <v>25634</v>
      </c>
      <c r="B2545" t="s">
        <v>53</v>
      </c>
      <c r="C2545">
        <v>20372709</v>
      </c>
      <c r="D2545" t="s">
        <v>130</v>
      </c>
      <c r="E2545" s="10">
        <v>46116.332638888889</v>
      </c>
      <c r="F2545" s="10">
        <v>46116.913194444445</v>
      </c>
      <c r="G2545">
        <v>12.933333333333334</v>
      </c>
      <c r="H2545" s="9">
        <f t="shared" si="117"/>
        <v>6.9000000000000006E-2</v>
      </c>
      <c r="J2545">
        <v>6.9000000000000006E-2</v>
      </c>
      <c r="M2545" t="s">
        <v>77</v>
      </c>
      <c r="N2545" t="s">
        <v>40</v>
      </c>
      <c r="O2545" t="s">
        <v>78</v>
      </c>
      <c r="P2545" t="s">
        <v>30</v>
      </c>
      <c r="Q2545" t="s">
        <v>31</v>
      </c>
      <c r="R2545">
        <v>82658</v>
      </c>
      <c r="S2545" t="s">
        <v>33</v>
      </c>
      <c r="T2545">
        <v>82664</v>
      </c>
      <c r="U2545" t="s">
        <v>75</v>
      </c>
      <c r="V2545" t="s">
        <v>75</v>
      </c>
      <c r="W2545" t="s">
        <v>37</v>
      </c>
      <c r="X2545" t="s">
        <v>111</v>
      </c>
      <c r="Y2545" s="9">
        <f t="shared" si="118"/>
        <v>6.9000000000000006E-2</v>
      </c>
      <c r="Z2545" t="str">
        <f t="shared" si="119"/>
        <v>สแกนต่าง Cost</v>
      </c>
    </row>
    <row r="2546" spans="1:26" x14ac:dyDescent="0.45">
      <c r="A2546">
        <v>27303</v>
      </c>
      <c r="B2546" t="s">
        <v>53</v>
      </c>
      <c r="C2546">
        <v>20198811</v>
      </c>
      <c r="D2546" t="s">
        <v>144</v>
      </c>
      <c r="E2546" s="10">
        <v>46116.332604166666</v>
      </c>
      <c r="F2546" s="10">
        <v>46116.729166666664</v>
      </c>
      <c r="G2546">
        <v>8.5175000000000001</v>
      </c>
      <c r="H2546" s="9">
        <f t="shared" si="117"/>
        <v>4.5999999999999999E-2</v>
      </c>
      <c r="J2546">
        <v>4.5999999999999999E-2</v>
      </c>
      <c r="M2546" t="s">
        <v>77</v>
      </c>
      <c r="N2546" t="s">
        <v>40</v>
      </c>
      <c r="O2546" t="s">
        <v>78</v>
      </c>
      <c r="P2546" t="s">
        <v>30</v>
      </c>
      <c r="Q2546" t="s">
        <v>31</v>
      </c>
      <c r="R2546">
        <v>82652</v>
      </c>
      <c r="S2546" t="s">
        <v>46</v>
      </c>
      <c r="T2546">
        <v>82655</v>
      </c>
      <c r="U2546" t="s">
        <v>59</v>
      </c>
      <c r="V2546" t="s">
        <v>59</v>
      </c>
      <c r="W2546" t="s">
        <v>37</v>
      </c>
      <c r="X2546" t="s">
        <v>38</v>
      </c>
      <c r="Y2546" s="9">
        <f t="shared" si="118"/>
        <v>4.5999999999999999E-2</v>
      </c>
      <c r="Z2546" t="str">
        <f t="shared" si="119"/>
        <v>สแกนต่าง Cost</v>
      </c>
    </row>
    <row r="2547" spans="1:26" x14ac:dyDescent="0.45">
      <c r="A2547">
        <v>25631</v>
      </c>
      <c r="B2547" t="s">
        <v>53</v>
      </c>
      <c r="C2547">
        <v>20030839</v>
      </c>
      <c r="D2547" t="s">
        <v>235</v>
      </c>
      <c r="E2547" s="10">
        <v>46116.331944444442</v>
      </c>
      <c r="F2547" s="10">
        <v>46116.912499999999</v>
      </c>
      <c r="G2547">
        <v>12.933333333333334</v>
      </c>
      <c r="H2547" s="9">
        <f t="shared" si="117"/>
        <v>6.9000000000000006E-2</v>
      </c>
      <c r="J2547">
        <v>6.9000000000000006E-2</v>
      </c>
      <c r="M2547" t="s">
        <v>77</v>
      </c>
      <c r="N2547" t="s">
        <v>40</v>
      </c>
      <c r="O2547" t="s">
        <v>78</v>
      </c>
      <c r="P2547" t="s">
        <v>30</v>
      </c>
      <c r="Q2547" t="s">
        <v>31</v>
      </c>
      <c r="R2547">
        <v>82658</v>
      </c>
      <c r="S2547" t="s">
        <v>33</v>
      </c>
      <c r="T2547">
        <v>82664</v>
      </c>
      <c r="U2547" t="s">
        <v>75</v>
      </c>
      <c r="V2547" t="s">
        <v>75</v>
      </c>
      <c r="W2547" t="s">
        <v>37</v>
      </c>
      <c r="X2547" t="s">
        <v>111</v>
      </c>
      <c r="Y2547" s="9">
        <f t="shared" si="118"/>
        <v>6.9000000000000006E-2</v>
      </c>
      <c r="Z2547" t="str">
        <f t="shared" si="119"/>
        <v>สแกนต่าง Cost</v>
      </c>
    </row>
    <row r="2548" spans="1:26" x14ac:dyDescent="0.45">
      <c r="A2548">
        <v>25629</v>
      </c>
      <c r="B2548" t="s">
        <v>53</v>
      </c>
      <c r="C2548">
        <v>20039821</v>
      </c>
      <c r="D2548" t="s">
        <v>264</v>
      </c>
      <c r="E2548" s="10">
        <v>46116.331944444442</v>
      </c>
      <c r="F2548" s="10">
        <v>46116.729166666664</v>
      </c>
      <c r="G2548">
        <v>8.5333333333333332</v>
      </c>
      <c r="H2548" s="9">
        <f t="shared" si="117"/>
        <v>4.5999999999999999E-2</v>
      </c>
      <c r="I2548">
        <v>4.5999999999999999E-2</v>
      </c>
      <c r="M2548" t="s">
        <v>65</v>
      </c>
      <c r="N2548" t="s">
        <v>29</v>
      </c>
      <c r="P2548" t="s">
        <v>133</v>
      </c>
      <c r="Q2548" t="s">
        <v>31</v>
      </c>
      <c r="R2548">
        <v>82306</v>
      </c>
      <c r="S2548" t="s">
        <v>55</v>
      </c>
      <c r="T2548">
        <v>82920</v>
      </c>
      <c r="U2548" t="s">
        <v>158</v>
      </c>
      <c r="V2548" t="s">
        <v>158</v>
      </c>
      <c r="W2548" t="s">
        <v>159</v>
      </c>
      <c r="X2548" t="s">
        <v>160</v>
      </c>
      <c r="Y2548" s="9">
        <f t="shared" si="118"/>
        <v>0</v>
      </c>
      <c r="Z2548" t="str">
        <f t="shared" si="119"/>
        <v>สแกนต่าง Cost</v>
      </c>
    </row>
    <row r="2549" spans="1:26" x14ac:dyDescent="0.45">
      <c r="A2549">
        <v>25630</v>
      </c>
      <c r="B2549" t="s">
        <v>53</v>
      </c>
      <c r="C2549">
        <v>20162724</v>
      </c>
      <c r="D2549" t="s">
        <v>128</v>
      </c>
      <c r="E2549" s="10">
        <v>46116.331944444442</v>
      </c>
      <c r="F2549" s="10">
        <v>46116.912499999999</v>
      </c>
      <c r="G2549">
        <v>12.933333333333334</v>
      </c>
      <c r="H2549" s="9">
        <f t="shared" si="117"/>
        <v>6.9000000000000006E-2</v>
      </c>
      <c r="J2549">
        <v>6.9000000000000006E-2</v>
      </c>
      <c r="M2549" t="s">
        <v>77</v>
      </c>
      <c r="N2549" t="s">
        <v>40</v>
      </c>
      <c r="O2549" t="s">
        <v>78</v>
      </c>
      <c r="P2549" t="s">
        <v>30</v>
      </c>
      <c r="Q2549" t="s">
        <v>31</v>
      </c>
      <c r="R2549">
        <v>82658</v>
      </c>
      <c r="S2549" t="s">
        <v>33</v>
      </c>
      <c r="T2549">
        <v>82664</v>
      </c>
      <c r="U2549" t="s">
        <v>75</v>
      </c>
      <c r="V2549" t="s">
        <v>75</v>
      </c>
      <c r="W2549" t="s">
        <v>37</v>
      </c>
      <c r="X2549" t="s">
        <v>111</v>
      </c>
      <c r="Y2549" s="9">
        <f t="shared" si="118"/>
        <v>6.9000000000000006E-2</v>
      </c>
      <c r="Z2549" t="str">
        <f t="shared" si="119"/>
        <v>สแกนต่าง Cost</v>
      </c>
    </row>
    <row r="2550" spans="1:26" x14ac:dyDescent="0.45">
      <c r="A2550">
        <v>25627</v>
      </c>
      <c r="B2550" t="s">
        <v>53</v>
      </c>
      <c r="C2550">
        <v>20198584</v>
      </c>
      <c r="D2550" t="s">
        <v>353</v>
      </c>
      <c r="E2550" s="10">
        <v>46116.329861111109</v>
      </c>
      <c r="F2550" s="10">
        <v>46116.729166666664</v>
      </c>
      <c r="G2550">
        <v>8.5833333333333339</v>
      </c>
      <c r="H2550" s="9">
        <f t="shared" si="117"/>
        <v>4.5999999999999999E-2</v>
      </c>
      <c r="J2550">
        <v>4.5999999999999999E-2</v>
      </c>
      <c r="M2550" t="s">
        <v>77</v>
      </c>
      <c r="N2550" t="s">
        <v>40</v>
      </c>
      <c r="O2550" t="s">
        <v>78</v>
      </c>
      <c r="P2550" t="s">
        <v>30</v>
      </c>
      <c r="Q2550" t="s">
        <v>31</v>
      </c>
      <c r="R2550">
        <v>82306</v>
      </c>
      <c r="S2550" t="s">
        <v>55</v>
      </c>
      <c r="T2550">
        <v>82920</v>
      </c>
      <c r="U2550" t="s">
        <v>158</v>
      </c>
      <c r="V2550" t="s">
        <v>158</v>
      </c>
      <c r="W2550" t="s">
        <v>159</v>
      </c>
      <c r="X2550" t="s">
        <v>160</v>
      </c>
      <c r="Y2550" s="9">
        <f t="shared" si="118"/>
        <v>4.5999999999999999E-2</v>
      </c>
      <c r="Z2550" t="str">
        <f t="shared" si="119"/>
        <v>สแกนต่าง Cost</v>
      </c>
    </row>
    <row r="2551" spans="1:26" x14ac:dyDescent="0.45">
      <c r="A2551">
        <v>25852</v>
      </c>
      <c r="B2551" t="s">
        <v>53</v>
      </c>
      <c r="C2551">
        <v>20233956</v>
      </c>
      <c r="D2551" t="s">
        <v>219</v>
      </c>
      <c r="E2551" s="10">
        <v>46116.327777777777</v>
      </c>
      <c r="F2551" s="10">
        <v>46116.826388888891</v>
      </c>
      <c r="G2551">
        <v>10.966666666666667</v>
      </c>
      <c r="H2551" s="9">
        <f t="shared" si="117"/>
        <v>5.8999999999999997E-2</v>
      </c>
      <c r="J2551">
        <v>5.8999999999999997E-2</v>
      </c>
      <c r="M2551" t="s">
        <v>77</v>
      </c>
      <c r="N2551" t="s">
        <v>40</v>
      </c>
      <c r="O2551" t="s">
        <v>78</v>
      </c>
      <c r="P2551" t="s">
        <v>30</v>
      </c>
      <c r="Q2551" t="s">
        <v>31</v>
      </c>
      <c r="R2551">
        <v>82680</v>
      </c>
      <c r="S2551" t="s">
        <v>50</v>
      </c>
      <c r="T2551">
        <v>82658</v>
      </c>
      <c r="U2551" t="s">
        <v>33</v>
      </c>
      <c r="V2551" t="s">
        <v>33</v>
      </c>
      <c r="W2551" t="s">
        <v>34</v>
      </c>
      <c r="X2551" t="s">
        <v>34</v>
      </c>
      <c r="Y2551" s="9">
        <f t="shared" si="118"/>
        <v>5.8999999999999997E-2</v>
      </c>
      <c r="Z2551" t="str">
        <f t="shared" si="119"/>
        <v>สแกนต่าง Cost</v>
      </c>
    </row>
    <row r="2552" spans="1:26" x14ac:dyDescent="0.45">
      <c r="A2552">
        <v>25851</v>
      </c>
      <c r="B2552" t="s">
        <v>53</v>
      </c>
      <c r="C2552">
        <v>20076991</v>
      </c>
      <c r="D2552" t="s">
        <v>76</v>
      </c>
      <c r="E2552" s="10">
        <v>46116.309027777781</v>
      </c>
      <c r="F2552" s="10">
        <v>46116.912499999999</v>
      </c>
      <c r="G2552">
        <v>14.483333333333333</v>
      </c>
      <c r="H2552" s="9">
        <f t="shared" si="117"/>
        <v>3.2000000000000001E-2</v>
      </c>
      <c r="L2552">
        <v>3.2000000000000001E-2</v>
      </c>
      <c r="M2552" t="s">
        <v>255</v>
      </c>
      <c r="N2552" t="s">
        <v>40</v>
      </c>
      <c r="O2552" t="s">
        <v>140</v>
      </c>
      <c r="P2552" t="s">
        <v>30</v>
      </c>
      <c r="Q2552" t="s">
        <v>31</v>
      </c>
      <c r="R2552">
        <v>82308</v>
      </c>
      <c r="S2552" t="s">
        <v>69</v>
      </c>
      <c r="T2552">
        <v>82658</v>
      </c>
      <c r="U2552" t="s">
        <v>33</v>
      </c>
      <c r="V2552" t="s">
        <v>33</v>
      </c>
      <c r="W2552" t="s">
        <v>37</v>
      </c>
      <c r="X2552" t="s">
        <v>38</v>
      </c>
      <c r="Y2552" s="9">
        <f t="shared" si="118"/>
        <v>3.2000000000000001E-2</v>
      </c>
      <c r="Z2552" t="str">
        <f t="shared" si="119"/>
        <v>สแกนต่าง Cost</v>
      </c>
    </row>
    <row r="2553" spans="1:26" x14ac:dyDescent="0.45">
      <c r="A2553">
        <v>25521</v>
      </c>
      <c r="B2553" t="s">
        <v>53</v>
      </c>
      <c r="C2553">
        <v>20276269</v>
      </c>
      <c r="D2553" t="s">
        <v>134</v>
      </c>
      <c r="E2553" s="10">
        <v>46116.291666666664</v>
      </c>
      <c r="F2553" s="10">
        <v>46116.6875</v>
      </c>
      <c r="G2553">
        <v>8.5</v>
      </c>
      <c r="H2553" s="9">
        <f t="shared" si="117"/>
        <v>4.4999999999999998E-2</v>
      </c>
      <c r="I2553">
        <v>4.4999999999999998E-2</v>
      </c>
      <c r="M2553" t="s">
        <v>65</v>
      </c>
      <c r="N2553" t="s">
        <v>29</v>
      </c>
      <c r="P2553" t="s">
        <v>30</v>
      </c>
      <c r="Q2553" t="s">
        <v>31</v>
      </c>
      <c r="R2553">
        <v>82308</v>
      </c>
      <c r="S2553" t="s">
        <v>69</v>
      </c>
      <c r="T2553">
        <v>82301</v>
      </c>
      <c r="U2553" t="s">
        <v>79</v>
      </c>
      <c r="V2553" t="s">
        <v>79</v>
      </c>
      <c r="W2553" t="s">
        <v>80</v>
      </c>
      <c r="X2553" t="s">
        <v>135</v>
      </c>
      <c r="Y2553" s="9">
        <f t="shared" si="118"/>
        <v>0</v>
      </c>
      <c r="Z2553" t="str">
        <f t="shared" si="119"/>
        <v>สแกนต่าง Cost</v>
      </c>
    </row>
    <row r="2554" spans="1:26" x14ac:dyDescent="0.45">
      <c r="A2554">
        <v>25626</v>
      </c>
      <c r="B2554" t="s">
        <v>53</v>
      </c>
      <c r="C2554">
        <v>20214280</v>
      </c>
      <c r="D2554" t="s">
        <v>136</v>
      </c>
      <c r="E2554" s="10">
        <v>46116.247916666667</v>
      </c>
      <c r="F2554" s="10">
        <v>46116.68472222222</v>
      </c>
      <c r="G2554">
        <v>10.483333333333333</v>
      </c>
      <c r="H2554" s="9">
        <f t="shared" si="117"/>
        <v>5.5999999999999994E-2</v>
      </c>
      <c r="I2554">
        <v>4.4999999999999998E-2</v>
      </c>
      <c r="K2554">
        <v>1.0999999999999999E-2</v>
      </c>
      <c r="M2554" t="s">
        <v>28</v>
      </c>
      <c r="N2554" t="s">
        <v>40</v>
      </c>
      <c r="O2554" t="s">
        <v>241</v>
      </c>
      <c r="P2554" t="s">
        <v>30</v>
      </c>
      <c r="Q2554" t="s">
        <v>31</v>
      </c>
      <c r="R2554">
        <v>82415</v>
      </c>
      <c r="S2554" t="s">
        <v>137</v>
      </c>
      <c r="T2554">
        <v>82664</v>
      </c>
      <c r="U2554" t="s">
        <v>75</v>
      </c>
      <c r="V2554" t="s">
        <v>75</v>
      </c>
      <c r="W2554" t="s">
        <v>74</v>
      </c>
      <c r="X2554" t="s">
        <v>74</v>
      </c>
      <c r="Y2554" s="9">
        <f t="shared" si="118"/>
        <v>1.0999999999999999E-2</v>
      </c>
      <c r="Z2554" t="str">
        <f t="shared" si="119"/>
        <v>สแกนต่าง Cost</v>
      </c>
    </row>
    <row r="2555" spans="1:26" x14ac:dyDescent="0.45">
      <c r="B2555" t="s">
        <v>53</v>
      </c>
      <c r="C2555">
        <v>20310532</v>
      </c>
      <c r="D2555" t="s">
        <v>61</v>
      </c>
      <c r="E2555" s="10">
        <v>46116.041666666664</v>
      </c>
      <c r="F2555" s="10">
        <v>46116.229166666664</v>
      </c>
      <c r="G2555">
        <v>4.5</v>
      </c>
      <c r="H2555" s="9">
        <f t="shared" si="117"/>
        <v>2.4E-2</v>
      </c>
      <c r="L2555">
        <v>2.4E-2</v>
      </c>
      <c r="M2555" t="s">
        <v>255</v>
      </c>
      <c r="N2555" t="s">
        <v>29</v>
      </c>
      <c r="P2555" t="s">
        <v>30</v>
      </c>
      <c r="Q2555" t="s">
        <v>31</v>
      </c>
      <c r="R2555">
        <v>82640</v>
      </c>
      <c r="S2555" t="s">
        <v>42</v>
      </c>
      <c r="T2555">
        <v>82630</v>
      </c>
      <c r="U2555" t="s">
        <v>32</v>
      </c>
      <c r="V2555" t="s">
        <v>66</v>
      </c>
      <c r="W2555" t="s">
        <v>44</v>
      </c>
      <c r="X2555" t="s">
        <v>44</v>
      </c>
      <c r="Y2555" s="9">
        <f t="shared" si="118"/>
        <v>2.4E-2</v>
      </c>
      <c r="Z2555" t="str">
        <f t="shared" si="119"/>
        <v>สแกนต่าง Cost</v>
      </c>
    </row>
    <row r="2556" spans="1:26" x14ac:dyDescent="0.45">
      <c r="A2556">
        <v>27288</v>
      </c>
      <c r="B2556" t="s">
        <v>53</v>
      </c>
      <c r="C2556">
        <v>20319535</v>
      </c>
      <c r="D2556" t="s">
        <v>36</v>
      </c>
      <c r="E2556" s="10">
        <v>46115.857372685183</v>
      </c>
      <c r="F2556" s="10">
        <v>46116.325474537036</v>
      </c>
      <c r="G2556">
        <v>11.234444444444444</v>
      </c>
      <c r="H2556" s="9">
        <f t="shared" si="117"/>
        <v>0.06</v>
      </c>
      <c r="I2556">
        <v>4.4999999999999998E-2</v>
      </c>
      <c r="K2556">
        <v>1.4999999999999999E-2</v>
      </c>
      <c r="M2556" t="s">
        <v>28</v>
      </c>
      <c r="N2556" t="s">
        <v>40</v>
      </c>
      <c r="O2556" t="s">
        <v>41</v>
      </c>
      <c r="P2556" t="s">
        <v>30</v>
      </c>
      <c r="Q2556" t="s">
        <v>31</v>
      </c>
      <c r="R2556">
        <v>82630</v>
      </c>
      <c r="S2556" t="s">
        <v>32</v>
      </c>
      <c r="T2556">
        <v>82655</v>
      </c>
      <c r="U2556" t="s">
        <v>59</v>
      </c>
      <c r="V2556" t="s">
        <v>59</v>
      </c>
      <c r="W2556" t="s">
        <v>37</v>
      </c>
      <c r="X2556" t="s">
        <v>38</v>
      </c>
      <c r="Y2556" s="9">
        <f t="shared" si="118"/>
        <v>1.4999999999999999E-2</v>
      </c>
      <c r="Z2556" t="str">
        <f t="shared" si="119"/>
        <v>สแกนต่าง Cost</v>
      </c>
    </row>
    <row r="2557" spans="1:26" x14ac:dyDescent="0.45">
      <c r="A2557">
        <v>27285</v>
      </c>
      <c r="B2557" t="s">
        <v>53</v>
      </c>
      <c r="C2557">
        <v>20049568</v>
      </c>
      <c r="D2557" t="s">
        <v>368</v>
      </c>
      <c r="E2557" s="10">
        <v>46115.856550925928</v>
      </c>
      <c r="F2557" s="10">
        <v>46116.325497685182</v>
      </c>
      <c r="G2557">
        <v>11.254722222222222</v>
      </c>
      <c r="H2557" s="9">
        <f t="shared" si="117"/>
        <v>0.06</v>
      </c>
      <c r="I2557">
        <v>4.4999999999999998E-2</v>
      </c>
      <c r="K2557">
        <v>1.4999999999999999E-2</v>
      </c>
      <c r="M2557" t="s">
        <v>28</v>
      </c>
      <c r="N2557" t="s">
        <v>40</v>
      </c>
      <c r="O2557" t="s">
        <v>41</v>
      </c>
      <c r="P2557" t="s">
        <v>30</v>
      </c>
      <c r="Q2557" t="s">
        <v>31</v>
      </c>
      <c r="R2557">
        <v>82630</v>
      </c>
      <c r="S2557" t="s">
        <v>32</v>
      </c>
      <c r="T2557">
        <v>82655</v>
      </c>
      <c r="U2557" t="s">
        <v>59</v>
      </c>
      <c r="V2557" t="s">
        <v>59</v>
      </c>
      <c r="W2557" t="s">
        <v>37</v>
      </c>
      <c r="X2557" t="s">
        <v>38</v>
      </c>
      <c r="Y2557" s="9">
        <f t="shared" si="118"/>
        <v>1.4999999999999999E-2</v>
      </c>
      <c r="Z2557" t="str">
        <f t="shared" si="119"/>
        <v>สแกนต่าง Cost</v>
      </c>
    </row>
    <row r="2558" spans="1:26" x14ac:dyDescent="0.45">
      <c r="A2558">
        <v>25847</v>
      </c>
      <c r="B2558" t="s">
        <v>53</v>
      </c>
      <c r="C2558">
        <v>20198721</v>
      </c>
      <c r="D2558" t="s">
        <v>35</v>
      </c>
      <c r="E2558" s="10">
        <v>46115.845833333333</v>
      </c>
      <c r="F2558" s="10">
        <v>46116.223611111112</v>
      </c>
      <c r="G2558">
        <v>8.0666666666666664</v>
      </c>
      <c r="H2558" s="9">
        <f t="shared" si="117"/>
        <v>4.2999999999999997E-2</v>
      </c>
      <c r="I2558">
        <v>4.2999999999999997E-2</v>
      </c>
      <c r="M2558" t="s">
        <v>65</v>
      </c>
      <c r="N2558" t="s">
        <v>29</v>
      </c>
      <c r="P2558" t="s">
        <v>30</v>
      </c>
      <c r="Q2558" t="s">
        <v>31</v>
      </c>
      <c r="R2558">
        <v>82630</v>
      </c>
      <c r="S2558" t="s">
        <v>32</v>
      </c>
      <c r="T2558">
        <v>82658</v>
      </c>
      <c r="U2558" t="s">
        <v>33</v>
      </c>
      <c r="V2558" t="s">
        <v>33</v>
      </c>
      <c r="W2558" t="s">
        <v>34</v>
      </c>
      <c r="X2558" t="s">
        <v>34</v>
      </c>
      <c r="Y2558" s="9">
        <f t="shared" si="118"/>
        <v>0</v>
      </c>
      <c r="Z2558" t="str">
        <f t="shared" si="119"/>
        <v>สแกนต่าง Cost</v>
      </c>
    </row>
    <row r="2559" spans="1:26" x14ac:dyDescent="0.45">
      <c r="A2559">
        <v>25849</v>
      </c>
      <c r="B2559" t="s">
        <v>53</v>
      </c>
      <c r="C2559">
        <v>20319542</v>
      </c>
      <c r="D2559" t="s">
        <v>379</v>
      </c>
      <c r="E2559" s="10">
        <v>46115.845833333333</v>
      </c>
      <c r="F2559" s="10">
        <v>46116.223611111112</v>
      </c>
      <c r="G2559">
        <v>8.0666666666666664</v>
      </c>
      <c r="H2559" s="9">
        <f t="shared" si="117"/>
        <v>4.2999999999999997E-2</v>
      </c>
      <c r="I2559">
        <v>4.2999999999999997E-2</v>
      </c>
      <c r="M2559" t="s">
        <v>65</v>
      </c>
      <c r="N2559" t="s">
        <v>29</v>
      </c>
      <c r="P2559" t="s">
        <v>30</v>
      </c>
      <c r="Q2559" t="s">
        <v>31</v>
      </c>
      <c r="R2559">
        <v>82630</v>
      </c>
      <c r="S2559" t="s">
        <v>32</v>
      </c>
      <c r="T2559">
        <v>82658</v>
      </c>
      <c r="U2559" t="s">
        <v>33</v>
      </c>
      <c r="V2559" t="s">
        <v>33</v>
      </c>
      <c r="W2559" t="s">
        <v>34</v>
      </c>
      <c r="X2559" t="s">
        <v>34</v>
      </c>
      <c r="Y2559" s="9">
        <f t="shared" si="118"/>
        <v>0</v>
      </c>
      <c r="Z2559" t="str">
        <f t="shared" si="119"/>
        <v>สแกนต่าง Cost</v>
      </c>
    </row>
    <row r="2560" spans="1:26" x14ac:dyDescent="0.45">
      <c r="A2560">
        <v>25844</v>
      </c>
      <c r="B2560" t="s">
        <v>53</v>
      </c>
      <c r="C2560">
        <v>20344532</v>
      </c>
      <c r="D2560" t="s">
        <v>186</v>
      </c>
      <c r="E2560" s="10">
        <v>46115.845833333333</v>
      </c>
      <c r="F2560" s="10">
        <v>46116.223611111112</v>
      </c>
      <c r="G2560">
        <v>8.0666666666666664</v>
      </c>
      <c r="H2560" s="9">
        <f t="shared" si="117"/>
        <v>4.2999999999999997E-2</v>
      </c>
      <c r="I2560">
        <v>4.2999999999999997E-2</v>
      </c>
      <c r="M2560" t="s">
        <v>65</v>
      </c>
      <c r="N2560" t="s">
        <v>29</v>
      </c>
      <c r="P2560" t="s">
        <v>30</v>
      </c>
      <c r="Q2560" t="s">
        <v>31</v>
      </c>
      <c r="R2560">
        <v>82630</v>
      </c>
      <c r="S2560" t="s">
        <v>32</v>
      </c>
      <c r="T2560">
        <v>82658</v>
      </c>
      <c r="U2560" t="s">
        <v>33</v>
      </c>
      <c r="V2560" t="s">
        <v>33</v>
      </c>
      <c r="W2560" t="s">
        <v>34</v>
      </c>
      <c r="X2560" t="s">
        <v>34</v>
      </c>
      <c r="Y2560" s="9">
        <f t="shared" si="118"/>
        <v>0</v>
      </c>
      <c r="Z2560" t="str">
        <f t="shared" si="119"/>
        <v>สแกนต่าง Cost</v>
      </c>
    </row>
    <row r="2561" spans="1:26" x14ac:dyDescent="0.45">
      <c r="B2561" t="s">
        <v>53</v>
      </c>
      <c r="C2561">
        <v>20310532</v>
      </c>
      <c r="D2561" t="s">
        <v>61</v>
      </c>
      <c r="E2561" s="10">
        <v>46115.833333333336</v>
      </c>
      <c r="F2561" s="10">
        <v>46116</v>
      </c>
      <c r="G2561">
        <v>4</v>
      </c>
      <c r="H2561" s="9">
        <f t="shared" si="117"/>
        <v>2.1000000000000001E-2</v>
      </c>
      <c r="I2561">
        <v>2.1000000000000001E-2</v>
      </c>
      <c r="M2561" t="s">
        <v>65</v>
      </c>
      <c r="N2561" t="s">
        <v>29</v>
      </c>
      <c r="P2561" t="s">
        <v>30</v>
      </c>
      <c r="Q2561" t="s">
        <v>31</v>
      </c>
      <c r="R2561">
        <v>82640</v>
      </c>
      <c r="S2561" t="s">
        <v>42</v>
      </c>
      <c r="T2561">
        <v>82630</v>
      </c>
      <c r="U2561" t="s">
        <v>32</v>
      </c>
      <c r="V2561" t="s">
        <v>66</v>
      </c>
      <c r="W2561" t="s">
        <v>44</v>
      </c>
      <c r="X2561" t="s">
        <v>44</v>
      </c>
      <c r="Y2561" s="9">
        <f t="shared" si="118"/>
        <v>0</v>
      </c>
      <c r="Z2561" t="str">
        <f t="shared" si="119"/>
        <v>สแกนต่าง Cost</v>
      </c>
    </row>
    <row r="2562" spans="1:26" x14ac:dyDescent="0.45">
      <c r="A2562">
        <v>25518</v>
      </c>
      <c r="B2562" t="s">
        <v>53</v>
      </c>
      <c r="C2562">
        <v>20238364</v>
      </c>
      <c r="D2562" t="s">
        <v>198</v>
      </c>
      <c r="E2562" s="10">
        <v>46115.8</v>
      </c>
      <c r="F2562" s="10">
        <v>46115.99722222222</v>
      </c>
      <c r="G2562">
        <v>4.7333333333333334</v>
      </c>
      <c r="H2562" s="9">
        <f t="shared" si="117"/>
        <v>2.5000000000000001E-2</v>
      </c>
      <c r="K2562">
        <v>2.5000000000000001E-2</v>
      </c>
      <c r="M2562" t="s">
        <v>28</v>
      </c>
      <c r="N2562" t="s">
        <v>40</v>
      </c>
      <c r="O2562" t="s">
        <v>378</v>
      </c>
      <c r="P2562" t="s">
        <v>30</v>
      </c>
      <c r="Q2562" t="s">
        <v>31</v>
      </c>
      <c r="R2562">
        <v>82306</v>
      </c>
      <c r="S2562" t="s">
        <v>55</v>
      </c>
      <c r="T2562">
        <v>82303</v>
      </c>
      <c r="U2562" t="s">
        <v>56</v>
      </c>
      <c r="V2562" t="s">
        <v>56</v>
      </c>
      <c r="W2562" t="s">
        <v>56</v>
      </c>
      <c r="X2562" t="s">
        <v>57</v>
      </c>
      <c r="Y2562" s="9">
        <f t="shared" si="118"/>
        <v>2.5000000000000001E-2</v>
      </c>
      <c r="Z2562" t="str">
        <f t="shared" si="119"/>
        <v>สแกนต่าง Cost</v>
      </c>
    </row>
    <row r="2563" spans="1:26" x14ac:dyDescent="0.45">
      <c r="A2563">
        <v>25480</v>
      </c>
      <c r="B2563" t="s">
        <v>53</v>
      </c>
      <c r="C2563">
        <v>20015221</v>
      </c>
      <c r="D2563" t="s">
        <v>307</v>
      </c>
      <c r="E2563" s="10">
        <v>46115.772222222222</v>
      </c>
      <c r="F2563" s="10">
        <v>46115.833333333336</v>
      </c>
      <c r="G2563">
        <v>1.4666666666666666</v>
      </c>
      <c r="H2563" s="9">
        <f t="shared" ref="H2563:H2626" si="120">SUM(I2563:L2563)</f>
        <v>8.0000000000000002E-3</v>
      </c>
      <c r="K2563">
        <v>8.0000000000000002E-3</v>
      </c>
      <c r="M2563" t="s">
        <v>28</v>
      </c>
      <c r="N2563" t="s">
        <v>40</v>
      </c>
      <c r="O2563" t="s">
        <v>181</v>
      </c>
      <c r="P2563" t="s">
        <v>30</v>
      </c>
      <c r="Q2563" t="s">
        <v>31</v>
      </c>
      <c r="R2563">
        <v>82301</v>
      </c>
      <c r="S2563" t="s">
        <v>79</v>
      </c>
      <c r="T2563">
        <v>82308</v>
      </c>
      <c r="U2563" t="s">
        <v>69</v>
      </c>
      <c r="V2563" t="s">
        <v>69</v>
      </c>
      <c r="W2563" t="s">
        <v>69</v>
      </c>
      <c r="X2563" t="s">
        <v>95</v>
      </c>
      <c r="Y2563" s="9">
        <f t="shared" ref="Y2563:Y2626" si="121">SUM(J2563:L2563)</f>
        <v>8.0000000000000002E-3</v>
      </c>
      <c r="Z2563" t="str">
        <f t="shared" ref="Z2563:Z2626" si="122">IF(R2563=T2563,"สแกน Cost ตัวเอง","สแกนต่าง Cost")</f>
        <v>สแกนต่าง Cost</v>
      </c>
    </row>
    <row r="2564" spans="1:26" x14ac:dyDescent="0.45">
      <c r="A2564">
        <v>25482</v>
      </c>
      <c r="B2564" t="s">
        <v>53</v>
      </c>
      <c r="C2564">
        <v>20058891</v>
      </c>
      <c r="D2564" t="s">
        <v>269</v>
      </c>
      <c r="E2564" s="10">
        <v>46115.772222222222</v>
      </c>
      <c r="F2564" s="10">
        <v>46115.833333333336</v>
      </c>
      <c r="G2564">
        <v>1.4666666666666666</v>
      </c>
      <c r="H2564" s="9">
        <f t="shared" si="120"/>
        <v>8.0000000000000002E-3</v>
      </c>
      <c r="K2564">
        <v>8.0000000000000002E-3</v>
      </c>
      <c r="M2564" t="s">
        <v>28</v>
      </c>
      <c r="N2564" t="s">
        <v>40</v>
      </c>
      <c r="O2564" t="s">
        <v>181</v>
      </c>
      <c r="P2564" t="s">
        <v>30</v>
      </c>
      <c r="Q2564" t="s">
        <v>31</v>
      </c>
      <c r="R2564">
        <v>82301</v>
      </c>
      <c r="S2564" t="s">
        <v>79</v>
      </c>
      <c r="T2564">
        <v>82308</v>
      </c>
      <c r="U2564" t="s">
        <v>69</v>
      </c>
      <c r="V2564" t="s">
        <v>69</v>
      </c>
      <c r="W2564" t="s">
        <v>69</v>
      </c>
      <c r="X2564" t="s">
        <v>95</v>
      </c>
      <c r="Y2564" s="9">
        <f t="shared" si="121"/>
        <v>8.0000000000000002E-3</v>
      </c>
      <c r="Z2564" t="str">
        <f t="shared" si="122"/>
        <v>สแกนต่าง Cost</v>
      </c>
    </row>
    <row r="2565" spans="1:26" x14ac:dyDescent="0.45">
      <c r="A2565">
        <v>25481</v>
      </c>
      <c r="B2565" t="s">
        <v>53</v>
      </c>
      <c r="C2565">
        <v>20173592</v>
      </c>
      <c r="D2565" t="s">
        <v>302</v>
      </c>
      <c r="E2565" s="10">
        <v>46115.772222222222</v>
      </c>
      <c r="F2565" s="10">
        <v>46115.833333333336</v>
      </c>
      <c r="G2565">
        <v>1.4666666666666666</v>
      </c>
      <c r="H2565" s="9">
        <f t="shared" si="120"/>
        <v>8.0000000000000002E-3</v>
      </c>
      <c r="K2565">
        <v>8.0000000000000002E-3</v>
      </c>
      <c r="M2565" t="s">
        <v>28</v>
      </c>
      <c r="N2565" t="s">
        <v>40</v>
      </c>
      <c r="O2565" t="s">
        <v>181</v>
      </c>
      <c r="P2565" t="s">
        <v>30</v>
      </c>
      <c r="Q2565" t="s">
        <v>31</v>
      </c>
      <c r="R2565">
        <v>82301</v>
      </c>
      <c r="S2565" t="s">
        <v>79</v>
      </c>
      <c r="T2565">
        <v>82308</v>
      </c>
      <c r="U2565" t="s">
        <v>69</v>
      </c>
      <c r="V2565" t="s">
        <v>69</v>
      </c>
      <c r="W2565" t="s">
        <v>69</v>
      </c>
      <c r="X2565" t="s">
        <v>95</v>
      </c>
      <c r="Y2565" s="9">
        <f t="shared" si="121"/>
        <v>8.0000000000000002E-3</v>
      </c>
      <c r="Z2565" t="str">
        <f t="shared" si="122"/>
        <v>สแกนต่าง Cost</v>
      </c>
    </row>
    <row r="2566" spans="1:26" x14ac:dyDescent="0.45">
      <c r="A2566">
        <v>25837</v>
      </c>
      <c r="B2566" t="s">
        <v>53</v>
      </c>
      <c r="C2566">
        <v>20028097</v>
      </c>
      <c r="D2566" t="s">
        <v>139</v>
      </c>
      <c r="E2566" s="10">
        <v>46115.744444444441</v>
      </c>
      <c r="F2566" s="10">
        <v>46115.82708333333</v>
      </c>
      <c r="G2566">
        <v>1.9833333333333334</v>
      </c>
      <c r="H2566" s="9">
        <f t="shared" si="120"/>
        <v>1.0999999999999999E-2</v>
      </c>
      <c r="K2566">
        <v>1.0999999999999999E-2</v>
      </c>
      <c r="M2566" t="s">
        <v>28</v>
      </c>
      <c r="N2566" t="s">
        <v>40</v>
      </c>
      <c r="O2566" t="s">
        <v>41</v>
      </c>
      <c r="P2566" t="s">
        <v>30</v>
      </c>
      <c r="Q2566" t="s">
        <v>31</v>
      </c>
      <c r="R2566">
        <v>82652</v>
      </c>
      <c r="S2566" t="s">
        <v>46</v>
      </c>
      <c r="T2566">
        <v>82658</v>
      </c>
      <c r="U2566" t="s">
        <v>33</v>
      </c>
      <c r="V2566" t="s">
        <v>33</v>
      </c>
      <c r="W2566" t="s">
        <v>37</v>
      </c>
      <c r="X2566" t="s">
        <v>38</v>
      </c>
      <c r="Y2566" s="9">
        <f t="shared" si="121"/>
        <v>1.0999999999999999E-2</v>
      </c>
      <c r="Z2566" t="str">
        <f t="shared" si="122"/>
        <v>สแกนต่าง Cost</v>
      </c>
    </row>
    <row r="2567" spans="1:26" x14ac:dyDescent="0.45">
      <c r="A2567">
        <v>25836</v>
      </c>
      <c r="B2567" t="s">
        <v>53</v>
      </c>
      <c r="C2567">
        <v>20031838</v>
      </c>
      <c r="D2567" t="s">
        <v>143</v>
      </c>
      <c r="E2567" s="10">
        <v>46115.744444444441</v>
      </c>
      <c r="F2567" s="10">
        <v>46115.822916666664</v>
      </c>
      <c r="G2567">
        <v>1.8833333333333333</v>
      </c>
      <c r="H2567" s="9">
        <f t="shared" si="120"/>
        <v>0.01</v>
      </c>
      <c r="K2567">
        <v>0.01</v>
      </c>
      <c r="M2567" t="s">
        <v>28</v>
      </c>
      <c r="N2567" t="s">
        <v>40</v>
      </c>
      <c r="O2567" t="s">
        <v>41</v>
      </c>
      <c r="P2567" t="s">
        <v>30</v>
      </c>
      <c r="Q2567" t="s">
        <v>31</v>
      </c>
      <c r="R2567">
        <v>82652</v>
      </c>
      <c r="S2567" t="s">
        <v>46</v>
      </c>
      <c r="T2567">
        <v>82658</v>
      </c>
      <c r="U2567" t="s">
        <v>33</v>
      </c>
      <c r="V2567" t="s">
        <v>33</v>
      </c>
      <c r="W2567" t="s">
        <v>37</v>
      </c>
      <c r="X2567" t="s">
        <v>38</v>
      </c>
      <c r="Y2567" s="9">
        <f t="shared" si="121"/>
        <v>0.01</v>
      </c>
      <c r="Z2567" t="str">
        <f t="shared" si="122"/>
        <v>สแกนต่าง Cost</v>
      </c>
    </row>
    <row r="2568" spans="1:26" x14ac:dyDescent="0.45">
      <c r="A2568">
        <v>25838</v>
      </c>
      <c r="B2568" t="s">
        <v>53</v>
      </c>
      <c r="C2568">
        <v>20198811</v>
      </c>
      <c r="D2568" t="s">
        <v>144</v>
      </c>
      <c r="E2568" s="10">
        <v>46115.744444444441</v>
      </c>
      <c r="F2568" s="10">
        <v>46115.822916666664</v>
      </c>
      <c r="G2568">
        <v>1.8833333333333333</v>
      </c>
      <c r="H2568" s="9">
        <f t="shared" si="120"/>
        <v>0.01</v>
      </c>
      <c r="K2568">
        <v>0.01</v>
      </c>
      <c r="M2568" t="s">
        <v>28</v>
      </c>
      <c r="N2568" t="s">
        <v>40</v>
      </c>
      <c r="O2568" t="s">
        <v>41</v>
      </c>
      <c r="P2568" t="s">
        <v>30</v>
      </c>
      <c r="Q2568" t="s">
        <v>31</v>
      </c>
      <c r="R2568">
        <v>82652</v>
      </c>
      <c r="S2568" t="s">
        <v>46</v>
      </c>
      <c r="T2568">
        <v>82658</v>
      </c>
      <c r="U2568" t="s">
        <v>33</v>
      </c>
      <c r="V2568" t="s">
        <v>33</v>
      </c>
      <c r="W2568" t="s">
        <v>37</v>
      </c>
      <c r="X2568" t="s">
        <v>38</v>
      </c>
      <c r="Y2568" s="9">
        <f t="shared" si="121"/>
        <v>0.01</v>
      </c>
      <c r="Z2568" t="str">
        <f t="shared" si="122"/>
        <v>สแกนต่าง Cost</v>
      </c>
    </row>
    <row r="2569" spans="1:26" x14ac:dyDescent="0.45">
      <c r="A2569">
        <v>25834</v>
      </c>
      <c r="B2569" t="s">
        <v>53</v>
      </c>
      <c r="C2569">
        <v>20198813</v>
      </c>
      <c r="D2569" t="s">
        <v>45</v>
      </c>
      <c r="E2569" s="10">
        <v>46115.744444444441</v>
      </c>
      <c r="F2569" s="10">
        <v>46115.832638888889</v>
      </c>
      <c r="G2569">
        <v>2.1166666666666667</v>
      </c>
      <c r="H2569" s="9">
        <f t="shared" si="120"/>
        <v>1.0999999999999999E-2</v>
      </c>
      <c r="K2569">
        <v>1.0999999999999999E-2</v>
      </c>
      <c r="M2569" t="s">
        <v>28</v>
      </c>
      <c r="N2569" t="s">
        <v>40</v>
      </c>
      <c r="O2569" t="s">
        <v>41</v>
      </c>
      <c r="P2569" t="s">
        <v>30</v>
      </c>
      <c r="Q2569" t="s">
        <v>31</v>
      </c>
      <c r="R2569">
        <v>82652</v>
      </c>
      <c r="S2569" t="s">
        <v>46</v>
      </c>
      <c r="T2569">
        <v>82658</v>
      </c>
      <c r="U2569" t="s">
        <v>33</v>
      </c>
      <c r="V2569" t="s">
        <v>33</v>
      </c>
      <c r="W2569" t="s">
        <v>37</v>
      </c>
      <c r="X2569" t="s">
        <v>38</v>
      </c>
      <c r="Y2569" s="9">
        <f t="shared" si="121"/>
        <v>1.0999999999999999E-2</v>
      </c>
      <c r="Z2569" t="str">
        <f t="shared" si="122"/>
        <v>สแกนต่าง Cost</v>
      </c>
    </row>
    <row r="2570" spans="1:26" x14ac:dyDescent="0.45">
      <c r="A2570">
        <v>25835</v>
      </c>
      <c r="B2570" t="s">
        <v>53</v>
      </c>
      <c r="C2570">
        <v>20386851</v>
      </c>
      <c r="D2570" t="s">
        <v>48</v>
      </c>
      <c r="E2570" s="10">
        <v>46115.744444444441</v>
      </c>
      <c r="F2570" s="10">
        <v>46115.82708333333</v>
      </c>
      <c r="G2570">
        <v>1.9833333333333334</v>
      </c>
      <c r="H2570" s="9">
        <f t="shared" si="120"/>
        <v>1.0999999999999999E-2</v>
      </c>
      <c r="K2570">
        <v>1.0999999999999999E-2</v>
      </c>
      <c r="M2570" t="s">
        <v>28</v>
      </c>
      <c r="N2570" t="s">
        <v>40</v>
      </c>
      <c r="O2570" t="s">
        <v>41</v>
      </c>
      <c r="P2570" t="s">
        <v>30</v>
      </c>
      <c r="Q2570" t="s">
        <v>31</v>
      </c>
      <c r="R2570">
        <v>82652</v>
      </c>
      <c r="S2570" t="s">
        <v>46</v>
      </c>
      <c r="T2570">
        <v>82658</v>
      </c>
      <c r="U2570" t="s">
        <v>33</v>
      </c>
      <c r="V2570" t="s">
        <v>33</v>
      </c>
      <c r="W2570" t="s">
        <v>37</v>
      </c>
      <c r="X2570" t="s">
        <v>38</v>
      </c>
      <c r="Y2570" s="9">
        <f t="shared" si="121"/>
        <v>1.0999999999999999E-2</v>
      </c>
      <c r="Z2570" t="str">
        <f t="shared" si="122"/>
        <v>สแกนต่าง Cost</v>
      </c>
    </row>
    <row r="2571" spans="1:26" x14ac:dyDescent="0.45">
      <c r="A2571">
        <v>27283</v>
      </c>
      <c r="B2571" t="s">
        <v>53</v>
      </c>
      <c r="C2571">
        <v>20198828</v>
      </c>
      <c r="D2571" t="s">
        <v>388</v>
      </c>
      <c r="E2571" s="10">
        <v>46115.739537037036</v>
      </c>
      <c r="F2571" s="10">
        <v>46115.828298611108</v>
      </c>
      <c r="G2571">
        <v>2.1302777777777777</v>
      </c>
      <c r="H2571" s="9">
        <f t="shared" si="120"/>
        <v>1.0999999999999999E-2</v>
      </c>
      <c r="K2571">
        <v>1.0999999999999999E-2</v>
      </c>
      <c r="M2571" t="s">
        <v>28</v>
      </c>
      <c r="N2571" t="s">
        <v>40</v>
      </c>
      <c r="O2571" t="s">
        <v>41</v>
      </c>
      <c r="P2571" t="s">
        <v>30</v>
      </c>
      <c r="Q2571" t="s">
        <v>31</v>
      </c>
      <c r="R2571">
        <v>82640</v>
      </c>
      <c r="S2571" t="s">
        <v>42</v>
      </c>
      <c r="T2571">
        <v>82611</v>
      </c>
      <c r="U2571" t="s">
        <v>43</v>
      </c>
      <c r="V2571" t="s">
        <v>43</v>
      </c>
      <c r="W2571" t="s">
        <v>42</v>
      </c>
      <c r="X2571" t="s">
        <v>38</v>
      </c>
      <c r="Y2571" s="9">
        <f t="shared" si="121"/>
        <v>1.0999999999999999E-2</v>
      </c>
      <c r="Z2571" t="str">
        <f t="shared" si="122"/>
        <v>สแกนต่าง Cost</v>
      </c>
    </row>
    <row r="2572" spans="1:26" x14ac:dyDescent="0.45">
      <c r="A2572">
        <v>25517</v>
      </c>
      <c r="B2572" t="s">
        <v>53</v>
      </c>
      <c r="C2572">
        <v>20233956</v>
      </c>
      <c r="D2572" t="s">
        <v>219</v>
      </c>
      <c r="E2572" s="10">
        <v>46115.734027777777</v>
      </c>
      <c r="F2572" s="10">
        <v>46115.82708333333</v>
      </c>
      <c r="G2572">
        <v>2.2333333333333334</v>
      </c>
      <c r="H2572" s="9">
        <f t="shared" si="120"/>
        <v>1.2E-2</v>
      </c>
      <c r="K2572">
        <v>1.2E-2</v>
      </c>
      <c r="M2572" t="s">
        <v>28</v>
      </c>
      <c r="N2572" t="s">
        <v>40</v>
      </c>
      <c r="O2572" t="s">
        <v>41</v>
      </c>
      <c r="P2572" t="s">
        <v>30</v>
      </c>
      <c r="Q2572" t="s">
        <v>31</v>
      </c>
      <c r="R2572">
        <v>82680</v>
      </c>
      <c r="S2572" t="s">
        <v>50</v>
      </c>
      <c r="T2572">
        <v>82658</v>
      </c>
      <c r="U2572" t="s">
        <v>33</v>
      </c>
      <c r="V2572" t="s">
        <v>33</v>
      </c>
      <c r="W2572" t="s">
        <v>51</v>
      </c>
      <c r="X2572" t="s">
        <v>52</v>
      </c>
      <c r="Y2572" s="9">
        <f t="shared" si="121"/>
        <v>1.2E-2</v>
      </c>
      <c r="Z2572" t="str">
        <f t="shared" si="122"/>
        <v>สแกนต่าง Cost</v>
      </c>
    </row>
    <row r="2573" spans="1:26" x14ac:dyDescent="0.45">
      <c r="A2573">
        <v>25833</v>
      </c>
      <c r="B2573" t="s">
        <v>53</v>
      </c>
      <c r="C2573">
        <v>20403445</v>
      </c>
      <c r="E2573" s="10">
        <v>46115.734027777777</v>
      </c>
      <c r="F2573" s="10">
        <v>46115.82708333333</v>
      </c>
      <c r="G2573">
        <v>2.2333333333333334</v>
      </c>
      <c r="H2573" s="9">
        <f t="shared" si="120"/>
        <v>1.2E-2</v>
      </c>
      <c r="K2573">
        <v>1.2E-2</v>
      </c>
      <c r="M2573" t="s">
        <v>28</v>
      </c>
      <c r="N2573" t="s">
        <v>40</v>
      </c>
      <c r="O2573" t="s">
        <v>41</v>
      </c>
      <c r="P2573" t="s">
        <v>30</v>
      </c>
      <c r="R2573">
        <v>82680</v>
      </c>
      <c r="S2573" t="s">
        <v>50</v>
      </c>
      <c r="T2573">
        <v>82658</v>
      </c>
      <c r="U2573" t="s">
        <v>33</v>
      </c>
      <c r="V2573" t="s">
        <v>33</v>
      </c>
      <c r="W2573" t="s">
        <v>51</v>
      </c>
      <c r="X2573" t="s">
        <v>52</v>
      </c>
      <c r="Y2573" s="9">
        <f t="shared" si="121"/>
        <v>1.2E-2</v>
      </c>
      <c r="Z2573" t="str">
        <f t="shared" si="122"/>
        <v>สแกนต่าง Cost</v>
      </c>
    </row>
    <row r="2574" spans="1:26" x14ac:dyDescent="0.45">
      <c r="A2574">
        <v>25516</v>
      </c>
      <c r="B2574" t="s">
        <v>53</v>
      </c>
      <c r="C2574">
        <v>20198826</v>
      </c>
      <c r="D2574" t="s">
        <v>49</v>
      </c>
      <c r="E2574" s="10">
        <v>46115.73333333333</v>
      </c>
      <c r="F2574" s="10">
        <v>46115.82708333333</v>
      </c>
      <c r="G2574">
        <v>2.25</v>
      </c>
      <c r="H2574" s="9">
        <f t="shared" si="120"/>
        <v>1.2E-2</v>
      </c>
      <c r="K2574">
        <v>1.2E-2</v>
      </c>
      <c r="M2574" t="s">
        <v>28</v>
      </c>
      <c r="N2574" t="s">
        <v>40</v>
      </c>
      <c r="O2574" t="s">
        <v>41</v>
      </c>
      <c r="P2574" t="s">
        <v>30</v>
      </c>
      <c r="Q2574" t="s">
        <v>31</v>
      </c>
      <c r="R2574">
        <v>82680</v>
      </c>
      <c r="S2574" t="s">
        <v>50</v>
      </c>
      <c r="T2574">
        <v>82658</v>
      </c>
      <c r="U2574" t="s">
        <v>33</v>
      </c>
      <c r="V2574" t="s">
        <v>33</v>
      </c>
      <c r="W2574" t="s">
        <v>51</v>
      </c>
      <c r="X2574" t="s">
        <v>52</v>
      </c>
      <c r="Y2574" s="9">
        <f t="shared" si="121"/>
        <v>1.2E-2</v>
      </c>
      <c r="Z2574" t="str">
        <f t="shared" si="122"/>
        <v>สแกนต่าง Cost</v>
      </c>
    </row>
    <row r="2575" spans="1:26" x14ac:dyDescent="0.45">
      <c r="A2575">
        <v>27282</v>
      </c>
      <c r="B2575" t="s">
        <v>53</v>
      </c>
      <c r="C2575">
        <v>20047023</v>
      </c>
      <c r="D2575" t="s">
        <v>271</v>
      </c>
      <c r="E2575" s="10">
        <v>46115.732835648145</v>
      </c>
      <c r="F2575" s="10">
        <v>46115.827465277776</v>
      </c>
      <c r="G2575">
        <v>2.2711111111111113</v>
      </c>
      <c r="H2575" s="9">
        <f t="shared" si="120"/>
        <v>1.2E-2</v>
      </c>
      <c r="I2575">
        <v>1.2E-2</v>
      </c>
      <c r="M2575" t="s">
        <v>28</v>
      </c>
      <c r="N2575" t="s">
        <v>40</v>
      </c>
      <c r="O2575" t="s">
        <v>41</v>
      </c>
      <c r="P2575" t="s">
        <v>30</v>
      </c>
      <c r="Q2575" t="s">
        <v>31</v>
      </c>
      <c r="R2575">
        <v>82607</v>
      </c>
      <c r="S2575" t="s">
        <v>168</v>
      </c>
      <c r="T2575">
        <v>82611</v>
      </c>
      <c r="U2575" t="s">
        <v>43</v>
      </c>
      <c r="V2575" t="s">
        <v>43</v>
      </c>
      <c r="W2575" t="s">
        <v>148</v>
      </c>
      <c r="X2575" t="s">
        <v>171</v>
      </c>
      <c r="Y2575" s="9">
        <f t="shared" si="121"/>
        <v>0</v>
      </c>
      <c r="Z2575" t="str">
        <f t="shared" si="122"/>
        <v>สแกนต่าง Cost</v>
      </c>
    </row>
    <row r="2576" spans="1:26" x14ac:dyDescent="0.45">
      <c r="A2576">
        <v>27281</v>
      </c>
      <c r="B2576" t="s">
        <v>53</v>
      </c>
      <c r="C2576">
        <v>20169714</v>
      </c>
      <c r="D2576" t="s">
        <v>103</v>
      </c>
      <c r="E2576" s="10">
        <v>46115.73269675926</v>
      </c>
      <c r="F2576" s="10">
        <v>46115.827245370368</v>
      </c>
      <c r="G2576">
        <v>2.2691666666666666</v>
      </c>
      <c r="H2576" s="9">
        <f t="shared" si="120"/>
        <v>1.2E-2</v>
      </c>
      <c r="K2576">
        <v>1.2E-2</v>
      </c>
      <c r="M2576" t="s">
        <v>28</v>
      </c>
      <c r="N2576" t="s">
        <v>40</v>
      </c>
      <c r="O2576" t="s">
        <v>41</v>
      </c>
      <c r="P2576" t="s">
        <v>30</v>
      </c>
      <c r="Q2576" t="s">
        <v>31</v>
      </c>
      <c r="R2576">
        <v>82630</v>
      </c>
      <c r="S2576" t="s">
        <v>32</v>
      </c>
      <c r="T2576">
        <v>82611</v>
      </c>
      <c r="U2576" t="s">
        <v>43</v>
      </c>
      <c r="V2576" t="s">
        <v>43</v>
      </c>
      <c r="W2576" t="s">
        <v>148</v>
      </c>
      <c r="X2576" t="s">
        <v>171</v>
      </c>
      <c r="Y2576" s="9">
        <f t="shared" si="121"/>
        <v>1.2E-2</v>
      </c>
      <c r="Z2576" t="str">
        <f t="shared" si="122"/>
        <v>สแกนต่าง Cost</v>
      </c>
    </row>
    <row r="2577" spans="1:26" x14ac:dyDescent="0.45">
      <c r="A2577">
        <v>27280</v>
      </c>
      <c r="B2577" t="s">
        <v>53</v>
      </c>
      <c r="C2577">
        <v>20023373</v>
      </c>
      <c r="D2577" t="s">
        <v>97</v>
      </c>
      <c r="E2577" s="10">
        <v>46115.732488425929</v>
      </c>
      <c r="F2577" s="10">
        <v>46115.827106481483</v>
      </c>
      <c r="G2577">
        <v>2.2708333333333335</v>
      </c>
      <c r="H2577" s="9">
        <f t="shared" si="120"/>
        <v>1.2E-2</v>
      </c>
      <c r="K2577">
        <v>1.2E-2</v>
      </c>
      <c r="M2577" t="s">
        <v>28</v>
      </c>
      <c r="N2577" t="s">
        <v>40</v>
      </c>
      <c r="O2577" t="s">
        <v>41</v>
      </c>
      <c r="P2577" t="s">
        <v>30</v>
      </c>
      <c r="Q2577" t="s">
        <v>31</v>
      </c>
      <c r="R2577">
        <v>82630</v>
      </c>
      <c r="S2577" t="s">
        <v>32</v>
      </c>
      <c r="T2577">
        <v>82611</v>
      </c>
      <c r="U2577" t="s">
        <v>43</v>
      </c>
      <c r="V2577" t="s">
        <v>43</v>
      </c>
      <c r="W2577" t="s">
        <v>148</v>
      </c>
      <c r="X2577" t="s">
        <v>171</v>
      </c>
      <c r="Y2577" s="9">
        <f t="shared" si="121"/>
        <v>1.2E-2</v>
      </c>
      <c r="Z2577" t="str">
        <f t="shared" si="122"/>
        <v>สแกนต่าง Cost</v>
      </c>
    </row>
    <row r="2578" spans="1:26" x14ac:dyDescent="0.45">
      <c r="A2578">
        <v>27279</v>
      </c>
      <c r="B2578" t="s">
        <v>53</v>
      </c>
      <c r="C2578">
        <v>20163802</v>
      </c>
      <c r="D2578" t="s">
        <v>272</v>
      </c>
      <c r="E2578" s="10">
        <v>46115.732268518521</v>
      </c>
      <c r="F2578" s="10">
        <v>46115.827002314814</v>
      </c>
      <c r="G2578">
        <v>2.2736111111111112</v>
      </c>
      <c r="H2578" s="9">
        <f t="shared" si="120"/>
        <v>1.2E-2</v>
      </c>
      <c r="K2578">
        <v>1.2E-2</v>
      </c>
      <c r="M2578" t="s">
        <v>28</v>
      </c>
      <c r="N2578" t="s">
        <v>40</v>
      </c>
      <c r="O2578" t="s">
        <v>41</v>
      </c>
      <c r="P2578" t="s">
        <v>30</v>
      </c>
      <c r="Q2578" t="s">
        <v>31</v>
      </c>
      <c r="R2578">
        <v>82630</v>
      </c>
      <c r="S2578" t="s">
        <v>32</v>
      </c>
      <c r="T2578">
        <v>82611</v>
      </c>
      <c r="U2578" t="s">
        <v>43</v>
      </c>
      <c r="V2578" t="s">
        <v>43</v>
      </c>
      <c r="W2578" t="s">
        <v>148</v>
      </c>
      <c r="X2578" t="s">
        <v>171</v>
      </c>
      <c r="Y2578" s="9">
        <f t="shared" si="121"/>
        <v>1.2E-2</v>
      </c>
      <c r="Z2578" t="str">
        <f t="shared" si="122"/>
        <v>สแกนต่าง Cost</v>
      </c>
    </row>
    <row r="2579" spans="1:26" x14ac:dyDescent="0.45">
      <c r="A2579">
        <v>25515</v>
      </c>
      <c r="B2579" t="s">
        <v>53</v>
      </c>
      <c r="C2579">
        <v>20344817</v>
      </c>
      <c r="D2579" t="s">
        <v>217</v>
      </c>
      <c r="E2579" s="10">
        <v>46115.729861111111</v>
      </c>
      <c r="F2579" s="10">
        <v>46115.82708333333</v>
      </c>
      <c r="G2579">
        <v>2.3333333333333335</v>
      </c>
      <c r="H2579" s="9">
        <f t="shared" si="120"/>
        <v>1.2E-2</v>
      </c>
      <c r="K2579">
        <v>1.2E-2</v>
      </c>
      <c r="M2579" t="s">
        <v>28</v>
      </c>
      <c r="N2579" t="s">
        <v>40</v>
      </c>
      <c r="O2579" t="s">
        <v>41</v>
      </c>
      <c r="P2579" t="s">
        <v>30</v>
      </c>
      <c r="Q2579" t="s">
        <v>31</v>
      </c>
      <c r="R2579">
        <v>82655</v>
      </c>
      <c r="S2579" t="s">
        <v>59</v>
      </c>
      <c r="T2579">
        <v>82658</v>
      </c>
      <c r="U2579" t="s">
        <v>33</v>
      </c>
      <c r="V2579" t="s">
        <v>33</v>
      </c>
      <c r="W2579" t="s">
        <v>51</v>
      </c>
      <c r="X2579" t="s">
        <v>52</v>
      </c>
      <c r="Y2579" s="9">
        <f t="shared" si="121"/>
        <v>1.2E-2</v>
      </c>
      <c r="Z2579" t="str">
        <f t="shared" si="122"/>
        <v>สแกนต่าง Cost</v>
      </c>
    </row>
    <row r="2580" spans="1:26" x14ac:dyDescent="0.45">
      <c r="A2580">
        <v>25514</v>
      </c>
      <c r="B2580" t="s">
        <v>53</v>
      </c>
      <c r="C2580">
        <v>20038749</v>
      </c>
      <c r="D2580" t="s">
        <v>218</v>
      </c>
      <c r="E2580" s="10">
        <v>46115.729166666664</v>
      </c>
      <c r="F2580" s="10">
        <v>46115.82708333333</v>
      </c>
      <c r="G2580">
        <v>2.35</v>
      </c>
      <c r="H2580" s="9">
        <f t="shared" si="120"/>
        <v>1.2999999999999999E-2</v>
      </c>
      <c r="K2580">
        <v>1.2999999999999999E-2</v>
      </c>
      <c r="M2580" t="s">
        <v>28</v>
      </c>
      <c r="N2580" t="s">
        <v>40</v>
      </c>
      <c r="O2580" t="s">
        <v>41</v>
      </c>
      <c r="P2580" t="s">
        <v>30</v>
      </c>
      <c r="Q2580" t="s">
        <v>31</v>
      </c>
      <c r="R2580">
        <v>82680</v>
      </c>
      <c r="S2580" t="s">
        <v>50</v>
      </c>
      <c r="T2580">
        <v>82658</v>
      </c>
      <c r="U2580" t="s">
        <v>33</v>
      </c>
      <c r="V2580" t="s">
        <v>33</v>
      </c>
      <c r="W2580" t="s">
        <v>51</v>
      </c>
      <c r="X2580" t="s">
        <v>52</v>
      </c>
      <c r="Y2580" s="9">
        <f t="shared" si="121"/>
        <v>1.2999999999999999E-2</v>
      </c>
      <c r="Z2580" t="str">
        <f t="shared" si="122"/>
        <v>สแกนต่าง Cost</v>
      </c>
    </row>
    <row r="2581" spans="1:26" x14ac:dyDescent="0.45">
      <c r="A2581">
        <v>25479</v>
      </c>
      <c r="B2581" t="s">
        <v>53</v>
      </c>
      <c r="C2581">
        <v>20078191</v>
      </c>
      <c r="D2581" t="s">
        <v>283</v>
      </c>
      <c r="E2581" s="10">
        <v>46115.729166666664</v>
      </c>
      <c r="F2581" s="10">
        <v>46115.833333333336</v>
      </c>
      <c r="G2581">
        <v>2.5</v>
      </c>
      <c r="H2581" s="9">
        <f t="shared" si="120"/>
        <v>1.2999999999999999E-2</v>
      </c>
      <c r="K2581">
        <v>1.2999999999999999E-2</v>
      </c>
      <c r="M2581" t="s">
        <v>28</v>
      </c>
      <c r="N2581" t="s">
        <v>40</v>
      </c>
      <c r="O2581" t="s">
        <v>41</v>
      </c>
      <c r="P2581" t="s">
        <v>133</v>
      </c>
      <c r="Q2581" t="s">
        <v>31</v>
      </c>
      <c r="R2581">
        <v>82301</v>
      </c>
      <c r="S2581" t="s">
        <v>79</v>
      </c>
      <c r="T2581">
        <v>82308</v>
      </c>
      <c r="U2581" t="s">
        <v>69</v>
      </c>
      <c r="V2581" t="s">
        <v>69</v>
      </c>
      <c r="W2581" t="s">
        <v>69</v>
      </c>
      <c r="X2581" t="s">
        <v>95</v>
      </c>
      <c r="Y2581" s="9">
        <f t="shared" si="121"/>
        <v>1.2999999999999999E-2</v>
      </c>
      <c r="Z2581" t="str">
        <f t="shared" si="122"/>
        <v>สแกนต่าง Cost</v>
      </c>
    </row>
    <row r="2582" spans="1:26" x14ac:dyDescent="0.45">
      <c r="A2582">
        <v>25478</v>
      </c>
      <c r="B2582" t="s">
        <v>53</v>
      </c>
      <c r="C2582">
        <v>20374943</v>
      </c>
      <c r="D2582" t="s">
        <v>207</v>
      </c>
      <c r="E2582" s="10">
        <v>46115.729166666664</v>
      </c>
      <c r="F2582" s="10">
        <v>46115.833333333336</v>
      </c>
      <c r="G2582">
        <v>2.5</v>
      </c>
      <c r="H2582" s="9">
        <f t="shared" si="120"/>
        <v>1.2999999999999999E-2</v>
      </c>
      <c r="K2582">
        <v>1.2999999999999999E-2</v>
      </c>
      <c r="M2582" t="s">
        <v>28</v>
      </c>
      <c r="N2582" t="s">
        <v>40</v>
      </c>
      <c r="O2582" t="s">
        <v>41</v>
      </c>
      <c r="P2582" t="s">
        <v>30</v>
      </c>
      <c r="Q2582" t="s">
        <v>31</v>
      </c>
      <c r="R2582">
        <v>82301</v>
      </c>
      <c r="S2582" t="s">
        <v>79</v>
      </c>
      <c r="T2582">
        <v>82308</v>
      </c>
      <c r="U2582" t="s">
        <v>69</v>
      </c>
      <c r="V2582" t="s">
        <v>69</v>
      </c>
      <c r="W2582" t="s">
        <v>69</v>
      </c>
      <c r="X2582" t="s">
        <v>95</v>
      </c>
      <c r="Y2582" s="9">
        <f t="shared" si="121"/>
        <v>1.2999999999999999E-2</v>
      </c>
      <c r="Z2582" t="str">
        <f t="shared" si="122"/>
        <v>สแกนต่าง Cost</v>
      </c>
    </row>
    <row r="2583" spans="1:26" x14ac:dyDescent="0.45">
      <c r="A2583">
        <v>27278</v>
      </c>
      <c r="B2583" t="s">
        <v>53</v>
      </c>
      <c r="C2583">
        <v>20037938</v>
      </c>
      <c r="D2583" t="s">
        <v>172</v>
      </c>
      <c r="E2583" s="10">
        <v>46115.725613425922</v>
      </c>
      <c r="F2583" s="10">
        <v>46115.827685185184</v>
      </c>
      <c r="G2583">
        <v>2.4497222222222224</v>
      </c>
      <c r="H2583" s="9">
        <f t="shared" si="120"/>
        <v>1.2999999999999999E-2</v>
      </c>
      <c r="K2583">
        <v>1.2999999999999999E-2</v>
      </c>
      <c r="M2583" t="s">
        <v>28</v>
      </c>
      <c r="N2583" t="s">
        <v>40</v>
      </c>
      <c r="O2583" t="s">
        <v>41</v>
      </c>
      <c r="P2583" t="s">
        <v>30</v>
      </c>
      <c r="Q2583" t="s">
        <v>31</v>
      </c>
      <c r="R2583">
        <v>82630</v>
      </c>
      <c r="S2583" t="s">
        <v>32</v>
      </c>
      <c r="T2583">
        <v>82611</v>
      </c>
      <c r="U2583" t="s">
        <v>43</v>
      </c>
      <c r="V2583" t="s">
        <v>43</v>
      </c>
      <c r="W2583" t="s">
        <v>148</v>
      </c>
      <c r="X2583" t="s">
        <v>171</v>
      </c>
      <c r="Y2583" s="9">
        <f t="shared" si="121"/>
        <v>1.2999999999999999E-2</v>
      </c>
      <c r="Z2583" t="str">
        <f t="shared" si="122"/>
        <v>สแกนต่าง Cost</v>
      </c>
    </row>
    <row r="2584" spans="1:26" x14ac:dyDescent="0.45">
      <c r="A2584">
        <v>27277</v>
      </c>
      <c r="B2584" t="s">
        <v>53</v>
      </c>
      <c r="C2584">
        <v>20391064</v>
      </c>
      <c r="D2584" t="s">
        <v>121</v>
      </c>
      <c r="E2584" s="10">
        <v>46115.72446759259</v>
      </c>
      <c r="F2584" s="10">
        <v>46115.826851851853</v>
      </c>
      <c r="G2584">
        <v>2.4572222222222222</v>
      </c>
      <c r="H2584" s="9">
        <f t="shared" si="120"/>
        <v>1.2999999999999999E-2</v>
      </c>
      <c r="K2584">
        <v>1.2999999999999999E-2</v>
      </c>
      <c r="M2584" t="s">
        <v>28</v>
      </c>
      <c r="N2584" t="s">
        <v>40</v>
      </c>
      <c r="O2584" t="s">
        <v>41</v>
      </c>
      <c r="P2584" t="s">
        <v>30</v>
      </c>
      <c r="Q2584" t="s">
        <v>31</v>
      </c>
      <c r="R2584">
        <v>82630</v>
      </c>
      <c r="S2584" t="s">
        <v>32</v>
      </c>
      <c r="T2584">
        <v>82611</v>
      </c>
      <c r="U2584" t="s">
        <v>43</v>
      </c>
      <c r="V2584" t="s">
        <v>43</v>
      </c>
      <c r="W2584" t="s">
        <v>148</v>
      </c>
      <c r="X2584" t="s">
        <v>171</v>
      </c>
      <c r="Y2584" s="9">
        <f t="shared" si="121"/>
        <v>1.2999999999999999E-2</v>
      </c>
      <c r="Z2584" t="str">
        <f t="shared" si="122"/>
        <v>สแกนต่าง Cost</v>
      </c>
    </row>
    <row r="2585" spans="1:26" x14ac:dyDescent="0.45">
      <c r="A2585">
        <v>27276</v>
      </c>
      <c r="B2585" t="s">
        <v>53</v>
      </c>
      <c r="C2585">
        <v>20156338</v>
      </c>
      <c r="D2585" t="s">
        <v>102</v>
      </c>
      <c r="E2585" s="10">
        <v>46115.724351851852</v>
      </c>
      <c r="F2585" s="10">
        <v>46115.826770833337</v>
      </c>
      <c r="G2585">
        <v>2.4580555555555557</v>
      </c>
      <c r="H2585" s="9">
        <f t="shared" si="120"/>
        <v>1.2999999999999999E-2</v>
      </c>
      <c r="K2585">
        <v>1.2999999999999999E-2</v>
      </c>
      <c r="M2585" t="s">
        <v>28</v>
      </c>
      <c r="N2585" t="s">
        <v>40</v>
      </c>
      <c r="O2585" t="s">
        <v>41</v>
      </c>
      <c r="P2585" t="s">
        <v>30</v>
      </c>
      <c r="Q2585" t="s">
        <v>31</v>
      </c>
      <c r="R2585">
        <v>82630</v>
      </c>
      <c r="S2585" t="s">
        <v>32</v>
      </c>
      <c r="T2585">
        <v>82611</v>
      </c>
      <c r="U2585" t="s">
        <v>43</v>
      </c>
      <c r="V2585" t="s">
        <v>43</v>
      </c>
      <c r="W2585" t="s">
        <v>148</v>
      </c>
      <c r="X2585" t="s">
        <v>171</v>
      </c>
      <c r="Y2585" s="9">
        <f t="shared" si="121"/>
        <v>1.2999999999999999E-2</v>
      </c>
      <c r="Z2585" t="str">
        <f t="shared" si="122"/>
        <v>สแกนต่าง Cost</v>
      </c>
    </row>
    <row r="2586" spans="1:26" x14ac:dyDescent="0.45">
      <c r="A2586">
        <v>27275</v>
      </c>
      <c r="B2586" t="s">
        <v>53</v>
      </c>
      <c r="C2586">
        <v>20056406</v>
      </c>
      <c r="D2586" t="s">
        <v>85</v>
      </c>
      <c r="E2586" s="10">
        <v>46115.724189814813</v>
      </c>
      <c r="F2586" s="10">
        <v>46115.826597222222</v>
      </c>
      <c r="G2586">
        <v>2.4577777777777778</v>
      </c>
      <c r="H2586" s="9">
        <f t="shared" si="120"/>
        <v>1.2999999999999999E-2</v>
      </c>
      <c r="K2586">
        <v>1.2999999999999999E-2</v>
      </c>
      <c r="M2586" t="s">
        <v>28</v>
      </c>
      <c r="N2586" t="s">
        <v>40</v>
      </c>
      <c r="O2586" t="s">
        <v>41</v>
      </c>
      <c r="P2586" t="s">
        <v>30</v>
      </c>
      <c r="Q2586" t="s">
        <v>31</v>
      </c>
      <c r="R2586">
        <v>82630</v>
      </c>
      <c r="S2586" t="s">
        <v>32</v>
      </c>
      <c r="T2586">
        <v>82611</v>
      </c>
      <c r="U2586" t="s">
        <v>43</v>
      </c>
      <c r="V2586" t="s">
        <v>43</v>
      </c>
      <c r="W2586" t="s">
        <v>148</v>
      </c>
      <c r="X2586" t="s">
        <v>171</v>
      </c>
      <c r="Y2586" s="9">
        <f t="shared" si="121"/>
        <v>1.2999999999999999E-2</v>
      </c>
      <c r="Z2586" t="str">
        <f t="shared" si="122"/>
        <v>สแกนต่าง Cost</v>
      </c>
    </row>
    <row r="2587" spans="1:26" x14ac:dyDescent="0.45">
      <c r="A2587">
        <v>27290</v>
      </c>
      <c r="B2587" t="s">
        <v>53</v>
      </c>
      <c r="C2587">
        <v>20074473</v>
      </c>
      <c r="D2587" t="s">
        <v>276</v>
      </c>
      <c r="E2587" s="10">
        <v>46115.724120370367</v>
      </c>
      <c r="F2587" s="10">
        <v>46115.75</v>
      </c>
      <c r="G2587">
        <v>0.62111111111111106</v>
      </c>
      <c r="H2587" s="9">
        <f t="shared" si="120"/>
        <v>3.0000000000000001E-3</v>
      </c>
      <c r="K2587">
        <v>3.0000000000000001E-3</v>
      </c>
      <c r="M2587" t="s">
        <v>28</v>
      </c>
      <c r="N2587" t="s">
        <v>40</v>
      </c>
      <c r="O2587" t="s">
        <v>41</v>
      </c>
      <c r="P2587" t="s">
        <v>30</v>
      </c>
      <c r="Q2587" t="s">
        <v>31</v>
      </c>
      <c r="R2587">
        <v>82630</v>
      </c>
      <c r="S2587" t="s">
        <v>32</v>
      </c>
      <c r="T2587">
        <v>82611</v>
      </c>
      <c r="U2587" t="s">
        <v>43</v>
      </c>
      <c r="V2587" t="s">
        <v>43</v>
      </c>
      <c r="W2587" t="s">
        <v>148</v>
      </c>
      <c r="X2587" t="s">
        <v>171</v>
      </c>
      <c r="Y2587" s="9">
        <f t="shared" si="121"/>
        <v>3.0000000000000001E-3</v>
      </c>
      <c r="Z2587" t="str">
        <f t="shared" si="122"/>
        <v>สแกนต่าง Cost</v>
      </c>
    </row>
    <row r="2588" spans="1:26" x14ac:dyDescent="0.45">
      <c r="A2588">
        <v>27274</v>
      </c>
      <c r="B2588" t="s">
        <v>53</v>
      </c>
      <c r="C2588">
        <v>20074652</v>
      </c>
      <c r="D2588" t="s">
        <v>162</v>
      </c>
      <c r="E2588" s="10">
        <v>46115.723923611113</v>
      </c>
      <c r="F2588" s="10">
        <v>46115.827094907407</v>
      </c>
      <c r="G2588">
        <v>2.4761111111111109</v>
      </c>
      <c r="H2588" s="9">
        <f t="shared" si="120"/>
        <v>1.2999999999999999E-2</v>
      </c>
      <c r="K2588">
        <v>1.2999999999999999E-2</v>
      </c>
      <c r="M2588" t="s">
        <v>28</v>
      </c>
      <c r="N2588" t="s">
        <v>40</v>
      </c>
      <c r="O2588" t="s">
        <v>41</v>
      </c>
      <c r="P2588" t="s">
        <v>30</v>
      </c>
      <c r="Q2588" t="s">
        <v>31</v>
      </c>
      <c r="R2588">
        <v>82630</v>
      </c>
      <c r="S2588" t="s">
        <v>32</v>
      </c>
      <c r="T2588">
        <v>82611</v>
      </c>
      <c r="U2588" t="s">
        <v>43</v>
      </c>
      <c r="V2588" t="s">
        <v>43</v>
      </c>
      <c r="W2588" t="s">
        <v>148</v>
      </c>
      <c r="X2588" t="s">
        <v>171</v>
      </c>
      <c r="Y2588" s="9">
        <f t="shared" si="121"/>
        <v>1.2999999999999999E-2</v>
      </c>
      <c r="Z2588" t="str">
        <f t="shared" si="122"/>
        <v>สแกนต่าง Cost</v>
      </c>
    </row>
    <row r="2589" spans="1:26" x14ac:dyDescent="0.45">
      <c r="A2589">
        <v>27273</v>
      </c>
      <c r="B2589" t="s">
        <v>53</v>
      </c>
      <c r="C2589">
        <v>20240959</v>
      </c>
      <c r="D2589" t="s">
        <v>105</v>
      </c>
      <c r="E2589" s="10">
        <v>46115.723715277774</v>
      </c>
      <c r="F2589" s="10">
        <v>46115.827013888891</v>
      </c>
      <c r="G2589">
        <v>2.4791666666666665</v>
      </c>
      <c r="H2589" s="9">
        <f t="shared" si="120"/>
        <v>1.2999999999999999E-2</v>
      </c>
      <c r="K2589">
        <v>1.2999999999999999E-2</v>
      </c>
      <c r="M2589" t="s">
        <v>28</v>
      </c>
      <c r="N2589" t="s">
        <v>40</v>
      </c>
      <c r="O2589" t="s">
        <v>41</v>
      </c>
      <c r="P2589" t="s">
        <v>30</v>
      </c>
      <c r="Q2589" t="s">
        <v>31</v>
      </c>
      <c r="R2589">
        <v>82630</v>
      </c>
      <c r="S2589" t="s">
        <v>32</v>
      </c>
      <c r="T2589">
        <v>82611</v>
      </c>
      <c r="U2589" t="s">
        <v>43</v>
      </c>
      <c r="V2589" t="s">
        <v>43</v>
      </c>
      <c r="W2589" t="s">
        <v>148</v>
      </c>
      <c r="X2589" t="s">
        <v>171</v>
      </c>
      <c r="Y2589" s="9">
        <f t="shared" si="121"/>
        <v>1.2999999999999999E-2</v>
      </c>
      <c r="Z2589" t="str">
        <f t="shared" si="122"/>
        <v>สแกนต่าง Cost</v>
      </c>
    </row>
    <row r="2590" spans="1:26" x14ac:dyDescent="0.45">
      <c r="A2590">
        <v>27272</v>
      </c>
      <c r="B2590" t="s">
        <v>53</v>
      </c>
      <c r="C2590">
        <v>20363689</v>
      </c>
      <c r="D2590" t="s">
        <v>287</v>
      </c>
      <c r="E2590" s="10">
        <v>46115.723668981482</v>
      </c>
      <c r="F2590" s="10">
        <v>46115.827337962961</v>
      </c>
      <c r="G2590">
        <v>2.4880555555555555</v>
      </c>
      <c r="H2590" s="9">
        <f t="shared" si="120"/>
        <v>1.2999999999999999E-2</v>
      </c>
      <c r="K2590">
        <v>1.2999999999999999E-2</v>
      </c>
      <c r="M2590" t="s">
        <v>28</v>
      </c>
      <c r="N2590" t="s">
        <v>40</v>
      </c>
      <c r="O2590" t="s">
        <v>41</v>
      </c>
      <c r="P2590" t="s">
        <v>30</v>
      </c>
      <c r="Q2590" t="s">
        <v>31</v>
      </c>
      <c r="R2590">
        <v>82630</v>
      </c>
      <c r="S2590" t="s">
        <v>32</v>
      </c>
      <c r="T2590">
        <v>82611</v>
      </c>
      <c r="U2590" t="s">
        <v>43</v>
      </c>
      <c r="V2590" t="s">
        <v>43</v>
      </c>
      <c r="W2590" t="s">
        <v>148</v>
      </c>
      <c r="X2590" t="s">
        <v>171</v>
      </c>
      <c r="Y2590" s="9">
        <f t="shared" si="121"/>
        <v>1.2999999999999999E-2</v>
      </c>
      <c r="Z2590" t="str">
        <f t="shared" si="122"/>
        <v>สแกนต่าง Cost</v>
      </c>
    </row>
    <row r="2591" spans="1:26" x14ac:dyDescent="0.45">
      <c r="A2591">
        <v>27270</v>
      </c>
      <c r="B2591" t="s">
        <v>53</v>
      </c>
      <c r="C2591">
        <v>20029099</v>
      </c>
      <c r="D2591" t="s">
        <v>163</v>
      </c>
      <c r="E2591" s="10">
        <v>46115.72351851852</v>
      </c>
      <c r="F2591" s="10">
        <v>46115.826678240737</v>
      </c>
      <c r="G2591">
        <v>2.4758333333333336</v>
      </c>
      <c r="H2591" s="9">
        <f t="shared" si="120"/>
        <v>1.2999999999999999E-2</v>
      </c>
      <c r="K2591">
        <v>1.2999999999999999E-2</v>
      </c>
      <c r="M2591" t="s">
        <v>28</v>
      </c>
      <c r="N2591" t="s">
        <v>40</v>
      </c>
      <c r="O2591" t="s">
        <v>41</v>
      </c>
      <c r="P2591" t="s">
        <v>30</v>
      </c>
      <c r="Q2591" t="s">
        <v>31</v>
      </c>
      <c r="R2591">
        <v>82630</v>
      </c>
      <c r="S2591" t="s">
        <v>32</v>
      </c>
      <c r="T2591">
        <v>82611</v>
      </c>
      <c r="U2591" t="s">
        <v>43</v>
      </c>
      <c r="V2591" t="s">
        <v>43</v>
      </c>
      <c r="W2591" t="s">
        <v>148</v>
      </c>
      <c r="X2591" t="s">
        <v>171</v>
      </c>
      <c r="Y2591" s="9">
        <f t="shared" si="121"/>
        <v>1.2999999999999999E-2</v>
      </c>
      <c r="Z2591" t="str">
        <f t="shared" si="122"/>
        <v>สแกนต่าง Cost</v>
      </c>
    </row>
    <row r="2592" spans="1:26" x14ac:dyDescent="0.45">
      <c r="A2592">
        <v>27271</v>
      </c>
      <c r="B2592" t="s">
        <v>53</v>
      </c>
      <c r="C2592">
        <v>20198745</v>
      </c>
      <c r="D2592" t="s">
        <v>286</v>
      </c>
      <c r="E2592" s="10">
        <v>46115.72351851852</v>
      </c>
      <c r="F2592" s="10">
        <v>46115.827245370368</v>
      </c>
      <c r="G2592">
        <v>2.4894444444444446</v>
      </c>
      <c r="H2592" s="9">
        <f t="shared" si="120"/>
        <v>1.2999999999999999E-2</v>
      </c>
      <c r="K2592">
        <v>1.2999999999999999E-2</v>
      </c>
      <c r="M2592" t="s">
        <v>28</v>
      </c>
      <c r="N2592" t="s">
        <v>40</v>
      </c>
      <c r="O2592" t="s">
        <v>41</v>
      </c>
      <c r="P2592" t="s">
        <v>30</v>
      </c>
      <c r="Q2592" t="s">
        <v>31</v>
      </c>
      <c r="R2592">
        <v>82630</v>
      </c>
      <c r="S2592" t="s">
        <v>32</v>
      </c>
      <c r="T2592">
        <v>82611</v>
      </c>
      <c r="U2592" t="s">
        <v>43</v>
      </c>
      <c r="V2592" t="s">
        <v>43</v>
      </c>
      <c r="W2592" t="s">
        <v>148</v>
      </c>
      <c r="X2592" t="s">
        <v>171</v>
      </c>
      <c r="Y2592" s="9">
        <f t="shared" si="121"/>
        <v>1.2999999999999999E-2</v>
      </c>
      <c r="Z2592" t="str">
        <f t="shared" si="122"/>
        <v>สแกนต่าง Cost</v>
      </c>
    </row>
    <row r="2593" spans="1:26" x14ac:dyDescent="0.45">
      <c r="A2593">
        <v>27269</v>
      </c>
      <c r="B2593" t="s">
        <v>53</v>
      </c>
      <c r="C2593">
        <v>20019647</v>
      </c>
      <c r="D2593" t="s">
        <v>152</v>
      </c>
      <c r="E2593" s="10">
        <v>46115.723321759258</v>
      </c>
      <c r="F2593" s="10">
        <v>46115.827280092592</v>
      </c>
      <c r="G2593">
        <v>2.4950000000000001</v>
      </c>
      <c r="H2593" s="9">
        <f t="shared" si="120"/>
        <v>1.2999999999999999E-2</v>
      </c>
      <c r="K2593">
        <v>1.2999999999999999E-2</v>
      </c>
      <c r="M2593" t="s">
        <v>28</v>
      </c>
      <c r="N2593" t="s">
        <v>40</v>
      </c>
      <c r="O2593" t="s">
        <v>41</v>
      </c>
      <c r="P2593" t="s">
        <v>30</v>
      </c>
      <c r="Q2593" t="s">
        <v>31</v>
      </c>
      <c r="R2593">
        <v>82630</v>
      </c>
      <c r="S2593" t="s">
        <v>32</v>
      </c>
      <c r="T2593">
        <v>82611</v>
      </c>
      <c r="U2593" t="s">
        <v>43</v>
      </c>
      <c r="V2593" t="s">
        <v>43</v>
      </c>
      <c r="W2593" t="s">
        <v>148</v>
      </c>
      <c r="X2593" t="s">
        <v>171</v>
      </c>
      <c r="Y2593" s="9">
        <f t="shared" si="121"/>
        <v>1.2999999999999999E-2</v>
      </c>
      <c r="Z2593" t="str">
        <f t="shared" si="122"/>
        <v>สแกนต่าง Cost</v>
      </c>
    </row>
    <row r="2594" spans="1:26" x14ac:dyDescent="0.45">
      <c r="A2594">
        <v>27268</v>
      </c>
      <c r="B2594" t="s">
        <v>53</v>
      </c>
      <c r="C2594">
        <v>20244923</v>
      </c>
      <c r="D2594" t="s">
        <v>246</v>
      </c>
      <c r="E2594" s="10">
        <v>46115.723321759258</v>
      </c>
      <c r="F2594" s="10">
        <v>46115.854166666664</v>
      </c>
      <c r="G2594">
        <v>3.1402777777777779</v>
      </c>
      <c r="H2594" s="9">
        <f t="shared" si="120"/>
        <v>1.7000000000000001E-2</v>
      </c>
      <c r="K2594">
        <v>1.7000000000000001E-2</v>
      </c>
      <c r="M2594" t="s">
        <v>28</v>
      </c>
      <c r="N2594" t="s">
        <v>40</v>
      </c>
      <c r="O2594" t="s">
        <v>190</v>
      </c>
      <c r="P2594" t="s">
        <v>30</v>
      </c>
      <c r="Q2594" t="s">
        <v>31</v>
      </c>
      <c r="R2594">
        <v>82640</v>
      </c>
      <c r="S2594" t="s">
        <v>42</v>
      </c>
      <c r="T2594">
        <v>82611</v>
      </c>
      <c r="U2594" t="s">
        <v>43</v>
      </c>
      <c r="V2594" t="s">
        <v>43</v>
      </c>
      <c r="W2594" t="s">
        <v>44</v>
      </c>
      <c r="X2594" t="s">
        <v>44</v>
      </c>
      <c r="Y2594" s="9">
        <f t="shared" si="121"/>
        <v>1.7000000000000001E-2</v>
      </c>
      <c r="Z2594" t="str">
        <f t="shared" si="122"/>
        <v>สแกนต่าง Cost</v>
      </c>
    </row>
    <row r="2595" spans="1:26" x14ac:dyDescent="0.45">
      <c r="A2595">
        <v>27267</v>
      </c>
      <c r="B2595" t="s">
        <v>53</v>
      </c>
      <c r="C2595">
        <v>20034535</v>
      </c>
      <c r="D2595" t="s">
        <v>99</v>
      </c>
      <c r="E2595" s="10">
        <v>46115.723229166666</v>
      </c>
      <c r="F2595" s="10">
        <v>46115.826932870368</v>
      </c>
      <c r="G2595">
        <v>2.4888888888888889</v>
      </c>
      <c r="H2595" s="9">
        <f t="shared" si="120"/>
        <v>1.2999999999999999E-2</v>
      </c>
      <c r="K2595">
        <v>1.2999999999999999E-2</v>
      </c>
      <c r="M2595" t="s">
        <v>28</v>
      </c>
      <c r="N2595" t="s">
        <v>40</v>
      </c>
      <c r="O2595" t="s">
        <v>41</v>
      </c>
      <c r="P2595" t="s">
        <v>30</v>
      </c>
      <c r="Q2595" t="s">
        <v>31</v>
      </c>
      <c r="R2595">
        <v>82630</v>
      </c>
      <c r="S2595" t="s">
        <v>32</v>
      </c>
      <c r="T2595">
        <v>82611</v>
      </c>
      <c r="U2595" t="s">
        <v>43</v>
      </c>
      <c r="V2595" t="s">
        <v>43</v>
      </c>
      <c r="W2595" t="s">
        <v>148</v>
      </c>
      <c r="X2595" t="s">
        <v>171</v>
      </c>
      <c r="Y2595" s="9">
        <f t="shared" si="121"/>
        <v>1.2999999999999999E-2</v>
      </c>
      <c r="Z2595" t="str">
        <f t="shared" si="122"/>
        <v>สแกนต่าง Cost</v>
      </c>
    </row>
    <row r="2596" spans="1:26" x14ac:dyDescent="0.45">
      <c r="A2596">
        <v>27265</v>
      </c>
      <c r="B2596" t="s">
        <v>53</v>
      </c>
      <c r="C2596">
        <v>20167851</v>
      </c>
      <c r="D2596" t="s">
        <v>63</v>
      </c>
      <c r="E2596" s="10">
        <v>46115.723124999997</v>
      </c>
      <c r="F2596" s="10">
        <v>46115.854166666664</v>
      </c>
      <c r="G2596">
        <v>3.145</v>
      </c>
      <c r="H2596" s="9">
        <f t="shared" si="120"/>
        <v>1.7000000000000001E-2</v>
      </c>
      <c r="K2596">
        <v>1.7000000000000001E-2</v>
      </c>
      <c r="M2596" t="s">
        <v>28</v>
      </c>
      <c r="N2596" t="s">
        <v>40</v>
      </c>
      <c r="O2596" t="s">
        <v>190</v>
      </c>
      <c r="P2596" t="s">
        <v>30</v>
      </c>
      <c r="Q2596" t="s">
        <v>31</v>
      </c>
      <c r="R2596">
        <v>82640</v>
      </c>
      <c r="S2596" t="s">
        <v>42</v>
      </c>
      <c r="T2596">
        <v>82611</v>
      </c>
      <c r="U2596" t="s">
        <v>43</v>
      </c>
      <c r="V2596" t="s">
        <v>43</v>
      </c>
      <c r="W2596" t="s">
        <v>44</v>
      </c>
      <c r="X2596" t="s">
        <v>44</v>
      </c>
      <c r="Y2596" s="9">
        <f t="shared" si="121"/>
        <v>1.7000000000000001E-2</v>
      </c>
      <c r="Z2596" t="str">
        <f t="shared" si="122"/>
        <v>สแกนต่าง Cost</v>
      </c>
    </row>
    <row r="2597" spans="1:26" x14ac:dyDescent="0.45">
      <c r="A2597">
        <v>27266</v>
      </c>
      <c r="B2597" t="s">
        <v>53</v>
      </c>
      <c r="C2597">
        <v>20240961</v>
      </c>
      <c r="D2597" t="s">
        <v>239</v>
      </c>
      <c r="E2597" s="10">
        <v>46115.723124999997</v>
      </c>
      <c r="F2597" s="10">
        <v>46115.826504629629</v>
      </c>
      <c r="G2597">
        <v>2.4811111111111113</v>
      </c>
      <c r="H2597" s="9">
        <f t="shared" si="120"/>
        <v>1.2999999999999999E-2</v>
      </c>
      <c r="K2597">
        <v>1.2999999999999999E-2</v>
      </c>
      <c r="M2597" t="s">
        <v>28</v>
      </c>
      <c r="N2597" t="s">
        <v>40</v>
      </c>
      <c r="O2597" t="s">
        <v>41</v>
      </c>
      <c r="P2597" t="s">
        <v>30</v>
      </c>
      <c r="Q2597" t="s">
        <v>31</v>
      </c>
      <c r="R2597">
        <v>82630</v>
      </c>
      <c r="S2597" t="s">
        <v>32</v>
      </c>
      <c r="T2597">
        <v>82611</v>
      </c>
      <c r="U2597" t="s">
        <v>43</v>
      </c>
      <c r="V2597" t="s">
        <v>43</v>
      </c>
      <c r="W2597" t="s">
        <v>148</v>
      </c>
      <c r="X2597" t="s">
        <v>171</v>
      </c>
      <c r="Y2597" s="9">
        <f t="shared" si="121"/>
        <v>1.2999999999999999E-2</v>
      </c>
      <c r="Z2597" t="str">
        <f t="shared" si="122"/>
        <v>สแกนต่าง Cost</v>
      </c>
    </row>
    <row r="2598" spans="1:26" x14ac:dyDescent="0.45">
      <c r="A2598">
        <v>27264</v>
      </c>
      <c r="B2598" t="s">
        <v>53</v>
      </c>
      <c r="C2598">
        <v>20027956</v>
      </c>
      <c r="D2598" t="s">
        <v>214</v>
      </c>
      <c r="E2598" s="10">
        <v>46115.723020833335</v>
      </c>
      <c r="F2598" s="10">
        <v>46115.829918981479</v>
      </c>
      <c r="G2598">
        <v>2.5655555555555556</v>
      </c>
      <c r="H2598" s="9">
        <f t="shared" si="120"/>
        <v>1.4E-2</v>
      </c>
      <c r="K2598">
        <v>1.4E-2</v>
      </c>
      <c r="M2598" t="s">
        <v>28</v>
      </c>
      <c r="N2598" t="s">
        <v>40</v>
      </c>
      <c r="O2598" t="s">
        <v>41</v>
      </c>
      <c r="P2598" t="s">
        <v>30</v>
      </c>
      <c r="Q2598" t="s">
        <v>31</v>
      </c>
      <c r="R2598">
        <v>82640</v>
      </c>
      <c r="S2598" t="s">
        <v>42</v>
      </c>
      <c r="T2598">
        <v>82611</v>
      </c>
      <c r="U2598" t="s">
        <v>43</v>
      </c>
      <c r="V2598" t="s">
        <v>43</v>
      </c>
      <c r="W2598" t="s">
        <v>44</v>
      </c>
      <c r="X2598" t="s">
        <v>44</v>
      </c>
      <c r="Y2598" s="9">
        <f t="shared" si="121"/>
        <v>1.4E-2</v>
      </c>
      <c r="Z2598" t="str">
        <f t="shared" si="122"/>
        <v>สแกนต่าง Cost</v>
      </c>
    </row>
    <row r="2599" spans="1:26" x14ac:dyDescent="0.45">
      <c r="A2599">
        <v>25840</v>
      </c>
      <c r="B2599" t="s">
        <v>53</v>
      </c>
      <c r="C2599">
        <v>20002403</v>
      </c>
      <c r="D2599" t="s">
        <v>367</v>
      </c>
      <c r="E2599" s="10">
        <v>46115.722916666666</v>
      </c>
      <c r="F2599" s="10">
        <v>46116.334027777775</v>
      </c>
      <c r="G2599">
        <v>14.666666666666666</v>
      </c>
      <c r="H2599" s="9">
        <f t="shared" si="120"/>
        <v>3.3000000000000002E-2</v>
      </c>
      <c r="L2599">
        <v>3.3000000000000002E-2</v>
      </c>
      <c r="M2599" t="s">
        <v>255</v>
      </c>
      <c r="N2599" t="s">
        <v>29</v>
      </c>
      <c r="P2599" t="s">
        <v>30</v>
      </c>
      <c r="Q2599" t="s">
        <v>31</v>
      </c>
      <c r="R2599">
        <v>82308</v>
      </c>
      <c r="S2599" t="s">
        <v>69</v>
      </c>
      <c r="T2599">
        <v>82658</v>
      </c>
      <c r="U2599" t="s">
        <v>33</v>
      </c>
      <c r="V2599" t="s">
        <v>33</v>
      </c>
      <c r="W2599" t="s">
        <v>37</v>
      </c>
      <c r="X2599" t="s">
        <v>38</v>
      </c>
      <c r="Y2599" s="9">
        <f t="shared" si="121"/>
        <v>3.3000000000000002E-2</v>
      </c>
      <c r="Z2599" t="str">
        <f t="shared" si="122"/>
        <v>สแกนต่าง Cost</v>
      </c>
    </row>
    <row r="2600" spans="1:26" x14ac:dyDescent="0.45">
      <c r="A2600">
        <v>25841</v>
      </c>
      <c r="B2600" t="s">
        <v>53</v>
      </c>
      <c r="C2600">
        <v>20334399</v>
      </c>
      <c r="D2600" t="s">
        <v>237</v>
      </c>
      <c r="E2600" s="10">
        <v>46115.722916666666</v>
      </c>
      <c r="F2600" s="10">
        <v>46116.375</v>
      </c>
      <c r="G2600">
        <v>15.65</v>
      </c>
      <c r="H2600" s="9">
        <f t="shared" si="120"/>
        <v>3.7999999999999999E-2</v>
      </c>
      <c r="L2600">
        <v>3.7999999999999999E-2</v>
      </c>
      <c r="M2600" t="s">
        <v>255</v>
      </c>
      <c r="N2600" t="s">
        <v>29</v>
      </c>
      <c r="P2600" t="s">
        <v>30</v>
      </c>
      <c r="Q2600" t="s">
        <v>31</v>
      </c>
      <c r="R2600">
        <v>82301</v>
      </c>
      <c r="S2600" t="s">
        <v>79</v>
      </c>
      <c r="T2600">
        <v>82658</v>
      </c>
      <c r="U2600" t="s">
        <v>33</v>
      </c>
      <c r="V2600" t="s">
        <v>33</v>
      </c>
      <c r="W2600" t="s">
        <v>37</v>
      </c>
      <c r="X2600" t="s">
        <v>38</v>
      </c>
      <c r="Y2600" s="9">
        <f t="shared" si="121"/>
        <v>3.7999999999999999E-2</v>
      </c>
      <c r="Z2600" t="str">
        <f t="shared" si="122"/>
        <v>สแกนต่าง Cost</v>
      </c>
    </row>
    <row r="2601" spans="1:26" x14ac:dyDescent="0.45">
      <c r="B2601" t="s">
        <v>53</v>
      </c>
      <c r="C2601">
        <v>20060579</v>
      </c>
      <c r="D2601" t="s">
        <v>39</v>
      </c>
      <c r="E2601" s="10">
        <v>46115.708333333336</v>
      </c>
      <c r="F2601" s="10">
        <v>46115.729166666664</v>
      </c>
      <c r="G2601">
        <v>0.5</v>
      </c>
      <c r="H2601" s="9">
        <f t="shared" si="120"/>
        <v>3.0000000000000001E-3</v>
      </c>
      <c r="I2601">
        <v>3.0000000000000001E-3</v>
      </c>
      <c r="M2601" t="s">
        <v>65</v>
      </c>
      <c r="N2601" t="s">
        <v>29</v>
      </c>
      <c r="P2601" t="s">
        <v>30</v>
      </c>
      <c r="Q2601" t="s">
        <v>31</v>
      </c>
      <c r="R2601">
        <v>82640</v>
      </c>
      <c r="S2601" t="s">
        <v>42</v>
      </c>
      <c r="T2601">
        <v>82630</v>
      </c>
      <c r="U2601" t="s">
        <v>32</v>
      </c>
      <c r="V2601" t="s">
        <v>66</v>
      </c>
      <c r="W2601" t="s">
        <v>44</v>
      </c>
      <c r="X2601" t="s">
        <v>44</v>
      </c>
      <c r="Y2601" s="9">
        <f t="shared" si="121"/>
        <v>0</v>
      </c>
      <c r="Z2601" t="str">
        <f t="shared" si="122"/>
        <v>สแกนต่าง Cost</v>
      </c>
    </row>
    <row r="2602" spans="1:26" x14ac:dyDescent="0.45">
      <c r="B2602" t="s">
        <v>53</v>
      </c>
      <c r="C2602">
        <v>20340657</v>
      </c>
      <c r="D2602" t="s">
        <v>221</v>
      </c>
      <c r="E2602" s="10">
        <v>46115.708333333336</v>
      </c>
      <c r="F2602" s="10">
        <v>46115.729166666664</v>
      </c>
      <c r="G2602">
        <v>0.5</v>
      </c>
      <c r="H2602" s="9">
        <f t="shared" si="120"/>
        <v>3.0000000000000001E-3</v>
      </c>
      <c r="I2602">
        <v>3.0000000000000001E-3</v>
      </c>
      <c r="M2602" t="s">
        <v>65</v>
      </c>
      <c r="N2602" t="s">
        <v>29</v>
      </c>
      <c r="P2602" t="s">
        <v>30</v>
      </c>
      <c r="Q2602" t="s">
        <v>31</v>
      </c>
      <c r="R2602">
        <v>82640</v>
      </c>
      <c r="S2602" t="s">
        <v>42</v>
      </c>
      <c r="T2602">
        <v>82611</v>
      </c>
      <c r="U2602" t="s">
        <v>43</v>
      </c>
      <c r="V2602" t="s">
        <v>66</v>
      </c>
      <c r="W2602" t="s">
        <v>44</v>
      </c>
      <c r="X2602" t="s">
        <v>44</v>
      </c>
      <c r="Y2602" s="9">
        <f t="shared" si="121"/>
        <v>0</v>
      </c>
      <c r="Z2602" t="str">
        <f t="shared" si="122"/>
        <v>สแกนต่าง Cost</v>
      </c>
    </row>
    <row r="2603" spans="1:26" x14ac:dyDescent="0.45">
      <c r="B2603" t="s">
        <v>53</v>
      </c>
      <c r="C2603">
        <v>20026534</v>
      </c>
      <c r="D2603" t="s">
        <v>279</v>
      </c>
      <c r="E2603" s="10">
        <v>46115.6875</v>
      </c>
      <c r="F2603" s="10">
        <v>46115.729166666664</v>
      </c>
      <c r="G2603">
        <v>1</v>
      </c>
      <c r="H2603" s="9">
        <f t="shared" si="120"/>
        <v>5.0000000000000001E-3</v>
      </c>
      <c r="I2603">
        <v>5.0000000000000001E-3</v>
      </c>
      <c r="M2603" t="s">
        <v>65</v>
      </c>
      <c r="N2603" t="s">
        <v>29</v>
      </c>
      <c r="P2603" t="s">
        <v>30</v>
      </c>
      <c r="Q2603" t="s">
        <v>31</v>
      </c>
      <c r="R2603">
        <v>82640</v>
      </c>
      <c r="S2603" t="s">
        <v>42</v>
      </c>
      <c r="T2603">
        <v>82611</v>
      </c>
      <c r="U2603" t="s">
        <v>43</v>
      </c>
      <c r="V2603" t="s">
        <v>66</v>
      </c>
      <c r="W2603" t="s">
        <v>44</v>
      </c>
      <c r="X2603" t="s">
        <v>44</v>
      </c>
      <c r="Y2603" s="9">
        <f t="shared" si="121"/>
        <v>0</v>
      </c>
      <c r="Z2603" t="str">
        <f t="shared" si="122"/>
        <v>สแกนต่าง Cost</v>
      </c>
    </row>
    <row r="2604" spans="1:26" x14ac:dyDescent="0.45">
      <c r="B2604" t="s">
        <v>53</v>
      </c>
      <c r="C2604">
        <v>20198839</v>
      </c>
      <c r="D2604" t="s">
        <v>258</v>
      </c>
      <c r="E2604" s="10">
        <v>46115.6875</v>
      </c>
      <c r="F2604" s="10">
        <v>46115.729166666664</v>
      </c>
      <c r="G2604">
        <v>1</v>
      </c>
      <c r="H2604" s="9">
        <f t="shared" si="120"/>
        <v>5.0000000000000001E-3</v>
      </c>
      <c r="I2604">
        <v>5.0000000000000001E-3</v>
      </c>
      <c r="M2604" t="s">
        <v>65</v>
      </c>
      <c r="N2604" t="s">
        <v>29</v>
      </c>
      <c r="P2604" t="s">
        <v>30</v>
      </c>
      <c r="Q2604" t="s">
        <v>31</v>
      </c>
      <c r="R2604">
        <v>82640</v>
      </c>
      <c r="S2604" t="s">
        <v>42</v>
      </c>
      <c r="T2604">
        <v>82630</v>
      </c>
      <c r="U2604" t="s">
        <v>32</v>
      </c>
      <c r="V2604" t="s">
        <v>66</v>
      </c>
      <c r="W2604" t="s">
        <v>44</v>
      </c>
      <c r="X2604" t="s">
        <v>44</v>
      </c>
      <c r="Y2604" s="9">
        <f t="shared" si="121"/>
        <v>0</v>
      </c>
      <c r="Z2604" t="str">
        <f t="shared" si="122"/>
        <v>สแกนต่าง Cost</v>
      </c>
    </row>
    <row r="2605" spans="1:26" x14ac:dyDescent="0.45">
      <c r="B2605" t="s">
        <v>53</v>
      </c>
      <c r="C2605">
        <v>20280718</v>
      </c>
      <c r="D2605" t="s">
        <v>256</v>
      </c>
      <c r="E2605" s="10">
        <v>46115.6875</v>
      </c>
      <c r="F2605" s="10">
        <v>46115.729166666664</v>
      </c>
      <c r="G2605">
        <v>1</v>
      </c>
      <c r="H2605" s="9">
        <f t="shared" si="120"/>
        <v>5.0000000000000001E-3</v>
      </c>
      <c r="I2605">
        <v>5.0000000000000001E-3</v>
      </c>
      <c r="M2605" t="s">
        <v>65</v>
      </c>
      <c r="N2605" t="s">
        <v>29</v>
      </c>
      <c r="P2605" t="s">
        <v>30</v>
      </c>
      <c r="Q2605" t="s">
        <v>31</v>
      </c>
      <c r="R2605">
        <v>82640</v>
      </c>
      <c r="S2605" t="s">
        <v>42</v>
      </c>
      <c r="T2605">
        <v>82611</v>
      </c>
      <c r="U2605" t="s">
        <v>43</v>
      </c>
      <c r="V2605" t="s">
        <v>66</v>
      </c>
      <c r="W2605" t="s">
        <v>44</v>
      </c>
      <c r="X2605" t="s">
        <v>44</v>
      </c>
      <c r="Y2605" s="9">
        <f t="shared" si="121"/>
        <v>0</v>
      </c>
      <c r="Z2605" t="str">
        <f t="shared" si="122"/>
        <v>สแกนต่าง Cost</v>
      </c>
    </row>
    <row r="2606" spans="1:26" x14ac:dyDescent="0.45">
      <c r="B2606" t="s">
        <v>53</v>
      </c>
      <c r="C2606">
        <v>20280718</v>
      </c>
      <c r="D2606" t="s">
        <v>256</v>
      </c>
      <c r="E2606" s="10">
        <v>46115.6875</v>
      </c>
      <c r="F2606" s="10">
        <v>46115.833333333336</v>
      </c>
      <c r="G2606">
        <v>3.5</v>
      </c>
      <c r="H2606" s="9">
        <f t="shared" si="120"/>
        <v>1.9E-2</v>
      </c>
      <c r="K2606">
        <v>1.9E-2</v>
      </c>
      <c r="M2606" t="s">
        <v>28</v>
      </c>
      <c r="N2606" t="s">
        <v>40</v>
      </c>
      <c r="O2606" t="s">
        <v>41</v>
      </c>
      <c r="P2606" t="s">
        <v>30</v>
      </c>
      <c r="Q2606" t="s">
        <v>31</v>
      </c>
      <c r="R2606">
        <v>82640</v>
      </c>
      <c r="S2606" t="s">
        <v>42</v>
      </c>
      <c r="T2606">
        <v>82630</v>
      </c>
      <c r="U2606" t="s">
        <v>32</v>
      </c>
      <c r="V2606" t="s">
        <v>66</v>
      </c>
      <c r="W2606" t="s">
        <v>44</v>
      </c>
      <c r="X2606" t="s">
        <v>44</v>
      </c>
      <c r="Y2606" s="9">
        <f t="shared" si="121"/>
        <v>1.9E-2</v>
      </c>
      <c r="Z2606" t="str">
        <f t="shared" si="122"/>
        <v>สแกนต่าง Cost</v>
      </c>
    </row>
    <row r="2607" spans="1:26" x14ac:dyDescent="0.45">
      <c r="B2607" t="s">
        <v>53</v>
      </c>
      <c r="C2607">
        <v>20340657</v>
      </c>
      <c r="D2607" t="s">
        <v>221</v>
      </c>
      <c r="E2607" s="10">
        <v>46115.6875</v>
      </c>
      <c r="F2607" s="10">
        <v>46115.708333333336</v>
      </c>
      <c r="G2607">
        <v>0.5</v>
      </c>
      <c r="H2607" s="9">
        <f t="shared" si="120"/>
        <v>3.0000000000000001E-3</v>
      </c>
      <c r="I2607">
        <v>3.0000000000000001E-3</v>
      </c>
      <c r="M2607" t="s">
        <v>65</v>
      </c>
      <c r="N2607" t="s">
        <v>29</v>
      </c>
      <c r="P2607" t="s">
        <v>30</v>
      </c>
      <c r="Q2607" t="s">
        <v>31</v>
      </c>
      <c r="R2607">
        <v>82640</v>
      </c>
      <c r="S2607" t="s">
        <v>42</v>
      </c>
      <c r="T2607">
        <v>82612</v>
      </c>
      <c r="U2607" t="s">
        <v>153</v>
      </c>
      <c r="V2607" t="s">
        <v>66</v>
      </c>
      <c r="W2607" t="s">
        <v>44</v>
      </c>
      <c r="X2607" t="s">
        <v>44</v>
      </c>
      <c r="Y2607" s="9">
        <f t="shared" si="121"/>
        <v>0</v>
      </c>
      <c r="Z2607" t="str">
        <f t="shared" si="122"/>
        <v>สแกนต่าง Cost</v>
      </c>
    </row>
    <row r="2608" spans="1:26" x14ac:dyDescent="0.45">
      <c r="B2608" t="s">
        <v>53</v>
      </c>
      <c r="C2608">
        <v>20026534</v>
      </c>
      <c r="D2608" t="s">
        <v>279</v>
      </c>
      <c r="E2608" s="10">
        <v>46115.666666666664</v>
      </c>
      <c r="F2608" s="10">
        <v>46115.6875</v>
      </c>
      <c r="G2608">
        <v>0.5</v>
      </c>
      <c r="H2608" s="9">
        <f t="shared" si="120"/>
        <v>3.0000000000000001E-3</v>
      </c>
      <c r="I2608">
        <v>3.0000000000000001E-3</v>
      </c>
      <c r="M2608" t="s">
        <v>65</v>
      </c>
      <c r="N2608" t="s">
        <v>29</v>
      </c>
      <c r="P2608" t="s">
        <v>30</v>
      </c>
      <c r="Q2608" t="s">
        <v>31</v>
      </c>
      <c r="R2608">
        <v>82640</v>
      </c>
      <c r="S2608" t="s">
        <v>42</v>
      </c>
      <c r="T2608">
        <v>82630</v>
      </c>
      <c r="U2608" t="s">
        <v>32</v>
      </c>
      <c r="V2608" t="s">
        <v>66</v>
      </c>
      <c r="W2608" t="s">
        <v>44</v>
      </c>
      <c r="X2608" t="s">
        <v>44</v>
      </c>
      <c r="Y2608" s="9">
        <f t="shared" si="121"/>
        <v>0</v>
      </c>
      <c r="Z2608" t="str">
        <f t="shared" si="122"/>
        <v>สแกนต่าง Cost</v>
      </c>
    </row>
    <row r="2609" spans="2:26" x14ac:dyDescent="0.45">
      <c r="B2609" t="s">
        <v>53</v>
      </c>
      <c r="C2609">
        <v>20060579</v>
      </c>
      <c r="D2609" t="s">
        <v>39</v>
      </c>
      <c r="E2609" s="10">
        <v>46115.666666666664</v>
      </c>
      <c r="F2609" s="10">
        <v>46115.6875</v>
      </c>
      <c r="G2609">
        <v>0.5</v>
      </c>
      <c r="H2609" s="9">
        <f t="shared" si="120"/>
        <v>3.0000000000000001E-3</v>
      </c>
      <c r="I2609">
        <v>3.0000000000000001E-3</v>
      </c>
      <c r="M2609" t="s">
        <v>65</v>
      </c>
      <c r="N2609" t="s">
        <v>29</v>
      </c>
      <c r="P2609" t="s">
        <v>30</v>
      </c>
      <c r="Q2609" t="s">
        <v>31</v>
      </c>
      <c r="R2609">
        <v>82640</v>
      </c>
      <c r="S2609" t="s">
        <v>42</v>
      </c>
      <c r="T2609">
        <v>82622</v>
      </c>
      <c r="U2609" t="s">
        <v>147</v>
      </c>
      <c r="V2609" t="s">
        <v>66</v>
      </c>
      <c r="W2609" t="s">
        <v>44</v>
      </c>
      <c r="X2609" t="s">
        <v>44</v>
      </c>
      <c r="Y2609" s="9">
        <f t="shared" si="121"/>
        <v>0</v>
      </c>
      <c r="Z2609" t="str">
        <f t="shared" si="122"/>
        <v>สแกนต่าง Cost</v>
      </c>
    </row>
    <row r="2610" spans="2:26" x14ac:dyDescent="0.45">
      <c r="B2610" t="s">
        <v>53</v>
      </c>
      <c r="C2610">
        <v>20332134</v>
      </c>
      <c r="D2610" t="s">
        <v>156</v>
      </c>
      <c r="E2610" s="10">
        <v>46115.666666666664</v>
      </c>
      <c r="F2610" s="10">
        <v>46115.729166666664</v>
      </c>
      <c r="G2610">
        <v>1.5</v>
      </c>
      <c r="H2610" s="9">
        <f t="shared" si="120"/>
        <v>8.0000000000000002E-3</v>
      </c>
      <c r="I2610">
        <v>8.0000000000000002E-3</v>
      </c>
      <c r="M2610" t="s">
        <v>65</v>
      </c>
      <c r="N2610" t="s">
        <v>29</v>
      </c>
      <c r="P2610" t="s">
        <v>30</v>
      </c>
      <c r="Q2610" t="s">
        <v>31</v>
      </c>
      <c r="R2610">
        <v>82640</v>
      </c>
      <c r="S2610" t="s">
        <v>42</v>
      </c>
      <c r="T2610">
        <v>82630</v>
      </c>
      <c r="U2610" t="s">
        <v>32</v>
      </c>
      <c r="V2610" t="s">
        <v>66</v>
      </c>
      <c r="W2610" t="s">
        <v>44</v>
      </c>
      <c r="X2610" t="s">
        <v>44</v>
      </c>
      <c r="Y2610" s="9">
        <f t="shared" si="121"/>
        <v>0</v>
      </c>
      <c r="Z2610" t="str">
        <f t="shared" si="122"/>
        <v>สแกนต่าง Cost</v>
      </c>
    </row>
    <row r="2611" spans="2:26" x14ac:dyDescent="0.45">
      <c r="B2611" t="s">
        <v>53</v>
      </c>
      <c r="C2611">
        <v>20340657</v>
      </c>
      <c r="D2611" t="s">
        <v>221</v>
      </c>
      <c r="E2611" s="10">
        <v>46115.666666666664</v>
      </c>
      <c r="F2611" s="10">
        <v>46115.6875</v>
      </c>
      <c r="G2611">
        <v>0.5</v>
      </c>
      <c r="H2611" s="9">
        <f t="shared" si="120"/>
        <v>3.0000000000000001E-3</v>
      </c>
      <c r="I2611">
        <v>3.0000000000000001E-3</v>
      </c>
      <c r="M2611" t="s">
        <v>65</v>
      </c>
      <c r="N2611" t="s">
        <v>29</v>
      </c>
      <c r="P2611" t="s">
        <v>30</v>
      </c>
      <c r="Q2611" t="s">
        <v>31</v>
      </c>
      <c r="R2611">
        <v>82640</v>
      </c>
      <c r="S2611" t="s">
        <v>42</v>
      </c>
      <c r="T2611">
        <v>82630</v>
      </c>
      <c r="U2611" t="s">
        <v>32</v>
      </c>
      <c r="V2611" t="s">
        <v>66</v>
      </c>
      <c r="W2611" t="s">
        <v>44</v>
      </c>
      <c r="X2611" t="s">
        <v>44</v>
      </c>
      <c r="Y2611" s="9">
        <f t="shared" si="121"/>
        <v>0</v>
      </c>
      <c r="Z2611" t="str">
        <f t="shared" si="122"/>
        <v>สแกนต่าง Cost</v>
      </c>
    </row>
    <row r="2612" spans="2:26" x14ac:dyDescent="0.45">
      <c r="B2612" t="s">
        <v>53</v>
      </c>
      <c r="C2612">
        <v>20022740</v>
      </c>
      <c r="D2612" t="s">
        <v>259</v>
      </c>
      <c r="E2612" s="10">
        <v>46115.645833333336</v>
      </c>
      <c r="F2612" s="10">
        <v>46115.729166666664</v>
      </c>
      <c r="G2612">
        <v>2</v>
      </c>
      <c r="H2612" s="9">
        <f t="shared" si="120"/>
        <v>1.0999999999999999E-2</v>
      </c>
      <c r="I2612">
        <v>1.0999999999999999E-2</v>
      </c>
      <c r="M2612" t="s">
        <v>65</v>
      </c>
      <c r="N2612" t="s">
        <v>29</v>
      </c>
      <c r="P2612" t="s">
        <v>30</v>
      </c>
      <c r="Q2612" t="s">
        <v>31</v>
      </c>
      <c r="R2612">
        <v>82640</v>
      </c>
      <c r="S2612" t="s">
        <v>42</v>
      </c>
      <c r="T2612">
        <v>82622</v>
      </c>
      <c r="U2612" t="s">
        <v>147</v>
      </c>
      <c r="V2612" t="s">
        <v>66</v>
      </c>
      <c r="W2612" t="s">
        <v>44</v>
      </c>
      <c r="X2612" t="s">
        <v>44</v>
      </c>
      <c r="Y2612" s="9">
        <f t="shared" si="121"/>
        <v>0</v>
      </c>
      <c r="Z2612" t="str">
        <f t="shared" si="122"/>
        <v>สแกนต่าง Cost</v>
      </c>
    </row>
    <row r="2613" spans="2:26" x14ac:dyDescent="0.45">
      <c r="B2613" t="s">
        <v>53</v>
      </c>
      <c r="C2613">
        <v>20026534</v>
      </c>
      <c r="D2613" t="s">
        <v>279</v>
      </c>
      <c r="E2613" s="10">
        <v>46115.645833333336</v>
      </c>
      <c r="F2613" s="10">
        <v>46115.666666666664</v>
      </c>
      <c r="G2613">
        <v>0.5</v>
      </c>
      <c r="H2613" s="9">
        <f t="shared" si="120"/>
        <v>3.0000000000000001E-3</v>
      </c>
      <c r="I2613">
        <v>3.0000000000000001E-3</v>
      </c>
      <c r="M2613" t="s">
        <v>65</v>
      </c>
      <c r="N2613" t="s">
        <v>29</v>
      </c>
      <c r="P2613" t="s">
        <v>30</v>
      </c>
      <c r="Q2613" t="s">
        <v>31</v>
      </c>
      <c r="R2613">
        <v>82640</v>
      </c>
      <c r="S2613" t="s">
        <v>42</v>
      </c>
      <c r="T2613">
        <v>82611</v>
      </c>
      <c r="U2613" t="s">
        <v>43</v>
      </c>
      <c r="V2613" t="s">
        <v>66</v>
      </c>
      <c r="W2613" t="s">
        <v>44</v>
      </c>
      <c r="X2613" t="s">
        <v>44</v>
      </c>
      <c r="Y2613" s="9">
        <f t="shared" si="121"/>
        <v>0</v>
      </c>
      <c r="Z2613" t="str">
        <f t="shared" si="122"/>
        <v>สแกนต่าง Cost</v>
      </c>
    </row>
    <row r="2614" spans="2:26" x14ac:dyDescent="0.45">
      <c r="B2614" t="s">
        <v>53</v>
      </c>
      <c r="C2614">
        <v>20060579</v>
      </c>
      <c r="D2614" t="s">
        <v>39</v>
      </c>
      <c r="E2614" s="10">
        <v>46115.645833333336</v>
      </c>
      <c r="F2614" s="10">
        <v>46115.666666666664</v>
      </c>
      <c r="G2614">
        <v>0.5</v>
      </c>
      <c r="H2614" s="9">
        <f t="shared" si="120"/>
        <v>3.0000000000000001E-3</v>
      </c>
      <c r="I2614">
        <v>3.0000000000000001E-3</v>
      </c>
      <c r="M2614" t="s">
        <v>65</v>
      </c>
      <c r="N2614" t="s">
        <v>29</v>
      </c>
      <c r="P2614" t="s">
        <v>30</v>
      </c>
      <c r="Q2614" t="s">
        <v>31</v>
      </c>
      <c r="R2614">
        <v>82640</v>
      </c>
      <c r="S2614" t="s">
        <v>42</v>
      </c>
      <c r="T2614">
        <v>82611</v>
      </c>
      <c r="U2614" t="s">
        <v>43</v>
      </c>
      <c r="V2614" t="s">
        <v>66</v>
      </c>
      <c r="W2614" t="s">
        <v>44</v>
      </c>
      <c r="X2614" t="s">
        <v>44</v>
      </c>
      <c r="Y2614" s="9">
        <f t="shared" si="121"/>
        <v>0</v>
      </c>
      <c r="Z2614" t="str">
        <f t="shared" si="122"/>
        <v>สแกนต่าง Cost</v>
      </c>
    </row>
    <row r="2615" spans="2:26" x14ac:dyDescent="0.45">
      <c r="B2615" t="s">
        <v>53</v>
      </c>
      <c r="C2615">
        <v>20167851</v>
      </c>
      <c r="D2615" t="s">
        <v>63</v>
      </c>
      <c r="E2615" s="10">
        <v>46115.645833333336</v>
      </c>
      <c r="F2615" s="10">
        <v>46115.729166666664</v>
      </c>
      <c r="G2615">
        <v>2</v>
      </c>
      <c r="H2615" s="9">
        <f t="shared" si="120"/>
        <v>1.0999999999999999E-2</v>
      </c>
      <c r="I2615">
        <v>1.0999999999999999E-2</v>
      </c>
      <c r="M2615" t="s">
        <v>65</v>
      </c>
      <c r="N2615" t="s">
        <v>29</v>
      </c>
      <c r="P2615" t="s">
        <v>30</v>
      </c>
      <c r="Q2615" t="s">
        <v>31</v>
      </c>
      <c r="R2615">
        <v>82640</v>
      </c>
      <c r="S2615" t="s">
        <v>42</v>
      </c>
      <c r="T2615">
        <v>82612</v>
      </c>
      <c r="U2615" t="s">
        <v>153</v>
      </c>
      <c r="V2615" t="s">
        <v>66</v>
      </c>
      <c r="W2615" t="s">
        <v>44</v>
      </c>
      <c r="X2615" t="s">
        <v>44</v>
      </c>
      <c r="Y2615" s="9">
        <f t="shared" si="121"/>
        <v>0</v>
      </c>
      <c r="Z2615" t="str">
        <f t="shared" si="122"/>
        <v>สแกนต่าง Cost</v>
      </c>
    </row>
    <row r="2616" spans="2:26" x14ac:dyDescent="0.45">
      <c r="B2616" t="s">
        <v>53</v>
      </c>
      <c r="C2616">
        <v>20280718</v>
      </c>
      <c r="D2616" t="s">
        <v>256</v>
      </c>
      <c r="E2616" s="10">
        <v>46115.645833333336</v>
      </c>
      <c r="F2616" s="10">
        <v>46115.6875</v>
      </c>
      <c r="G2616">
        <v>1</v>
      </c>
      <c r="H2616" s="9">
        <f t="shared" si="120"/>
        <v>5.0000000000000001E-3</v>
      </c>
      <c r="I2616">
        <v>5.0000000000000001E-3</v>
      </c>
      <c r="M2616" t="s">
        <v>65</v>
      </c>
      <c r="N2616" t="s">
        <v>29</v>
      </c>
      <c r="P2616" t="s">
        <v>30</v>
      </c>
      <c r="Q2616" t="s">
        <v>31</v>
      </c>
      <c r="R2616">
        <v>82640</v>
      </c>
      <c r="S2616" t="s">
        <v>42</v>
      </c>
      <c r="T2616">
        <v>82612</v>
      </c>
      <c r="U2616" t="s">
        <v>153</v>
      </c>
      <c r="V2616" t="s">
        <v>66</v>
      </c>
      <c r="W2616" t="s">
        <v>44</v>
      </c>
      <c r="X2616" t="s">
        <v>44</v>
      </c>
      <c r="Y2616" s="9">
        <f t="shared" si="121"/>
        <v>0</v>
      </c>
      <c r="Z2616" t="str">
        <f t="shared" si="122"/>
        <v>สแกนต่าง Cost</v>
      </c>
    </row>
    <row r="2617" spans="2:26" x14ac:dyDescent="0.45">
      <c r="B2617" t="s">
        <v>53</v>
      </c>
      <c r="C2617">
        <v>20027956</v>
      </c>
      <c r="D2617" t="s">
        <v>214</v>
      </c>
      <c r="E2617" s="10">
        <v>46115.625</v>
      </c>
      <c r="F2617" s="10">
        <v>46115.729166666664</v>
      </c>
      <c r="G2617">
        <v>2.5</v>
      </c>
      <c r="H2617" s="9">
        <f t="shared" si="120"/>
        <v>1.2999999999999999E-2</v>
      </c>
      <c r="I2617">
        <v>1.2999999999999999E-2</v>
      </c>
      <c r="M2617" t="s">
        <v>65</v>
      </c>
      <c r="N2617" t="s">
        <v>29</v>
      </c>
      <c r="P2617" t="s">
        <v>30</v>
      </c>
      <c r="Q2617" t="s">
        <v>31</v>
      </c>
      <c r="R2617">
        <v>82640</v>
      </c>
      <c r="S2617" t="s">
        <v>42</v>
      </c>
      <c r="T2617">
        <v>82611</v>
      </c>
      <c r="U2617" t="s">
        <v>43</v>
      </c>
      <c r="V2617" t="s">
        <v>66</v>
      </c>
      <c r="W2617" t="s">
        <v>44</v>
      </c>
      <c r="X2617" t="s">
        <v>44</v>
      </c>
      <c r="Y2617" s="9">
        <f t="shared" si="121"/>
        <v>0</v>
      </c>
      <c r="Z2617" t="str">
        <f t="shared" si="122"/>
        <v>สแกนต่าง Cost</v>
      </c>
    </row>
    <row r="2618" spans="2:26" x14ac:dyDescent="0.45">
      <c r="B2618" t="s">
        <v>53</v>
      </c>
      <c r="C2618">
        <v>20060579</v>
      </c>
      <c r="D2618" t="s">
        <v>39</v>
      </c>
      <c r="E2618" s="10">
        <v>46115.625</v>
      </c>
      <c r="F2618" s="10">
        <v>46115.645833333336</v>
      </c>
      <c r="G2618">
        <v>0.5</v>
      </c>
      <c r="H2618" s="9">
        <f t="shared" si="120"/>
        <v>3.0000000000000001E-3</v>
      </c>
      <c r="I2618">
        <v>3.0000000000000001E-3</v>
      </c>
      <c r="M2618" t="s">
        <v>65</v>
      </c>
      <c r="N2618" t="s">
        <v>29</v>
      </c>
      <c r="P2618" t="s">
        <v>30</v>
      </c>
      <c r="Q2618" t="s">
        <v>31</v>
      </c>
      <c r="R2618">
        <v>82640</v>
      </c>
      <c r="S2618" t="s">
        <v>42</v>
      </c>
      <c r="T2618">
        <v>82612</v>
      </c>
      <c r="U2618" t="s">
        <v>153</v>
      </c>
      <c r="V2618" t="s">
        <v>66</v>
      </c>
      <c r="W2618" t="s">
        <v>44</v>
      </c>
      <c r="X2618" t="s">
        <v>44</v>
      </c>
      <c r="Y2618" s="9">
        <f t="shared" si="121"/>
        <v>0</v>
      </c>
      <c r="Z2618" t="str">
        <f t="shared" si="122"/>
        <v>สแกนต่าง Cost</v>
      </c>
    </row>
    <row r="2619" spans="2:26" x14ac:dyDescent="0.45">
      <c r="B2619" t="s">
        <v>53</v>
      </c>
      <c r="C2619">
        <v>20198839</v>
      </c>
      <c r="D2619" t="s">
        <v>258</v>
      </c>
      <c r="E2619" s="10">
        <v>46115.625</v>
      </c>
      <c r="F2619" s="10">
        <v>46115.6875</v>
      </c>
      <c r="G2619">
        <v>1.5</v>
      </c>
      <c r="H2619" s="9">
        <f t="shared" si="120"/>
        <v>8.0000000000000002E-3</v>
      </c>
      <c r="I2619">
        <v>8.0000000000000002E-3</v>
      </c>
      <c r="M2619" t="s">
        <v>65</v>
      </c>
      <c r="N2619" t="s">
        <v>29</v>
      </c>
      <c r="P2619" t="s">
        <v>30</v>
      </c>
      <c r="Q2619" t="s">
        <v>31</v>
      </c>
      <c r="R2619">
        <v>82640</v>
      </c>
      <c r="S2619" t="s">
        <v>42</v>
      </c>
      <c r="T2619">
        <v>82611</v>
      </c>
      <c r="U2619" t="s">
        <v>43</v>
      </c>
      <c r="V2619" t="s">
        <v>66</v>
      </c>
      <c r="W2619" t="s">
        <v>44</v>
      </c>
      <c r="X2619" t="s">
        <v>44</v>
      </c>
      <c r="Y2619" s="9">
        <f t="shared" si="121"/>
        <v>0</v>
      </c>
      <c r="Z2619" t="str">
        <f t="shared" si="122"/>
        <v>สแกนต่าง Cost</v>
      </c>
    </row>
    <row r="2620" spans="2:26" x14ac:dyDescent="0.45">
      <c r="B2620" t="s">
        <v>53</v>
      </c>
      <c r="C2620">
        <v>20340657</v>
      </c>
      <c r="D2620" t="s">
        <v>221</v>
      </c>
      <c r="E2620" s="10">
        <v>46115.625</v>
      </c>
      <c r="F2620" s="10">
        <v>46115.666666666664</v>
      </c>
      <c r="G2620">
        <v>1</v>
      </c>
      <c r="H2620" s="9">
        <f t="shared" si="120"/>
        <v>5.0000000000000001E-3</v>
      </c>
      <c r="I2620">
        <v>5.0000000000000001E-3</v>
      </c>
      <c r="M2620" t="s">
        <v>65</v>
      </c>
      <c r="N2620" t="s">
        <v>29</v>
      </c>
      <c r="P2620" t="s">
        <v>30</v>
      </c>
      <c r="Q2620" t="s">
        <v>31</v>
      </c>
      <c r="R2620">
        <v>82640</v>
      </c>
      <c r="S2620" t="s">
        <v>42</v>
      </c>
      <c r="T2620">
        <v>82611</v>
      </c>
      <c r="U2620" t="s">
        <v>43</v>
      </c>
      <c r="V2620" t="s">
        <v>66</v>
      </c>
      <c r="W2620" t="s">
        <v>44</v>
      </c>
      <c r="X2620" t="s">
        <v>44</v>
      </c>
      <c r="Y2620" s="9">
        <f t="shared" si="121"/>
        <v>0</v>
      </c>
      <c r="Z2620" t="str">
        <f t="shared" si="122"/>
        <v>สแกนต่าง Cost</v>
      </c>
    </row>
    <row r="2621" spans="2:26" x14ac:dyDescent="0.45">
      <c r="B2621" t="s">
        <v>53</v>
      </c>
      <c r="C2621">
        <v>20060579</v>
      </c>
      <c r="D2621" t="s">
        <v>39</v>
      </c>
      <c r="E2621" s="10">
        <v>46115.604166666664</v>
      </c>
      <c r="F2621" s="10">
        <v>46115.625</v>
      </c>
      <c r="G2621">
        <v>0.5</v>
      </c>
      <c r="H2621" s="9">
        <f t="shared" si="120"/>
        <v>3.0000000000000001E-3</v>
      </c>
      <c r="I2621">
        <v>3.0000000000000001E-3</v>
      </c>
      <c r="M2621" t="s">
        <v>65</v>
      </c>
      <c r="N2621" t="s">
        <v>29</v>
      </c>
      <c r="P2621" t="s">
        <v>30</v>
      </c>
      <c r="Q2621" t="s">
        <v>31</v>
      </c>
      <c r="R2621">
        <v>82640</v>
      </c>
      <c r="S2621" t="s">
        <v>42</v>
      </c>
      <c r="T2621">
        <v>82611</v>
      </c>
      <c r="U2621" t="s">
        <v>43</v>
      </c>
      <c r="V2621" t="s">
        <v>66</v>
      </c>
      <c r="W2621" t="s">
        <v>44</v>
      </c>
      <c r="X2621" t="s">
        <v>44</v>
      </c>
      <c r="Y2621" s="9">
        <f t="shared" si="121"/>
        <v>0</v>
      </c>
      <c r="Z2621" t="str">
        <f t="shared" si="122"/>
        <v>สแกนต่าง Cost</v>
      </c>
    </row>
    <row r="2622" spans="2:26" x14ac:dyDescent="0.45">
      <c r="B2622" t="s">
        <v>53</v>
      </c>
      <c r="C2622">
        <v>20244923</v>
      </c>
      <c r="D2622" t="s">
        <v>246</v>
      </c>
      <c r="E2622" s="10">
        <v>46115.604166666664</v>
      </c>
      <c r="F2622" s="10">
        <v>46115.729166666664</v>
      </c>
      <c r="G2622">
        <v>3</v>
      </c>
      <c r="H2622" s="9">
        <f t="shared" si="120"/>
        <v>1.6E-2</v>
      </c>
      <c r="I2622">
        <v>1.6E-2</v>
      </c>
      <c r="M2622" t="s">
        <v>65</v>
      </c>
      <c r="N2622" t="s">
        <v>29</v>
      </c>
      <c r="P2622" t="s">
        <v>30</v>
      </c>
      <c r="Q2622" t="s">
        <v>31</v>
      </c>
      <c r="R2622">
        <v>82640</v>
      </c>
      <c r="S2622" t="s">
        <v>42</v>
      </c>
      <c r="T2622">
        <v>82630</v>
      </c>
      <c r="U2622" t="s">
        <v>32</v>
      </c>
      <c r="V2622" t="s">
        <v>66</v>
      </c>
      <c r="W2622" t="s">
        <v>44</v>
      </c>
      <c r="X2622" t="s">
        <v>44</v>
      </c>
      <c r="Y2622" s="9">
        <f t="shared" si="121"/>
        <v>0</v>
      </c>
      <c r="Z2622" t="str">
        <f t="shared" si="122"/>
        <v>สแกนต่าง Cost</v>
      </c>
    </row>
    <row r="2623" spans="2:26" x14ac:dyDescent="0.45">
      <c r="B2623" t="s">
        <v>53</v>
      </c>
      <c r="C2623">
        <v>20280718</v>
      </c>
      <c r="D2623" t="s">
        <v>256</v>
      </c>
      <c r="E2623" s="10">
        <v>46115.604166666664</v>
      </c>
      <c r="F2623" s="10">
        <v>46115.666666666664</v>
      </c>
      <c r="G2623">
        <v>1.5</v>
      </c>
      <c r="H2623" s="9">
        <f t="shared" si="120"/>
        <v>8.0000000000000002E-3</v>
      </c>
      <c r="I2623">
        <v>8.0000000000000002E-3</v>
      </c>
      <c r="M2623" t="s">
        <v>65</v>
      </c>
      <c r="N2623" t="s">
        <v>29</v>
      </c>
      <c r="P2623" t="s">
        <v>30</v>
      </c>
      <c r="Q2623" t="s">
        <v>31</v>
      </c>
      <c r="R2623">
        <v>82640</v>
      </c>
      <c r="S2623" t="s">
        <v>42</v>
      </c>
      <c r="T2623">
        <v>82630</v>
      </c>
      <c r="U2623" t="s">
        <v>32</v>
      </c>
      <c r="V2623" t="s">
        <v>66</v>
      </c>
      <c r="W2623" t="s">
        <v>44</v>
      </c>
      <c r="X2623" t="s">
        <v>44</v>
      </c>
      <c r="Y2623" s="9">
        <f t="shared" si="121"/>
        <v>0</v>
      </c>
      <c r="Z2623" t="str">
        <f t="shared" si="122"/>
        <v>สแกนต่าง Cost</v>
      </c>
    </row>
    <row r="2624" spans="2:26" x14ac:dyDescent="0.45">
      <c r="B2624" t="s">
        <v>53</v>
      </c>
      <c r="C2624">
        <v>20310530</v>
      </c>
      <c r="D2624" t="s">
        <v>220</v>
      </c>
      <c r="E2624" s="10">
        <v>46115.604166666664</v>
      </c>
      <c r="F2624" s="10">
        <v>46115.729166666664</v>
      </c>
      <c r="G2624">
        <v>3</v>
      </c>
      <c r="H2624" s="9">
        <f t="shared" si="120"/>
        <v>1.6E-2</v>
      </c>
      <c r="I2624">
        <v>1.6E-2</v>
      </c>
      <c r="M2624" t="s">
        <v>65</v>
      </c>
      <c r="N2624" t="s">
        <v>29</v>
      </c>
      <c r="P2624" t="s">
        <v>30</v>
      </c>
      <c r="Q2624" t="s">
        <v>31</v>
      </c>
      <c r="R2624">
        <v>82640</v>
      </c>
      <c r="S2624" t="s">
        <v>42</v>
      </c>
      <c r="T2624">
        <v>82630</v>
      </c>
      <c r="U2624" t="s">
        <v>32</v>
      </c>
      <c r="V2624" t="s">
        <v>66</v>
      </c>
      <c r="W2624" t="s">
        <v>44</v>
      </c>
      <c r="X2624" t="s">
        <v>44</v>
      </c>
      <c r="Y2624" s="9">
        <f t="shared" si="121"/>
        <v>0</v>
      </c>
      <c r="Z2624" t="str">
        <f t="shared" si="122"/>
        <v>สแกนต่าง Cost</v>
      </c>
    </row>
    <row r="2625" spans="1:26" x14ac:dyDescent="0.45">
      <c r="B2625" t="s">
        <v>53</v>
      </c>
      <c r="C2625">
        <v>20332134</v>
      </c>
      <c r="D2625" t="s">
        <v>156</v>
      </c>
      <c r="E2625" s="10">
        <v>46115.604166666664</v>
      </c>
      <c r="F2625" s="10">
        <v>46115.666666666664</v>
      </c>
      <c r="G2625">
        <v>1.5</v>
      </c>
      <c r="H2625" s="9">
        <f t="shared" si="120"/>
        <v>8.0000000000000002E-3</v>
      </c>
      <c r="I2625">
        <v>8.0000000000000002E-3</v>
      </c>
      <c r="M2625" t="s">
        <v>65</v>
      </c>
      <c r="N2625" t="s">
        <v>29</v>
      </c>
      <c r="P2625" t="s">
        <v>30</v>
      </c>
      <c r="Q2625" t="s">
        <v>31</v>
      </c>
      <c r="R2625">
        <v>82640</v>
      </c>
      <c r="S2625" t="s">
        <v>42</v>
      </c>
      <c r="T2625">
        <v>82612</v>
      </c>
      <c r="U2625" t="s">
        <v>153</v>
      </c>
      <c r="V2625" t="s">
        <v>66</v>
      </c>
      <c r="W2625" t="s">
        <v>44</v>
      </c>
      <c r="X2625" t="s">
        <v>44</v>
      </c>
      <c r="Y2625" s="9">
        <f t="shared" si="121"/>
        <v>0</v>
      </c>
      <c r="Z2625" t="str">
        <f t="shared" si="122"/>
        <v>สแกนต่าง Cost</v>
      </c>
    </row>
    <row r="2626" spans="1:26" x14ac:dyDescent="0.45">
      <c r="A2626">
        <v>25619</v>
      </c>
      <c r="B2626" t="s">
        <v>53</v>
      </c>
      <c r="C2626">
        <v>20048905</v>
      </c>
      <c r="D2626" t="s">
        <v>73</v>
      </c>
      <c r="E2626" s="10">
        <v>46115.589583333334</v>
      </c>
      <c r="F2626" s="10">
        <v>46115.982638888891</v>
      </c>
      <c r="G2626">
        <v>8.4333333333333336</v>
      </c>
      <c r="H2626" s="9">
        <f t="shared" si="120"/>
        <v>4.4999999999999998E-2</v>
      </c>
      <c r="I2626">
        <v>4.4999999999999998E-2</v>
      </c>
      <c r="M2626" t="s">
        <v>65</v>
      </c>
      <c r="N2626" t="s">
        <v>29</v>
      </c>
      <c r="P2626" t="s">
        <v>30</v>
      </c>
      <c r="Q2626" t="s">
        <v>31</v>
      </c>
      <c r="R2626">
        <v>82409</v>
      </c>
      <c r="S2626" t="s">
        <v>74</v>
      </c>
      <c r="T2626">
        <v>82664</v>
      </c>
      <c r="U2626" t="s">
        <v>75</v>
      </c>
      <c r="V2626" t="s">
        <v>75</v>
      </c>
      <c r="W2626" t="s">
        <v>74</v>
      </c>
      <c r="X2626" t="s">
        <v>74</v>
      </c>
      <c r="Y2626" s="9">
        <f t="shared" si="121"/>
        <v>0</v>
      </c>
      <c r="Z2626" t="str">
        <f t="shared" si="122"/>
        <v>สแกนต่าง Cost</v>
      </c>
    </row>
    <row r="2627" spans="1:26" x14ac:dyDescent="0.45">
      <c r="B2627" t="s">
        <v>53</v>
      </c>
      <c r="C2627">
        <v>20026534</v>
      </c>
      <c r="D2627" t="s">
        <v>279</v>
      </c>
      <c r="E2627" s="10">
        <v>46115.583333333336</v>
      </c>
      <c r="F2627" s="10">
        <v>46115.645833333336</v>
      </c>
      <c r="G2627">
        <v>1.5</v>
      </c>
      <c r="H2627" s="9">
        <f t="shared" ref="H2627:H2690" si="123">SUM(I2627:L2627)</f>
        <v>8.0000000000000002E-3</v>
      </c>
      <c r="I2627">
        <v>8.0000000000000002E-3</v>
      </c>
      <c r="M2627" t="s">
        <v>65</v>
      </c>
      <c r="N2627" t="s">
        <v>29</v>
      </c>
      <c r="P2627" t="s">
        <v>30</v>
      </c>
      <c r="Q2627" t="s">
        <v>31</v>
      </c>
      <c r="R2627">
        <v>82640</v>
      </c>
      <c r="S2627" t="s">
        <v>42</v>
      </c>
      <c r="T2627">
        <v>82630</v>
      </c>
      <c r="U2627" t="s">
        <v>32</v>
      </c>
      <c r="V2627" t="s">
        <v>66</v>
      </c>
      <c r="W2627" t="s">
        <v>44</v>
      </c>
      <c r="X2627" t="s">
        <v>44</v>
      </c>
      <c r="Y2627" s="9">
        <f t="shared" ref="Y2627:Y2690" si="124">SUM(J2627:L2627)</f>
        <v>0</v>
      </c>
      <c r="Z2627" t="str">
        <f t="shared" ref="Z2627:Z2690" si="125">IF(R2627=T2627,"สแกน Cost ตัวเอง","สแกนต่าง Cost")</f>
        <v>สแกนต่าง Cost</v>
      </c>
    </row>
    <row r="2628" spans="1:26" x14ac:dyDescent="0.45">
      <c r="B2628" t="s">
        <v>53</v>
      </c>
      <c r="C2628">
        <v>20060579</v>
      </c>
      <c r="D2628" t="s">
        <v>39</v>
      </c>
      <c r="E2628" s="10">
        <v>46115.583333333336</v>
      </c>
      <c r="F2628" s="10">
        <v>46115.604166666664</v>
      </c>
      <c r="G2628">
        <v>0.5</v>
      </c>
      <c r="H2628" s="9">
        <f t="shared" si="123"/>
        <v>3.0000000000000001E-3</v>
      </c>
      <c r="I2628">
        <v>3.0000000000000001E-3</v>
      </c>
      <c r="M2628" t="s">
        <v>65</v>
      </c>
      <c r="N2628" t="s">
        <v>29</v>
      </c>
      <c r="P2628" t="s">
        <v>30</v>
      </c>
      <c r="Q2628" t="s">
        <v>31</v>
      </c>
      <c r="R2628">
        <v>82640</v>
      </c>
      <c r="S2628" t="s">
        <v>42</v>
      </c>
      <c r="T2628">
        <v>82622</v>
      </c>
      <c r="U2628" t="s">
        <v>147</v>
      </c>
      <c r="V2628" t="s">
        <v>66</v>
      </c>
      <c r="W2628" t="s">
        <v>44</v>
      </c>
      <c r="X2628" t="s">
        <v>44</v>
      </c>
      <c r="Y2628" s="9">
        <f t="shared" si="124"/>
        <v>0</v>
      </c>
      <c r="Z2628" t="str">
        <f t="shared" si="125"/>
        <v>สแกนต่าง Cost</v>
      </c>
    </row>
    <row r="2629" spans="1:26" x14ac:dyDescent="0.45">
      <c r="B2629" t="s">
        <v>53</v>
      </c>
      <c r="C2629">
        <v>20244923</v>
      </c>
      <c r="D2629" t="s">
        <v>246</v>
      </c>
      <c r="E2629" s="10">
        <v>46115.583333333336</v>
      </c>
      <c r="F2629" s="10">
        <v>46115.604166666664</v>
      </c>
      <c r="G2629">
        <v>0.5</v>
      </c>
      <c r="H2629" s="9">
        <f t="shared" si="123"/>
        <v>3.0000000000000001E-3</v>
      </c>
      <c r="I2629">
        <v>3.0000000000000001E-3</v>
      </c>
      <c r="M2629" t="s">
        <v>65</v>
      </c>
      <c r="N2629" t="s">
        <v>29</v>
      </c>
      <c r="P2629" t="s">
        <v>30</v>
      </c>
      <c r="Q2629" t="s">
        <v>31</v>
      </c>
      <c r="R2629">
        <v>82640</v>
      </c>
      <c r="S2629" t="s">
        <v>42</v>
      </c>
      <c r="T2629">
        <v>82612</v>
      </c>
      <c r="U2629" t="s">
        <v>153</v>
      </c>
      <c r="V2629" t="s">
        <v>66</v>
      </c>
      <c r="W2629" t="s">
        <v>44</v>
      </c>
      <c r="X2629" t="s">
        <v>44</v>
      </c>
      <c r="Y2629" s="9">
        <f t="shared" si="124"/>
        <v>0</v>
      </c>
      <c r="Z2629" t="str">
        <f t="shared" si="125"/>
        <v>สแกนต่าง Cost</v>
      </c>
    </row>
    <row r="2630" spans="1:26" x14ac:dyDescent="0.45">
      <c r="B2630" t="s">
        <v>53</v>
      </c>
      <c r="C2630">
        <v>20340657</v>
      </c>
      <c r="D2630" t="s">
        <v>221</v>
      </c>
      <c r="E2630" s="10">
        <v>46115.583333333336</v>
      </c>
      <c r="F2630" s="10">
        <v>46115.625</v>
      </c>
      <c r="G2630">
        <v>1</v>
      </c>
      <c r="H2630" s="9">
        <f t="shared" si="123"/>
        <v>5.0000000000000001E-3</v>
      </c>
      <c r="I2630">
        <v>5.0000000000000001E-3</v>
      </c>
      <c r="M2630" t="s">
        <v>65</v>
      </c>
      <c r="N2630" t="s">
        <v>29</v>
      </c>
      <c r="P2630" t="s">
        <v>30</v>
      </c>
      <c r="Q2630" t="s">
        <v>31</v>
      </c>
      <c r="R2630">
        <v>82640</v>
      </c>
      <c r="S2630" t="s">
        <v>42</v>
      </c>
      <c r="T2630">
        <v>82612</v>
      </c>
      <c r="U2630" t="s">
        <v>153</v>
      </c>
      <c r="V2630" t="s">
        <v>66</v>
      </c>
      <c r="W2630" t="s">
        <v>44</v>
      </c>
      <c r="X2630" t="s">
        <v>44</v>
      </c>
      <c r="Y2630" s="9">
        <f t="shared" si="124"/>
        <v>0</v>
      </c>
      <c r="Z2630" t="str">
        <f t="shared" si="125"/>
        <v>สแกนต่าง Cost</v>
      </c>
    </row>
    <row r="2631" spans="1:26" x14ac:dyDescent="0.45">
      <c r="A2631">
        <v>27263</v>
      </c>
      <c r="B2631" t="s">
        <v>53</v>
      </c>
      <c r="C2631">
        <v>20378642</v>
      </c>
      <c r="D2631" t="s">
        <v>296</v>
      </c>
      <c r="E2631" s="10">
        <v>46115.582870370374</v>
      </c>
      <c r="F2631" s="10">
        <v>46115.61377314815</v>
      </c>
      <c r="G2631">
        <v>0.7416666666666667</v>
      </c>
      <c r="H2631" s="9">
        <f t="shared" si="123"/>
        <v>4.0000000000000001E-3</v>
      </c>
      <c r="I2631">
        <v>4.0000000000000001E-3</v>
      </c>
      <c r="M2631" t="s">
        <v>65</v>
      </c>
      <c r="N2631" t="s">
        <v>29</v>
      </c>
      <c r="P2631" t="s">
        <v>30</v>
      </c>
      <c r="Q2631" t="s">
        <v>31</v>
      </c>
      <c r="R2631">
        <v>82612</v>
      </c>
      <c r="S2631" t="s">
        <v>153</v>
      </c>
      <c r="T2631">
        <v>82630</v>
      </c>
      <c r="U2631" t="s">
        <v>32</v>
      </c>
      <c r="V2631" t="s">
        <v>62</v>
      </c>
      <c r="W2631" t="s">
        <v>47</v>
      </c>
      <c r="X2631" t="s">
        <v>288</v>
      </c>
      <c r="Y2631" s="9">
        <f t="shared" si="124"/>
        <v>0</v>
      </c>
      <c r="Z2631" t="str">
        <f t="shared" si="125"/>
        <v>สแกนต่าง Cost</v>
      </c>
    </row>
    <row r="2632" spans="1:26" x14ac:dyDescent="0.45">
      <c r="A2632">
        <v>27262</v>
      </c>
      <c r="B2632" t="s">
        <v>53</v>
      </c>
      <c r="C2632">
        <v>20358009</v>
      </c>
      <c r="D2632" t="s">
        <v>295</v>
      </c>
      <c r="E2632" s="10">
        <v>46115.581793981481</v>
      </c>
      <c r="F2632" s="10">
        <v>46115.672858796293</v>
      </c>
      <c r="G2632">
        <v>2.1855555555555557</v>
      </c>
      <c r="H2632" s="9">
        <f t="shared" si="123"/>
        <v>1.2E-2</v>
      </c>
      <c r="I2632">
        <v>1.2E-2</v>
      </c>
      <c r="M2632" t="s">
        <v>65</v>
      </c>
      <c r="N2632" t="s">
        <v>29</v>
      </c>
      <c r="P2632" t="s">
        <v>30</v>
      </c>
      <c r="Q2632" t="s">
        <v>31</v>
      </c>
      <c r="R2632">
        <v>82612</v>
      </c>
      <c r="S2632" t="s">
        <v>153</v>
      </c>
      <c r="T2632">
        <v>82630</v>
      </c>
      <c r="U2632" t="s">
        <v>32</v>
      </c>
      <c r="V2632" t="s">
        <v>62</v>
      </c>
      <c r="W2632" t="s">
        <v>47</v>
      </c>
      <c r="X2632" t="s">
        <v>288</v>
      </c>
      <c r="Y2632" s="9">
        <f t="shared" si="124"/>
        <v>0</v>
      </c>
      <c r="Z2632" t="str">
        <f t="shared" si="125"/>
        <v>สแกนต่าง Cost</v>
      </c>
    </row>
    <row r="2633" spans="1:26" x14ac:dyDescent="0.45">
      <c r="A2633">
        <v>27260</v>
      </c>
      <c r="B2633" t="s">
        <v>53</v>
      </c>
      <c r="C2633">
        <v>20219592</v>
      </c>
      <c r="D2633" t="s">
        <v>389</v>
      </c>
      <c r="E2633" s="10">
        <v>46115.581203703703</v>
      </c>
      <c r="F2633" s="10">
        <v>46115.673171296294</v>
      </c>
      <c r="G2633">
        <v>2.2072222222222222</v>
      </c>
      <c r="H2633" s="9">
        <f t="shared" si="123"/>
        <v>1.2E-2</v>
      </c>
      <c r="I2633">
        <v>1.2E-2</v>
      </c>
      <c r="M2633" t="s">
        <v>65</v>
      </c>
      <c r="N2633" t="s">
        <v>29</v>
      </c>
      <c r="P2633" t="s">
        <v>30</v>
      </c>
      <c r="Q2633" t="s">
        <v>31</v>
      </c>
      <c r="R2633">
        <v>82612</v>
      </c>
      <c r="S2633" t="s">
        <v>153</v>
      </c>
      <c r="T2633">
        <v>82630</v>
      </c>
      <c r="U2633" t="s">
        <v>32</v>
      </c>
      <c r="V2633" t="s">
        <v>62</v>
      </c>
      <c r="W2633" t="s">
        <v>47</v>
      </c>
      <c r="X2633" t="s">
        <v>288</v>
      </c>
      <c r="Y2633" s="9">
        <f t="shared" si="124"/>
        <v>0</v>
      </c>
      <c r="Z2633" t="str">
        <f t="shared" si="125"/>
        <v>สแกนต่าง Cost</v>
      </c>
    </row>
    <row r="2634" spans="1:26" x14ac:dyDescent="0.45">
      <c r="A2634">
        <v>27259</v>
      </c>
      <c r="B2634" t="s">
        <v>53</v>
      </c>
      <c r="C2634">
        <v>20076726</v>
      </c>
      <c r="D2634" t="s">
        <v>297</v>
      </c>
      <c r="E2634" s="10">
        <v>46115.580092592594</v>
      </c>
      <c r="F2634" s="10">
        <v>46115.673032407409</v>
      </c>
      <c r="G2634">
        <v>2.2305555555555556</v>
      </c>
      <c r="H2634" s="9">
        <f t="shared" si="123"/>
        <v>1.2E-2</v>
      </c>
      <c r="I2634">
        <v>1.2E-2</v>
      </c>
      <c r="M2634" t="s">
        <v>65</v>
      </c>
      <c r="N2634" t="s">
        <v>29</v>
      </c>
      <c r="P2634" t="s">
        <v>133</v>
      </c>
      <c r="Q2634" t="s">
        <v>31</v>
      </c>
      <c r="R2634">
        <v>82612</v>
      </c>
      <c r="S2634" t="s">
        <v>153</v>
      </c>
      <c r="T2634">
        <v>82630</v>
      </c>
      <c r="U2634" t="s">
        <v>32</v>
      </c>
      <c r="V2634" t="s">
        <v>62</v>
      </c>
      <c r="W2634" t="s">
        <v>47</v>
      </c>
      <c r="X2634" t="s">
        <v>288</v>
      </c>
      <c r="Y2634" s="9">
        <f t="shared" si="124"/>
        <v>0</v>
      </c>
      <c r="Z2634" t="str">
        <f t="shared" si="125"/>
        <v>สแกนต่าง Cost</v>
      </c>
    </row>
    <row r="2635" spans="1:26" x14ac:dyDescent="0.45">
      <c r="B2635" t="s">
        <v>53</v>
      </c>
      <c r="C2635">
        <v>20280718</v>
      </c>
      <c r="D2635" t="s">
        <v>256</v>
      </c>
      <c r="E2635" s="10">
        <v>46115.5625</v>
      </c>
      <c r="F2635" s="10">
        <v>46115.583333333336</v>
      </c>
      <c r="G2635">
        <v>0.5</v>
      </c>
      <c r="H2635" s="9">
        <f t="shared" si="123"/>
        <v>3.0000000000000001E-3</v>
      </c>
      <c r="I2635">
        <v>3.0000000000000001E-3</v>
      </c>
      <c r="M2635" t="s">
        <v>65</v>
      </c>
      <c r="N2635" t="s">
        <v>29</v>
      </c>
      <c r="P2635" t="s">
        <v>30</v>
      </c>
      <c r="Q2635" t="s">
        <v>31</v>
      </c>
      <c r="R2635">
        <v>82640</v>
      </c>
      <c r="S2635" t="s">
        <v>42</v>
      </c>
      <c r="T2635">
        <v>82630</v>
      </c>
      <c r="U2635" t="s">
        <v>32</v>
      </c>
      <c r="V2635" t="s">
        <v>66</v>
      </c>
      <c r="W2635" t="s">
        <v>44</v>
      </c>
      <c r="X2635" t="s">
        <v>44</v>
      </c>
      <c r="Y2635" s="9">
        <f t="shared" si="124"/>
        <v>0</v>
      </c>
      <c r="Z2635" t="str">
        <f t="shared" si="125"/>
        <v>สแกนต่าง Cost</v>
      </c>
    </row>
    <row r="2636" spans="1:26" x14ac:dyDescent="0.45">
      <c r="B2636" t="s">
        <v>53</v>
      </c>
      <c r="C2636">
        <v>20018899</v>
      </c>
      <c r="D2636" t="s">
        <v>64</v>
      </c>
      <c r="E2636" s="10">
        <v>46115.541666666664</v>
      </c>
      <c r="F2636" s="10">
        <v>46115.729166666664</v>
      </c>
      <c r="G2636">
        <v>4.5</v>
      </c>
      <c r="H2636" s="9">
        <f t="shared" si="123"/>
        <v>2.4E-2</v>
      </c>
      <c r="I2636">
        <v>2.4E-2</v>
      </c>
      <c r="M2636" t="s">
        <v>65</v>
      </c>
      <c r="N2636" t="s">
        <v>29</v>
      </c>
      <c r="P2636" t="s">
        <v>30</v>
      </c>
      <c r="Q2636" t="s">
        <v>31</v>
      </c>
      <c r="R2636">
        <v>82640</v>
      </c>
      <c r="S2636" t="s">
        <v>42</v>
      </c>
      <c r="T2636">
        <v>82652</v>
      </c>
      <c r="U2636" t="s">
        <v>46</v>
      </c>
      <c r="V2636" t="s">
        <v>66</v>
      </c>
      <c r="W2636" t="s">
        <v>37</v>
      </c>
      <c r="X2636" t="s">
        <v>34</v>
      </c>
      <c r="Y2636" s="9">
        <f t="shared" si="124"/>
        <v>0</v>
      </c>
      <c r="Z2636" t="str">
        <f t="shared" si="125"/>
        <v>สแกนต่าง Cost</v>
      </c>
    </row>
    <row r="2637" spans="1:26" x14ac:dyDescent="0.45">
      <c r="B2637" t="s">
        <v>53</v>
      </c>
      <c r="C2637">
        <v>20026534</v>
      </c>
      <c r="D2637" t="s">
        <v>279</v>
      </c>
      <c r="E2637" s="10">
        <v>46115.541666666664</v>
      </c>
      <c r="F2637" s="10">
        <v>46115.5625</v>
      </c>
      <c r="G2637">
        <v>0.5</v>
      </c>
      <c r="H2637" s="9">
        <f t="shared" si="123"/>
        <v>3.0000000000000001E-3</v>
      </c>
      <c r="I2637">
        <v>3.0000000000000001E-3</v>
      </c>
      <c r="M2637" t="s">
        <v>65</v>
      </c>
      <c r="N2637" t="s">
        <v>29</v>
      </c>
      <c r="P2637" t="s">
        <v>30</v>
      </c>
      <c r="Q2637" t="s">
        <v>31</v>
      </c>
      <c r="R2637">
        <v>82640</v>
      </c>
      <c r="S2637" t="s">
        <v>42</v>
      </c>
      <c r="T2637">
        <v>82611</v>
      </c>
      <c r="U2637" t="s">
        <v>43</v>
      </c>
      <c r="V2637" t="s">
        <v>66</v>
      </c>
      <c r="W2637" t="s">
        <v>44</v>
      </c>
      <c r="X2637" t="s">
        <v>44</v>
      </c>
      <c r="Y2637" s="9">
        <f t="shared" si="124"/>
        <v>0</v>
      </c>
      <c r="Z2637" t="str">
        <f t="shared" si="125"/>
        <v>สแกนต่าง Cost</v>
      </c>
    </row>
    <row r="2638" spans="1:26" x14ac:dyDescent="0.45">
      <c r="B2638" t="s">
        <v>53</v>
      </c>
      <c r="C2638">
        <v>20060579</v>
      </c>
      <c r="D2638" t="s">
        <v>39</v>
      </c>
      <c r="E2638" s="10">
        <v>46115.541666666664</v>
      </c>
      <c r="F2638" s="10">
        <v>46115.5625</v>
      </c>
      <c r="G2638">
        <v>0.5</v>
      </c>
      <c r="H2638" s="9">
        <f t="shared" si="123"/>
        <v>3.0000000000000001E-3</v>
      </c>
      <c r="I2638">
        <v>3.0000000000000001E-3</v>
      </c>
      <c r="M2638" t="s">
        <v>65</v>
      </c>
      <c r="N2638" t="s">
        <v>29</v>
      </c>
      <c r="P2638" t="s">
        <v>30</v>
      </c>
      <c r="Q2638" t="s">
        <v>31</v>
      </c>
      <c r="R2638">
        <v>82640</v>
      </c>
      <c r="S2638" t="s">
        <v>42</v>
      </c>
      <c r="T2638">
        <v>82630</v>
      </c>
      <c r="U2638" t="s">
        <v>32</v>
      </c>
      <c r="V2638" t="s">
        <v>66</v>
      </c>
      <c r="W2638" t="s">
        <v>44</v>
      </c>
      <c r="X2638" t="s">
        <v>44</v>
      </c>
      <c r="Y2638" s="9">
        <f t="shared" si="124"/>
        <v>0</v>
      </c>
      <c r="Z2638" t="str">
        <f t="shared" si="125"/>
        <v>สแกนต่าง Cost</v>
      </c>
    </row>
    <row r="2639" spans="1:26" x14ac:dyDescent="0.45">
      <c r="B2639" t="s">
        <v>53</v>
      </c>
      <c r="C2639">
        <v>20167851</v>
      </c>
      <c r="D2639" t="s">
        <v>63</v>
      </c>
      <c r="E2639" s="10">
        <v>46115.541666666664</v>
      </c>
      <c r="F2639" s="10">
        <v>46115.645833333336</v>
      </c>
      <c r="G2639">
        <v>2.5</v>
      </c>
      <c r="H2639" s="9">
        <f t="shared" si="123"/>
        <v>1.2999999999999999E-2</v>
      </c>
      <c r="I2639">
        <v>1.2999999999999999E-2</v>
      </c>
      <c r="M2639" t="s">
        <v>65</v>
      </c>
      <c r="N2639" t="s">
        <v>29</v>
      </c>
      <c r="P2639" t="s">
        <v>30</v>
      </c>
      <c r="Q2639" t="s">
        <v>31</v>
      </c>
      <c r="R2639">
        <v>82640</v>
      </c>
      <c r="S2639" t="s">
        <v>42</v>
      </c>
      <c r="T2639">
        <v>82611</v>
      </c>
      <c r="U2639" t="s">
        <v>43</v>
      </c>
      <c r="V2639" t="s">
        <v>66</v>
      </c>
      <c r="W2639" t="s">
        <v>44</v>
      </c>
      <c r="X2639" t="s">
        <v>44</v>
      </c>
      <c r="Y2639" s="9">
        <f t="shared" si="124"/>
        <v>0</v>
      </c>
      <c r="Z2639" t="str">
        <f t="shared" si="125"/>
        <v>สแกนต่าง Cost</v>
      </c>
    </row>
    <row r="2640" spans="1:26" x14ac:dyDescent="0.45">
      <c r="B2640" t="s">
        <v>53</v>
      </c>
      <c r="C2640">
        <v>20220646</v>
      </c>
      <c r="D2640" t="s">
        <v>67</v>
      </c>
      <c r="E2640" s="10">
        <v>46115.541666666664</v>
      </c>
      <c r="F2640" s="10">
        <v>46115.729166666664</v>
      </c>
      <c r="G2640">
        <v>4.5</v>
      </c>
      <c r="H2640" s="9">
        <f t="shared" si="123"/>
        <v>2.4E-2</v>
      </c>
      <c r="I2640">
        <v>2.4E-2</v>
      </c>
      <c r="M2640" t="s">
        <v>65</v>
      </c>
      <c r="N2640" t="s">
        <v>29</v>
      </c>
      <c r="P2640" t="s">
        <v>30</v>
      </c>
      <c r="Q2640" t="s">
        <v>31</v>
      </c>
      <c r="R2640">
        <v>82640</v>
      </c>
      <c r="S2640" t="s">
        <v>42</v>
      </c>
      <c r="T2640">
        <v>82652</v>
      </c>
      <c r="U2640" t="s">
        <v>46</v>
      </c>
      <c r="V2640" t="s">
        <v>66</v>
      </c>
      <c r="W2640" t="s">
        <v>37</v>
      </c>
      <c r="X2640" t="s">
        <v>34</v>
      </c>
      <c r="Y2640" s="9">
        <f t="shared" si="124"/>
        <v>0</v>
      </c>
      <c r="Z2640" t="str">
        <f t="shared" si="125"/>
        <v>สแกนต่าง Cost</v>
      </c>
    </row>
    <row r="2641" spans="2:26" x14ac:dyDescent="0.45">
      <c r="B2641" t="s">
        <v>53</v>
      </c>
      <c r="C2641">
        <v>20244923</v>
      </c>
      <c r="D2641" t="s">
        <v>246</v>
      </c>
      <c r="E2641" s="10">
        <v>46115.541666666664</v>
      </c>
      <c r="F2641" s="10">
        <v>46115.583333333336</v>
      </c>
      <c r="G2641">
        <v>1</v>
      </c>
      <c r="H2641" s="9">
        <f t="shared" si="123"/>
        <v>5.0000000000000001E-3</v>
      </c>
      <c r="I2641">
        <v>5.0000000000000001E-3</v>
      </c>
      <c r="M2641" t="s">
        <v>65</v>
      </c>
      <c r="N2641" t="s">
        <v>29</v>
      </c>
      <c r="P2641" t="s">
        <v>30</v>
      </c>
      <c r="Q2641" t="s">
        <v>31</v>
      </c>
      <c r="R2641">
        <v>82640</v>
      </c>
      <c r="S2641" t="s">
        <v>42</v>
      </c>
      <c r="T2641">
        <v>82630</v>
      </c>
      <c r="U2641" t="s">
        <v>32</v>
      </c>
      <c r="V2641" t="s">
        <v>66</v>
      </c>
      <c r="W2641" t="s">
        <v>44</v>
      </c>
      <c r="X2641" t="s">
        <v>44</v>
      </c>
      <c r="Y2641" s="9">
        <f t="shared" si="124"/>
        <v>0</v>
      </c>
      <c r="Z2641" t="str">
        <f t="shared" si="125"/>
        <v>สแกนต่าง Cost</v>
      </c>
    </row>
    <row r="2642" spans="2:26" x14ac:dyDescent="0.45">
      <c r="B2642" t="s">
        <v>53</v>
      </c>
      <c r="C2642">
        <v>20280718</v>
      </c>
      <c r="D2642" t="s">
        <v>256</v>
      </c>
      <c r="E2642" s="10">
        <v>46115.541666666664</v>
      </c>
      <c r="F2642" s="10">
        <v>46115.5625</v>
      </c>
      <c r="G2642">
        <v>0.5</v>
      </c>
      <c r="H2642" s="9">
        <f t="shared" si="123"/>
        <v>3.0000000000000001E-3</v>
      </c>
      <c r="I2642">
        <v>3.0000000000000001E-3</v>
      </c>
      <c r="M2642" t="s">
        <v>65</v>
      </c>
      <c r="N2642" t="s">
        <v>29</v>
      </c>
      <c r="P2642" t="s">
        <v>30</v>
      </c>
      <c r="Q2642" t="s">
        <v>31</v>
      </c>
      <c r="R2642">
        <v>82640</v>
      </c>
      <c r="S2642" t="s">
        <v>42</v>
      </c>
      <c r="T2642">
        <v>82611</v>
      </c>
      <c r="U2642" t="s">
        <v>43</v>
      </c>
      <c r="V2642" t="s">
        <v>66</v>
      </c>
      <c r="W2642" t="s">
        <v>44</v>
      </c>
      <c r="X2642" t="s">
        <v>44</v>
      </c>
      <c r="Y2642" s="9">
        <f t="shared" si="124"/>
        <v>0</v>
      </c>
      <c r="Z2642" t="str">
        <f t="shared" si="125"/>
        <v>สแกนต่าง Cost</v>
      </c>
    </row>
    <row r="2643" spans="2:26" x14ac:dyDescent="0.45">
      <c r="B2643" t="s">
        <v>53</v>
      </c>
      <c r="C2643">
        <v>20280718</v>
      </c>
      <c r="D2643" t="s">
        <v>256</v>
      </c>
      <c r="E2643" s="10">
        <v>46115.541666666664</v>
      </c>
      <c r="F2643" s="10">
        <v>46115.604166666664</v>
      </c>
      <c r="G2643">
        <v>1.5</v>
      </c>
      <c r="H2643" s="9">
        <f t="shared" si="123"/>
        <v>8.0000000000000002E-3</v>
      </c>
      <c r="I2643">
        <v>8.0000000000000002E-3</v>
      </c>
      <c r="M2643" t="s">
        <v>65</v>
      </c>
      <c r="N2643" t="s">
        <v>29</v>
      </c>
      <c r="P2643" t="s">
        <v>30</v>
      </c>
      <c r="Q2643" t="s">
        <v>31</v>
      </c>
      <c r="R2643">
        <v>82640</v>
      </c>
      <c r="S2643" t="s">
        <v>42</v>
      </c>
      <c r="T2643">
        <v>82630</v>
      </c>
      <c r="U2643" t="s">
        <v>32</v>
      </c>
      <c r="V2643" t="s">
        <v>66</v>
      </c>
      <c r="W2643" t="s">
        <v>44</v>
      </c>
      <c r="X2643" t="s">
        <v>44</v>
      </c>
      <c r="Y2643" s="9">
        <f t="shared" si="124"/>
        <v>0</v>
      </c>
      <c r="Z2643" t="str">
        <f t="shared" si="125"/>
        <v>สแกนต่าง Cost</v>
      </c>
    </row>
    <row r="2644" spans="2:26" x14ac:dyDescent="0.45">
      <c r="B2644" t="s">
        <v>53</v>
      </c>
      <c r="C2644">
        <v>20280722</v>
      </c>
      <c r="D2644" t="s">
        <v>342</v>
      </c>
      <c r="E2644" s="10">
        <v>46115.541666666664</v>
      </c>
      <c r="F2644" s="10">
        <v>46115.729166666664</v>
      </c>
      <c r="G2644">
        <v>4.5</v>
      </c>
      <c r="H2644" s="9">
        <f t="shared" si="123"/>
        <v>2.4E-2</v>
      </c>
      <c r="I2644">
        <v>2.4E-2</v>
      </c>
      <c r="M2644" t="s">
        <v>65</v>
      </c>
      <c r="N2644" t="s">
        <v>29</v>
      </c>
      <c r="P2644" t="s">
        <v>30</v>
      </c>
      <c r="Q2644" t="s">
        <v>31</v>
      </c>
      <c r="R2644">
        <v>82640</v>
      </c>
      <c r="S2644" t="s">
        <v>42</v>
      </c>
      <c r="T2644">
        <v>82652</v>
      </c>
      <c r="U2644" t="s">
        <v>46</v>
      </c>
      <c r="V2644" t="s">
        <v>66</v>
      </c>
      <c r="W2644" t="s">
        <v>37</v>
      </c>
      <c r="X2644" t="s">
        <v>34</v>
      </c>
      <c r="Y2644" s="9">
        <f t="shared" si="124"/>
        <v>0</v>
      </c>
      <c r="Z2644" t="str">
        <f t="shared" si="125"/>
        <v>สแกนต่าง Cost</v>
      </c>
    </row>
    <row r="2645" spans="2:26" x14ac:dyDescent="0.45">
      <c r="B2645" t="s">
        <v>53</v>
      </c>
      <c r="C2645">
        <v>20310530</v>
      </c>
      <c r="D2645" t="s">
        <v>220</v>
      </c>
      <c r="E2645" s="10">
        <v>46115.541666666664</v>
      </c>
      <c r="F2645" s="10">
        <v>46115.604166666664</v>
      </c>
      <c r="G2645">
        <v>1.5</v>
      </c>
      <c r="H2645" s="9">
        <f t="shared" si="123"/>
        <v>8.0000000000000002E-3</v>
      </c>
      <c r="I2645">
        <v>8.0000000000000002E-3</v>
      </c>
      <c r="M2645" t="s">
        <v>65</v>
      </c>
      <c r="N2645" t="s">
        <v>29</v>
      </c>
      <c r="P2645" t="s">
        <v>30</v>
      </c>
      <c r="Q2645" t="s">
        <v>31</v>
      </c>
      <c r="R2645">
        <v>82640</v>
      </c>
      <c r="S2645" t="s">
        <v>42</v>
      </c>
      <c r="T2645">
        <v>82612</v>
      </c>
      <c r="U2645" t="s">
        <v>153</v>
      </c>
      <c r="V2645" t="s">
        <v>66</v>
      </c>
      <c r="W2645" t="s">
        <v>44</v>
      </c>
      <c r="X2645" t="s">
        <v>44</v>
      </c>
      <c r="Y2645" s="9">
        <f t="shared" si="124"/>
        <v>0</v>
      </c>
      <c r="Z2645" t="str">
        <f t="shared" si="125"/>
        <v>สแกนต่าง Cost</v>
      </c>
    </row>
    <row r="2646" spans="2:26" x14ac:dyDescent="0.45">
      <c r="B2646" t="s">
        <v>53</v>
      </c>
      <c r="C2646">
        <v>20332134</v>
      </c>
      <c r="D2646" t="s">
        <v>156</v>
      </c>
      <c r="E2646" s="10">
        <v>46115.541666666664</v>
      </c>
      <c r="F2646" s="10">
        <v>46115.604166666664</v>
      </c>
      <c r="G2646">
        <v>1.5</v>
      </c>
      <c r="H2646" s="9">
        <f t="shared" si="123"/>
        <v>8.0000000000000002E-3</v>
      </c>
      <c r="I2646">
        <v>8.0000000000000002E-3</v>
      </c>
      <c r="M2646" t="s">
        <v>65</v>
      </c>
      <c r="N2646" t="s">
        <v>29</v>
      </c>
      <c r="P2646" t="s">
        <v>30</v>
      </c>
      <c r="Q2646" t="s">
        <v>31</v>
      </c>
      <c r="R2646">
        <v>82640</v>
      </c>
      <c r="S2646" t="s">
        <v>42</v>
      </c>
      <c r="T2646">
        <v>82630</v>
      </c>
      <c r="U2646" t="s">
        <v>32</v>
      </c>
      <c r="V2646" t="s">
        <v>66</v>
      </c>
      <c r="W2646" t="s">
        <v>44</v>
      </c>
      <c r="X2646" t="s">
        <v>44</v>
      </c>
      <c r="Y2646" s="9">
        <f t="shared" si="124"/>
        <v>0</v>
      </c>
      <c r="Z2646" t="str">
        <f t="shared" si="125"/>
        <v>สแกนต่าง Cost</v>
      </c>
    </row>
    <row r="2647" spans="2:26" x14ac:dyDescent="0.45">
      <c r="B2647" t="s">
        <v>53</v>
      </c>
      <c r="C2647">
        <v>20340657</v>
      </c>
      <c r="D2647" t="s">
        <v>221</v>
      </c>
      <c r="E2647" s="10">
        <v>46115.541666666664</v>
      </c>
      <c r="F2647" s="10">
        <v>46115.583333333336</v>
      </c>
      <c r="G2647">
        <v>1</v>
      </c>
      <c r="H2647" s="9">
        <f t="shared" si="123"/>
        <v>5.0000000000000001E-3</v>
      </c>
      <c r="I2647">
        <v>5.0000000000000001E-3</v>
      </c>
      <c r="M2647" t="s">
        <v>65</v>
      </c>
      <c r="N2647" t="s">
        <v>29</v>
      </c>
      <c r="P2647" t="s">
        <v>30</v>
      </c>
      <c r="Q2647" t="s">
        <v>31</v>
      </c>
      <c r="R2647">
        <v>82640</v>
      </c>
      <c r="S2647" t="s">
        <v>42</v>
      </c>
      <c r="T2647">
        <v>82630</v>
      </c>
      <c r="U2647" t="s">
        <v>32</v>
      </c>
      <c r="V2647" t="s">
        <v>66</v>
      </c>
      <c r="W2647" t="s">
        <v>44</v>
      </c>
      <c r="X2647" t="s">
        <v>44</v>
      </c>
      <c r="Y2647" s="9">
        <f t="shared" si="124"/>
        <v>0</v>
      </c>
      <c r="Z2647" t="str">
        <f t="shared" si="125"/>
        <v>สแกนต่าง Cost</v>
      </c>
    </row>
    <row r="2648" spans="2:26" x14ac:dyDescent="0.45">
      <c r="B2648" t="s">
        <v>53</v>
      </c>
      <c r="C2648">
        <v>20368087</v>
      </c>
      <c r="D2648" t="s">
        <v>260</v>
      </c>
      <c r="E2648" s="10">
        <v>46115.541666666664</v>
      </c>
      <c r="F2648" s="10">
        <v>46115.666666666664</v>
      </c>
      <c r="G2648">
        <v>3</v>
      </c>
      <c r="H2648" s="9">
        <f t="shared" si="123"/>
        <v>1.6E-2</v>
      </c>
      <c r="I2648">
        <v>1.6E-2</v>
      </c>
      <c r="M2648" t="s">
        <v>65</v>
      </c>
      <c r="N2648" t="s">
        <v>29</v>
      </c>
      <c r="P2648" t="s">
        <v>30</v>
      </c>
      <c r="Q2648" t="s">
        <v>31</v>
      </c>
      <c r="R2648">
        <v>82640</v>
      </c>
      <c r="S2648" t="s">
        <v>42</v>
      </c>
      <c r="T2648">
        <v>82630</v>
      </c>
      <c r="U2648" t="s">
        <v>32</v>
      </c>
      <c r="V2648" t="s">
        <v>66</v>
      </c>
      <c r="W2648" t="s">
        <v>44</v>
      </c>
      <c r="X2648" t="s">
        <v>44</v>
      </c>
      <c r="Y2648" s="9">
        <f t="shared" si="124"/>
        <v>0</v>
      </c>
      <c r="Z2648" t="str">
        <f t="shared" si="125"/>
        <v>สแกนต่าง Cost</v>
      </c>
    </row>
    <row r="2649" spans="2:26" x14ac:dyDescent="0.45">
      <c r="B2649" t="s">
        <v>53</v>
      </c>
      <c r="C2649">
        <v>20060579</v>
      </c>
      <c r="D2649" t="s">
        <v>39</v>
      </c>
      <c r="E2649" s="10">
        <v>46115.479166666664</v>
      </c>
      <c r="F2649" s="10">
        <v>46115.5</v>
      </c>
      <c r="G2649">
        <v>0.5</v>
      </c>
      <c r="H2649" s="9">
        <f t="shared" si="123"/>
        <v>3.0000000000000001E-3</v>
      </c>
      <c r="I2649">
        <v>3.0000000000000001E-3</v>
      </c>
      <c r="M2649" t="s">
        <v>65</v>
      </c>
      <c r="N2649" t="s">
        <v>29</v>
      </c>
      <c r="P2649" t="s">
        <v>30</v>
      </c>
      <c r="Q2649" t="s">
        <v>31</v>
      </c>
      <c r="R2649">
        <v>82640</v>
      </c>
      <c r="S2649" t="s">
        <v>42</v>
      </c>
      <c r="T2649">
        <v>82622</v>
      </c>
      <c r="U2649" t="s">
        <v>147</v>
      </c>
      <c r="V2649" t="s">
        <v>66</v>
      </c>
      <c r="W2649" t="s">
        <v>44</v>
      </c>
      <c r="X2649" t="s">
        <v>44</v>
      </c>
      <c r="Y2649" s="9">
        <f t="shared" si="124"/>
        <v>0</v>
      </c>
      <c r="Z2649" t="str">
        <f t="shared" si="125"/>
        <v>สแกนต่าง Cost</v>
      </c>
    </row>
    <row r="2650" spans="2:26" x14ac:dyDescent="0.45">
      <c r="B2650" t="s">
        <v>53</v>
      </c>
      <c r="C2650">
        <v>20167851</v>
      </c>
      <c r="D2650" t="s">
        <v>63</v>
      </c>
      <c r="E2650" s="10">
        <v>46115.479166666664</v>
      </c>
      <c r="F2650" s="10">
        <v>46115.5</v>
      </c>
      <c r="G2650">
        <v>0.5</v>
      </c>
      <c r="H2650" s="9">
        <f t="shared" si="123"/>
        <v>3.0000000000000001E-3</v>
      </c>
      <c r="I2650">
        <v>3.0000000000000001E-3</v>
      </c>
      <c r="M2650" t="s">
        <v>65</v>
      </c>
      <c r="N2650" t="s">
        <v>29</v>
      </c>
      <c r="P2650" t="s">
        <v>30</v>
      </c>
      <c r="Q2650" t="s">
        <v>31</v>
      </c>
      <c r="R2650">
        <v>82640</v>
      </c>
      <c r="S2650" t="s">
        <v>42</v>
      </c>
      <c r="T2650">
        <v>82611</v>
      </c>
      <c r="U2650" t="s">
        <v>43</v>
      </c>
      <c r="V2650" t="s">
        <v>66</v>
      </c>
      <c r="W2650" t="s">
        <v>44</v>
      </c>
      <c r="X2650" t="s">
        <v>44</v>
      </c>
      <c r="Y2650" s="9">
        <f t="shared" si="124"/>
        <v>0</v>
      </c>
      <c r="Z2650" t="str">
        <f t="shared" si="125"/>
        <v>สแกนต่าง Cost</v>
      </c>
    </row>
    <row r="2651" spans="2:26" x14ac:dyDescent="0.45">
      <c r="B2651" t="s">
        <v>53</v>
      </c>
      <c r="C2651">
        <v>20244923</v>
      </c>
      <c r="D2651" t="s">
        <v>246</v>
      </c>
      <c r="E2651" s="10">
        <v>46115.479166666664</v>
      </c>
      <c r="F2651" s="10">
        <v>46115.5</v>
      </c>
      <c r="G2651">
        <v>0.5</v>
      </c>
      <c r="H2651" s="9">
        <f t="shared" si="123"/>
        <v>3.0000000000000001E-3</v>
      </c>
      <c r="I2651">
        <v>3.0000000000000001E-3</v>
      </c>
      <c r="M2651" t="s">
        <v>65</v>
      </c>
      <c r="N2651" t="s">
        <v>29</v>
      </c>
      <c r="P2651" t="s">
        <v>30</v>
      </c>
      <c r="Q2651" t="s">
        <v>31</v>
      </c>
      <c r="R2651">
        <v>82640</v>
      </c>
      <c r="S2651" t="s">
        <v>42</v>
      </c>
      <c r="T2651">
        <v>82611</v>
      </c>
      <c r="U2651" t="s">
        <v>43</v>
      </c>
      <c r="V2651" t="s">
        <v>66</v>
      </c>
      <c r="W2651" t="s">
        <v>44</v>
      </c>
      <c r="X2651" t="s">
        <v>44</v>
      </c>
      <c r="Y2651" s="9">
        <f t="shared" si="124"/>
        <v>0</v>
      </c>
      <c r="Z2651" t="str">
        <f t="shared" si="125"/>
        <v>สแกนต่าง Cost</v>
      </c>
    </row>
    <row r="2652" spans="2:26" x14ac:dyDescent="0.45">
      <c r="B2652" t="s">
        <v>53</v>
      </c>
      <c r="C2652">
        <v>20280718</v>
      </c>
      <c r="D2652" t="s">
        <v>256</v>
      </c>
      <c r="E2652" s="10">
        <v>46115.479166666664</v>
      </c>
      <c r="F2652" s="10">
        <v>46115.5</v>
      </c>
      <c r="G2652">
        <v>0.5</v>
      </c>
      <c r="H2652" s="9">
        <f t="shared" si="123"/>
        <v>3.0000000000000001E-3</v>
      </c>
      <c r="I2652">
        <v>3.0000000000000001E-3</v>
      </c>
      <c r="M2652" t="s">
        <v>65</v>
      </c>
      <c r="N2652" t="s">
        <v>29</v>
      </c>
      <c r="P2652" t="s">
        <v>30</v>
      </c>
      <c r="Q2652" t="s">
        <v>31</v>
      </c>
      <c r="R2652">
        <v>82640</v>
      </c>
      <c r="S2652" t="s">
        <v>42</v>
      </c>
      <c r="T2652">
        <v>82611</v>
      </c>
      <c r="U2652" t="s">
        <v>43</v>
      </c>
      <c r="V2652" t="s">
        <v>66</v>
      </c>
      <c r="W2652" t="s">
        <v>44</v>
      </c>
      <c r="X2652" t="s">
        <v>44</v>
      </c>
      <c r="Y2652" s="9">
        <f t="shared" si="124"/>
        <v>0</v>
      </c>
      <c r="Z2652" t="str">
        <f t="shared" si="125"/>
        <v>สแกนต่าง Cost</v>
      </c>
    </row>
    <row r="2653" spans="2:26" x14ac:dyDescent="0.45">
      <c r="B2653" t="s">
        <v>53</v>
      </c>
      <c r="C2653">
        <v>20022740</v>
      </c>
      <c r="D2653" t="s">
        <v>259</v>
      </c>
      <c r="E2653" s="10">
        <v>46115.458333333336</v>
      </c>
      <c r="F2653" s="10">
        <v>46115.5</v>
      </c>
      <c r="G2653">
        <v>1</v>
      </c>
      <c r="H2653" s="9">
        <f t="shared" si="123"/>
        <v>5.0000000000000001E-3</v>
      </c>
      <c r="I2653">
        <v>5.0000000000000001E-3</v>
      </c>
      <c r="M2653" t="s">
        <v>65</v>
      </c>
      <c r="N2653" t="s">
        <v>29</v>
      </c>
      <c r="P2653" t="s">
        <v>30</v>
      </c>
      <c r="Q2653" t="s">
        <v>31</v>
      </c>
      <c r="R2653">
        <v>82640</v>
      </c>
      <c r="S2653" t="s">
        <v>42</v>
      </c>
      <c r="T2653">
        <v>82611</v>
      </c>
      <c r="U2653" t="s">
        <v>43</v>
      </c>
      <c r="V2653" t="s">
        <v>66</v>
      </c>
      <c r="W2653" t="s">
        <v>44</v>
      </c>
      <c r="X2653" t="s">
        <v>44</v>
      </c>
      <c r="Y2653" s="9">
        <f t="shared" si="124"/>
        <v>0</v>
      </c>
      <c r="Z2653" t="str">
        <f t="shared" si="125"/>
        <v>สแกนต่าง Cost</v>
      </c>
    </row>
    <row r="2654" spans="2:26" x14ac:dyDescent="0.45">
      <c r="B2654" t="s">
        <v>53</v>
      </c>
      <c r="C2654">
        <v>20026534</v>
      </c>
      <c r="D2654" t="s">
        <v>279</v>
      </c>
      <c r="E2654" s="10">
        <v>46115.458333333336</v>
      </c>
      <c r="F2654" s="10">
        <v>46115.5</v>
      </c>
      <c r="G2654">
        <v>1</v>
      </c>
      <c r="H2654" s="9">
        <f t="shared" si="123"/>
        <v>5.0000000000000001E-3</v>
      </c>
      <c r="I2654">
        <v>5.0000000000000001E-3</v>
      </c>
      <c r="M2654" t="s">
        <v>65</v>
      </c>
      <c r="N2654" t="s">
        <v>29</v>
      </c>
      <c r="P2654" t="s">
        <v>30</v>
      </c>
      <c r="Q2654" t="s">
        <v>31</v>
      </c>
      <c r="R2654">
        <v>82640</v>
      </c>
      <c r="S2654" t="s">
        <v>42</v>
      </c>
      <c r="T2654">
        <v>82630</v>
      </c>
      <c r="U2654" t="s">
        <v>32</v>
      </c>
      <c r="V2654" t="s">
        <v>66</v>
      </c>
      <c r="W2654" t="s">
        <v>44</v>
      </c>
      <c r="X2654" t="s">
        <v>44</v>
      </c>
      <c r="Y2654" s="9">
        <f t="shared" si="124"/>
        <v>0</v>
      </c>
      <c r="Z2654" t="str">
        <f t="shared" si="125"/>
        <v>สแกนต่าง Cost</v>
      </c>
    </row>
    <row r="2655" spans="2:26" x14ac:dyDescent="0.45">
      <c r="B2655" t="s">
        <v>53</v>
      </c>
      <c r="C2655">
        <v>20060579</v>
      </c>
      <c r="D2655" t="s">
        <v>39</v>
      </c>
      <c r="E2655" s="10">
        <v>46115.458333333336</v>
      </c>
      <c r="F2655" s="10">
        <v>46115.479166666664</v>
      </c>
      <c r="G2655">
        <v>0.5</v>
      </c>
      <c r="H2655" s="9">
        <f t="shared" si="123"/>
        <v>3.0000000000000001E-3</v>
      </c>
      <c r="I2655">
        <v>3.0000000000000001E-3</v>
      </c>
      <c r="M2655" t="s">
        <v>65</v>
      </c>
      <c r="N2655" t="s">
        <v>29</v>
      </c>
      <c r="P2655" t="s">
        <v>30</v>
      </c>
      <c r="Q2655" t="s">
        <v>31</v>
      </c>
      <c r="R2655">
        <v>82640</v>
      </c>
      <c r="S2655" t="s">
        <v>42</v>
      </c>
      <c r="T2655">
        <v>82611</v>
      </c>
      <c r="U2655" t="s">
        <v>43</v>
      </c>
      <c r="V2655" t="s">
        <v>66</v>
      </c>
      <c r="W2655" t="s">
        <v>44</v>
      </c>
      <c r="X2655" t="s">
        <v>44</v>
      </c>
      <c r="Y2655" s="9">
        <f t="shared" si="124"/>
        <v>0</v>
      </c>
      <c r="Z2655" t="str">
        <f t="shared" si="125"/>
        <v>สแกนต่าง Cost</v>
      </c>
    </row>
    <row r="2656" spans="2:26" x14ac:dyDescent="0.45">
      <c r="B2656" t="s">
        <v>53</v>
      </c>
      <c r="C2656">
        <v>20310530</v>
      </c>
      <c r="D2656" t="s">
        <v>220</v>
      </c>
      <c r="E2656" s="10">
        <v>46115.458333333336</v>
      </c>
      <c r="F2656" s="10">
        <v>46115.5</v>
      </c>
      <c r="G2656">
        <v>1</v>
      </c>
      <c r="H2656" s="9">
        <f t="shared" si="123"/>
        <v>5.0000000000000001E-3</v>
      </c>
      <c r="I2656">
        <v>5.0000000000000001E-3</v>
      </c>
      <c r="M2656" t="s">
        <v>65</v>
      </c>
      <c r="N2656" t="s">
        <v>29</v>
      </c>
      <c r="P2656" t="s">
        <v>30</v>
      </c>
      <c r="Q2656" t="s">
        <v>31</v>
      </c>
      <c r="R2656">
        <v>82640</v>
      </c>
      <c r="S2656" t="s">
        <v>42</v>
      </c>
      <c r="T2656">
        <v>82612</v>
      </c>
      <c r="U2656" t="s">
        <v>153</v>
      </c>
      <c r="V2656" t="s">
        <v>66</v>
      </c>
      <c r="W2656" t="s">
        <v>44</v>
      </c>
      <c r="X2656" t="s">
        <v>44</v>
      </c>
      <c r="Y2656" s="9">
        <f t="shared" si="124"/>
        <v>0</v>
      </c>
      <c r="Z2656" t="str">
        <f t="shared" si="125"/>
        <v>สแกนต่าง Cost</v>
      </c>
    </row>
    <row r="2657" spans="1:26" x14ac:dyDescent="0.45">
      <c r="B2657" t="s">
        <v>53</v>
      </c>
      <c r="C2657">
        <v>20026534</v>
      </c>
      <c r="D2657" t="s">
        <v>279</v>
      </c>
      <c r="E2657" s="10">
        <v>46115.4375</v>
      </c>
      <c r="F2657" s="10">
        <v>46115.458333333336</v>
      </c>
      <c r="G2657">
        <v>0.5</v>
      </c>
      <c r="H2657" s="9">
        <f t="shared" si="123"/>
        <v>3.0000000000000001E-3</v>
      </c>
      <c r="I2657">
        <v>3.0000000000000001E-3</v>
      </c>
      <c r="M2657" t="s">
        <v>65</v>
      </c>
      <c r="N2657" t="s">
        <v>29</v>
      </c>
      <c r="P2657" t="s">
        <v>30</v>
      </c>
      <c r="Q2657" t="s">
        <v>31</v>
      </c>
      <c r="R2657">
        <v>82640</v>
      </c>
      <c r="S2657" t="s">
        <v>42</v>
      </c>
      <c r="T2657">
        <v>82611</v>
      </c>
      <c r="U2657" t="s">
        <v>43</v>
      </c>
      <c r="V2657" t="s">
        <v>66</v>
      </c>
      <c r="W2657" t="s">
        <v>44</v>
      </c>
      <c r="X2657" t="s">
        <v>44</v>
      </c>
      <c r="Y2657" s="9">
        <f t="shared" si="124"/>
        <v>0</v>
      </c>
      <c r="Z2657" t="str">
        <f t="shared" si="125"/>
        <v>สแกนต่าง Cost</v>
      </c>
    </row>
    <row r="2658" spans="1:26" x14ac:dyDescent="0.45">
      <c r="B2658" t="s">
        <v>53</v>
      </c>
      <c r="C2658">
        <v>20060579</v>
      </c>
      <c r="D2658" t="s">
        <v>39</v>
      </c>
      <c r="E2658" s="10">
        <v>46115.4375</v>
      </c>
      <c r="F2658" s="10">
        <v>46115.458333333336</v>
      </c>
      <c r="G2658">
        <v>0.5</v>
      </c>
      <c r="H2658" s="9">
        <f t="shared" si="123"/>
        <v>3.0000000000000001E-3</v>
      </c>
      <c r="I2658">
        <v>3.0000000000000001E-3</v>
      </c>
      <c r="M2658" t="s">
        <v>65</v>
      </c>
      <c r="N2658" t="s">
        <v>29</v>
      </c>
      <c r="P2658" t="s">
        <v>30</v>
      </c>
      <c r="Q2658" t="s">
        <v>31</v>
      </c>
      <c r="R2658">
        <v>82640</v>
      </c>
      <c r="S2658" t="s">
        <v>42</v>
      </c>
      <c r="T2658">
        <v>82612</v>
      </c>
      <c r="U2658" t="s">
        <v>153</v>
      </c>
      <c r="V2658" t="s">
        <v>66</v>
      </c>
      <c r="W2658" t="s">
        <v>44</v>
      </c>
      <c r="X2658" t="s">
        <v>44</v>
      </c>
      <c r="Y2658" s="9">
        <f t="shared" si="124"/>
        <v>0</v>
      </c>
      <c r="Z2658" t="str">
        <f t="shared" si="125"/>
        <v>สแกนต่าง Cost</v>
      </c>
    </row>
    <row r="2659" spans="1:26" x14ac:dyDescent="0.45">
      <c r="B2659" t="s">
        <v>53</v>
      </c>
      <c r="C2659">
        <v>20198839</v>
      </c>
      <c r="D2659" t="s">
        <v>258</v>
      </c>
      <c r="E2659" s="10">
        <v>46115.4375</v>
      </c>
      <c r="F2659" s="10">
        <v>46115.5</v>
      </c>
      <c r="G2659">
        <v>1.5</v>
      </c>
      <c r="H2659" s="9">
        <f t="shared" si="123"/>
        <v>8.0000000000000002E-3</v>
      </c>
      <c r="I2659">
        <v>8.0000000000000002E-3</v>
      </c>
      <c r="M2659" t="s">
        <v>65</v>
      </c>
      <c r="N2659" t="s">
        <v>29</v>
      </c>
      <c r="P2659" t="s">
        <v>30</v>
      </c>
      <c r="Q2659" t="s">
        <v>31</v>
      </c>
      <c r="R2659">
        <v>82640</v>
      </c>
      <c r="S2659" t="s">
        <v>42</v>
      </c>
      <c r="T2659">
        <v>82611</v>
      </c>
      <c r="U2659" t="s">
        <v>43</v>
      </c>
      <c r="V2659" t="s">
        <v>66</v>
      </c>
      <c r="W2659" t="s">
        <v>44</v>
      </c>
      <c r="X2659" t="s">
        <v>44</v>
      </c>
      <c r="Y2659" s="9">
        <f t="shared" si="124"/>
        <v>0</v>
      </c>
      <c r="Z2659" t="str">
        <f t="shared" si="125"/>
        <v>สแกนต่าง Cost</v>
      </c>
    </row>
    <row r="2660" spans="1:26" x14ac:dyDescent="0.45">
      <c r="B2660" t="s">
        <v>53</v>
      </c>
      <c r="C2660">
        <v>20280718</v>
      </c>
      <c r="D2660" t="s">
        <v>256</v>
      </c>
      <c r="E2660" s="10">
        <v>46115.4375</v>
      </c>
      <c r="F2660" s="10">
        <v>46115.479166666664</v>
      </c>
      <c r="G2660">
        <v>1</v>
      </c>
      <c r="H2660" s="9">
        <f t="shared" si="123"/>
        <v>5.0000000000000001E-3</v>
      </c>
      <c r="I2660">
        <v>5.0000000000000001E-3</v>
      </c>
      <c r="M2660" t="s">
        <v>65</v>
      </c>
      <c r="N2660" t="s">
        <v>29</v>
      </c>
      <c r="P2660" t="s">
        <v>30</v>
      </c>
      <c r="Q2660" t="s">
        <v>31</v>
      </c>
      <c r="R2660">
        <v>82640</v>
      </c>
      <c r="S2660" t="s">
        <v>42</v>
      </c>
      <c r="T2660">
        <v>82630</v>
      </c>
      <c r="U2660" t="s">
        <v>32</v>
      </c>
      <c r="V2660" t="s">
        <v>66</v>
      </c>
      <c r="W2660" t="s">
        <v>44</v>
      </c>
      <c r="X2660" t="s">
        <v>44</v>
      </c>
      <c r="Y2660" s="9">
        <f t="shared" si="124"/>
        <v>0</v>
      </c>
      <c r="Z2660" t="str">
        <f t="shared" si="125"/>
        <v>สแกนต่าง Cost</v>
      </c>
    </row>
    <row r="2661" spans="1:26" x14ac:dyDescent="0.45">
      <c r="B2661" t="s">
        <v>53</v>
      </c>
      <c r="C2661">
        <v>20310530</v>
      </c>
      <c r="D2661" t="s">
        <v>220</v>
      </c>
      <c r="E2661" s="10">
        <v>46115.4375</v>
      </c>
      <c r="F2661" s="10">
        <v>46115.458333333336</v>
      </c>
      <c r="G2661">
        <v>0.5</v>
      </c>
      <c r="H2661" s="9">
        <f t="shared" si="123"/>
        <v>3.0000000000000001E-3</v>
      </c>
      <c r="I2661">
        <v>3.0000000000000001E-3</v>
      </c>
      <c r="M2661" t="s">
        <v>65</v>
      </c>
      <c r="N2661" t="s">
        <v>29</v>
      </c>
      <c r="P2661" t="s">
        <v>30</v>
      </c>
      <c r="Q2661" t="s">
        <v>31</v>
      </c>
      <c r="R2661">
        <v>82640</v>
      </c>
      <c r="S2661" t="s">
        <v>42</v>
      </c>
      <c r="T2661">
        <v>82630</v>
      </c>
      <c r="U2661" t="s">
        <v>32</v>
      </c>
      <c r="V2661" t="s">
        <v>66</v>
      </c>
      <c r="W2661" t="s">
        <v>44</v>
      </c>
      <c r="X2661" t="s">
        <v>44</v>
      </c>
      <c r="Y2661" s="9">
        <f t="shared" si="124"/>
        <v>0</v>
      </c>
      <c r="Z2661" t="str">
        <f t="shared" si="125"/>
        <v>สแกนต่าง Cost</v>
      </c>
    </row>
    <row r="2662" spans="1:26" x14ac:dyDescent="0.45">
      <c r="B2662" t="s">
        <v>53</v>
      </c>
      <c r="C2662">
        <v>20332134</v>
      </c>
      <c r="D2662" t="s">
        <v>156</v>
      </c>
      <c r="E2662" s="10">
        <v>46115.4375</v>
      </c>
      <c r="F2662" s="10">
        <v>46115.5</v>
      </c>
      <c r="G2662">
        <v>1.5</v>
      </c>
      <c r="H2662" s="9">
        <f t="shared" si="123"/>
        <v>8.0000000000000002E-3</v>
      </c>
      <c r="I2662">
        <v>8.0000000000000002E-3</v>
      </c>
      <c r="M2662" t="s">
        <v>65</v>
      </c>
      <c r="N2662" t="s">
        <v>29</v>
      </c>
      <c r="P2662" t="s">
        <v>30</v>
      </c>
      <c r="Q2662" t="s">
        <v>31</v>
      </c>
      <c r="R2662">
        <v>82640</v>
      </c>
      <c r="S2662" t="s">
        <v>42</v>
      </c>
      <c r="T2662">
        <v>82630</v>
      </c>
      <c r="U2662" t="s">
        <v>32</v>
      </c>
      <c r="V2662" t="s">
        <v>66</v>
      </c>
      <c r="W2662" t="s">
        <v>44</v>
      </c>
      <c r="X2662" t="s">
        <v>44</v>
      </c>
      <c r="Y2662" s="9">
        <f t="shared" si="124"/>
        <v>0</v>
      </c>
      <c r="Z2662" t="str">
        <f t="shared" si="125"/>
        <v>สแกนต่าง Cost</v>
      </c>
    </row>
    <row r="2663" spans="1:26" x14ac:dyDescent="0.45">
      <c r="B2663" t="s">
        <v>53</v>
      </c>
      <c r="C2663">
        <v>20167851</v>
      </c>
      <c r="D2663" t="s">
        <v>63</v>
      </c>
      <c r="E2663" s="10">
        <v>46115.416666666664</v>
      </c>
      <c r="F2663" s="10">
        <v>46115.479166666664</v>
      </c>
      <c r="G2663">
        <v>1.5</v>
      </c>
      <c r="H2663" s="9">
        <f t="shared" si="123"/>
        <v>8.0000000000000002E-3</v>
      </c>
      <c r="I2663">
        <v>8.0000000000000002E-3</v>
      </c>
      <c r="M2663" t="s">
        <v>65</v>
      </c>
      <c r="N2663" t="s">
        <v>29</v>
      </c>
      <c r="P2663" t="s">
        <v>30</v>
      </c>
      <c r="Q2663" t="s">
        <v>31</v>
      </c>
      <c r="R2663">
        <v>82640</v>
      </c>
      <c r="S2663" t="s">
        <v>42</v>
      </c>
      <c r="T2663">
        <v>82630</v>
      </c>
      <c r="U2663" t="s">
        <v>32</v>
      </c>
      <c r="V2663" t="s">
        <v>66</v>
      </c>
      <c r="W2663" t="s">
        <v>44</v>
      </c>
      <c r="X2663" t="s">
        <v>44</v>
      </c>
      <c r="Y2663" s="9">
        <f t="shared" si="124"/>
        <v>0</v>
      </c>
      <c r="Z2663" t="str">
        <f t="shared" si="125"/>
        <v>สแกนต่าง Cost</v>
      </c>
    </row>
    <row r="2664" spans="1:26" x14ac:dyDescent="0.45">
      <c r="B2664" t="s">
        <v>53</v>
      </c>
      <c r="C2664">
        <v>20368087</v>
      </c>
      <c r="D2664" t="s">
        <v>260</v>
      </c>
      <c r="E2664" s="10">
        <v>46115.416666666664</v>
      </c>
      <c r="F2664" s="10">
        <v>46115.5</v>
      </c>
      <c r="G2664">
        <v>2</v>
      </c>
      <c r="H2664" s="9">
        <f t="shared" si="123"/>
        <v>1.0999999999999999E-2</v>
      </c>
      <c r="I2664">
        <v>1.0999999999999999E-2</v>
      </c>
      <c r="M2664" t="s">
        <v>65</v>
      </c>
      <c r="N2664" t="s">
        <v>29</v>
      </c>
      <c r="P2664" t="s">
        <v>30</v>
      </c>
      <c r="Q2664" t="s">
        <v>31</v>
      </c>
      <c r="R2664">
        <v>82640</v>
      </c>
      <c r="S2664" t="s">
        <v>42</v>
      </c>
      <c r="T2664">
        <v>82630</v>
      </c>
      <c r="U2664" t="s">
        <v>32</v>
      </c>
      <c r="V2664" t="s">
        <v>66</v>
      </c>
      <c r="W2664" t="s">
        <v>44</v>
      </c>
      <c r="X2664" t="s">
        <v>44</v>
      </c>
      <c r="Y2664" s="9">
        <f t="shared" si="124"/>
        <v>0</v>
      </c>
      <c r="Z2664" t="str">
        <f t="shared" si="125"/>
        <v>สแกนต่าง Cost</v>
      </c>
    </row>
    <row r="2665" spans="1:26" x14ac:dyDescent="0.45">
      <c r="B2665" t="s">
        <v>53</v>
      </c>
      <c r="C2665">
        <v>20060579</v>
      </c>
      <c r="D2665" t="s">
        <v>39</v>
      </c>
      <c r="E2665" s="10">
        <v>46115.395833333336</v>
      </c>
      <c r="F2665" s="10">
        <v>46115.4375</v>
      </c>
      <c r="G2665">
        <v>1</v>
      </c>
      <c r="H2665" s="9">
        <f t="shared" si="123"/>
        <v>5.0000000000000001E-3</v>
      </c>
      <c r="I2665">
        <v>5.0000000000000001E-3</v>
      </c>
      <c r="M2665" t="s">
        <v>65</v>
      </c>
      <c r="N2665" t="s">
        <v>29</v>
      </c>
      <c r="P2665" t="s">
        <v>30</v>
      </c>
      <c r="Q2665" t="s">
        <v>31</v>
      </c>
      <c r="R2665">
        <v>82640</v>
      </c>
      <c r="S2665" t="s">
        <v>42</v>
      </c>
      <c r="T2665">
        <v>82611</v>
      </c>
      <c r="U2665" t="s">
        <v>43</v>
      </c>
      <c r="V2665" t="s">
        <v>66</v>
      </c>
      <c r="W2665" t="s">
        <v>44</v>
      </c>
      <c r="X2665" t="s">
        <v>44</v>
      </c>
      <c r="Y2665" s="9">
        <f t="shared" si="124"/>
        <v>0</v>
      </c>
      <c r="Z2665" t="str">
        <f t="shared" si="125"/>
        <v>สแกนต่าง Cost</v>
      </c>
    </row>
    <row r="2666" spans="1:26" x14ac:dyDescent="0.45">
      <c r="B2666" t="s">
        <v>53</v>
      </c>
      <c r="C2666">
        <v>20244923</v>
      </c>
      <c r="D2666" t="s">
        <v>246</v>
      </c>
      <c r="E2666" s="10">
        <v>46115.395833333336</v>
      </c>
      <c r="F2666" s="10">
        <v>46115.479166666664</v>
      </c>
      <c r="G2666">
        <v>2</v>
      </c>
      <c r="H2666" s="9">
        <f t="shared" si="123"/>
        <v>1.0999999999999999E-2</v>
      </c>
      <c r="I2666">
        <v>1.0999999999999999E-2</v>
      </c>
      <c r="M2666" t="s">
        <v>65</v>
      </c>
      <c r="N2666" t="s">
        <v>29</v>
      </c>
      <c r="P2666" t="s">
        <v>30</v>
      </c>
      <c r="Q2666" t="s">
        <v>31</v>
      </c>
      <c r="R2666">
        <v>82640</v>
      </c>
      <c r="S2666" t="s">
        <v>42</v>
      </c>
      <c r="T2666">
        <v>82630</v>
      </c>
      <c r="U2666" t="s">
        <v>32</v>
      </c>
      <c r="V2666" t="s">
        <v>66</v>
      </c>
      <c r="W2666" t="s">
        <v>44</v>
      </c>
      <c r="X2666" t="s">
        <v>44</v>
      </c>
      <c r="Y2666" s="9">
        <f t="shared" si="124"/>
        <v>0</v>
      </c>
      <c r="Z2666" t="str">
        <f t="shared" si="125"/>
        <v>สแกนต่าง Cost</v>
      </c>
    </row>
    <row r="2667" spans="1:26" x14ac:dyDescent="0.45">
      <c r="B2667" t="s">
        <v>53</v>
      </c>
      <c r="C2667">
        <v>20310530</v>
      </c>
      <c r="D2667" t="s">
        <v>220</v>
      </c>
      <c r="E2667" s="10">
        <v>46115.395833333336</v>
      </c>
      <c r="F2667" s="10">
        <v>46115.4375</v>
      </c>
      <c r="G2667">
        <v>1</v>
      </c>
      <c r="H2667" s="9">
        <f t="shared" si="123"/>
        <v>5.0000000000000001E-3</v>
      </c>
      <c r="I2667">
        <v>5.0000000000000001E-3</v>
      </c>
      <c r="M2667" t="s">
        <v>65</v>
      </c>
      <c r="N2667" t="s">
        <v>29</v>
      </c>
      <c r="P2667" t="s">
        <v>30</v>
      </c>
      <c r="Q2667" t="s">
        <v>31</v>
      </c>
      <c r="R2667">
        <v>82640</v>
      </c>
      <c r="S2667" t="s">
        <v>42</v>
      </c>
      <c r="T2667">
        <v>82612</v>
      </c>
      <c r="U2667" t="s">
        <v>153</v>
      </c>
      <c r="V2667" t="s">
        <v>66</v>
      </c>
      <c r="W2667" t="s">
        <v>44</v>
      </c>
      <c r="X2667" t="s">
        <v>44</v>
      </c>
      <c r="Y2667" s="9">
        <f t="shared" si="124"/>
        <v>0</v>
      </c>
      <c r="Z2667" t="str">
        <f t="shared" si="125"/>
        <v>สแกนต่าง Cost</v>
      </c>
    </row>
    <row r="2668" spans="1:26" x14ac:dyDescent="0.45">
      <c r="B2668" t="s">
        <v>53</v>
      </c>
      <c r="C2668">
        <v>20332134</v>
      </c>
      <c r="D2668" t="s">
        <v>156</v>
      </c>
      <c r="E2668" s="10">
        <v>46115.395833333336</v>
      </c>
      <c r="F2668" s="10">
        <v>46115.4375</v>
      </c>
      <c r="G2668">
        <v>1</v>
      </c>
      <c r="H2668" s="9">
        <f t="shared" si="123"/>
        <v>5.0000000000000001E-3</v>
      </c>
      <c r="I2668">
        <v>5.0000000000000001E-3</v>
      </c>
      <c r="M2668" t="s">
        <v>65</v>
      </c>
      <c r="N2668" t="s">
        <v>29</v>
      </c>
      <c r="P2668" t="s">
        <v>30</v>
      </c>
      <c r="Q2668" t="s">
        <v>31</v>
      </c>
      <c r="R2668">
        <v>82640</v>
      </c>
      <c r="S2668" t="s">
        <v>42</v>
      </c>
      <c r="T2668">
        <v>82612</v>
      </c>
      <c r="U2668" t="s">
        <v>153</v>
      </c>
      <c r="V2668" t="s">
        <v>66</v>
      </c>
      <c r="W2668" t="s">
        <v>44</v>
      </c>
      <c r="X2668" t="s">
        <v>44</v>
      </c>
      <c r="Y2668" s="9">
        <f t="shared" si="124"/>
        <v>0</v>
      </c>
      <c r="Z2668" t="str">
        <f t="shared" si="125"/>
        <v>สแกนต่าง Cost</v>
      </c>
    </row>
    <row r="2669" spans="1:26" x14ac:dyDescent="0.45">
      <c r="A2669">
        <v>25483</v>
      </c>
      <c r="B2669" t="s">
        <v>53</v>
      </c>
      <c r="C2669">
        <v>20026402</v>
      </c>
      <c r="D2669" t="s">
        <v>164</v>
      </c>
      <c r="E2669" s="10">
        <v>46115.375</v>
      </c>
      <c r="F2669" s="10">
        <v>46115.770833333336</v>
      </c>
      <c r="G2669">
        <v>8.5</v>
      </c>
      <c r="H2669" s="9">
        <f t="shared" si="123"/>
        <v>4.4999999999999998E-2</v>
      </c>
      <c r="I2669">
        <v>4.4999999999999998E-2</v>
      </c>
      <c r="M2669" t="s">
        <v>65</v>
      </c>
      <c r="N2669" t="s">
        <v>29</v>
      </c>
      <c r="P2669" t="s">
        <v>30</v>
      </c>
      <c r="Q2669" t="s">
        <v>31</v>
      </c>
      <c r="R2669">
        <v>82301</v>
      </c>
      <c r="S2669" t="s">
        <v>79</v>
      </c>
      <c r="T2669">
        <v>82308</v>
      </c>
      <c r="U2669" t="s">
        <v>69</v>
      </c>
      <c r="V2669" t="s">
        <v>69</v>
      </c>
      <c r="W2669" t="s">
        <v>69</v>
      </c>
      <c r="X2669" t="s">
        <v>88</v>
      </c>
      <c r="Y2669" s="9">
        <f t="shared" si="124"/>
        <v>0</v>
      </c>
      <c r="Z2669" t="str">
        <f t="shared" si="125"/>
        <v>สแกนต่าง Cost</v>
      </c>
    </row>
    <row r="2670" spans="1:26" x14ac:dyDescent="0.45">
      <c r="B2670" t="s">
        <v>53</v>
      </c>
      <c r="C2670">
        <v>20060579</v>
      </c>
      <c r="D2670" t="s">
        <v>39</v>
      </c>
      <c r="E2670" s="10">
        <v>46115.375</v>
      </c>
      <c r="F2670" s="10">
        <v>46115.395833333336</v>
      </c>
      <c r="G2670">
        <v>0.5</v>
      </c>
      <c r="H2670" s="9">
        <f t="shared" si="123"/>
        <v>3.0000000000000001E-3</v>
      </c>
      <c r="I2670">
        <v>3.0000000000000001E-3</v>
      </c>
      <c r="M2670" t="s">
        <v>65</v>
      </c>
      <c r="N2670" t="s">
        <v>29</v>
      </c>
      <c r="P2670" t="s">
        <v>30</v>
      </c>
      <c r="Q2670" t="s">
        <v>31</v>
      </c>
      <c r="R2670">
        <v>82640</v>
      </c>
      <c r="S2670" t="s">
        <v>42</v>
      </c>
      <c r="T2670">
        <v>82622</v>
      </c>
      <c r="U2670" t="s">
        <v>147</v>
      </c>
      <c r="V2670" t="s">
        <v>66</v>
      </c>
      <c r="W2670" t="s">
        <v>44</v>
      </c>
      <c r="X2670" t="s">
        <v>44</v>
      </c>
      <c r="Y2670" s="9">
        <f t="shared" si="124"/>
        <v>0</v>
      </c>
      <c r="Z2670" t="str">
        <f t="shared" si="125"/>
        <v>สแกนต่าง Cost</v>
      </c>
    </row>
    <row r="2671" spans="1:26" x14ac:dyDescent="0.45">
      <c r="B2671" t="s">
        <v>53</v>
      </c>
      <c r="C2671">
        <v>20244923</v>
      </c>
      <c r="D2671" t="s">
        <v>246</v>
      </c>
      <c r="E2671" s="10">
        <v>46115.375</v>
      </c>
      <c r="F2671" s="10">
        <v>46115.395833333336</v>
      </c>
      <c r="G2671">
        <v>0.5</v>
      </c>
      <c r="H2671" s="9">
        <f t="shared" si="123"/>
        <v>3.0000000000000001E-3</v>
      </c>
      <c r="I2671">
        <v>3.0000000000000001E-3</v>
      </c>
      <c r="M2671" t="s">
        <v>65</v>
      </c>
      <c r="N2671" t="s">
        <v>29</v>
      </c>
      <c r="P2671" t="s">
        <v>30</v>
      </c>
      <c r="Q2671" t="s">
        <v>31</v>
      </c>
      <c r="R2671">
        <v>82640</v>
      </c>
      <c r="S2671" t="s">
        <v>42</v>
      </c>
      <c r="T2671">
        <v>82612</v>
      </c>
      <c r="U2671" t="s">
        <v>153</v>
      </c>
      <c r="V2671" t="s">
        <v>66</v>
      </c>
      <c r="W2671" t="s">
        <v>44</v>
      </c>
      <c r="X2671" t="s">
        <v>44</v>
      </c>
      <c r="Y2671" s="9">
        <f t="shared" si="124"/>
        <v>0</v>
      </c>
      <c r="Z2671" t="str">
        <f t="shared" si="125"/>
        <v>สแกนต่าง Cost</v>
      </c>
    </row>
    <row r="2672" spans="1:26" x14ac:dyDescent="0.45">
      <c r="B2672" t="s">
        <v>53</v>
      </c>
      <c r="C2672">
        <v>20280718</v>
      </c>
      <c r="D2672" t="s">
        <v>256</v>
      </c>
      <c r="E2672" s="10">
        <v>46115.375</v>
      </c>
      <c r="F2672" s="10">
        <v>46115.416666666664</v>
      </c>
      <c r="G2672">
        <v>1</v>
      </c>
      <c r="H2672" s="9">
        <f t="shared" si="123"/>
        <v>5.0000000000000001E-3</v>
      </c>
      <c r="I2672">
        <v>5.0000000000000001E-3</v>
      </c>
      <c r="M2672" t="s">
        <v>65</v>
      </c>
      <c r="N2672" t="s">
        <v>29</v>
      </c>
      <c r="P2672" t="s">
        <v>30</v>
      </c>
      <c r="Q2672" t="s">
        <v>31</v>
      </c>
      <c r="R2672">
        <v>82640</v>
      </c>
      <c r="S2672" t="s">
        <v>42</v>
      </c>
      <c r="T2672">
        <v>82630</v>
      </c>
      <c r="U2672" t="s">
        <v>32</v>
      </c>
      <c r="V2672" t="s">
        <v>66</v>
      </c>
      <c r="W2672" t="s">
        <v>44</v>
      </c>
      <c r="X2672" t="s">
        <v>44</v>
      </c>
      <c r="Y2672" s="9">
        <f t="shared" si="124"/>
        <v>0</v>
      </c>
      <c r="Z2672" t="str">
        <f t="shared" si="125"/>
        <v>สแกนต่าง Cost</v>
      </c>
    </row>
    <row r="2673" spans="1:26" x14ac:dyDescent="0.45">
      <c r="B2673" t="s">
        <v>53</v>
      </c>
      <c r="C2673">
        <v>20340657</v>
      </c>
      <c r="D2673" t="s">
        <v>221</v>
      </c>
      <c r="E2673" s="10">
        <v>46115.375</v>
      </c>
      <c r="F2673" s="10">
        <v>46115.5</v>
      </c>
      <c r="G2673">
        <v>3</v>
      </c>
      <c r="H2673" s="9">
        <f t="shared" si="123"/>
        <v>1.6E-2</v>
      </c>
      <c r="I2673">
        <v>1.6E-2</v>
      </c>
      <c r="M2673" t="s">
        <v>65</v>
      </c>
      <c r="N2673" t="s">
        <v>29</v>
      </c>
      <c r="P2673" t="s">
        <v>30</v>
      </c>
      <c r="Q2673" t="s">
        <v>31</v>
      </c>
      <c r="R2673">
        <v>82640</v>
      </c>
      <c r="S2673" t="s">
        <v>42</v>
      </c>
      <c r="T2673">
        <v>82612</v>
      </c>
      <c r="U2673" t="s">
        <v>153</v>
      </c>
      <c r="V2673" t="s">
        <v>66</v>
      </c>
      <c r="W2673" t="s">
        <v>44</v>
      </c>
      <c r="X2673" t="s">
        <v>44</v>
      </c>
      <c r="Y2673" s="9">
        <f t="shared" si="124"/>
        <v>0</v>
      </c>
      <c r="Z2673" t="str">
        <f t="shared" si="125"/>
        <v>สแกนต่าง Cost</v>
      </c>
    </row>
    <row r="2674" spans="1:26" x14ac:dyDescent="0.45">
      <c r="A2674">
        <v>25829</v>
      </c>
      <c r="B2674" t="s">
        <v>53</v>
      </c>
      <c r="C2674">
        <v>20334391</v>
      </c>
      <c r="D2674" t="s">
        <v>185</v>
      </c>
      <c r="E2674" s="10">
        <v>46115.372916666667</v>
      </c>
      <c r="F2674" s="10">
        <v>46115.729166666664</v>
      </c>
      <c r="G2674">
        <v>7.5500000000000007</v>
      </c>
      <c r="H2674" s="9">
        <f t="shared" si="123"/>
        <v>0.04</v>
      </c>
      <c r="I2674">
        <v>0.04</v>
      </c>
      <c r="M2674" t="s">
        <v>65</v>
      </c>
      <c r="N2674" t="s">
        <v>29</v>
      </c>
      <c r="P2674" t="s">
        <v>30</v>
      </c>
      <c r="Q2674" t="s">
        <v>31</v>
      </c>
      <c r="R2674">
        <v>82640</v>
      </c>
      <c r="S2674" t="s">
        <v>42</v>
      </c>
      <c r="T2674">
        <v>82658</v>
      </c>
      <c r="U2674" t="s">
        <v>33</v>
      </c>
      <c r="V2674" t="s">
        <v>33</v>
      </c>
      <c r="W2674" t="s">
        <v>34</v>
      </c>
      <c r="X2674" t="s">
        <v>34</v>
      </c>
      <c r="Y2674" s="9">
        <f t="shared" si="124"/>
        <v>0</v>
      </c>
      <c r="Z2674" t="str">
        <f t="shared" si="125"/>
        <v>สแกนต่าง Cost</v>
      </c>
    </row>
    <row r="2675" spans="1:26" x14ac:dyDescent="0.45">
      <c r="A2675">
        <v>27255</v>
      </c>
      <c r="B2675" t="s">
        <v>53</v>
      </c>
      <c r="C2675">
        <v>20310536</v>
      </c>
      <c r="D2675" t="s">
        <v>330</v>
      </c>
      <c r="E2675" s="10">
        <v>46115.36923611111</v>
      </c>
      <c r="F2675" s="10">
        <v>46115.729166666664</v>
      </c>
      <c r="G2675">
        <v>7.6383333333333336</v>
      </c>
      <c r="H2675" s="9">
        <f t="shared" si="123"/>
        <v>4.1000000000000002E-2</v>
      </c>
      <c r="I2675">
        <v>4.1000000000000002E-2</v>
      </c>
      <c r="M2675" t="s">
        <v>65</v>
      </c>
      <c r="N2675" t="s">
        <v>29</v>
      </c>
      <c r="P2675" t="s">
        <v>30</v>
      </c>
      <c r="Q2675" t="s">
        <v>31</v>
      </c>
      <c r="R2675">
        <v>82611</v>
      </c>
      <c r="S2675" t="s">
        <v>43</v>
      </c>
      <c r="T2675">
        <v>82655</v>
      </c>
      <c r="U2675" t="s">
        <v>59</v>
      </c>
      <c r="V2675" t="s">
        <v>59</v>
      </c>
      <c r="W2675" t="s">
        <v>37</v>
      </c>
      <c r="X2675" t="s">
        <v>38</v>
      </c>
      <c r="Y2675" s="9">
        <f t="shared" si="124"/>
        <v>0</v>
      </c>
      <c r="Z2675" t="str">
        <f t="shared" si="125"/>
        <v>สแกนต่าง Cost</v>
      </c>
    </row>
    <row r="2676" spans="1:26" x14ac:dyDescent="0.45">
      <c r="A2676">
        <v>25926</v>
      </c>
      <c r="B2676" t="s">
        <v>53</v>
      </c>
      <c r="C2676">
        <v>20198840</v>
      </c>
      <c r="D2676" t="s">
        <v>390</v>
      </c>
      <c r="E2676" s="10">
        <v>46115.367361111108</v>
      </c>
      <c r="F2676" s="10">
        <v>46115.729166666664</v>
      </c>
      <c r="G2676">
        <v>7.6833333333333336</v>
      </c>
      <c r="H2676" s="9">
        <f t="shared" si="123"/>
        <v>4.1000000000000002E-2</v>
      </c>
      <c r="I2676">
        <v>4.1000000000000002E-2</v>
      </c>
      <c r="M2676" t="s">
        <v>65</v>
      </c>
      <c r="N2676" t="s">
        <v>29</v>
      </c>
      <c r="P2676" t="s">
        <v>30</v>
      </c>
      <c r="Q2676" t="s">
        <v>31</v>
      </c>
      <c r="R2676">
        <v>82640</v>
      </c>
      <c r="S2676" t="s">
        <v>42</v>
      </c>
      <c r="T2676">
        <v>82658</v>
      </c>
      <c r="U2676" t="s">
        <v>33</v>
      </c>
      <c r="V2676" t="s">
        <v>33</v>
      </c>
      <c r="W2676" t="s">
        <v>37</v>
      </c>
      <c r="X2676" t="s">
        <v>60</v>
      </c>
      <c r="Y2676" s="9">
        <f t="shared" si="124"/>
        <v>0</v>
      </c>
      <c r="Z2676" t="str">
        <f t="shared" si="125"/>
        <v>สแกนต่าง Cost</v>
      </c>
    </row>
    <row r="2677" spans="1:26" x14ac:dyDescent="0.45">
      <c r="A2677">
        <v>25825</v>
      </c>
      <c r="B2677" t="s">
        <v>53</v>
      </c>
      <c r="C2677">
        <v>20334399</v>
      </c>
      <c r="D2677" t="s">
        <v>237</v>
      </c>
      <c r="E2677" s="10">
        <v>46115.36041666667</v>
      </c>
      <c r="F2677" s="10">
        <v>46115.373611111114</v>
      </c>
      <c r="G2677">
        <v>0.31666666666666665</v>
      </c>
      <c r="H2677" s="9">
        <f t="shared" si="123"/>
        <v>2E-3</v>
      </c>
      <c r="J2677">
        <v>2E-3</v>
      </c>
      <c r="M2677" t="s">
        <v>77</v>
      </c>
      <c r="N2677" t="s">
        <v>40</v>
      </c>
      <c r="O2677" t="s">
        <v>78</v>
      </c>
      <c r="P2677" t="s">
        <v>30</v>
      </c>
      <c r="Q2677" t="s">
        <v>31</v>
      </c>
      <c r="R2677">
        <v>82301</v>
      </c>
      <c r="S2677" t="s">
        <v>79</v>
      </c>
      <c r="T2677">
        <v>82658</v>
      </c>
      <c r="U2677" t="s">
        <v>33</v>
      </c>
      <c r="V2677" t="s">
        <v>33</v>
      </c>
      <c r="W2677" t="s">
        <v>37</v>
      </c>
      <c r="X2677" t="s">
        <v>38</v>
      </c>
      <c r="Y2677" s="9">
        <f t="shared" si="124"/>
        <v>2E-3</v>
      </c>
      <c r="Z2677" t="str">
        <f t="shared" si="125"/>
        <v>สแกนต่าง Cost</v>
      </c>
    </row>
    <row r="2678" spans="1:26" x14ac:dyDescent="0.45">
      <c r="A2678">
        <v>25818</v>
      </c>
      <c r="B2678" t="s">
        <v>53</v>
      </c>
      <c r="C2678">
        <v>20352284</v>
      </c>
      <c r="D2678" t="s">
        <v>113</v>
      </c>
      <c r="E2678" s="10">
        <v>46115.356944444444</v>
      </c>
      <c r="F2678" s="10">
        <v>46115.729166666664</v>
      </c>
      <c r="G2678">
        <v>7.9333333333333336</v>
      </c>
      <c r="H2678" s="9">
        <f t="shared" si="123"/>
        <v>4.2000000000000003E-2</v>
      </c>
      <c r="I2678">
        <v>4.2000000000000003E-2</v>
      </c>
      <c r="M2678" t="s">
        <v>65</v>
      </c>
      <c r="N2678" t="s">
        <v>29</v>
      </c>
      <c r="P2678" t="s">
        <v>30</v>
      </c>
      <c r="Q2678" t="s">
        <v>31</v>
      </c>
      <c r="R2678">
        <v>82400</v>
      </c>
      <c r="S2678" t="s">
        <v>83</v>
      </c>
      <c r="T2678">
        <v>82658</v>
      </c>
      <c r="U2678" t="s">
        <v>33</v>
      </c>
      <c r="V2678" t="s">
        <v>33</v>
      </c>
      <c r="W2678" t="s">
        <v>34</v>
      </c>
      <c r="X2678" t="s">
        <v>34</v>
      </c>
      <c r="Y2678" s="9">
        <f t="shared" si="124"/>
        <v>0</v>
      </c>
      <c r="Z2678" t="str">
        <f t="shared" si="125"/>
        <v>สแกนต่าง Cost</v>
      </c>
    </row>
    <row r="2679" spans="1:26" x14ac:dyDescent="0.45">
      <c r="A2679">
        <v>25820</v>
      </c>
      <c r="B2679" t="s">
        <v>53</v>
      </c>
      <c r="C2679">
        <v>20372079</v>
      </c>
      <c r="D2679" t="s">
        <v>116</v>
      </c>
      <c r="E2679" s="10">
        <v>46115.356944444444</v>
      </c>
      <c r="F2679" s="10">
        <v>46115.729166666664</v>
      </c>
      <c r="G2679">
        <v>7.9333333333333336</v>
      </c>
      <c r="H2679" s="9">
        <f t="shared" si="123"/>
        <v>4.2000000000000003E-2</v>
      </c>
      <c r="I2679">
        <v>4.2000000000000003E-2</v>
      </c>
      <c r="M2679" t="s">
        <v>65</v>
      </c>
      <c r="N2679" t="s">
        <v>29</v>
      </c>
      <c r="P2679" t="s">
        <v>30</v>
      </c>
      <c r="Q2679" t="s">
        <v>31</v>
      </c>
      <c r="R2679">
        <v>82400</v>
      </c>
      <c r="S2679" t="s">
        <v>83</v>
      </c>
      <c r="T2679">
        <v>82658</v>
      </c>
      <c r="U2679" t="s">
        <v>33</v>
      </c>
      <c r="V2679" t="s">
        <v>33</v>
      </c>
      <c r="W2679" t="s">
        <v>34</v>
      </c>
      <c r="X2679" t="s">
        <v>34</v>
      </c>
      <c r="Y2679" s="9">
        <f t="shared" si="124"/>
        <v>0</v>
      </c>
      <c r="Z2679" t="str">
        <f t="shared" si="125"/>
        <v>สแกนต่าง Cost</v>
      </c>
    </row>
    <row r="2680" spans="1:26" x14ac:dyDescent="0.45">
      <c r="B2680" t="s">
        <v>53</v>
      </c>
      <c r="C2680">
        <v>20026534</v>
      </c>
      <c r="D2680" t="s">
        <v>279</v>
      </c>
      <c r="E2680" s="10">
        <v>46115.354166666664</v>
      </c>
      <c r="F2680" s="10">
        <v>46115.4375</v>
      </c>
      <c r="G2680">
        <v>2</v>
      </c>
      <c r="H2680" s="9">
        <f t="shared" si="123"/>
        <v>1.0999999999999999E-2</v>
      </c>
      <c r="I2680">
        <v>1.0999999999999999E-2</v>
      </c>
      <c r="M2680" t="s">
        <v>65</v>
      </c>
      <c r="N2680" t="s">
        <v>29</v>
      </c>
      <c r="P2680" t="s">
        <v>30</v>
      </c>
      <c r="Q2680" t="s">
        <v>31</v>
      </c>
      <c r="R2680">
        <v>82640</v>
      </c>
      <c r="S2680" t="s">
        <v>42</v>
      </c>
      <c r="T2680">
        <v>82630</v>
      </c>
      <c r="U2680" t="s">
        <v>32</v>
      </c>
      <c r="V2680" t="s">
        <v>66</v>
      </c>
      <c r="W2680" t="s">
        <v>44</v>
      </c>
      <c r="X2680" t="s">
        <v>44</v>
      </c>
      <c r="Y2680" s="9">
        <f t="shared" si="124"/>
        <v>0</v>
      </c>
      <c r="Z2680" t="str">
        <f t="shared" si="125"/>
        <v>สแกนต่าง Cost</v>
      </c>
    </row>
    <row r="2681" spans="1:26" x14ac:dyDescent="0.45">
      <c r="A2681">
        <v>25814</v>
      </c>
      <c r="B2681" t="s">
        <v>53</v>
      </c>
      <c r="C2681">
        <v>20276264</v>
      </c>
      <c r="D2681" t="s">
        <v>236</v>
      </c>
      <c r="E2681" s="10">
        <v>46115.354166666664</v>
      </c>
      <c r="F2681" s="10">
        <v>46115.729166666664</v>
      </c>
      <c r="G2681">
        <v>8</v>
      </c>
      <c r="H2681" s="9">
        <f t="shared" si="123"/>
        <v>4.2999999999999997E-2</v>
      </c>
      <c r="I2681">
        <v>4.2999999999999997E-2</v>
      </c>
      <c r="M2681" t="s">
        <v>65</v>
      </c>
      <c r="N2681" t="s">
        <v>29</v>
      </c>
      <c r="P2681" t="s">
        <v>30</v>
      </c>
      <c r="Q2681" t="s">
        <v>31</v>
      </c>
      <c r="R2681">
        <v>82301</v>
      </c>
      <c r="S2681" t="s">
        <v>79</v>
      </c>
      <c r="T2681">
        <v>82658</v>
      </c>
      <c r="U2681" t="s">
        <v>33</v>
      </c>
      <c r="V2681" t="s">
        <v>33</v>
      </c>
      <c r="W2681" t="s">
        <v>37</v>
      </c>
      <c r="X2681" t="s">
        <v>38</v>
      </c>
      <c r="Y2681" s="9">
        <f t="shared" si="124"/>
        <v>0</v>
      </c>
      <c r="Z2681" t="str">
        <f t="shared" si="125"/>
        <v>สแกนต่าง Cost</v>
      </c>
    </row>
    <row r="2682" spans="1:26" x14ac:dyDescent="0.45">
      <c r="B2682" t="s">
        <v>53</v>
      </c>
      <c r="C2682">
        <v>20280718</v>
      </c>
      <c r="D2682" t="s">
        <v>256</v>
      </c>
      <c r="E2682" s="10">
        <v>46115.354166666664</v>
      </c>
      <c r="F2682" s="10">
        <v>46115.5</v>
      </c>
      <c r="G2682">
        <v>3.5</v>
      </c>
      <c r="H2682" s="9">
        <f t="shared" si="123"/>
        <v>1.9E-2</v>
      </c>
      <c r="I2682">
        <v>1.9E-2</v>
      </c>
      <c r="M2682" t="s">
        <v>65</v>
      </c>
      <c r="N2682" t="s">
        <v>29</v>
      </c>
      <c r="P2682" t="s">
        <v>30</v>
      </c>
      <c r="Q2682" t="s">
        <v>31</v>
      </c>
      <c r="R2682">
        <v>82640</v>
      </c>
      <c r="S2682" t="s">
        <v>42</v>
      </c>
      <c r="T2682">
        <v>82630</v>
      </c>
      <c r="U2682" t="s">
        <v>32</v>
      </c>
      <c r="V2682" t="s">
        <v>66</v>
      </c>
      <c r="W2682" t="s">
        <v>44</v>
      </c>
      <c r="X2682" t="s">
        <v>44</v>
      </c>
      <c r="Y2682" s="9">
        <f t="shared" si="124"/>
        <v>0</v>
      </c>
      <c r="Z2682" t="str">
        <f t="shared" si="125"/>
        <v>สแกนต่าง Cost</v>
      </c>
    </row>
    <row r="2683" spans="1:26" x14ac:dyDescent="0.45">
      <c r="A2683">
        <v>25815</v>
      </c>
      <c r="B2683" t="s">
        <v>53</v>
      </c>
      <c r="C2683">
        <v>20377125</v>
      </c>
      <c r="D2683" t="s">
        <v>194</v>
      </c>
      <c r="E2683" s="10">
        <v>46115.354166666664</v>
      </c>
      <c r="F2683" s="10">
        <v>46115.729166666664</v>
      </c>
      <c r="G2683">
        <v>8</v>
      </c>
      <c r="H2683" s="9">
        <f t="shared" si="123"/>
        <v>4.2999999999999997E-2</v>
      </c>
      <c r="J2683">
        <v>4.2999999999999997E-2</v>
      </c>
      <c r="M2683" t="s">
        <v>77</v>
      </c>
      <c r="N2683" t="s">
        <v>40</v>
      </c>
      <c r="O2683" t="s">
        <v>78</v>
      </c>
      <c r="P2683" t="s">
        <v>30</v>
      </c>
      <c r="Q2683" t="s">
        <v>31</v>
      </c>
      <c r="R2683">
        <v>82301</v>
      </c>
      <c r="S2683" t="s">
        <v>79</v>
      </c>
      <c r="T2683">
        <v>82658</v>
      </c>
      <c r="U2683" t="s">
        <v>33</v>
      </c>
      <c r="V2683" t="s">
        <v>33</v>
      </c>
      <c r="W2683" t="s">
        <v>37</v>
      </c>
      <c r="X2683" t="s">
        <v>38</v>
      </c>
      <c r="Y2683" s="9">
        <f t="shared" si="124"/>
        <v>4.2999999999999997E-2</v>
      </c>
      <c r="Z2683" t="str">
        <f t="shared" si="125"/>
        <v>สแกนต่าง Cost</v>
      </c>
    </row>
    <row r="2684" spans="1:26" x14ac:dyDescent="0.45">
      <c r="A2684">
        <v>25813</v>
      </c>
      <c r="B2684" t="s">
        <v>53</v>
      </c>
      <c r="C2684">
        <v>20003955</v>
      </c>
      <c r="D2684" t="s">
        <v>391</v>
      </c>
      <c r="E2684" s="10">
        <v>46115.353472222225</v>
      </c>
      <c r="F2684" s="10">
        <v>46115.729166666664</v>
      </c>
      <c r="G2684">
        <v>8.0166666666666675</v>
      </c>
      <c r="H2684" s="9">
        <f t="shared" si="123"/>
        <v>4.2999999999999997E-2</v>
      </c>
      <c r="J2684">
        <v>4.2999999999999997E-2</v>
      </c>
      <c r="M2684" t="s">
        <v>77</v>
      </c>
      <c r="N2684" t="s">
        <v>40</v>
      </c>
      <c r="O2684" t="s">
        <v>78</v>
      </c>
      <c r="P2684" t="s">
        <v>30</v>
      </c>
      <c r="Q2684" t="s">
        <v>31</v>
      </c>
      <c r="R2684">
        <v>82301</v>
      </c>
      <c r="S2684" t="s">
        <v>79</v>
      </c>
      <c r="T2684">
        <v>82658</v>
      </c>
      <c r="U2684" t="s">
        <v>33</v>
      </c>
      <c r="V2684" t="s">
        <v>33</v>
      </c>
      <c r="W2684" t="s">
        <v>37</v>
      </c>
      <c r="X2684" t="s">
        <v>38</v>
      </c>
      <c r="Y2684" s="9">
        <f t="shared" si="124"/>
        <v>4.2999999999999997E-2</v>
      </c>
      <c r="Z2684" t="str">
        <f t="shared" si="125"/>
        <v>สแกนต่าง Cost</v>
      </c>
    </row>
    <row r="2685" spans="1:26" x14ac:dyDescent="0.45">
      <c r="A2685">
        <v>25810</v>
      </c>
      <c r="B2685" t="s">
        <v>53</v>
      </c>
      <c r="C2685">
        <v>20014917</v>
      </c>
      <c r="D2685" t="s">
        <v>232</v>
      </c>
      <c r="E2685" s="10">
        <v>46115.353472222225</v>
      </c>
      <c r="F2685" s="10">
        <v>46115.729166666664</v>
      </c>
      <c r="G2685">
        <v>8.0166666666666675</v>
      </c>
      <c r="H2685" s="9">
        <f t="shared" si="123"/>
        <v>4.2999999999999997E-2</v>
      </c>
      <c r="J2685">
        <v>4.2999999999999997E-2</v>
      </c>
      <c r="M2685" t="s">
        <v>77</v>
      </c>
      <c r="N2685" t="s">
        <v>40</v>
      </c>
      <c r="O2685" t="s">
        <v>78</v>
      </c>
      <c r="P2685" t="s">
        <v>30</v>
      </c>
      <c r="Q2685" t="s">
        <v>31</v>
      </c>
      <c r="R2685">
        <v>82301</v>
      </c>
      <c r="S2685" t="s">
        <v>79</v>
      </c>
      <c r="T2685">
        <v>82658</v>
      </c>
      <c r="U2685" t="s">
        <v>33</v>
      </c>
      <c r="V2685" t="s">
        <v>33</v>
      </c>
      <c r="W2685" t="s">
        <v>37</v>
      </c>
      <c r="X2685" t="s">
        <v>38</v>
      </c>
      <c r="Y2685" s="9">
        <f t="shared" si="124"/>
        <v>4.2999999999999997E-2</v>
      </c>
      <c r="Z2685" t="str">
        <f t="shared" si="125"/>
        <v>สแกนต่าง Cost</v>
      </c>
    </row>
    <row r="2686" spans="1:26" x14ac:dyDescent="0.45">
      <c r="A2686">
        <v>25812</v>
      </c>
      <c r="B2686" t="s">
        <v>53</v>
      </c>
      <c r="C2686">
        <v>20025699</v>
      </c>
      <c r="D2686" t="s">
        <v>234</v>
      </c>
      <c r="E2686" s="10">
        <v>46115.353472222225</v>
      </c>
      <c r="F2686" s="10">
        <v>46115.729166666664</v>
      </c>
      <c r="G2686">
        <v>8.0166666666666675</v>
      </c>
      <c r="H2686" s="9">
        <f t="shared" si="123"/>
        <v>4.2999999999999997E-2</v>
      </c>
      <c r="J2686">
        <v>4.2999999999999997E-2</v>
      </c>
      <c r="M2686" t="s">
        <v>77</v>
      </c>
      <c r="N2686" t="s">
        <v>40</v>
      </c>
      <c r="O2686" t="s">
        <v>78</v>
      </c>
      <c r="P2686" t="s">
        <v>30</v>
      </c>
      <c r="Q2686" t="s">
        <v>31</v>
      </c>
      <c r="R2686">
        <v>82301</v>
      </c>
      <c r="S2686" t="s">
        <v>79</v>
      </c>
      <c r="T2686">
        <v>82658</v>
      </c>
      <c r="U2686" t="s">
        <v>33</v>
      </c>
      <c r="V2686" t="s">
        <v>33</v>
      </c>
      <c r="W2686" t="s">
        <v>37</v>
      </c>
      <c r="X2686" t="s">
        <v>38</v>
      </c>
      <c r="Y2686" s="9">
        <f t="shared" si="124"/>
        <v>4.2999999999999997E-2</v>
      </c>
      <c r="Z2686" t="str">
        <f t="shared" si="125"/>
        <v>สแกนต่าง Cost</v>
      </c>
    </row>
    <row r="2687" spans="1:26" x14ac:dyDescent="0.45">
      <c r="A2687">
        <v>25809</v>
      </c>
      <c r="B2687" t="s">
        <v>53</v>
      </c>
      <c r="C2687">
        <v>20026284</v>
      </c>
      <c r="D2687" t="s">
        <v>392</v>
      </c>
      <c r="E2687" s="10">
        <v>46115.353472222225</v>
      </c>
      <c r="F2687" s="10">
        <v>46115.729166666664</v>
      </c>
      <c r="G2687">
        <v>8.0166666666666675</v>
      </c>
      <c r="H2687" s="9">
        <f t="shared" si="123"/>
        <v>4.2999999999999997E-2</v>
      </c>
      <c r="J2687">
        <v>4.2999999999999997E-2</v>
      </c>
      <c r="M2687" t="s">
        <v>77</v>
      </c>
      <c r="N2687" t="s">
        <v>40</v>
      </c>
      <c r="O2687" t="s">
        <v>78</v>
      </c>
      <c r="P2687" t="s">
        <v>30</v>
      </c>
      <c r="Q2687" t="s">
        <v>31</v>
      </c>
      <c r="R2687">
        <v>82301</v>
      </c>
      <c r="S2687" t="s">
        <v>79</v>
      </c>
      <c r="T2687">
        <v>82658</v>
      </c>
      <c r="U2687" t="s">
        <v>33</v>
      </c>
      <c r="V2687" t="s">
        <v>33</v>
      </c>
      <c r="W2687" t="s">
        <v>37</v>
      </c>
      <c r="X2687" t="s">
        <v>38</v>
      </c>
      <c r="Y2687" s="9">
        <f t="shared" si="124"/>
        <v>4.2999999999999997E-2</v>
      </c>
      <c r="Z2687" t="str">
        <f t="shared" si="125"/>
        <v>สแกนต่าง Cost</v>
      </c>
    </row>
    <row r="2688" spans="1:26" x14ac:dyDescent="0.45">
      <c r="A2688">
        <v>25811</v>
      </c>
      <c r="B2688" t="s">
        <v>53</v>
      </c>
      <c r="C2688">
        <v>20198574</v>
      </c>
      <c r="D2688" t="s">
        <v>290</v>
      </c>
      <c r="E2688" s="10">
        <v>46115.353472222225</v>
      </c>
      <c r="F2688" s="10">
        <v>46115.729166666664</v>
      </c>
      <c r="G2688">
        <v>8.0166666666666675</v>
      </c>
      <c r="H2688" s="9">
        <f t="shared" si="123"/>
        <v>4.2999999999999997E-2</v>
      </c>
      <c r="J2688">
        <v>4.2999999999999997E-2</v>
      </c>
      <c r="M2688" t="s">
        <v>77</v>
      </c>
      <c r="N2688" t="s">
        <v>40</v>
      </c>
      <c r="O2688" t="s">
        <v>78</v>
      </c>
      <c r="P2688" t="s">
        <v>30</v>
      </c>
      <c r="Q2688" t="s">
        <v>31</v>
      </c>
      <c r="R2688">
        <v>82301</v>
      </c>
      <c r="S2688" t="s">
        <v>79</v>
      </c>
      <c r="T2688">
        <v>82658</v>
      </c>
      <c r="U2688" t="s">
        <v>33</v>
      </c>
      <c r="V2688" t="s">
        <v>33</v>
      </c>
      <c r="W2688" t="s">
        <v>37</v>
      </c>
      <c r="X2688" t="s">
        <v>38</v>
      </c>
      <c r="Y2688" s="9">
        <f t="shared" si="124"/>
        <v>4.2999999999999997E-2</v>
      </c>
      <c r="Z2688" t="str">
        <f t="shared" si="125"/>
        <v>สแกนต่าง Cost</v>
      </c>
    </row>
    <row r="2689" spans="1:26" x14ac:dyDescent="0.45">
      <c r="A2689">
        <v>25807</v>
      </c>
      <c r="B2689" t="s">
        <v>53</v>
      </c>
      <c r="C2689">
        <v>20276251</v>
      </c>
      <c r="D2689" t="s">
        <v>376</v>
      </c>
      <c r="E2689" s="10">
        <v>46115.353472222225</v>
      </c>
      <c r="F2689" s="10">
        <v>46115.729166666664</v>
      </c>
      <c r="G2689">
        <v>8.0166666666666675</v>
      </c>
      <c r="H2689" s="9">
        <f t="shared" si="123"/>
        <v>4.2999999999999997E-2</v>
      </c>
      <c r="J2689">
        <v>4.2999999999999997E-2</v>
      </c>
      <c r="M2689" t="s">
        <v>77</v>
      </c>
      <c r="N2689" t="s">
        <v>40</v>
      </c>
      <c r="O2689" t="s">
        <v>78</v>
      </c>
      <c r="P2689" t="s">
        <v>30</v>
      </c>
      <c r="Q2689" t="s">
        <v>31</v>
      </c>
      <c r="R2689">
        <v>82210</v>
      </c>
      <c r="S2689" t="s">
        <v>184</v>
      </c>
      <c r="T2689">
        <v>82658</v>
      </c>
      <c r="U2689" t="s">
        <v>33</v>
      </c>
      <c r="V2689" t="s">
        <v>33</v>
      </c>
      <c r="W2689" t="s">
        <v>37</v>
      </c>
      <c r="X2689" t="s">
        <v>38</v>
      </c>
      <c r="Y2689" s="9">
        <f t="shared" si="124"/>
        <v>4.2999999999999997E-2</v>
      </c>
      <c r="Z2689" t="str">
        <f t="shared" si="125"/>
        <v>สแกนต่าง Cost</v>
      </c>
    </row>
    <row r="2690" spans="1:26" x14ac:dyDescent="0.45">
      <c r="A2690">
        <v>25808</v>
      </c>
      <c r="B2690" t="s">
        <v>53</v>
      </c>
      <c r="C2690">
        <v>20292379</v>
      </c>
      <c r="D2690" t="s">
        <v>341</v>
      </c>
      <c r="E2690" s="10">
        <v>46115.353472222225</v>
      </c>
      <c r="F2690" s="10">
        <v>46115.729166666664</v>
      </c>
      <c r="G2690">
        <v>8.0166666666666675</v>
      </c>
      <c r="H2690" s="9">
        <f t="shared" si="123"/>
        <v>4.2999999999999997E-2</v>
      </c>
      <c r="I2690">
        <v>4.2999999999999997E-2</v>
      </c>
      <c r="M2690" t="s">
        <v>65</v>
      </c>
      <c r="N2690" t="s">
        <v>29</v>
      </c>
      <c r="P2690" t="s">
        <v>30</v>
      </c>
      <c r="Q2690" t="s">
        <v>31</v>
      </c>
      <c r="R2690">
        <v>82301</v>
      </c>
      <c r="S2690" t="s">
        <v>79</v>
      </c>
      <c r="T2690">
        <v>82658</v>
      </c>
      <c r="U2690" t="s">
        <v>33</v>
      </c>
      <c r="V2690" t="s">
        <v>33</v>
      </c>
      <c r="W2690" t="s">
        <v>37</v>
      </c>
      <c r="X2690" t="s">
        <v>38</v>
      </c>
      <c r="Y2690" s="9">
        <f t="shared" si="124"/>
        <v>0</v>
      </c>
      <c r="Z2690" t="str">
        <f t="shared" si="125"/>
        <v>สแกนต่าง Cost</v>
      </c>
    </row>
    <row r="2691" spans="1:26" x14ac:dyDescent="0.45">
      <c r="B2691" t="s">
        <v>53</v>
      </c>
      <c r="C2691">
        <v>20014594</v>
      </c>
      <c r="D2691" t="s">
        <v>361</v>
      </c>
      <c r="E2691" s="10">
        <v>46115.333333333336</v>
      </c>
      <c r="F2691" s="10">
        <v>46115.729166666664</v>
      </c>
      <c r="G2691">
        <v>8.5</v>
      </c>
      <c r="H2691" s="9">
        <f t="shared" ref="H2691:H2754" si="126">SUM(I2691:L2691)</f>
        <v>4.4999999999999998E-2</v>
      </c>
      <c r="I2691">
        <v>4.4999999999999998E-2</v>
      </c>
      <c r="M2691" t="s">
        <v>65</v>
      </c>
      <c r="N2691" t="s">
        <v>29</v>
      </c>
      <c r="P2691" t="s">
        <v>30</v>
      </c>
      <c r="Q2691" t="s">
        <v>31</v>
      </c>
      <c r="R2691">
        <v>82612</v>
      </c>
      <c r="S2691" t="s">
        <v>153</v>
      </c>
      <c r="T2691">
        <v>82630</v>
      </c>
      <c r="U2691" t="s">
        <v>32</v>
      </c>
      <c r="V2691" t="s">
        <v>62</v>
      </c>
      <c r="W2691" t="s">
        <v>44</v>
      </c>
      <c r="X2691" t="s">
        <v>44</v>
      </c>
      <c r="Y2691" s="9">
        <f t="shared" ref="Y2691:Y2754" si="127">SUM(J2691:L2691)</f>
        <v>0</v>
      </c>
      <c r="Z2691" t="str">
        <f t="shared" ref="Z2691:Z2754" si="128">IF(R2691=T2691,"สแกน Cost ตัวเอง","สแกนต่าง Cost")</f>
        <v>สแกนต่าง Cost</v>
      </c>
    </row>
    <row r="2692" spans="1:26" x14ac:dyDescent="0.45">
      <c r="A2692">
        <v>27295</v>
      </c>
      <c r="B2692" t="s">
        <v>53</v>
      </c>
      <c r="C2692">
        <v>20014598</v>
      </c>
      <c r="D2692" t="s">
        <v>89</v>
      </c>
      <c r="E2692" s="10">
        <v>46115.333333333336</v>
      </c>
      <c r="F2692" s="10">
        <v>46115.729166666664</v>
      </c>
      <c r="G2692">
        <v>8.5</v>
      </c>
      <c r="H2692" s="9">
        <f t="shared" si="126"/>
        <v>4.4999999999999998E-2</v>
      </c>
      <c r="I2692">
        <v>4.4999999999999998E-2</v>
      </c>
      <c r="M2692" t="s">
        <v>65</v>
      </c>
      <c r="N2692" t="s">
        <v>29</v>
      </c>
      <c r="P2692" t="s">
        <v>30</v>
      </c>
      <c r="Q2692" t="s">
        <v>31</v>
      </c>
      <c r="R2692">
        <v>82400</v>
      </c>
      <c r="S2692" t="s">
        <v>83</v>
      </c>
      <c r="T2692">
        <v>82690</v>
      </c>
      <c r="U2692" t="s">
        <v>90</v>
      </c>
      <c r="V2692" t="s">
        <v>90</v>
      </c>
      <c r="W2692" t="s">
        <v>91</v>
      </c>
      <c r="X2692" t="s">
        <v>92</v>
      </c>
      <c r="Y2692" s="9">
        <f t="shared" si="127"/>
        <v>0</v>
      </c>
      <c r="Z2692" t="str">
        <f t="shared" si="128"/>
        <v>สแกนต่าง Cost</v>
      </c>
    </row>
    <row r="2693" spans="1:26" x14ac:dyDescent="0.45">
      <c r="A2693">
        <v>25804</v>
      </c>
      <c r="B2693" t="s">
        <v>53</v>
      </c>
      <c r="C2693">
        <v>20014916</v>
      </c>
      <c r="D2693" t="s">
        <v>167</v>
      </c>
      <c r="E2693" s="10">
        <v>46115.333333333336</v>
      </c>
      <c r="F2693" s="10">
        <v>46115.729166666664</v>
      </c>
      <c r="G2693">
        <v>8.5</v>
      </c>
      <c r="H2693" s="9">
        <f t="shared" si="126"/>
        <v>4.4999999999999998E-2</v>
      </c>
      <c r="I2693">
        <v>4.4999999999999998E-2</v>
      </c>
      <c r="M2693" t="s">
        <v>65</v>
      </c>
      <c r="N2693" t="s">
        <v>29</v>
      </c>
      <c r="P2693" t="s">
        <v>133</v>
      </c>
      <c r="Q2693" t="s">
        <v>31</v>
      </c>
      <c r="R2693">
        <v>82607</v>
      </c>
      <c r="S2693" t="s">
        <v>168</v>
      </c>
      <c r="T2693">
        <v>82640</v>
      </c>
      <c r="U2693" t="s">
        <v>42</v>
      </c>
      <c r="V2693" t="s">
        <v>70</v>
      </c>
      <c r="W2693" t="s">
        <v>47</v>
      </c>
      <c r="X2693" t="s">
        <v>95</v>
      </c>
      <c r="Y2693" s="9">
        <f t="shared" si="127"/>
        <v>0</v>
      </c>
      <c r="Z2693" t="str">
        <f t="shared" si="128"/>
        <v>สแกนต่าง Cost</v>
      </c>
    </row>
    <row r="2694" spans="1:26" x14ac:dyDescent="0.45">
      <c r="A2694">
        <v>26540</v>
      </c>
      <c r="B2694" t="s">
        <v>53</v>
      </c>
      <c r="C2694">
        <v>20014916</v>
      </c>
      <c r="D2694" t="s">
        <v>167</v>
      </c>
      <c r="E2694" s="10">
        <v>46115.333333333336</v>
      </c>
      <c r="F2694" s="10">
        <v>46116.729166666664</v>
      </c>
      <c r="G2694">
        <v>33.5</v>
      </c>
      <c r="H2694" s="9">
        <f t="shared" si="126"/>
        <v>0.17899999999999999</v>
      </c>
      <c r="I2694">
        <v>4.4999999999999998E-2</v>
      </c>
      <c r="K2694">
        <v>0.13400000000000001</v>
      </c>
      <c r="M2694" t="s">
        <v>28</v>
      </c>
      <c r="N2694" t="s">
        <v>29</v>
      </c>
      <c r="P2694" t="s">
        <v>133</v>
      </c>
      <c r="Q2694" t="s">
        <v>31</v>
      </c>
      <c r="R2694">
        <v>82607</v>
      </c>
      <c r="S2694" t="s">
        <v>168</v>
      </c>
      <c r="T2694">
        <v>82640</v>
      </c>
      <c r="U2694" t="s">
        <v>42</v>
      </c>
      <c r="V2694" t="s">
        <v>155</v>
      </c>
      <c r="W2694" t="s">
        <v>47</v>
      </c>
      <c r="X2694" t="s">
        <v>95</v>
      </c>
      <c r="Y2694" s="9">
        <f t="shared" si="127"/>
        <v>0.13400000000000001</v>
      </c>
      <c r="Z2694" t="str">
        <f t="shared" si="128"/>
        <v>สแกนต่าง Cost</v>
      </c>
    </row>
    <row r="2695" spans="1:26" x14ac:dyDescent="0.45">
      <c r="B2695" t="s">
        <v>53</v>
      </c>
      <c r="C2695">
        <v>20018045</v>
      </c>
      <c r="D2695" t="s">
        <v>393</v>
      </c>
      <c r="E2695" s="10">
        <v>46115.333333333336</v>
      </c>
      <c r="F2695" s="10">
        <v>46115.729166666664</v>
      </c>
      <c r="G2695">
        <v>8.5</v>
      </c>
      <c r="H2695" s="9">
        <f t="shared" si="126"/>
        <v>4.4999999999999998E-2</v>
      </c>
      <c r="J2695">
        <v>4.4999999999999998E-2</v>
      </c>
      <c r="M2695" t="s">
        <v>77</v>
      </c>
      <c r="N2695" t="s">
        <v>29</v>
      </c>
      <c r="P2695" t="s">
        <v>30</v>
      </c>
      <c r="Q2695" t="s">
        <v>31</v>
      </c>
      <c r="R2695">
        <v>82612</v>
      </c>
      <c r="S2695" t="s">
        <v>153</v>
      </c>
      <c r="T2695">
        <v>82630</v>
      </c>
      <c r="U2695" t="s">
        <v>32</v>
      </c>
      <c r="V2695" t="s">
        <v>62</v>
      </c>
      <c r="W2695" t="s">
        <v>44</v>
      </c>
      <c r="X2695" t="s">
        <v>44</v>
      </c>
      <c r="Y2695" s="9">
        <f t="shared" si="127"/>
        <v>4.4999999999999998E-2</v>
      </c>
      <c r="Z2695" t="str">
        <f t="shared" si="128"/>
        <v>สแกนต่าง Cost</v>
      </c>
    </row>
    <row r="2696" spans="1:26" x14ac:dyDescent="0.45">
      <c r="A2696">
        <v>25484</v>
      </c>
      <c r="B2696" t="s">
        <v>53</v>
      </c>
      <c r="C2696">
        <v>20018611</v>
      </c>
      <c r="D2696" t="s">
        <v>132</v>
      </c>
      <c r="E2696" s="10">
        <v>46115.333333333336</v>
      </c>
      <c r="F2696" s="10">
        <v>46115.833333333336</v>
      </c>
      <c r="G2696">
        <v>12</v>
      </c>
      <c r="H2696" s="9">
        <f t="shared" si="126"/>
        <v>6.4000000000000001E-2</v>
      </c>
      <c r="I2696">
        <v>4.4999999999999998E-2</v>
      </c>
      <c r="K2696">
        <v>1.9E-2</v>
      </c>
      <c r="M2696" t="s">
        <v>28</v>
      </c>
      <c r="N2696" t="s">
        <v>40</v>
      </c>
      <c r="O2696" t="s">
        <v>41</v>
      </c>
      <c r="P2696" t="s">
        <v>133</v>
      </c>
      <c r="Q2696" t="s">
        <v>31</v>
      </c>
      <c r="R2696">
        <v>82301</v>
      </c>
      <c r="S2696" t="s">
        <v>79</v>
      </c>
      <c r="T2696">
        <v>82308</v>
      </c>
      <c r="U2696" t="s">
        <v>69</v>
      </c>
      <c r="V2696" t="s">
        <v>69</v>
      </c>
      <c r="W2696" t="s">
        <v>69</v>
      </c>
      <c r="X2696" t="s">
        <v>95</v>
      </c>
      <c r="Y2696" s="9">
        <f t="shared" si="127"/>
        <v>1.9E-2</v>
      </c>
      <c r="Z2696" t="str">
        <f t="shared" si="128"/>
        <v>สแกนต่าง Cost</v>
      </c>
    </row>
    <row r="2697" spans="1:26" x14ac:dyDescent="0.45">
      <c r="B2697" t="s">
        <v>53</v>
      </c>
      <c r="C2697">
        <v>20018899</v>
      </c>
      <c r="D2697" t="s">
        <v>64</v>
      </c>
      <c r="E2697" s="10">
        <v>46115.333333333336</v>
      </c>
      <c r="F2697" s="10">
        <v>46115.5</v>
      </c>
      <c r="G2697">
        <v>4</v>
      </c>
      <c r="H2697" s="9">
        <f t="shared" si="126"/>
        <v>2.1000000000000001E-2</v>
      </c>
      <c r="I2697">
        <v>2.1000000000000001E-2</v>
      </c>
      <c r="M2697" t="s">
        <v>65</v>
      </c>
      <c r="N2697" t="s">
        <v>29</v>
      </c>
      <c r="P2697" t="s">
        <v>30</v>
      </c>
      <c r="Q2697" t="s">
        <v>31</v>
      </c>
      <c r="R2697">
        <v>82640</v>
      </c>
      <c r="S2697" t="s">
        <v>42</v>
      </c>
      <c r="T2697">
        <v>82652</v>
      </c>
      <c r="U2697" t="s">
        <v>46</v>
      </c>
      <c r="V2697" t="s">
        <v>66</v>
      </c>
      <c r="W2697" t="s">
        <v>37</v>
      </c>
      <c r="X2697" t="s">
        <v>34</v>
      </c>
      <c r="Y2697" s="9">
        <f t="shared" si="127"/>
        <v>0</v>
      </c>
      <c r="Z2697" t="str">
        <f t="shared" si="128"/>
        <v>สแกนต่าง Cost</v>
      </c>
    </row>
    <row r="2698" spans="1:26" x14ac:dyDescent="0.45">
      <c r="B2698" t="s">
        <v>53</v>
      </c>
      <c r="C2698">
        <v>20023163</v>
      </c>
      <c r="D2698" t="s">
        <v>169</v>
      </c>
      <c r="E2698" s="10">
        <v>46115.333333333336</v>
      </c>
      <c r="F2698" s="10">
        <v>46115.729166666664</v>
      </c>
      <c r="G2698">
        <v>8.5</v>
      </c>
      <c r="H2698" s="9">
        <f t="shared" si="126"/>
        <v>4.4999999999999998E-2</v>
      </c>
      <c r="I2698">
        <v>4.4999999999999998E-2</v>
      </c>
      <c r="M2698" t="s">
        <v>65</v>
      </c>
      <c r="N2698" t="s">
        <v>29</v>
      </c>
      <c r="P2698" t="s">
        <v>30</v>
      </c>
      <c r="Q2698" t="s">
        <v>31</v>
      </c>
      <c r="R2698">
        <v>82630</v>
      </c>
      <c r="S2698" t="s">
        <v>32</v>
      </c>
      <c r="T2698">
        <v>82640</v>
      </c>
      <c r="U2698" t="s">
        <v>42</v>
      </c>
      <c r="V2698" t="s">
        <v>70</v>
      </c>
      <c r="W2698" t="s">
        <v>170</v>
      </c>
      <c r="X2698" t="s">
        <v>171</v>
      </c>
      <c r="Y2698" s="9">
        <f t="shared" si="127"/>
        <v>0</v>
      </c>
      <c r="Z2698" t="str">
        <f t="shared" si="128"/>
        <v>สแกนต่าง Cost</v>
      </c>
    </row>
    <row r="2699" spans="1:26" x14ac:dyDescent="0.45">
      <c r="A2699">
        <v>27292</v>
      </c>
      <c r="B2699" t="s">
        <v>53</v>
      </c>
      <c r="C2699">
        <v>20024254</v>
      </c>
      <c r="D2699" t="s">
        <v>233</v>
      </c>
      <c r="E2699" s="10">
        <v>46115.333333333336</v>
      </c>
      <c r="F2699" s="10">
        <v>46115.729166666664</v>
      </c>
      <c r="G2699">
        <v>8.5</v>
      </c>
      <c r="H2699" s="9">
        <f t="shared" si="126"/>
        <v>4.4999999999999998E-2</v>
      </c>
      <c r="I2699">
        <v>4.4999999999999998E-2</v>
      </c>
      <c r="M2699" t="s">
        <v>65</v>
      </c>
      <c r="N2699" t="s">
        <v>29</v>
      </c>
      <c r="P2699" t="s">
        <v>30</v>
      </c>
      <c r="Q2699" t="s">
        <v>31</v>
      </c>
      <c r="R2699">
        <v>82910</v>
      </c>
      <c r="S2699" t="s">
        <v>201</v>
      </c>
      <c r="T2699">
        <v>82611</v>
      </c>
      <c r="U2699" t="s">
        <v>43</v>
      </c>
      <c r="V2699" t="s">
        <v>43</v>
      </c>
      <c r="W2699" t="s">
        <v>148</v>
      </c>
      <c r="X2699" t="s">
        <v>171</v>
      </c>
      <c r="Y2699" s="9">
        <f t="shared" si="127"/>
        <v>0</v>
      </c>
      <c r="Z2699" t="str">
        <f t="shared" si="128"/>
        <v>สแกนต่าง Cost</v>
      </c>
    </row>
    <row r="2700" spans="1:26" x14ac:dyDescent="0.45">
      <c r="A2700">
        <v>27291</v>
      </c>
      <c r="B2700" t="s">
        <v>53</v>
      </c>
      <c r="C2700">
        <v>20025986</v>
      </c>
      <c r="D2700" t="s">
        <v>200</v>
      </c>
      <c r="E2700" s="10">
        <v>46115.333333333336</v>
      </c>
      <c r="F2700" s="10">
        <v>46115.729166666664</v>
      </c>
      <c r="G2700">
        <v>8.5</v>
      </c>
      <c r="H2700" s="9">
        <f t="shared" si="126"/>
        <v>4.4999999999999998E-2</v>
      </c>
      <c r="I2700">
        <v>4.4999999999999998E-2</v>
      </c>
      <c r="M2700" t="s">
        <v>77</v>
      </c>
      <c r="N2700" t="s">
        <v>29</v>
      </c>
      <c r="P2700" t="s">
        <v>30</v>
      </c>
      <c r="Q2700" t="s">
        <v>31</v>
      </c>
      <c r="R2700">
        <v>82910</v>
      </c>
      <c r="S2700" t="s">
        <v>201</v>
      </c>
      <c r="T2700">
        <v>82611</v>
      </c>
      <c r="U2700" t="s">
        <v>43</v>
      </c>
      <c r="V2700" t="s">
        <v>43</v>
      </c>
      <c r="W2700" t="s">
        <v>148</v>
      </c>
      <c r="X2700" t="s">
        <v>171</v>
      </c>
      <c r="Y2700" s="9">
        <f t="shared" si="127"/>
        <v>0</v>
      </c>
      <c r="Z2700" t="str">
        <f t="shared" si="128"/>
        <v>สแกนต่าง Cost</v>
      </c>
    </row>
    <row r="2701" spans="1:26" x14ac:dyDescent="0.45">
      <c r="A2701">
        <v>25608</v>
      </c>
      <c r="B2701" t="s">
        <v>53</v>
      </c>
      <c r="C2701">
        <v>20030839</v>
      </c>
      <c r="D2701" t="s">
        <v>235</v>
      </c>
      <c r="E2701" s="10">
        <v>46115.333333333336</v>
      </c>
      <c r="F2701" s="10">
        <v>46115.82916666667</v>
      </c>
      <c r="G2701">
        <v>11.9</v>
      </c>
      <c r="H2701" s="9">
        <f t="shared" si="126"/>
        <v>6.3E-2</v>
      </c>
      <c r="I2701">
        <v>4.4999999999999998E-2</v>
      </c>
      <c r="K2701">
        <v>1.7999999999999999E-2</v>
      </c>
      <c r="M2701" t="s">
        <v>28</v>
      </c>
      <c r="N2701" t="s">
        <v>40</v>
      </c>
      <c r="O2701" t="s">
        <v>41</v>
      </c>
      <c r="P2701" t="s">
        <v>30</v>
      </c>
      <c r="Q2701" t="s">
        <v>31</v>
      </c>
      <c r="R2701">
        <v>82658</v>
      </c>
      <c r="S2701" t="s">
        <v>33</v>
      </c>
      <c r="T2701">
        <v>82664</v>
      </c>
      <c r="U2701" t="s">
        <v>75</v>
      </c>
      <c r="V2701" t="s">
        <v>75</v>
      </c>
      <c r="W2701" t="s">
        <v>37</v>
      </c>
      <c r="X2701" t="s">
        <v>111</v>
      </c>
      <c r="Y2701" s="9">
        <f t="shared" si="127"/>
        <v>1.7999999999999999E-2</v>
      </c>
      <c r="Z2701" t="str">
        <f t="shared" si="128"/>
        <v>สแกนต่าง Cost</v>
      </c>
    </row>
    <row r="2702" spans="1:26" x14ac:dyDescent="0.45">
      <c r="B2702" t="s">
        <v>53</v>
      </c>
      <c r="C2702">
        <v>20034535</v>
      </c>
      <c r="D2702" t="s">
        <v>99</v>
      </c>
      <c r="E2702" s="10">
        <v>46115.333333333336</v>
      </c>
      <c r="F2702" s="10">
        <v>46115.729166666664</v>
      </c>
      <c r="G2702">
        <v>8.5</v>
      </c>
      <c r="H2702" s="9">
        <f t="shared" si="126"/>
        <v>4.4999999999999998E-2</v>
      </c>
      <c r="I2702">
        <v>4.4999999999999998E-2</v>
      </c>
      <c r="M2702" t="s">
        <v>65</v>
      </c>
      <c r="N2702" t="s">
        <v>29</v>
      </c>
      <c r="P2702" t="s">
        <v>30</v>
      </c>
      <c r="Q2702" t="s">
        <v>31</v>
      </c>
      <c r="R2702">
        <v>82630</v>
      </c>
      <c r="S2702" t="s">
        <v>32</v>
      </c>
      <c r="T2702">
        <v>82611</v>
      </c>
      <c r="U2702" t="s">
        <v>43</v>
      </c>
      <c r="V2702" t="s">
        <v>43</v>
      </c>
      <c r="W2702" t="s">
        <v>170</v>
      </c>
      <c r="X2702" t="s">
        <v>171</v>
      </c>
      <c r="Y2702" s="9">
        <f t="shared" si="127"/>
        <v>0</v>
      </c>
      <c r="Z2702" t="str">
        <f t="shared" si="128"/>
        <v>สแกนต่าง Cost</v>
      </c>
    </row>
    <row r="2703" spans="1:26" x14ac:dyDescent="0.45">
      <c r="B2703" t="s">
        <v>53</v>
      </c>
      <c r="C2703">
        <v>20037938</v>
      </c>
      <c r="D2703" t="s">
        <v>172</v>
      </c>
      <c r="E2703" s="10">
        <v>46115.333333333336</v>
      </c>
      <c r="F2703" s="10">
        <v>46115.729166666664</v>
      </c>
      <c r="G2703">
        <v>8.5</v>
      </c>
      <c r="H2703" s="9">
        <f t="shared" si="126"/>
        <v>4.4999999999999998E-2</v>
      </c>
      <c r="I2703">
        <v>4.4999999999999998E-2</v>
      </c>
      <c r="M2703" t="s">
        <v>65</v>
      </c>
      <c r="N2703" t="s">
        <v>29</v>
      </c>
      <c r="P2703" t="s">
        <v>30</v>
      </c>
      <c r="Q2703" t="s">
        <v>31</v>
      </c>
      <c r="R2703">
        <v>82630</v>
      </c>
      <c r="S2703" t="s">
        <v>32</v>
      </c>
      <c r="T2703">
        <v>82611</v>
      </c>
      <c r="U2703" t="s">
        <v>43</v>
      </c>
      <c r="V2703" t="s">
        <v>43</v>
      </c>
      <c r="W2703" t="s">
        <v>170</v>
      </c>
      <c r="X2703" t="s">
        <v>171</v>
      </c>
      <c r="Y2703" s="9">
        <f t="shared" si="127"/>
        <v>0</v>
      </c>
      <c r="Z2703" t="str">
        <f t="shared" si="128"/>
        <v>สแกนต่าง Cost</v>
      </c>
    </row>
    <row r="2704" spans="1:26" x14ac:dyDescent="0.45">
      <c r="B2704" t="s">
        <v>53</v>
      </c>
      <c r="C2704">
        <v>20041131</v>
      </c>
      <c r="D2704" t="s">
        <v>173</v>
      </c>
      <c r="E2704" s="10">
        <v>46115.333333333336</v>
      </c>
      <c r="F2704" s="10">
        <v>46115.729166666664</v>
      </c>
      <c r="G2704">
        <v>8.5</v>
      </c>
      <c r="H2704" s="9">
        <f t="shared" si="126"/>
        <v>4.4999999999999998E-2</v>
      </c>
      <c r="I2704">
        <v>4.4999999999999998E-2</v>
      </c>
      <c r="M2704" t="s">
        <v>65</v>
      </c>
      <c r="N2704" t="s">
        <v>29</v>
      </c>
      <c r="P2704" t="s">
        <v>30</v>
      </c>
      <c r="Q2704" t="s">
        <v>31</v>
      </c>
      <c r="R2704">
        <v>82630</v>
      </c>
      <c r="S2704" t="s">
        <v>32</v>
      </c>
      <c r="T2704">
        <v>82611</v>
      </c>
      <c r="U2704" t="s">
        <v>43</v>
      </c>
      <c r="V2704" t="s">
        <v>43</v>
      </c>
      <c r="W2704" t="s">
        <v>170</v>
      </c>
      <c r="X2704" t="s">
        <v>171</v>
      </c>
      <c r="Y2704" s="9">
        <f t="shared" si="127"/>
        <v>0</v>
      </c>
      <c r="Z2704" t="str">
        <f t="shared" si="128"/>
        <v>สแกนต่าง Cost</v>
      </c>
    </row>
    <row r="2705" spans="1:26" x14ac:dyDescent="0.45">
      <c r="A2705">
        <v>27248</v>
      </c>
      <c r="B2705" t="s">
        <v>53</v>
      </c>
      <c r="C2705">
        <v>20047023</v>
      </c>
      <c r="D2705" t="s">
        <v>271</v>
      </c>
      <c r="E2705" s="10">
        <v>46115.333333333336</v>
      </c>
      <c r="F2705" s="10">
        <v>46115.729166666664</v>
      </c>
      <c r="G2705">
        <v>8.5</v>
      </c>
      <c r="H2705" s="9">
        <f t="shared" si="126"/>
        <v>4.4999999999999998E-2</v>
      </c>
      <c r="I2705">
        <v>4.4999999999999998E-2</v>
      </c>
      <c r="M2705" t="s">
        <v>65</v>
      </c>
      <c r="N2705" t="s">
        <v>29</v>
      </c>
      <c r="P2705" t="s">
        <v>30</v>
      </c>
      <c r="Q2705" t="s">
        <v>31</v>
      </c>
      <c r="R2705">
        <v>82607</v>
      </c>
      <c r="S2705" t="s">
        <v>168</v>
      </c>
      <c r="T2705">
        <v>82630</v>
      </c>
      <c r="U2705" t="s">
        <v>32</v>
      </c>
      <c r="V2705" t="s">
        <v>155</v>
      </c>
      <c r="W2705" t="s">
        <v>148</v>
      </c>
      <c r="X2705" t="s">
        <v>95</v>
      </c>
      <c r="Y2705" s="9">
        <f t="shared" si="127"/>
        <v>0</v>
      </c>
      <c r="Z2705" t="str">
        <f t="shared" si="128"/>
        <v>สแกนต่าง Cost</v>
      </c>
    </row>
    <row r="2706" spans="1:26" x14ac:dyDescent="0.45">
      <c r="A2706">
        <v>27294</v>
      </c>
      <c r="B2706" t="s">
        <v>53</v>
      </c>
      <c r="C2706">
        <v>20066762</v>
      </c>
      <c r="D2706" t="s">
        <v>203</v>
      </c>
      <c r="E2706" s="10">
        <v>46115.333333333336</v>
      </c>
      <c r="F2706" s="10">
        <v>46115.729166666664</v>
      </c>
      <c r="G2706">
        <v>8.5</v>
      </c>
      <c r="H2706" s="9">
        <f t="shared" si="126"/>
        <v>4.4999999999999998E-2</v>
      </c>
      <c r="I2706">
        <v>4.4999999999999998E-2</v>
      </c>
      <c r="M2706" t="s">
        <v>65</v>
      </c>
      <c r="N2706" t="s">
        <v>29</v>
      </c>
      <c r="P2706" t="s">
        <v>30</v>
      </c>
      <c r="Q2706" t="s">
        <v>31</v>
      </c>
      <c r="R2706">
        <v>82910</v>
      </c>
      <c r="S2706" t="s">
        <v>201</v>
      </c>
      <c r="T2706">
        <v>82611</v>
      </c>
      <c r="U2706" t="s">
        <v>43</v>
      </c>
      <c r="V2706" t="s">
        <v>43</v>
      </c>
      <c r="W2706" t="s">
        <v>148</v>
      </c>
      <c r="X2706" t="s">
        <v>171</v>
      </c>
      <c r="Y2706" s="9">
        <f t="shared" si="127"/>
        <v>0</v>
      </c>
      <c r="Z2706" t="str">
        <f t="shared" si="128"/>
        <v>สแกนต่าง Cost</v>
      </c>
    </row>
    <row r="2707" spans="1:26" x14ac:dyDescent="0.45">
      <c r="B2707" t="s">
        <v>53</v>
      </c>
      <c r="C2707">
        <v>20074447</v>
      </c>
      <c r="D2707" t="s">
        <v>394</v>
      </c>
      <c r="E2707" s="10">
        <v>46115.333333333336</v>
      </c>
      <c r="F2707" s="10">
        <v>46115.729166666664</v>
      </c>
      <c r="G2707">
        <v>8.5</v>
      </c>
      <c r="H2707" s="9">
        <f t="shared" si="126"/>
        <v>4.4999999999999998E-2</v>
      </c>
      <c r="I2707">
        <v>4.4999999999999998E-2</v>
      </c>
      <c r="M2707" t="s">
        <v>65</v>
      </c>
      <c r="N2707" t="s">
        <v>29</v>
      </c>
      <c r="P2707" t="s">
        <v>30</v>
      </c>
      <c r="Q2707" t="s">
        <v>31</v>
      </c>
      <c r="R2707">
        <v>82612</v>
      </c>
      <c r="S2707" t="s">
        <v>153</v>
      </c>
      <c r="T2707">
        <v>82630</v>
      </c>
      <c r="U2707" t="s">
        <v>32</v>
      </c>
      <c r="V2707" t="s">
        <v>62</v>
      </c>
      <c r="W2707" t="s">
        <v>44</v>
      </c>
      <c r="X2707" t="s">
        <v>44</v>
      </c>
      <c r="Y2707" s="9">
        <f t="shared" si="127"/>
        <v>0</v>
      </c>
      <c r="Z2707" t="str">
        <f t="shared" si="128"/>
        <v>สแกนต่าง Cost</v>
      </c>
    </row>
    <row r="2708" spans="1:26" x14ac:dyDescent="0.45">
      <c r="B2708" t="s">
        <v>53</v>
      </c>
      <c r="C2708">
        <v>20074473</v>
      </c>
      <c r="D2708" t="s">
        <v>276</v>
      </c>
      <c r="E2708" s="10">
        <v>46115.333333333336</v>
      </c>
      <c r="F2708" s="10">
        <v>46115.729166666664</v>
      </c>
      <c r="G2708">
        <v>8.5</v>
      </c>
      <c r="H2708" s="9">
        <f t="shared" si="126"/>
        <v>4.4999999999999998E-2</v>
      </c>
      <c r="I2708">
        <v>4.4999999999999998E-2</v>
      </c>
      <c r="M2708" t="s">
        <v>65</v>
      </c>
      <c r="N2708" t="s">
        <v>29</v>
      </c>
      <c r="P2708" t="s">
        <v>30</v>
      </c>
      <c r="Q2708" t="s">
        <v>31</v>
      </c>
      <c r="R2708">
        <v>82630</v>
      </c>
      <c r="S2708" t="s">
        <v>32</v>
      </c>
      <c r="T2708">
        <v>82640</v>
      </c>
      <c r="U2708" t="s">
        <v>42</v>
      </c>
      <c r="V2708" t="s">
        <v>70</v>
      </c>
      <c r="W2708" t="s">
        <v>170</v>
      </c>
      <c r="X2708" t="s">
        <v>171</v>
      </c>
      <c r="Y2708" s="9">
        <f t="shared" si="127"/>
        <v>0</v>
      </c>
      <c r="Z2708" t="str">
        <f t="shared" si="128"/>
        <v>สแกนต่าง Cost</v>
      </c>
    </row>
    <row r="2709" spans="1:26" x14ac:dyDescent="0.45">
      <c r="A2709">
        <v>27251</v>
      </c>
      <c r="B2709" t="s">
        <v>53</v>
      </c>
      <c r="C2709">
        <v>20074749</v>
      </c>
      <c r="D2709" t="s">
        <v>395</v>
      </c>
      <c r="E2709" s="10">
        <v>46115.333333333336</v>
      </c>
      <c r="F2709" s="10">
        <v>46115.729166666664</v>
      </c>
      <c r="G2709">
        <v>8.5</v>
      </c>
      <c r="H2709" s="9">
        <f t="shared" si="126"/>
        <v>4.4999999999999998E-2</v>
      </c>
      <c r="I2709">
        <v>4.4999999999999998E-2</v>
      </c>
      <c r="M2709" t="s">
        <v>65</v>
      </c>
      <c r="N2709" t="s">
        <v>29</v>
      </c>
      <c r="P2709" t="s">
        <v>30</v>
      </c>
      <c r="Q2709" t="s">
        <v>31</v>
      </c>
      <c r="R2709">
        <v>82640</v>
      </c>
      <c r="S2709" t="s">
        <v>42</v>
      </c>
      <c r="T2709">
        <v>82611</v>
      </c>
      <c r="U2709" t="s">
        <v>43</v>
      </c>
      <c r="V2709" t="s">
        <v>43</v>
      </c>
      <c r="W2709" t="s">
        <v>42</v>
      </c>
      <c r="X2709" t="s">
        <v>38</v>
      </c>
      <c r="Y2709" s="9">
        <f t="shared" si="127"/>
        <v>0</v>
      </c>
      <c r="Z2709" t="str">
        <f t="shared" si="128"/>
        <v>สแกนต่าง Cost</v>
      </c>
    </row>
    <row r="2710" spans="1:26" x14ac:dyDescent="0.45">
      <c r="B2710" t="s">
        <v>53</v>
      </c>
      <c r="C2710">
        <v>20075871</v>
      </c>
      <c r="D2710" t="s">
        <v>174</v>
      </c>
      <c r="E2710" s="10">
        <v>46115.333333333336</v>
      </c>
      <c r="F2710" s="10">
        <v>46115.729166666664</v>
      </c>
      <c r="G2710">
        <v>8.5</v>
      </c>
      <c r="H2710" s="9">
        <f t="shared" si="126"/>
        <v>4.4999999999999998E-2</v>
      </c>
      <c r="I2710">
        <v>4.4999999999999998E-2</v>
      </c>
      <c r="M2710" t="s">
        <v>65</v>
      </c>
      <c r="N2710" t="s">
        <v>29</v>
      </c>
      <c r="P2710" t="s">
        <v>133</v>
      </c>
      <c r="Q2710" t="s">
        <v>31</v>
      </c>
      <c r="R2710">
        <v>82301</v>
      </c>
      <c r="S2710" t="s">
        <v>79</v>
      </c>
      <c r="T2710">
        <v>82308</v>
      </c>
      <c r="U2710" t="s">
        <v>69</v>
      </c>
      <c r="V2710" t="s">
        <v>69</v>
      </c>
      <c r="W2710" t="s">
        <v>69</v>
      </c>
      <c r="X2710" t="s">
        <v>95</v>
      </c>
      <c r="Y2710" s="9">
        <f t="shared" si="127"/>
        <v>0</v>
      </c>
      <c r="Z2710" t="str">
        <f t="shared" si="128"/>
        <v>สแกนต่าง Cost</v>
      </c>
    </row>
    <row r="2711" spans="1:26" x14ac:dyDescent="0.45">
      <c r="B2711" t="s">
        <v>53</v>
      </c>
      <c r="C2711">
        <v>20075986</v>
      </c>
      <c r="D2711" t="s">
        <v>396</v>
      </c>
      <c r="E2711" s="10">
        <v>46115.333333333336</v>
      </c>
      <c r="F2711" s="10">
        <v>46115.729166666664</v>
      </c>
      <c r="G2711">
        <v>8.5</v>
      </c>
      <c r="H2711" s="9">
        <f t="shared" si="126"/>
        <v>4.4999999999999998E-2</v>
      </c>
      <c r="I2711">
        <v>4.4999999999999998E-2</v>
      </c>
      <c r="M2711" t="s">
        <v>65</v>
      </c>
      <c r="N2711" t="s">
        <v>29</v>
      </c>
      <c r="P2711" t="s">
        <v>30</v>
      </c>
      <c r="Q2711" t="s">
        <v>31</v>
      </c>
      <c r="R2711">
        <v>82612</v>
      </c>
      <c r="S2711" t="s">
        <v>153</v>
      </c>
      <c r="T2711">
        <v>82630</v>
      </c>
      <c r="U2711" t="s">
        <v>32</v>
      </c>
      <c r="V2711" t="s">
        <v>62</v>
      </c>
      <c r="W2711" t="s">
        <v>44</v>
      </c>
      <c r="X2711" t="s">
        <v>44</v>
      </c>
      <c r="Y2711" s="9">
        <f t="shared" si="127"/>
        <v>0</v>
      </c>
      <c r="Z2711" t="str">
        <f t="shared" si="128"/>
        <v>สแกนต่าง Cost</v>
      </c>
    </row>
    <row r="2712" spans="1:26" x14ac:dyDescent="0.45">
      <c r="A2712">
        <v>27249</v>
      </c>
      <c r="B2712" t="s">
        <v>53</v>
      </c>
      <c r="C2712">
        <v>20075988</v>
      </c>
      <c r="D2712" t="s">
        <v>325</v>
      </c>
      <c r="E2712" s="10">
        <v>46115.333333333336</v>
      </c>
      <c r="F2712" s="10">
        <v>46115.729166666664</v>
      </c>
      <c r="G2712">
        <v>8.5</v>
      </c>
      <c r="H2712" s="9">
        <f t="shared" si="126"/>
        <v>4.4999999999999998E-2</v>
      </c>
      <c r="I2712">
        <v>4.4999999999999998E-2</v>
      </c>
      <c r="M2712" t="s">
        <v>65</v>
      </c>
      <c r="N2712" t="s">
        <v>29</v>
      </c>
      <c r="P2712" t="s">
        <v>30</v>
      </c>
      <c r="Q2712" t="s">
        <v>31</v>
      </c>
      <c r="R2712">
        <v>82607</v>
      </c>
      <c r="S2712" t="s">
        <v>168</v>
      </c>
      <c r="T2712">
        <v>82612</v>
      </c>
      <c r="U2712" t="s">
        <v>153</v>
      </c>
      <c r="V2712" t="s">
        <v>362</v>
      </c>
      <c r="W2712" t="s">
        <v>42</v>
      </c>
      <c r="X2712" t="s">
        <v>34</v>
      </c>
      <c r="Y2712" s="9">
        <f t="shared" si="127"/>
        <v>0</v>
      </c>
      <c r="Z2712" t="str">
        <f t="shared" si="128"/>
        <v>สแกนต่าง Cost</v>
      </c>
    </row>
    <row r="2713" spans="1:26" x14ac:dyDescent="0.45">
      <c r="A2713">
        <v>26703</v>
      </c>
      <c r="B2713" t="s">
        <v>53</v>
      </c>
      <c r="C2713">
        <v>20076436</v>
      </c>
      <c r="D2713" t="s">
        <v>131</v>
      </c>
      <c r="E2713" s="10">
        <v>46115.333333333336</v>
      </c>
      <c r="F2713" s="10">
        <v>46115.729166666664</v>
      </c>
      <c r="G2713">
        <v>8.5</v>
      </c>
      <c r="H2713" s="9">
        <f t="shared" si="126"/>
        <v>4.4999999999999998E-2</v>
      </c>
      <c r="I2713">
        <v>4.4999999999999998E-2</v>
      </c>
      <c r="M2713" t="s">
        <v>65</v>
      </c>
      <c r="N2713" t="s">
        <v>29</v>
      </c>
      <c r="P2713" t="s">
        <v>30</v>
      </c>
      <c r="Q2713" t="s">
        <v>31</v>
      </c>
      <c r="R2713">
        <v>82301</v>
      </c>
      <c r="S2713" t="s">
        <v>79</v>
      </c>
      <c r="T2713">
        <v>82308</v>
      </c>
      <c r="U2713" t="s">
        <v>69</v>
      </c>
      <c r="V2713" t="s">
        <v>69</v>
      </c>
      <c r="W2713" t="s">
        <v>69</v>
      </c>
      <c r="X2713" t="s">
        <v>95</v>
      </c>
      <c r="Y2713" s="9">
        <f t="shared" si="127"/>
        <v>0</v>
      </c>
      <c r="Z2713" t="str">
        <f t="shared" si="128"/>
        <v>สแกนต่าง Cost</v>
      </c>
    </row>
    <row r="2714" spans="1:26" x14ac:dyDescent="0.45">
      <c r="B2714" t="s">
        <v>53</v>
      </c>
      <c r="C2714">
        <v>20099870</v>
      </c>
      <c r="D2714" t="s">
        <v>298</v>
      </c>
      <c r="E2714" s="10">
        <v>46115.333333333336</v>
      </c>
      <c r="F2714" s="10">
        <v>46115.729166666664</v>
      </c>
      <c r="G2714">
        <v>8.5</v>
      </c>
      <c r="H2714" s="9">
        <f t="shared" si="126"/>
        <v>4.4999999999999998E-2</v>
      </c>
      <c r="J2714">
        <v>4.4999999999999998E-2</v>
      </c>
      <c r="M2714" t="s">
        <v>77</v>
      </c>
      <c r="N2714" t="s">
        <v>29</v>
      </c>
      <c r="P2714" t="s">
        <v>30</v>
      </c>
      <c r="Q2714" t="s">
        <v>31</v>
      </c>
      <c r="R2714">
        <v>82612</v>
      </c>
      <c r="S2714" t="s">
        <v>153</v>
      </c>
      <c r="T2714">
        <v>82630</v>
      </c>
      <c r="U2714" t="s">
        <v>32</v>
      </c>
      <c r="V2714" t="s">
        <v>62</v>
      </c>
      <c r="W2714" t="s">
        <v>44</v>
      </c>
      <c r="X2714" t="s">
        <v>44</v>
      </c>
      <c r="Y2714" s="9">
        <f t="shared" si="127"/>
        <v>4.4999999999999998E-2</v>
      </c>
      <c r="Z2714" t="str">
        <f t="shared" si="128"/>
        <v>สแกนต่าง Cost</v>
      </c>
    </row>
    <row r="2715" spans="1:26" x14ac:dyDescent="0.45">
      <c r="A2715">
        <v>25607</v>
      </c>
      <c r="B2715" t="s">
        <v>53</v>
      </c>
      <c r="C2715">
        <v>20162724</v>
      </c>
      <c r="D2715" t="s">
        <v>128</v>
      </c>
      <c r="E2715" s="10">
        <v>46115.333333333336</v>
      </c>
      <c r="F2715" s="10">
        <v>46115.82916666667</v>
      </c>
      <c r="G2715">
        <v>11.9</v>
      </c>
      <c r="H2715" s="9">
        <f t="shared" si="126"/>
        <v>6.3E-2</v>
      </c>
      <c r="I2715">
        <v>4.4999999999999998E-2</v>
      </c>
      <c r="K2715">
        <v>1.7999999999999999E-2</v>
      </c>
      <c r="M2715" t="s">
        <v>28</v>
      </c>
      <c r="N2715" t="s">
        <v>40</v>
      </c>
      <c r="O2715" t="s">
        <v>41</v>
      </c>
      <c r="P2715" t="s">
        <v>30</v>
      </c>
      <c r="Q2715" t="s">
        <v>31</v>
      </c>
      <c r="R2715">
        <v>82658</v>
      </c>
      <c r="S2715" t="s">
        <v>33</v>
      </c>
      <c r="T2715">
        <v>82664</v>
      </c>
      <c r="U2715" t="s">
        <v>75</v>
      </c>
      <c r="V2715" t="s">
        <v>75</v>
      </c>
      <c r="W2715" t="s">
        <v>37</v>
      </c>
      <c r="X2715" t="s">
        <v>111</v>
      </c>
      <c r="Y2715" s="9">
        <f t="shared" si="127"/>
        <v>1.7999999999999999E-2</v>
      </c>
      <c r="Z2715" t="str">
        <f t="shared" si="128"/>
        <v>สแกนต่าง Cost</v>
      </c>
    </row>
    <row r="2716" spans="1:26" x14ac:dyDescent="0.45">
      <c r="B2716" t="s">
        <v>53</v>
      </c>
      <c r="C2716">
        <v>20167851</v>
      </c>
      <c r="D2716" t="s">
        <v>63</v>
      </c>
      <c r="E2716" s="10">
        <v>46115.333333333336</v>
      </c>
      <c r="F2716" s="10">
        <v>46115.416666666664</v>
      </c>
      <c r="G2716">
        <v>2</v>
      </c>
      <c r="H2716" s="9">
        <f t="shared" si="126"/>
        <v>1.0999999999999999E-2</v>
      </c>
      <c r="I2716">
        <v>1.0999999999999999E-2</v>
      </c>
      <c r="M2716" t="s">
        <v>65</v>
      </c>
      <c r="N2716" t="s">
        <v>29</v>
      </c>
      <c r="P2716" t="s">
        <v>30</v>
      </c>
      <c r="Q2716" t="s">
        <v>31</v>
      </c>
      <c r="R2716">
        <v>82640</v>
      </c>
      <c r="S2716" t="s">
        <v>42</v>
      </c>
      <c r="T2716">
        <v>82612</v>
      </c>
      <c r="U2716" t="s">
        <v>153</v>
      </c>
      <c r="V2716" t="s">
        <v>66</v>
      </c>
      <c r="W2716" t="s">
        <v>44</v>
      </c>
      <c r="X2716" t="s">
        <v>44</v>
      </c>
      <c r="Y2716" s="9">
        <f t="shared" si="127"/>
        <v>0</v>
      </c>
      <c r="Z2716" t="str">
        <f t="shared" si="128"/>
        <v>สแกนต่าง Cost</v>
      </c>
    </row>
    <row r="2717" spans="1:26" x14ac:dyDescent="0.45">
      <c r="A2717">
        <v>25806</v>
      </c>
      <c r="B2717" t="s">
        <v>53</v>
      </c>
      <c r="C2717">
        <v>20190547</v>
      </c>
      <c r="D2717" t="s">
        <v>68</v>
      </c>
      <c r="E2717" s="10">
        <v>46115.333333333336</v>
      </c>
      <c r="F2717" s="10">
        <v>46115.729166666664</v>
      </c>
      <c r="G2717">
        <v>8.5</v>
      </c>
      <c r="H2717" s="9">
        <f t="shared" si="126"/>
        <v>4.4999999999999998E-2</v>
      </c>
      <c r="J2717">
        <v>4.4999999999999998E-2</v>
      </c>
      <c r="M2717" t="s">
        <v>77</v>
      </c>
      <c r="N2717" t="s">
        <v>40</v>
      </c>
      <c r="O2717" t="s">
        <v>78</v>
      </c>
      <c r="P2717" t="s">
        <v>30</v>
      </c>
      <c r="Q2717" t="s">
        <v>31</v>
      </c>
      <c r="R2717">
        <v>82308</v>
      </c>
      <c r="S2717" t="s">
        <v>69</v>
      </c>
      <c r="T2717">
        <v>82658</v>
      </c>
      <c r="U2717" t="s">
        <v>33</v>
      </c>
      <c r="V2717" t="s">
        <v>33</v>
      </c>
      <c r="W2717" t="s">
        <v>34</v>
      </c>
      <c r="X2717" t="s">
        <v>34</v>
      </c>
      <c r="Y2717" s="9">
        <f t="shared" si="127"/>
        <v>4.4999999999999998E-2</v>
      </c>
      <c r="Z2717" t="str">
        <f t="shared" si="128"/>
        <v>สแกนต่าง Cost</v>
      </c>
    </row>
    <row r="2718" spans="1:26" x14ac:dyDescent="0.45">
      <c r="A2718">
        <v>25805</v>
      </c>
      <c r="B2718" t="s">
        <v>53</v>
      </c>
      <c r="C2718">
        <v>20190548</v>
      </c>
      <c r="D2718" t="s">
        <v>266</v>
      </c>
      <c r="E2718" s="10">
        <v>46115.333333333336</v>
      </c>
      <c r="F2718" s="10">
        <v>46115.729166666664</v>
      </c>
      <c r="G2718">
        <v>8.5</v>
      </c>
      <c r="H2718" s="9">
        <f t="shared" si="126"/>
        <v>4.4999999999999998E-2</v>
      </c>
      <c r="J2718">
        <v>4.4999999999999998E-2</v>
      </c>
      <c r="M2718" t="s">
        <v>77</v>
      </c>
      <c r="N2718" t="s">
        <v>40</v>
      </c>
      <c r="O2718" t="s">
        <v>78</v>
      </c>
      <c r="P2718" t="s">
        <v>30</v>
      </c>
      <c r="Q2718" t="s">
        <v>31</v>
      </c>
      <c r="R2718">
        <v>82308</v>
      </c>
      <c r="S2718" t="s">
        <v>69</v>
      </c>
      <c r="T2718">
        <v>82658</v>
      </c>
      <c r="U2718" t="s">
        <v>33</v>
      </c>
      <c r="V2718" t="s">
        <v>33</v>
      </c>
      <c r="W2718" t="s">
        <v>34</v>
      </c>
      <c r="X2718" t="s">
        <v>34</v>
      </c>
      <c r="Y2718" s="9">
        <f t="shared" si="127"/>
        <v>4.4999999999999998E-2</v>
      </c>
      <c r="Z2718" t="str">
        <f t="shared" si="128"/>
        <v>สแกนต่าง Cost</v>
      </c>
    </row>
    <row r="2719" spans="1:26" x14ac:dyDescent="0.45">
      <c r="B2719" t="s">
        <v>53</v>
      </c>
      <c r="C2719">
        <v>20198711</v>
      </c>
      <c r="D2719" t="s">
        <v>178</v>
      </c>
      <c r="E2719" s="10">
        <v>46115.333333333336</v>
      </c>
      <c r="F2719" s="10">
        <v>46115.729166666664</v>
      </c>
      <c r="G2719">
        <v>8.5</v>
      </c>
      <c r="H2719" s="9">
        <f t="shared" si="126"/>
        <v>4.4999999999999998E-2</v>
      </c>
      <c r="I2719">
        <v>4.4999999999999998E-2</v>
      </c>
      <c r="M2719" t="s">
        <v>65</v>
      </c>
      <c r="N2719" t="s">
        <v>29</v>
      </c>
      <c r="P2719" t="s">
        <v>30</v>
      </c>
      <c r="Q2719" t="s">
        <v>31</v>
      </c>
      <c r="R2719">
        <v>82630</v>
      </c>
      <c r="S2719" t="s">
        <v>32</v>
      </c>
      <c r="T2719">
        <v>82611</v>
      </c>
      <c r="U2719" t="s">
        <v>43</v>
      </c>
      <c r="V2719" t="s">
        <v>43</v>
      </c>
      <c r="W2719" t="s">
        <v>170</v>
      </c>
      <c r="X2719" t="s">
        <v>171</v>
      </c>
      <c r="Y2719" s="9">
        <f t="shared" si="127"/>
        <v>0</v>
      </c>
      <c r="Z2719" t="str">
        <f t="shared" si="128"/>
        <v>สแกนต่าง Cost</v>
      </c>
    </row>
    <row r="2720" spans="1:26" x14ac:dyDescent="0.45">
      <c r="B2720" t="s">
        <v>53</v>
      </c>
      <c r="C2720">
        <v>20198715</v>
      </c>
      <c r="D2720" t="s">
        <v>179</v>
      </c>
      <c r="E2720" s="10">
        <v>46115.333333333336</v>
      </c>
      <c r="F2720" s="10">
        <v>46115.729166666664</v>
      </c>
      <c r="G2720">
        <v>8.5</v>
      </c>
      <c r="H2720" s="9">
        <f t="shared" si="126"/>
        <v>4.4999999999999998E-2</v>
      </c>
      <c r="I2720">
        <v>4.4999999999999998E-2</v>
      </c>
      <c r="M2720" t="s">
        <v>65</v>
      </c>
      <c r="N2720" t="s">
        <v>29</v>
      </c>
      <c r="P2720" t="s">
        <v>30</v>
      </c>
      <c r="Q2720" t="s">
        <v>31</v>
      </c>
      <c r="R2720">
        <v>82630</v>
      </c>
      <c r="S2720" t="s">
        <v>32</v>
      </c>
      <c r="T2720">
        <v>82611</v>
      </c>
      <c r="U2720" t="s">
        <v>43</v>
      </c>
      <c r="V2720" t="s">
        <v>43</v>
      </c>
      <c r="W2720" t="s">
        <v>170</v>
      </c>
      <c r="X2720" t="s">
        <v>171</v>
      </c>
      <c r="Y2720" s="9">
        <f t="shared" si="127"/>
        <v>0</v>
      </c>
      <c r="Z2720" t="str">
        <f t="shared" si="128"/>
        <v>สแกนต่าง Cost</v>
      </c>
    </row>
    <row r="2721" spans="1:26" x14ac:dyDescent="0.45">
      <c r="B2721" t="s">
        <v>53</v>
      </c>
      <c r="C2721">
        <v>20198747</v>
      </c>
      <c r="D2721" t="s">
        <v>180</v>
      </c>
      <c r="E2721" s="10">
        <v>46115.333333333336</v>
      </c>
      <c r="F2721" s="10">
        <v>46115.729166666664</v>
      </c>
      <c r="G2721">
        <v>8.5</v>
      </c>
      <c r="H2721" s="9">
        <f t="shared" si="126"/>
        <v>4.4999999999999998E-2</v>
      </c>
      <c r="I2721">
        <v>4.4999999999999998E-2</v>
      </c>
      <c r="M2721" t="s">
        <v>65</v>
      </c>
      <c r="N2721" t="s">
        <v>29</v>
      </c>
      <c r="P2721" t="s">
        <v>30</v>
      </c>
      <c r="Q2721" t="s">
        <v>31</v>
      </c>
      <c r="R2721">
        <v>82630</v>
      </c>
      <c r="S2721" t="s">
        <v>32</v>
      </c>
      <c r="T2721">
        <v>82640</v>
      </c>
      <c r="U2721" t="s">
        <v>42</v>
      </c>
      <c r="V2721" t="s">
        <v>70</v>
      </c>
      <c r="W2721" t="s">
        <v>170</v>
      </c>
      <c r="X2721" t="s">
        <v>171</v>
      </c>
      <c r="Y2721" s="9">
        <f t="shared" si="127"/>
        <v>0</v>
      </c>
      <c r="Z2721" t="str">
        <f t="shared" si="128"/>
        <v>สแกนต่าง Cost</v>
      </c>
    </row>
    <row r="2722" spans="1:26" x14ac:dyDescent="0.45">
      <c r="A2722">
        <v>27250</v>
      </c>
      <c r="B2722" t="s">
        <v>53</v>
      </c>
      <c r="C2722">
        <v>20198828</v>
      </c>
      <c r="D2722" t="s">
        <v>388</v>
      </c>
      <c r="E2722" s="10">
        <v>46115.333333333336</v>
      </c>
      <c r="F2722" s="10">
        <v>46115.729166666664</v>
      </c>
      <c r="G2722">
        <v>8.5</v>
      </c>
      <c r="H2722" s="9">
        <f t="shared" si="126"/>
        <v>4.4999999999999998E-2</v>
      </c>
      <c r="I2722">
        <v>4.4999999999999998E-2</v>
      </c>
      <c r="M2722" t="s">
        <v>65</v>
      </c>
      <c r="N2722" t="s">
        <v>29</v>
      </c>
      <c r="P2722" t="s">
        <v>30</v>
      </c>
      <c r="Q2722" t="s">
        <v>31</v>
      </c>
      <c r="R2722">
        <v>82640</v>
      </c>
      <c r="S2722" t="s">
        <v>42</v>
      </c>
      <c r="T2722">
        <v>82611</v>
      </c>
      <c r="U2722" t="s">
        <v>43</v>
      </c>
      <c r="V2722" t="s">
        <v>43</v>
      </c>
      <c r="W2722" t="s">
        <v>42</v>
      </c>
      <c r="X2722" t="s">
        <v>38</v>
      </c>
      <c r="Y2722" s="9">
        <f t="shared" si="127"/>
        <v>0</v>
      </c>
      <c r="Z2722" t="str">
        <f t="shared" si="128"/>
        <v>สแกนต่าง Cost</v>
      </c>
    </row>
    <row r="2723" spans="1:26" x14ac:dyDescent="0.45">
      <c r="B2723" t="s">
        <v>53</v>
      </c>
      <c r="C2723">
        <v>20198829</v>
      </c>
      <c r="D2723" t="s">
        <v>397</v>
      </c>
      <c r="E2723" s="10">
        <v>46115.333333333336</v>
      </c>
      <c r="F2723" s="10">
        <v>46115.729166666664</v>
      </c>
      <c r="G2723">
        <v>9.5</v>
      </c>
      <c r="H2723" s="9">
        <f t="shared" si="126"/>
        <v>5.0000000000000001E-3</v>
      </c>
      <c r="L2723">
        <v>5.0000000000000001E-3</v>
      </c>
      <c r="M2723" t="s">
        <v>255</v>
      </c>
      <c r="N2723" t="s">
        <v>29</v>
      </c>
      <c r="P2723" t="s">
        <v>30</v>
      </c>
      <c r="Q2723" t="s">
        <v>31</v>
      </c>
      <c r="R2723">
        <v>82612</v>
      </c>
      <c r="S2723" t="s">
        <v>153</v>
      </c>
      <c r="T2723">
        <v>82630</v>
      </c>
      <c r="U2723" t="s">
        <v>32</v>
      </c>
      <c r="V2723" t="s">
        <v>62</v>
      </c>
      <c r="W2723" t="s">
        <v>44</v>
      </c>
      <c r="X2723" t="s">
        <v>44</v>
      </c>
      <c r="Y2723" s="9">
        <f t="shared" si="127"/>
        <v>5.0000000000000001E-3</v>
      </c>
      <c r="Z2723" t="str">
        <f t="shared" si="128"/>
        <v>สแกนต่าง Cost</v>
      </c>
    </row>
    <row r="2724" spans="1:26" x14ac:dyDescent="0.45">
      <c r="A2724">
        <v>25609</v>
      </c>
      <c r="B2724" t="s">
        <v>53</v>
      </c>
      <c r="C2724">
        <v>20198835</v>
      </c>
      <c r="D2724" t="s">
        <v>129</v>
      </c>
      <c r="E2724" s="10">
        <v>46115.333333333336</v>
      </c>
      <c r="F2724" s="10">
        <v>46115.82916666667</v>
      </c>
      <c r="G2724">
        <v>11.9</v>
      </c>
      <c r="H2724" s="9">
        <f t="shared" si="126"/>
        <v>6.3E-2</v>
      </c>
      <c r="I2724">
        <v>4.4999999999999998E-2</v>
      </c>
      <c r="K2724">
        <v>1.7999999999999999E-2</v>
      </c>
      <c r="M2724" t="s">
        <v>28</v>
      </c>
      <c r="N2724" t="s">
        <v>40</v>
      </c>
      <c r="O2724" t="s">
        <v>41</v>
      </c>
      <c r="P2724" t="s">
        <v>30</v>
      </c>
      <c r="Q2724" t="s">
        <v>31</v>
      </c>
      <c r="R2724">
        <v>82658</v>
      </c>
      <c r="S2724" t="s">
        <v>33</v>
      </c>
      <c r="T2724">
        <v>82664</v>
      </c>
      <c r="U2724" t="s">
        <v>75</v>
      </c>
      <c r="V2724" t="s">
        <v>75</v>
      </c>
      <c r="W2724" t="s">
        <v>37</v>
      </c>
      <c r="X2724" t="s">
        <v>111</v>
      </c>
      <c r="Y2724" s="9">
        <f t="shared" si="127"/>
        <v>1.7999999999999999E-2</v>
      </c>
      <c r="Z2724" t="str">
        <f t="shared" si="128"/>
        <v>สแกนต่าง Cost</v>
      </c>
    </row>
    <row r="2725" spans="1:26" x14ac:dyDescent="0.45">
      <c r="B2725" t="s">
        <v>53</v>
      </c>
      <c r="C2725">
        <v>20198839</v>
      </c>
      <c r="D2725" t="s">
        <v>258</v>
      </c>
      <c r="E2725" s="10">
        <v>46115.333333333336</v>
      </c>
      <c r="F2725" s="10">
        <v>46115.354166666664</v>
      </c>
      <c r="G2725">
        <v>0.5</v>
      </c>
      <c r="H2725" s="9">
        <f t="shared" si="126"/>
        <v>3.0000000000000001E-3</v>
      </c>
      <c r="I2725">
        <v>3.0000000000000001E-3</v>
      </c>
      <c r="M2725" t="s">
        <v>65</v>
      </c>
      <c r="N2725" t="s">
        <v>29</v>
      </c>
      <c r="P2725" t="s">
        <v>30</v>
      </c>
      <c r="Q2725" t="s">
        <v>31</v>
      </c>
      <c r="R2725">
        <v>82640</v>
      </c>
      <c r="S2725" t="s">
        <v>42</v>
      </c>
      <c r="T2725">
        <v>82630</v>
      </c>
      <c r="U2725" t="s">
        <v>32</v>
      </c>
      <c r="V2725" t="s">
        <v>66</v>
      </c>
      <c r="W2725" t="s">
        <v>44</v>
      </c>
      <c r="X2725" t="s">
        <v>44</v>
      </c>
      <c r="Y2725" s="9">
        <f t="shared" si="127"/>
        <v>0</v>
      </c>
      <c r="Z2725" t="str">
        <f t="shared" si="128"/>
        <v>สแกนต่าง Cost</v>
      </c>
    </row>
    <row r="2726" spans="1:26" x14ac:dyDescent="0.45">
      <c r="B2726" t="s">
        <v>53</v>
      </c>
      <c r="C2726">
        <v>20220646</v>
      </c>
      <c r="D2726" t="s">
        <v>67</v>
      </c>
      <c r="E2726" s="10">
        <v>46115.333333333336</v>
      </c>
      <c r="F2726" s="10">
        <v>46115.5</v>
      </c>
      <c r="G2726">
        <v>4</v>
      </c>
      <c r="H2726" s="9">
        <f t="shared" si="126"/>
        <v>2.1000000000000001E-2</v>
      </c>
      <c r="I2726">
        <v>2.1000000000000001E-2</v>
      </c>
      <c r="M2726" t="s">
        <v>65</v>
      </c>
      <c r="N2726" t="s">
        <v>29</v>
      </c>
      <c r="P2726" t="s">
        <v>30</v>
      </c>
      <c r="Q2726" t="s">
        <v>31</v>
      </c>
      <c r="R2726">
        <v>82640</v>
      </c>
      <c r="S2726" t="s">
        <v>42</v>
      </c>
      <c r="T2726">
        <v>82652</v>
      </c>
      <c r="U2726" t="s">
        <v>46</v>
      </c>
      <c r="V2726" t="s">
        <v>66</v>
      </c>
      <c r="W2726" t="s">
        <v>37</v>
      </c>
      <c r="X2726" t="s">
        <v>34</v>
      </c>
      <c r="Y2726" s="9">
        <f t="shared" si="127"/>
        <v>0</v>
      </c>
      <c r="Z2726" t="str">
        <f t="shared" si="128"/>
        <v>สแกนต่าง Cost</v>
      </c>
    </row>
    <row r="2727" spans="1:26" x14ac:dyDescent="0.45">
      <c r="B2727" t="s">
        <v>53</v>
      </c>
      <c r="C2727">
        <v>20225092</v>
      </c>
      <c r="D2727" t="s">
        <v>335</v>
      </c>
      <c r="E2727" s="10">
        <v>46115.333333333336</v>
      </c>
      <c r="F2727" s="10">
        <v>46115.729166666664</v>
      </c>
      <c r="G2727">
        <v>8.5</v>
      </c>
      <c r="H2727" s="9">
        <f t="shared" si="126"/>
        <v>4.4999999999999998E-2</v>
      </c>
      <c r="I2727">
        <v>4.4999999999999998E-2</v>
      </c>
      <c r="M2727" t="s">
        <v>65</v>
      </c>
      <c r="N2727" t="s">
        <v>29</v>
      </c>
      <c r="P2727" t="s">
        <v>133</v>
      </c>
      <c r="Q2727" t="s">
        <v>31</v>
      </c>
      <c r="R2727">
        <v>82400</v>
      </c>
      <c r="S2727" t="s">
        <v>83</v>
      </c>
      <c r="T2727">
        <v>82664</v>
      </c>
      <c r="U2727" t="s">
        <v>75</v>
      </c>
      <c r="V2727" t="s">
        <v>336</v>
      </c>
      <c r="W2727" t="s">
        <v>44</v>
      </c>
      <c r="X2727" t="s">
        <v>44</v>
      </c>
      <c r="Y2727" s="9">
        <f t="shared" si="127"/>
        <v>0</v>
      </c>
      <c r="Z2727" t="str">
        <f t="shared" si="128"/>
        <v>สแกนต่าง Cost</v>
      </c>
    </row>
    <row r="2728" spans="1:26" x14ac:dyDescent="0.45">
      <c r="B2728" t="s">
        <v>53</v>
      </c>
      <c r="C2728">
        <v>20244923</v>
      </c>
      <c r="D2728" t="s">
        <v>246</v>
      </c>
      <c r="E2728" s="10">
        <v>46115.333333333336</v>
      </c>
      <c r="F2728" s="10">
        <v>46115.354166666664</v>
      </c>
      <c r="G2728">
        <v>0.5</v>
      </c>
      <c r="H2728" s="9">
        <f t="shared" si="126"/>
        <v>3.0000000000000001E-3</v>
      </c>
      <c r="I2728">
        <v>3.0000000000000001E-3</v>
      </c>
      <c r="M2728" t="s">
        <v>65</v>
      </c>
      <c r="N2728" t="s">
        <v>29</v>
      </c>
      <c r="P2728" t="s">
        <v>30</v>
      </c>
      <c r="Q2728" t="s">
        <v>31</v>
      </c>
      <c r="R2728">
        <v>82640</v>
      </c>
      <c r="S2728" t="s">
        <v>42</v>
      </c>
      <c r="T2728">
        <v>82612</v>
      </c>
      <c r="U2728" t="s">
        <v>153</v>
      </c>
      <c r="V2728" t="s">
        <v>66</v>
      </c>
      <c r="W2728" t="s">
        <v>44</v>
      </c>
      <c r="X2728" t="s">
        <v>44</v>
      </c>
      <c r="Y2728" s="9">
        <f t="shared" si="127"/>
        <v>0</v>
      </c>
      <c r="Z2728" t="str">
        <f t="shared" si="128"/>
        <v>สแกนต่าง Cost</v>
      </c>
    </row>
    <row r="2729" spans="1:26" x14ac:dyDescent="0.45">
      <c r="B2729" t="s">
        <v>53</v>
      </c>
      <c r="C2729">
        <v>20245939</v>
      </c>
      <c r="D2729" t="s">
        <v>398</v>
      </c>
      <c r="E2729" s="10">
        <v>46115.333333333336</v>
      </c>
      <c r="F2729" s="10">
        <v>46115.729166666664</v>
      </c>
      <c r="G2729">
        <v>9.5</v>
      </c>
      <c r="H2729" s="9">
        <f t="shared" si="126"/>
        <v>4.9999999999999996E-2</v>
      </c>
      <c r="I2729">
        <v>4.4999999999999998E-2</v>
      </c>
      <c r="K2729">
        <v>5.0000000000000001E-3</v>
      </c>
      <c r="M2729" t="s">
        <v>28</v>
      </c>
      <c r="N2729" t="s">
        <v>29</v>
      </c>
      <c r="P2729" t="s">
        <v>30</v>
      </c>
      <c r="Q2729" t="s">
        <v>31</v>
      </c>
      <c r="R2729">
        <v>82612</v>
      </c>
      <c r="S2729" t="s">
        <v>153</v>
      </c>
      <c r="T2729">
        <v>82630</v>
      </c>
      <c r="U2729" t="s">
        <v>32</v>
      </c>
      <c r="V2729" t="s">
        <v>62</v>
      </c>
      <c r="W2729" t="s">
        <v>44</v>
      </c>
      <c r="X2729" t="s">
        <v>44</v>
      </c>
      <c r="Y2729" s="9">
        <f t="shared" si="127"/>
        <v>5.0000000000000001E-3</v>
      </c>
      <c r="Z2729" t="str">
        <f t="shared" si="128"/>
        <v>สแกนต่าง Cost</v>
      </c>
    </row>
    <row r="2730" spans="1:26" x14ac:dyDescent="0.45">
      <c r="A2730">
        <v>25666</v>
      </c>
      <c r="B2730" t="s">
        <v>53</v>
      </c>
      <c r="C2730">
        <v>20250211</v>
      </c>
      <c r="D2730" t="s">
        <v>387</v>
      </c>
      <c r="E2730" s="10">
        <v>46115.333333333336</v>
      </c>
      <c r="F2730" s="10">
        <v>46115.729166666664</v>
      </c>
      <c r="G2730">
        <v>8.5</v>
      </c>
      <c r="H2730" s="9">
        <f t="shared" si="126"/>
        <v>4.4999999999999998E-2</v>
      </c>
      <c r="J2730">
        <v>4.4999999999999998E-2</v>
      </c>
      <c r="M2730" t="s">
        <v>77</v>
      </c>
      <c r="N2730" t="s">
        <v>40</v>
      </c>
      <c r="O2730" t="s">
        <v>78</v>
      </c>
      <c r="P2730" t="s">
        <v>30</v>
      </c>
      <c r="Q2730" t="s">
        <v>31</v>
      </c>
      <c r="R2730">
        <v>82301</v>
      </c>
      <c r="S2730" t="s">
        <v>79</v>
      </c>
      <c r="T2730">
        <v>82664</v>
      </c>
      <c r="U2730" t="s">
        <v>75</v>
      </c>
      <c r="V2730" t="s">
        <v>75</v>
      </c>
      <c r="W2730" t="s">
        <v>95</v>
      </c>
      <c r="X2730" t="s">
        <v>47</v>
      </c>
      <c r="Y2730" s="9">
        <f t="shared" si="127"/>
        <v>4.4999999999999998E-2</v>
      </c>
      <c r="Z2730" t="str">
        <f t="shared" si="128"/>
        <v>สแกนต่าง Cost</v>
      </c>
    </row>
    <row r="2731" spans="1:26" x14ac:dyDescent="0.45">
      <c r="A2731">
        <v>25613</v>
      </c>
      <c r="B2731" t="s">
        <v>53</v>
      </c>
      <c r="C2731">
        <v>20267288</v>
      </c>
      <c r="D2731" t="s">
        <v>127</v>
      </c>
      <c r="E2731" s="10">
        <v>46115.333333333336</v>
      </c>
      <c r="F2731" s="10">
        <v>46115.827777777777</v>
      </c>
      <c r="G2731">
        <v>11.866666666666667</v>
      </c>
      <c r="H2731" s="9">
        <f t="shared" si="126"/>
        <v>6.3E-2</v>
      </c>
      <c r="I2731">
        <v>4.4999999999999998E-2</v>
      </c>
      <c r="K2731">
        <v>1.7999999999999999E-2</v>
      </c>
      <c r="M2731" t="s">
        <v>28</v>
      </c>
      <c r="N2731" t="s">
        <v>40</v>
      </c>
      <c r="O2731" t="s">
        <v>41</v>
      </c>
      <c r="P2731" t="s">
        <v>30</v>
      </c>
      <c r="Q2731" t="s">
        <v>31</v>
      </c>
      <c r="R2731">
        <v>82409</v>
      </c>
      <c r="S2731" t="s">
        <v>74</v>
      </c>
      <c r="T2731">
        <v>82664</v>
      </c>
      <c r="U2731" t="s">
        <v>75</v>
      </c>
      <c r="V2731" t="s">
        <v>75</v>
      </c>
      <c r="W2731" t="s">
        <v>74</v>
      </c>
      <c r="X2731" t="s">
        <v>74</v>
      </c>
      <c r="Y2731" s="9">
        <f t="shared" si="127"/>
        <v>1.7999999999999999E-2</v>
      </c>
      <c r="Z2731" t="str">
        <f t="shared" si="128"/>
        <v>สแกนต่าง Cost</v>
      </c>
    </row>
    <row r="2732" spans="1:26" x14ac:dyDescent="0.45">
      <c r="B2732" t="s">
        <v>53</v>
      </c>
      <c r="C2732">
        <v>20270218</v>
      </c>
      <c r="D2732" t="s">
        <v>399</v>
      </c>
      <c r="E2732" s="10">
        <v>46115.333333333336</v>
      </c>
      <c r="F2732" s="10">
        <v>46115.729166666664</v>
      </c>
      <c r="G2732">
        <v>9.5</v>
      </c>
      <c r="H2732" s="9">
        <f t="shared" si="126"/>
        <v>5.0000000000000001E-3</v>
      </c>
      <c r="L2732">
        <v>5.0000000000000001E-3</v>
      </c>
      <c r="M2732" t="s">
        <v>255</v>
      </c>
      <c r="N2732" t="s">
        <v>29</v>
      </c>
      <c r="P2732" t="s">
        <v>30</v>
      </c>
      <c r="Q2732" t="s">
        <v>31</v>
      </c>
      <c r="R2732">
        <v>82612</v>
      </c>
      <c r="S2732" t="s">
        <v>153</v>
      </c>
      <c r="T2732">
        <v>82630</v>
      </c>
      <c r="U2732" t="s">
        <v>32</v>
      </c>
      <c r="V2732" t="s">
        <v>62</v>
      </c>
      <c r="W2732" t="s">
        <v>44</v>
      </c>
      <c r="X2732" t="s">
        <v>44</v>
      </c>
      <c r="Y2732" s="9">
        <f t="shared" si="127"/>
        <v>5.0000000000000001E-3</v>
      </c>
      <c r="Z2732" t="str">
        <f t="shared" si="128"/>
        <v>สแกนต่าง Cost</v>
      </c>
    </row>
    <row r="2733" spans="1:26" x14ac:dyDescent="0.45">
      <c r="B2733" t="s">
        <v>53</v>
      </c>
      <c r="C2733">
        <v>20270219</v>
      </c>
      <c r="D2733" t="s">
        <v>400</v>
      </c>
      <c r="E2733" s="10">
        <v>46115.333333333336</v>
      </c>
      <c r="F2733" s="10">
        <v>46115.729166666664</v>
      </c>
      <c r="G2733">
        <v>8.5</v>
      </c>
      <c r="H2733" s="9">
        <f t="shared" si="126"/>
        <v>4.4999999999999998E-2</v>
      </c>
      <c r="I2733">
        <v>4.4999999999999998E-2</v>
      </c>
      <c r="M2733" t="s">
        <v>65</v>
      </c>
      <c r="N2733" t="s">
        <v>29</v>
      </c>
      <c r="P2733" t="s">
        <v>30</v>
      </c>
      <c r="Q2733" t="s">
        <v>31</v>
      </c>
      <c r="R2733">
        <v>82612</v>
      </c>
      <c r="S2733" t="s">
        <v>153</v>
      </c>
      <c r="T2733">
        <v>82630</v>
      </c>
      <c r="U2733" t="s">
        <v>32</v>
      </c>
      <c r="V2733" t="s">
        <v>62</v>
      </c>
      <c r="W2733" t="s">
        <v>44</v>
      </c>
      <c r="X2733" t="s">
        <v>44</v>
      </c>
      <c r="Y2733" s="9">
        <f t="shared" si="127"/>
        <v>0</v>
      </c>
      <c r="Z2733" t="str">
        <f t="shared" si="128"/>
        <v>สแกนต่าง Cost</v>
      </c>
    </row>
    <row r="2734" spans="1:26" x14ac:dyDescent="0.45">
      <c r="B2734" t="s">
        <v>53</v>
      </c>
      <c r="C2734">
        <v>20272465</v>
      </c>
      <c r="D2734" t="s">
        <v>401</v>
      </c>
      <c r="E2734" s="10">
        <v>46115.333333333336</v>
      </c>
      <c r="F2734" s="10">
        <v>46115.729166666664</v>
      </c>
      <c r="G2734">
        <v>9.5</v>
      </c>
      <c r="H2734" s="9">
        <f t="shared" si="126"/>
        <v>4.9999999999999996E-2</v>
      </c>
      <c r="I2734">
        <v>4.4999999999999998E-2</v>
      </c>
      <c r="K2734">
        <v>5.0000000000000001E-3</v>
      </c>
      <c r="M2734" t="s">
        <v>28</v>
      </c>
      <c r="N2734" t="s">
        <v>29</v>
      </c>
      <c r="P2734" t="s">
        <v>30</v>
      </c>
      <c r="Q2734" t="s">
        <v>31</v>
      </c>
      <c r="R2734">
        <v>82612</v>
      </c>
      <c r="S2734" t="s">
        <v>153</v>
      </c>
      <c r="T2734">
        <v>82630</v>
      </c>
      <c r="U2734" t="s">
        <v>32</v>
      </c>
      <c r="V2734" t="s">
        <v>62</v>
      </c>
      <c r="W2734" t="s">
        <v>44</v>
      </c>
      <c r="X2734" t="s">
        <v>44</v>
      </c>
      <c r="Y2734" s="9">
        <f t="shared" si="127"/>
        <v>5.0000000000000001E-3</v>
      </c>
      <c r="Z2734" t="str">
        <f t="shared" si="128"/>
        <v>สแกนต่าง Cost</v>
      </c>
    </row>
    <row r="2735" spans="1:26" x14ac:dyDescent="0.45">
      <c r="B2735" t="s">
        <v>53</v>
      </c>
      <c r="C2735">
        <v>20280718</v>
      </c>
      <c r="D2735" t="s">
        <v>256</v>
      </c>
      <c r="E2735" s="10">
        <v>46115.333333333336</v>
      </c>
      <c r="F2735" s="10">
        <v>46115.375</v>
      </c>
      <c r="G2735">
        <v>1</v>
      </c>
      <c r="H2735" s="9">
        <f t="shared" si="126"/>
        <v>5.0000000000000001E-3</v>
      </c>
      <c r="I2735">
        <v>5.0000000000000001E-3</v>
      </c>
      <c r="M2735" t="s">
        <v>65</v>
      </c>
      <c r="N2735" t="s">
        <v>29</v>
      </c>
      <c r="P2735" t="s">
        <v>30</v>
      </c>
      <c r="Q2735" t="s">
        <v>31</v>
      </c>
      <c r="R2735">
        <v>82640</v>
      </c>
      <c r="S2735" t="s">
        <v>42</v>
      </c>
      <c r="T2735">
        <v>82612</v>
      </c>
      <c r="U2735" t="s">
        <v>153</v>
      </c>
      <c r="V2735" t="s">
        <v>66</v>
      </c>
      <c r="W2735" t="s">
        <v>44</v>
      </c>
      <c r="X2735" t="s">
        <v>44</v>
      </c>
      <c r="Y2735" s="9">
        <f t="shared" si="127"/>
        <v>0</v>
      </c>
      <c r="Z2735" t="str">
        <f t="shared" si="128"/>
        <v>สแกนต่าง Cost</v>
      </c>
    </row>
    <row r="2736" spans="1:26" x14ac:dyDescent="0.45">
      <c r="B2736" t="s">
        <v>53</v>
      </c>
      <c r="C2736">
        <v>20280722</v>
      </c>
      <c r="D2736" t="s">
        <v>342</v>
      </c>
      <c r="E2736" s="10">
        <v>46115.333333333336</v>
      </c>
      <c r="F2736" s="10">
        <v>46115.5</v>
      </c>
      <c r="G2736">
        <v>4</v>
      </c>
      <c r="H2736" s="9">
        <f t="shared" si="126"/>
        <v>2.1000000000000001E-2</v>
      </c>
      <c r="I2736">
        <v>2.1000000000000001E-2</v>
      </c>
      <c r="M2736" t="s">
        <v>65</v>
      </c>
      <c r="N2736" t="s">
        <v>29</v>
      </c>
      <c r="P2736" t="s">
        <v>30</v>
      </c>
      <c r="Q2736" t="s">
        <v>31</v>
      </c>
      <c r="R2736">
        <v>82640</v>
      </c>
      <c r="S2736" t="s">
        <v>42</v>
      </c>
      <c r="T2736">
        <v>82652</v>
      </c>
      <c r="U2736" t="s">
        <v>46</v>
      </c>
      <c r="V2736" t="s">
        <v>66</v>
      </c>
      <c r="W2736" t="s">
        <v>37</v>
      </c>
      <c r="X2736" t="s">
        <v>34</v>
      </c>
      <c r="Y2736" s="9">
        <f t="shared" si="127"/>
        <v>0</v>
      </c>
      <c r="Z2736" t="str">
        <f t="shared" si="128"/>
        <v>สแกนต่าง Cost</v>
      </c>
    </row>
    <row r="2737" spans="1:26" x14ac:dyDescent="0.45">
      <c r="B2737" t="s">
        <v>53</v>
      </c>
      <c r="C2737">
        <v>20280808</v>
      </c>
      <c r="D2737" t="s">
        <v>402</v>
      </c>
      <c r="E2737" s="10">
        <v>46115.333333333336</v>
      </c>
      <c r="F2737" s="10">
        <v>46115.729166666664</v>
      </c>
      <c r="G2737">
        <v>8.5</v>
      </c>
      <c r="H2737" s="9">
        <f t="shared" si="126"/>
        <v>4.4999999999999998E-2</v>
      </c>
      <c r="I2737">
        <v>4.4999999999999998E-2</v>
      </c>
      <c r="M2737" t="s">
        <v>65</v>
      </c>
      <c r="N2737" t="s">
        <v>29</v>
      </c>
      <c r="P2737" t="s">
        <v>30</v>
      </c>
      <c r="Q2737" t="s">
        <v>31</v>
      </c>
      <c r="R2737">
        <v>82612</v>
      </c>
      <c r="S2737" t="s">
        <v>153</v>
      </c>
      <c r="T2737">
        <v>82630</v>
      </c>
      <c r="U2737" t="s">
        <v>32</v>
      </c>
      <c r="V2737" t="s">
        <v>62</v>
      </c>
      <c r="W2737" t="s">
        <v>44</v>
      </c>
      <c r="X2737" t="s">
        <v>44</v>
      </c>
      <c r="Y2737" s="9">
        <f t="shared" si="127"/>
        <v>0</v>
      </c>
      <c r="Z2737" t="str">
        <f t="shared" si="128"/>
        <v>สแกนต่าง Cost</v>
      </c>
    </row>
    <row r="2738" spans="1:26" x14ac:dyDescent="0.45">
      <c r="B2738" t="s">
        <v>53</v>
      </c>
      <c r="C2738">
        <v>20309073</v>
      </c>
      <c r="D2738" t="s">
        <v>403</v>
      </c>
      <c r="E2738" s="10">
        <v>46115.333333333336</v>
      </c>
      <c r="F2738" s="10">
        <v>46115.729166666664</v>
      </c>
      <c r="G2738">
        <v>9.5</v>
      </c>
      <c r="H2738" s="9">
        <f t="shared" si="126"/>
        <v>4.9999999999999996E-2</v>
      </c>
      <c r="I2738">
        <v>4.4999999999999998E-2</v>
      </c>
      <c r="K2738">
        <v>5.0000000000000001E-3</v>
      </c>
      <c r="M2738" t="s">
        <v>28</v>
      </c>
      <c r="N2738" t="s">
        <v>29</v>
      </c>
      <c r="P2738" t="s">
        <v>30</v>
      </c>
      <c r="Q2738" t="s">
        <v>31</v>
      </c>
      <c r="R2738">
        <v>82612</v>
      </c>
      <c r="S2738" t="s">
        <v>153</v>
      </c>
      <c r="T2738">
        <v>82630</v>
      </c>
      <c r="U2738" t="s">
        <v>32</v>
      </c>
      <c r="V2738" t="s">
        <v>62</v>
      </c>
      <c r="W2738" t="s">
        <v>44</v>
      </c>
      <c r="X2738" t="s">
        <v>44</v>
      </c>
      <c r="Y2738" s="9">
        <f t="shared" si="127"/>
        <v>5.0000000000000001E-3</v>
      </c>
      <c r="Z2738" t="str">
        <f t="shared" si="128"/>
        <v>สแกนต่าง Cost</v>
      </c>
    </row>
    <row r="2739" spans="1:26" x14ac:dyDescent="0.45">
      <c r="B2739" t="s">
        <v>53</v>
      </c>
      <c r="C2739">
        <v>20310530</v>
      </c>
      <c r="D2739" t="s">
        <v>220</v>
      </c>
      <c r="E2739" s="10">
        <v>46115.333333333336</v>
      </c>
      <c r="F2739" s="10">
        <v>46115.395833333336</v>
      </c>
      <c r="G2739">
        <v>1.5</v>
      </c>
      <c r="H2739" s="9">
        <f t="shared" si="126"/>
        <v>8.0000000000000002E-3</v>
      </c>
      <c r="I2739">
        <v>8.0000000000000002E-3</v>
      </c>
      <c r="M2739" t="s">
        <v>65</v>
      </c>
      <c r="N2739" t="s">
        <v>29</v>
      </c>
      <c r="P2739" t="s">
        <v>30</v>
      </c>
      <c r="Q2739" t="s">
        <v>31</v>
      </c>
      <c r="R2739">
        <v>82640</v>
      </c>
      <c r="S2739" t="s">
        <v>42</v>
      </c>
      <c r="T2739">
        <v>82630</v>
      </c>
      <c r="U2739" t="s">
        <v>32</v>
      </c>
      <c r="V2739" t="s">
        <v>66</v>
      </c>
      <c r="W2739" t="s">
        <v>44</v>
      </c>
      <c r="X2739" t="s">
        <v>44</v>
      </c>
      <c r="Y2739" s="9">
        <f t="shared" si="127"/>
        <v>0</v>
      </c>
      <c r="Z2739" t="str">
        <f t="shared" si="128"/>
        <v>สแกนต่าง Cost</v>
      </c>
    </row>
    <row r="2740" spans="1:26" x14ac:dyDescent="0.45">
      <c r="B2740" t="s">
        <v>53</v>
      </c>
      <c r="C2740">
        <v>20319535</v>
      </c>
      <c r="D2740" t="s">
        <v>36</v>
      </c>
      <c r="E2740" s="10">
        <v>46115.333333333336</v>
      </c>
      <c r="F2740" s="10">
        <v>46115.729166666664</v>
      </c>
      <c r="G2740">
        <v>9.5</v>
      </c>
      <c r="H2740" s="9">
        <f t="shared" si="126"/>
        <v>4.9999999999999996E-2</v>
      </c>
      <c r="I2740">
        <v>4.4999999999999998E-2</v>
      </c>
      <c r="K2740">
        <v>5.0000000000000001E-3</v>
      </c>
      <c r="M2740" t="s">
        <v>28</v>
      </c>
      <c r="N2740" t="s">
        <v>40</v>
      </c>
      <c r="O2740" t="s">
        <v>41</v>
      </c>
      <c r="P2740" t="s">
        <v>30</v>
      </c>
      <c r="Q2740" t="s">
        <v>31</v>
      </c>
      <c r="R2740">
        <v>82630</v>
      </c>
      <c r="S2740" t="s">
        <v>32</v>
      </c>
      <c r="T2740">
        <v>82611</v>
      </c>
      <c r="U2740" t="s">
        <v>43</v>
      </c>
      <c r="V2740" t="s">
        <v>43</v>
      </c>
      <c r="W2740" t="s">
        <v>170</v>
      </c>
      <c r="X2740" t="s">
        <v>171</v>
      </c>
      <c r="Y2740" s="9">
        <f t="shared" si="127"/>
        <v>5.0000000000000001E-3</v>
      </c>
      <c r="Z2740" t="str">
        <f t="shared" si="128"/>
        <v>สแกนต่าง Cost</v>
      </c>
    </row>
    <row r="2741" spans="1:26" x14ac:dyDescent="0.45">
      <c r="B2741" t="s">
        <v>53</v>
      </c>
      <c r="C2741">
        <v>20327238</v>
      </c>
      <c r="D2741" t="s">
        <v>404</v>
      </c>
      <c r="E2741" s="10">
        <v>46115.333333333336</v>
      </c>
      <c r="F2741" s="10">
        <v>46115.729166666664</v>
      </c>
      <c r="G2741">
        <v>8.5</v>
      </c>
      <c r="H2741" s="9">
        <f t="shared" si="126"/>
        <v>4.4999999999999998E-2</v>
      </c>
      <c r="I2741">
        <v>4.4999999999999998E-2</v>
      </c>
      <c r="M2741" t="s">
        <v>65</v>
      </c>
      <c r="N2741" t="s">
        <v>29</v>
      </c>
      <c r="P2741" t="s">
        <v>30</v>
      </c>
      <c r="Q2741" t="s">
        <v>31</v>
      </c>
      <c r="R2741">
        <v>82612</v>
      </c>
      <c r="S2741" t="s">
        <v>153</v>
      </c>
      <c r="T2741">
        <v>82630</v>
      </c>
      <c r="U2741" t="s">
        <v>32</v>
      </c>
      <c r="V2741" t="s">
        <v>62</v>
      </c>
      <c r="W2741" t="s">
        <v>44</v>
      </c>
      <c r="X2741" t="s">
        <v>44</v>
      </c>
      <c r="Y2741" s="9">
        <f t="shared" si="127"/>
        <v>0</v>
      </c>
      <c r="Z2741" t="str">
        <f t="shared" si="128"/>
        <v>สแกนต่าง Cost</v>
      </c>
    </row>
    <row r="2742" spans="1:26" x14ac:dyDescent="0.45">
      <c r="A2742">
        <v>27296</v>
      </c>
      <c r="B2742" t="s">
        <v>53</v>
      </c>
      <c r="C2742">
        <v>20328003</v>
      </c>
      <c r="D2742" t="s">
        <v>107</v>
      </c>
      <c r="E2742" s="10">
        <v>46115.333333333336</v>
      </c>
      <c r="F2742" s="10">
        <v>46115.729166666664</v>
      </c>
      <c r="G2742">
        <v>8.5</v>
      </c>
      <c r="H2742" s="9">
        <f t="shared" si="126"/>
        <v>4.4999999999999998E-2</v>
      </c>
      <c r="I2742">
        <v>4.4999999999999998E-2</v>
      </c>
      <c r="M2742" t="s">
        <v>65</v>
      </c>
      <c r="N2742" t="s">
        <v>29</v>
      </c>
      <c r="P2742" t="s">
        <v>30</v>
      </c>
      <c r="Q2742" t="s">
        <v>31</v>
      </c>
      <c r="R2742">
        <v>82400</v>
      </c>
      <c r="S2742" t="s">
        <v>83</v>
      </c>
      <c r="T2742">
        <v>82690</v>
      </c>
      <c r="U2742" t="s">
        <v>90</v>
      </c>
      <c r="V2742" t="s">
        <v>90</v>
      </c>
      <c r="W2742" t="s">
        <v>91</v>
      </c>
      <c r="X2742" t="s">
        <v>92</v>
      </c>
      <c r="Y2742" s="9">
        <f t="shared" si="127"/>
        <v>0</v>
      </c>
      <c r="Z2742" t="str">
        <f t="shared" si="128"/>
        <v>สแกนต่าง Cost</v>
      </c>
    </row>
    <row r="2743" spans="1:26" x14ac:dyDescent="0.45">
      <c r="A2743">
        <v>27293</v>
      </c>
      <c r="B2743" t="s">
        <v>53</v>
      </c>
      <c r="C2743">
        <v>20330032</v>
      </c>
      <c r="D2743" t="s">
        <v>204</v>
      </c>
      <c r="E2743" s="10">
        <v>46115.333333333336</v>
      </c>
      <c r="F2743" s="10">
        <v>46115.729166666664</v>
      </c>
      <c r="G2743">
        <v>8.5</v>
      </c>
      <c r="H2743" s="9">
        <f t="shared" si="126"/>
        <v>4.4999999999999998E-2</v>
      </c>
      <c r="I2743">
        <v>4.4999999999999998E-2</v>
      </c>
      <c r="M2743" t="s">
        <v>65</v>
      </c>
      <c r="N2743" t="s">
        <v>29</v>
      </c>
      <c r="P2743" t="s">
        <v>30</v>
      </c>
      <c r="Q2743" t="s">
        <v>31</v>
      </c>
      <c r="R2743">
        <v>82910</v>
      </c>
      <c r="S2743" t="s">
        <v>201</v>
      </c>
      <c r="T2743">
        <v>82611</v>
      </c>
      <c r="U2743" t="s">
        <v>43</v>
      </c>
      <c r="V2743" t="s">
        <v>43</v>
      </c>
      <c r="W2743" t="s">
        <v>148</v>
      </c>
      <c r="X2743" t="s">
        <v>171</v>
      </c>
      <c r="Y2743" s="9">
        <f t="shared" si="127"/>
        <v>0</v>
      </c>
      <c r="Z2743" t="str">
        <f t="shared" si="128"/>
        <v>สแกนต่าง Cost</v>
      </c>
    </row>
    <row r="2744" spans="1:26" x14ac:dyDescent="0.45">
      <c r="A2744">
        <v>27297</v>
      </c>
      <c r="B2744" t="s">
        <v>53</v>
      </c>
      <c r="C2744">
        <v>20331986</v>
      </c>
      <c r="D2744" t="s">
        <v>108</v>
      </c>
      <c r="E2744" s="10">
        <v>46115.333333333336</v>
      </c>
      <c r="F2744" s="10">
        <v>46115.729166666664</v>
      </c>
      <c r="G2744">
        <v>8.5</v>
      </c>
      <c r="H2744" s="9">
        <f t="shared" si="126"/>
        <v>4.4999999999999998E-2</v>
      </c>
      <c r="I2744">
        <v>4.4999999999999998E-2</v>
      </c>
      <c r="M2744" t="s">
        <v>65</v>
      </c>
      <c r="N2744" t="s">
        <v>29</v>
      </c>
      <c r="P2744" t="s">
        <v>30</v>
      </c>
      <c r="Q2744" t="s">
        <v>31</v>
      </c>
      <c r="R2744">
        <v>82400</v>
      </c>
      <c r="S2744" t="s">
        <v>83</v>
      </c>
      <c r="T2744">
        <v>82690</v>
      </c>
      <c r="U2744" t="s">
        <v>90</v>
      </c>
      <c r="V2744" t="s">
        <v>90</v>
      </c>
      <c r="W2744" t="s">
        <v>91</v>
      </c>
      <c r="X2744" t="s">
        <v>92</v>
      </c>
      <c r="Y2744" s="9">
        <f t="shared" si="127"/>
        <v>0</v>
      </c>
      <c r="Z2744" t="str">
        <f t="shared" si="128"/>
        <v>สแกนต่าง Cost</v>
      </c>
    </row>
    <row r="2745" spans="1:26" x14ac:dyDescent="0.45">
      <c r="B2745" t="s">
        <v>53</v>
      </c>
      <c r="C2745">
        <v>20332134</v>
      </c>
      <c r="D2745" t="s">
        <v>156</v>
      </c>
      <c r="E2745" s="10">
        <v>46115.333333333336</v>
      </c>
      <c r="F2745" s="10">
        <v>46115.395833333336</v>
      </c>
      <c r="G2745">
        <v>1.5</v>
      </c>
      <c r="H2745" s="9">
        <f t="shared" si="126"/>
        <v>8.0000000000000002E-3</v>
      </c>
      <c r="I2745">
        <v>8.0000000000000002E-3</v>
      </c>
      <c r="M2745" t="s">
        <v>65</v>
      </c>
      <c r="N2745" t="s">
        <v>29</v>
      </c>
      <c r="P2745" t="s">
        <v>30</v>
      </c>
      <c r="Q2745" t="s">
        <v>31</v>
      </c>
      <c r="R2745">
        <v>82640</v>
      </c>
      <c r="S2745" t="s">
        <v>42</v>
      </c>
      <c r="T2745">
        <v>82630</v>
      </c>
      <c r="U2745" t="s">
        <v>32</v>
      </c>
      <c r="V2745" t="s">
        <v>66</v>
      </c>
      <c r="W2745" t="s">
        <v>44</v>
      </c>
      <c r="X2745" t="s">
        <v>44</v>
      </c>
      <c r="Y2745" s="9">
        <f t="shared" si="127"/>
        <v>0</v>
      </c>
      <c r="Z2745" t="str">
        <f t="shared" si="128"/>
        <v>สแกนต่าง Cost</v>
      </c>
    </row>
    <row r="2746" spans="1:26" x14ac:dyDescent="0.45">
      <c r="B2746" t="s">
        <v>53</v>
      </c>
      <c r="C2746">
        <v>20340657</v>
      </c>
      <c r="D2746" t="s">
        <v>221</v>
      </c>
      <c r="E2746" s="10">
        <v>46115.333333333336</v>
      </c>
      <c r="F2746" s="10">
        <v>46115.375</v>
      </c>
      <c r="G2746">
        <v>1</v>
      </c>
      <c r="H2746" s="9">
        <f t="shared" si="126"/>
        <v>5.0000000000000001E-3</v>
      </c>
      <c r="I2746">
        <v>5.0000000000000001E-3</v>
      </c>
      <c r="M2746" t="s">
        <v>65</v>
      </c>
      <c r="N2746" t="s">
        <v>29</v>
      </c>
      <c r="P2746" t="s">
        <v>30</v>
      </c>
      <c r="Q2746" t="s">
        <v>31</v>
      </c>
      <c r="R2746">
        <v>82640</v>
      </c>
      <c r="S2746" t="s">
        <v>42</v>
      </c>
      <c r="T2746">
        <v>82630</v>
      </c>
      <c r="U2746" t="s">
        <v>32</v>
      </c>
      <c r="V2746" t="s">
        <v>66</v>
      </c>
      <c r="W2746" t="s">
        <v>44</v>
      </c>
      <c r="X2746" t="s">
        <v>44</v>
      </c>
      <c r="Y2746" s="9">
        <f t="shared" si="127"/>
        <v>0</v>
      </c>
      <c r="Z2746" t="str">
        <f t="shared" si="128"/>
        <v>สแกนต่าง Cost</v>
      </c>
    </row>
    <row r="2747" spans="1:26" x14ac:dyDescent="0.45">
      <c r="B2747" t="s">
        <v>53</v>
      </c>
      <c r="C2747">
        <v>20344532</v>
      </c>
      <c r="D2747" t="s">
        <v>186</v>
      </c>
      <c r="E2747" s="10">
        <v>46115.333333333336</v>
      </c>
      <c r="F2747" s="10">
        <v>46115.729166666664</v>
      </c>
      <c r="G2747">
        <v>9.5</v>
      </c>
      <c r="H2747" s="9">
        <f t="shared" si="126"/>
        <v>4.9999999999999996E-2</v>
      </c>
      <c r="I2747">
        <v>4.4999999999999998E-2</v>
      </c>
      <c r="K2747">
        <v>5.0000000000000001E-3</v>
      </c>
      <c r="M2747" t="s">
        <v>28</v>
      </c>
      <c r="N2747" t="s">
        <v>29</v>
      </c>
      <c r="P2747" t="s">
        <v>30</v>
      </c>
      <c r="Q2747" t="s">
        <v>31</v>
      </c>
      <c r="R2747">
        <v>82630</v>
      </c>
      <c r="S2747" t="s">
        <v>32</v>
      </c>
      <c r="T2747">
        <v>82611</v>
      </c>
      <c r="U2747" t="s">
        <v>43</v>
      </c>
      <c r="V2747" t="s">
        <v>43</v>
      </c>
      <c r="W2747" t="s">
        <v>170</v>
      </c>
      <c r="X2747" t="s">
        <v>171</v>
      </c>
      <c r="Y2747" s="9">
        <f t="shared" si="127"/>
        <v>5.0000000000000001E-3</v>
      </c>
      <c r="Z2747" t="str">
        <f t="shared" si="128"/>
        <v>สแกนต่าง Cost</v>
      </c>
    </row>
    <row r="2748" spans="1:26" x14ac:dyDescent="0.45">
      <c r="A2748">
        <v>25611</v>
      </c>
      <c r="B2748" t="s">
        <v>53</v>
      </c>
      <c r="C2748">
        <v>20344551</v>
      </c>
      <c r="D2748" t="s">
        <v>110</v>
      </c>
      <c r="E2748" s="10">
        <v>46115.333333333336</v>
      </c>
      <c r="F2748" s="10">
        <v>46115.82916666667</v>
      </c>
      <c r="G2748">
        <v>11.9</v>
      </c>
      <c r="H2748" s="9">
        <f t="shared" si="126"/>
        <v>6.3E-2</v>
      </c>
      <c r="I2748">
        <v>4.4999999999999998E-2</v>
      </c>
      <c r="K2748">
        <v>1.7999999999999999E-2</v>
      </c>
      <c r="M2748" t="s">
        <v>28</v>
      </c>
      <c r="N2748" t="s">
        <v>40</v>
      </c>
      <c r="O2748" t="s">
        <v>41</v>
      </c>
      <c r="P2748" t="s">
        <v>30</v>
      </c>
      <c r="Q2748" t="s">
        <v>31</v>
      </c>
      <c r="R2748">
        <v>82655</v>
      </c>
      <c r="S2748" t="s">
        <v>59</v>
      </c>
      <c r="T2748">
        <v>82664</v>
      </c>
      <c r="U2748" t="s">
        <v>75</v>
      </c>
      <c r="V2748" t="s">
        <v>75</v>
      </c>
      <c r="W2748" t="s">
        <v>37</v>
      </c>
      <c r="X2748" t="s">
        <v>111</v>
      </c>
      <c r="Y2748" s="9">
        <f t="shared" si="127"/>
        <v>1.7999999999999999E-2</v>
      </c>
      <c r="Z2748" t="str">
        <f t="shared" si="128"/>
        <v>สแกนต่าง Cost</v>
      </c>
    </row>
    <row r="2749" spans="1:26" x14ac:dyDescent="0.45">
      <c r="A2749">
        <v>25612</v>
      </c>
      <c r="B2749" t="s">
        <v>53</v>
      </c>
      <c r="C2749">
        <v>20344552</v>
      </c>
      <c r="D2749" t="s">
        <v>112</v>
      </c>
      <c r="E2749" s="10">
        <v>46115.333333333336</v>
      </c>
      <c r="F2749" s="10">
        <v>46115.82916666667</v>
      </c>
      <c r="G2749">
        <v>11.9</v>
      </c>
      <c r="H2749" s="9">
        <f t="shared" si="126"/>
        <v>6.3E-2</v>
      </c>
      <c r="I2749">
        <v>4.4999999999999998E-2</v>
      </c>
      <c r="K2749">
        <v>1.7999999999999999E-2</v>
      </c>
      <c r="M2749" t="s">
        <v>28</v>
      </c>
      <c r="N2749" t="s">
        <v>40</v>
      </c>
      <c r="O2749" t="s">
        <v>41</v>
      </c>
      <c r="P2749" t="s">
        <v>30</v>
      </c>
      <c r="Q2749" t="s">
        <v>31</v>
      </c>
      <c r="R2749">
        <v>82655</v>
      </c>
      <c r="S2749" t="s">
        <v>59</v>
      </c>
      <c r="T2749">
        <v>82664</v>
      </c>
      <c r="U2749" t="s">
        <v>75</v>
      </c>
      <c r="V2749" t="s">
        <v>75</v>
      </c>
      <c r="W2749" t="s">
        <v>37</v>
      </c>
      <c r="X2749" t="s">
        <v>111</v>
      </c>
      <c r="Y2749" s="9">
        <f t="shared" si="127"/>
        <v>1.7999999999999999E-2</v>
      </c>
      <c r="Z2749" t="str">
        <f t="shared" si="128"/>
        <v>สแกนต่าง Cost</v>
      </c>
    </row>
    <row r="2750" spans="1:26" x14ac:dyDescent="0.45">
      <c r="B2750" t="s">
        <v>53</v>
      </c>
      <c r="C2750">
        <v>20352276</v>
      </c>
      <c r="D2750" t="s">
        <v>187</v>
      </c>
      <c r="E2750" s="10">
        <v>46115.333333333336</v>
      </c>
      <c r="F2750" s="10">
        <v>46115.729166666664</v>
      </c>
      <c r="G2750">
        <v>8.5</v>
      </c>
      <c r="H2750" s="9">
        <f t="shared" si="126"/>
        <v>4.4999999999999998E-2</v>
      </c>
      <c r="I2750">
        <v>4.4999999999999998E-2</v>
      </c>
      <c r="M2750" t="s">
        <v>65</v>
      </c>
      <c r="N2750" t="s">
        <v>29</v>
      </c>
      <c r="P2750" t="s">
        <v>30</v>
      </c>
      <c r="Q2750" t="s">
        <v>31</v>
      </c>
      <c r="R2750">
        <v>82630</v>
      </c>
      <c r="S2750" t="s">
        <v>32</v>
      </c>
      <c r="T2750">
        <v>82611</v>
      </c>
      <c r="U2750" t="s">
        <v>43</v>
      </c>
      <c r="V2750" t="s">
        <v>43</v>
      </c>
      <c r="W2750" t="s">
        <v>170</v>
      </c>
      <c r="X2750" t="s">
        <v>171</v>
      </c>
      <c r="Y2750" s="9">
        <f t="shared" si="127"/>
        <v>0</v>
      </c>
      <c r="Z2750" t="str">
        <f t="shared" si="128"/>
        <v>สแกนต่าง Cost</v>
      </c>
    </row>
    <row r="2751" spans="1:26" x14ac:dyDescent="0.45">
      <c r="A2751">
        <v>27298</v>
      </c>
      <c r="B2751" t="s">
        <v>53</v>
      </c>
      <c r="C2751">
        <v>20352282</v>
      </c>
      <c r="D2751" t="s">
        <v>84</v>
      </c>
      <c r="E2751" s="10">
        <v>46115.333333333336</v>
      </c>
      <c r="F2751" s="10">
        <v>46115.729166666664</v>
      </c>
      <c r="G2751">
        <v>8.5</v>
      </c>
      <c r="H2751" s="9">
        <f t="shared" si="126"/>
        <v>4.4999999999999998E-2</v>
      </c>
      <c r="I2751">
        <v>4.4999999999999998E-2</v>
      </c>
      <c r="M2751" t="s">
        <v>65</v>
      </c>
      <c r="N2751" t="s">
        <v>29</v>
      </c>
      <c r="P2751" t="s">
        <v>30</v>
      </c>
      <c r="Q2751" t="s">
        <v>31</v>
      </c>
      <c r="R2751">
        <v>82400</v>
      </c>
      <c r="S2751" t="s">
        <v>83</v>
      </c>
      <c r="T2751">
        <v>82690</v>
      </c>
      <c r="U2751" t="s">
        <v>90</v>
      </c>
      <c r="V2751" t="s">
        <v>90</v>
      </c>
      <c r="W2751" t="s">
        <v>91</v>
      </c>
      <c r="X2751" t="s">
        <v>92</v>
      </c>
      <c r="Y2751" s="9">
        <f t="shared" si="127"/>
        <v>0</v>
      </c>
      <c r="Z2751" t="str">
        <f t="shared" si="128"/>
        <v>สแกนต่าง Cost</v>
      </c>
    </row>
    <row r="2752" spans="1:26" x14ac:dyDescent="0.45">
      <c r="A2752">
        <v>27299</v>
      </c>
      <c r="B2752" t="s">
        <v>53</v>
      </c>
      <c r="C2752">
        <v>20352338</v>
      </c>
      <c r="D2752" t="s">
        <v>114</v>
      </c>
      <c r="E2752" s="10">
        <v>46115.333333333336</v>
      </c>
      <c r="F2752" s="10">
        <v>46115.729166666664</v>
      </c>
      <c r="G2752">
        <v>8.5</v>
      </c>
      <c r="H2752" s="9">
        <f t="shared" si="126"/>
        <v>4.4999999999999998E-2</v>
      </c>
      <c r="I2752">
        <v>4.4999999999999998E-2</v>
      </c>
      <c r="M2752" t="s">
        <v>65</v>
      </c>
      <c r="N2752" t="s">
        <v>29</v>
      </c>
      <c r="P2752" t="s">
        <v>30</v>
      </c>
      <c r="Q2752" t="s">
        <v>31</v>
      </c>
      <c r="R2752">
        <v>82400</v>
      </c>
      <c r="S2752" t="s">
        <v>83</v>
      </c>
      <c r="T2752">
        <v>82690</v>
      </c>
      <c r="U2752" t="s">
        <v>90</v>
      </c>
      <c r="V2752" t="s">
        <v>90</v>
      </c>
      <c r="W2752" t="s">
        <v>91</v>
      </c>
      <c r="X2752" t="s">
        <v>92</v>
      </c>
      <c r="Y2752" s="9">
        <f t="shared" si="127"/>
        <v>0</v>
      </c>
      <c r="Z2752" t="str">
        <f t="shared" si="128"/>
        <v>สแกนต่าง Cost</v>
      </c>
    </row>
    <row r="2753" spans="1:26" x14ac:dyDescent="0.45">
      <c r="B2753" t="s">
        <v>53</v>
      </c>
      <c r="C2753">
        <v>20367005</v>
      </c>
      <c r="D2753" t="s">
        <v>405</v>
      </c>
      <c r="E2753" s="10">
        <v>46115.333333333336</v>
      </c>
      <c r="F2753" s="10">
        <v>46115.729166666664</v>
      </c>
      <c r="G2753">
        <v>9.5</v>
      </c>
      <c r="H2753" s="9">
        <f t="shared" si="126"/>
        <v>5.0000000000000001E-3</v>
      </c>
      <c r="L2753">
        <v>5.0000000000000001E-3</v>
      </c>
      <c r="M2753" t="s">
        <v>255</v>
      </c>
      <c r="N2753" t="s">
        <v>29</v>
      </c>
      <c r="P2753" t="s">
        <v>30</v>
      </c>
      <c r="Q2753" t="s">
        <v>31</v>
      </c>
      <c r="R2753">
        <v>82612</v>
      </c>
      <c r="S2753" t="s">
        <v>153</v>
      </c>
      <c r="T2753">
        <v>82630</v>
      </c>
      <c r="U2753" t="s">
        <v>32</v>
      </c>
      <c r="V2753" t="s">
        <v>62</v>
      </c>
      <c r="W2753" t="s">
        <v>44</v>
      </c>
      <c r="X2753" t="s">
        <v>44</v>
      </c>
      <c r="Y2753" s="9">
        <f t="shared" si="127"/>
        <v>5.0000000000000001E-3</v>
      </c>
      <c r="Z2753" t="str">
        <f t="shared" si="128"/>
        <v>สแกนต่าง Cost</v>
      </c>
    </row>
    <row r="2754" spans="1:26" x14ac:dyDescent="0.45">
      <c r="B2754" t="s">
        <v>53</v>
      </c>
      <c r="C2754">
        <v>20367006</v>
      </c>
      <c r="D2754" t="s">
        <v>406</v>
      </c>
      <c r="E2754" s="10">
        <v>46115.333333333336</v>
      </c>
      <c r="F2754" s="10">
        <v>46115.729166666664</v>
      </c>
      <c r="G2754">
        <v>9.5</v>
      </c>
      <c r="H2754" s="9">
        <f t="shared" si="126"/>
        <v>4.9999999999999996E-2</v>
      </c>
      <c r="I2754">
        <v>4.4999999999999998E-2</v>
      </c>
      <c r="K2754">
        <v>5.0000000000000001E-3</v>
      </c>
      <c r="M2754" t="s">
        <v>28</v>
      </c>
      <c r="N2754" t="s">
        <v>29</v>
      </c>
      <c r="P2754" t="s">
        <v>30</v>
      </c>
      <c r="Q2754" t="s">
        <v>31</v>
      </c>
      <c r="R2754">
        <v>82612</v>
      </c>
      <c r="S2754" t="s">
        <v>153</v>
      </c>
      <c r="T2754">
        <v>82630</v>
      </c>
      <c r="U2754" t="s">
        <v>32</v>
      </c>
      <c r="V2754" t="s">
        <v>62</v>
      </c>
      <c r="W2754" t="s">
        <v>44</v>
      </c>
      <c r="X2754" t="s">
        <v>44</v>
      </c>
      <c r="Y2754" s="9">
        <f t="shared" si="127"/>
        <v>5.0000000000000001E-3</v>
      </c>
      <c r="Z2754" t="str">
        <f t="shared" si="128"/>
        <v>สแกนต่าง Cost</v>
      </c>
    </row>
    <row r="2755" spans="1:26" x14ac:dyDescent="0.45">
      <c r="B2755" t="s">
        <v>53</v>
      </c>
      <c r="C2755">
        <v>20368087</v>
      </c>
      <c r="D2755" t="s">
        <v>260</v>
      </c>
      <c r="E2755" s="10">
        <v>46115.333333333336</v>
      </c>
      <c r="F2755" s="10">
        <v>46115.416666666664</v>
      </c>
      <c r="G2755">
        <v>2</v>
      </c>
      <c r="H2755" s="9">
        <f t="shared" ref="H2755:H2818" si="129">SUM(I2755:L2755)</f>
        <v>1.0999999999999999E-2</v>
      </c>
      <c r="I2755">
        <v>1.0999999999999999E-2</v>
      </c>
      <c r="M2755" t="s">
        <v>65</v>
      </c>
      <c r="N2755" t="s">
        <v>29</v>
      </c>
      <c r="P2755" t="s">
        <v>30</v>
      </c>
      <c r="Q2755" t="s">
        <v>31</v>
      </c>
      <c r="R2755">
        <v>82640</v>
      </c>
      <c r="S2755" t="s">
        <v>42</v>
      </c>
      <c r="T2755">
        <v>82612</v>
      </c>
      <c r="U2755" t="s">
        <v>153</v>
      </c>
      <c r="V2755" t="s">
        <v>66</v>
      </c>
      <c r="W2755" t="s">
        <v>44</v>
      </c>
      <c r="X2755" t="s">
        <v>44</v>
      </c>
      <c r="Y2755" s="9">
        <f t="shared" ref="Y2755:Y2818" si="130">SUM(J2755:L2755)</f>
        <v>0</v>
      </c>
      <c r="Z2755" t="str">
        <f t="shared" ref="Z2755:Z2818" si="131">IF(R2755=T2755,"สแกน Cost ตัวเอง","สแกนต่าง Cost")</f>
        <v>สแกนต่าง Cost</v>
      </c>
    </row>
    <row r="2756" spans="1:26" x14ac:dyDescent="0.45">
      <c r="A2756">
        <v>27300</v>
      </c>
      <c r="B2756" t="s">
        <v>53</v>
      </c>
      <c r="C2756">
        <v>20372080</v>
      </c>
      <c r="D2756" t="s">
        <v>117</v>
      </c>
      <c r="E2756" s="10">
        <v>46115.333333333336</v>
      </c>
      <c r="F2756" s="10">
        <v>46115.729166666664</v>
      </c>
      <c r="G2756">
        <v>8.5</v>
      </c>
      <c r="H2756" s="9">
        <f t="shared" si="129"/>
        <v>4.4999999999999998E-2</v>
      </c>
      <c r="I2756">
        <v>4.4999999999999998E-2</v>
      </c>
      <c r="M2756" t="s">
        <v>65</v>
      </c>
      <c r="N2756" t="s">
        <v>29</v>
      </c>
      <c r="P2756" t="s">
        <v>30</v>
      </c>
      <c r="Q2756" t="s">
        <v>31</v>
      </c>
      <c r="R2756">
        <v>82400</v>
      </c>
      <c r="S2756" t="s">
        <v>83</v>
      </c>
      <c r="T2756">
        <v>82690</v>
      </c>
      <c r="U2756" t="s">
        <v>90</v>
      </c>
      <c r="V2756" t="s">
        <v>90</v>
      </c>
      <c r="W2756" t="s">
        <v>91</v>
      </c>
      <c r="X2756" t="s">
        <v>92</v>
      </c>
      <c r="Y2756" s="9">
        <f t="shared" si="130"/>
        <v>0</v>
      </c>
      <c r="Z2756" t="str">
        <f t="shared" si="131"/>
        <v>สแกนต่าง Cost</v>
      </c>
    </row>
    <row r="2757" spans="1:26" x14ac:dyDescent="0.45">
      <c r="A2757">
        <v>25610</v>
      </c>
      <c r="B2757" t="s">
        <v>53</v>
      </c>
      <c r="C2757">
        <v>20372709</v>
      </c>
      <c r="D2757" t="s">
        <v>130</v>
      </c>
      <c r="E2757" s="10">
        <v>46115.333333333336</v>
      </c>
      <c r="F2757" s="10">
        <v>46115.82916666667</v>
      </c>
      <c r="G2757">
        <v>11.9</v>
      </c>
      <c r="H2757" s="9">
        <f t="shared" si="129"/>
        <v>6.3E-2</v>
      </c>
      <c r="I2757">
        <v>4.4999999999999998E-2</v>
      </c>
      <c r="K2757">
        <v>1.7999999999999999E-2</v>
      </c>
      <c r="M2757" t="s">
        <v>28</v>
      </c>
      <c r="N2757" t="s">
        <v>40</v>
      </c>
      <c r="O2757" t="s">
        <v>41</v>
      </c>
      <c r="P2757" t="s">
        <v>30</v>
      </c>
      <c r="Q2757" t="s">
        <v>31</v>
      </c>
      <c r="R2757">
        <v>82658</v>
      </c>
      <c r="S2757" t="s">
        <v>33</v>
      </c>
      <c r="T2757">
        <v>82664</v>
      </c>
      <c r="U2757" t="s">
        <v>75</v>
      </c>
      <c r="V2757" t="s">
        <v>75</v>
      </c>
      <c r="W2757" t="s">
        <v>37</v>
      </c>
      <c r="X2757" t="s">
        <v>111</v>
      </c>
      <c r="Y2757" s="9">
        <f t="shared" si="130"/>
        <v>1.7999999999999999E-2</v>
      </c>
      <c r="Z2757" t="str">
        <f t="shared" si="131"/>
        <v>สแกนต่าง Cost</v>
      </c>
    </row>
    <row r="2758" spans="1:26" x14ac:dyDescent="0.45">
      <c r="B2758" t="s">
        <v>53</v>
      </c>
      <c r="C2758">
        <v>20378641</v>
      </c>
      <c r="D2758" t="s">
        <v>407</v>
      </c>
      <c r="E2758" s="10">
        <v>46115.333333333336</v>
      </c>
      <c r="F2758" s="10">
        <v>46115.729166666664</v>
      </c>
      <c r="G2758">
        <v>9.5</v>
      </c>
      <c r="H2758" s="9">
        <f t="shared" si="129"/>
        <v>4.9999999999999996E-2</v>
      </c>
      <c r="I2758">
        <v>4.4999999999999998E-2</v>
      </c>
      <c r="K2758">
        <v>5.0000000000000001E-3</v>
      </c>
      <c r="M2758" t="s">
        <v>28</v>
      </c>
      <c r="N2758" t="s">
        <v>29</v>
      </c>
      <c r="P2758" t="s">
        <v>30</v>
      </c>
      <c r="Q2758" t="s">
        <v>31</v>
      </c>
      <c r="R2758">
        <v>82612</v>
      </c>
      <c r="S2758" t="s">
        <v>153</v>
      </c>
      <c r="T2758">
        <v>82630</v>
      </c>
      <c r="U2758" t="s">
        <v>32</v>
      </c>
      <c r="V2758" t="s">
        <v>62</v>
      </c>
      <c r="W2758" t="s">
        <v>44</v>
      </c>
      <c r="X2758" t="s">
        <v>44</v>
      </c>
      <c r="Y2758" s="9">
        <f t="shared" si="130"/>
        <v>5.0000000000000001E-3</v>
      </c>
      <c r="Z2758" t="str">
        <f t="shared" si="131"/>
        <v>สแกนต่าง Cost</v>
      </c>
    </row>
    <row r="2759" spans="1:26" x14ac:dyDescent="0.45">
      <c r="A2759">
        <v>27301</v>
      </c>
      <c r="B2759" t="s">
        <v>53</v>
      </c>
      <c r="C2759">
        <v>20382170</v>
      </c>
      <c r="D2759" t="s">
        <v>118</v>
      </c>
      <c r="E2759" s="10">
        <v>46115.333333333336</v>
      </c>
      <c r="F2759" s="10">
        <v>46115.729166666664</v>
      </c>
      <c r="G2759">
        <v>8.5</v>
      </c>
      <c r="H2759" s="9">
        <f t="shared" si="129"/>
        <v>4.4999999999999998E-2</v>
      </c>
      <c r="I2759">
        <v>4.4999999999999998E-2</v>
      </c>
      <c r="M2759" t="s">
        <v>65</v>
      </c>
      <c r="N2759" t="s">
        <v>29</v>
      </c>
      <c r="P2759" t="s">
        <v>30</v>
      </c>
      <c r="Q2759" t="s">
        <v>31</v>
      </c>
      <c r="R2759">
        <v>82400</v>
      </c>
      <c r="S2759" t="s">
        <v>83</v>
      </c>
      <c r="T2759">
        <v>82690</v>
      </c>
      <c r="U2759" t="s">
        <v>90</v>
      </c>
      <c r="V2759" t="s">
        <v>90</v>
      </c>
      <c r="W2759" t="s">
        <v>91</v>
      </c>
      <c r="X2759" t="s">
        <v>92</v>
      </c>
      <c r="Y2759" s="9">
        <f t="shared" si="130"/>
        <v>0</v>
      </c>
      <c r="Z2759" t="str">
        <f t="shared" si="131"/>
        <v>สแกนต่าง Cost</v>
      </c>
    </row>
    <row r="2760" spans="1:26" x14ac:dyDescent="0.45">
      <c r="A2760">
        <v>27302</v>
      </c>
      <c r="B2760" t="s">
        <v>53</v>
      </c>
      <c r="C2760">
        <v>20382171</v>
      </c>
      <c r="D2760" t="s">
        <v>119</v>
      </c>
      <c r="E2760" s="10">
        <v>46115.333333333336</v>
      </c>
      <c r="F2760" s="10">
        <v>46115.729166666664</v>
      </c>
      <c r="G2760">
        <v>8.5</v>
      </c>
      <c r="H2760" s="9">
        <f t="shared" si="129"/>
        <v>4.4999999999999998E-2</v>
      </c>
      <c r="I2760">
        <v>4.4999999999999998E-2</v>
      </c>
      <c r="M2760" t="s">
        <v>65</v>
      </c>
      <c r="N2760" t="s">
        <v>29</v>
      </c>
      <c r="P2760" t="s">
        <v>30</v>
      </c>
      <c r="Q2760" t="s">
        <v>31</v>
      </c>
      <c r="R2760">
        <v>82400</v>
      </c>
      <c r="S2760" t="s">
        <v>83</v>
      </c>
      <c r="T2760">
        <v>82690</v>
      </c>
      <c r="U2760" t="s">
        <v>90</v>
      </c>
      <c r="V2760" t="s">
        <v>90</v>
      </c>
      <c r="W2760" t="s">
        <v>91</v>
      </c>
      <c r="X2760" t="s">
        <v>92</v>
      </c>
      <c r="Y2760" s="9">
        <f t="shared" si="130"/>
        <v>0</v>
      </c>
      <c r="Z2760" t="str">
        <f t="shared" si="131"/>
        <v>สแกนต่าง Cost</v>
      </c>
    </row>
    <row r="2761" spans="1:26" x14ac:dyDescent="0.45">
      <c r="B2761" t="s">
        <v>53</v>
      </c>
      <c r="C2761">
        <v>20383661</v>
      </c>
      <c r="D2761" t="s">
        <v>408</v>
      </c>
      <c r="E2761" s="10">
        <v>46115.333333333336</v>
      </c>
      <c r="F2761" s="10">
        <v>46115.729166666664</v>
      </c>
      <c r="G2761">
        <v>9.5</v>
      </c>
      <c r="H2761" s="9">
        <f t="shared" si="129"/>
        <v>4.9999999999999996E-2</v>
      </c>
      <c r="I2761">
        <v>4.4999999999999998E-2</v>
      </c>
      <c r="K2761">
        <v>5.0000000000000001E-3</v>
      </c>
      <c r="M2761" t="s">
        <v>28</v>
      </c>
      <c r="N2761" t="s">
        <v>29</v>
      </c>
      <c r="P2761" t="s">
        <v>30</v>
      </c>
      <c r="Q2761" t="s">
        <v>31</v>
      </c>
      <c r="R2761">
        <v>82612</v>
      </c>
      <c r="S2761" t="s">
        <v>153</v>
      </c>
      <c r="T2761">
        <v>82630</v>
      </c>
      <c r="U2761" t="s">
        <v>32</v>
      </c>
      <c r="V2761" t="s">
        <v>62</v>
      </c>
      <c r="W2761" t="s">
        <v>44</v>
      </c>
      <c r="X2761" t="s">
        <v>44</v>
      </c>
      <c r="Y2761" s="9">
        <f t="shared" si="130"/>
        <v>5.0000000000000001E-3</v>
      </c>
      <c r="Z2761" t="str">
        <f t="shared" si="131"/>
        <v>สแกนต่าง Cost</v>
      </c>
    </row>
    <row r="2762" spans="1:26" x14ac:dyDescent="0.45">
      <c r="B2762" t="s">
        <v>53</v>
      </c>
      <c r="C2762">
        <v>20383662</v>
      </c>
      <c r="D2762" t="s">
        <v>409</v>
      </c>
      <c r="E2762" s="10">
        <v>46115.333333333336</v>
      </c>
      <c r="F2762" s="10">
        <v>46115.729166666664</v>
      </c>
      <c r="G2762">
        <v>9.5</v>
      </c>
      <c r="H2762" s="9">
        <f t="shared" si="129"/>
        <v>4.9999999999999996E-2</v>
      </c>
      <c r="I2762">
        <v>4.4999999999999998E-2</v>
      </c>
      <c r="K2762">
        <v>5.0000000000000001E-3</v>
      </c>
      <c r="M2762" t="s">
        <v>28</v>
      </c>
      <c r="N2762" t="s">
        <v>29</v>
      </c>
      <c r="P2762" t="s">
        <v>30</v>
      </c>
      <c r="Q2762" t="s">
        <v>31</v>
      </c>
      <c r="R2762">
        <v>82612</v>
      </c>
      <c r="S2762" t="s">
        <v>153</v>
      </c>
      <c r="T2762">
        <v>82630</v>
      </c>
      <c r="U2762" t="s">
        <v>32</v>
      </c>
      <c r="V2762" t="s">
        <v>62</v>
      </c>
      <c r="W2762" t="s">
        <v>44</v>
      </c>
      <c r="X2762" t="s">
        <v>44</v>
      </c>
      <c r="Y2762" s="9">
        <f t="shared" si="130"/>
        <v>5.0000000000000001E-3</v>
      </c>
      <c r="Z2762" t="str">
        <f t="shared" si="131"/>
        <v>สแกนต่าง Cost</v>
      </c>
    </row>
    <row r="2763" spans="1:26" x14ac:dyDescent="0.45">
      <c r="B2763" t="s">
        <v>53</v>
      </c>
      <c r="C2763">
        <v>20383664</v>
      </c>
      <c r="D2763" t="s">
        <v>410</v>
      </c>
      <c r="E2763" s="10">
        <v>46115.333333333336</v>
      </c>
      <c r="F2763" s="10">
        <v>46115.729166666664</v>
      </c>
      <c r="G2763">
        <v>8.5</v>
      </c>
      <c r="H2763" s="9">
        <f t="shared" si="129"/>
        <v>4.4999999999999998E-2</v>
      </c>
      <c r="J2763">
        <v>4.4999999999999998E-2</v>
      </c>
      <c r="M2763" t="s">
        <v>77</v>
      </c>
      <c r="N2763" t="s">
        <v>29</v>
      </c>
      <c r="P2763" t="s">
        <v>30</v>
      </c>
      <c r="Q2763" t="s">
        <v>31</v>
      </c>
      <c r="R2763">
        <v>82612</v>
      </c>
      <c r="S2763" t="s">
        <v>153</v>
      </c>
      <c r="T2763">
        <v>82630</v>
      </c>
      <c r="U2763" t="s">
        <v>32</v>
      </c>
      <c r="V2763" t="s">
        <v>62</v>
      </c>
      <c r="W2763" t="s">
        <v>44</v>
      </c>
      <c r="X2763" t="s">
        <v>44</v>
      </c>
      <c r="Y2763" s="9">
        <f t="shared" si="130"/>
        <v>4.4999999999999998E-2</v>
      </c>
      <c r="Z2763" t="str">
        <f t="shared" si="131"/>
        <v>สแกนต่าง Cost</v>
      </c>
    </row>
    <row r="2764" spans="1:26" x14ac:dyDescent="0.45">
      <c r="A2764">
        <v>25925</v>
      </c>
      <c r="B2764" t="s">
        <v>53</v>
      </c>
      <c r="C2764">
        <v>20270157</v>
      </c>
      <c r="D2764" t="s">
        <v>411</v>
      </c>
      <c r="E2764" s="10">
        <v>46115.324999999997</v>
      </c>
      <c r="F2764" s="10">
        <v>46115.729166666664</v>
      </c>
      <c r="G2764">
        <v>8.6999999999999993</v>
      </c>
      <c r="H2764" s="9">
        <f t="shared" si="129"/>
        <v>4.7E-2</v>
      </c>
      <c r="I2764">
        <v>4.7E-2</v>
      </c>
      <c r="M2764" t="s">
        <v>65</v>
      </c>
      <c r="N2764" t="s">
        <v>29</v>
      </c>
      <c r="P2764" t="s">
        <v>30</v>
      </c>
      <c r="Q2764" t="s">
        <v>31</v>
      </c>
      <c r="R2764">
        <v>82640</v>
      </c>
      <c r="S2764" t="s">
        <v>42</v>
      </c>
      <c r="T2764">
        <v>82658</v>
      </c>
      <c r="U2764" t="s">
        <v>33</v>
      </c>
      <c r="V2764" t="s">
        <v>33</v>
      </c>
      <c r="W2764" t="s">
        <v>37</v>
      </c>
      <c r="X2764" t="s">
        <v>34</v>
      </c>
      <c r="Y2764" s="9">
        <f t="shared" si="130"/>
        <v>0</v>
      </c>
      <c r="Z2764" t="str">
        <f t="shared" si="131"/>
        <v>สแกนต่าง Cost</v>
      </c>
    </row>
    <row r="2765" spans="1:26" x14ac:dyDescent="0.45">
      <c r="A2765">
        <v>25477</v>
      </c>
      <c r="B2765" t="s">
        <v>53</v>
      </c>
      <c r="C2765">
        <v>20017430</v>
      </c>
      <c r="D2765" t="s">
        <v>94</v>
      </c>
      <c r="E2765" s="10">
        <v>46115.291666666664</v>
      </c>
      <c r="F2765" s="10">
        <v>46115.835416666669</v>
      </c>
      <c r="G2765">
        <v>13.05</v>
      </c>
      <c r="H2765" s="9">
        <f t="shared" si="129"/>
        <v>6.9000000000000006E-2</v>
      </c>
      <c r="I2765">
        <v>4.4999999999999998E-2</v>
      </c>
      <c r="K2765">
        <v>2.4E-2</v>
      </c>
      <c r="M2765" t="s">
        <v>28</v>
      </c>
      <c r="N2765" t="s">
        <v>40</v>
      </c>
      <c r="O2765" t="s">
        <v>190</v>
      </c>
      <c r="P2765" t="s">
        <v>30</v>
      </c>
      <c r="Q2765" t="s">
        <v>31</v>
      </c>
      <c r="R2765">
        <v>82301</v>
      </c>
      <c r="S2765" t="s">
        <v>79</v>
      </c>
      <c r="T2765">
        <v>82308</v>
      </c>
      <c r="U2765" t="s">
        <v>69</v>
      </c>
      <c r="V2765" t="s">
        <v>69</v>
      </c>
      <c r="W2765" t="s">
        <v>69</v>
      </c>
      <c r="X2765" t="s">
        <v>95</v>
      </c>
      <c r="Y2765" s="9">
        <f t="shared" si="130"/>
        <v>2.4E-2</v>
      </c>
      <c r="Z2765" t="str">
        <f t="shared" si="131"/>
        <v>สแกนต่าง Cost</v>
      </c>
    </row>
    <row r="2766" spans="1:26" x14ac:dyDescent="0.45">
      <c r="A2766">
        <v>25513</v>
      </c>
      <c r="B2766" t="s">
        <v>53</v>
      </c>
      <c r="C2766">
        <v>20276269</v>
      </c>
      <c r="D2766" t="s">
        <v>134</v>
      </c>
      <c r="E2766" s="10">
        <v>46115.291666666664</v>
      </c>
      <c r="F2766" s="10">
        <v>46115.6875</v>
      </c>
      <c r="G2766">
        <v>8.5</v>
      </c>
      <c r="H2766" s="9">
        <f t="shared" si="129"/>
        <v>4.4999999999999998E-2</v>
      </c>
      <c r="I2766">
        <v>4.4999999999999998E-2</v>
      </c>
      <c r="M2766" t="s">
        <v>65</v>
      </c>
      <c r="N2766" t="s">
        <v>29</v>
      </c>
      <c r="P2766" t="s">
        <v>30</v>
      </c>
      <c r="Q2766" t="s">
        <v>31</v>
      </c>
      <c r="R2766">
        <v>82308</v>
      </c>
      <c r="S2766" t="s">
        <v>69</v>
      </c>
      <c r="T2766">
        <v>82301</v>
      </c>
      <c r="U2766" t="s">
        <v>79</v>
      </c>
      <c r="V2766" t="s">
        <v>79</v>
      </c>
      <c r="W2766" t="s">
        <v>80</v>
      </c>
      <c r="X2766" t="s">
        <v>135</v>
      </c>
      <c r="Y2766" s="9">
        <f t="shared" si="130"/>
        <v>0</v>
      </c>
      <c r="Z2766" t="str">
        <f t="shared" si="131"/>
        <v>สแกนต่าง Cost</v>
      </c>
    </row>
    <row r="2767" spans="1:26" x14ac:dyDescent="0.45">
      <c r="A2767">
        <v>25606</v>
      </c>
      <c r="B2767" t="s">
        <v>53</v>
      </c>
      <c r="C2767">
        <v>20214280</v>
      </c>
      <c r="D2767" t="s">
        <v>136</v>
      </c>
      <c r="E2767" s="10">
        <v>46115.24722222222</v>
      </c>
      <c r="F2767" s="10">
        <v>46115.729166666664</v>
      </c>
      <c r="G2767">
        <v>11.566666666666666</v>
      </c>
      <c r="H2767" s="9">
        <f t="shared" si="129"/>
        <v>6.0999999999999999E-2</v>
      </c>
      <c r="I2767">
        <v>4.4999999999999998E-2</v>
      </c>
      <c r="K2767">
        <v>1.6E-2</v>
      </c>
      <c r="M2767" t="s">
        <v>28</v>
      </c>
      <c r="N2767" t="s">
        <v>40</v>
      </c>
      <c r="O2767" t="s">
        <v>41</v>
      </c>
      <c r="P2767" t="s">
        <v>30</v>
      </c>
      <c r="Q2767" t="s">
        <v>31</v>
      </c>
      <c r="R2767">
        <v>82415</v>
      </c>
      <c r="S2767" t="s">
        <v>137</v>
      </c>
      <c r="T2767">
        <v>82664</v>
      </c>
      <c r="U2767" t="s">
        <v>75</v>
      </c>
      <c r="V2767" t="s">
        <v>75</v>
      </c>
      <c r="W2767" t="s">
        <v>74</v>
      </c>
      <c r="X2767" t="s">
        <v>74</v>
      </c>
      <c r="Y2767" s="9">
        <f t="shared" si="130"/>
        <v>1.6E-2</v>
      </c>
      <c r="Z2767" t="str">
        <f t="shared" si="131"/>
        <v>สแกนต่าง Cost</v>
      </c>
    </row>
    <row r="2768" spans="1:26" x14ac:dyDescent="0.45">
      <c r="B2768" t="s">
        <v>53</v>
      </c>
      <c r="C2768">
        <v>20310532</v>
      </c>
      <c r="D2768" t="s">
        <v>61</v>
      </c>
      <c r="E2768" s="10">
        <v>46115.041666666664</v>
      </c>
      <c r="F2768" s="10">
        <v>46115.229166666664</v>
      </c>
      <c r="G2768">
        <v>4.5</v>
      </c>
      <c r="H2768" s="9">
        <f t="shared" si="129"/>
        <v>2.4E-2</v>
      </c>
      <c r="K2768">
        <v>2.4E-2</v>
      </c>
      <c r="M2768" t="s">
        <v>28</v>
      </c>
      <c r="N2768" t="s">
        <v>29</v>
      </c>
      <c r="P2768" t="s">
        <v>30</v>
      </c>
      <c r="Q2768" t="s">
        <v>31</v>
      </c>
      <c r="R2768">
        <v>82640</v>
      </c>
      <c r="S2768" t="s">
        <v>42</v>
      </c>
      <c r="T2768">
        <v>82630</v>
      </c>
      <c r="U2768" t="s">
        <v>32</v>
      </c>
      <c r="V2768" t="s">
        <v>66</v>
      </c>
      <c r="W2768" t="s">
        <v>44</v>
      </c>
      <c r="X2768" t="s">
        <v>44</v>
      </c>
      <c r="Y2768" s="9">
        <f t="shared" si="130"/>
        <v>2.4E-2</v>
      </c>
      <c r="Z2768" t="str">
        <f t="shared" si="131"/>
        <v>สแกนต่าง Cost</v>
      </c>
    </row>
    <row r="2769" spans="1:26" x14ac:dyDescent="0.45">
      <c r="A2769">
        <v>25795</v>
      </c>
      <c r="B2769" t="s">
        <v>53</v>
      </c>
      <c r="C2769">
        <v>20344532</v>
      </c>
      <c r="D2769" t="s">
        <v>186</v>
      </c>
      <c r="E2769" s="10">
        <v>46114.84375</v>
      </c>
      <c r="F2769" s="10">
        <v>46115.32708333333</v>
      </c>
      <c r="G2769">
        <v>11.6</v>
      </c>
      <c r="H2769" s="9">
        <f t="shared" si="129"/>
        <v>6.2E-2</v>
      </c>
      <c r="I2769">
        <v>4.4999999999999998E-2</v>
      </c>
      <c r="K2769">
        <v>1.7000000000000001E-2</v>
      </c>
      <c r="M2769" t="s">
        <v>28</v>
      </c>
      <c r="N2769" t="s">
        <v>40</v>
      </c>
      <c r="O2769" t="s">
        <v>41</v>
      </c>
      <c r="P2769" t="s">
        <v>30</v>
      </c>
      <c r="Q2769" t="s">
        <v>31</v>
      </c>
      <c r="R2769">
        <v>82630</v>
      </c>
      <c r="S2769" t="s">
        <v>32</v>
      </c>
      <c r="T2769">
        <v>82658</v>
      </c>
      <c r="U2769" t="s">
        <v>33</v>
      </c>
      <c r="V2769" t="s">
        <v>33</v>
      </c>
      <c r="W2769" t="s">
        <v>34</v>
      </c>
      <c r="X2769" t="s">
        <v>34</v>
      </c>
      <c r="Y2769" s="9">
        <f t="shared" si="130"/>
        <v>1.7000000000000001E-2</v>
      </c>
      <c r="Z2769" t="str">
        <f t="shared" si="131"/>
        <v>สแกนต่าง Cost</v>
      </c>
    </row>
    <row r="2770" spans="1:26" x14ac:dyDescent="0.45">
      <c r="A2770">
        <v>25794</v>
      </c>
      <c r="B2770" t="s">
        <v>53</v>
      </c>
      <c r="C2770">
        <v>20319542</v>
      </c>
      <c r="D2770" t="s">
        <v>379</v>
      </c>
      <c r="E2770" s="10">
        <v>46114.840277777781</v>
      </c>
      <c r="F2770" s="10">
        <v>46115.32708333333</v>
      </c>
      <c r="G2770">
        <v>11.683333333333334</v>
      </c>
      <c r="H2770" s="9">
        <f t="shared" si="129"/>
        <v>6.2E-2</v>
      </c>
      <c r="I2770">
        <v>4.4999999999999998E-2</v>
      </c>
      <c r="K2770">
        <v>1.7000000000000001E-2</v>
      </c>
      <c r="M2770" t="s">
        <v>28</v>
      </c>
      <c r="N2770" t="s">
        <v>40</v>
      </c>
      <c r="O2770" t="s">
        <v>41</v>
      </c>
      <c r="P2770" t="s">
        <v>30</v>
      </c>
      <c r="Q2770" t="s">
        <v>31</v>
      </c>
      <c r="R2770">
        <v>82630</v>
      </c>
      <c r="S2770" t="s">
        <v>32</v>
      </c>
      <c r="T2770">
        <v>82658</v>
      </c>
      <c r="U2770" t="s">
        <v>33</v>
      </c>
      <c r="V2770" t="s">
        <v>33</v>
      </c>
      <c r="W2770" t="s">
        <v>34</v>
      </c>
      <c r="X2770" t="s">
        <v>34</v>
      </c>
      <c r="Y2770" s="9">
        <f t="shared" si="130"/>
        <v>1.7000000000000001E-2</v>
      </c>
      <c r="Z2770" t="str">
        <f t="shared" si="131"/>
        <v>สแกนต่าง Cost</v>
      </c>
    </row>
    <row r="2771" spans="1:26" x14ac:dyDescent="0.45">
      <c r="B2771" t="s">
        <v>53</v>
      </c>
      <c r="C2771">
        <v>20310532</v>
      </c>
      <c r="D2771" t="s">
        <v>61</v>
      </c>
      <c r="E2771" s="10">
        <v>46114.833333333336</v>
      </c>
      <c r="F2771" s="10">
        <v>46115</v>
      </c>
      <c r="G2771">
        <v>4</v>
      </c>
      <c r="H2771" s="9">
        <f t="shared" si="129"/>
        <v>2.1000000000000001E-2</v>
      </c>
      <c r="I2771">
        <v>2.1000000000000001E-2</v>
      </c>
      <c r="M2771" t="s">
        <v>65</v>
      </c>
      <c r="N2771" t="s">
        <v>29</v>
      </c>
      <c r="P2771" t="s">
        <v>30</v>
      </c>
      <c r="Q2771" t="s">
        <v>31</v>
      </c>
      <c r="R2771">
        <v>82640</v>
      </c>
      <c r="S2771" t="s">
        <v>42</v>
      </c>
      <c r="T2771">
        <v>82630</v>
      </c>
      <c r="U2771" t="s">
        <v>32</v>
      </c>
      <c r="V2771" t="s">
        <v>66</v>
      </c>
      <c r="W2771" t="s">
        <v>44</v>
      </c>
      <c r="X2771" t="s">
        <v>44</v>
      </c>
      <c r="Y2771" s="9">
        <f t="shared" si="130"/>
        <v>0</v>
      </c>
      <c r="Z2771" t="str">
        <f t="shared" si="131"/>
        <v>สแกนต่าง Cost</v>
      </c>
    </row>
    <row r="2772" spans="1:26" x14ac:dyDescent="0.45">
      <c r="A2772">
        <v>25786</v>
      </c>
      <c r="B2772" t="s">
        <v>53</v>
      </c>
      <c r="C2772">
        <v>20028097</v>
      </c>
      <c r="D2772" t="s">
        <v>139</v>
      </c>
      <c r="E2772" s="10">
        <v>46114.741666666669</v>
      </c>
      <c r="F2772" s="10">
        <v>46114.826388888891</v>
      </c>
      <c r="G2772">
        <v>2.0333333333333332</v>
      </c>
      <c r="H2772" s="9">
        <f t="shared" si="129"/>
        <v>1.0999999999999999E-2</v>
      </c>
      <c r="K2772">
        <v>1.0999999999999999E-2</v>
      </c>
      <c r="M2772" t="s">
        <v>28</v>
      </c>
      <c r="N2772" t="s">
        <v>40</v>
      </c>
      <c r="O2772" t="s">
        <v>41</v>
      </c>
      <c r="P2772" t="s">
        <v>30</v>
      </c>
      <c r="Q2772" t="s">
        <v>31</v>
      </c>
      <c r="R2772">
        <v>82652</v>
      </c>
      <c r="S2772" t="s">
        <v>46</v>
      </c>
      <c r="T2772">
        <v>82658</v>
      </c>
      <c r="U2772" t="s">
        <v>33</v>
      </c>
      <c r="V2772" t="s">
        <v>33</v>
      </c>
      <c r="W2772" t="s">
        <v>37</v>
      </c>
      <c r="X2772" t="s">
        <v>60</v>
      </c>
      <c r="Y2772" s="9">
        <f t="shared" si="130"/>
        <v>1.0999999999999999E-2</v>
      </c>
      <c r="Z2772" t="str">
        <f t="shared" si="131"/>
        <v>สแกนต่าง Cost</v>
      </c>
    </row>
    <row r="2773" spans="1:26" x14ac:dyDescent="0.45">
      <c r="A2773">
        <v>25787</v>
      </c>
      <c r="B2773" t="s">
        <v>53</v>
      </c>
      <c r="C2773">
        <v>20198811</v>
      </c>
      <c r="D2773" t="s">
        <v>144</v>
      </c>
      <c r="E2773" s="10">
        <v>46114.741666666669</v>
      </c>
      <c r="F2773" s="10">
        <v>46114.826388888891</v>
      </c>
      <c r="G2773">
        <v>2.0333333333333332</v>
      </c>
      <c r="H2773" s="9">
        <f t="shared" si="129"/>
        <v>1.0999999999999999E-2</v>
      </c>
      <c r="K2773">
        <v>1.0999999999999999E-2</v>
      </c>
      <c r="M2773" t="s">
        <v>28</v>
      </c>
      <c r="N2773" t="s">
        <v>40</v>
      </c>
      <c r="O2773" t="s">
        <v>41</v>
      </c>
      <c r="P2773" t="s">
        <v>30</v>
      </c>
      <c r="Q2773" t="s">
        <v>31</v>
      </c>
      <c r="R2773">
        <v>82652</v>
      </c>
      <c r="S2773" t="s">
        <v>46</v>
      </c>
      <c r="T2773">
        <v>82658</v>
      </c>
      <c r="U2773" t="s">
        <v>33</v>
      </c>
      <c r="V2773" t="s">
        <v>33</v>
      </c>
      <c r="W2773" t="s">
        <v>37</v>
      </c>
      <c r="X2773" t="s">
        <v>60</v>
      </c>
      <c r="Y2773" s="9">
        <f t="shared" si="130"/>
        <v>1.0999999999999999E-2</v>
      </c>
      <c r="Z2773" t="str">
        <f t="shared" si="131"/>
        <v>สแกนต่าง Cost</v>
      </c>
    </row>
    <row r="2774" spans="1:26" x14ac:dyDescent="0.45">
      <c r="A2774">
        <v>25788</v>
      </c>
      <c r="B2774" t="s">
        <v>53</v>
      </c>
      <c r="C2774">
        <v>20198813</v>
      </c>
      <c r="D2774" t="s">
        <v>45</v>
      </c>
      <c r="E2774" s="10">
        <v>46114.741666666669</v>
      </c>
      <c r="F2774" s="10">
        <v>46114.826388888891</v>
      </c>
      <c r="G2774">
        <v>2.0333333333333332</v>
      </c>
      <c r="H2774" s="9">
        <f t="shared" si="129"/>
        <v>1.0999999999999999E-2</v>
      </c>
      <c r="K2774">
        <v>1.0999999999999999E-2</v>
      </c>
      <c r="M2774" t="s">
        <v>28</v>
      </c>
      <c r="N2774" t="s">
        <v>40</v>
      </c>
      <c r="O2774" t="s">
        <v>41</v>
      </c>
      <c r="P2774" t="s">
        <v>30</v>
      </c>
      <c r="Q2774" t="s">
        <v>31</v>
      </c>
      <c r="R2774">
        <v>82652</v>
      </c>
      <c r="S2774" t="s">
        <v>46</v>
      </c>
      <c r="T2774">
        <v>82658</v>
      </c>
      <c r="U2774" t="s">
        <v>33</v>
      </c>
      <c r="V2774" t="s">
        <v>33</v>
      </c>
      <c r="W2774" t="s">
        <v>37</v>
      </c>
      <c r="X2774" t="s">
        <v>60</v>
      </c>
      <c r="Y2774" s="9">
        <f t="shared" si="130"/>
        <v>1.0999999999999999E-2</v>
      </c>
      <c r="Z2774" t="str">
        <f t="shared" si="131"/>
        <v>สแกนต่าง Cost</v>
      </c>
    </row>
    <row r="2775" spans="1:26" x14ac:dyDescent="0.45">
      <c r="A2775">
        <v>25789</v>
      </c>
      <c r="B2775" t="s">
        <v>53</v>
      </c>
      <c r="C2775">
        <v>20250204</v>
      </c>
      <c r="D2775" t="s">
        <v>145</v>
      </c>
      <c r="E2775" s="10">
        <v>46114.741666666669</v>
      </c>
      <c r="F2775" s="10">
        <v>46114.82708333333</v>
      </c>
      <c r="G2775">
        <v>2.0499999999999998</v>
      </c>
      <c r="H2775" s="9">
        <f t="shared" si="129"/>
        <v>1.0999999999999999E-2</v>
      </c>
      <c r="K2775">
        <v>1.0999999999999999E-2</v>
      </c>
      <c r="M2775" t="s">
        <v>28</v>
      </c>
      <c r="N2775" t="s">
        <v>40</v>
      </c>
      <c r="O2775" t="s">
        <v>41</v>
      </c>
      <c r="P2775" t="s">
        <v>30</v>
      </c>
      <c r="Q2775" t="s">
        <v>31</v>
      </c>
      <c r="R2775">
        <v>82652</v>
      </c>
      <c r="S2775" t="s">
        <v>46</v>
      </c>
      <c r="T2775">
        <v>82658</v>
      </c>
      <c r="U2775" t="s">
        <v>33</v>
      </c>
      <c r="V2775" t="s">
        <v>33</v>
      </c>
      <c r="W2775" t="s">
        <v>37</v>
      </c>
      <c r="X2775" t="s">
        <v>60</v>
      </c>
      <c r="Y2775" s="9">
        <f t="shared" si="130"/>
        <v>1.0999999999999999E-2</v>
      </c>
      <c r="Z2775" t="str">
        <f t="shared" si="131"/>
        <v>สแกนต่าง Cost</v>
      </c>
    </row>
    <row r="2776" spans="1:26" x14ac:dyDescent="0.45">
      <c r="A2776">
        <v>25785</v>
      </c>
      <c r="B2776" t="s">
        <v>53</v>
      </c>
      <c r="C2776">
        <v>20386851</v>
      </c>
      <c r="D2776" t="s">
        <v>48</v>
      </c>
      <c r="E2776" s="10">
        <v>46114.741666666669</v>
      </c>
      <c r="F2776" s="10">
        <v>46114.82708333333</v>
      </c>
      <c r="G2776">
        <v>2.0499999999999998</v>
      </c>
      <c r="H2776" s="9">
        <f t="shared" si="129"/>
        <v>1.0999999999999999E-2</v>
      </c>
      <c r="K2776">
        <v>1.0999999999999999E-2</v>
      </c>
      <c r="M2776" t="s">
        <v>28</v>
      </c>
      <c r="N2776" t="s">
        <v>40</v>
      </c>
      <c r="O2776" t="s">
        <v>41</v>
      </c>
      <c r="P2776" t="s">
        <v>30</v>
      </c>
      <c r="Q2776" t="s">
        <v>31</v>
      </c>
      <c r="R2776">
        <v>82652</v>
      </c>
      <c r="S2776" t="s">
        <v>46</v>
      </c>
      <c r="T2776">
        <v>82658</v>
      </c>
      <c r="U2776" t="s">
        <v>33</v>
      </c>
      <c r="V2776" t="s">
        <v>33</v>
      </c>
      <c r="W2776" t="s">
        <v>37</v>
      </c>
      <c r="X2776" t="s">
        <v>60</v>
      </c>
      <c r="Y2776" s="9">
        <f t="shared" si="130"/>
        <v>1.0999999999999999E-2</v>
      </c>
      <c r="Z2776" t="str">
        <f t="shared" si="131"/>
        <v>สแกนต่าง Cost</v>
      </c>
    </row>
    <row r="2777" spans="1:26" x14ac:dyDescent="0.45">
      <c r="A2777">
        <v>25784</v>
      </c>
      <c r="B2777" t="s">
        <v>53</v>
      </c>
      <c r="C2777">
        <v>20030026</v>
      </c>
      <c r="D2777" t="s">
        <v>141</v>
      </c>
      <c r="E2777" s="10">
        <v>46114.740972222222</v>
      </c>
      <c r="F2777" s="10">
        <v>46114.826388888891</v>
      </c>
      <c r="G2777">
        <v>2.0499999999999998</v>
      </c>
      <c r="H2777" s="9">
        <f t="shared" si="129"/>
        <v>1.0999999999999999E-2</v>
      </c>
      <c r="K2777">
        <v>1.0999999999999999E-2</v>
      </c>
      <c r="M2777" t="s">
        <v>28</v>
      </c>
      <c r="N2777" t="s">
        <v>40</v>
      </c>
      <c r="O2777" t="s">
        <v>41</v>
      </c>
      <c r="P2777" t="s">
        <v>30</v>
      </c>
      <c r="Q2777" t="s">
        <v>31</v>
      </c>
      <c r="R2777">
        <v>82652</v>
      </c>
      <c r="S2777" t="s">
        <v>46</v>
      </c>
      <c r="T2777">
        <v>82658</v>
      </c>
      <c r="U2777" t="s">
        <v>33</v>
      </c>
      <c r="V2777" t="s">
        <v>33</v>
      </c>
      <c r="W2777" t="s">
        <v>37</v>
      </c>
      <c r="X2777" t="s">
        <v>60</v>
      </c>
      <c r="Y2777" s="9">
        <f t="shared" si="130"/>
        <v>1.0999999999999999E-2</v>
      </c>
      <c r="Z2777" t="str">
        <f t="shared" si="131"/>
        <v>สแกนต่าง Cost</v>
      </c>
    </row>
    <row r="2778" spans="1:26" x14ac:dyDescent="0.45">
      <c r="A2778">
        <v>25782</v>
      </c>
      <c r="B2778" t="s">
        <v>53</v>
      </c>
      <c r="C2778">
        <v>20031153</v>
      </c>
      <c r="D2778" t="s">
        <v>142</v>
      </c>
      <c r="E2778" s="10">
        <v>46114.740972222222</v>
      </c>
      <c r="F2778" s="10">
        <v>46114.826388888891</v>
      </c>
      <c r="G2778">
        <v>2.0499999999999998</v>
      </c>
      <c r="H2778" s="9">
        <f t="shared" si="129"/>
        <v>1.0999999999999999E-2</v>
      </c>
      <c r="K2778">
        <v>1.0999999999999999E-2</v>
      </c>
      <c r="M2778" t="s">
        <v>28</v>
      </c>
      <c r="N2778" t="s">
        <v>40</v>
      </c>
      <c r="O2778" t="s">
        <v>41</v>
      </c>
      <c r="P2778" t="s">
        <v>30</v>
      </c>
      <c r="Q2778" t="s">
        <v>31</v>
      </c>
      <c r="R2778">
        <v>82652</v>
      </c>
      <c r="S2778" t="s">
        <v>46</v>
      </c>
      <c r="T2778">
        <v>82658</v>
      </c>
      <c r="U2778" t="s">
        <v>33</v>
      </c>
      <c r="V2778" t="s">
        <v>33</v>
      </c>
      <c r="W2778" t="s">
        <v>37</v>
      </c>
      <c r="X2778" t="s">
        <v>60</v>
      </c>
      <c r="Y2778" s="9">
        <f t="shared" si="130"/>
        <v>1.0999999999999999E-2</v>
      </c>
      <c r="Z2778" t="str">
        <f t="shared" si="131"/>
        <v>สแกนต่าง Cost</v>
      </c>
    </row>
    <row r="2779" spans="1:26" x14ac:dyDescent="0.45">
      <c r="A2779">
        <v>25783</v>
      </c>
      <c r="B2779" t="s">
        <v>53</v>
      </c>
      <c r="C2779">
        <v>20031838</v>
      </c>
      <c r="D2779" t="s">
        <v>143</v>
      </c>
      <c r="E2779" s="10">
        <v>46114.740972222222</v>
      </c>
      <c r="F2779" s="10">
        <v>46114.826388888891</v>
      </c>
      <c r="G2779">
        <v>2.0499999999999998</v>
      </c>
      <c r="H2779" s="9">
        <f t="shared" si="129"/>
        <v>1.0999999999999999E-2</v>
      </c>
      <c r="K2779">
        <v>1.0999999999999999E-2</v>
      </c>
      <c r="M2779" t="s">
        <v>28</v>
      </c>
      <c r="N2779" t="s">
        <v>40</v>
      </c>
      <c r="O2779" t="s">
        <v>41</v>
      </c>
      <c r="P2779" t="s">
        <v>30</v>
      </c>
      <c r="Q2779" t="s">
        <v>31</v>
      </c>
      <c r="R2779">
        <v>82652</v>
      </c>
      <c r="S2779" t="s">
        <v>46</v>
      </c>
      <c r="T2779">
        <v>82658</v>
      </c>
      <c r="U2779" t="s">
        <v>33</v>
      </c>
      <c r="V2779" t="s">
        <v>33</v>
      </c>
      <c r="W2779" t="s">
        <v>37</v>
      </c>
      <c r="X2779" t="s">
        <v>60</v>
      </c>
      <c r="Y2779" s="9">
        <f t="shared" si="130"/>
        <v>1.0999999999999999E-2</v>
      </c>
      <c r="Z2779" t="str">
        <f t="shared" si="131"/>
        <v>สแกนต่าง Cost</v>
      </c>
    </row>
    <row r="2780" spans="1:26" x14ac:dyDescent="0.45">
      <c r="A2780">
        <v>25407</v>
      </c>
      <c r="B2780" t="s">
        <v>53</v>
      </c>
      <c r="C2780">
        <v>20238364</v>
      </c>
      <c r="D2780" t="s">
        <v>198</v>
      </c>
      <c r="E2780" s="10">
        <v>46114.732638888891</v>
      </c>
      <c r="F2780" s="10">
        <v>46114.835416666669</v>
      </c>
      <c r="G2780">
        <v>2.4666666666666668</v>
      </c>
      <c r="H2780" s="9">
        <f t="shared" si="129"/>
        <v>1.2999999999999999E-2</v>
      </c>
      <c r="K2780">
        <v>1.2999999999999999E-2</v>
      </c>
      <c r="M2780" t="s">
        <v>28</v>
      </c>
      <c r="N2780" t="s">
        <v>40</v>
      </c>
      <c r="O2780" t="s">
        <v>41</v>
      </c>
      <c r="P2780" t="s">
        <v>30</v>
      </c>
      <c r="Q2780" t="s">
        <v>31</v>
      </c>
      <c r="R2780">
        <v>82306</v>
      </c>
      <c r="S2780" t="s">
        <v>55</v>
      </c>
      <c r="T2780">
        <v>82303</v>
      </c>
      <c r="U2780" t="s">
        <v>56</v>
      </c>
      <c r="V2780" t="s">
        <v>56</v>
      </c>
      <c r="W2780" t="s">
        <v>56</v>
      </c>
      <c r="X2780" t="s">
        <v>57</v>
      </c>
      <c r="Y2780" s="9">
        <f t="shared" si="130"/>
        <v>1.2999999999999999E-2</v>
      </c>
      <c r="Z2780" t="str">
        <f t="shared" si="131"/>
        <v>สแกนต่าง Cost</v>
      </c>
    </row>
    <row r="2781" spans="1:26" x14ac:dyDescent="0.45">
      <c r="B2781" t="s">
        <v>53</v>
      </c>
      <c r="C2781">
        <v>20060579</v>
      </c>
      <c r="D2781" t="s">
        <v>39</v>
      </c>
      <c r="E2781" s="10">
        <v>46114.729166666664</v>
      </c>
      <c r="F2781" s="10">
        <v>46114.875</v>
      </c>
      <c r="G2781">
        <v>3.5</v>
      </c>
      <c r="H2781" s="9">
        <f t="shared" si="129"/>
        <v>1.9E-2</v>
      </c>
      <c r="L2781">
        <v>1.9E-2</v>
      </c>
      <c r="M2781" t="s">
        <v>255</v>
      </c>
      <c r="N2781" t="s">
        <v>29</v>
      </c>
      <c r="P2781" t="s">
        <v>30</v>
      </c>
      <c r="Q2781" t="s">
        <v>31</v>
      </c>
      <c r="R2781">
        <v>82640</v>
      </c>
      <c r="S2781" t="s">
        <v>42</v>
      </c>
      <c r="T2781">
        <v>82630</v>
      </c>
      <c r="U2781" t="s">
        <v>32</v>
      </c>
      <c r="V2781" t="s">
        <v>66</v>
      </c>
      <c r="W2781" t="s">
        <v>44</v>
      </c>
      <c r="X2781" t="s">
        <v>44</v>
      </c>
      <c r="Y2781" s="9">
        <f t="shared" si="130"/>
        <v>1.9E-2</v>
      </c>
      <c r="Z2781" t="str">
        <f t="shared" si="131"/>
        <v>สแกนต่าง Cost</v>
      </c>
    </row>
    <row r="2782" spans="1:26" x14ac:dyDescent="0.45">
      <c r="A2782">
        <v>25780</v>
      </c>
      <c r="B2782" t="s">
        <v>53</v>
      </c>
      <c r="C2782">
        <v>20018605</v>
      </c>
      <c r="D2782" t="s">
        <v>151</v>
      </c>
      <c r="E2782" s="10">
        <v>46114.726388888892</v>
      </c>
      <c r="F2782" s="10">
        <v>46114.826388888891</v>
      </c>
      <c r="G2782">
        <v>2.4</v>
      </c>
      <c r="H2782" s="9">
        <f t="shared" si="129"/>
        <v>1.2999999999999999E-2</v>
      </c>
      <c r="K2782">
        <v>1.2999999999999999E-2</v>
      </c>
      <c r="M2782" t="s">
        <v>28</v>
      </c>
      <c r="N2782" t="s">
        <v>40</v>
      </c>
      <c r="O2782" t="s">
        <v>41</v>
      </c>
      <c r="P2782" t="s">
        <v>133</v>
      </c>
      <c r="Q2782" t="s">
        <v>31</v>
      </c>
      <c r="R2782">
        <v>82640</v>
      </c>
      <c r="S2782" t="s">
        <v>42</v>
      </c>
      <c r="T2782">
        <v>82611</v>
      </c>
      <c r="U2782" t="s">
        <v>43</v>
      </c>
      <c r="V2782" t="s">
        <v>43</v>
      </c>
      <c r="W2782" t="s">
        <v>71</v>
      </c>
      <c r="X2782" t="s">
        <v>72</v>
      </c>
      <c r="Y2782" s="9">
        <f t="shared" si="130"/>
        <v>1.2999999999999999E-2</v>
      </c>
      <c r="Z2782" t="str">
        <f t="shared" si="131"/>
        <v>สแกนต่าง Cost</v>
      </c>
    </row>
    <row r="2783" spans="1:26" x14ac:dyDescent="0.45">
      <c r="A2783">
        <v>25793</v>
      </c>
      <c r="B2783" t="s">
        <v>53</v>
      </c>
      <c r="C2783">
        <v>20334399</v>
      </c>
      <c r="D2783" t="s">
        <v>237</v>
      </c>
      <c r="E2783" s="10">
        <v>46114.722916666666</v>
      </c>
      <c r="F2783" s="10">
        <v>46115.354166666664</v>
      </c>
      <c r="G2783">
        <v>15.15</v>
      </c>
      <c r="H2783" s="9">
        <f t="shared" si="129"/>
        <v>3.5999999999999997E-2</v>
      </c>
      <c r="L2783">
        <v>3.5999999999999997E-2</v>
      </c>
      <c r="M2783" t="s">
        <v>255</v>
      </c>
      <c r="N2783" t="s">
        <v>29</v>
      </c>
      <c r="P2783" t="s">
        <v>30</v>
      </c>
      <c r="Q2783" t="s">
        <v>31</v>
      </c>
      <c r="R2783">
        <v>82301</v>
      </c>
      <c r="S2783" t="s">
        <v>79</v>
      </c>
      <c r="T2783">
        <v>82658</v>
      </c>
      <c r="U2783" t="s">
        <v>33</v>
      </c>
      <c r="V2783" t="s">
        <v>33</v>
      </c>
      <c r="W2783" t="s">
        <v>37</v>
      </c>
      <c r="X2783" t="s">
        <v>38</v>
      </c>
      <c r="Y2783" s="9">
        <f t="shared" si="130"/>
        <v>3.5999999999999997E-2</v>
      </c>
      <c r="Z2783" t="str">
        <f t="shared" si="131"/>
        <v>สแกนต่าง Cost</v>
      </c>
    </row>
    <row r="2784" spans="1:26" x14ac:dyDescent="0.45">
      <c r="B2784" t="s">
        <v>53</v>
      </c>
      <c r="C2784">
        <v>20060579</v>
      </c>
      <c r="D2784" t="s">
        <v>39</v>
      </c>
      <c r="E2784" s="10">
        <v>46114.708333333336</v>
      </c>
      <c r="F2784" s="10">
        <v>46114.729166666664</v>
      </c>
      <c r="G2784">
        <v>0.5</v>
      </c>
      <c r="H2784" s="9">
        <f t="shared" si="129"/>
        <v>3.0000000000000001E-3</v>
      </c>
      <c r="J2784">
        <v>3.0000000000000001E-3</v>
      </c>
      <c r="M2784" t="s">
        <v>77</v>
      </c>
      <c r="N2784" t="s">
        <v>29</v>
      </c>
      <c r="P2784" t="s">
        <v>30</v>
      </c>
      <c r="Q2784" t="s">
        <v>31</v>
      </c>
      <c r="R2784">
        <v>82640</v>
      </c>
      <c r="S2784" t="s">
        <v>42</v>
      </c>
      <c r="T2784">
        <v>82630</v>
      </c>
      <c r="U2784" t="s">
        <v>32</v>
      </c>
      <c r="V2784" t="s">
        <v>66</v>
      </c>
      <c r="W2784" t="s">
        <v>44</v>
      </c>
      <c r="X2784" t="s">
        <v>44</v>
      </c>
      <c r="Y2784" s="9">
        <f t="shared" si="130"/>
        <v>3.0000000000000001E-3</v>
      </c>
      <c r="Z2784" t="str">
        <f t="shared" si="131"/>
        <v>สแกนต่าง Cost</v>
      </c>
    </row>
    <row r="2785" spans="2:26" x14ac:dyDescent="0.45">
      <c r="B2785" t="s">
        <v>53</v>
      </c>
      <c r="C2785">
        <v>20167851</v>
      </c>
      <c r="D2785" t="s">
        <v>63</v>
      </c>
      <c r="E2785" s="10">
        <v>46114.708333333336</v>
      </c>
      <c r="F2785" s="10">
        <v>46114.729166666664</v>
      </c>
      <c r="G2785">
        <v>0.5</v>
      </c>
      <c r="H2785" s="9">
        <f t="shared" si="129"/>
        <v>3.0000000000000001E-3</v>
      </c>
      <c r="I2785">
        <v>3.0000000000000001E-3</v>
      </c>
      <c r="M2785" t="s">
        <v>65</v>
      </c>
      <c r="N2785" t="s">
        <v>29</v>
      </c>
      <c r="P2785" t="s">
        <v>30</v>
      </c>
      <c r="Q2785" t="s">
        <v>31</v>
      </c>
      <c r="R2785">
        <v>82640</v>
      </c>
      <c r="S2785" t="s">
        <v>42</v>
      </c>
      <c r="T2785">
        <v>82630</v>
      </c>
      <c r="U2785" t="s">
        <v>32</v>
      </c>
      <c r="V2785" t="s">
        <v>66</v>
      </c>
      <c r="W2785" t="s">
        <v>44</v>
      </c>
      <c r="X2785" t="s">
        <v>44</v>
      </c>
      <c r="Y2785" s="9">
        <f t="shared" si="130"/>
        <v>0</v>
      </c>
      <c r="Z2785" t="str">
        <f t="shared" si="131"/>
        <v>สแกนต่าง Cost</v>
      </c>
    </row>
    <row r="2786" spans="2:26" x14ac:dyDescent="0.45">
      <c r="B2786" t="s">
        <v>53</v>
      </c>
      <c r="C2786">
        <v>20310530</v>
      </c>
      <c r="D2786" t="s">
        <v>220</v>
      </c>
      <c r="E2786" s="10">
        <v>46114.708333333336</v>
      </c>
      <c r="F2786" s="10">
        <v>46114.729166666664</v>
      </c>
      <c r="G2786">
        <v>0.5</v>
      </c>
      <c r="H2786" s="9">
        <f t="shared" si="129"/>
        <v>3.0000000000000001E-3</v>
      </c>
      <c r="I2786">
        <v>3.0000000000000001E-3</v>
      </c>
      <c r="M2786" t="s">
        <v>65</v>
      </c>
      <c r="N2786" t="s">
        <v>29</v>
      </c>
      <c r="P2786" t="s">
        <v>30</v>
      </c>
      <c r="Q2786" t="s">
        <v>31</v>
      </c>
      <c r="R2786">
        <v>82640</v>
      </c>
      <c r="S2786" t="s">
        <v>42</v>
      </c>
      <c r="T2786">
        <v>82622</v>
      </c>
      <c r="U2786" t="s">
        <v>147</v>
      </c>
      <c r="V2786" t="s">
        <v>66</v>
      </c>
      <c r="W2786" t="s">
        <v>44</v>
      </c>
      <c r="X2786" t="s">
        <v>44</v>
      </c>
      <c r="Y2786" s="9">
        <f t="shared" si="130"/>
        <v>0</v>
      </c>
      <c r="Z2786" t="str">
        <f t="shared" si="131"/>
        <v>สแกนต่าง Cost</v>
      </c>
    </row>
    <row r="2787" spans="2:26" x14ac:dyDescent="0.45">
      <c r="B2787" t="s">
        <v>53</v>
      </c>
      <c r="C2787">
        <v>20167851</v>
      </c>
      <c r="D2787" t="s">
        <v>63</v>
      </c>
      <c r="E2787" s="10">
        <v>46114.6875</v>
      </c>
      <c r="F2787" s="10">
        <v>46114.708333333336</v>
      </c>
      <c r="G2787">
        <v>0.5</v>
      </c>
      <c r="H2787" s="9">
        <f t="shared" si="129"/>
        <v>3.0000000000000001E-3</v>
      </c>
      <c r="I2787">
        <v>3.0000000000000001E-3</v>
      </c>
      <c r="M2787" t="s">
        <v>65</v>
      </c>
      <c r="N2787" t="s">
        <v>29</v>
      </c>
      <c r="P2787" t="s">
        <v>30</v>
      </c>
      <c r="Q2787" t="s">
        <v>31</v>
      </c>
      <c r="R2787">
        <v>82640</v>
      </c>
      <c r="S2787" t="s">
        <v>42</v>
      </c>
      <c r="T2787">
        <v>82612</v>
      </c>
      <c r="U2787" t="s">
        <v>153</v>
      </c>
      <c r="V2787" t="s">
        <v>66</v>
      </c>
      <c r="W2787" t="s">
        <v>44</v>
      </c>
      <c r="X2787" t="s">
        <v>44</v>
      </c>
      <c r="Y2787" s="9">
        <f t="shared" si="130"/>
        <v>0</v>
      </c>
      <c r="Z2787" t="str">
        <f t="shared" si="131"/>
        <v>สแกนต่าง Cost</v>
      </c>
    </row>
    <row r="2788" spans="2:26" x14ac:dyDescent="0.45">
      <c r="B2788" t="s">
        <v>53</v>
      </c>
      <c r="C2788">
        <v>20280718</v>
      </c>
      <c r="D2788" t="s">
        <v>256</v>
      </c>
      <c r="E2788" s="10">
        <v>46114.6875</v>
      </c>
      <c r="F2788" s="10">
        <v>46114.708333333336</v>
      </c>
      <c r="G2788">
        <v>0.5</v>
      </c>
      <c r="H2788" s="9">
        <f t="shared" si="129"/>
        <v>3.0000000000000001E-3</v>
      </c>
      <c r="I2788">
        <v>3.0000000000000001E-3</v>
      </c>
      <c r="M2788" t="s">
        <v>65</v>
      </c>
      <c r="N2788" t="s">
        <v>29</v>
      </c>
      <c r="P2788" t="s">
        <v>30</v>
      </c>
      <c r="Q2788" t="s">
        <v>31</v>
      </c>
      <c r="R2788">
        <v>82640</v>
      </c>
      <c r="S2788" t="s">
        <v>42</v>
      </c>
      <c r="T2788">
        <v>82612</v>
      </c>
      <c r="U2788" t="s">
        <v>153</v>
      </c>
      <c r="V2788" t="s">
        <v>66</v>
      </c>
      <c r="W2788" t="s">
        <v>44</v>
      </c>
      <c r="X2788" t="s">
        <v>44</v>
      </c>
      <c r="Y2788" s="9">
        <f t="shared" si="130"/>
        <v>0</v>
      </c>
      <c r="Z2788" t="str">
        <f t="shared" si="131"/>
        <v>สแกนต่าง Cost</v>
      </c>
    </row>
    <row r="2789" spans="2:26" x14ac:dyDescent="0.45">
      <c r="B2789" t="s">
        <v>53</v>
      </c>
      <c r="C2789">
        <v>20026534</v>
      </c>
      <c r="D2789" t="s">
        <v>279</v>
      </c>
      <c r="E2789" s="10">
        <v>46114.666666666664</v>
      </c>
      <c r="F2789" s="10">
        <v>46114.729166666664</v>
      </c>
      <c r="G2789">
        <v>1.5</v>
      </c>
      <c r="H2789" s="9">
        <f t="shared" si="129"/>
        <v>8.0000000000000002E-3</v>
      </c>
      <c r="I2789">
        <v>8.0000000000000002E-3</v>
      </c>
      <c r="M2789" t="s">
        <v>65</v>
      </c>
      <c r="N2789" t="s">
        <v>29</v>
      </c>
      <c r="P2789" t="s">
        <v>30</v>
      </c>
      <c r="Q2789" t="s">
        <v>31</v>
      </c>
      <c r="R2789">
        <v>82640</v>
      </c>
      <c r="S2789" t="s">
        <v>42</v>
      </c>
      <c r="T2789">
        <v>82630</v>
      </c>
      <c r="U2789" t="s">
        <v>32</v>
      </c>
      <c r="V2789" t="s">
        <v>66</v>
      </c>
      <c r="W2789" t="s">
        <v>44</v>
      </c>
      <c r="X2789" t="s">
        <v>44</v>
      </c>
      <c r="Y2789" s="9">
        <f t="shared" si="130"/>
        <v>0</v>
      </c>
      <c r="Z2789" t="str">
        <f t="shared" si="131"/>
        <v>สแกนต่าง Cost</v>
      </c>
    </row>
    <row r="2790" spans="2:26" x14ac:dyDescent="0.45">
      <c r="B2790" t="s">
        <v>53</v>
      </c>
      <c r="C2790">
        <v>20060579</v>
      </c>
      <c r="D2790" t="s">
        <v>39</v>
      </c>
      <c r="E2790" s="10">
        <v>46114.666666666664</v>
      </c>
      <c r="F2790" s="10">
        <v>46114.708333333336</v>
      </c>
      <c r="G2790">
        <v>1</v>
      </c>
      <c r="H2790" s="9">
        <f t="shared" si="129"/>
        <v>5.0000000000000001E-3</v>
      </c>
      <c r="J2790">
        <v>5.0000000000000001E-3</v>
      </c>
      <c r="M2790" t="s">
        <v>77</v>
      </c>
      <c r="N2790" t="s">
        <v>29</v>
      </c>
      <c r="P2790" t="s">
        <v>30</v>
      </c>
      <c r="Q2790" t="s">
        <v>31</v>
      </c>
      <c r="R2790">
        <v>82640</v>
      </c>
      <c r="S2790" t="s">
        <v>42</v>
      </c>
      <c r="T2790">
        <v>82612</v>
      </c>
      <c r="U2790" t="s">
        <v>153</v>
      </c>
      <c r="V2790" t="s">
        <v>66</v>
      </c>
      <c r="W2790" t="s">
        <v>44</v>
      </c>
      <c r="X2790" t="s">
        <v>44</v>
      </c>
      <c r="Y2790" s="9">
        <f t="shared" si="130"/>
        <v>5.0000000000000001E-3</v>
      </c>
      <c r="Z2790" t="str">
        <f t="shared" si="131"/>
        <v>สแกนต่าง Cost</v>
      </c>
    </row>
    <row r="2791" spans="2:26" x14ac:dyDescent="0.45">
      <c r="B2791" t="s">
        <v>53</v>
      </c>
      <c r="C2791">
        <v>20167851</v>
      </c>
      <c r="D2791" t="s">
        <v>63</v>
      </c>
      <c r="E2791" s="10">
        <v>46114.666666666664</v>
      </c>
      <c r="F2791" s="10">
        <v>46114.6875</v>
      </c>
      <c r="G2791">
        <v>0.5</v>
      </c>
      <c r="H2791" s="9">
        <f t="shared" si="129"/>
        <v>3.0000000000000001E-3</v>
      </c>
      <c r="I2791">
        <v>3.0000000000000001E-3</v>
      </c>
      <c r="M2791" t="s">
        <v>65</v>
      </c>
      <c r="N2791" t="s">
        <v>29</v>
      </c>
      <c r="P2791" t="s">
        <v>30</v>
      </c>
      <c r="Q2791" t="s">
        <v>31</v>
      </c>
      <c r="R2791">
        <v>82640</v>
      </c>
      <c r="S2791" t="s">
        <v>42</v>
      </c>
      <c r="T2791">
        <v>82630</v>
      </c>
      <c r="U2791" t="s">
        <v>32</v>
      </c>
      <c r="V2791" t="s">
        <v>66</v>
      </c>
      <c r="W2791" t="s">
        <v>44</v>
      </c>
      <c r="X2791" t="s">
        <v>44</v>
      </c>
      <c r="Y2791" s="9">
        <f t="shared" si="130"/>
        <v>0</v>
      </c>
      <c r="Z2791" t="str">
        <f t="shared" si="131"/>
        <v>สแกนต่าง Cost</v>
      </c>
    </row>
    <row r="2792" spans="2:26" x14ac:dyDescent="0.45">
      <c r="B2792" t="s">
        <v>53</v>
      </c>
      <c r="C2792">
        <v>20198839</v>
      </c>
      <c r="D2792" t="s">
        <v>258</v>
      </c>
      <c r="E2792" s="10">
        <v>46114.666666666664</v>
      </c>
      <c r="F2792" s="10">
        <v>46114.729166666664</v>
      </c>
      <c r="G2792">
        <v>1.5</v>
      </c>
      <c r="H2792" s="9">
        <f t="shared" si="129"/>
        <v>8.0000000000000002E-3</v>
      </c>
      <c r="J2792">
        <v>8.0000000000000002E-3</v>
      </c>
      <c r="M2792" t="s">
        <v>77</v>
      </c>
      <c r="N2792" t="s">
        <v>40</v>
      </c>
      <c r="O2792" t="s">
        <v>78</v>
      </c>
      <c r="P2792" t="s">
        <v>30</v>
      </c>
      <c r="Q2792" t="s">
        <v>31</v>
      </c>
      <c r="R2792">
        <v>82640</v>
      </c>
      <c r="S2792" t="s">
        <v>42</v>
      </c>
      <c r="T2792">
        <v>82611</v>
      </c>
      <c r="U2792" t="s">
        <v>43</v>
      </c>
      <c r="V2792" t="s">
        <v>66</v>
      </c>
      <c r="W2792" t="s">
        <v>44</v>
      </c>
      <c r="X2792" t="s">
        <v>44</v>
      </c>
      <c r="Y2792" s="9">
        <f t="shared" si="130"/>
        <v>8.0000000000000002E-3</v>
      </c>
      <c r="Z2792" t="str">
        <f t="shared" si="131"/>
        <v>สแกนต่าง Cost</v>
      </c>
    </row>
    <row r="2793" spans="2:26" x14ac:dyDescent="0.45">
      <c r="B2793" t="s">
        <v>53</v>
      </c>
      <c r="C2793">
        <v>20280718</v>
      </c>
      <c r="D2793" t="s">
        <v>256</v>
      </c>
      <c r="E2793" s="10">
        <v>46114.666666666664</v>
      </c>
      <c r="F2793" s="10">
        <v>46114.729166666664</v>
      </c>
      <c r="G2793">
        <v>1.5</v>
      </c>
      <c r="H2793" s="9">
        <f t="shared" si="129"/>
        <v>8.0000000000000002E-3</v>
      </c>
      <c r="I2793">
        <v>8.0000000000000002E-3</v>
      </c>
      <c r="M2793" t="s">
        <v>65</v>
      </c>
      <c r="N2793" t="s">
        <v>29</v>
      </c>
      <c r="P2793" t="s">
        <v>30</v>
      </c>
      <c r="Q2793" t="s">
        <v>31</v>
      </c>
      <c r="R2793">
        <v>82640</v>
      </c>
      <c r="S2793" t="s">
        <v>42</v>
      </c>
      <c r="T2793">
        <v>82611</v>
      </c>
      <c r="U2793" t="s">
        <v>43</v>
      </c>
      <c r="V2793" t="s">
        <v>66</v>
      </c>
      <c r="W2793" t="s">
        <v>44</v>
      </c>
      <c r="X2793" t="s">
        <v>44</v>
      </c>
      <c r="Y2793" s="9">
        <f t="shared" si="130"/>
        <v>0</v>
      </c>
      <c r="Z2793" t="str">
        <f t="shared" si="131"/>
        <v>สแกนต่าง Cost</v>
      </c>
    </row>
    <row r="2794" spans="2:26" x14ac:dyDescent="0.45">
      <c r="B2794" t="s">
        <v>53</v>
      </c>
      <c r="C2794">
        <v>20332134</v>
      </c>
      <c r="D2794" t="s">
        <v>156</v>
      </c>
      <c r="E2794" s="10">
        <v>46114.666666666664</v>
      </c>
      <c r="F2794" s="10">
        <v>46114.729166666664</v>
      </c>
      <c r="G2794">
        <v>1.5</v>
      </c>
      <c r="H2794" s="9">
        <f t="shared" si="129"/>
        <v>8.0000000000000002E-3</v>
      </c>
      <c r="I2794">
        <v>8.0000000000000002E-3</v>
      </c>
      <c r="M2794" t="s">
        <v>65</v>
      </c>
      <c r="N2794" t="s">
        <v>29</v>
      </c>
      <c r="P2794" t="s">
        <v>30</v>
      </c>
      <c r="Q2794" t="s">
        <v>31</v>
      </c>
      <c r="R2794">
        <v>82640</v>
      </c>
      <c r="S2794" t="s">
        <v>42</v>
      </c>
      <c r="T2794">
        <v>82630</v>
      </c>
      <c r="U2794" t="s">
        <v>32</v>
      </c>
      <c r="V2794" t="s">
        <v>66</v>
      </c>
      <c r="W2794" t="s">
        <v>44</v>
      </c>
      <c r="X2794" t="s">
        <v>44</v>
      </c>
      <c r="Y2794" s="9">
        <f t="shared" si="130"/>
        <v>0</v>
      </c>
      <c r="Z2794" t="str">
        <f t="shared" si="131"/>
        <v>สแกนต่าง Cost</v>
      </c>
    </row>
    <row r="2795" spans="2:26" x14ac:dyDescent="0.45">
      <c r="B2795" t="s">
        <v>53</v>
      </c>
      <c r="C2795">
        <v>20340657</v>
      </c>
      <c r="D2795" t="s">
        <v>221</v>
      </c>
      <c r="E2795" s="10">
        <v>46114.666666666664</v>
      </c>
      <c r="F2795" s="10">
        <v>46114.729166666664</v>
      </c>
      <c r="G2795">
        <v>1.5</v>
      </c>
      <c r="H2795" s="9">
        <f t="shared" si="129"/>
        <v>8.0000000000000002E-3</v>
      </c>
      <c r="I2795">
        <v>8.0000000000000002E-3</v>
      </c>
      <c r="M2795" t="s">
        <v>65</v>
      </c>
      <c r="N2795" t="s">
        <v>29</v>
      </c>
      <c r="P2795" t="s">
        <v>30</v>
      </c>
      <c r="Q2795" t="s">
        <v>31</v>
      </c>
      <c r="R2795">
        <v>82640</v>
      </c>
      <c r="S2795" t="s">
        <v>42</v>
      </c>
      <c r="T2795">
        <v>82611</v>
      </c>
      <c r="U2795" t="s">
        <v>43</v>
      </c>
      <c r="V2795" t="s">
        <v>66</v>
      </c>
      <c r="W2795" t="s">
        <v>44</v>
      </c>
      <c r="X2795" t="s">
        <v>44</v>
      </c>
      <c r="Y2795" s="9">
        <f t="shared" si="130"/>
        <v>0</v>
      </c>
      <c r="Z2795" t="str">
        <f t="shared" si="131"/>
        <v>สแกนต่าง Cost</v>
      </c>
    </row>
    <row r="2796" spans="2:26" x14ac:dyDescent="0.45">
      <c r="B2796" t="s">
        <v>53</v>
      </c>
      <c r="C2796">
        <v>20167851</v>
      </c>
      <c r="D2796" t="s">
        <v>63</v>
      </c>
      <c r="E2796" s="10">
        <v>46114.645833333336</v>
      </c>
      <c r="F2796" s="10">
        <v>46114.666666666664</v>
      </c>
      <c r="G2796">
        <v>0.5</v>
      </c>
      <c r="H2796" s="9">
        <f t="shared" si="129"/>
        <v>3.0000000000000001E-3</v>
      </c>
      <c r="I2796">
        <v>3.0000000000000001E-3</v>
      </c>
      <c r="M2796" t="s">
        <v>65</v>
      </c>
      <c r="N2796" t="s">
        <v>29</v>
      </c>
      <c r="P2796" t="s">
        <v>30</v>
      </c>
      <c r="Q2796" t="s">
        <v>31</v>
      </c>
      <c r="R2796">
        <v>82640</v>
      </c>
      <c r="S2796" t="s">
        <v>42</v>
      </c>
      <c r="T2796">
        <v>82622</v>
      </c>
      <c r="U2796" t="s">
        <v>147</v>
      </c>
      <c r="V2796" t="s">
        <v>66</v>
      </c>
      <c r="W2796" t="s">
        <v>44</v>
      </c>
      <c r="X2796" t="s">
        <v>44</v>
      </c>
      <c r="Y2796" s="9">
        <f t="shared" si="130"/>
        <v>0</v>
      </c>
      <c r="Z2796" t="str">
        <f t="shared" si="131"/>
        <v>สแกนต่าง Cost</v>
      </c>
    </row>
    <row r="2797" spans="2:26" x14ac:dyDescent="0.45">
      <c r="B2797" t="s">
        <v>53</v>
      </c>
      <c r="C2797">
        <v>20280718</v>
      </c>
      <c r="D2797" t="s">
        <v>256</v>
      </c>
      <c r="E2797" s="10">
        <v>46114.645833333336</v>
      </c>
      <c r="F2797" s="10">
        <v>46114.6875</v>
      </c>
      <c r="G2797">
        <v>1</v>
      </c>
      <c r="H2797" s="9">
        <f t="shared" si="129"/>
        <v>5.0000000000000001E-3</v>
      </c>
      <c r="I2797">
        <v>5.0000000000000001E-3</v>
      </c>
      <c r="M2797" t="s">
        <v>65</v>
      </c>
      <c r="N2797" t="s">
        <v>29</v>
      </c>
      <c r="P2797" t="s">
        <v>30</v>
      </c>
      <c r="Q2797" t="s">
        <v>31</v>
      </c>
      <c r="R2797">
        <v>82640</v>
      </c>
      <c r="S2797" t="s">
        <v>42</v>
      </c>
      <c r="T2797">
        <v>82630</v>
      </c>
      <c r="U2797" t="s">
        <v>32</v>
      </c>
      <c r="V2797" t="s">
        <v>66</v>
      </c>
      <c r="W2797" t="s">
        <v>44</v>
      </c>
      <c r="X2797" t="s">
        <v>44</v>
      </c>
      <c r="Y2797" s="9">
        <f t="shared" si="130"/>
        <v>0</v>
      </c>
      <c r="Z2797" t="str">
        <f t="shared" si="131"/>
        <v>สแกนต่าง Cost</v>
      </c>
    </row>
    <row r="2798" spans="2:26" x14ac:dyDescent="0.45">
      <c r="B2798" t="s">
        <v>53</v>
      </c>
      <c r="C2798">
        <v>20340657</v>
      </c>
      <c r="D2798" t="s">
        <v>221</v>
      </c>
      <c r="E2798" s="10">
        <v>46114.645833333336</v>
      </c>
      <c r="F2798" s="10">
        <v>46114.666666666664</v>
      </c>
      <c r="G2798">
        <v>0.5</v>
      </c>
      <c r="H2798" s="9">
        <f t="shared" si="129"/>
        <v>3.0000000000000001E-3</v>
      </c>
      <c r="I2798">
        <v>3.0000000000000001E-3</v>
      </c>
      <c r="M2798" t="s">
        <v>65</v>
      </c>
      <c r="N2798" t="s">
        <v>29</v>
      </c>
      <c r="P2798" t="s">
        <v>30</v>
      </c>
      <c r="Q2798" t="s">
        <v>31</v>
      </c>
      <c r="R2798">
        <v>82640</v>
      </c>
      <c r="S2798" t="s">
        <v>42</v>
      </c>
      <c r="T2798">
        <v>82630</v>
      </c>
      <c r="U2798" t="s">
        <v>32</v>
      </c>
      <c r="V2798" t="s">
        <v>66</v>
      </c>
      <c r="W2798" t="s">
        <v>44</v>
      </c>
      <c r="X2798" t="s">
        <v>44</v>
      </c>
      <c r="Y2798" s="9">
        <f t="shared" si="130"/>
        <v>0</v>
      </c>
      <c r="Z2798" t="str">
        <f t="shared" si="131"/>
        <v>สแกนต่าง Cost</v>
      </c>
    </row>
    <row r="2799" spans="2:26" x14ac:dyDescent="0.45">
      <c r="B2799" t="s">
        <v>53</v>
      </c>
      <c r="C2799">
        <v>20026534</v>
      </c>
      <c r="D2799" t="s">
        <v>279</v>
      </c>
      <c r="E2799" s="10">
        <v>46114.625</v>
      </c>
      <c r="F2799" s="10">
        <v>46114.666666666664</v>
      </c>
      <c r="G2799">
        <v>1</v>
      </c>
      <c r="H2799" s="9">
        <f t="shared" si="129"/>
        <v>5.0000000000000001E-3</v>
      </c>
      <c r="I2799">
        <v>5.0000000000000001E-3</v>
      </c>
      <c r="M2799" t="s">
        <v>65</v>
      </c>
      <c r="N2799" t="s">
        <v>29</v>
      </c>
      <c r="P2799" t="s">
        <v>30</v>
      </c>
      <c r="Q2799" t="s">
        <v>31</v>
      </c>
      <c r="R2799">
        <v>82640</v>
      </c>
      <c r="S2799" t="s">
        <v>42</v>
      </c>
      <c r="T2799">
        <v>82611</v>
      </c>
      <c r="U2799" t="s">
        <v>43</v>
      </c>
      <c r="V2799" t="s">
        <v>66</v>
      </c>
      <c r="W2799" t="s">
        <v>44</v>
      </c>
      <c r="X2799" t="s">
        <v>44</v>
      </c>
      <c r="Y2799" s="9">
        <f t="shared" si="130"/>
        <v>0</v>
      </c>
      <c r="Z2799" t="str">
        <f t="shared" si="131"/>
        <v>สแกนต่าง Cost</v>
      </c>
    </row>
    <row r="2800" spans="2:26" x14ac:dyDescent="0.45">
      <c r="B2800" t="s">
        <v>53</v>
      </c>
      <c r="C2800">
        <v>20027956</v>
      </c>
      <c r="D2800" t="s">
        <v>214</v>
      </c>
      <c r="E2800" s="10">
        <v>46114.625</v>
      </c>
      <c r="F2800" s="10">
        <v>46114.729166666664</v>
      </c>
      <c r="G2800">
        <v>2.5</v>
      </c>
      <c r="H2800" s="9">
        <f t="shared" si="129"/>
        <v>1.2999999999999999E-2</v>
      </c>
      <c r="I2800">
        <v>1.2999999999999999E-2</v>
      </c>
      <c r="M2800" t="s">
        <v>65</v>
      </c>
      <c r="N2800" t="s">
        <v>29</v>
      </c>
      <c r="P2800" t="s">
        <v>30</v>
      </c>
      <c r="Q2800" t="s">
        <v>31</v>
      </c>
      <c r="R2800">
        <v>82640</v>
      </c>
      <c r="S2800" t="s">
        <v>42</v>
      </c>
      <c r="T2800">
        <v>82611</v>
      </c>
      <c r="U2800" t="s">
        <v>43</v>
      </c>
      <c r="V2800" t="s">
        <v>66</v>
      </c>
      <c r="W2800" t="s">
        <v>44</v>
      </c>
      <c r="X2800" t="s">
        <v>44</v>
      </c>
      <c r="Y2800" s="9">
        <f t="shared" si="130"/>
        <v>0</v>
      </c>
      <c r="Z2800" t="str">
        <f t="shared" si="131"/>
        <v>สแกนต่าง Cost</v>
      </c>
    </row>
    <row r="2801" spans="2:26" x14ac:dyDescent="0.45">
      <c r="B2801" t="s">
        <v>53</v>
      </c>
      <c r="C2801">
        <v>20280718</v>
      </c>
      <c r="D2801" t="s">
        <v>256</v>
      </c>
      <c r="E2801" s="10">
        <v>46114.625</v>
      </c>
      <c r="F2801" s="10">
        <v>46114.666666666664</v>
      </c>
      <c r="G2801">
        <v>1</v>
      </c>
      <c r="H2801" s="9">
        <f t="shared" si="129"/>
        <v>5.0000000000000001E-3</v>
      </c>
      <c r="I2801">
        <v>5.0000000000000001E-3</v>
      </c>
      <c r="M2801" t="s">
        <v>65</v>
      </c>
      <c r="N2801" t="s">
        <v>29</v>
      </c>
      <c r="P2801" t="s">
        <v>30</v>
      </c>
      <c r="Q2801" t="s">
        <v>31</v>
      </c>
      <c r="R2801">
        <v>82640</v>
      </c>
      <c r="S2801" t="s">
        <v>42</v>
      </c>
      <c r="T2801">
        <v>82612</v>
      </c>
      <c r="U2801" t="s">
        <v>153</v>
      </c>
      <c r="V2801" t="s">
        <v>66</v>
      </c>
      <c r="W2801" t="s">
        <v>44</v>
      </c>
      <c r="X2801" t="s">
        <v>44</v>
      </c>
      <c r="Y2801" s="9">
        <f t="shared" si="130"/>
        <v>0</v>
      </c>
      <c r="Z2801" t="str">
        <f t="shared" si="131"/>
        <v>สแกนต่าง Cost</v>
      </c>
    </row>
    <row r="2802" spans="2:26" x14ac:dyDescent="0.45">
      <c r="B2802" t="s">
        <v>53</v>
      </c>
      <c r="C2802">
        <v>20368087</v>
      </c>
      <c r="D2802" t="s">
        <v>260</v>
      </c>
      <c r="E2802" s="10">
        <v>46114.625</v>
      </c>
      <c r="F2802" s="10">
        <v>46114.6875</v>
      </c>
      <c r="G2802">
        <v>1.5</v>
      </c>
      <c r="H2802" s="9">
        <f t="shared" si="129"/>
        <v>8.0000000000000002E-3</v>
      </c>
      <c r="I2802">
        <v>8.0000000000000002E-3</v>
      </c>
      <c r="M2802" t="s">
        <v>65</v>
      </c>
      <c r="N2802" t="s">
        <v>29</v>
      </c>
      <c r="P2802" t="s">
        <v>30</v>
      </c>
      <c r="Q2802" t="s">
        <v>31</v>
      </c>
      <c r="R2802">
        <v>82640</v>
      </c>
      <c r="S2802" t="s">
        <v>42</v>
      </c>
      <c r="T2802">
        <v>82630</v>
      </c>
      <c r="U2802" t="s">
        <v>32</v>
      </c>
      <c r="V2802" t="s">
        <v>66</v>
      </c>
      <c r="W2802" t="s">
        <v>44</v>
      </c>
      <c r="X2802" t="s">
        <v>44</v>
      </c>
      <c r="Y2802" s="9">
        <f t="shared" si="130"/>
        <v>0</v>
      </c>
      <c r="Z2802" t="str">
        <f t="shared" si="131"/>
        <v>สแกนต่าง Cost</v>
      </c>
    </row>
    <row r="2803" spans="2:26" x14ac:dyDescent="0.45">
      <c r="B2803" t="s">
        <v>53</v>
      </c>
      <c r="C2803">
        <v>20022740</v>
      </c>
      <c r="D2803" t="s">
        <v>259</v>
      </c>
      <c r="E2803" s="10">
        <v>46114.604166666664</v>
      </c>
      <c r="F2803" s="10">
        <v>46114.645833333336</v>
      </c>
      <c r="G2803">
        <v>1</v>
      </c>
      <c r="H2803" s="9">
        <f t="shared" si="129"/>
        <v>5.0000000000000001E-3</v>
      </c>
      <c r="I2803">
        <v>5.0000000000000001E-3</v>
      </c>
      <c r="M2803" t="s">
        <v>65</v>
      </c>
      <c r="N2803" t="s">
        <v>29</v>
      </c>
      <c r="P2803" t="s">
        <v>30</v>
      </c>
      <c r="Q2803" t="s">
        <v>31</v>
      </c>
      <c r="R2803">
        <v>82640</v>
      </c>
      <c r="S2803" t="s">
        <v>42</v>
      </c>
      <c r="T2803">
        <v>82611</v>
      </c>
      <c r="U2803" t="s">
        <v>43</v>
      </c>
      <c r="V2803" t="s">
        <v>66</v>
      </c>
      <c r="W2803" t="s">
        <v>44</v>
      </c>
      <c r="X2803" t="s">
        <v>44</v>
      </c>
      <c r="Y2803" s="9">
        <f t="shared" si="130"/>
        <v>0</v>
      </c>
      <c r="Z2803" t="str">
        <f t="shared" si="131"/>
        <v>สแกนต่าง Cost</v>
      </c>
    </row>
    <row r="2804" spans="2:26" x14ac:dyDescent="0.45">
      <c r="B2804" t="s">
        <v>53</v>
      </c>
      <c r="C2804">
        <v>20026534</v>
      </c>
      <c r="D2804" t="s">
        <v>279</v>
      </c>
      <c r="E2804" s="10">
        <v>46114.604166666664</v>
      </c>
      <c r="F2804" s="10">
        <v>46114.625</v>
      </c>
      <c r="G2804">
        <v>0.5</v>
      </c>
      <c r="H2804" s="9">
        <f t="shared" si="129"/>
        <v>3.0000000000000001E-3</v>
      </c>
      <c r="I2804">
        <v>3.0000000000000001E-3</v>
      </c>
      <c r="M2804" t="s">
        <v>65</v>
      </c>
      <c r="N2804" t="s">
        <v>29</v>
      </c>
      <c r="P2804" t="s">
        <v>30</v>
      </c>
      <c r="Q2804" t="s">
        <v>31</v>
      </c>
      <c r="R2804">
        <v>82640</v>
      </c>
      <c r="S2804" t="s">
        <v>42</v>
      </c>
      <c r="T2804">
        <v>82630</v>
      </c>
      <c r="U2804" t="s">
        <v>32</v>
      </c>
      <c r="V2804" t="s">
        <v>66</v>
      </c>
      <c r="W2804" t="s">
        <v>44</v>
      </c>
      <c r="X2804" t="s">
        <v>44</v>
      </c>
      <c r="Y2804" s="9">
        <f t="shared" si="130"/>
        <v>0</v>
      </c>
      <c r="Z2804" t="str">
        <f t="shared" si="131"/>
        <v>สแกนต่าง Cost</v>
      </c>
    </row>
    <row r="2805" spans="2:26" x14ac:dyDescent="0.45">
      <c r="B2805" t="s">
        <v>53</v>
      </c>
      <c r="C2805">
        <v>20167851</v>
      </c>
      <c r="D2805" t="s">
        <v>63</v>
      </c>
      <c r="E2805" s="10">
        <v>46114.604166666664</v>
      </c>
      <c r="F2805" s="10">
        <v>46114.645833333336</v>
      </c>
      <c r="G2805">
        <v>1</v>
      </c>
      <c r="H2805" s="9">
        <f t="shared" si="129"/>
        <v>5.0000000000000001E-3</v>
      </c>
      <c r="I2805">
        <v>5.0000000000000001E-3</v>
      </c>
      <c r="M2805" t="s">
        <v>65</v>
      </c>
      <c r="N2805" t="s">
        <v>29</v>
      </c>
      <c r="P2805" t="s">
        <v>30</v>
      </c>
      <c r="Q2805" t="s">
        <v>31</v>
      </c>
      <c r="R2805">
        <v>82640</v>
      </c>
      <c r="S2805" t="s">
        <v>42</v>
      </c>
      <c r="T2805">
        <v>82611</v>
      </c>
      <c r="U2805" t="s">
        <v>43</v>
      </c>
      <c r="V2805" t="s">
        <v>66</v>
      </c>
      <c r="W2805" t="s">
        <v>44</v>
      </c>
      <c r="X2805" t="s">
        <v>44</v>
      </c>
      <c r="Y2805" s="9">
        <f t="shared" si="130"/>
        <v>0</v>
      </c>
      <c r="Z2805" t="str">
        <f t="shared" si="131"/>
        <v>สแกนต่าง Cost</v>
      </c>
    </row>
    <row r="2806" spans="2:26" x14ac:dyDescent="0.45">
      <c r="B2806" t="s">
        <v>53</v>
      </c>
      <c r="C2806">
        <v>20332134</v>
      </c>
      <c r="D2806" t="s">
        <v>156</v>
      </c>
      <c r="E2806" s="10">
        <v>46114.604166666664</v>
      </c>
      <c r="F2806" s="10">
        <v>46114.666666666664</v>
      </c>
      <c r="G2806">
        <v>1.5</v>
      </c>
      <c r="H2806" s="9">
        <f t="shared" si="129"/>
        <v>8.0000000000000002E-3</v>
      </c>
      <c r="I2806">
        <v>8.0000000000000002E-3</v>
      </c>
      <c r="M2806" t="s">
        <v>65</v>
      </c>
      <c r="N2806" t="s">
        <v>29</v>
      </c>
      <c r="P2806" t="s">
        <v>30</v>
      </c>
      <c r="Q2806" t="s">
        <v>31</v>
      </c>
      <c r="R2806">
        <v>82640</v>
      </c>
      <c r="S2806" t="s">
        <v>42</v>
      </c>
      <c r="T2806">
        <v>82612</v>
      </c>
      <c r="U2806" t="s">
        <v>153</v>
      </c>
      <c r="V2806" t="s">
        <v>66</v>
      </c>
      <c r="W2806" t="s">
        <v>44</v>
      </c>
      <c r="X2806" t="s">
        <v>44</v>
      </c>
      <c r="Y2806" s="9">
        <f t="shared" si="130"/>
        <v>0</v>
      </c>
      <c r="Z2806" t="str">
        <f t="shared" si="131"/>
        <v>สแกนต่าง Cost</v>
      </c>
    </row>
    <row r="2807" spans="2:26" x14ac:dyDescent="0.45">
      <c r="B2807" t="s">
        <v>53</v>
      </c>
      <c r="C2807">
        <v>20198839</v>
      </c>
      <c r="D2807" t="s">
        <v>258</v>
      </c>
      <c r="E2807" s="10">
        <v>46114.583333333336</v>
      </c>
      <c r="F2807" s="10">
        <v>46114.666666666664</v>
      </c>
      <c r="G2807">
        <v>2</v>
      </c>
      <c r="H2807" s="9">
        <f t="shared" si="129"/>
        <v>1.0999999999999999E-2</v>
      </c>
      <c r="J2807">
        <v>1.0999999999999999E-2</v>
      </c>
      <c r="M2807" t="s">
        <v>77</v>
      </c>
      <c r="N2807" t="s">
        <v>40</v>
      </c>
      <c r="O2807" t="s">
        <v>78</v>
      </c>
      <c r="P2807" t="s">
        <v>30</v>
      </c>
      <c r="Q2807" t="s">
        <v>31</v>
      </c>
      <c r="R2807">
        <v>82640</v>
      </c>
      <c r="S2807" t="s">
        <v>42</v>
      </c>
      <c r="T2807">
        <v>82630</v>
      </c>
      <c r="U2807" t="s">
        <v>32</v>
      </c>
      <c r="V2807" t="s">
        <v>66</v>
      </c>
      <c r="W2807" t="s">
        <v>44</v>
      </c>
      <c r="X2807" t="s">
        <v>44</v>
      </c>
      <c r="Y2807" s="9">
        <f t="shared" si="130"/>
        <v>1.0999999999999999E-2</v>
      </c>
      <c r="Z2807" t="str">
        <f t="shared" si="131"/>
        <v>สแกนต่าง Cost</v>
      </c>
    </row>
    <row r="2808" spans="2:26" x14ac:dyDescent="0.45">
      <c r="B2808" t="s">
        <v>53</v>
      </c>
      <c r="C2808">
        <v>20340657</v>
      </c>
      <c r="D2808" t="s">
        <v>221</v>
      </c>
      <c r="E2808" s="10">
        <v>46114.583333333336</v>
      </c>
      <c r="F2808" s="10">
        <v>46114.645833333336</v>
      </c>
      <c r="G2808">
        <v>1.5</v>
      </c>
      <c r="H2808" s="9">
        <f t="shared" si="129"/>
        <v>8.0000000000000002E-3</v>
      </c>
      <c r="I2808">
        <v>8.0000000000000002E-3</v>
      </c>
      <c r="M2808" t="s">
        <v>65</v>
      </c>
      <c r="N2808" t="s">
        <v>29</v>
      </c>
      <c r="P2808" t="s">
        <v>30</v>
      </c>
      <c r="Q2808" t="s">
        <v>31</v>
      </c>
      <c r="R2808">
        <v>82640</v>
      </c>
      <c r="S2808" t="s">
        <v>42</v>
      </c>
      <c r="T2808">
        <v>82612</v>
      </c>
      <c r="U2808" t="s">
        <v>153</v>
      </c>
      <c r="V2808" t="s">
        <v>66</v>
      </c>
      <c r="W2808" t="s">
        <v>44</v>
      </c>
      <c r="X2808" t="s">
        <v>44</v>
      </c>
      <c r="Y2808" s="9">
        <f t="shared" si="130"/>
        <v>0</v>
      </c>
      <c r="Z2808" t="str">
        <f t="shared" si="131"/>
        <v>สแกนต่าง Cost</v>
      </c>
    </row>
    <row r="2809" spans="2:26" x14ac:dyDescent="0.45">
      <c r="B2809" t="s">
        <v>53</v>
      </c>
      <c r="C2809">
        <v>20198839</v>
      </c>
      <c r="D2809" t="s">
        <v>258</v>
      </c>
      <c r="E2809" s="10">
        <v>46114.5625</v>
      </c>
      <c r="F2809" s="10">
        <v>46114.583333333336</v>
      </c>
      <c r="G2809">
        <v>0.5</v>
      </c>
      <c r="H2809" s="9">
        <f t="shared" si="129"/>
        <v>3.0000000000000001E-3</v>
      </c>
      <c r="J2809">
        <v>3.0000000000000001E-3</v>
      </c>
      <c r="M2809" t="s">
        <v>77</v>
      </c>
      <c r="N2809" t="s">
        <v>40</v>
      </c>
      <c r="O2809" t="s">
        <v>78</v>
      </c>
      <c r="P2809" t="s">
        <v>30</v>
      </c>
      <c r="Q2809" t="s">
        <v>31</v>
      </c>
      <c r="R2809">
        <v>82640</v>
      </c>
      <c r="S2809" t="s">
        <v>42</v>
      </c>
      <c r="T2809">
        <v>82611</v>
      </c>
      <c r="U2809" t="s">
        <v>43</v>
      </c>
      <c r="V2809" t="s">
        <v>66</v>
      </c>
      <c r="W2809" t="s">
        <v>44</v>
      </c>
      <c r="X2809" t="s">
        <v>44</v>
      </c>
      <c r="Y2809" s="9">
        <f t="shared" si="130"/>
        <v>3.0000000000000001E-3</v>
      </c>
      <c r="Z2809" t="str">
        <f t="shared" si="131"/>
        <v>สแกนต่าง Cost</v>
      </c>
    </row>
    <row r="2810" spans="2:26" x14ac:dyDescent="0.45">
      <c r="B2810" t="s">
        <v>53</v>
      </c>
      <c r="C2810">
        <v>20244923</v>
      </c>
      <c r="D2810" t="s">
        <v>246</v>
      </c>
      <c r="E2810" s="10">
        <v>46114.5625</v>
      </c>
      <c r="F2810" s="10">
        <v>46114.729166666664</v>
      </c>
      <c r="G2810">
        <v>4</v>
      </c>
      <c r="H2810" s="9">
        <f t="shared" si="129"/>
        <v>2.1000000000000001E-2</v>
      </c>
      <c r="I2810">
        <v>2.1000000000000001E-2</v>
      </c>
      <c r="M2810" t="s">
        <v>65</v>
      </c>
      <c r="N2810" t="s">
        <v>29</v>
      </c>
      <c r="P2810" t="s">
        <v>30</v>
      </c>
      <c r="Q2810" t="s">
        <v>31</v>
      </c>
      <c r="R2810">
        <v>82640</v>
      </c>
      <c r="S2810" t="s">
        <v>42</v>
      </c>
      <c r="T2810">
        <v>82630</v>
      </c>
      <c r="U2810" t="s">
        <v>32</v>
      </c>
      <c r="V2810" t="s">
        <v>66</v>
      </c>
      <c r="W2810" t="s">
        <v>44</v>
      </c>
      <c r="X2810" t="s">
        <v>44</v>
      </c>
      <c r="Y2810" s="9">
        <f t="shared" si="130"/>
        <v>0</v>
      </c>
      <c r="Z2810" t="str">
        <f t="shared" si="131"/>
        <v>สแกนต่าง Cost</v>
      </c>
    </row>
    <row r="2811" spans="2:26" x14ac:dyDescent="0.45">
      <c r="B2811" t="s">
        <v>53</v>
      </c>
      <c r="C2811">
        <v>20018899</v>
      </c>
      <c r="D2811" t="s">
        <v>64</v>
      </c>
      <c r="E2811" s="10">
        <v>46114.541666666664</v>
      </c>
      <c r="F2811" s="10">
        <v>46114.729166666664</v>
      </c>
      <c r="G2811">
        <v>4.5</v>
      </c>
      <c r="H2811" s="9">
        <f t="shared" si="129"/>
        <v>2.4E-2</v>
      </c>
      <c r="J2811">
        <v>2.4E-2</v>
      </c>
      <c r="M2811" t="s">
        <v>77</v>
      </c>
      <c r="N2811" t="s">
        <v>29</v>
      </c>
      <c r="P2811" t="s">
        <v>30</v>
      </c>
      <c r="Q2811" t="s">
        <v>31</v>
      </c>
      <c r="R2811">
        <v>82640</v>
      </c>
      <c r="S2811" t="s">
        <v>42</v>
      </c>
      <c r="T2811">
        <v>82652</v>
      </c>
      <c r="U2811" t="s">
        <v>46</v>
      </c>
      <c r="V2811" t="s">
        <v>66</v>
      </c>
      <c r="W2811" t="s">
        <v>37</v>
      </c>
      <c r="X2811" t="s">
        <v>34</v>
      </c>
      <c r="Y2811" s="9">
        <f t="shared" si="130"/>
        <v>2.4E-2</v>
      </c>
      <c r="Z2811" t="str">
        <f t="shared" si="131"/>
        <v>สแกนต่าง Cost</v>
      </c>
    </row>
    <row r="2812" spans="2:26" x14ac:dyDescent="0.45">
      <c r="B2812" t="s">
        <v>53</v>
      </c>
      <c r="C2812">
        <v>20026534</v>
      </c>
      <c r="D2812" t="s">
        <v>279</v>
      </c>
      <c r="E2812" s="10">
        <v>46114.541666666664</v>
      </c>
      <c r="F2812" s="10">
        <v>46114.5625</v>
      </c>
      <c r="G2812">
        <v>0.5</v>
      </c>
      <c r="H2812" s="9">
        <f t="shared" si="129"/>
        <v>3.0000000000000001E-3</v>
      </c>
      <c r="I2812">
        <v>3.0000000000000001E-3</v>
      </c>
      <c r="M2812" t="s">
        <v>65</v>
      </c>
      <c r="N2812" t="s">
        <v>29</v>
      </c>
      <c r="P2812" t="s">
        <v>30</v>
      </c>
      <c r="Q2812" t="s">
        <v>31</v>
      </c>
      <c r="R2812">
        <v>82640</v>
      </c>
      <c r="S2812" t="s">
        <v>42</v>
      </c>
      <c r="T2812">
        <v>82630</v>
      </c>
      <c r="U2812" t="s">
        <v>32</v>
      </c>
      <c r="V2812" t="s">
        <v>66</v>
      </c>
      <c r="W2812" t="s">
        <v>44</v>
      </c>
      <c r="X2812" t="s">
        <v>44</v>
      </c>
      <c r="Y2812" s="9">
        <f t="shared" si="130"/>
        <v>0</v>
      </c>
      <c r="Z2812" t="str">
        <f t="shared" si="131"/>
        <v>สแกนต่าง Cost</v>
      </c>
    </row>
    <row r="2813" spans="2:26" x14ac:dyDescent="0.45">
      <c r="B2813" t="s">
        <v>53</v>
      </c>
      <c r="C2813">
        <v>20060579</v>
      </c>
      <c r="D2813" t="s">
        <v>39</v>
      </c>
      <c r="E2813" s="10">
        <v>46114.541666666664</v>
      </c>
      <c r="F2813" s="10">
        <v>46114.666666666664</v>
      </c>
      <c r="G2813">
        <v>3</v>
      </c>
      <c r="H2813" s="9">
        <f t="shared" si="129"/>
        <v>1.6E-2</v>
      </c>
      <c r="J2813">
        <v>1.6E-2</v>
      </c>
      <c r="M2813" t="s">
        <v>77</v>
      </c>
      <c r="N2813" t="s">
        <v>29</v>
      </c>
      <c r="P2813" t="s">
        <v>30</v>
      </c>
      <c r="Q2813" t="s">
        <v>31</v>
      </c>
      <c r="R2813">
        <v>82640</v>
      </c>
      <c r="S2813" t="s">
        <v>42</v>
      </c>
      <c r="T2813">
        <v>82630</v>
      </c>
      <c r="U2813" t="s">
        <v>32</v>
      </c>
      <c r="V2813" t="s">
        <v>66</v>
      </c>
      <c r="W2813" t="s">
        <v>44</v>
      </c>
      <c r="X2813" t="s">
        <v>44</v>
      </c>
      <c r="Y2813" s="9">
        <f t="shared" si="130"/>
        <v>1.6E-2</v>
      </c>
      <c r="Z2813" t="str">
        <f t="shared" si="131"/>
        <v>สแกนต่าง Cost</v>
      </c>
    </row>
    <row r="2814" spans="2:26" x14ac:dyDescent="0.45">
      <c r="B2814" t="s">
        <v>53</v>
      </c>
      <c r="C2814">
        <v>20167851</v>
      </c>
      <c r="D2814" t="s">
        <v>63</v>
      </c>
      <c r="E2814" s="10">
        <v>46114.541666666664</v>
      </c>
      <c r="F2814" s="10">
        <v>46114.604166666664</v>
      </c>
      <c r="G2814">
        <v>1.5</v>
      </c>
      <c r="H2814" s="9">
        <f t="shared" si="129"/>
        <v>8.0000000000000002E-3</v>
      </c>
      <c r="I2814">
        <v>8.0000000000000002E-3</v>
      </c>
      <c r="M2814" t="s">
        <v>65</v>
      </c>
      <c r="N2814" t="s">
        <v>29</v>
      </c>
      <c r="P2814" t="s">
        <v>30</v>
      </c>
      <c r="Q2814" t="s">
        <v>31</v>
      </c>
      <c r="R2814">
        <v>82640</v>
      </c>
      <c r="S2814" t="s">
        <v>42</v>
      </c>
      <c r="T2814">
        <v>82630</v>
      </c>
      <c r="U2814" t="s">
        <v>32</v>
      </c>
      <c r="V2814" t="s">
        <v>66</v>
      </c>
      <c r="W2814" t="s">
        <v>44</v>
      </c>
      <c r="X2814" t="s">
        <v>44</v>
      </c>
      <c r="Y2814" s="9">
        <f t="shared" si="130"/>
        <v>0</v>
      </c>
      <c r="Z2814" t="str">
        <f t="shared" si="131"/>
        <v>สแกนต่าง Cost</v>
      </c>
    </row>
    <row r="2815" spans="2:26" x14ac:dyDescent="0.45">
      <c r="B2815" t="s">
        <v>53</v>
      </c>
      <c r="C2815">
        <v>20220646</v>
      </c>
      <c r="D2815" t="s">
        <v>67</v>
      </c>
      <c r="E2815" s="10">
        <v>46114.541666666664</v>
      </c>
      <c r="F2815" s="10">
        <v>46114.729166666664</v>
      </c>
      <c r="G2815">
        <v>4.5</v>
      </c>
      <c r="H2815" s="9">
        <f t="shared" si="129"/>
        <v>2.4E-2</v>
      </c>
      <c r="I2815">
        <v>2.4E-2</v>
      </c>
      <c r="M2815" t="s">
        <v>65</v>
      </c>
      <c r="N2815" t="s">
        <v>29</v>
      </c>
      <c r="P2815" t="s">
        <v>30</v>
      </c>
      <c r="Q2815" t="s">
        <v>31</v>
      </c>
      <c r="R2815">
        <v>82640</v>
      </c>
      <c r="S2815" t="s">
        <v>42</v>
      </c>
      <c r="T2815">
        <v>82652</v>
      </c>
      <c r="U2815" t="s">
        <v>46</v>
      </c>
      <c r="V2815" t="s">
        <v>66</v>
      </c>
      <c r="W2815" t="s">
        <v>37</v>
      </c>
      <c r="X2815" t="s">
        <v>34</v>
      </c>
      <c r="Y2815" s="9">
        <f t="shared" si="130"/>
        <v>0</v>
      </c>
      <c r="Z2815" t="str">
        <f t="shared" si="131"/>
        <v>สแกนต่าง Cost</v>
      </c>
    </row>
    <row r="2816" spans="2:26" x14ac:dyDescent="0.45">
      <c r="B2816" t="s">
        <v>53</v>
      </c>
      <c r="C2816">
        <v>20244923</v>
      </c>
      <c r="D2816" t="s">
        <v>246</v>
      </c>
      <c r="E2816" s="10">
        <v>46114.541666666664</v>
      </c>
      <c r="F2816" s="10">
        <v>46114.5625</v>
      </c>
      <c r="G2816">
        <v>0.5</v>
      </c>
      <c r="H2816" s="9">
        <f t="shared" si="129"/>
        <v>3.0000000000000001E-3</v>
      </c>
      <c r="I2816">
        <v>3.0000000000000001E-3</v>
      </c>
      <c r="M2816" t="s">
        <v>65</v>
      </c>
      <c r="N2816" t="s">
        <v>29</v>
      </c>
      <c r="P2816" t="s">
        <v>30</v>
      </c>
      <c r="Q2816" t="s">
        <v>31</v>
      </c>
      <c r="R2816">
        <v>82640</v>
      </c>
      <c r="S2816" t="s">
        <v>42</v>
      </c>
      <c r="T2816">
        <v>82611</v>
      </c>
      <c r="U2816" t="s">
        <v>43</v>
      </c>
      <c r="V2816" t="s">
        <v>66</v>
      </c>
      <c r="W2816" t="s">
        <v>44</v>
      </c>
      <c r="X2816" t="s">
        <v>44</v>
      </c>
      <c r="Y2816" s="9">
        <f t="shared" si="130"/>
        <v>0</v>
      </c>
      <c r="Z2816" t="str">
        <f t="shared" si="131"/>
        <v>สแกนต่าง Cost</v>
      </c>
    </row>
    <row r="2817" spans="1:26" x14ac:dyDescent="0.45">
      <c r="B2817" t="s">
        <v>53</v>
      </c>
      <c r="C2817">
        <v>20280718</v>
      </c>
      <c r="D2817" t="s">
        <v>256</v>
      </c>
      <c r="E2817" s="10">
        <v>46114.541666666664</v>
      </c>
      <c r="F2817" s="10">
        <v>46114.604166666664</v>
      </c>
      <c r="G2817">
        <v>1.5</v>
      </c>
      <c r="H2817" s="9">
        <f t="shared" si="129"/>
        <v>8.0000000000000002E-3</v>
      </c>
      <c r="I2817">
        <v>8.0000000000000002E-3</v>
      </c>
      <c r="M2817" t="s">
        <v>65</v>
      </c>
      <c r="N2817" t="s">
        <v>29</v>
      </c>
      <c r="P2817" t="s">
        <v>30</v>
      </c>
      <c r="Q2817" t="s">
        <v>31</v>
      </c>
      <c r="R2817">
        <v>82640</v>
      </c>
      <c r="S2817" t="s">
        <v>42</v>
      </c>
      <c r="T2817">
        <v>82630</v>
      </c>
      <c r="U2817" t="s">
        <v>32</v>
      </c>
      <c r="V2817" t="s">
        <v>66</v>
      </c>
      <c r="W2817" t="s">
        <v>44</v>
      </c>
      <c r="X2817" t="s">
        <v>44</v>
      </c>
      <c r="Y2817" s="9">
        <f t="shared" si="130"/>
        <v>0</v>
      </c>
      <c r="Z2817" t="str">
        <f t="shared" si="131"/>
        <v>สแกนต่าง Cost</v>
      </c>
    </row>
    <row r="2818" spans="1:26" x14ac:dyDescent="0.45">
      <c r="B2818" t="s">
        <v>53</v>
      </c>
      <c r="C2818">
        <v>20280722</v>
      </c>
      <c r="D2818" t="s">
        <v>342</v>
      </c>
      <c r="E2818" s="10">
        <v>46114.541666666664</v>
      </c>
      <c r="F2818" s="10">
        <v>46114.729166666664</v>
      </c>
      <c r="G2818">
        <v>4.5</v>
      </c>
      <c r="H2818" s="9">
        <f t="shared" si="129"/>
        <v>2.4E-2</v>
      </c>
      <c r="I2818">
        <v>2.4E-2</v>
      </c>
      <c r="M2818" t="s">
        <v>65</v>
      </c>
      <c r="N2818" t="s">
        <v>29</v>
      </c>
      <c r="P2818" t="s">
        <v>30</v>
      </c>
      <c r="Q2818" t="s">
        <v>31</v>
      </c>
      <c r="R2818">
        <v>82640</v>
      </c>
      <c r="S2818" t="s">
        <v>42</v>
      </c>
      <c r="T2818">
        <v>82652</v>
      </c>
      <c r="U2818" t="s">
        <v>46</v>
      </c>
      <c r="V2818" t="s">
        <v>66</v>
      </c>
      <c r="W2818" t="s">
        <v>37</v>
      </c>
      <c r="X2818" t="s">
        <v>34</v>
      </c>
      <c r="Y2818" s="9">
        <f t="shared" si="130"/>
        <v>0</v>
      </c>
      <c r="Z2818" t="str">
        <f t="shared" si="131"/>
        <v>สแกนต่าง Cost</v>
      </c>
    </row>
    <row r="2819" spans="1:26" x14ac:dyDescent="0.45">
      <c r="B2819" t="s">
        <v>53</v>
      </c>
      <c r="C2819">
        <v>20310530</v>
      </c>
      <c r="D2819" t="s">
        <v>220</v>
      </c>
      <c r="E2819" s="10">
        <v>46114.541666666664</v>
      </c>
      <c r="F2819" s="10">
        <v>46114.6875</v>
      </c>
      <c r="G2819">
        <v>3.5</v>
      </c>
      <c r="H2819" s="9">
        <f t="shared" ref="H2819:H2882" si="132">SUM(I2819:L2819)</f>
        <v>1.9E-2</v>
      </c>
      <c r="I2819">
        <v>1.9E-2</v>
      </c>
      <c r="M2819" t="s">
        <v>65</v>
      </c>
      <c r="N2819" t="s">
        <v>29</v>
      </c>
      <c r="P2819" t="s">
        <v>30</v>
      </c>
      <c r="Q2819" t="s">
        <v>31</v>
      </c>
      <c r="R2819">
        <v>82640</v>
      </c>
      <c r="S2819" t="s">
        <v>42</v>
      </c>
      <c r="T2819">
        <v>82630</v>
      </c>
      <c r="U2819" t="s">
        <v>32</v>
      </c>
      <c r="V2819" t="s">
        <v>66</v>
      </c>
      <c r="W2819" t="s">
        <v>44</v>
      </c>
      <c r="X2819" t="s">
        <v>44</v>
      </c>
      <c r="Y2819" s="9">
        <f t="shared" ref="Y2819:Y2882" si="133">SUM(J2819:L2819)</f>
        <v>0</v>
      </c>
      <c r="Z2819" t="str">
        <f t="shared" ref="Z2819:Z2882" si="134">IF(R2819=T2819,"สแกน Cost ตัวเอง","สแกนต่าง Cost")</f>
        <v>สแกนต่าง Cost</v>
      </c>
    </row>
    <row r="2820" spans="1:26" x14ac:dyDescent="0.45">
      <c r="B2820" t="s">
        <v>53</v>
      </c>
      <c r="C2820">
        <v>20332134</v>
      </c>
      <c r="D2820" t="s">
        <v>156</v>
      </c>
      <c r="E2820" s="10">
        <v>46114.541666666664</v>
      </c>
      <c r="F2820" s="10">
        <v>46114.604166666664</v>
      </c>
      <c r="G2820">
        <v>1.5</v>
      </c>
      <c r="H2820" s="9">
        <f t="shared" si="132"/>
        <v>8.0000000000000002E-3</v>
      </c>
      <c r="I2820">
        <v>8.0000000000000002E-3</v>
      </c>
      <c r="M2820" t="s">
        <v>65</v>
      </c>
      <c r="N2820" t="s">
        <v>29</v>
      </c>
      <c r="P2820" t="s">
        <v>30</v>
      </c>
      <c r="Q2820" t="s">
        <v>31</v>
      </c>
      <c r="R2820">
        <v>82640</v>
      </c>
      <c r="S2820" t="s">
        <v>42</v>
      </c>
      <c r="T2820">
        <v>82630</v>
      </c>
      <c r="U2820" t="s">
        <v>32</v>
      </c>
      <c r="V2820" t="s">
        <v>66</v>
      </c>
      <c r="W2820" t="s">
        <v>44</v>
      </c>
      <c r="X2820" t="s">
        <v>44</v>
      </c>
      <c r="Y2820" s="9">
        <f t="shared" si="133"/>
        <v>0</v>
      </c>
      <c r="Z2820" t="str">
        <f t="shared" si="134"/>
        <v>สแกนต่าง Cost</v>
      </c>
    </row>
    <row r="2821" spans="1:26" x14ac:dyDescent="0.45">
      <c r="B2821" t="s">
        <v>53</v>
      </c>
      <c r="C2821">
        <v>20340657</v>
      </c>
      <c r="D2821" t="s">
        <v>221</v>
      </c>
      <c r="E2821" s="10">
        <v>46114.541666666664</v>
      </c>
      <c r="F2821" s="10">
        <v>46114.583333333336</v>
      </c>
      <c r="G2821">
        <v>1</v>
      </c>
      <c r="H2821" s="9">
        <f t="shared" si="132"/>
        <v>5.0000000000000001E-3</v>
      </c>
      <c r="I2821">
        <v>5.0000000000000001E-3</v>
      </c>
      <c r="M2821" t="s">
        <v>65</v>
      </c>
      <c r="N2821" t="s">
        <v>29</v>
      </c>
      <c r="P2821" t="s">
        <v>30</v>
      </c>
      <c r="Q2821" t="s">
        <v>31</v>
      </c>
      <c r="R2821">
        <v>82640</v>
      </c>
      <c r="S2821" t="s">
        <v>42</v>
      </c>
      <c r="T2821">
        <v>82611</v>
      </c>
      <c r="U2821" t="s">
        <v>43</v>
      </c>
      <c r="V2821" t="s">
        <v>66</v>
      </c>
      <c r="W2821" t="s">
        <v>44</v>
      </c>
      <c r="X2821" t="s">
        <v>44</v>
      </c>
      <c r="Y2821" s="9">
        <f t="shared" si="133"/>
        <v>0</v>
      </c>
      <c r="Z2821" t="str">
        <f t="shared" si="134"/>
        <v>สแกนต่าง Cost</v>
      </c>
    </row>
    <row r="2822" spans="1:26" x14ac:dyDescent="0.45">
      <c r="B2822" t="s">
        <v>53</v>
      </c>
      <c r="C2822">
        <v>20368087</v>
      </c>
      <c r="D2822" t="s">
        <v>260</v>
      </c>
      <c r="E2822" s="10">
        <v>46114.541666666664</v>
      </c>
      <c r="F2822" s="10">
        <v>46114.625</v>
      </c>
      <c r="G2822">
        <v>2</v>
      </c>
      <c r="H2822" s="9">
        <f t="shared" si="132"/>
        <v>1.0999999999999999E-2</v>
      </c>
      <c r="I2822">
        <v>1.0999999999999999E-2</v>
      </c>
      <c r="M2822" t="s">
        <v>65</v>
      </c>
      <c r="N2822" t="s">
        <v>29</v>
      </c>
      <c r="P2822" t="s">
        <v>30</v>
      </c>
      <c r="Q2822" t="s">
        <v>31</v>
      </c>
      <c r="R2822">
        <v>82640</v>
      </c>
      <c r="S2822" t="s">
        <v>42</v>
      </c>
      <c r="T2822">
        <v>82612</v>
      </c>
      <c r="U2822" t="s">
        <v>153</v>
      </c>
      <c r="V2822" t="s">
        <v>66</v>
      </c>
      <c r="W2822" t="s">
        <v>44</v>
      </c>
      <c r="X2822" t="s">
        <v>44</v>
      </c>
      <c r="Y2822" s="9">
        <f t="shared" si="133"/>
        <v>0</v>
      </c>
      <c r="Z2822" t="str">
        <f t="shared" si="134"/>
        <v>สแกนต่าง Cost</v>
      </c>
    </row>
    <row r="2823" spans="1:26" x14ac:dyDescent="0.45">
      <c r="A2823">
        <v>25447</v>
      </c>
      <c r="B2823" t="s">
        <v>53</v>
      </c>
      <c r="C2823">
        <v>20048905</v>
      </c>
      <c r="D2823" t="s">
        <v>73</v>
      </c>
      <c r="E2823" s="10">
        <v>46114.499305555553</v>
      </c>
      <c r="F2823" s="10">
        <v>46114.979861111111</v>
      </c>
      <c r="G2823">
        <v>11.533333333333333</v>
      </c>
      <c r="H2823" s="9">
        <f t="shared" si="132"/>
        <v>6.0999999999999999E-2</v>
      </c>
      <c r="I2823">
        <v>4.4999999999999998E-2</v>
      </c>
      <c r="K2823">
        <v>1.6E-2</v>
      </c>
      <c r="M2823" t="s">
        <v>28</v>
      </c>
      <c r="N2823" t="s">
        <v>40</v>
      </c>
      <c r="O2823" t="s">
        <v>41</v>
      </c>
      <c r="P2823" t="s">
        <v>30</v>
      </c>
      <c r="Q2823" t="s">
        <v>31</v>
      </c>
      <c r="R2823">
        <v>82409</v>
      </c>
      <c r="S2823" t="s">
        <v>74</v>
      </c>
      <c r="T2823">
        <v>82664</v>
      </c>
      <c r="U2823" t="s">
        <v>75</v>
      </c>
      <c r="V2823" t="s">
        <v>75</v>
      </c>
      <c r="W2823" t="s">
        <v>74</v>
      </c>
      <c r="X2823" t="s">
        <v>74</v>
      </c>
      <c r="Y2823" s="9">
        <f t="shared" si="133"/>
        <v>1.6E-2</v>
      </c>
      <c r="Z2823" t="str">
        <f t="shared" si="134"/>
        <v>สแกนต่าง Cost</v>
      </c>
    </row>
    <row r="2824" spans="1:26" x14ac:dyDescent="0.45">
      <c r="B2824" t="s">
        <v>53</v>
      </c>
      <c r="C2824">
        <v>20340657</v>
      </c>
      <c r="D2824" t="s">
        <v>221</v>
      </c>
      <c r="E2824" s="10">
        <v>46114.479166666664</v>
      </c>
      <c r="F2824" s="10">
        <v>46114.5</v>
      </c>
      <c r="G2824">
        <v>0.5</v>
      </c>
      <c r="H2824" s="9">
        <f t="shared" si="132"/>
        <v>3.0000000000000001E-3</v>
      </c>
      <c r="I2824">
        <v>3.0000000000000001E-3</v>
      </c>
      <c r="M2824" t="s">
        <v>65</v>
      </c>
      <c r="N2824" t="s">
        <v>29</v>
      </c>
      <c r="P2824" t="s">
        <v>30</v>
      </c>
      <c r="Q2824" t="s">
        <v>31</v>
      </c>
      <c r="R2824">
        <v>82640</v>
      </c>
      <c r="S2824" t="s">
        <v>42</v>
      </c>
      <c r="T2824">
        <v>82611</v>
      </c>
      <c r="U2824" t="s">
        <v>43</v>
      </c>
      <c r="V2824" t="s">
        <v>66</v>
      </c>
      <c r="W2824" t="s">
        <v>44</v>
      </c>
      <c r="X2824" t="s">
        <v>44</v>
      </c>
      <c r="Y2824" s="9">
        <f t="shared" si="133"/>
        <v>0</v>
      </c>
      <c r="Z2824" t="str">
        <f t="shared" si="134"/>
        <v>สแกนต่าง Cost</v>
      </c>
    </row>
    <row r="2825" spans="1:26" x14ac:dyDescent="0.45">
      <c r="B2825" t="s">
        <v>53</v>
      </c>
      <c r="C2825">
        <v>20060579</v>
      </c>
      <c r="D2825" t="s">
        <v>39</v>
      </c>
      <c r="E2825" s="10">
        <v>46114.458333333336</v>
      </c>
      <c r="F2825" s="10">
        <v>46114.5</v>
      </c>
      <c r="G2825">
        <v>1</v>
      </c>
      <c r="H2825" s="9">
        <f t="shared" si="132"/>
        <v>5.0000000000000001E-3</v>
      </c>
      <c r="J2825">
        <v>5.0000000000000001E-3</v>
      </c>
      <c r="M2825" t="s">
        <v>77</v>
      </c>
      <c r="N2825" t="s">
        <v>29</v>
      </c>
      <c r="P2825" t="s">
        <v>30</v>
      </c>
      <c r="Q2825" t="s">
        <v>31</v>
      </c>
      <c r="R2825">
        <v>82640</v>
      </c>
      <c r="S2825" t="s">
        <v>42</v>
      </c>
      <c r="T2825">
        <v>82612</v>
      </c>
      <c r="U2825" t="s">
        <v>153</v>
      </c>
      <c r="V2825" t="s">
        <v>66</v>
      </c>
      <c r="W2825" t="s">
        <v>44</v>
      </c>
      <c r="X2825" t="s">
        <v>44</v>
      </c>
      <c r="Y2825" s="9">
        <f t="shared" si="133"/>
        <v>5.0000000000000001E-3</v>
      </c>
      <c r="Z2825" t="str">
        <f t="shared" si="134"/>
        <v>สแกนต่าง Cost</v>
      </c>
    </row>
    <row r="2826" spans="1:26" x14ac:dyDescent="0.45">
      <c r="B2826" t="s">
        <v>53</v>
      </c>
      <c r="C2826">
        <v>20244923</v>
      </c>
      <c r="D2826" t="s">
        <v>246</v>
      </c>
      <c r="E2826" s="10">
        <v>46114.458333333336</v>
      </c>
      <c r="F2826" s="10">
        <v>46114.5</v>
      </c>
      <c r="G2826">
        <v>1</v>
      </c>
      <c r="H2826" s="9">
        <f t="shared" si="132"/>
        <v>5.0000000000000001E-3</v>
      </c>
      <c r="I2826">
        <v>5.0000000000000001E-3</v>
      </c>
      <c r="M2826" t="s">
        <v>65</v>
      </c>
      <c r="N2826" t="s">
        <v>29</v>
      </c>
      <c r="P2826" t="s">
        <v>30</v>
      </c>
      <c r="Q2826" t="s">
        <v>31</v>
      </c>
      <c r="R2826">
        <v>82640</v>
      </c>
      <c r="S2826" t="s">
        <v>42</v>
      </c>
      <c r="T2826">
        <v>82611</v>
      </c>
      <c r="U2826" t="s">
        <v>43</v>
      </c>
      <c r="V2826" t="s">
        <v>66</v>
      </c>
      <c r="W2826" t="s">
        <v>44</v>
      </c>
      <c r="X2826" t="s">
        <v>44</v>
      </c>
      <c r="Y2826" s="9">
        <f t="shared" si="133"/>
        <v>0</v>
      </c>
      <c r="Z2826" t="str">
        <f t="shared" si="134"/>
        <v>สแกนต่าง Cost</v>
      </c>
    </row>
    <row r="2827" spans="1:26" x14ac:dyDescent="0.45">
      <c r="B2827" t="s">
        <v>53</v>
      </c>
      <c r="C2827">
        <v>20280718</v>
      </c>
      <c r="D2827" t="s">
        <v>256</v>
      </c>
      <c r="E2827" s="10">
        <v>46114.458333333336</v>
      </c>
      <c r="F2827" s="10">
        <v>46114.5</v>
      </c>
      <c r="G2827">
        <v>1</v>
      </c>
      <c r="H2827" s="9">
        <f t="shared" si="132"/>
        <v>5.0000000000000001E-3</v>
      </c>
      <c r="I2827">
        <v>5.0000000000000001E-3</v>
      </c>
      <c r="M2827" t="s">
        <v>65</v>
      </c>
      <c r="N2827" t="s">
        <v>29</v>
      </c>
      <c r="P2827" t="s">
        <v>30</v>
      </c>
      <c r="Q2827" t="s">
        <v>31</v>
      </c>
      <c r="R2827">
        <v>82640</v>
      </c>
      <c r="S2827" t="s">
        <v>42</v>
      </c>
      <c r="T2827">
        <v>82611</v>
      </c>
      <c r="U2827" t="s">
        <v>43</v>
      </c>
      <c r="V2827" t="s">
        <v>66</v>
      </c>
      <c r="W2827" t="s">
        <v>44</v>
      </c>
      <c r="X2827" t="s">
        <v>44</v>
      </c>
      <c r="Y2827" s="9">
        <f t="shared" si="133"/>
        <v>0</v>
      </c>
      <c r="Z2827" t="str">
        <f t="shared" si="134"/>
        <v>สแกนต่าง Cost</v>
      </c>
    </row>
    <row r="2828" spans="1:26" x14ac:dyDescent="0.45">
      <c r="B2828" t="s">
        <v>53</v>
      </c>
      <c r="C2828">
        <v>20332134</v>
      </c>
      <c r="D2828" t="s">
        <v>156</v>
      </c>
      <c r="E2828" s="10">
        <v>46114.458333333336</v>
      </c>
      <c r="F2828" s="10">
        <v>46114.5</v>
      </c>
      <c r="G2828">
        <v>1</v>
      </c>
      <c r="H2828" s="9">
        <f t="shared" si="132"/>
        <v>5.0000000000000001E-3</v>
      </c>
      <c r="I2828">
        <v>5.0000000000000001E-3</v>
      </c>
      <c r="M2828" t="s">
        <v>65</v>
      </c>
      <c r="N2828" t="s">
        <v>29</v>
      </c>
      <c r="P2828" t="s">
        <v>30</v>
      </c>
      <c r="Q2828" t="s">
        <v>31</v>
      </c>
      <c r="R2828">
        <v>82640</v>
      </c>
      <c r="S2828" t="s">
        <v>42</v>
      </c>
      <c r="T2828">
        <v>82630</v>
      </c>
      <c r="U2828" t="s">
        <v>32</v>
      </c>
      <c r="V2828" t="s">
        <v>66</v>
      </c>
      <c r="W2828" t="s">
        <v>44</v>
      </c>
      <c r="X2828" t="s">
        <v>44</v>
      </c>
      <c r="Y2828" s="9">
        <f t="shared" si="133"/>
        <v>0</v>
      </c>
      <c r="Z2828" t="str">
        <f t="shared" si="134"/>
        <v>สแกนต่าง Cost</v>
      </c>
    </row>
    <row r="2829" spans="1:26" x14ac:dyDescent="0.45">
      <c r="B2829" t="s">
        <v>53</v>
      </c>
      <c r="C2829">
        <v>20340657</v>
      </c>
      <c r="D2829" t="s">
        <v>221</v>
      </c>
      <c r="E2829" s="10">
        <v>46114.458333333336</v>
      </c>
      <c r="F2829" s="10">
        <v>46114.479166666664</v>
      </c>
      <c r="G2829">
        <v>0.5</v>
      </c>
      <c r="H2829" s="9">
        <f t="shared" si="132"/>
        <v>3.0000000000000001E-3</v>
      </c>
      <c r="I2829">
        <v>3.0000000000000001E-3</v>
      </c>
      <c r="M2829" t="s">
        <v>65</v>
      </c>
      <c r="N2829" t="s">
        <v>29</v>
      </c>
      <c r="P2829" t="s">
        <v>30</v>
      </c>
      <c r="Q2829" t="s">
        <v>31</v>
      </c>
      <c r="R2829">
        <v>82640</v>
      </c>
      <c r="S2829" t="s">
        <v>42</v>
      </c>
      <c r="T2829">
        <v>82612</v>
      </c>
      <c r="U2829" t="s">
        <v>153</v>
      </c>
      <c r="V2829" t="s">
        <v>66</v>
      </c>
      <c r="W2829" t="s">
        <v>44</v>
      </c>
      <c r="X2829" t="s">
        <v>44</v>
      </c>
      <c r="Y2829" s="9">
        <f t="shared" si="133"/>
        <v>0</v>
      </c>
      <c r="Z2829" t="str">
        <f t="shared" si="134"/>
        <v>สแกนต่าง Cost</v>
      </c>
    </row>
    <row r="2830" spans="1:26" x14ac:dyDescent="0.45">
      <c r="B2830" t="s">
        <v>53</v>
      </c>
      <c r="C2830">
        <v>20244923</v>
      </c>
      <c r="D2830" t="s">
        <v>246</v>
      </c>
      <c r="E2830" s="10">
        <v>46114.4375</v>
      </c>
      <c r="F2830" s="10">
        <v>46114.458333333336</v>
      </c>
      <c r="G2830">
        <v>0.5</v>
      </c>
      <c r="H2830" s="9">
        <f t="shared" si="132"/>
        <v>3.0000000000000001E-3</v>
      </c>
      <c r="I2830">
        <v>3.0000000000000001E-3</v>
      </c>
      <c r="M2830" t="s">
        <v>65</v>
      </c>
      <c r="N2830" t="s">
        <v>29</v>
      </c>
      <c r="P2830" t="s">
        <v>30</v>
      </c>
      <c r="Q2830" t="s">
        <v>31</v>
      </c>
      <c r="R2830">
        <v>82640</v>
      </c>
      <c r="S2830" t="s">
        <v>42</v>
      </c>
      <c r="T2830">
        <v>82630</v>
      </c>
      <c r="U2830" t="s">
        <v>32</v>
      </c>
      <c r="V2830" t="s">
        <v>66</v>
      </c>
      <c r="W2830" t="s">
        <v>44</v>
      </c>
      <c r="X2830" t="s">
        <v>44</v>
      </c>
      <c r="Y2830" s="9">
        <f t="shared" si="133"/>
        <v>0</v>
      </c>
      <c r="Z2830" t="str">
        <f t="shared" si="134"/>
        <v>สแกนต่าง Cost</v>
      </c>
    </row>
    <row r="2831" spans="1:26" x14ac:dyDescent="0.45">
      <c r="B2831" t="s">
        <v>53</v>
      </c>
      <c r="C2831">
        <v>20060579</v>
      </c>
      <c r="D2831" t="s">
        <v>39</v>
      </c>
      <c r="E2831" s="10">
        <v>46114.416666666664</v>
      </c>
      <c r="F2831" s="10">
        <v>46114.458333333336</v>
      </c>
      <c r="G2831">
        <v>1</v>
      </c>
      <c r="H2831" s="9">
        <f t="shared" si="132"/>
        <v>5.0000000000000001E-3</v>
      </c>
      <c r="J2831">
        <v>5.0000000000000001E-3</v>
      </c>
      <c r="M2831" t="s">
        <v>77</v>
      </c>
      <c r="N2831" t="s">
        <v>29</v>
      </c>
      <c r="P2831" t="s">
        <v>30</v>
      </c>
      <c r="Q2831" t="s">
        <v>31</v>
      </c>
      <c r="R2831">
        <v>82640</v>
      </c>
      <c r="S2831" t="s">
        <v>42</v>
      </c>
      <c r="T2831">
        <v>82630</v>
      </c>
      <c r="U2831" t="s">
        <v>32</v>
      </c>
      <c r="V2831" t="s">
        <v>66</v>
      </c>
      <c r="W2831" t="s">
        <v>44</v>
      </c>
      <c r="X2831" t="s">
        <v>44</v>
      </c>
      <c r="Y2831" s="9">
        <f t="shared" si="133"/>
        <v>5.0000000000000001E-3</v>
      </c>
      <c r="Z2831" t="str">
        <f t="shared" si="134"/>
        <v>สแกนต่าง Cost</v>
      </c>
    </row>
    <row r="2832" spans="1:26" x14ac:dyDescent="0.45">
      <c r="B2832" t="s">
        <v>53</v>
      </c>
      <c r="C2832">
        <v>20167851</v>
      </c>
      <c r="D2832" t="s">
        <v>63</v>
      </c>
      <c r="E2832" s="10">
        <v>46114.416666666664</v>
      </c>
      <c r="F2832" s="10">
        <v>46114.5</v>
      </c>
      <c r="G2832">
        <v>2</v>
      </c>
      <c r="H2832" s="9">
        <f t="shared" si="132"/>
        <v>1.0999999999999999E-2</v>
      </c>
      <c r="I2832">
        <v>1.0999999999999999E-2</v>
      </c>
      <c r="M2832" t="s">
        <v>65</v>
      </c>
      <c r="N2832" t="s">
        <v>29</v>
      </c>
      <c r="P2832" t="s">
        <v>30</v>
      </c>
      <c r="Q2832" t="s">
        <v>31</v>
      </c>
      <c r="R2832">
        <v>82640</v>
      </c>
      <c r="S2832" t="s">
        <v>42</v>
      </c>
      <c r="T2832">
        <v>82630</v>
      </c>
      <c r="U2832" t="s">
        <v>32</v>
      </c>
      <c r="V2832" t="s">
        <v>66</v>
      </c>
      <c r="W2832" t="s">
        <v>44</v>
      </c>
      <c r="X2832" t="s">
        <v>44</v>
      </c>
      <c r="Y2832" s="9">
        <f t="shared" si="133"/>
        <v>0</v>
      </c>
      <c r="Z2832" t="str">
        <f t="shared" si="134"/>
        <v>สแกนต่าง Cost</v>
      </c>
    </row>
    <row r="2833" spans="1:26" x14ac:dyDescent="0.45">
      <c r="B2833" t="s">
        <v>53</v>
      </c>
      <c r="C2833">
        <v>20198839</v>
      </c>
      <c r="D2833" t="s">
        <v>258</v>
      </c>
      <c r="E2833" s="10">
        <v>46114.416666666664</v>
      </c>
      <c r="F2833" s="10">
        <v>46114.5</v>
      </c>
      <c r="G2833">
        <v>2</v>
      </c>
      <c r="H2833" s="9">
        <f t="shared" si="132"/>
        <v>1.0999999999999999E-2</v>
      </c>
      <c r="J2833">
        <v>1.0999999999999999E-2</v>
      </c>
      <c r="M2833" t="s">
        <v>77</v>
      </c>
      <c r="N2833" t="s">
        <v>40</v>
      </c>
      <c r="O2833" t="s">
        <v>78</v>
      </c>
      <c r="P2833" t="s">
        <v>30</v>
      </c>
      <c r="Q2833" t="s">
        <v>31</v>
      </c>
      <c r="R2833">
        <v>82640</v>
      </c>
      <c r="S2833" t="s">
        <v>42</v>
      </c>
      <c r="T2833">
        <v>82611</v>
      </c>
      <c r="U2833" t="s">
        <v>43</v>
      </c>
      <c r="V2833" t="s">
        <v>66</v>
      </c>
      <c r="W2833" t="s">
        <v>44</v>
      </c>
      <c r="X2833" t="s">
        <v>44</v>
      </c>
      <c r="Y2833" s="9">
        <f t="shared" si="133"/>
        <v>1.0999999999999999E-2</v>
      </c>
      <c r="Z2833" t="str">
        <f t="shared" si="134"/>
        <v>สแกนต่าง Cost</v>
      </c>
    </row>
    <row r="2834" spans="1:26" x14ac:dyDescent="0.45">
      <c r="B2834" t="s">
        <v>53</v>
      </c>
      <c r="C2834">
        <v>20310530</v>
      </c>
      <c r="D2834" t="s">
        <v>220</v>
      </c>
      <c r="E2834" s="10">
        <v>46114.416666666664</v>
      </c>
      <c r="F2834" s="10">
        <v>46114.5</v>
      </c>
      <c r="G2834">
        <v>2</v>
      </c>
      <c r="H2834" s="9">
        <f t="shared" si="132"/>
        <v>1.0999999999999999E-2</v>
      </c>
      <c r="I2834">
        <v>1.0999999999999999E-2</v>
      </c>
      <c r="M2834" t="s">
        <v>65</v>
      </c>
      <c r="N2834" t="s">
        <v>29</v>
      </c>
      <c r="P2834" t="s">
        <v>30</v>
      </c>
      <c r="Q2834" t="s">
        <v>31</v>
      </c>
      <c r="R2834">
        <v>82640</v>
      </c>
      <c r="S2834" t="s">
        <v>42</v>
      </c>
      <c r="T2834">
        <v>82630</v>
      </c>
      <c r="U2834" t="s">
        <v>32</v>
      </c>
      <c r="V2834" t="s">
        <v>66</v>
      </c>
      <c r="W2834" t="s">
        <v>44</v>
      </c>
      <c r="X2834" t="s">
        <v>44</v>
      </c>
      <c r="Y2834" s="9">
        <f t="shared" si="133"/>
        <v>0</v>
      </c>
      <c r="Z2834" t="str">
        <f t="shared" si="134"/>
        <v>สแกนต่าง Cost</v>
      </c>
    </row>
    <row r="2835" spans="1:26" x14ac:dyDescent="0.45">
      <c r="B2835" t="s">
        <v>53</v>
      </c>
      <c r="C2835">
        <v>20332134</v>
      </c>
      <c r="D2835" t="s">
        <v>156</v>
      </c>
      <c r="E2835" s="10">
        <v>46114.416666666664</v>
      </c>
      <c r="F2835" s="10">
        <v>46114.458333333336</v>
      </c>
      <c r="G2835">
        <v>1</v>
      </c>
      <c r="H2835" s="9">
        <f t="shared" si="132"/>
        <v>5.0000000000000001E-3</v>
      </c>
      <c r="I2835">
        <v>5.0000000000000001E-3</v>
      </c>
      <c r="M2835" t="s">
        <v>65</v>
      </c>
      <c r="N2835" t="s">
        <v>29</v>
      </c>
      <c r="P2835" t="s">
        <v>30</v>
      </c>
      <c r="Q2835" t="s">
        <v>31</v>
      </c>
      <c r="R2835">
        <v>82640</v>
      </c>
      <c r="S2835" t="s">
        <v>42</v>
      </c>
      <c r="T2835">
        <v>82612</v>
      </c>
      <c r="U2835" t="s">
        <v>153</v>
      </c>
      <c r="V2835" t="s">
        <v>66</v>
      </c>
      <c r="W2835" t="s">
        <v>44</v>
      </c>
      <c r="X2835" t="s">
        <v>44</v>
      </c>
      <c r="Y2835" s="9">
        <f t="shared" si="133"/>
        <v>0</v>
      </c>
      <c r="Z2835" t="str">
        <f t="shared" si="134"/>
        <v>สแกนต่าง Cost</v>
      </c>
    </row>
    <row r="2836" spans="1:26" x14ac:dyDescent="0.45">
      <c r="B2836" t="s">
        <v>53</v>
      </c>
      <c r="C2836">
        <v>20340657</v>
      </c>
      <c r="D2836" t="s">
        <v>221</v>
      </c>
      <c r="E2836" s="10">
        <v>46114.416666666664</v>
      </c>
      <c r="F2836" s="10">
        <v>46114.458333333336</v>
      </c>
      <c r="G2836">
        <v>1</v>
      </c>
      <c r="H2836" s="9">
        <f t="shared" si="132"/>
        <v>5.0000000000000001E-3</v>
      </c>
      <c r="I2836">
        <v>5.0000000000000001E-3</v>
      </c>
      <c r="M2836" t="s">
        <v>65</v>
      </c>
      <c r="N2836" t="s">
        <v>29</v>
      </c>
      <c r="P2836" t="s">
        <v>30</v>
      </c>
      <c r="Q2836" t="s">
        <v>31</v>
      </c>
      <c r="R2836">
        <v>82640</v>
      </c>
      <c r="S2836" t="s">
        <v>42</v>
      </c>
      <c r="T2836">
        <v>82611</v>
      </c>
      <c r="U2836" t="s">
        <v>43</v>
      </c>
      <c r="V2836" t="s">
        <v>66</v>
      </c>
      <c r="W2836" t="s">
        <v>44</v>
      </c>
      <c r="X2836" t="s">
        <v>44</v>
      </c>
      <c r="Y2836" s="9">
        <f t="shared" si="133"/>
        <v>0</v>
      </c>
      <c r="Z2836" t="str">
        <f t="shared" si="134"/>
        <v>สแกนต่าง Cost</v>
      </c>
    </row>
    <row r="2837" spans="1:26" x14ac:dyDescent="0.45">
      <c r="B2837" t="s">
        <v>53</v>
      </c>
      <c r="C2837">
        <v>20368087</v>
      </c>
      <c r="D2837" t="s">
        <v>260</v>
      </c>
      <c r="E2837" s="10">
        <v>46114.416666666664</v>
      </c>
      <c r="F2837" s="10">
        <v>46114.5</v>
      </c>
      <c r="G2837">
        <v>2</v>
      </c>
      <c r="H2837" s="9">
        <f t="shared" si="132"/>
        <v>1.0999999999999999E-2</v>
      </c>
      <c r="I2837">
        <v>1.0999999999999999E-2</v>
      </c>
      <c r="M2837" t="s">
        <v>65</v>
      </c>
      <c r="N2837" t="s">
        <v>29</v>
      </c>
      <c r="P2837" t="s">
        <v>30</v>
      </c>
      <c r="Q2837" t="s">
        <v>31</v>
      </c>
      <c r="R2837">
        <v>82640</v>
      </c>
      <c r="S2837" t="s">
        <v>42</v>
      </c>
      <c r="T2837">
        <v>82611</v>
      </c>
      <c r="U2837" t="s">
        <v>43</v>
      </c>
      <c r="V2837" t="s">
        <v>66</v>
      </c>
      <c r="W2837" t="s">
        <v>44</v>
      </c>
      <c r="X2837" t="s">
        <v>44</v>
      </c>
      <c r="Y2837" s="9">
        <f t="shared" si="133"/>
        <v>0</v>
      </c>
      <c r="Z2837" t="str">
        <f t="shared" si="134"/>
        <v>สแกนต่าง Cost</v>
      </c>
    </row>
    <row r="2838" spans="1:26" x14ac:dyDescent="0.45">
      <c r="B2838" t="s">
        <v>53</v>
      </c>
      <c r="C2838">
        <v>20244923</v>
      </c>
      <c r="D2838" t="s">
        <v>246</v>
      </c>
      <c r="E2838" s="10">
        <v>46114.395833333336</v>
      </c>
      <c r="F2838" s="10">
        <v>46114.4375</v>
      </c>
      <c r="G2838">
        <v>1</v>
      </c>
      <c r="H2838" s="9">
        <f t="shared" si="132"/>
        <v>5.0000000000000001E-3</v>
      </c>
      <c r="I2838">
        <v>5.0000000000000001E-3</v>
      </c>
      <c r="M2838" t="s">
        <v>65</v>
      </c>
      <c r="N2838" t="s">
        <v>29</v>
      </c>
      <c r="P2838" t="s">
        <v>30</v>
      </c>
      <c r="Q2838" t="s">
        <v>31</v>
      </c>
      <c r="R2838">
        <v>82640</v>
      </c>
      <c r="S2838" t="s">
        <v>42</v>
      </c>
      <c r="T2838">
        <v>82612</v>
      </c>
      <c r="U2838" t="s">
        <v>153</v>
      </c>
      <c r="V2838" t="s">
        <v>66</v>
      </c>
      <c r="W2838" t="s">
        <v>44</v>
      </c>
      <c r="X2838" t="s">
        <v>44</v>
      </c>
      <c r="Y2838" s="9">
        <f t="shared" si="133"/>
        <v>0</v>
      </c>
      <c r="Z2838" t="str">
        <f t="shared" si="134"/>
        <v>สแกนต่าง Cost</v>
      </c>
    </row>
    <row r="2839" spans="1:26" x14ac:dyDescent="0.45">
      <c r="B2839" t="s">
        <v>53</v>
      </c>
      <c r="C2839">
        <v>20340657</v>
      </c>
      <c r="D2839" t="s">
        <v>221</v>
      </c>
      <c r="E2839" s="10">
        <v>46114.395833333336</v>
      </c>
      <c r="F2839" s="10">
        <v>46114.416666666664</v>
      </c>
      <c r="G2839">
        <v>0.5</v>
      </c>
      <c r="H2839" s="9">
        <f t="shared" si="132"/>
        <v>3.0000000000000001E-3</v>
      </c>
      <c r="I2839">
        <v>3.0000000000000001E-3</v>
      </c>
      <c r="M2839" t="s">
        <v>65</v>
      </c>
      <c r="N2839" t="s">
        <v>29</v>
      </c>
      <c r="P2839" t="s">
        <v>30</v>
      </c>
      <c r="Q2839" t="s">
        <v>31</v>
      </c>
      <c r="R2839">
        <v>82640</v>
      </c>
      <c r="S2839" t="s">
        <v>42</v>
      </c>
      <c r="T2839">
        <v>82622</v>
      </c>
      <c r="U2839" t="s">
        <v>147</v>
      </c>
      <c r="V2839" t="s">
        <v>66</v>
      </c>
      <c r="W2839" t="s">
        <v>44</v>
      </c>
      <c r="X2839" t="s">
        <v>44</v>
      </c>
      <c r="Y2839" s="9">
        <f t="shared" si="133"/>
        <v>0</v>
      </c>
      <c r="Z2839" t="str">
        <f t="shared" si="134"/>
        <v>สแกนต่าง Cost</v>
      </c>
    </row>
    <row r="2840" spans="1:26" x14ac:dyDescent="0.45">
      <c r="A2840">
        <v>25410</v>
      </c>
      <c r="B2840" t="s">
        <v>53</v>
      </c>
      <c r="C2840">
        <v>20026402</v>
      </c>
      <c r="D2840" t="s">
        <v>164</v>
      </c>
      <c r="E2840" s="10">
        <v>46114.375</v>
      </c>
      <c r="F2840" s="10">
        <v>46114.770833333336</v>
      </c>
      <c r="G2840">
        <v>8.5</v>
      </c>
      <c r="H2840" s="9">
        <f t="shared" si="132"/>
        <v>4.4999999999999998E-2</v>
      </c>
      <c r="I2840">
        <v>4.4999999999999998E-2</v>
      </c>
      <c r="M2840" t="s">
        <v>65</v>
      </c>
      <c r="N2840" t="s">
        <v>29</v>
      </c>
      <c r="P2840" t="s">
        <v>30</v>
      </c>
      <c r="Q2840" t="s">
        <v>31</v>
      </c>
      <c r="R2840">
        <v>82301</v>
      </c>
      <c r="S2840" t="s">
        <v>79</v>
      </c>
      <c r="T2840">
        <v>82308</v>
      </c>
      <c r="U2840" t="s">
        <v>69</v>
      </c>
      <c r="V2840" t="s">
        <v>69</v>
      </c>
      <c r="W2840" t="s">
        <v>69</v>
      </c>
      <c r="X2840" t="s">
        <v>88</v>
      </c>
      <c r="Y2840" s="9">
        <f t="shared" si="133"/>
        <v>0</v>
      </c>
      <c r="Z2840" t="str">
        <f t="shared" si="134"/>
        <v>สแกนต่าง Cost</v>
      </c>
    </row>
    <row r="2841" spans="1:26" x14ac:dyDescent="0.45">
      <c r="B2841" t="s">
        <v>53</v>
      </c>
      <c r="C2841">
        <v>20060579</v>
      </c>
      <c r="D2841" t="s">
        <v>39</v>
      </c>
      <c r="E2841" s="10">
        <v>46114.375</v>
      </c>
      <c r="F2841" s="10">
        <v>46114.416666666664</v>
      </c>
      <c r="G2841">
        <v>1</v>
      </c>
      <c r="H2841" s="9">
        <f t="shared" si="132"/>
        <v>5.0000000000000001E-3</v>
      </c>
      <c r="J2841">
        <v>5.0000000000000001E-3</v>
      </c>
      <c r="M2841" t="s">
        <v>77</v>
      </c>
      <c r="N2841" t="s">
        <v>29</v>
      </c>
      <c r="P2841" t="s">
        <v>30</v>
      </c>
      <c r="Q2841" t="s">
        <v>31</v>
      </c>
      <c r="R2841">
        <v>82640</v>
      </c>
      <c r="S2841" t="s">
        <v>42</v>
      </c>
      <c r="T2841">
        <v>82612</v>
      </c>
      <c r="U2841" t="s">
        <v>153</v>
      </c>
      <c r="V2841" t="s">
        <v>66</v>
      </c>
      <c r="W2841" t="s">
        <v>44</v>
      </c>
      <c r="X2841" t="s">
        <v>44</v>
      </c>
      <c r="Y2841" s="9">
        <f t="shared" si="133"/>
        <v>5.0000000000000001E-3</v>
      </c>
      <c r="Z2841" t="str">
        <f t="shared" si="134"/>
        <v>สแกนต่าง Cost</v>
      </c>
    </row>
    <row r="2842" spans="1:26" x14ac:dyDescent="0.45">
      <c r="B2842" t="s">
        <v>53</v>
      </c>
      <c r="C2842">
        <v>20280718</v>
      </c>
      <c r="D2842" t="s">
        <v>256</v>
      </c>
      <c r="E2842" s="10">
        <v>46114.375</v>
      </c>
      <c r="F2842" s="10">
        <v>46114.458333333336</v>
      </c>
      <c r="G2842">
        <v>2</v>
      </c>
      <c r="H2842" s="9">
        <f t="shared" si="132"/>
        <v>1.0999999999999999E-2</v>
      </c>
      <c r="I2842">
        <v>1.0999999999999999E-2</v>
      </c>
      <c r="M2842" t="s">
        <v>65</v>
      </c>
      <c r="N2842" t="s">
        <v>29</v>
      </c>
      <c r="P2842" t="s">
        <v>30</v>
      </c>
      <c r="Q2842" t="s">
        <v>31</v>
      </c>
      <c r="R2842">
        <v>82640</v>
      </c>
      <c r="S2842" t="s">
        <v>42</v>
      </c>
      <c r="T2842">
        <v>82630</v>
      </c>
      <c r="U2842" t="s">
        <v>32</v>
      </c>
      <c r="V2842" t="s">
        <v>66</v>
      </c>
      <c r="W2842" t="s">
        <v>44</v>
      </c>
      <c r="X2842" t="s">
        <v>44</v>
      </c>
      <c r="Y2842" s="9">
        <f t="shared" si="133"/>
        <v>0</v>
      </c>
      <c r="Z2842" t="str">
        <f t="shared" si="134"/>
        <v>สแกนต่าง Cost</v>
      </c>
    </row>
    <row r="2843" spans="1:26" x14ac:dyDescent="0.45">
      <c r="B2843" t="s">
        <v>53</v>
      </c>
      <c r="C2843">
        <v>20310530</v>
      </c>
      <c r="D2843" t="s">
        <v>220</v>
      </c>
      <c r="E2843" s="10">
        <v>46114.375</v>
      </c>
      <c r="F2843" s="10">
        <v>46114.395833333336</v>
      </c>
      <c r="G2843">
        <v>0.5</v>
      </c>
      <c r="H2843" s="9">
        <f t="shared" si="132"/>
        <v>3.0000000000000001E-3</v>
      </c>
      <c r="I2843">
        <v>3.0000000000000001E-3</v>
      </c>
      <c r="M2843" t="s">
        <v>65</v>
      </c>
      <c r="N2843" t="s">
        <v>29</v>
      </c>
      <c r="P2843" t="s">
        <v>30</v>
      </c>
      <c r="Q2843" t="s">
        <v>31</v>
      </c>
      <c r="R2843">
        <v>82640</v>
      </c>
      <c r="S2843" t="s">
        <v>42</v>
      </c>
      <c r="T2843">
        <v>82622</v>
      </c>
      <c r="U2843" t="s">
        <v>147</v>
      </c>
      <c r="V2843" t="s">
        <v>66</v>
      </c>
      <c r="W2843" t="s">
        <v>44</v>
      </c>
      <c r="X2843" t="s">
        <v>44</v>
      </c>
      <c r="Y2843" s="9">
        <f t="shared" si="133"/>
        <v>0</v>
      </c>
      <c r="Z2843" t="str">
        <f t="shared" si="134"/>
        <v>สแกนต่าง Cost</v>
      </c>
    </row>
    <row r="2844" spans="1:26" x14ac:dyDescent="0.45">
      <c r="A2844">
        <v>25773</v>
      </c>
      <c r="B2844" t="s">
        <v>53</v>
      </c>
      <c r="C2844">
        <v>20372078</v>
      </c>
      <c r="D2844" t="s">
        <v>82</v>
      </c>
      <c r="E2844" s="10">
        <v>46114.365277777775</v>
      </c>
      <c r="F2844" s="10">
        <v>46114.729166666664</v>
      </c>
      <c r="G2844">
        <v>7.7333333333333325</v>
      </c>
      <c r="H2844" s="9">
        <f t="shared" si="132"/>
        <v>4.1000000000000002E-2</v>
      </c>
      <c r="I2844">
        <v>4.1000000000000002E-2</v>
      </c>
      <c r="M2844" t="s">
        <v>65</v>
      </c>
      <c r="N2844" t="s">
        <v>29</v>
      </c>
      <c r="P2844" t="s">
        <v>30</v>
      </c>
      <c r="Q2844" t="s">
        <v>31</v>
      </c>
      <c r="R2844">
        <v>82400</v>
      </c>
      <c r="S2844" t="s">
        <v>83</v>
      </c>
      <c r="T2844">
        <v>82658</v>
      </c>
      <c r="U2844" t="s">
        <v>33</v>
      </c>
      <c r="V2844" t="s">
        <v>33</v>
      </c>
      <c r="W2844" t="s">
        <v>34</v>
      </c>
      <c r="X2844" t="s">
        <v>34</v>
      </c>
      <c r="Y2844" s="9">
        <f t="shared" si="133"/>
        <v>0</v>
      </c>
      <c r="Z2844" t="str">
        <f t="shared" si="134"/>
        <v>สแกนต่าง Cost</v>
      </c>
    </row>
    <row r="2845" spans="1:26" x14ac:dyDescent="0.45">
      <c r="A2845">
        <v>25770</v>
      </c>
      <c r="B2845" t="s">
        <v>53</v>
      </c>
      <c r="C2845">
        <v>20352284</v>
      </c>
      <c r="D2845" t="s">
        <v>113</v>
      </c>
      <c r="E2845" s="10">
        <v>46114.364583333336</v>
      </c>
      <c r="F2845" s="10">
        <v>46114.729166666664</v>
      </c>
      <c r="G2845">
        <v>7.75</v>
      </c>
      <c r="H2845" s="9">
        <f t="shared" si="132"/>
        <v>4.1000000000000002E-2</v>
      </c>
      <c r="I2845">
        <v>4.1000000000000002E-2</v>
      </c>
      <c r="M2845" t="s">
        <v>65</v>
      </c>
      <c r="N2845" t="s">
        <v>29</v>
      </c>
      <c r="P2845" t="s">
        <v>30</v>
      </c>
      <c r="Q2845" t="s">
        <v>31</v>
      </c>
      <c r="R2845">
        <v>82400</v>
      </c>
      <c r="S2845" t="s">
        <v>83</v>
      </c>
      <c r="T2845">
        <v>82658</v>
      </c>
      <c r="U2845" t="s">
        <v>33</v>
      </c>
      <c r="V2845" t="s">
        <v>33</v>
      </c>
      <c r="W2845" t="s">
        <v>34</v>
      </c>
      <c r="X2845" t="s">
        <v>34</v>
      </c>
      <c r="Y2845" s="9">
        <f t="shared" si="133"/>
        <v>0</v>
      </c>
      <c r="Z2845" t="str">
        <f t="shared" si="134"/>
        <v>สแกนต่าง Cost</v>
      </c>
    </row>
    <row r="2846" spans="1:26" x14ac:dyDescent="0.45">
      <c r="A2846">
        <v>25765</v>
      </c>
      <c r="B2846" t="s">
        <v>53</v>
      </c>
      <c r="C2846">
        <v>20083462</v>
      </c>
      <c r="D2846" t="s">
        <v>175</v>
      </c>
      <c r="E2846" s="10">
        <v>46114.363194444442</v>
      </c>
      <c r="F2846" s="10">
        <v>46114.729166666664</v>
      </c>
      <c r="G2846">
        <v>7.7833333333333332</v>
      </c>
      <c r="H2846" s="9">
        <f t="shared" si="132"/>
        <v>4.2000000000000003E-2</v>
      </c>
      <c r="I2846">
        <v>4.2000000000000003E-2</v>
      </c>
      <c r="M2846" t="s">
        <v>65</v>
      </c>
      <c r="N2846" t="s">
        <v>29</v>
      </c>
      <c r="P2846" t="s">
        <v>30</v>
      </c>
      <c r="Q2846" t="s">
        <v>31</v>
      </c>
      <c r="R2846">
        <v>82308</v>
      </c>
      <c r="S2846" t="s">
        <v>69</v>
      </c>
      <c r="T2846">
        <v>82658</v>
      </c>
      <c r="U2846" t="s">
        <v>33</v>
      </c>
      <c r="V2846" t="s">
        <v>33</v>
      </c>
      <c r="W2846" t="s">
        <v>34</v>
      </c>
      <c r="X2846" t="s">
        <v>34</v>
      </c>
      <c r="Y2846" s="9">
        <f t="shared" si="133"/>
        <v>0</v>
      </c>
      <c r="Z2846" t="str">
        <f t="shared" si="134"/>
        <v>สแกนต่าง Cost</v>
      </c>
    </row>
    <row r="2847" spans="1:26" x14ac:dyDescent="0.45">
      <c r="A2847">
        <v>25839</v>
      </c>
      <c r="B2847" t="s">
        <v>53</v>
      </c>
      <c r="C2847">
        <v>20190547</v>
      </c>
      <c r="D2847" t="s">
        <v>68</v>
      </c>
      <c r="E2847" s="10">
        <v>46114.363194444442</v>
      </c>
      <c r="F2847" s="10">
        <v>46114.729166666664</v>
      </c>
      <c r="G2847">
        <v>7.7833333333333332</v>
      </c>
      <c r="H2847" s="9">
        <f t="shared" si="132"/>
        <v>4.2000000000000003E-2</v>
      </c>
      <c r="J2847">
        <v>4.2000000000000003E-2</v>
      </c>
      <c r="M2847" t="s">
        <v>77</v>
      </c>
      <c r="N2847" t="s">
        <v>40</v>
      </c>
      <c r="O2847" t="s">
        <v>78</v>
      </c>
      <c r="P2847" t="s">
        <v>30</v>
      </c>
      <c r="Q2847" t="s">
        <v>31</v>
      </c>
      <c r="R2847">
        <v>82308</v>
      </c>
      <c r="S2847" t="s">
        <v>69</v>
      </c>
      <c r="T2847">
        <v>82658</v>
      </c>
      <c r="U2847" t="s">
        <v>33</v>
      </c>
      <c r="V2847" t="s">
        <v>33</v>
      </c>
      <c r="W2847" t="s">
        <v>34</v>
      </c>
      <c r="X2847" t="s">
        <v>34</v>
      </c>
      <c r="Y2847" s="9">
        <f t="shared" si="133"/>
        <v>4.2000000000000003E-2</v>
      </c>
      <c r="Z2847" t="str">
        <f t="shared" si="134"/>
        <v>สแกนต่าง Cost</v>
      </c>
    </row>
    <row r="2848" spans="1:26" x14ac:dyDescent="0.45">
      <c r="A2848">
        <v>25764</v>
      </c>
      <c r="B2848" t="s">
        <v>53</v>
      </c>
      <c r="C2848">
        <v>20190548</v>
      </c>
      <c r="D2848" t="s">
        <v>266</v>
      </c>
      <c r="E2848" s="10">
        <v>46114.363194444442</v>
      </c>
      <c r="F2848" s="10">
        <v>46114.729166666664</v>
      </c>
      <c r="G2848">
        <v>7.7833333333333332</v>
      </c>
      <c r="H2848" s="9">
        <f t="shared" si="132"/>
        <v>4.2000000000000003E-2</v>
      </c>
      <c r="J2848">
        <v>4.2000000000000003E-2</v>
      </c>
      <c r="M2848" t="s">
        <v>77</v>
      </c>
      <c r="N2848" t="s">
        <v>40</v>
      </c>
      <c r="O2848" t="s">
        <v>78</v>
      </c>
      <c r="P2848" t="s">
        <v>30</v>
      </c>
      <c r="Q2848" t="s">
        <v>31</v>
      </c>
      <c r="R2848">
        <v>82308</v>
      </c>
      <c r="S2848" t="s">
        <v>69</v>
      </c>
      <c r="T2848">
        <v>82658</v>
      </c>
      <c r="U2848" t="s">
        <v>33</v>
      </c>
      <c r="V2848" t="s">
        <v>33</v>
      </c>
      <c r="W2848" t="s">
        <v>34</v>
      </c>
      <c r="X2848" t="s">
        <v>34</v>
      </c>
      <c r="Y2848" s="9">
        <f t="shared" si="133"/>
        <v>4.2000000000000003E-2</v>
      </c>
      <c r="Z2848" t="str">
        <f t="shared" si="134"/>
        <v>สแกนต่าง Cost</v>
      </c>
    </row>
    <row r="2849" spans="1:26" x14ac:dyDescent="0.45">
      <c r="A2849">
        <v>25763</v>
      </c>
      <c r="B2849" t="s">
        <v>53</v>
      </c>
      <c r="C2849">
        <v>20198575</v>
      </c>
      <c r="D2849" t="s">
        <v>412</v>
      </c>
      <c r="E2849" s="10">
        <v>46114.363194444442</v>
      </c>
      <c r="F2849" s="10">
        <v>46114.729166666664</v>
      </c>
      <c r="G2849">
        <v>7.7833333333333332</v>
      </c>
      <c r="H2849" s="9">
        <f t="shared" si="132"/>
        <v>4.2000000000000003E-2</v>
      </c>
      <c r="I2849">
        <v>4.2000000000000003E-2</v>
      </c>
      <c r="M2849" t="s">
        <v>65</v>
      </c>
      <c r="N2849" t="s">
        <v>29</v>
      </c>
      <c r="P2849" t="s">
        <v>30</v>
      </c>
      <c r="Q2849" t="s">
        <v>31</v>
      </c>
      <c r="R2849">
        <v>82308</v>
      </c>
      <c r="S2849" t="s">
        <v>69</v>
      </c>
      <c r="T2849">
        <v>82658</v>
      </c>
      <c r="U2849" t="s">
        <v>33</v>
      </c>
      <c r="V2849" t="s">
        <v>33</v>
      </c>
      <c r="W2849" t="s">
        <v>34</v>
      </c>
      <c r="X2849" t="s">
        <v>34</v>
      </c>
      <c r="Y2849" s="9">
        <f t="shared" si="133"/>
        <v>0</v>
      </c>
      <c r="Z2849" t="str">
        <f t="shared" si="134"/>
        <v>สแกนต่าง Cost</v>
      </c>
    </row>
    <row r="2850" spans="1:26" x14ac:dyDescent="0.45">
      <c r="B2850" t="s">
        <v>53</v>
      </c>
      <c r="C2850">
        <v>20060579</v>
      </c>
      <c r="D2850" t="s">
        <v>39</v>
      </c>
      <c r="E2850" s="10">
        <v>46114.354166666664</v>
      </c>
      <c r="F2850" s="10">
        <v>46114.375</v>
      </c>
      <c r="G2850">
        <v>0.5</v>
      </c>
      <c r="H2850" s="9">
        <f t="shared" si="132"/>
        <v>3.0000000000000001E-3</v>
      </c>
      <c r="J2850">
        <v>3.0000000000000001E-3</v>
      </c>
      <c r="M2850" t="s">
        <v>77</v>
      </c>
      <c r="N2850" t="s">
        <v>29</v>
      </c>
      <c r="P2850" t="s">
        <v>30</v>
      </c>
      <c r="Q2850" t="s">
        <v>31</v>
      </c>
      <c r="R2850">
        <v>82640</v>
      </c>
      <c r="S2850" t="s">
        <v>42</v>
      </c>
      <c r="T2850">
        <v>82630</v>
      </c>
      <c r="U2850" t="s">
        <v>32</v>
      </c>
      <c r="V2850" t="s">
        <v>66</v>
      </c>
      <c r="W2850" t="s">
        <v>44</v>
      </c>
      <c r="X2850" t="s">
        <v>44</v>
      </c>
      <c r="Y2850" s="9">
        <f t="shared" si="133"/>
        <v>3.0000000000000001E-3</v>
      </c>
      <c r="Z2850" t="str">
        <f t="shared" si="134"/>
        <v>สแกนต่าง Cost</v>
      </c>
    </row>
    <row r="2851" spans="1:26" x14ac:dyDescent="0.45">
      <c r="B2851" t="s">
        <v>53</v>
      </c>
      <c r="C2851">
        <v>20280718</v>
      </c>
      <c r="D2851" t="s">
        <v>256</v>
      </c>
      <c r="E2851" s="10">
        <v>46114.354166666664</v>
      </c>
      <c r="F2851" s="10">
        <v>46114.5</v>
      </c>
      <c r="G2851">
        <v>3.5</v>
      </c>
      <c r="H2851" s="9">
        <f t="shared" si="132"/>
        <v>1.9E-2</v>
      </c>
      <c r="I2851">
        <v>1.9E-2</v>
      </c>
      <c r="M2851" t="s">
        <v>65</v>
      </c>
      <c r="N2851" t="s">
        <v>29</v>
      </c>
      <c r="P2851" t="s">
        <v>30</v>
      </c>
      <c r="Q2851" t="s">
        <v>31</v>
      </c>
      <c r="R2851">
        <v>82640</v>
      </c>
      <c r="S2851" t="s">
        <v>42</v>
      </c>
      <c r="T2851">
        <v>82630</v>
      </c>
      <c r="U2851" t="s">
        <v>32</v>
      </c>
      <c r="V2851" t="s">
        <v>66</v>
      </c>
      <c r="W2851" t="s">
        <v>44</v>
      </c>
      <c r="X2851" t="s">
        <v>44</v>
      </c>
      <c r="Y2851" s="9">
        <f t="shared" si="133"/>
        <v>0</v>
      </c>
      <c r="Z2851" t="str">
        <f t="shared" si="134"/>
        <v>สแกนต่าง Cost</v>
      </c>
    </row>
    <row r="2852" spans="1:26" x14ac:dyDescent="0.45">
      <c r="B2852" t="s">
        <v>53</v>
      </c>
      <c r="C2852">
        <v>20310530</v>
      </c>
      <c r="D2852" t="s">
        <v>220</v>
      </c>
      <c r="E2852" s="10">
        <v>46114.354166666664</v>
      </c>
      <c r="F2852" s="10">
        <v>46114.375</v>
      </c>
      <c r="G2852">
        <v>0.5</v>
      </c>
      <c r="H2852" s="9">
        <f t="shared" si="132"/>
        <v>3.0000000000000001E-3</v>
      </c>
      <c r="I2852">
        <v>3.0000000000000001E-3</v>
      </c>
      <c r="M2852" t="s">
        <v>65</v>
      </c>
      <c r="N2852" t="s">
        <v>29</v>
      </c>
      <c r="P2852" t="s">
        <v>30</v>
      </c>
      <c r="Q2852" t="s">
        <v>31</v>
      </c>
      <c r="R2852">
        <v>82640</v>
      </c>
      <c r="S2852" t="s">
        <v>42</v>
      </c>
      <c r="T2852">
        <v>82611</v>
      </c>
      <c r="U2852" t="s">
        <v>43</v>
      </c>
      <c r="V2852" t="s">
        <v>66</v>
      </c>
      <c r="W2852" t="s">
        <v>44</v>
      </c>
      <c r="X2852" t="s">
        <v>44</v>
      </c>
      <c r="Y2852" s="9">
        <f t="shared" si="133"/>
        <v>0</v>
      </c>
      <c r="Z2852" t="str">
        <f t="shared" si="134"/>
        <v>สแกนต่าง Cost</v>
      </c>
    </row>
    <row r="2853" spans="1:26" x14ac:dyDescent="0.45">
      <c r="B2853" t="s">
        <v>53</v>
      </c>
      <c r="C2853">
        <v>20340657</v>
      </c>
      <c r="D2853" t="s">
        <v>221</v>
      </c>
      <c r="E2853" s="10">
        <v>46114.354166666664</v>
      </c>
      <c r="F2853" s="10">
        <v>46114.395833333336</v>
      </c>
      <c r="G2853">
        <v>1</v>
      </c>
      <c r="H2853" s="9">
        <f t="shared" si="132"/>
        <v>5.0000000000000001E-3</v>
      </c>
      <c r="I2853">
        <v>5.0000000000000001E-3</v>
      </c>
      <c r="M2853" t="s">
        <v>65</v>
      </c>
      <c r="N2853" t="s">
        <v>29</v>
      </c>
      <c r="P2853" t="s">
        <v>30</v>
      </c>
      <c r="Q2853" t="s">
        <v>31</v>
      </c>
      <c r="R2853">
        <v>82640</v>
      </c>
      <c r="S2853" t="s">
        <v>42</v>
      </c>
      <c r="T2853">
        <v>82630</v>
      </c>
      <c r="U2853" t="s">
        <v>32</v>
      </c>
      <c r="V2853" t="s">
        <v>66</v>
      </c>
      <c r="W2853" t="s">
        <v>44</v>
      </c>
      <c r="X2853" t="s">
        <v>44</v>
      </c>
      <c r="Y2853" s="9">
        <f t="shared" si="133"/>
        <v>0</v>
      </c>
      <c r="Z2853" t="str">
        <f t="shared" si="134"/>
        <v>สแกนต่าง Cost</v>
      </c>
    </row>
    <row r="2854" spans="1:26" x14ac:dyDescent="0.45">
      <c r="A2854">
        <v>25762</v>
      </c>
      <c r="B2854" t="s">
        <v>53</v>
      </c>
      <c r="C2854">
        <v>20276264</v>
      </c>
      <c r="D2854" t="s">
        <v>236</v>
      </c>
      <c r="E2854" s="10">
        <v>46114.351388888892</v>
      </c>
      <c r="F2854" s="10">
        <v>46114.729166666664</v>
      </c>
      <c r="G2854">
        <v>8.0666666666666664</v>
      </c>
      <c r="H2854" s="9">
        <f t="shared" si="132"/>
        <v>4.2999999999999997E-2</v>
      </c>
      <c r="J2854">
        <v>4.2999999999999997E-2</v>
      </c>
      <c r="M2854" t="s">
        <v>77</v>
      </c>
      <c r="N2854" t="s">
        <v>40</v>
      </c>
      <c r="O2854" t="s">
        <v>78</v>
      </c>
      <c r="P2854" t="s">
        <v>30</v>
      </c>
      <c r="Q2854" t="s">
        <v>31</v>
      </c>
      <c r="R2854">
        <v>82301</v>
      </c>
      <c r="S2854" t="s">
        <v>79</v>
      </c>
      <c r="T2854">
        <v>82658</v>
      </c>
      <c r="U2854" t="s">
        <v>33</v>
      </c>
      <c r="V2854" t="s">
        <v>33</v>
      </c>
      <c r="W2854" t="s">
        <v>37</v>
      </c>
      <c r="X2854" t="s">
        <v>38</v>
      </c>
      <c r="Y2854" s="9">
        <f t="shared" si="133"/>
        <v>4.2999999999999997E-2</v>
      </c>
      <c r="Z2854" t="str">
        <f t="shared" si="134"/>
        <v>สแกนต่าง Cost</v>
      </c>
    </row>
    <row r="2855" spans="1:26" x14ac:dyDescent="0.45">
      <c r="A2855">
        <v>25761</v>
      </c>
      <c r="B2855" t="s">
        <v>53</v>
      </c>
      <c r="C2855">
        <v>20377125</v>
      </c>
      <c r="D2855" t="s">
        <v>194</v>
      </c>
      <c r="E2855" s="10">
        <v>46114.351388888892</v>
      </c>
      <c r="F2855" s="10">
        <v>46114.729166666664</v>
      </c>
      <c r="G2855">
        <v>8.0666666666666664</v>
      </c>
      <c r="H2855" s="9">
        <f t="shared" si="132"/>
        <v>4.2999999999999997E-2</v>
      </c>
      <c r="J2855">
        <v>4.2999999999999997E-2</v>
      </c>
      <c r="M2855" t="s">
        <v>77</v>
      </c>
      <c r="N2855" t="s">
        <v>40</v>
      </c>
      <c r="O2855" t="s">
        <v>413</v>
      </c>
      <c r="P2855" t="s">
        <v>30</v>
      </c>
      <c r="Q2855" t="s">
        <v>31</v>
      </c>
      <c r="R2855">
        <v>82301</v>
      </c>
      <c r="S2855" t="s">
        <v>79</v>
      </c>
      <c r="T2855">
        <v>82658</v>
      </c>
      <c r="U2855" t="s">
        <v>33</v>
      </c>
      <c r="V2855" t="s">
        <v>33</v>
      </c>
      <c r="W2855" t="s">
        <v>37</v>
      </c>
      <c r="X2855" t="s">
        <v>38</v>
      </c>
      <c r="Y2855" s="9">
        <f t="shared" si="133"/>
        <v>4.2999999999999997E-2</v>
      </c>
      <c r="Z2855" t="str">
        <f t="shared" si="134"/>
        <v>สแกนต่าง Cost</v>
      </c>
    </row>
    <row r="2856" spans="1:26" x14ac:dyDescent="0.45">
      <c r="A2856">
        <v>25760</v>
      </c>
      <c r="B2856" t="s">
        <v>53</v>
      </c>
      <c r="C2856">
        <v>20035798</v>
      </c>
      <c r="D2856" t="s">
        <v>414</v>
      </c>
      <c r="E2856" s="10">
        <v>46114.348611111112</v>
      </c>
      <c r="F2856" s="10">
        <v>46114.729166666664</v>
      </c>
      <c r="G2856">
        <v>8.1333333333333329</v>
      </c>
      <c r="H2856" s="9">
        <f t="shared" si="132"/>
        <v>4.2999999999999997E-2</v>
      </c>
      <c r="I2856">
        <v>4.2999999999999997E-2</v>
      </c>
      <c r="M2856" t="s">
        <v>65</v>
      </c>
      <c r="N2856" t="s">
        <v>29</v>
      </c>
      <c r="P2856" t="s">
        <v>30</v>
      </c>
      <c r="Q2856" t="s">
        <v>31</v>
      </c>
      <c r="R2856">
        <v>82301</v>
      </c>
      <c r="S2856" t="s">
        <v>79</v>
      </c>
      <c r="T2856">
        <v>82658</v>
      </c>
      <c r="U2856" t="s">
        <v>33</v>
      </c>
      <c r="V2856" t="s">
        <v>33</v>
      </c>
      <c r="W2856" t="s">
        <v>34</v>
      </c>
      <c r="X2856" t="s">
        <v>34</v>
      </c>
      <c r="Y2856" s="9">
        <f t="shared" si="133"/>
        <v>0</v>
      </c>
      <c r="Z2856" t="str">
        <f t="shared" si="134"/>
        <v>สแกนต่าง Cost</v>
      </c>
    </row>
    <row r="2857" spans="1:26" x14ac:dyDescent="0.45">
      <c r="A2857">
        <v>25757</v>
      </c>
      <c r="B2857" t="s">
        <v>53</v>
      </c>
      <c r="C2857">
        <v>20003999</v>
      </c>
      <c r="D2857" t="s">
        <v>340</v>
      </c>
      <c r="E2857" s="10">
        <v>46114.347222222219</v>
      </c>
      <c r="F2857" s="10">
        <v>46114.729166666664</v>
      </c>
      <c r="G2857">
        <v>8.1666666666666661</v>
      </c>
      <c r="H2857" s="9">
        <f t="shared" si="132"/>
        <v>4.3999999999999997E-2</v>
      </c>
      <c r="J2857">
        <v>4.3999999999999997E-2</v>
      </c>
      <c r="M2857" t="s">
        <v>77</v>
      </c>
      <c r="N2857" t="s">
        <v>40</v>
      </c>
      <c r="O2857" t="s">
        <v>78</v>
      </c>
      <c r="P2857" t="s">
        <v>30</v>
      </c>
      <c r="Q2857" t="s">
        <v>31</v>
      </c>
      <c r="R2857">
        <v>82301</v>
      </c>
      <c r="S2857" t="s">
        <v>79</v>
      </c>
      <c r="T2857">
        <v>82658</v>
      </c>
      <c r="U2857" t="s">
        <v>33</v>
      </c>
      <c r="V2857" t="s">
        <v>33</v>
      </c>
      <c r="W2857" t="s">
        <v>34</v>
      </c>
      <c r="X2857" t="s">
        <v>34</v>
      </c>
      <c r="Y2857" s="9">
        <f t="shared" si="133"/>
        <v>4.3999999999999997E-2</v>
      </c>
      <c r="Z2857" t="str">
        <f t="shared" si="134"/>
        <v>สแกนต่าง Cost</v>
      </c>
    </row>
    <row r="2858" spans="1:26" x14ac:dyDescent="0.45">
      <c r="A2858">
        <v>25758</v>
      </c>
      <c r="B2858" t="s">
        <v>53</v>
      </c>
      <c r="C2858">
        <v>20004913</v>
      </c>
      <c r="D2858" t="s">
        <v>87</v>
      </c>
      <c r="E2858" s="10">
        <v>46114.347222222219</v>
      </c>
      <c r="F2858" s="10">
        <v>46114.729166666664</v>
      </c>
      <c r="G2858">
        <v>8.1666666666666661</v>
      </c>
      <c r="H2858" s="9">
        <f t="shared" si="132"/>
        <v>4.3999999999999997E-2</v>
      </c>
      <c r="J2858">
        <v>4.3999999999999997E-2</v>
      </c>
      <c r="M2858" t="s">
        <v>77</v>
      </c>
      <c r="N2858" t="s">
        <v>40</v>
      </c>
      <c r="O2858" t="s">
        <v>78</v>
      </c>
      <c r="P2858" t="s">
        <v>30</v>
      </c>
      <c r="Q2858" t="s">
        <v>31</v>
      </c>
      <c r="R2858">
        <v>82301</v>
      </c>
      <c r="S2858" t="s">
        <v>79</v>
      </c>
      <c r="T2858">
        <v>82658</v>
      </c>
      <c r="U2858" t="s">
        <v>33</v>
      </c>
      <c r="V2858" t="s">
        <v>33</v>
      </c>
      <c r="W2858" t="s">
        <v>34</v>
      </c>
      <c r="X2858" t="s">
        <v>34</v>
      </c>
      <c r="Y2858" s="9">
        <f t="shared" si="133"/>
        <v>4.3999999999999997E-2</v>
      </c>
      <c r="Z2858" t="str">
        <f t="shared" si="134"/>
        <v>สแกนต่าง Cost</v>
      </c>
    </row>
    <row r="2859" spans="1:26" x14ac:dyDescent="0.45">
      <c r="A2859">
        <v>25759</v>
      </c>
      <c r="B2859" t="s">
        <v>53</v>
      </c>
      <c r="C2859">
        <v>20374943</v>
      </c>
      <c r="D2859" t="s">
        <v>207</v>
      </c>
      <c r="E2859" s="10">
        <v>46114.347222222219</v>
      </c>
      <c r="F2859" s="10">
        <v>46114.729166666664</v>
      </c>
      <c r="G2859">
        <v>8.1666666666666661</v>
      </c>
      <c r="H2859" s="9">
        <f t="shared" si="132"/>
        <v>4.3999999999999997E-2</v>
      </c>
      <c r="J2859">
        <v>4.3999999999999997E-2</v>
      </c>
      <c r="M2859" t="s">
        <v>77</v>
      </c>
      <c r="N2859" t="s">
        <v>40</v>
      </c>
      <c r="O2859" t="s">
        <v>78</v>
      </c>
      <c r="P2859" t="s">
        <v>30</v>
      </c>
      <c r="Q2859" t="s">
        <v>31</v>
      </c>
      <c r="R2859">
        <v>82301</v>
      </c>
      <c r="S2859" t="s">
        <v>79</v>
      </c>
      <c r="T2859">
        <v>82658</v>
      </c>
      <c r="U2859" t="s">
        <v>33</v>
      </c>
      <c r="V2859" t="s">
        <v>33</v>
      </c>
      <c r="W2859" t="s">
        <v>34</v>
      </c>
      <c r="X2859" t="s">
        <v>34</v>
      </c>
      <c r="Y2859" s="9">
        <f t="shared" si="133"/>
        <v>4.3999999999999997E-2</v>
      </c>
      <c r="Z2859" t="str">
        <f t="shared" si="134"/>
        <v>สแกนต่าง Cost</v>
      </c>
    </row>
    <row r="2860" spans="1:26" x14ac:dyDescent="0.45">
      <c r="A2860">
        <v>25756</v>
      </c>
      <c r="B2860" t="s">
        <v>53</v>
      </c>
      <c r="C2860">
        <v>20002403</v>
      </c>
      <c r="D2860" t="s">
        <v>367</v>
      </c>
      <c r="E2860" s="10">
        <v>46114.345833333333</v>
      </c>
      <c r="F2860" s="10">
        <v>46114.729166666664</v>
      </c>
      <c r="G2860">
        <v>8.1999999999999993</v>
      </c>
      <c r="H2860" s="9">
        <f t="shared" si="132"/>
        <v>4.3999999999999997E-2</v>
      </c>
      <c r="J2860">
        <v>4.3999999999999997E-2</v>
      </c>
      <c r="M2860" t="s">
        <v>77</v>
      </c>
      <c r="N2860" t="s">
        <v>40</v>
      </c>
      <c r="O2860" t="s">
        <v>78</v>
      </c>
      <c r="P2860" t="s">
        <v>30</v>
      </c>
      <c r="Q2860" t="s">
        <v>31</v>
      </c>
      <c r="R2860">
        <v>82308</v>
      </c>
      <c r="S2860" t="s">
        <v>69</v>
      </c>
      <c r="T2860">
        <v>82658</v>
      </c>
      <c r="U2860" t="s">
        <v>33</v>
      </c>
      <c r="V2860" t="s">
        <v>33</v>
      </c>
      <c r="W2860" t="s">
        <v>37</v>
      </c>
      <c r="X2860" t="s">
        <v>38</v>
      </c>
      <c r="Y2860" s="9">
        <f t="shared" si="133"/>
        <v>4.3999999999999997E-2</v>
      </c>
      <c r="Z2860" t="str">
        <f t="shared" si="134"/>
        <v>สแกนต่าง Cost</v>
      </c>
    </row>
    <row r="2861" spans="1:26" x14ac:dyDescent="0.45">
      <c r="A2861">
        <v>25755</v>
      </c>
      <c r="B2861" t="s">
        <v>53</v>
      </c>
      <c r="C2861">
        <v>20058891</v>
      </c>
      <c r="D2861" t="s">
        <v>269</v>
      </c>
      <c r="E2861" s="10">
        <v>46114.345833333333</v>
      </c>
      <c r="F2861" s="10">
        <v>46114.729166666664</v>
      </c>
      <c r="G2861">
        <v>8.1999999999999993</v>
      </c>
      <c r="H2861" s="9">
        <f t="shared" si="132"/>
        <v>4.3999999999999997E-2</v>
      </c>
      <c r="J2861">
        <v>4.3999999999999997E-2</v>
      </c>
      <c r="M2861" t="s">
        <v>77</v>
      </c>
      <c r="N2861" t="s">
        <v>40</v>
      </c>
      <c r="O2861" t="s">
        <v>78</v>
      </c>
      <c r="P2861" t="s">
        <v>30</v>
      </c>
      <c r="Q2861" t="s">
        <v>31</v>
      </c>
      <c r="R2861">
        <v>82301</v>
      </c>
      <c r="S2861" t="s">
        <v>79</v>
      </c>
      <c r="T2861">
        <v>82658</v>
      </c>
      <c r="U2861" t="s">
        <v>33</v>
      </c>
      <c r="V2861" t="s">
        <v>33</v>
      </c>
      <c r="W2861" t="s">
        <v>37</v>
      </c>
      <c r="X2861" t="s">
        <v>38</v>
      </c>
      <c r="Y2861" s="9">
        <f t="shared" si="133"/>
        <v>4.3999999999999997E-2</v>
      </c>
      <c r="Z2861" t="str">
        <f t="shared" si="134"/>
        <v>สแกนต่าง Cost</v>
      </c>
    </row>
    <row r="2862" spans="1:26" x14ac:dyDescent="0.45">
      <c r="A2862">
        <v>25753</v>
      </c>
      <c r="B2862" t="s">
        <v>53</v>
      </c>
      <c r="C2862">
        <v>20276251</v>
      </c>
      <c r="D2862" t="s">
        <v>376</v>
      </c>
      <c r="E2862" s="10">
        <v>46114.345833333333</v>
      </c>
      <c r="F2862" s="10">
        <v>46114.729166666664</v>
      </c>
      <c r="G2862">
        <v>8.1999999999999993</v>
      </c>
      <c r="H2862" s="9">
        <f t="shared" si="132"/>
        <v>4.3999999999999997E-2</v>
      </c>
      <c r="I2862">
        <v>4.3999999999999997E-2</v>
      </c>
      <c r="M2862" t="s">
        <v>65</v>
      </c>
      <c r="N2862" t="s">
        <v>29</v>
      </c>
      <c r="P2862" t="s">
        <v>30</v>
      </c>
      <c r="Q2862" t="s">
        <v>31</v>
      </c>
      <c r="R2862">
        <v>82210</v>
      </c>
      <c r="S2862" t="s">
        <v>184</v>
      </c>
      <c r="T2862">
        <v>82658</v>
      </c>
      <c r="U2862" t="s">
        <v>33</v>
      </c>
      <c r="V2862" t="s">
        <v>33</v>
      </c>
      <c r="W2862" t="s">
        <v>37</v>
      </c>
      <c r="X2862" t="s">
        <v>38</v>
      </c>
      <c r="Y2862" s="9">
        <f t="shared" si="133"/>
        <v>0</v>
      </c>
      <c r="Z2862" t="str">
        <f t="shared" si="134"/>
        <v>สแกนต่าง Cost</v>
      </c>
    </row>
    <row r="2863" spans="1:26" x14ac:dyDescent="0.45">
      <c r="A2863">
        <v>25754</v>
      </c>
      <c r="B2863" t="s">
        <v>53</v>
      </c>
      <c r="C2863">
        <v>20276266</v>
      </c>
      <c r="D2863" t="s">
        <v>292</v>
      </c>
      <c r="E2863" s="10">
        <v>46114.345833333333</v>
      </c>
      <c r="F2863" s="10">
        <v>46114.729166666664</v>
      </c>
      <c r="G2863">
        <v>8.1999999999999993</v>
      </c>
      <c r="H2863" s="9">
        <f t="shared" si="132"/>
        <v>4.3999999999999997E-2</v>
      </c>
      <c r="J2863">
        <v>4.3999999999999997E-2</v>
      </c>
      <c r="M2863" t="s">
        <v>77</v>
      </c>
      <c r="N2863" t="s">
        <v>40</v>
      </c>
      <c r="O2863" t="s">
        <v>78</v>
      </c>
      <c r="P2863" t="s">
        <v>30</v>
      </c>
      <c r="Q2863" t="s">
        <v>31</v>
      </c>
      <c r="R2863">
        <v>82301</v>
      </c>
      <c r="S2863" t="s">
        <v>79</v>
      </c>
      <c r="T2863">
        <v>82658</v>
      </c>
      <c r="U2863" t="s">
        <v>33</v>
      </c>
      <c r="V2863" t="s">
        <v>33</v>
      </c>
      <c r="W2863" t="s">
        <v>37</v>
      </c>
      <c r="X2863" t="s">
        <v>38</v>
      </c>
      <c r="Y2863" s="9">
        <f t="shared" si="133"/>
        <v>4.3999999999999997E-2</v>
      </c>
      <c r="Z2863" t="str">
        <f t="shared" si="134"/>
        <v>สแกนต่าง Cost</v>
      </c>
    </row>
    <row r="2864" spans="1:26" x14ac:dyDescent="0.45">
      <c r="A2864">
        <v>25476</v>
      </c>
      <c r="B2864" t="s">
        <v>53</v>
      </c>
      <c r="C2864">
        <v>20017430</v>
      </c>
      <c r="D2864" t="s">
        <v>94</v>
      </c>
      <c r="E2864" s="10">
        <v>46114.333333333336</v>
      </c>
      <c r="F2864" s="10">
        <v>46114.729166666664</v>
      </c>
      <c r="G2864">
        <v>8.5</v>
      </c>
      <c r="H2864" s="9">
        <f t="shared" si="132"/>
        <v>4.4999999999999998E-2</v>
      </c>
      <c r="I2864">
        <v>4.4999999999999998E-2</v>
      </c>
      <c r="M2864" t="s">
        <v>65</v>
      </c>
      <c r="N2864" t="s">
        <v>29</v>
      </c>
      <c r="P2864" t="s">
        <v>30</v>
      </c>
      <c r="Q2864" t="s">
        <v>31</v>
      </c>
      <c r="R2864">
        <v>82301</v>
      </c>
      <c r="S2864" t="s">
        <v>79</v>
      </c>
      <c r="T2864">
        <v>82308</v>
      </c>
      <c r="U2864" t="s">
        <v>69</v>
      </c>
      <c r="V2864" t="s">
        <v>69</v>
      </c>
      <c r="W2864" t="s">
        <v>69</v>
      </c>
      <c r="X2864" t="s">
        <v>95</v>
      </c>
      <c r="Y2864" s="9">
        <f t="shared" si="133"/>
        <v>0</v>
      </c>
      <c r="Z2864" t="str">
        <f t="shared" si="134"/>
        <v>สแกนต่าง Cost</v>
      </c>
    </row>
    <row r="2865" spans="1:26" x14ac:dyDescent="0.45">
      <c r="A2865">
        <v>26697</v>
      </c>
      <c r="B2865" t="s">
        <v>53</v>
      </c>
      <c r="C2865">
        <v>20018611</v>
      </c>
      <c r="D2865" t="s">
        <v>132</v>
      </c>
      <c r="E2865" s="10">
        <v>46114.333333333336</v>
      </c>
      <c r="F2865" s="10">
        <v>46114.729166666664</v>
      </c>
      <c r="G2865">
        <v>8.5</v>
      </c>
      <c r="H2865" s="9">
        <f t="shared" si="132"/>
        <v>4.4999999999999998E-2</v>
      </c>
      <c r="I2865">
        <v>4.4999999999999998E-2</v>
      </c>
      <c r="M2865" t="s">
        <v>65</v>
      </c>
      <c r="N2865" t="s">
        <v>29</v>
      </c>
      <c r="P2865" t="s">
        <v>133</v>
      </c>
      <c r="Q2865" t="s">
        <v>31</v>
      </c>
      <c r="R2865">
        <v>82301</v>
      </c>
      <c r="S2865" t="s">
        <v>79</v>
      </c>
      <c r="T2865">
        <v>82308</v>
      </c>
      <c r="U2865" t="s">
        <v>69</v>
      </c>
      <c r="V2865" t="s">
        <v>69</v>
      </c>
      <c r="W2865" t="s">
        <v>69</v>
      </c>
      <c r="X2865" t="s">
        <v>95</v>
      </c>
      <c r="Y2865" s="9">
        <f t="shared" si="133"/>
        <v>0</v>
      </c>
      <c r="Z2865" t="str">
        <f t="shared" si="134"/>
        <v>สแกนต่าง Cost</v>
      </c>
    </row>
    <row r="2866" spans="1:26" x14ac:dyDescent="0.45">
      <c r="B2866" t="s">
        <v>53</v>
      </c>
      <c r="C2866">
        <v>20018899</v>
      </c>
      <c r="D2866" t="s">
        <v>64</v>
      </c>
      <c r="E2866" s="10">
        <v>46114.333333333336</v>
      </c>
      <c r="F2866" s="10">
        <v>46114.5</v>
      </c>
      <c r="G2866">
        <v>4</v>
      </c>
      <c r="H2866" s="9">
        <f t="shared" si="132"/>
        <v>2.1000000000000001E-2</v>
      </c>
      <c r="J2866">
        <v>2.1000000000000001E-2</v>
      </c>
      <c r="M2866" t="s">
        <v>77</v>
      </c>
      <c r="N2866" t="s">
        <v>29</v>
      </c>
      <c r="P2866" t="s">
        <v>30</v>
      </c>
      <c r="Q2866" t="s">
        <v>31</v>
      </c>
      <c r="R2866">
        <v>82640</v>
      </c>
      <c r="S2866" t="s">
        <v>42</v>
      </c>
      <c r="T2866">
        <v>82652</v>
      </c>
      <c r="U2866" t="s">
        <v>46</v>
      </c>
      <c r="V2866" t="s">
        <v>66</v>
      </c>
      <c r="W2866" t="s">
        <v>37</v>
      </c>
      <c r="X2866" t="s">
        <v>34</v>
      </c>
      <c r="Y2866" s="9">
        <f t="shared" si="133"/>
        <v>2.1000000000000001E-2</v>
      </c>
      <c r="Z2866" t="str">
        <f t="shared" si="134"/>
        <v>สแกนต่าง Cost</v>
      </c>
    </row>
    <row r="2867" spans="1:26" x14ac:dyDescent="0.45">
      <c r="B2867" t="s">
        <v>53</v>
      </c>
      <c r="C2867">
        <v>20022740</v>
      </c>
      <c r="D2867" t="s">
        <v>259</v>
      </c>
      <c r="E2867" s="10">
        <v>46114.333333333336</v>
      </c>
      <c r="F2867" s="10">
        <v>46114.416666666664</v>
      </c>
      <c r="G2867">
        <v>2</v>
      </c>
      <c r="H2867" s="9">
        <f t="shared" si="132"/>
        <v>1.0999999999999999E-2</v>
      </c>
      <c r="I2867">
        <v>1.0999999999999999E-2</v>
      </c>
      <c r="M2867" t="s">
        <v>65</v>
      </c>
      <c r="N2867" t="s">
        <v>29</v>
      </c>
      <c r="P2867" t="s">
        <v>30</v>
      </c>
      <c r="Q2867" t="s">
        <v>31</v>
      </c>
      <c r="R2867">
        <v>82640</v>
      </c>
      <c r="S2867" t="s">
        <v>42</v>
      </c>
      <c r="T2867">
        <v>82611</v>
      </c>
      <c r="U2867" t="s">
        <v>43</v>
      </c>
      <c r="V2867" t="s">
        <v>66</v>
      </c>
      <c r="W2867" t="s">
        <v>44</v>
      </c>
      <c r="X2867" t="s">
        <v>44</v>
      </c>
      <c r="Y2867" s="9">
        <f t="shared" si="133"/>
        <v>0</v>
      </c>
      <c r="Z2867" t="str">
        <f t="shared" si="134"/>
        <v>สแกนต่าง Cost</v>
      </c>
    </row>
    <row r="2868" spans="1:26" x14ac:dyDescent="0.45">
      <c r="B2868" t="s">
        <v>53</v>
      </c>
      <c r="C2868">
        <v>20023163</v>
      </c>
      <c r="D2868" t="s">
        <v>169</v>
      </c>
      <c r="E2868" s="10">
        <v>46114.333333333336</v>
      </c>
      <c r="F2868" s="10">
        <v>46114.729166666664</v>
      </c>
      <c r="G2868">
        <v>8.5</v>
      </c>
      <c r="H2868" s="9">
        <f t="shared" si="132"/>
        <v>4.4999999999999998E-2</v>
      </c>
      <c r="I2868">
        <v>4.4999999999999998E-2</v>
      </c>
      <c r="M2868" t="s">
        <v>65</v>
      </c>
      <c r="N2868" t="s">
        <v>29</v>
      </c>
      <c r="P2868" t="s">
        <v>30</v>
      </c>
      <c r="Q2868" t="s">
        <v>31</v>
      </c>
      <c r="R2868">
        <v>82630</v>
      </c>
      <c r="S2868" t="s">
        <v>32</v>
      </c>
      <c r="T2868">
        <v>82640</v>
      </c>
      <c r="U2868" t="s">
        <v>42</v>
      </c>
      <c r="V2868" t="s">
        <v>70</v>
      </c>
      <c r="W2868" t="s">
        <v>170</v>
      </c>
      <c r="X2868" t="s">
        <v>171</v>
      </c>
      <c r="Y2868" s="9">
        <f t="shared" si="133"/>
        <v>0</v>
      </c>
      <c r="Z2868" t="str">
        <f t="shared" si="134"/>
        <v>สแกนต่าง Cost</v>
      </c>
    </row>
    <row r="2869" spans="1:26" x14ac:dyDescent="0.45">
      <c r="B2869" t="s">
        <v>53</v>
      </c>
      <c r="C2869">
        <v>20034535</v>
      </c>
      <c r="D2869" t="s">
        <v>99</v>
      </c>
      <c r="E2869" s="10">
        <v>46114.333333333336</v>
      </c>
      <c r="F2869" s="10">
        <v>46114.729166666664</v>
      </c>
      <c r="G2869">
        <v>8.5</v>
      </c>
      <c r="H2869" s="9">
        <f t="shared" si="132"/>
        <v>4.4999999999999998E-2</v>
      </c>
      <c r="I2869">
        <v>4.4999999999999998E-2</v>
      </c>
      <c r="M2869" t="s">
        <v>65</v>
      </c>
      <c r="N2869" t="s">
        <v>29</v>
      </c>
      <c r="P2869" t="s">
        <v>30</v>
      </c>
      <c r="Q2869" t="s">
        <v>31</v>
      </c>
      <c r="R2869">
        <v>82630</v>
      </c>
      <c r="S2869" t="s">
        <v>32</v>
      </c>
      <c r="T2869">
        <v>82611</v>
      </c>
      <c r="U2869" t="s">
        <v>43</v>
      </c>
      <c r="V2869" t="s">
        <v>43</v>
      </c>
      <c r="W2869" t="s">
        <v>170</v>
      </c>
      <c r="X2869" t="s">
        <v>171</v>
      </c>
      <c r="Y2869" s="9">
        <f t="shared" si="133"/>
        <v>0</v>
      </c>
      <c r="Z2869" t="str">
        <f t="shared" si="134"/>
        <v>สแกนต่าง Cost</v>
      </c>
    </row>
    <row r="2870" spans="1:26" x14ac:dyDescent="0.45">
      <c r="B2870" t="s">
        <v>53</v>
      </c>
      <c r="C2870">
        <v>20037938</v>
      </c>
      <c r="D2870" t="s">
        <v>172</v>
      </c>
      <c r="E2870" s="10">
        <v>46114.333333333336</v>
      </c>
      <c r="F2870" s="10">
        <v>46114.729166666664</v>
      </c>
      <c r="G2870">
        <v>8.5</v>
      </c>
      <c r="H2870" s="9">
        <f t="shared" si="132"/>
        <v>4.4999999999999998E-2</v>
      </c>
      <c r="I2870">
        <v>4.4999999999999998E-2</v>
      </c>
      <c r="M2870" t="s">
        <v>65</v>
      </c>
      <c r="N2870" t="s">
        <v>29</v>
      </c>
      <c r="P2870" t="s">
        <v>30</v>
      </c>
      <c r="Q2870" t="s">
        <v>31</v>
      </c>
      <c r="R2870">
        <v>82630</v>
      </c>
      <c r="S2870" t="s">
        <v>32</v>
      </c>
      <c r="T2870">
        <v>82611</v>
      </c>
      <c r="U2870" t="s">
        <v>43</v>
      </c>
      <c r="V2870" t="s">
        <v>43</v>
      </c>
      <c r="W2870" t="s">
        <v>170</v>
      </c>
      <c r="X2870" t="s">
        <v>171</v>
      </c>
      <c r="Y2870" s="9">
        <f t="shared" si="133"/>
        <v>0</v>
      </c>
      <c r="Z2870" t="str">
        <f t="shared" si="134"/>
        <v>สแกนต่าง Cost</v>
      </c>
    </row>
    <row r="2871" spans="1:26" x14ac:dyDescent="0.45">
      <c r="B2871" t="s">
        <v>53</v>
      </c>
      <c r="C2871">
        <v>20041131</v>
      </c>
      <c r="D2871" t="s">
        <v>173</v>
      </c>
      <c r="E2871" s="10">
        <v>46114.333333333336</v>
      </c>
      <c r="F2871" s="10">
        <v>46114.729166666664</v>
      </c>
      <c r="G2871">
        <v>8.5</v>
      </c>
      <c r="H2871" s="9">
        <f t="shared" si="132"/>
        <v>4.4999999999999998E-2</v>
      </c>
      <c r="J2871">
        <v>4.4999999999999998E-2</v>
      </c>
      <c r="M2871" t="s">
        <v>77</v>
      </c>
      <c r="N2871" t="s">
        <v>29</v>
      </c>
      <c r="P2871" t="s">
        <v>30</v>
      </c>
      <c r="Q2871" t="s">
        <v>31</v>
      </c>
      <c r="R2871">
        <v>82630</v>
      </c>
      <c r="S2871" t="s">
        <v>32</v>
      </c>
      <c r="T2871">
        <v>82611</v>
      </c>
      <c r="U2871" t="s">
        <v>43</v>
      </c>
      <c r="V2871" t="s">
        <v>43</v>
      </c>
      <c r="W2871" t="s">
        <v>170</v>
      </c>
      <c r="X2871" t="s">
        <v>171</v>
      </c>
      <c r="Y2871" s="9">
        <f t="shared" si="133"/>
        <v>4.4999999999999998E-2</v>
      </c>
      <c r="Z2871" t="str">
        <f t="shared" si="134"/>
        <v>สแกนต่าง Cost</v>
      </c>
    </row>
    <row r="2872" spans="1:26" x14ac:dyDescent="0.45">
      <c r="A2872">
        <v>25512</v>
      </c>
      <c r="B2872" t="s">
        <v>53</v>
      </c>
      <c r="C2872">
        <v>20066762</v>
      </c>
      <c r="D2872" t="s">
        <v>203</v>
      </c>
      <c r="E2872" s="10">
        <v>46114.333333333336</v>
      </c>
      <c r="F2872" s="10">
        <v>46114.729166666664</v>
      </c>
      <c r="G2872">
        <v>8.5</v>
      </c>
      <c r="H2872" s="9">
        <f t="shared" si="132"/>
        <v>4.4999999999999998E-2</v>
      </c>
      <c r="I2872">
        <v>4.4999999999999998E-2</v>
      </c>
      <c r="M2872" t="s">
        <v>77</v>
      </c>
      <c r="N2872" t="s">
        <v>29</v>
      </c>
      <c r="P2872" t="s">
        <v>30</v>
      </c>
      <c r="Q2872" t="s">
        <v>31</v>
      </c>
      <c r="R2872">
        <v>82910</v>
      </c>
      <c r="S2872" t="s">
        <v>201</v>
      </c>
      <c r="T2872">
        <v>82303</v>
      </c>
      <c r="U2872" t="s">
        <v>56</v>
      </c>
      <c r="V2872" t="s">
        <v>56</v>
      </c>
      <c r="W2872" t="s">
        <v>56</v>
      </c>
      <c r="X2872" t="s">
        <v>57</v>
      </c>
      <c r="Y2872" s="9">
        <f t="shared" si="133"/>
        <v>0</v>
      </c>
      <c r="Z2872" t="str">
        <f t="shared" si="134"/>
        <v>สแกนต่าง Cost</v>
      </c>
    </row>
    <row r="2873" spans="1:26" x14ac:dyDescent="0.45">
      <c r="B2873" t="s">
        <v>53</v>
      </c>
      <c r="C2873">
        <v>20074473</v>
      </c>
      <c r="D2873" t="s">
        <v>276</v>
      </c>
      <c r="E2873" s="10">
        <v>46114.333333333336</v>
      </c>
      <c r="F2873" s="10">
        <v>46114.729166666664</v>
      </c>
      <c r="G2873">
        <v>8.5</v>
      </c>
      <c r="H2873" s="9">
        <f t="shared" si="132"/>
        <v>4.4999999999999998E-2</v>
      </c>
      <c r="I2873">
        <v>4.4999999999999998E-2</v>
      </c>
      <c r="M2873" t="s">
        <v>65</v>
      </c>
      <c r="N2873" t="s">
        <v>29</v>
      </c>
      <c r="P2873" t="s">
        <v>30</v>
      </c>
      <c r="Q2873" t="s">
        <v>31</v>
      </c>
      <c r="R2873">
        <v>82630</v>
      </c>
      <c r="S2873" t="s">
        <v>32</v>
      </c>
      <c r="T2873">
        <v>82640</v>
      </c>
      <c r="U2873" t="s">
        <v>42</v>
      </c>
      <c r="V2873" t="s">
        <v>70</v>
      </c>
      <c r="W2873" t="s">
        <v>170</v>
      </c>
      <c r="X2873" t="s">
        <v>171</v>
      </c>
      <c r="Y2873" s="9">
        <f t="shared" si="133"/>
        <v>0</v>
      </c>
      <c r="Z2873" t="str">
        <f t="shared" si="134"/>
        <v>สแกนต่าง Cost</v>
      </c>
    </row>
    <row r="2874" spans="1:26" x14ac:dyDescent="0.45">
      <c r="B2874" t="s">
        <v>53</v>
      </c>
      <c r="C2874">
        <v>20075871</v>
      </c>
      <c r="D2874" t="s">
        <v>174</v>
      </c>
      <c r="E2874" s="10">
        <v>46114.333333333336</v>
      </c>
      <c r="F2874" s="10">
        <v>46114.729166666664</v>
      </c>
      <c r="G2874">
        <v>8.5</v>
      </c>
      <c r="H2874" s="9">
        <f t="shared" si="132"/>
        <v>4.4999999999999998E-2</v>
      </c>
      <c r="I2874">
        <v>4.4999999999999998E-2</v>
      </c>
      <c r="M2874" t="s">
        <v>65</v>
      </c>
      <c r="N2874" t="s">
        <v>29</v>
      </c>
      <c r="P2874" t="s">
        <v>133</v>
      </c>
      <c r="Q2874" t="s">
        <v>31</v>
      </c>
      <c r="R2874">
        <v>82301</v>
      </c>
      <c r="S2874" t="s">
        <v>79</v>
      </c>
      <c r="T2874">
        <v>82308</v>
      </c>
      <c r="U2874" t="s">
        <v>69</v>
      </c>
      <c r="V2874" t="s">
        <v>69</v>
      </c>
      <c r="W2874" t="s">
        <v>69</v>
      </c>
      <c r="X2874" t="s">
        <v>95</v>
      </c>
      <c r="Y2874" s="9">
        <f t="shared" si="133"/>
        <v>0</v>
      </c>
      <c r="Z2874" t="str">
        <f t="shared" si="134"/>
        <v>สแกนต่าง Cost</v>
      </c>
    </row>
    <row r="2875" spans="1:26" x14ac:dyDescent="0.45">
      <c r="A2875">
        <v>26702</v>
      </c>
      <c r="B2875" t="s">
        <v>53</v>
      </c>
      <c r="C2875">
        <v>20076436</v>
      </c>
      <c r="D2875" t="s">
        <v>131</v>
      </c>
      <c r="E2875" s="10">
        <v>46114.333333333336</v>
      </c>
      <c r="F2875" s="10">
        <v>46114.729166666664</v>
      </c>
      <c r="G2875">
        <v>8.5</v>
      </c>
      <c r="H2875" s="9">
        <f t="shared" si="132"/>
        <v>4.4999999999999998E-2</v>
      </c>
      <c r="I2875">
        <v>4.4999999999999998E-2</v>
      </c>
      <c r="M2875" t="s">
        <v>65</v>
      </c>
      <c r="N2875" t="s">
        <v>29</v>
      </c>
      <c r="P2875" t="s">
        <v>30</v>
      </c>
      <c r="Q2875" t="s">
        <v>31</v>
      </c>
      <c r="R2875">
        <v>82301</v>
      </c>
      <c r="S2875" t="s">
        <v>79</v>
      </c>
      <c r="T2875">
        <v>82308</v>
      </c>
      <c r="U2875" t="s">
        <v>69</v>
      </c>
      <c r="V2875" t="s">
        <v>69</v>
      </c>
      <c r="W2875" t="s">
        <v>69</v>
      </c>
      <c r="X2875" t="s">
        <v>95</v>
      </c>
      <c r="Y2875" s="9">
        <f t="shared" si="133"/>
        <v>0</v>
      </c>
      <c r="Z2875" t="str">
        <f t="shared" si="134"/>
        <v>สแกนต่าง Cost</v>
      </c>
    </row>
    <row r="2876" spans="1:26" x14ac:dyDescent="0.45">
      <c r="A2876">
        <v>25408</v>
      </c>
      <c r="B2876" t="s">
        <v>53</v>
      </c>
      <c r="C2876">
        <v>20152023</v>
      </c>
      <c r="D2876" t="s">
        <v>177</v>
      </c>
      <c r="E2876" s="10">
        <v>46114.333333333336</v>
      </c>
      <c r="F2876" s="10">
        <v>46114.729166666664</v>
      </c>
      <c r="G2876">
        <v>8.5</v>
      </c>
      <c r="H2876" s="9">
        <f t="shared" si="132"/>
        <v>4.4999999999999998E-2</v>
      </c>
      <c r="I2876">
        <v>4.4999999999999998E-2</v>
      </c>
      <c r="M2876" t="s">
        <v>65</v>
      </c>
      <c r="N2876" t="s">
        <v>29</v>
      </c>
      <c r="P2876" t="s">
        <v>30</v>
      </c>
      <c r="Q2876" t="s">
        <v>31</v>
      </c>
      <c r="R2876">
        <v>82308</v>
      </c>
      <c r="S2876" t="s">
        <v>69</v>
      </c>
      <c r="T2876">
        <v>82301</v>
      </c>
      <c r="U2876" t="s">
        <v>79</v>
      </c>
      <c r="V2876" t="s">
        <v>79</v>
      </c>
      <c r="W2876" t="s">
        <v>80</v>
      </c>
      <c r="X2876" t="s">
        <v>81</v>
      </c>
      <c r="Y2876" s="9">
        <f t="shared" si="133"/>
        <v>0</v>
      </c>
      <c r="Z2876" t="str">
        <f t="shared" si="134"/>
        <v>สแกนต่าง Cost</v>
      </c>
    </row>
    <row r="2877" spans="1:26" x14ac:dyDescent="0.45">
      <c r="B2877" t="s">
        <v>53</v>
      </c>
      <c r="C2877">
        <v>20167851</v>
      </c>
      <c r="D2877" t="s">
        <v>63</v>
      </c>
      <c r="E2877" s="10">
        <v>46114.333333333336</v>
      </c>
      <c r="F2877" s="10">
        <v>46114.416666666664</v>
      </c>
      <c r="G2877">
        <v>2</v>
      </c>
      <c r="H2877" s="9">
        <f t="shared" si="132"/>
        <v>1.0999999999999999E-2</v>
      </c>
      <c r="I2877">
        <v>1.0999999999999999E-2</v>
      </c>
      <c r="M2877" t="s">
        <v>65</v>
      </c>
      <c r="N2877" t="s">
        <v>29</v>
      </c>
      <c r="P2877" t="s">
        <v>30</v>
      </c>
      <c r="Q2877" t="s">
        <v>31</v>
      </c>
      <c r="R2877">
        <v>82640</v>
      </c>
      <c r="S2877" t="s">
        <v>42</v>
      </c>
      <c r="T2877">
        <v>82612</v>
      </c>
      <c r="U2877" t="s">
        <v>153</v>
      </c>
      <c r="V2877" t="s">
        <v>66</v>
      </c>
      <c r="W2877" t="s">
        <v>44</v>
      </c>
      <c r="X2877" t="s">
        <v>44</v>
      </c>
      <c r="Y2877" s="9">
        <f t="shared" si="133"/>
        <v>0</v>
      </c>
      <c r="Z2877" t="str">
        <f t="shared" si="134"/>
        <v>สแกนต่าง Cost</v>
      </c>
    </row>
    <row r="2878" spans="1:26" x14ac:dyDescent="0.45">
      <c r="B2878" t="s">
        <v>53</v>
      </c>
      <c r="C2878">
        <v>20198711</v>
      </c>
      <c r="D2878" t="s">
        <v>178</v>
      </c>
      <c r="E2878" s="10">
        <v>46114.333333333336</v>
      </c>
      <c r="F2878" s="10">
        <v>46114.729166666664</v>
      </c>
      <c r="G2878">
        <v>8.5</v>
      </c>
      <c r="H2878" s="9">
        <f t="shared" si="132"/>
        <v>4.4999999999999998E-2</v>
      </c>
      <c r="I2878">
        <v>4.4999999999999998E-2</v>
      </c>
      <c r="M2878" t="s">
        <v>65</v>
      </c>
      <c r="N2878" t="s">
        <v>29</v>
      </c>
      <c r="P2878" t="s">
        <v>30</v>
      </c>
      <c r="Q2878" t="s">
        <v>31</v>
      </c>
      <c r="R2878">
        <v>82630</v>
      </c>
      <c r="S2878" t="s">
        <v>32</v>
      </c>
      <c r="T2878">
        <v>82611</v>
      </c>
      <c r="U2878" t="s">
        <v>43</v>
      </c>
      <c r="V2878" t="s">
        <v>43</v>
      </c>
      <c r="W2878" t="s">
        <v>170</v>
      </c>
      <c r="X2878" t="s">
        <v>171</v>
      </c>
      <c r="Y2878" s="9">
        <f t="shared" si="133"/>
        <v>0</v>
      </c>
      <c r="Z2878" t="str">
        <f t="shared" si="134"/>
        <v>สแกนต่าง Cost</v>
      </c>
    </row>
    <row r="2879" spans="1:26" x14ac:dyDescent="0.45">
      <c r="B2879" t="s">
        <v>53</v>
      </c>
      <c r="C2879">
        <v>20198715</v>
      </c>
      <c r="D2879" t="s">
        <v>179</v>
      </c>
      <c r="E2879" s="10">
        <v>46114.333333333336</v>
      </c>
      <c r="F2879" s="10">
        <v>46114.729166666664</v>
      </c>
      <c r="G2879">
        <v>8.5</v>
      </c>
      <c r="H2879" s="9">
        <f t="shared" si="132"/>
        <v>4.4999999999999998E-2</v>
      </c>
      <c r="I2879">
        <v>4.4999999999999998E-2</v>
      </c>
      <c r="M2879" t="s">
        <v>65</v>
      </c>
      <c r="N2879" t="s">
        <v>29</v>
      </c>
      <c r="P2879" t="s">
        <v>30</v>
      </c>
      <c r="Q2879" t="s">
        <v>31</v>
      </c>
      <c r="R2879">
        <v>82630</v>
      </c>
      <c r="S2879" t="s">
        <v>32</v>
      </c>
      <c r="T2879">
        <v>82611</v>
      </c>
      <c r="U2879" t="s">
        <v>43</v>
      </c>
      <c r="V2879" t="s">
        <v>43</v>
      </c>
      <c r="W2879" t="s">
        <v>170</v>
      </c>
      <c r="X2879" t="s">
        <v>171</v>
      </c>
      <c r="Y2879" s="9">
        <f t="shared" si="133"/>
        <v>0</v>
      </c>
      <c r="Z2879" t="str">
        <f t="shared" si="134"/>
        <v>สแกนต่าง Cost</v>
      </c>
    </row>
    <row r="2880" spans="1:26" x14ac:dyDescent="0.45">
      <c r="B2880" t="s">
        <v>53</v>
      </c>
      <c r="C2880">
        <v>20198747</v>
      </c>
      <c r="D2880" t="s">
        <v>180</v>
      </c>
      <c r="E2880" s="10">
        <v>46114.333333333336</v>
      </c>
      <c r="F2880" s="10">
        <v>46114.729166666664</v>
      </c>
      <c r="G2880">
        <v>8.5</v>
      </c>
      <c r="H2880" s="9">
        <f t="shared" si="132"/>
        <v>4.4999999999999998E-2</v>
      </c>
      <c r="I2880">
        <v>4.4999999999999998E-2</v>
      </c>
      <c r="M2880" t="s">
        <v>65</v>
      </c>
      <c r="N2880" t="s">
        <v>29</v>
      </c>
      <c r="P2880" t="s">
        <v>30</v>
      </c>
      <c r="Q2880" t="s">
        <v>31</v>
      </c>
      <c r="R2880">
        <v>82630</v>
      </c>
      <c r="S2880" t="s">
        <v>32</v>
      </c>
      <c r="T2880">
        <v>82640</v>
      </c>
      <c r="U2880" t="s">
        <v>42</v>
      </c>
      <c r="V2880" t="s">
        <v>70</v>
      </c>
      <c r="W2880" t="s">
        <v>170</v>
      </c>
      <c r="X2880" t="s">
        <v>171</v>
      </c>
      <c r="Y2880" s="9">
        <f t="shared" si="133"/>
        <v>0</v>
      </c>
      <c r="Z2880" t="str">
        <f t="shared" si="134"/>
        <v>สแกนต่าง Cost</v>
      </c>
    </row>
    <row r="2881" spans="1:26" x14ac:dyDescent="0.45">
      <c r="B2881" t="s">
        <v>53</v>
      </c>
      <c r="C2881">
        <v>20198839</v>
      </c>
      <c r="D2881" t="s">
        <v>258</v>
      </c>
      <c r="E2881" s="10">
        <v>46114.333333333336</v>
      </c>
      <c r="F2881" s="10">
        <v>46114.416666666664</v>
      </c>
      <c r="G2881">
        <v>2</v>
      </c>
      <c r="H2881" s="9">
        <f t="shared" si="132"/>
        <v>1.0999999999999999E-2</v>
      </c>
      <c r="J2881">
        <v>1.0999999999999999E-2</v>
      </c>
      <c r="M2881" t="s">
        <v>77</v>
      </c>
      <c r="N2881" t="s">
        <v>40</v>
      </c>
      <c r="O2881" t="s">
        <v>78</v>
      </c>
      <c r="P2881" t="s">
        <v>30</v>
      </c>
      <c r="Q2881" t="s">
        <v>31</v>
      </c>
      <c r="R2881">
        <v>82640</v>
      </c>
      <c r="S2881" t="s">
        <v>42</v>
      </c>
      <c r="T2881">
        <v>82630</v>
      </c>
      <c r="U2881" t="s">
        <v>32</v>
      </c>
      <c r="V2881" t="s">
        <v>66</v>
      </c>
      <c r="W2881" t="s">
        <v>44</v>
      </c>
      <c r="X2881" t="s">
        <v>44</v>
      </c>
      <c r="Y2881" s="9">
        <f t="shared" si="133"/>
        <v>1.0999999999999999E-2</v>
      </c>
      <c r="Z2881" t="str">
        <f t="shared" si="134"/>
        <v>สแกนต่าง Cost</v>
      </c>
    </row>
    <row r="2882" spans="1:26" x14ac:dyDescent="0.45">
      <c r="B2882" t="s">
        <v>53</v>
      </c>
      <c r="C2882">
        <v>20220646</v>
      </c>
      <c r="D2882" t="s">
        <v>67</v>
      </c>
      <c r="E2882" s="10">
        <v>46114.333333333336</v>
      </c>
      <c r="F2882" s="10">
        <v>46114.5</v>
      </c>
      <c r="G2882">
        <v>4</v>
      </c>
      <c r="H2882" s="9">
        <f t="shared" si="132"/>
        <v>2.1000000000000001E-2</v>
      </c>
      <c r="I2882">
        <v>2.1000000000000001E-2</v>
      </c>
      <c r="M2882" t="s">
        <v>65</v>
      </c>
      <c r="N2882" t="s">
        <v>29</v>
      </c>
      <c r="P2882" t="s">
        <v>30</v>
      </c>
      <c r="Q2882" t="s">
        <v>31</v>
      </c>
      <c r="R2882">
        <v>82640</v>
      </c>
      <c r="S2882" t="s">
        <v>42</v>
      </c>
      <c r="T2882">
        <v>82652</v>
      </c>
      <c r="U2882" t="s">
        <v>46</v>
      </c>
      <c r="V2882" t="s">
        <v>66</v>
      </c>
      <c r="W2882" t="s">
        <v>37</v>
      </c>
      <c r="X2882" t="s">
        <v>34</v>
      </c>
      <c r="Y2882" s="9">
        <f t="shared" si="133"/>
        <v>0</v>
      </c>
      <c r="Z2882" t="str">
        <f t="shared" si="134"/>
        <v>สแกนต่าง Cost</v>
      </c>
    </row>
    <row r="2883" spans="1:26" x14ac:dyDescent="0.45">
      <c r="B2883" t="s">
        <v>53</v>
      </c>
      <c r="C2883">
        <v>20225092</v>
      </c>
      <c r="D2883" t="s">
        <v>335</v>
      </c>
      <c r="E2883" s="10">
        <v>46114.333333333336</v>
      </c>
      <c r="F2883" s="10">
        <v>46114.729166666664</v>
      </c>
      <c r="G2883">
        <v>8.5</v>
      </c>
      <c r="H2883" s="9">
        <f t="shared" ref="H2883:H2946" si="135">SUM(I2883:L2883)</f>
        <v>4.4999999999999998E-2</v>
      </c>
      <c r="I2883">
        <v>4.4999999999999998E-2</v>
      </c>
      <c r="M2883" t="s">
        <v>65</v>
      </c>
      <c r="N2883" t="s">
        <v>29</v>
      </c>
      <c r="P2883" t="s">
        <v>133</v>
      </c>
      <c r="Q2883" t="s">
        <v>31</v>
      </c>
      <c r="R2883">
        <v>82400</v>
      </c>
      <c r="S2883" t="s">
        <v>83</v>
      </c>
      <c r="T2883">
        <v>82664</v>
      </c>
      <c r="U2883" t="s">
        <v>75</v>
      </c>
      <c r="V2883" t="s">
        <v>336</v>
      </c>
      <c r="W2883" t="s">
        <v>44</v>
      </c>
      <c r="X2883" t="s">
        <v>44</v>
      </c>
      <c r="Y2883" s="9">
        <f t="shared" ref="Y2883:Y2946" si="136">SUM(J2883:L2883)</f>
        <v>0</v>
      </c>
      <c r="Z2883" t="str">
        <f t="shared" ref="Z2883:Z2946" si="137">IF(R2883=T2883,"สแกน Cost ตัวเอง","สแกนต่าง Cost")</f>
        <v>สแกนต่าง Cost</v>
      </c>
    </row>
    <row r="2884" spans="1:26" x14ac:dyDescent="0.45">
      <c r="B2884" t="s">
        <v>53</v>
      </c>
      <c r="C2884">
        <v>20244923</v>
      </c>
      <c r="D2884" t="s">
        <v>246</v>
      </c>
      <c r="E2884" s="10">
        <v>46114.333333333336</v>
      </c>
      <c r="F2884" s="10">
        <v>46114.395833333336</v>
      </c>
      <c r="G2884">
        <v>1.5</v>
      </c>
      <c r="H2884" s="9">
        <f t="shared" si="135"/>
        <v>8.0000000000000002E-3</v>
      </c>
      <c r="I2884">
        <v>8.0000000000000002E-3</v>
      </c>
      <c r="M2884" t="s">
        <v>65</v>
      </c>
      <c r="N2884" t="s">
        <v>29</v>
      </c>
      <c r="P2884" t="s">
        <v>30</v>
      </c>
      <c r="Q2884" t="s">
        <v>31</v>
      </c>
      <c r="R2884">
        <v>82640</v>
      </c>
      <c r="S2884" t="s">
        <v>42</v>
      </c>
      <c r="T2884">
        <v>82630</v>
      </c>
      <c r="U2884" t="s">
        <v>32</v>
      </c>
      <c r="V2884" t="s">
        <v>66</v>
      </c>
      <c r="W2884" t="s">
        <v>44</v>
      </c>
      <c r="X2884" t="s">
        <v>44</v>
      </c>
      <c r="Y2884" s="9">
        <f t="shared" si="136"/>
        <v>0</v>
      </c>
      <c r="Z2884" t="str">
        <f t="shared" si="137"/>
        <v>สแกนต่าง Cost</v>
      </c>
    </row>
    <row r="2885" spans="1:26" x14ac:dyDescent="0.45">
      <c r="B2885" t="s">
        <v>53</v>
      </c>
      <c r="C2885">
        <v>20280718</v>
      </c>
      <c r="D2885" t="s">
        <v>256</v>
      </c>
      <c r="E2885" s="10">
        <v>46114.333333333336</v>
      </c>
      <c r="F2885" s="10">
        <v>46114.375</v>
      </c>
      <c r="G2885">
        <v>1</v>
      </c>
      <c r="H2885" s="9">
        <f t="shared" si="135"/>
        <v>5.0000000000000001E-3</v>
      </c>
      <c r="I2885">
        <v>5.0000000000000001E-3</v>
      </c>
      <c r="M2885" t="s">
        <v>65</v>
      </c>
      <c r="N2885" t="s">
        <v>29</v>
      </c>
      <c r="P2885" t="s">
        <v>30</v>
      </c>
      <c r="Q2885" t="s">
        <v>31</v>
      </c>
      <c r="R2885">
        <v>82640</v>
      </c>
      <c r="S2885" t="s">
        <v>42</v>
      </c>
      <c r="T2885">
        <v>82612</v>
      </c>
      <c r="U2885" t="s">
        <v>153</v>
      </c>
      <c r="V2885" t="s">
        <v>66</v>
      </c>
      <c r="W2885" t="s">
        <v>44</v>
      </c>
      <c r="X2885" t="s">
        <v>44</v>
      </c>
      <c r="Y2885" s="9">
        <f t="shared" si="136"/>
        <v>0</v>
      </c>
      <c r="Z2885" t="str">
        <f t="shared" si="137"/>
        <v>สแกนต่าง Cost</v>
      </c>
    </row>
    <row r="2886" spans="1:26" x14ac:dyDescent="0.45">
      <c r="B2886" t="s">
        <v>53</v>
      </c>
      <c r="C2886">
        <v>20280722</v>
      </c>
      <c r="D2886" t="s">
        <v>342</v>
      </c>
      <c r="E2886" s="10">
        <v>46114.333333333336</v>
      </c>
      <c r="F2886" s="10">
        <v>46114.5</v>
      </c>
      <c r="G2886">
        <v>4</v>
      </c>
      <c r="H2886" s="9">
        <f t="shared" si="135"/>
        <v>2.1000000000000001E-2</v>
      </c>
      <c r="I2886">
        <v>2.1000000000000001E-2</v>
      </c>
      <c r="M2886" t="s">
        <v>65</v>
      </c>
      <c r="N2886" t="s">
        <v>29</v>
      </c>
      <c r="P2886" t="s">
        <v>30</v>
      </c>
      <c r="Q2886" t="s">
        <v>31</v>
      </c>
      <c r="R2886">
        <v>82640</v>
      </c>
      <c r="S2886" t="s">
        <v>42</v>
      </c>
      <c r="T2886">
        <v>82652</v>
      </c>
      <c r="U2886" t="s">
        <v>46</v>
      </c>
      <c r="V2886" t="s">
        <v>66</v>
      </c>
      <c r="W2886" t="s">
        <v>37</v>
      </c>
      <c r="X2886" t="s">
        <v>34</v>
      </c>
      <c r="Y2886" s="9">
        <f t="shared" si="136"/>
        <v>0</v>
      </c>
      <c r="Z2886" t="str">
        <f t="shared" si="137"/>
        <v>สแกนต่าง Cost</v>
      </c>
    </row>
    <row r="2887" spans="1:26" x14ac:dyDescent="0.45">
      <c r="B2887" t="s">
        <v>53</v>
      </c>
      <c r="C2887">
        <v>20319535</v>
      </c>
      <c r="D2887" t="s">
        <v>36</v>
      </c>
      <c r="E2887" s="10">
        <v>46114.333333333336</v>
      </c>
      <c r="F2887" s="10">
        <v>46114.729166666664</v>
      </c>
      <c r="G2887">
        <v>9.5</v>
      </c>
      <c r="H2887" s="9">
        <f t="shared" si="135"/>
        <v>4.9999999999999996E-2</v>
      </c>
      <c r="I2887">
        <v>4.4999999999999998E-2</v>
      </c>
      <c r="K2887">
        <v>5.0000000000000001E-3</v>
      </c>
      <c r="M2887" t="s">
        <v>28</v>
      </c>
      <c r="N2887" t="s">
        <v>29</v>
      </c>
      <c r="P2887" t="s">
        <v>30</v>
      </c>
      <c r="Q2887" t="s">
        <v>31</v>
      </c>
      <c r="R2887">
        <v>82630</v>
      </c>
      <c r="S2887" t="s">
        <v>32</v>
      </c>
      <c r="T2887">
        <v>82611</v>
      </c>
      <c r="U2887" t="s">
        <v>43</v>
      </c>
      <c r="V2887" t="s">
        <v>43</v>
      </c>
      <c r="W2887" t="s">
        <v>170</v>
      </c>
      <c r="X2887" t="s">
        <v>171</v>
      </c>
      <c r="Y2887" s="9">
        <f t="shared" si="136"/>
        <v>5.0000000000000001E-3</v>
      </c>
      <c r="Z2887" t="str">
        <f t="shared" si="137"/>
        <v>สแกนต่าง Cost</v>
      </c>
    </row>
    <row r="2888" spans="1:26" x14ac:dyDescent="0.45">
      <c r="B2888" t="s">
        <v>53</v>
      </c>
      <c r="C2888">
        <v>20332134</v>
      </c>
      <c r="D2888" t="s">
        <v>156</v>
      </c>
      <c r="E2888" s="10">
        <v>46114.333333333336</v>
      </c>
      <c r="F2888" s="10">
        <v>46114.416666666664</v>
      </c>
      <c r="G2888">
        <v>2</v>
      </c>
      <c r="H2888" s="9">
        <f t="shared" si="135"/>
        <v>1.0999999999999999E-2</v>
      </c>
      <c r="I2888">
        <v>1.0999999999999999E-2</v>
      </c>
      <c r="M2888" t="s">
        <v>65</v>
      </c>
      <c r="N2888" t="s">
        <v>29</v>
      </c>
      <c r="P2888" t="s">
        <v>30</v>
      </c>
      <c r="Q2888" t="s">
        <v>31</v>
      </c>
      <c r="R2888">
        <v>82640</v>
      </c>
      <c r="S2888" t="s">
        <v>42</v>
      </c>
      <c r="T2888">
        <v>82630</v>
      </c>
      <c r="U2888" t="s">
        <v>32</v>
      </c>
      <c r="V2888" t="s">
        <v>66</v>
      </c>
      <c r="W2888" t="s">
        <v>44</v>
      </c>
      <c r="X2888" t="s">
        <v>44</v>
      </c>
      <c r="Y2888" s="9">
        <f t="shared" si="136"/>
        <v>0</v>
      </c>
      <c r="Z2888" t="str">
        <f t="shared" si="137"/>
        <v>สแกนต่าง Cost</v>
      </c>
    </row>
    <row r="2889" spans="1:26" x14ac:dyDescent="0.45">
      <c r="A2889">
        <v>25409</v>
      </c>
      <c r="B2889" t="s">
        <v>53</v>
      </c>
      <c r="C2889">
        <v>20339209</v>
      </c>
      <c r="D2889" t="s">
        <v>166</v>
      </c>
      <c r="E2889" s="10">
        <v>46114.333333333336</v>
      </c>
      <c r="F2889" s="10">
        <v>46114.729166666664</v>
      </c>
      <c r="G2889">
        <v>8.5</v>
      </c>
      <c r="H2889" s="9">
        <f t="shared" si="135"/>
        <v>4.4999999999999998E-2</v>
      </c>
      <c r="I2889">
        <v>4.4999999999999998E-2</v>
      </c>
      <c r="M2889" t="s">
        <v>65</v>
      </c>
      <c r="N2889" t="s">
        <v>29</v>
      </c>
      <c r="P2889" t="s">
        <v>30</v>
      </c>
      <c r="Q2889" t="s">
        <v>31</v>
      </c>
      <c r="R2889">
        <v>82308</v>
      </c>
      <c r="S2889" t="s">
        <v>69</v>
      </c>
      <c r="T2889">
        <v>82301</v>
      </c>
      <c r="U2889" t="s">
        <v>79</v>
      </c>
      <c r="V2889" t="s">
        <v>79</v>
      </c>
      <c r="W2889" t="s">
        <v>80</v>
      </c>
      <c r="X2889" t="s">
        <v>81</v>
      </c>
      <c r="Y2889" s="9">
        <f t="shared" si="136"/>
        <v>0</v>
      </c>
      <c r="Z2889" t="str">
        <f t="shared" si="137"/>
        <v>สแกนต่าง Cost</v>
      </c>
    </row>
    <row r="2890" spans="1:26" x14ac:dyDescent="0.45">
      <c r="B2890" t="s">
        <v>53</v>
      </c>
      <c r="C2890">
        <v>20344532</v>
      </c>
      <c r="D2890" t="s">
        <v>186</v>
      </c>
      <c r="E2890" s="10">
        <v>46114.333333333336</v>
      </c>
      <c r="F2890" s="10">
        <v>46114.729166666664</v>
      </c>
      <c r="G2890">
        <v>9.5</v>
      </c>
      <c r="H2890" s="9">
        <f t="shared" si="135"/>
        <v>4.9999999999999996E-2</v>
      </c>
      <c r="I2890">
        <v>4.4999999999999998E-2</v>
      </c>
      <c r="K2890">
        <v>5.0000000000000001E-3</v>
      </c>
      <c r="M2890" t="s">
        <v>28</v>
      </c>
      <c r="N2890" t="s">
        <v>40</v>
      </c>
      <c r="O2890" t="s">
        <v>41</v>
      </c>
      <c r="P2890" t="s">
        <v>30</v>
      </c>
      <c r="Q2890" t="s">
        <v>31</v>
      </c>
      <c r="R2890">
        <v>82630</v>
      </c>
      <c r="S2890" t="s">
        <v>32</v>
      </c>
      <c r="T2890">
        <v>82611</v>
      </c>
      <c r="U2890" t="s">
        <v>43</v>
      </c>
      <c r="V2890" t="s">
        <v>43</v>
      </c>
      <c r="W2890" t="s">
        <v>170</v>
      </c>
      <c r="X2890" t="s">
        <v>171</v>
      </c>
      <c r="Y2890" s="9">
        <f t="shared" si="136"/>
        <v>5.0000000000000001E-3</v>
      </c>
      <c r="Z2890" t="str">
        <f t="shared" si="137"/>
        <v>สแกนต่าง Cost</v>
      </c>
    </row>
    <row r="2891" spans="1:26" x14ac:dyDescent="0.45">
      <c r="B2891" t="s">
        <v>53</v>
      </c>
      <c r="C2891">
        <v>20352276</v>
      </c>
      <c r="D2891" t="s">
        <v>187</v>
      </c>
      <c r="E2891" s="10">
        <v>46114.333333333336</v>
      </c>
      <c r="F2891" s="10">
        <v>46114.729166666664</v>
      </c>
      <c r="G2891">
        <v>8.5</v>
      </c>
      <c r="H2891" s="9">
        <f t="shared" si="135"/>
        <v>4.4999999999999998E-2</v>
      </c>
      <c r="I2891">
        <v>4.4999999999999998E-2</v>
      </c>
      <c r="M2891" t="s">
        <v>65</v>
      </c>
      <c r="N2891" t="s">
        <v>29</v>
      </c>
      <c r="P2891" t="s">
        <v>30</v>
      </c>
      <c r="Q2891" t="s">
        <v>31</v>
      </c>
      <c r="R2891">
        <v>82630</v>
      </c>
      <c r="S2891" t="s">
        <v>32</v>
      </c>
      <c r="T2891">
        <v>82611</v>
      </c>
      <c r="U2891" t="s">
        <v>43</v>
      </c>
      <c r="V2891" t="s">
        <v>43</v>
      </c>
      <c r="W2891" t="s">
        <v>170</v>
      </c>
      <c r="X2891" t="s">
        <v>171</v>
      </c>
      <c r="Y2891" s="9">
        <f t="shared" si="136"/>
        <v>0</v>
      </c>
      <c r="Z2891" t="str">
        <f t="shared" si="137"/>
        <v>สแกนต่าง Cost</v>
      </c>
    </row>
    <row r="2892" spans="1:26" x14ac:dyDescent="0.45">
      <c r="B2892" t="s">
        <v>53</v>
      </c>
      <c r="C2892">
        <v>20368087</v>
      </c>
      <c r="D2892" t="s">
        <v>260</v>
      </c>
      <c r="E2892" s="10">
        <v>46114.333333333336</v>
      </c>
      <c r="F2892" s="10">
        <v>46114.416666666664</v>
      </c>
      <c r="G2892">
        <v>2</v>
      </c>
      <c r="H2892" s="9">
        <f t="shared" si="135"/>
        <v>1.0999999999999999E-2</v>
      </c>
      <c r="I2892">
        <v>1.0999999999999999E-2</v>
      </c>
      <c r="M2892" t="s">
        <v>65</v>
      </c>
      <c r="N2892" t="s">
        <v>29</v>
      </c>
      <c r="P2892" t="s">
        <v>30</v>
      </c>
      <c r="Q2892" t="s">
        <v>31</v>
      </c>
      <c r="R2892">
        <v>82640</v>
      </c>
      <c r="S2892" t="s">
        <v>42</v>
      </c>
      <c r="T2892">
        <v>82630</v>
      </c>
      <c r="U2892" t="s">
        <v>32</v>
      </c>
      <c r="V2892" t="s">
        <v>66</v>
      </c>
      <c r="W2892" t="s">
        <v>44</v>
      </c>
      <c r="X2892" t="s">
        <v>44</v>
      </c>
      <c r="Y2892" s="9">
        <f t="shared" si="136"/>
        <v>0</v>
      </c>
      <c r="Z2892" t="str">
        <f t="shared" si="137"/>
        <v>สแกนต่าง Cost</v>
      </c>
    </row>
    <row r="2893" spans="1:26" x14ac:dyDescent="0.45">
      <c r="A2893">
        <v>25446</v>
      </c>
      <c r="B2893" t="s">
        <v>53</v>
      </c>
      <c r="C2893">
        <v>20030839</v>
      </c>
      <c r="D2893" t="s">
        <v>235</v>
      </c>
      <c r="E2893" s="10">
        <v>46114.332638888889</v>
      </c>
      <c r="F2893" s="10">
        <v>46114.892361111109</v>
      </c>
      <c r="G2893">
        <v>13.433333333333334</v>
      </c>
      <c r="H2893" s="9">
        <f t="shared" si="135"/>
        <v>7.0999999999999994E-2</v>
      </c>
      <c r="I2893">
        <v>4.4999999999999998E-2</v>
      </c>
      <c r="K2893">
        <v>2.5999999999999999E-2</v>
      </c>
      <c r="M2893" t="s">
        <v>28</v>
      </c>
      <c r="N2893" t="s">
        <v>40</v>
      </c>
      <c r="O2893" t="s">
        <v>183</v>
      </c>
      <c r="P2893" t="s">
        <v>30</v>
      </c>
      <c r="Q2893" t="s">
        <v>31</v>
      </c>
      <c r="R2893">
        <v>82658</v>
      </c>
      <c r="S2893" t="s">
        <v>33</v>
      </c>
      <c r="T2893">
        <v>82664</v>
      </c>
      <c r="U2893" t="s">
        <v>75</v>
      </c>
      <c r="V2893" t="s">
        <v>75</v>
      </c>
      <c r="W2893" t="s">
        <v>37</v>
      </c>
      <c r="X2893" t="s">
        <v>111</v>
      </c>
      <c r="Y2893" s="9">
        <f t="shared" si="136"/>
        <v>2.5999999999999999E-2</v>
      </c>
      <c r="Z2893" t="str">
        <f t="shared" si="137"/>
        <v>สแกนต่าง Cost</v>
      </c>
    </row>
    <row r="2894" spans="1:26" x14ac:dyDescent="0.45">
      <c r="A2894">
        <v>25445</v>
      </c>
      <c r="B2894" t="s">
        <v>53</v>
      </c>
      <c r="C2894">
        <v>20162724</v>
      </c>
      <c r="D2894" t="s">
        <v>128</v>
      </c>
      <c r="E2894" s="10">
        <v>46114.332638888889</v>
      </c>
      <c r="F2894" s="10">
        <v>46114.892361111109</v>
      </c>
      <c r="G2894">
        <v>13.433333333333334</v>
      </c>
      <c r="H2894" s="9">
        <f t="shared" si="135"/>
        <v>7.0999999999999994E-2</v>
      </c>
      <c r="I2894">
        <v>4.4999999999999998E-2</v>
      </c>
      <c r="K2894">
        <v>2.5999999999999999E-2</v>
      </c>
      <c r="M2894" t="s">
        <v>28</v>
      </c>
      <c r="N2894" t="s">
        <v>40</v>
      </c>
      <c r="O2894" t="s">
        <v>183</v>
      </c>
      <c r="P2894" t="s">
        <v>30</v>
      </c>
      <c r="Q2894" t="s">
        <v>31</v>
      </c>
      <c r="R2894">
        <v>82658</v>
      </c>
      <c r="S2894" t="s">
        <v>33</v>
      </c>
      <c r="T2894">
        <v>82664</v>
      </c>
      <c r="U2894" t="s">
        <v>75</v>
      </c>
      <c r="V2894" t="s">
        <v>75</v>
      </c>
      <c r="W2894" t="s">
        <v>37</v>
      </c>
      <c r="X2894" t="s">
        <v>111</v>
      </c>
      <c r="Y2894" s="9">
        <f t="shared" si="136"/>
        <v>2.5999999999999999E-2</v>
      </c>
      <c r="Z2894" t="str">
        <f t="shared" si="137"/>
        <v>สแกนต่าง Cost</v>
      </c>
    </row>
    <row r="2895" spans="1:26" x14ac:dyDescent="0.45">
      <c r="A2895">
        <v>25444</v>
      </c>
      <c r="B2895" t="s">
        <v>53</v>
      </c>
      <c r="C2895">
        <v>20344551</v>
      </c>
      <c r="D2895" t="s">
        <v>110</v>
      </c>
      <c r="E2895" s="10">
        <v>46114.332638888889</v>
      </c>
      <c r="F2895" s="10">
        <v>46114.893750000003</v>
      </c>
      <c r="G2895">
        <v>13.466666666666667</v>
      </c>
      <c r="H2895" s="9">
        <f t="shared" si="135"/>
        <v>7.1999999999999995E-2</v>
      </c>
      <c r="I2895">
        <v>4.4999999999999998E-2</v>
      </c>
      <c r="K2895">
        <v>2.7E-2</v>
      </c>
      <c r="M2895" t="s">
        <v>28</v>
      </c>
      <c r="N2895" t="s">
        <v>40</v>
      </c>
      <c r="O2895" t="s">
        <v>190</v>
      </c>
      <c r="P2895" t="s">
        <v>30</v>
      </c>
      <c r="Q2895" t="s">
        <v>31</v>
      </c>
      <c r="R2895">
        <v>82655</v>
      </c>
      <c r="S2895" t="s">
        <v>59</v>
      </c>
      <c r="T2895">
        <v>82664</v>
      </c>
      <c r="U2895" t="s">
        <v>75</v>
      </c>
      <c r="V2895" t="s">
        <v>75</v>
      </c>
      <c r="W2895" t="s">
        <v>37</v>
      </c>
      <c r="X2895" t="s">
        <v>111</v>
      </c>
      <c r="Y2895" s="9">
        <f t="shared" si="136"/>
        <v>2.7E-2</v>
      </c>
      <c r="Z2895" t="str">
        <f t="shared" si="137"/>
        <v>สแกนต่าง Cost</v>
      </c>
    </row>
    <row r="2896" spans="1:26" x14ac:dyDescent="0.45">
      <c r="A2896">
        <v>25442</v>
      </c>
      <c r="B2896" t="s">
        <v>53</v>
      </c>
      <c r="C2896">
        <v>20198835</v>
      </c>
      <c r="D2896" t="s">
        <v>129</v>
      </c>
      <c r="E2896" s="10">
        <v>46114.331250000003</v>
      </c>
      <c r="F2896" s="10">
        <v>46114.831250000003</v>
      </c>
      <c r="G2896">
        <v>12</v>
      </c>
      <c r="H2896" s="9">
        <f t="shared" si="135"/>
        <v>6.4000000000000001E-2</v>
      </c>
      <c r="I2896">
        <v>4.4999999999999998E-2</v>
      </c>
      <c r="K2896">
        <v>1.9E-2</v>
      </c>
      <c r="M2896" t="s">
        <v>28</v>
      </c>
      <c r="N2896" t="s">
        <v>40</v>
      </c>
      <c r="O2896" t="s">
        <v>41</v>
      </c>
      <c r="P2896" t="s">
        <v>30</v>
      </c>
      <c r="Q2896" t="s">
        <v>31</v>
      </c>
      <c r="R2896">
        <v>82658</v>
      </c>
      <c r="S2896" t="s">
        <v>33</v>
      </c>
      <c r="T2896">
        <v>82664</v>
      </c>
      <c r="U2896" t="s">
        <v>75</v>
      </c>
      <c r="V2896" t="s">
        <v>75</v>
      </c>
      <c r="W2896" t="s">
        <v>37</v>
      </c>
      <c r="X2896" t="s">
        <v>111</v>
      </c>
      <c r="Y2896" s="9">
        <f t="shared" si="136"/>
        <v>1.9E-2</v>
      </c>
      <c r="Z2896" t="str">
        <f t="shared" si="137"/>
        <v>สแกนต่าง Cost</v>
      </c>
    </row>
    <row r="2897" spans="1:26" x14ac:dyDescent="0.45">
      <c r="A2897">
        <v>25443</v>
      </c>
      <c r="B2897" t="s">
        <v>53</v>
      </c>
      <c r="C2897">
        <v>20372709</v>
      </c>
      <c r="D2897" t="s">
        <v>130</v>
      </c>
      <c r="E2897" s="10">
        <v>46114.331250000003</v>
      </c>
      <c r="F2897" s="10">
        <v>46114.831250000003</v>
      </c>
      <c r="G2897">
        <v>12</v>
      </c>
      <c r="H2897" s="9">
        <f t="shared" si="135"/>
        <v>6.4000000000000001E-2</v>
      </c>
      <c r="I2897">
        <v>4.4999999999999998E-2</v>
      </c>
      <c r="K2897">
        <v>1.9E-2</v>
      </c>
      <c r="M2897" t="s">
        <v>28</v>
      </c>
      <c r="N2897" t="s">
        <v>40</v>
      </c>
      <c r="O2897" t="s">
        <v>41</v>
      </c>
      <c r="P2897" t="s">
        <v>30</v>
      </c>
      <c r="Q2897" t="s">
        <v>31</v>
      </c>
      <c r="R2897">
        <v>82658</v>
      </c>
      <c r="S2897" t="s">
        <v>33</v>
      </c>
      <c r="T2897">
        <v>82664</v>
      </c>
      <c r="U2897" t="s">
        <v>75</v>
      </c>
      <c r="V2897" t="s">
        <v>75</v>
      </c>
      <c r="W2897" t="s">
        <v>37</v>
      </c>
      <c r="X2897" t="s">
        <v>111</v>
      </c>
      <c r="Y2897" s="9">
        <f t="shared" si="136"/>
        <v>1.9E-2</v>
      </c>
      <c r="Z2897" t="str">
        <f t="shared" si="137"/>
        <v>สแกนต่าง Cost</v>
      </c>
    </row>
    <row r="2898" spans="1:26" x14ac:dyDescent="0.45">
      <c r="A2898">
        <v>25441</v>
      </c>
      <c r="B2898" t="s">
        <v>53</v>
      </c>
      <c r="C2898">
        <v>20267288</v>
      </c>
      <c r="D2898" t="s">
        <v>127</v>
      </c>
      <c r="E2898" s="10">
        <v>46114.32916666667</v>
      </c>
      <c r="F2898" s="10">
        <v>46114.729166666664</v>
      </c>
      <c r="G2898">
        <v>8.6</v>
      </c>
      <c r="H2898" s="9">
        <f t="shared" si="135"/>
        <v>4.5999999999999999E-2</v>
      </c>
      <c r="I2898">
        <v>4.5999999999999999E-2</v>
      </c>
      <c r="M2898" t="s">
        <v>65</v>
      </c>
      <c r="N2898" t="s">
        <v>29</v>
      </c>
      <c r="P2898" t="s">
        <v>30</v>
      </c>
      <c r="Q2898" t="s">
        <v>31</v>
      </c>
      <c r="R2898">
        <v>82409</v>
      </c>
      <c r="S2898" t="s">
        <v>74</v>
      </c>
      <c r="T2898">
        <v>82664</v>
      </c>
      <c r="U2898" t="s">
        <v>75</v>
      </c>
      <c r="V2898" t="s">
        <v>75</v>
      </c>
      <c r="W2898" t="s">
        <v>74</v>
      </c>
      <c r="X2898" t="s">
        <v>74</v>
      </c>
      <c r="Y2898" s="9">
        <f t="shared" si="136"/>
        <v>0</v>
      </c>
      <c r="Z2898" t="str">
        <f t="shared" si="137"/>
        <v>สแกนต่าง Cost</v>
      </c>
    </row>
    <row r="2899" spans="1:26" x14ac:dyDescent="0.45">
      <c r="A2899">
        <v>25406</v>
      </c>
      <c r="B2899" t="s">
        <v>53</v>
      </c>
      <c r="C2899">
        <v>20276269</v>
      </c>
      <c r="D2899" t="s">
        <v>134</v>
      </c>
      <c r="E2899" s="10">
        <v>46114.291666666664</v>
      </c>
      <c r="F2899" s="10">
        <v>46114.6875</v>
      </c>
      <c r="G2899">
        <v>8.5</v>
      </c>
      <c r="H2899" s="9">
        <f t="shared" si="135"/>
        <v>4.4999999999999998E-2</v>
      </c>
      <c r="I2899">
        <v>4.4999999999999998E-2</v>
      </c>
      <c r="M2899" t="s">
        <v>65</v>
      </c>
      <c r="N2899" t="s">
        <v>29</v>
      </c>
      <c r="P2899" t="s">
        <v>30</v>
      </c>
      <c r="Q2899" t="s">
        <v>31</v>
      </c>
      <c r="R2899">
        <v>82308</v>
      </c>
      <c r="S2899" t="s">
        <v>69</v>
      </c>
      <c r="T2899">
        <v>82301</v>
      </c>
      <c r="U2899" t="s">
        <v>79</v>
      </c>
      <c r="V2899" t="s">
        <v>79</v>
      </c>
      <c r="W2899" t="s">
        <v>80</v>
      </c>
      <c r="X2899" t="s">
        <v>135</v>
      </c>
      <c r="Y2899" s="9">
        <f t="shared" si="136"/>
        <v>0</v>
      </c>
      <c r="Z2899" t="str">
        <f t="shared" si="137"/>
        <v>สแกนต่าง Cost</v>
      </c>
    </row>
    <row r="2900" spans="1:26" x14ac:dyDescent="0.45">
      <c r="A2900">
        <v>25440</v>
      </c>
      <c r="B2900" t="s">
        <v>53</v>
      </c>
      <c r="C2900">
        <v>20214280</v>
      </c>
      <c r="D2900" t="s">
        <v>136</v>
      </c>
      <c r="E2900" s="10">
        <v>46114.248611111114</v>
      </c>
      <c r="F2900" s="10">
        <v>46114.729166666664</v>
      </c>
      <c r="G2900">
        <v>11.533333333333333</v>
      </c>
      <c r="H2900" s="9">
        <f t="shared" si="135"/>
        <v>6.0999999999999999E-2</v>
      </c>
      <c r="I2900">
        <v>4.4999999999999998E-2</v>
      </c>
      <c r="K2900">
        <v>1.6E-2</v>
      </c>
      <c r="M2900" t="s">
        <v>28</v>
      </c>
      <c r="N2900" t="s">
        <v>40</v>
      </c>
      <c r="O2900" t="s">
        <v>41</v>
      </c>
      <c r="P2900" t="s">
        <v>30</v>
      </c>
      <c r="Q2900" t="s">
        <v>31</v>
      </c>
      <c r="R2900">
        <v>82415</v>
      </c>
      <c r="S2900" t="s">
        <v>137</v>
      </c>
      <c r="T2900">
        <v>82664</v>
      </c>
      <c r="U2900" t="s">
        <v>75</v>
      </c>
      <c r="V2900" t="s">
        <v>75</v>
      </c>
      <c r="W2900" t="s">
        <v>74</v>
      </c>
      <c r="X2900" t="s">
        <v>74</v>
      </c>
      <c r="Y2900" s="9">
        <f t="shared" si="136"/>
        <v>1.6E-2</v>
      </c>
      <c r="Z2900" t="str">
        <f t="shared" si="137"/>
        <v>สแกนต่าง Cost</v>
      </c>
    </row>
    <row r="2901" spans="1:26" x14ac:dyDescent="0.45">
      <c r="B2901" t="s">
        <v>53</v>
      </c>
      <c r="C2901">
        <v>20310532</v>
      </c>
      <c r="D2901" t="s">
        <v>61</v>
      </c>
      <c r="E2901" s="10">
        <v>46114.041666666664</v>
      </c>
      <c r="F2901" s="10">
        <v>46114.229166666664</v>
      </c>
      <c r="G2901">
        <v>4.5</v>
      </c>
      <c r="H2901" s="9">
        <f t="shared" si="135"/>
        <v>2.4E-2</v>
      </c>
      <c r="K2901">
        <v>2.4E-2</v>
      </c>
      <c r="M2901" t="s">
        <v>28</v>
      </c>
      <c r="N2901" t="s">
        <v>29</v>
      </c>
      <c r="P2901" t="s">
        <v>30</v>
      </c>
      <c r="Q2901" t="s">
        <v>31</v>
      </c>
      <c r="R2901">
        <v>82640</v>
      </c>
      <c r="S2901" t="s">
        <v>42</v>
      </c>
      <c r="T2901">
        <v>82630</v>
      </c>
      <c r="U2901" t="s">
        <v>32</v>
      </c>
      <c r="V2901" t="s">
        <v>66</v>
      </c>
      <c r="W2901" t="s">
        <v>44</v>
      </c>
      <c r="X2901" t="s">
        <v>44</v>
      </c>
      <c r="Y2901" s="9">
        <f t="shared" si="136"/>
        <v>2.4E-2</v>
      </c>
      <c r="Z2901" t="str">
        <f t="shared" si="137"/>
        <v>สแกนต่าง Cost</v>
      </c>
    </row>
    <row r="2902" spans="1:26" x14ac:dyDescent="0.45">
      <c r="A2902">
        <v>25743</v>
      </c>
      <c r="B2902" t="s">
        <v>53</v>
      </c>
      <c r="C2902">
        <v>20319542</v>
      </c>
      <c r="D2902" t="s">
        <v>379</v>
      </c>
      <c r="E2902" s="10">
        <v>46113.844444444447</v>
      </c>
      <c r="F2902" s="10">
        <v>46114.222222222219</v>
      </c>
      <c r="G2902">
        <v>8.0666666666666664</v>
      </c>
      <c r="H2902" s="9">
        <f t="shared" si="135"/>
        <v>4.2999999999999997E-2</v>
      </c>
      <c r="J2902">
        <v>4.2999999999999997E-2</v>
      </c>
      <c r="M2902" t="s">
        <v>77</v>
      </c>
      <c r="N2902" t="s">
        <v>40</v>
      </c>
      <c r="O2902" t="s">
        <v>78</v>
      </c>
      <c r="P2902" t="s">
        <v>30</v>
      </c>
      <c r="Q2902" t="s">
        <v>31</v>
      </c>
      <c r="R2902">
        <v>82630</v>
      </c>
      <c r="S2902" t="s">
        <v>32</v>
      </c>
      <c r="T2902">
        <v>82658</v>
      </c>
      <c r="U2902" t="s">
        <v>33</v>
      </c>
      <c r="V2902" t="s">
        <v>33</v>
      </c>
      <c r="W2902" t="s">
        <v>34</v>
      </c>
      <c r="X2902" t="s">
        <v>34</v>
      </c>
      <c r="Y2902" s="9">
        <f t="shared" si="136"/>
        <v>4.2999999999999997E-2</v>
      </c>
      <c r="Z2902" t="str">
        <f t="shared" si="137"/>
        <v>สแกนต่าง Cost</v>
      </c>
    </row>
    <row r="2903" spans="1:26" x14ac:dyDescent="0.45">
      <c r="A2903">
        <v>25745</v>
      </c>
      <c r="B2903" t="s">
        <v>53</v>
      </c>
      <c r="C2903">
        <v>20344532</v>
      </c>
      <c r="D2903" t="s">
        <v>186</v>
      </c>
      <c r="E2903" s="10">
        <v>46113.844444444447</v>
      </c>
      <c r="F2903" s="10">
        <v>46114.32708333333</v>
      </c>
      <c r="G2903">
        <v>11.583333333333334</v>
      </c>
      <c r="H2903" s="9">
        <f t="shared" si="135"/>
        <v>6.0999999999999999E-2</v>
      </c>
      <c r="I2903">
        <v>4.4999999999999998E-2</v>
      </c>
      <c r="K2903">
        <v>1.6E-2</v>
      </c>
      <c r="M2903" t="s">
        <v>28</v>
      </c>
      <c r="N2903" t="s">
        <v>40</v>
      </c>
      <c r="O2903" t="s">
        <v>41</v>
      </c>
      <c r="P2903" t="s">
        <v>30</v>
      </c>
      <c r="Q2903" t="s">
        <v>31</v>
      </c>
      <c r="R2903">
        <v>82630</v>
      </c>
      <c r="S2903" t="s">
        <v>32</v>
      </c>
      <c r="T2903">
        <v>82658</v>
      </c>
      <c r="U2903" t="s">
        <v>33</v>
      </c>
      <c r="V2903" t="s">
        <v>33</v>
      </c>
      <c r="W2903" t="s">
        <v>34</v>
      </c>
      <c r="X2903" t="s">
        <v>34</v>
      </c>
      <c r="Y2903" s="9">
        <f t="shared" si="136"/>
        <v>1.6E-2</v>
      </c>
      <c r="Z2903" t="str">
        <f t="shared" si="137"/>
        <v>สแกนต่าง Cost</v>
      </c>
    </row>
    <row r="2904" spans="1:26" x14ac:dyDescent="0.45">
      <c r="B2904" t="s">
        <v>53</v>
      </c>
      <c r="C2904">
        <v>20310532</v>
      </c>
      <c r="D2904" t="s">
        <v>61</v>
      </c>
      <c r="E2904" s="10">
        <v>46113.833333333336</v>
      </c>
      <c r="F2904" s="10">
        <v>46114</v>
      </c>
      <c r="G2904">
        <v>4</v>
      </c>
      <c r="H2904" s="9">
        <f t="shared" si="135"/>
        <v>2.1000000000000001E-2</v>
      </c>
      <c r="I2904">
        <v>2.1000000000000001E-2</v>
      </c>
      <c r="M2904" t="s">
        <v>65</v>
      </c>
      <c r="N2904" t="s">
        <v>29</v>
      </c>
      <c r="P2904" t="s">
        <v>30</v>
      </c>
      <c r="Q2904" t="s">
        <v>31</v>
      </c>
      <c r="R2904">
        <v>82640</v>
      </c>
      <c r="S2904" t="s">
        <v>42</v>
      </c>
      <c r="T2904">
        <v>82630</v>
      </c>
      <c r="U2904" t="s">
        <v>32</v>
      </c>
      <c r="V2904" t="s">
        <v>66</v>
      </c>
      <c r="W2904" t="s">
        <v>44</v>
      </c>
      <c r="X2904" t="s">
        <v>44</v>
      </c>
      <c r="Y2904" s="9">
        <f t="shared" si="136"/>
        <v>0</v>
      </c>
      <c r="Z2904" t="str">
        <f t="shared" si="137"/>
        <v>สแกนต่าง Cost</v>
      </c>
    </row>
    <row r="2905" spans="1:26" x14ac:dyDescent="0.45">
      <c r="A2905">
        <v>25737</v>
      </c>
      <c r="B2905" t="s">
        <v>53</v>
      </c>
      <c r="C2905">
        <v>20039177</v>
      </c>
      <c r="D2905" t="s">
        <v>188</v>
      </c>
      <c r="E2905" s="10">
        <v>46113.744444444441</v>
      </c>
      <c r="F2905" s="10">
        <v>46113.832638888889</v>
      </c>
      <c r="G2905">
        <v>2.1166666666666667</v>
      </c>
      <c r="H2905" s="9">
        <f t="shared" si="135"/>
        <v>1.0999999999999999E-2</v>
      </c>
      <c r="K2905">
        <v>1.0999999999999999E-2</v>
      </c>
      <c r="M2905" t="s">
        <v>28</v>
      </c>
      <c r="N2905" t="s">
        <v>40</v>
      </c>
      <c r="O2905" t="s">
        <v>41</v>
      </c>
      <c r="P2905" t="s">
        <v>30</v>
      </c>
      <c r="Q2905" t="s">
        <v>31</v>
      </c>
      <c r="R2905">
        <v>82655</v>
      </c>
      <c r="S2905" t="s">
        <v>59</v>
      </c>
      <c r="T2905">
        <v>82658</v>
      </c>
      <c r="U2905" t="s">
        <v>33</v>
      </c>
      <c r="V2905" t="s">
        <v>33</v>
      </c>
      <c r="W2905" t="s">
        <v>37</v>
      </c>
      <c r="X2905" t="s">
        <v>38</v>
      </c>
      <c r="Y2905" s="9">
        <f t="shared" si="136"/>
        <v>1.0999999999999999E-2</v>
      </c>
      <c r="Z2905" t="str">
        <f t="shared" si="137"/>
        <v>สแกนต่าง Cost</v>
      </c>
    </row>
    <row r="2906" spans="1:26" x14ac:dyDescent="0.45">
      <c r="A2906">
        <v>27165</v>
      </c>
      <c r="B2906" t="s">
        <v>53</v>
      </c>
      <c r="C2906">
        <v>20280718</v>
      </c>
      <c r="D2906" t="s">
        <v>256</v>
      </c>
      <c r="E2906" s="10">
        <v>46113.742361111108</v>
      </c>
      <c r="F2906" s="10">
        <v>46113.82916666667</v>
      </c>
      <c r="G2906">
        <v>2.0833333333333335</v>
      </c>
      <c r="H2906" s="9">
        <f t="shared" si="135"/>
        <v>1.0999999999999999E-2</v>
      </c>
      <c r="K2906">
        <v>1.0999999999999999E-2</v>
      </c>
      <c r="M2906" t="s">
        <v>28</v>
      </c>
      <c r="N2906" t="s">
        <v>40</v>
      </c>
      <c r="O2906" t="s">
        <v>41</v>
      </c>
      <c r="P2906" t="s">
        <v>30</v>
      </c>
      <c r="Q2906" t="s">
        <v>31</v>
      </c>
      <c r="R2906">
        <v>82640</v>
      </c>
      <c r="S2906" t="s">
        <v>42</v>
      </c>
      <c r="T2906">
        <v>82611</v>
      </c>
      <c r="U2906" t="s">
        <v>43</v>
      </c>
      <c r="V2906" t="s">
        <v>43</v>
      </c>
      <c r="W2906" t="s">
        <v>42</v>
      </c>
      <c r="X2906" t="s">
        <v>38</v>
      </c>
      <c r="Y2906" s="9">
        <f t="shared" si="136"/>
        <v>1.0999999999999999E-2</v>
      </c>
      <c r="Z2906" t="str">
        <f t="shared" si="137"/>
        <v>สแกนต่าง Cost</v>
      </c>
    </row>
    <row r="2907" spans="1:26" x14ac:dyDescent="0.45">
      <c r="A2907">
        <v>27164</v>
      </c>
      <c r="B2907" t="s">
        <v>53</v>
      </c>
      <c r="C2907">
        <v>20280722</v>
      </c>
      <c r="D2907" t="s">
        <v>342</v>
      </c>
      <c r="E2907" s="10">
        <v>46113.742361111108</v>
      </c>
      <c r="F2907" s="10">
        <v>46113.82916666667</v>
      </c>
      <c r="G2907">
        <v>2.0833333333333335</v>
      </c>
      <c r="H2907" s="9">
        <f t="shared" si="135"/>
        <v>1.0999999999999999E-2</v>
      </c>
      <c r="K2907">
        <v>1.0999999999999999E-2</v>
      </c>
      <c r="M2907" t="s">
        <v>28</v>
      </c>
      <c r="N2907" t="s">
        <v>40</v>
      </c>
      <c r="O2907" t="s">
        <v>41</v>
      </c>
      <c r="P2907" t="s">
        <v>30</v>
      </c>
      <c r="Q2907" t="s">
        <v>31</v>
      </c>
      <c r="R2907">
        <v>82640</v>
      </c>
      <c r="S2907" t="s">
        <v>42</v>
      </c>
      <c r="T2907">
        <v>82611</v>
      </c>
      <c r="U2907" t="s">
        <v>43</v>
      </c>
      <c r="V2907" t="s">
        <v>43</v>
      </c>
      <c r="W2907" t="s">
        <v>42</v>
      </c>
      <c r="X2907" t="s">
        <v>38</v>
      </c>
      <c r="Y2907" s="9">
        <f t="shared" si="136"/>
        <v>1.0999999999999999E-2</v>
      </c>
      <c r="Z2907" t="str">
        <f t="shared" si="137"/>
        <v>สแกนต่าง Cost</v>
      </c>
    </row>
    <row r="2908" spans="1:26" x14ac:dyDescent="0.45">
      <c r="A2908">
        <v>27163</v>
      </c>
      <c r="B2908" t="s">
        <v>53</v>
      </c>
      <c r="C2908">
        <v>20310530</v>
      </c>
      <c r="D2908" t="s">
        <v>220</v>
      </c>
      <c r="E2908" s="10">
        <v>46113.740277777775</v>
      </c>
      <c r="F2908" s="10">
        <v>46113.82916666667</v>
      </c>
      <c r="G2908">
        <v>2.1333333333333333</v>
      </c>
      <c r="H2908" s="9">
        <f t="shared" si="135"/>
        <v>1.0999999999999999E-2</v>
      </c>
      <c r="K2908">
        <v>1.0999999999999999E-2</v>
      </c>
      <c r="M2908" t="s">
        <v>28</v>
      </c>
      <c r="N2908" t="s">
        <v>40</v>
      </c>
      <c r="O2908" t="s">
        <v>41</v>
      </c>
      <c r="P2908" t="s">
        <v>30</v>
      </c>
      <c r="Q2908" t="s">
        <v>31</v>
      </c>
      <c r="R2908">
        <v>82640</v>
      </c>
      <c r="S2908" t="s">
        <v>42</v>
      </c>
      <c r="T2908">
        <v>82611</v>
      </c>
      <c r="U2908" t="s">
        <v>43</v>
      </c>
      <c r="V2908" t="s">
        <v>43</v>
      </c>
      <c r="W2908" t="s">
        <v>42</v>
      </c>
      <c r="X2908" t="s">
        <v>38</v>
      </c>
      <c r="Y2908" s="9">
        <f t="shared" si="136"/>
        <v>1.0999999999999999E-2</v>
      </c>
      <c r="Z2908" t="str">
        <f t="shared" si="137"/>
        <v>สแกนต่าง Cost</v>
      </c>
    </row>
    <row r="2909" spans="1:26" x14ac:dyDescent="0.45">
      <c r="A2909">
        <v>27162</v>
      </c>
      <c r="B2909" t="s">
        <v>53</v>
      </c>
      <c r="C2909">
        <v>20340657</v>
      </c>
      <c r="D2909" t="s">
        <v>221</v>
      </c>
      <c r="E2909" s="10">
        <v>46113.740277777775</v>
      </c>
      <c r="F2909" s="10">
        <v>46113.82916666667</v>
      </c>
      <c r="G2909">
        <v>2.1333333333333333</v>
      </c>
      <c r="H2909" s="9">
        <f t="shared" si="135"/>
        <v>1.0999999999999999E-2</v>
      </c>
      <c r="K2909">
        <v>1.0999999999999999E-2</v>
      </c>
      <c r="M2909" t="s">
        <v>28</v>
      </c>
      <c r="N2909" t="s">
        <v>40</v>
      </c>
      <c r="O2909" t="s">
        <v>41</v>
      </c>
      <c r="P2909" t="s">
        <v>30</v>
      </c>
      <c r="Q2909" t="s">
        <v>31</v>
      </c>
      <c r="R2909">
        <v>82640</v>
      </c>
      <c r="S2909" t="s">
        <v>42</v>
      </c>
      <c r="T2909">
        <v>82611</v>
      </c>
      <c r="U2909" t="s">
        <v>43</v>
      </c>
      <c r="V2909" t="s">
        <v>43</v>
      </c>
      <c r="W2909" t="s">
        <v>42</v>
      </c>
      <c r="X2909" t="s">
        <v>38</v>
      </c>
      <c r="Y2909" s="9">
        <f t="shared" si="136"/>
        <v>1.0999999999999999E-2</v>
      </c>
      <c r="Z2909" t="str">
        <f t="shared" si="137"/>
        <v>สแกนต่าง Cost</v>
      </c>
    </row>
    <row r="2910" spans="1:26" x14ac:dyDescent="0.45">
      <c r="A2910">
        <v>27161</v>
      </c>
      <c r="B2910" t="s">
        <v>53</v>
      </c>
      <c r="C2910">
        <v>20054825</v>
      </c>
      <c r="D2910" t="s">
        <v>215</v>
      </c>
      <c r="E2910" s="10">
        <v>46113.739583333336</v>
      </c>
      <c r="F2910" s="10">
        <v>46113.829861111109</v>
      </c>
      <c r="G2910">
        <v>2.1666666666666665</v>
      </c>
      <c r="H2910" s="9">
        <f t="shared" si="135"/>
        <v>1.2E-2</v>
      </c>
      <c r="K2910">
        <v>1.2E-2</v>
      </c>
      <c r="M2910" t="s">
        <v>28</v>
      </c>
      <c r="N2910" t="s">
        <v>40</v>
      </c>
      <c r="O2910" t="s">
        <v>41</v>
      </c>
      <c r="P2910" t="s">
        <v>30</v>
      </c>
      <c r="Q2910" t="s">
        <v>31</v>
      </c>
      <c r="R2910">
        <v>82640</v>
      </c>
      <c r="S2910" t="s">
        <v>42</v>
      </c>
      <c r="T2910">
        <v>82611</v>
      </c>
      <c r="U2910" t="s">
        <v>43</v>
      </c>
      <c r="V2910" t="s">
        <v>43</v>
      </c>
      <c r="W2910" t="s">
        <v>42</v>
      </c>
      <c r="X2910" t="s">
        <v>38</v>
      </c>
      <c r="Y2910" s="9">
        <f t="shared" si="136"/>
        <v>1.2E-2</v>
      </c>
      <c r="Z2910" t="str">
        <f t="shared" si="137"/>
        <v>สแกนต่าง Cost</v>
      </c>
    </row>
    <row r="2911" spans="1:26" x14ac:dyDescent="0.45">
      <c r="A2911">
        <v>27160</v>
      </c>
      <c r="B2911" t="s">
        <v>53</v>
      </c>
      <c r="C2911">
        <v>20198828</v>
      </c>
      <c r="D2911" t="s">
        <v>388</v>
      </c>
      <c r="E2911" s="10">
        <v>46113.739583333336</v>
      </c>
      <c r="F2911" s="10">
        <v>46113.82708333333</v>
      </c>
      <c r="G2911">
        <v>2.1</v>
      </c>
      <c r="H2911" s="9">
        <f t="shared" si="135"/>
        <v>1.0999999999999999E-2</v>
      </c>
      <c r="K2911">
        <v>1.0999999999999999E-2</v>
      </c>
      <c r="M2911" t="s">
        <v>28</v>
      </c>
      <c r="N2911" t="s">
        <v>40</v>
      </c>
      <c r="O2911" t="s">
        <v>41</v>
      </c>
      <c r="P2911" t="s">
        <v>30</v>
      </c>
      <c r="Q2911" t="s">
        <v>31</v>
      </c>
      <c r="R2911">
        <v>82640</v>
      </c>
      <c r="S2911" t="s">
        <v>42</v>
      </c>
      <c r="T2911">
        <v>82611</v>
      </c>
      <c r="U2911" t="s">
        <v>43</v>
      </c>
      <c r="V2911" t="s">
        <v>43</v>
      </c>
      <c r="W2911" t="s">
        <v>42</v>
      </c>
      <c r="X2911" t="s">
        <v>34</v>
      </c>
      <c r="Y2911" s="9">
        <f t="shared" si="136"/>
        <v>1.0999999999999999E-2</v>
      </c>
      <c r="Z2911" t="str">
        <f t="shared" si="137"/>
        <v>สแกนต่าง Cost</v>
      </c>
    </row>
    <row r="2912" spans="1:26" x14ac:dyDescent="0.45">
      <c r="A2912">
        <v>27159</v>
      </c>
      <c r="B2912" t="s">
        <v>53</v>
      </c>
      <c r="C2912">
        <v>20054824</v>
      </c>
      <c r="D2912" t="s">
        <v>385</v>
      </c>
      <c r="E2912" s="10">
        <v>46113.738888888889</v>
      </c>
      <c r="F2912" s="10">
        <v>46113.82916666667</v>
      </c>
      <c r="G2912">
        <v>2.1666666666666665</v>
      </c>
      <c r="H2912" s="9">
        <f t="shared" si="135"/>
        <v>1.2E-2</v>
      </c>
      <c r="K2912">
        <v>1.2E-2</v>
      </c>
      <c r="M2912" t="s">
        <v>28</v>
      </c>
      <c r="N2912" t="s">
        <v>40</v>
      </c>
      <c r="O2912" t="s">
        <v>41</v>
      </c>
      <c r="P2912" t="s">
        <v>30</v>
      </c>
      <c r="Q2912" t="s">
        <v>31</v>
      </c>
      <c r="R2912">
        <v>82640</v>
      </c>
      <c r="S2912" t="s">
        <v>42</v>
      </c>
      <c r="T2912">
        <v>82611</v>
      </c>
      <c r="U2912" t="s">
        <v>43</v>
      </c>
      <c r="V2912" t="s">
        <v>43</v>
      </c>
      <c r="W2912" t="s">
        <v>42</v>
      </c>
      <c r="X2912" t="s">
        <v>38</v>
      </c>
      <c r="Y2912" s="9">
        <f t="shared" si="136"/>
        <v>1.2E-2</v>
      </c>
      <c r="Z2912" t="str">
        <f t="shared" si="137"/>
        <v>สแกนต่าง Cost</v>
      </c>
    </row>
    <row r="2913" spans="1:26" x14ac:dyDescent="0.45">
      <c r="A2913">
        <v>27158</v>
      </c>
      <c r="B2913" t="s">
        <v>53</v>
      </c>
      <c r="C2913">
        <v>20050681</v>
      </c>
      <c r="D2913" t="s">
        <v>415</v>
      </c>
      <c r="E2913" s="10">
        <v>46113.738194444442</v>
      </c>
      <c r="F2913" s="10">
        <v>46113.82916666667</v>
      </c>
      <c r="G2913">
        <v>2.1833333333333331</v>
      </c>
      <c r="H2913" s="9">
        <f t="shared" si="135"/>
        <v>1.2E-2</v>
      </c>
      <c r="K2913">
        <v>1.2E-2</v>
      </c>
      <c r="M2913" t="s">
        <v>28</v>
      </c>
      <c r="N2913" t="s">
        <v>40</v>
      </c>
      <c r="O2913" t="s">
        <v>41</v>
      </c>
      <c r="P2913" t="s">
        <v>30</v>
      </c>
      <c r="Q2913" t="s">
        <v>31</v>
      </c>
      <c r="R2913">
        <v>82640</v>
      </c>
      <c r="S2913" t="s">
        <v>42</v>
      </c>
      <c r="T2913">
        <v>82611</v>
      </c>
      <c r="U2913" t="s">
        <v>43</v>
      </c>
      <c r="V2913" t="s">
        <v>43</v>
      </c>
      <c r="W2913" t="s">
        <v>42</v>
      </c>
      <c r="X2913" t="s">
        <v>38</v>
      </c>
      <c r="Y2913" s="9">
        <f t="shared" si="136"/>
        <v>1.2E-2</v>
      </c>
      <c r="Z2913" t="str">
        <f t="shared" si="137"/>
        <v>สแกนต่าง Cost</v>
      </c>
    </row>
    <row r="2914" spans="1:26" x14ac:dyDescent="0.45">
      <c r="A2914">
        <v>27156</v>
      </c>
      <c r="B2914" t="s">
        <v>53</v>
      </c>
      <c r="C2914">
        <v>20153440</v>
      </c>
      <c r="D2914" t="s">
        <v>222</v>
      </c>
      <c r="E2914" s="10">
        <v>46113.738194444442</v>
      </c>
      <c r="F2914" s="10">
        <v>46113.82916666667</v>
      </c>
      <c r="G2914">
        <v>2.1833333333333331</v>
      </c>
      <c r="H2914" s="9">
        <f t="shared" si="135"/>
        <v>1.2E-2</v>
      </c>
      <c r="K2914">
        <v>1.2E-2</v>
      </c>
      <c r="M2914" t="s">
        <v>28</v>
      </c>
      <c r="N2914" t="s">
        <v>40</v>
      </c>
      <c r="O2914" t="s">
        <v>41</v>
      </c>
      <c r="P2914" t="s">
        <v>30</v>
      </c>
      <c r="Q2914" t="s">
        <v>31</v>
      </c>
      <c r="R2914">
        <v>82640</v>
      </c>
      <c r="S2914" t="s">
        <v>42</v>
      </c>
      <c r="T2914">
        <v>82611</v>
      </c>
      <c r="U2914" t="s">
        <v>43</v>
      </c>
      <c r="V2914" t="s">
        <v>43</v>
      </c>
      <c r="W2914" t="s">
        <v>42</v>
      </c>
      <c r="X2914" t="s">
        <v>38</v>
      </c>
      <c r="Y2914" s="9">
        <f t="shared" si="136"/>
        <v>1.2E-2</v>
      </c>
      <c r="Z2914" t="str">
        <f t="shared" si="137"/>
        <v>สแกนต่าง Cost</v>
      </c>
    </row>
    <row r="2915" spans="1:26" x14ac:dyDescent="0.45">
      <c r="A2915">
        <v>27157</v>
      </c>
      <c r="B2915" t="s">
        <v>53</v>
      </c>
      <c r="C2915">
        <v>20198853</v>
      </c>
      <c r="D2915" t="s">
        <v>213</v>
      </c>
      <c r="E2915" s="10">
        <v>46113.738194444442</v>
      </c>
      <c r="F2915" s="10">
        <v>46113.829861111109</v>
      </c>
      <c r="G2915">
        <v>2.2000000000000002</v>
      </c>
      <c r="H2915" s="9">
        <f t="shared" si="135"/>
        <v>1.2E-2</v>
      </c>
      <c r="K2915">
        <v>1.2E-2</v>
      </c>
      <c r="M2915" t="s">
        <v>28</v>
      </c>
      <c r="N2915" t="s">
        <v>40</v>
      </c>
      <c r="O2915" t="s">
        <v>41</v>
      </c>
      <c r="P2915" t="s">
        <v>30</v>
      </c>
      <c r="Q2915" t="s">
        <v>31</v>
      </c>
      <c r="R2915">
        <v>82640</v>
      </c>
      <c r="S2915" t="s">
        <v>42</v>
      </c>
      <c r="T2915">
        <v>82611</v>
      </c>
      <c r="U2915" t="s">
        <v>43</v>
      </c>
      <c r="V2915" t="s">
        <v>43</v>
      </c>
      <c r="W2915" t="s">
        <v>42</v>
      </c>
      <c r="X2915" t="s">
        <v>38</v>
      </c>
      <c r="Y2915" s="9">
        <f t="shared" si="136"/>
        <v>1.2E-2</v>
      </c>
      <c r="Z2915" t="str">
        <f t="shared" si="137"/>
        <v>สแกนต่าง Cost</v>
      </c>
    </row>
    <row r="2916" spans="1:26" x14ac:dyDescent="0.45">
      <c r="A2916">
        <v>27154</v>
      </c>
      <c r="B2916" t="s">
        <v>53</v>
      </c>
      <c r="C2916">
        <v>20033843</v>
      </c>
      <c r="D2916" t="s">
        <v>416</v>
      </c>
      <c r="E2916" s="10">
        <v>46113.736111111109</v>
      </c>
      <c r="F2916" s="10">
        <v>46113.828472222223</v>
      </c>
      <c r="G2916">
        <v>2.2166666666666668</v>
      </c>
      <c r="H2916" s="9">
        <f t="shared" si="135"/>
        <v>1.2E-2</v>
      </c>
      <c r="K2916">
        <v>1.2E-2</v>
      </c>
      <c r="M2916" t="s">
        <v>28</v>
      </c>
      <c r="N2916" t="s">
        <v>40</v>
      </c>
      <c r="O2916" t="s">
        <v>41</v>
      </c>
      <c r="P2916" t="s">
        <v>30</v>
      </c>
      <c r="Q2916" t="s">
        <v>31</v>
      </c>
      <c r="R2916">
        <v>82640</v>
      </c>
      <c r="S2916" t="s">
        <v>42</v>
      </c>
      <c r="T2916">
        <v>82611</v>
      </c>
      <c r="U2916" t="s">
        <v>43</v>
      </c>
      <c r="V2916" t="s">
        <v>43</v>
      </c>
      <c r="W2916" t="s">
        <v>42</v>
      </c>
      <c r="X2916" t="s">
        <v>38</v>
      </c>
      <c r="Y2916" s="9">
        <f t="shared" si="136"/>
        <v>1.2E-2</v>
      </c>
      <c r="Z2916" t="str">
        <f t="shared" si="137"/>
        <v>สแกนต่าง Cost</v>
      </c>
    </row>
    <row r="2917" spans="1:26" x14ac:dyDescent="0.45">
      <c r="A2917">
        <v>25736</v>
      </c>
      <c r="B2917" t="s">
        <v>53</v>
      </c>
      <c r="C2917">
        <v>20038749</v>
      </c>
      <c r="D2917" t="s">
        <v>218</v>
      </c>
      <c r="E2917" s="10">
        <v>46113.729166666664</v>
      </c>
      <c r="F2917" s="10">
        <v>46113.826388888891</v>
      </c>
      <c r="G2917">
        <v>2.3333333333333335</v>
      </c>
      <c r="H2917" s="9">
        <f t="shared" si="135"/>
        <v>1.2E-2</v>
      </c>
      <c r="K2917">
        <v>1.2E-2</v>
      </c>
      <c r="M2917" t="s">
        <v>28</v>
      </c>
      <c r="N2917" t="s">
        <v>40</v>
      </c>
      <c r="O2917" t="s">
        <v>41</v>
      </c>
      <c r="P2917" t="s">
        <v>30</v>
      </c>
      <c r="Q2917" t="s">
        <v>31</v>
      </c>
      <c r="R2917">
        <v>82680</v>
      </c>
      <c r="S2917" t="s">
        <v>50</v>
      </c>
      <c r="T2917">
        <v>82658</v>
      </c>
      <c r="U2917" t="s">
        <v>33</v>
      </c>
      <c r="V2917" t="s">
        <v>33</v>
      </c>
      <c r="W2917" t="s">
        <v>34</v>
      </c>
      <c r="X2917" t="s">
        <v>34</v>
      </c>
      <c r="Y2917" s="9">
        <f t="shared" si="136"/>
        <v>1.2E-2</v>
      </c>
      <c r="Z2917" t="str">
        <f t="shared" si="137"/>
        <v>สแกนต่าง Cost</v>
      </c>
    </row>
    <row r="2918" spans="1:26" x14ac:dyDescent="0.45">
      <c r="A2918">
        <v>25596</v>
      </c>
      <c r="B2918" t="s">
        <v>53</v>
      </c>
      <c r="C2918">
        <v>20047023</v>
      </c>
      <c r="D2918" t="s">
        <v>271</v>
      </c>
      <c r="E2918" s="10">
        <v>46113.729166666664</v>
      </c>
      <c r="F2918" s="10">
        <v>46113.833333333336</v>
      </c>
      <c r="G2918">
        <v>2.5</v>
      </c>
      <c r="H2918" s="9">
        <f t="shared" si="135"/>
        <v>1.2999999999999999E-2</v>
      </c>
      <c r="I2918">
        <v>1.2999999999999999E-2</v>
      </c>
      <c r="M2918" t="s">
        <v>28</v>
      </c>
      <c r="N2918" t="s">
        <v>40</v>
      </c>
      <c r="O2918" t="s">
        <v>41</v>
      </c>
      <c r="P2918" t="s">
        <v>30</v>
      </c>
      <c r="Q2918" t="s">
        <v>31</v>
      </c>
      <c r="R2918">
        <v>82607</v>
      </c>
      <c r="S2918" t="s">
        <v>168</v>
      </c>
      <c r="T2918">
        <v>82622</v>
      </c>
      <c r="U2918" t="s">
        <v>147</v>
      </c>
      <c r="V2918" t="s">
        <v>147</v>
      </c>
      <c r="W2918" t="s">
        <v>417</v>
      </c>
      <c r="X2918" t="s">
        <v>34</v>
      </c>
      <c r="Y2918" s="9">
        <f t="shared" si="136"/>
        <v>0</v>
      </c>
      <c r="Z2918" t="str">
        <f t="shared" si="137"/>
        <v>สแกนต่าง Cost</v>
      </c>
    </row>
    <row r="2919" spans="1:26" x14ac:dyDescent="0.45">
      <c r="A2919">
        <v>25732</v>
      </c>
      <c r="B2919" t="s">
        <v>53</v>
      </c>
      <c r="C2919">
        <v>20233956</v>
      </c>
      <c r="D2919" t="s">
        <v>219</v>
      </c>
      <c r="E2919" s="10">
        <v>46113.729166666664</v>
      </c>
      <c r="F2919" s="10">
        <v>46113.826388888891</v>
      </c>
      <c r="G2919">
        <v>2.3333333333333335</v>
      </c>
      <c r="H2919" s="9">
        <f t="shared" si="135"/>
        <v>1.2E-2</v>
      </c>
      <c r="K2919">
        <v>1.2E-2</v>
      </c>
      <c r="M2919" t="s">
        <v>28</v>
      </c>
      <c r="N2919" t="s">
        <v>40</v>
      </c>
      <c r="O2919" t="s">
        <v>41</v>
      </c>
      <c r="P2919" t="s">
        <v>30</v>
      </c>
      <c r="Q2919" t="s">
        <v>31</v>
      </c>
      <c r="R2919">
        <v>82680</v>
      </c>
      <c r="S2919" t="s">
        <v>50</v>
      </c>
      <c r="T2919">
        <v>82658</v>
      </c>
      <c r="U2919" t="s">
        <v>33</v>
      </c>
      <c r="V2919" t="s">
        <v>33</v>
      </c>
      <c r="W2919" t="s">
        <v>34</v>
      </c>
      <c r="X2919" t="s">
        <v>34</v>
      </c>
      <c r="Y2919" s="9">
        <f t="shared" si="136"/>
        <v>1.2E-2</v>
      </c>
      <c r="Z2919" t="str">
        <f t="shared" si="137"/>
        <v>สแกนต่าง Cost</v>
      </c>
    </row>
    <row r="2920" spans="1:26" x14ac:dyDescent="0.45">
      <c r="A2920">
        <v>25792</v>
      </c>
      <c r="B2920" t="s">
        <v>53</v>
      </c>
      <c r="C2920">
        <v>20344534</v>
      </c>
      <c r="D2920" t="s">
        <v>278</v>
      </c>
      <c r="E2920" s="10">
        <v>46113.729166666664</v>
      </c>
      <c r="F2920" s="10">
        <v>46113.729166666664</v>
      </c>
      <c r="G2920">
        <v>0</v>
      </c>
      <c r="H2920" s="9">
        <f t="shared" si="135"/>
        <v>0</v>
      </c>
      <c r="I2920">
        <v>0</v>
      </c>
      <c r="M2920" t="s">
        <v>65</v>
      </c>
      <c r="N2920" t="s">
        <v>29</v>
      </c>
      <c r="P2920" t="s">
        <v>30</v>
      </c>
      <c r="Q2920" t="s">
        <v>31</v>
      </c>
      <c r="R2920">
        <v>82680</v>
      </c>
      <c r="S2920" t="s">
        <v>50</v>
      </c>
      <c r="T2920">
        <v>82658</v>
      </c>
      <c r="U2920" t="s">
        <v>33</v>
      </c>
      <c r="V2920" t="s">
        <v>33</v>
      </c>
      <c r="W2920" t="s">
        <v>34</v>
      </c>
      <c r="X2920" t="s">
        <v>34</v>
      </c>
      <c r="Y2920" s="9">
        <f t="shared" si="136"/>
        <v>0</v>
      </c>
      <c r="Z2920" t="str">
        <f t="shared" si="137"/>
        <v>สแกนต่าง Cost</v>
      </c>
    </row>
    <row r="2921" spans="1:26" x14ac:dyDescent="0.45">
      <c r="A2921">
        <v>25733</v>
      </c>
      <c r="B2921" t="s">
        <v>53</v>
      </c>
      <c r="C2921">
        <v>20344817</v>
      </c>
      <c r="D2921" t="s">
        <v>217</v>
      </c>
      <c r="E2921" s="10">
        <v>46113.729166666664</v>
      </c>
      <c r="F2921" s="10">
        <v>46113.826388888891</v>
      </c>
      <c r="G2921">
        <v>2.3333333333333335</v>
      </c>
      <c r="H2921" s="9">
        <f t="shared" si="135"/>
        <v>1.2E-2</v>
      </c>
      <c r="K2921">
        <v>1.2E-2</v>
      </c>
      <c r="M2921" t="s">
        <v>28</v>
      </c>
      <c r="N2921" t="s">
        <v>40</v>
      </c>
      <c r="O2921" t="s">
        <v>41</v>
      </c>
      <c r="P2921" t="s">
        <v>30</v>
      </c>
      <c r="Q2921" t="s">
        <v>31</v>
      </c>
      <c r="R2921">
        <v>82655</v>
      </c>
      <c r="S2921" t="s">
        <v>59</v>
      </c>
      <c r="T2921">
        <v>82658</v>
      </c>
      <c r="U2921" t="s">
        <v>33</v>
      </c>
      <c r="V2921" t="s">
        <v>33</v>
      </c>
      <c r="W2921" t="s">
        <v>34</v>
      </c>
      <c r="X2921" t="s">
        <v>34</v>
      </c>
      <c r="Y2921" s="9">
        <f t="shared" si="136"/>
        <v>1.2E-2</v>
      </c>
      <c r="Z2921" t="str">
        <f t="shared" si="137"/>
        <v>สแกนต่าง Cost</v>
      </c>
    </row>
    <row r="2922" spans="1:26" x14ac:dyDescent="0.45">
      <c r="A2922">
        <v>25791</v>
      </c>
      <c r="B2922" t="s">
        <v>53</v>
      </c>
      <c r="C2922">
        <v>20331986</v>
      </c>
      <c r="D2922" t="s">
        <v>108</v>
      </c>
      <c r="E2922" s="10">
        <v>46113.724305555559</v>
      </c>
      <c r="F2922" s="10">
        <v>46113.729166666664</v>
      </c>
      <c r="G2922">
        <v>0.11666666666666667</v>
      </c>
      <c r="H2922" s="9">
        <f t="shared" si="135"/>
        <v>1E-3</v>
      </c>
      <c r="I2922">
        <v>1E-3</v>
      </c>
      <c r="M2922" t="s">
        <v>65</v>
      </c>
      <c r="N2922" t="s">
        <v>29</v>
      </c>
      <c r="P2922" t="s">
        <v>30</v>
      </c>
      <c r="Q2922" t="s">
        <v>31</v>
      </c>
      <c r="R2922">
        <v>82400</v>
      </c>
      <c r="S2922" t="s">
        <v>83</v>
      </c>
      <c r="T2922">
        <v>82658</v>
      </c>
      <c r="U2922" t="s">
        <v>33</v>
      </c>
      <c r="V2922" t="s">
        <v>33</v>
      </c>
      <c r="W2922" t="s">
        <v>34</v>
      </c>
      <c r="X2922" t="s">
        <v>34</v>
      </c>
      <c r="Y2922" s="9">
        <f t="shared" si="136"/>
        <v>0</v>
      </c>
      <c r="Z2922" t="str">
        <f t="shared" si="137"/>
        <v>สแกนต่าง Cost</v>
      </c>
    </row>
    <row r="2923" spans="1:26" x14ac:dyDescent="0.45">
      <c r="A2923">
        <v>27147</v>
      </c>
      <c r="B2923" t="s">
        <v>53</v>
      </c>
      <c r="C2923">
        <v>20027956</v>
      </c>
      <c r="D2923" t="s">
        <v>214</v>
      </c>
      <c r="E2923" s="10">
        <v>46113.722916666666</v>
      </c>
      <c r="F2923" s="10">
        <v>46113.831250000003</v>
      </c>
      <c r="G2923">
        <v>2.6</v>
      </c>
      <c r="H2923" s="9">
        <f t="shared" si="135"/>
        <v>1.4E-2</v>
      </c>
      <c r="K2923">
        <v>1.4E-2</v>
      </c>
      <c r="M2923" t="s">
        <v>28</v>
      </c>
      <c r="N2923" t="s">
        <v>40</v>
      </c>
      <c r="O2923" t="s">
        <v>41</v>
      </c>
      <c r="P2923" t="s">
        <v>30</v>
      </c>
      <c r="Q2923" t="s">
        <v>31</v>
      </c>
      <c r="R2923">
        <v>82640</v>
      </c>
      <c r="S2923" t="s">
        <v>42</v>
      </c>
      <c r="T2923">
        <v>82611</v>
      </c>
      <c r="U2923" t="s">
        <v>43</v>
      </c>
      <c r="V2923" t="s">
        <v>43</v>
      </c>
      <c r="W2923" t="s">
        <v>44</v>
      </c>
      <c r="X2923" t="s">
        <v>44</v>
      </c>
      <c r="Y2923" s="9">
        <f t="shared" si="136"/>
        <v>1.4E-2</v>
      </c>
      <c r="Z2923" t="str">
        <f t="shared" si="137"/>
        <v>สแกนต่าง Cost</v>
      </c>
    </row>
    <row r="2924" spans="1:26" x14ac:dyDescent="0.45">
      <c r="A2924">
        <v>27146</v>
      </c>
      <c r="B2924" t="s">
        <v>53</v>
      </c>
      <c r="C2924">
        <v>20167851</v>
      </c>
      <c r="D2924" t="s">
        <v>63</v>
      </c>
      <c r="E2924" s="10">
        <v>46113.722916666666</v>
      </c>
      <c r="F2924" s="10">
        <v>46113.854166666664</v>
      </c>
      <c r="G2924">
        <v>3.15</v>
      </c>
      <c r="H2924" s="9">
        <f t="shared" si="135"/>
        <v>1.7000000000000001E-2</v>
      </c>
      <c r="K2924">
        <v>1.7000000000000001E-2</v>
      </c>
      <c r="M2924" t="s">
        <v>28</v>
      </c>
      <c r="N2924" t="s">
        <v>40</v>
      </c>
      <c r="O2924" t="s">
        <v>190</v>
      </c>
      <c r="P2924" t="s">
        <v>30</v>
      </c>
      <c r="Q2924" t="s">
        <v>31</v>
      </c>
      <c r="R2924">
        <v>82640</v>
      </c>
      <c r="S2924" t="s">
        <v>42</v>
      </c>
      <c r="T2924">
        <v>82611</v>
      </c>
      <c r="U2924" t="s">
        <v>43</v>
      </c>
      <c r="V2924" t="s">
        <v>43</v>
      </c>
      <c r="W2924" t="s">
        <v>44</v>
      </c>
      <c r="X2924" t="s">
        <v>44</v>
      </c>
      <c r="Y2924" s="9">
        <f t="shared" si="136"/>
        <v>1.7000000000000001E-2</v>
      </c>
      <c r="Z2924" t="str">
        <f t="shared" si="137"/>
        <v>สแกนต่าง Cost</v>
      </c>
    </row>
    <row r="2925" spans="1:26" x14ac:dyDescent="0.45">
      <c r="A2925">
        <v>27148</v>
      </c>
      <c r="B2925" t="s">
        <v>53</v>
      </c>
      <c r="C2925">
        <v>20244923</v>
      </c>
      <c r="D2925" t="s">
        <v>246</v>
      </c>
      <c r="E2925" s="10">
        <v>46113.722916666666</v>
      </c>
      <c r="F2925" s="10">
        <v>46113.854166666664</v>
      </c>
      <c r="G2925">
        <v>3.15</v>
      </c>
      <c r="H2925" s="9">
        <f t="shared" si="135"/>
        <v>1.7000000000000001E-2</v>
      </c>
      <c r="K2925">
        <v>1.7000000000000001E-2</v>
      </c>
      <c r="M2925" t="s">
        <v>28</v>
      </c>
      <c r="N2925" t="s">
        <v>40</v>
      </c>
      <c r="O2925" t="s">
        <v>190</v>
      </c>
      <c r="P2925" t="s">
        <v>30</v>
      </c>
      <c r="Q2925" t="s">
        <v>31</v>
      </c>
      <c r="R2925">
        <v>82640</v>
      </c>
      <c r="S2925" t="s">
        <v>42</v>
      </c>
      <c r="T2925">
        <v>82611</v>
      </c>
      <c r="U2925" t="s">
        <v>43</v>
      </c>
      <c r="V2925" t="s">
        <v>43</v>
      </c>
      <c r="W2925" t="s">
        <v>44</v>
      </c>
      <c r="X2925" t="s">
        <v>44</v>
      </c>
      <c r="Y2925" s="9">
        <f t="shared" si="136"/>
        <v>1.7000000000000001E-2</v>
      </c>
      <c r="Z2925" t="str">
        <f t="shared" si="137"/>
        <v>สแกนต่าง Cost</v>
      </c>
    </row>
    <row r="2926" spans="1:26" x14ac:dyDescent="0.45">
      <c r="A2926">
        <v>27145</v>
      </c>
      <c r="B2926" t="s">
        <v>53</v>
      </c>
      <c r="C2926">
        <v>20075988</v>
      </c>
      <c r="D2926" t="s">
        <v>325</v>
      </c>
      <c r="E2926" s="10">
        <v>46113.720138888886</v>
      </c>
      <c r="F2926" s="10">
        <v>46113.729166666664</v>
      </c>
      <c r="G2926">
        <v>0.21666666666666667</v>
      </c>
      <c r="H2926" s="9">
        <f t="shared" si="135"/>
        <v>1E-3</v>
      </c>
      <c r="I2926">
        <v>1E-3</v>
      </c>
      <c r="M2926" t="s">
        <v>65</v>
      </c>
      <c r="N2926" t="s">
        <v>29</v>
      </c>
      <c r="P2926" t="s">
        <v>30</v>
      </c>
      <c r="Q2926" t="s">
        <v>31</v>
      </c>
      <c r="R2926">
        <v>82607</v>
      </c>
      <c r="S2926" t="s">
        <v>168</v>
      </c>
      <c r="T2926">
        <v>82612</v>
      </c>
      <c r="U2926" t="s">
        <v>153</v>
      </c>
      <c r="V2926" t="s">
        <v>362</v>
      </c>
      <c r="W2926" t="s">
        <v>42</v>
      </c>
      <c r="X2926" t="s">
        <v>38</v>
      </c>
      <c r="Y2926" s="9">
        <f t="shared" si="136"/>
        <v>0</v>
      </c>
      <c r="Z2926" t="str">
        <f t="shared" si="137"/>
        <v>สแกนต่าง Cost</v>
      </c>
    </row>
    <row r="2927" spans="1:26" x14ac:dyDescent="0.45">
      <c r="B2927" t="s">
        <v>53</v>
      </c>
      <c r="C2927">
        <v>20026534</v>
      </c>
      <c r="D2927" t="s">
        <v>279</v>
      </c>
      <c r="E2927" s="10">
        <v>46113.708333333336</v>
      </c>
      <c r="F2927" s="10">
        <v>46113.729166666664</v>
      </c>
      <c r="G2927">
        <v>0.5</v>
      </c>
      <c r="H2927" s="9">
        <f t="shared" si="135"/>
        <v>3.0000000000000001E-3</v>
      </c>
      <c r="I2927">
        <v>3.0000000000000001E-3</v>
      </c>
      <c r="M2927" t="s">
        <v>65</v>
      </c>
      <c r="N2927" t="s">
        <v>29</v>
      </c>
      <c r="P2927" t="s">
        <v>30</v>
      </c>
      <c r="Q2927" t="s">
        <v>31</v>
      </c>
      <c r="R2927">
        <v>82640</v>
      </c>
      <c r="S2927" t="s">
        <v>42</v>
      </c>
      <c r="T2927">
        <v>82630</v>
      </c>
      <c r="U2927" t="s">
        <v>32</v>
      </c>
      <c r="V2927" t="s">
        <v>66</v>
      </c>
      <c r="W2927" t="s">
        <v>44</v>
      </c>
      <c r="X2927" t="s">
        <v>44</v>
      </c>
      <c r="Y2927" s="9">
        <f t="shared" si="136"/>
        <v>0</v>
      </c>
      <c r="Z2927" t="str">
        <f t="shared" si="137"/>
        <v>สแกนต่าง Cost</v>
      </c>
    </row>
    <row r="2928" spans="1:26" x14ac:dyDescent="0.45">
      <c r="B2928" t="s">
        <v>53</v>
      </c>
      <c r="C2928">
        <v>20027956</v>
      </c>
      <c r="D2928" t="s">
        <v>214</v>
      </c>
      <c r="E2928" s="10">
        <v>46113.708333333336</v>
      </c>
      <c r="F2928" s="10">
        <v>46113.833333333336</v>
      </c>
      <c r="G2928">
        <v>3</v>
      </c>
      <c r="H2928" s="9">
        <f t="shared" si="135"/>
        <v>1.6E-2</v>
      </c>
      <c r="K2928">
        <v>1.6E-2</v>
      </c>
      <c r="M2928" t="s">
        <v>28</v>
      </c>
      <c r="N2928" t="s">
        <v>40</v>
      </c>
      <c r="O2928" t="s">
        <v>41</v>
      </c>
      <c r="P2928" t="s">
        <v>30</v>
      </c>
      <c r="Q2928" t="s">
        <v>31</v>
      </c>
      <c r="R2928">
        <v>82640</v>
      </c>
      <c r="S2928" t="s">
        <v>42</v>
      </c>
      <c r="T2928">
        <v>82611</v>
      </c>
      <c r="U2928" t="s">
        <v>43</v>
      </c>
      <c r="V2928" t="s">
        <v>66</v>
      </c>
      <c r="W2928" t="s">
        <v>44</v>
      </c>
      <c r="X2928" t="s">
        <v>44</v>
      </c>
      <c r="Y2928" s="9">
        <f t="shared" si="136"/>
        <v>1.6E-2</v>
      </c>
      <c r="Z2928" t="str">
        <f t="shared" si="137"/>
        <v>สแกนต่าง Cost</v>
      </c>
    </row>
    <row r="2929" spans="2:26" x14ac:dyDescent="0.45">
      <c r="B2929" t="s">
        <v>53</v>
      </c>
      <c r="C2929">
        <v>20310530</v>
      </c>
      <c r="D2929" t="s">
        <v>220</v>
      </c>
      <c r="E2929" s="10">
        <v>46113.708333333336</v>
      </c>
      <c r="F2929" s="10">
        <v>46113.729166666664</v>
      </c>
      <c r="G2929">
        <v>0.5</v>
      </c>
      <c r="H2929" s="9">
        <f t="shared" si="135"/>
        <v>3.0000000000000001E-3</v>
      </c>
      <c r="I2929">
        <v>3.0000000000000001E-3</v>
      </c>
      <c r="M2929" t="s">
        <v>65</v>
      </c>
      <c r="N2929" t="s">
        <v>29</v>
      </c>
      <c r="P2929" t="s">
        <v>30</v>
      </c>
      <c r="Q2929" t="s">
        <v>31</v>
      </c>
      <c r="R2929">
        <v>82640</v>
      </c>
      <c r="S2929" t="s">
        <v>42</v>
      </c>
      <c r="T2929">
        <v>82630</v>
      </c>
      <c r="U2929" t="s">
        <v>32</v>
      </c>
      <c r="V2929" t="s">
        <v>66</v>
      </c>
      <c r="W2929" t="s">
        <v>44</v>
      </c>
      <c r="X2929" t="s">
        <v>44</v>
      </c>
      <c r="Y2929" s="9">
        <f t="shared" si="136"/>
        <v>0</v>
      </c>
      <c r="Z2929" t="str">
        <f t="shared" si="137"/>
        <v>สแกนต่าง Cost</v>
      </c>
    </row>
    <row r="2930" spans="2:26" x14ac:dyDescent="0.45">
      <c r="B2930" t="s">
        <v>53</v>
      </c>
      <c r="C2930">
        <v>20060579</v>
      </c>
      <c r="D2930" t="s">
        <v>39</v>
      </c>
      <c r="E2930" s="10">
        <v>46113.6875</v>
      </c>
      <c r="F2930" s="10">
        <v>46113.729166666664</v>
      </c>
      <c r="G2930">
        <v>1</v>
      </c>
      <c r="H2930" s="9">
        <f t="shared" si="135"/>
        <v>5.0000000000000001E-3</v>
      </c>
      <c r="I2930">
        <v>5.0000000000000001E-3</v>
      </c>
      <c r="M2930" t="s">
        <v>65</v>
      </c>
      <c r="N2930" t="s">
        <v>29</v>
      </c>
      <c r="P2930" t="s">
        <v>30</v>
      </c>
      <c r="Q2930" t="s">
        <v>31</v>
      </c>
      <c r="R2930">
        <v>82640</v>
      </c>
      <c r="S2930" t="s">
        <v>42</v>
      </c>
      <c r="T2930">
        <v>82622</v>
      </c>
      <c r="U2930" t="s">
        <v>147</v>
      </c>
      <c r="V2930" t="s">
        <v>66</v>
      </c>
      <c r="W2930" t="s">
        <v>44</v>
      </c>
      <c r="X2930" t="s">
        <v>44</v>
      </c>
      <c r="Y2930" s="9">
        <f t="shared" si="136"/>
        <v>0</v>
      </c>
      <c r="Z2930" t="str">
        <f t="shared" si="137"/>
        <v>สแกนต่าง Cost</v>
      </c>
    </row>
    <row r="2931" spans="2:26" x14ac:dyDescent="0.45">
      <c r="B2931" t="s">
        <v>53</v>
      </c>
      <c r="C2931">
        <v>20167851</v>
      </c>
      <c r="D2931" t="s">
        <v>63</v>
      </c>
      <c r="E2931" s="10">
        <v>46113.6875</v>
      </c>
      <c r="F2931" s="10">
        <v>46113.708333333336</v>
      </c>
      <c r="G2931">
        <v>0.5</v>
      </c>
      <c r="H2931" s="9">
        <f t="shared" si="135"/>
        <v>3.0000000000000001E-3</v>
      </c>
      <c r="I2931">
        <v>3.0000000000000001E-3</v>
      </c>
      <c r="M2931" t="s">
        <v>65</v>
      </c>
      <c r="N2931" t="s">
        <v>29</v>
      </c>
      <c r="P2931" t="s">
        <v>30</v>
      </c>
      <c r="Q2931" t="s">
        <v>31</v>
      </c>
      <c r="R2931">
        <v>82640</v>
      </c>
      <c r="S2931" t="s">
        <v>42</v>
      </c>
      <c r="T2931">
        <v>82611</v>
      </c>
      <c r="U2931" t="s">
        <v>43</v>
      </c>
      <c r="V2931" t="s">
        <v>66</v>
      </c>
      <c r="W2931" t="s">
        <v>44</v>
      </c>
      <c r="X2931" t="s">
        <v>44</v>
      </c>
      <c r="Y2931" s="9">
        <f t="shared" si="136"/>
        <v>0</v>
      </c>
      <c r="Z2931" t="str">
        <f t="shared" si="137"/>
        <v>สแกนต่าง Cost</v>
      </c>
    </row>
    <row r="2932" spans="2:26" x14ac:dyDescent="0.45">
      <c r="B2932" t="s">
        <v>53</v>
      </c>
      <c r="C2932">
        <v>20244923</v>
      </c>
      <c r="D2932" t="s">
        <v>246</v>
      </c>
      <c r="E2932" s="10">
        <v>46113.6875</v>
      </c>
      <c r="F2932" s="10">
        <v>46113.729166666664</v>
      </c>
      <c r="G2932">
        <v>1</v>
      </c>
      <c r="H2932" s="9">
        <f t="shared" si="135"/>
        <v>5.0000000000000001E-3</v>
      </c>
      <c r="I2932">
        <v>5.0000000000000001E-3</v>
      </c>
      <c r="M2932" t="s">
        <v>65</v>
      </c>
      <c r="N2932" t="s">
        <v>29</v>
      </c>
      <c r="P2932" t="s">
        <v>30</v>
      </c>
      <c r="Q2932" t="s">
        <v>31</v>
      </c>
      <c r="R2932">
        <v>82640</v>
      </c>
      <c r="S2932" t="s">
        <v>42</v>
      </c>
      <c r="T2932">
        <v>82630</v>
      </c>
      <c r="U2932" t="s">
        <v>32</v>
      </c>
      <c r="V2932" t="s">
        <v>66</v>
      </c>
      <c r="W2932" t="s">
        <v>44</v>
      </c>
      <c r="X2932" t="s">
        <v>44</v>
      </c>
      <c r="Y2932" s="9">
        <f t="shared" si="136"/>
        <v>0</v>
      </c>
      <c r="Z2932" t="str">
        <f t="shared" si="137"/>
        <v>สแกนต่าง Cost</v>
      </c>
    </row>
    <row r="2933" spans="2:26" x14ac:dyDescent="0.45">
      <c r="B2933" t="s">
        <v>53</v>
      </c>
      <c r="C2933">
        <v>20280718</v>
      </c>
      <c r="D2933" t="s">
        <v>256</v>
      </c>
      <c r="E2933" s="10">
        <v>46113.6875</v>
      </c>
      <c r="F2933" s="10">
        <v>46113.708333333336</v>
      </c>
      <c r="G2933">
        <v>0.5</v>
      </c>
      <c r="H2933" s="9">
        <f t="shared" si="135"/>
        <v>3.0000000000000001E-3</v>
      </c>
      <c r="I2933">
        <v>3.0000000000000001E-3</v>
      </c>
      <c r="M2933" t="s">
        <v>65</v>
      </c>
      <c r="N2933" t="s">
        <v>29</v>
      </c>
      <c r="P2933" t="s">
        <v>30</v>
      </c>
      <c r="Q2933" t="s">
        <v>31</v>
      </c>
      <c r="R2933">
        <v>82640</v>
      </c>
      <c r="S2933" t="s">
        <v>42</v>
      </c>
      <c r="T2933">
        <v>82622</v>
      </c>
      <c r="U2933" t="s">
        <v>147</v>
      </c>
      <c r="V2933" t="s">
        <v>66</v>
      </c>
      <c r="W2933" t="s">
        <v>44</v>
      </c>
      <c r="X2933" t="s">
        <v>44</v>
      </c>
      <c r="Y2933" s="9">
        <f t="shared" si="136"/>
        <v>0</v>
      </c>
      <c r="Z2933" t="str">
        <f t="shared" si="137"/>
        <v>สแกนต่าง Cost</v>
      </c>
    </row>
    <row r="2934" spans="2:26" x14ac:dyDescent="0.45">
      <c r="B2934" t="s">
        <v>53</v>
      </c>
      <c r="C2934">
        <v>20026534</v>
      </c>
      <c r="D2934" t="s">
        <v>279</v>
      </c>
      <c r="E2934" s="10">
        <v>46113.666666666664</v>
      </c>
      <c r="F2934" s="10">
        <v>46113.6875</v>
      </c>
      <c r="G2934">
        <v>0.5</v>
      </c>
      <c r="H2934" s="9">
        <f t="shared" si="135"/>
        <v>3.0000000000000001E-3</v>
      </c>
      <c r="I2934">
        <v>3.0000000000000001E-3</v>
      </c>
      <c r="M2934" t="s">
        <v>65</v>
      </c>
      <c r="N2934" t="s">
        <v>29</v>
      </c>
      <c r="P2934" t="s">
        <v>30</v>
      </c>
      <c r="Q2934" t="s">
        <v>31</v>
      </c>
      <c r="R2934">
        <v>82640</v>
      </c>
      <c r="S2934" t="s">
        <v>42</v>
      </c>
      <c r="T2934">
        <v>82611</v>
      </c>
      <c r="U2934" t="s">
        <v>43</v>
      </c>
      <c r="V2934" t="s">
        <v>66</v>
      </c>
      <c r="W2934" t="s">
        <v>44</v>
      </c>
      <c r="X2934" t="s">
        <v>44</v>
      </c>
      <c r="Y2934" s="9">
        <f t="shared" si="136"/>
        <v>0</v>
      </c>
      <c r="Z2934" t="str">
        <f t="shared" si="137"/>
        <v>สแกนต่าง Cost</v>
      </c>
    </row>
    <row r="2935" spans="2:26" x14ac:dyDescent="0.45">
      <c r="B2935" t="s">
        <v>53</v>
      </c>
      <c r="C2935">
        <v>20060579</v>
      </c>
      <c r="D2935" t="s">
        <v>39</v>
      </c>
      <c r="E2935" s="10">
        <v>46113.666666666664</v>
      </c>
      <c r="F2935" s="10">
        <v>46113.6875</v>
      </c>
      <c r="G2935">
        <v>0.5</v>
      </c>
      <c r="H2935" s="9">
        <f t="shared" si="135"/>
        <v>3.0000000000000001E-3</v>
      </c>
      <c r="I2935">
        <v>3.0000000000000001E-3</v>
      </c>
      <c r="M2935" t="s">
        <v>65</v>
      </c>
      <c r="N2935" t="s">
        <v>29</v>
      </c>
      <c r="P2935" t="s">
        <v>30</v>
      </c>
      <c r="Q2935" t="s">
        <v>31</v>
      </c>
      <c r="R2935">
        <v>82640</v>
      </c>
      <c r="S2935" t="s">
        <v>42</v>
      </c>
      <c r="T2935">
        <v>82611</v>
      </c>
      <c r="U2935" t="s">
        <v>43</v>
      </c>
      <c r="V2935" t="s">
        <v>66</v>
      </c>
      <c r="W2935" t="s">
        <v>44</v>
      </c>
      <c r="X2935" t="s">
        <v>44</v>
      </c>
      <c r="Y2935" s="9">
        <f t="shared" si="136"/>
        <v>0</v>
      </c>
      <c r="Z2935" t="str">
        <f t="shared" si="137"/>
        <v>สแกนต่าง Cost</v>
      </c>
    </row>
    <row r="2936" spans="2:26" x14ac:dyDescent="0.45">
      <c r="B2936" t="s">
        <v>53</v>
      </c>
      <c r="C2936">
        <v>20244923</v>
      </c>
      <c r="D2936" t="s">
        <v>246</v>
      </c>
      <c r="E2936" s="10">
        <v>46113.666666666664</v>
      </c>
      <c r="F2936" s="10">
        <v>46113.6875</v>
      </c>
      <c r="G2936">
        <v>0.5</v>
      </c>
      <c r="H2936" s="9">
        <f t="shared" si="135"/>
        <v>3.0000000000000001E-3</v>
      </c>
      <c r="I2936">
        <v>3.0000000000000001E-3</v>
      </c>
      <c r="M2936" t="s">
        <v>65</v>
      </c>
      <c r="N2936" t="s">
        <v>29</v>
      </c>
      <c r="P2936" t="s">
        <v>30</v>
      </c>
      <c r="Q2936" t="s">
        <v>31</v>
      </c>
      <c r="R2936">
        <v>82640</v>
      </c>
      <c r="S2936" t="s">
        <v>42</v>
      </c>
      <c r="T2936">
        <v>82612</v>
      </c>
      <c r="U2936" t="s">
        <v>153</v>
      </c>
      <c r="V2936" t="s">
        <v>66</v>
      </c>
      <c r="W2936" t="s">
        <v>44</v>
      </c>
      <c r="X2936" t="s">
        <v>44</v>
      </c>
      <c r="Y2936" s="9">
        <f t="shared" si="136"/>
        <v>0</v>
      </c>
      <c r="Z2936" t="str">
        <f t="shared" si="137"/>
        <v>สแกนต่าง Cost</v>
      </c>
    </row>
    <row r="2937" spans="2:26" x14ac:dyDescent="0.45">
      <c r="B2937" t="s">
        <v>53</v>
      </c>
      <c r="C2937">
        <v>20310530</v>
      </c>
      <c r="D2937" t="s">
        <v>220</v>
      </c>
      <c r="E2937" s="10">
        <v>46113.666666666664</v>
      </c>
      <c r="F2937" s="10">
        <v>46113.6875</v>
      </c>
      <c r="G2937">
        <v>0.5</v>
      </c>
      <c r="H2937" s="9">
        <f t="shared" si="135"/>
        <v>3.0000000000000001E-3</v>
      </c>
      <c r="I2937">
        <v>3.0000000000000001E-3</v>
      </c>
      <c r="M2937" t="s">
        <v>65</v>
      </c>
      <c r="N2937" t="s">
        <v>29</v>
      </c>
      <c r="P2937" t="s">
        <v>30</v>
      </c>
      <c r="Q2937" t="s">
        <v>31</v>
      </c>
      <c r="R2937">
        <v>82640</v>
      </c>
      <c r="S2937" t="s">
        <v>42</v>
      </c>
      <c r="T2937">
        <v>82622</v>
      </c>
      <c r="U2937" t="s">
        <v>147</v>
      </c>
      <c r="V2937" t="s">
        <v>66</v>
      </c>
      <c r="W2937" t="s">
        <v>44</v>
      </c>
      <c r="X2937" t="s">
        <v>44</v>
      </c>
      <c r="Y2937" s="9">
        <f t="shared" si="136"/>
        <v>0</v>
      </c>
      <c r="Z2937" t="str">
        <f t="shared" si="137"/>
        <v>สแกนต่าง Cost</v>
      </c>
    </row>
    <row r="2938" spans="2:26" x14ac:dyDescent="0.45">
      <c r="B2938" t="s">
        <v>53</v>
      </c>
      <c r="C2938">
        <v>20332134</v>
      </c>
      <c r="D2938" t="s">
        <v>156</v>
      </c>
      <c r="E2938" s="10">
        <v>46113.666666666664</v>
      </c>
      <c r="F2938" s="10">
        <v>46113.729166666664</v>
      </c>
      <c r="G2938">
        <v>1.5</v>
      </c>
      <c r="H2938" s="9">
        <f t="shared" si="135"/>
        <v>8.0000000000000002E-3</v>
      </c>
      <c r="I2938">
        <v>8.0000000000000002E-3</v>
      </c>
      <c r="M2938" t="s">
        <v>65</v>
      </c>
      <c r="N2938" t="s">
        <v>29</v>
      </c>
      <c r="P2938" t="s">
        <v>30</v>
      </c>
      <c r="Q2938" t="s">
        <v>31</v>
      </c>
      <c r="R2938">
        <v>82640</v>
      </c>
      <c r="S2938" t="s">
        <v>42</v>
      </c>
      <c r="T2938">
        <v>82630</v>
      </c>
      <c r="U2938" t="s">
        <v>32</v>
      </c>
      <c r="V2938" t="s">
        <v>66</v>
      </c>
      <c r="W2938" t="s">
        <v>44</v>
      </c>
      <c r="X2938" t="s">
        <v>44</v>
      </c>
      <c r="Y2938" s="9">
        <f t="shared" si="136"/>
        <v>0</v>
      </c>
      <c r="Z2938" t="str">
        <f t="shared" si="137"/>
        <v>สแกนต่าง Cost</v>
      </c>
    </row>
    <row r="2939" spans="2:26" x14ac:dyDescent="0.45">
      <c r="B2939" t="s">
        <v>53</v>
      </c>
      <c r="C2939">
        <v>20368087</v>
      </c>
      <c r="D2939" t="s">
        <v>260</v>
      </c>
      <c r="E2939" s="10">
        <v>46113.666666666664</v>
      </c>
      <c r="F2939" s="10">
        <v>46113.729166666664</v>
      </c>
      <c r="G2939">
        <v>1.5</v>
      </c>
      <c r="H2939" s="9">
        <f t="shared" si="135"/>
        <v>8.0000000000000002E-3</v>
      </c>
      <c r="I2939">
        <v>8.0000000000000002E-3</v>
      </c>
      <c r="M2939" t="s">
        <v>65</v>
      </c>
      <c r="N2939" t="s">
        <v>29</v>
      </c>
      <c r="P2939" t="s">
        <v>30</v>
      </c>
      <c r="Q2939" t="s">
        <v>31</v>
      </c>
      <c r="R2939">
        <v>82640</v>
      </c>
      <c r="S2939" t="s">
        <v>42</v>
      </c>
      <c r="T2939">
        <v>82612</v>
      </c>
      <c r="U2939" t="s">
        <v>153</v>
      </c>
      <c r="V2939" t="s">
        <v>66</v>
      </c>
      <c r="W2939" t="s">
        <v>44</v>
      </c>
      <c r="X2939" t="s">
        <v>44</v>
      </c>
      <c r="Y2939" s="9">
        <f t="shared" si="136"/>
        <v>0</v>
      </c>
      <c r="Z2939" t="str">
        <f t="shared" si="137"/>
        <v>สแกนต่าง Cost</v>
      </c>
    </row>
    <row r="2940" spans="2:26" x14ac:dyDescent="0.45">
      <c r="B2940" t="s">
        <v>53</v>
      </c>
      <c r="C2940">
        <v>20060579</v>
      </c>
      <c r="D2940" t="s">
        <v>39</v>
      </c>
      <c r="E2940" s="10">
        <v>46113.645833333336</v>
      </c>
      <c r="F2940" s="10">
        <v>46113.666666666664</v>
      </c>
      <c r="G2940">
        <v>0.5</v>
      </c>
      <c r="H2940" s="9">
        <f t="shared" si="135"/>
        <v>3.0000000000000001E-3</v>
      </c>
      <c r="I2940">
        <v>3.0000000000000001E-3</v>
      </c>
      <c r="M2940" t="s">
        <v>65</v>
      </c>
      <c r="N2940" t="s">
        <v>29</v>
      </c>
      <c r="P2940" t="s">
        <v>30</v>
      </c>
      <c r="Q2940" t="s">
        <v>31</v>
      </c>
      <c r="R2940">
        <v>82640</v>
      </c>
      <c r="S2940" t="s">
        <v>42</v>
      </c>
      <c r="T2940">
        <v>82612</v>
      </c>
      <c r="U2940" t="s">
        <v>153</v>
      </c>
      <c r="V2940" t="s">
        <v>66</v>
      </c>
      <c r="W2940" t="s">
        <v>44</v>
      </c>
      <c r="X2940" t="s">
        <v>44</v>
      </c>
      <c r="Y2940" s="9">
        <f t="shared" si="136"/>
        <v>0</v>
      </c>
      <c r="Z2940" t="str">
        <f t="shared" si="137"/>
        <v>สแกนต่าง Cost</v>
      </c>
    </row>
    <row r="2941" spans="2:26" x14ac:dyDescent="0.45">
      <c r="B2941" t="s">
        <v>53</v>
      </c>
      <c r="C2941">
        <v>20244923</v>
      </c>
      <c r="D2941" t="s">
        <v>246</v>
      </c>
      <c r="E2941" s="10">
        <v>46113.645833333336</v>
      </c>
      <c r="F2941" s="10">
        <v>46113.666666666664</v>
      </c>
      <c r="G2941">
        <v>0.5</v>
      </c>
      <c r="H2941" s="9">
        <f t="shared" si="135"/>
        <v>3.0000000000000001E-3</v>
      </c>
      <c r="I2941">
        <v>3.0000000000000001E-3</v>
      </c>
      <c r="M2941" t="s">
        <v>65</v>
      </c>
      <c r="N2941" t="s">
        <v>29</v>
      </c>
      <c r="P2941" t="s">
        <v>30</v>
      </c>
      <c r="Q2941" t="s">
        <v>31</v>
      </c>
      <c r="R2941">
        <v>82640</v>
      </c>
      <c r="S2941" t="s">
        <v>42</v>
      </c>
      <c r="T2941">
        <v>82611</v>
      </c>
      <c r="U2941" t="s">
        <v>43</v>
      </c>
      <c r="V2941" t="s">
        <v>66</v>
      </c>
      <c r="W2941" t="s">
        <v>44</v>
      </c>
      <c r="X2941" t="s">
        <v>44</v>
      </c>
      <c r="Y2941" s="9">
        <f t="shared" si="136"/>
        <v>0</v>
      </c>
      <c r="Z2941" t="str">
        <f t="shared" si="137"/>
        <v>สแกนต่าง Cost</v>
      </c>
    </row>
    <row r="2942" spans="2:26" x14ac:dyDescent="0.45">
      <c r="B2942" t="s">
        <v>53</v>
      </c>
      <c r="C2942">
        <v>20280718</v>
      </c>
      <c r="D2942" t="s">
        <v>256</v>
      </c>
      <c r="E2942" s="10">
        <v>46113.645833333336</v>
      </c>
      <c r="F2942" s="10">
        <v>46113.6875</v>
      </c>
      <c r="G2942">
        <v>1</v>
      </c>
      <c r="H2942" s="9">
        <f t="shared" si="135"/>
        <v>5.0000000000000001E-3</v>
      </c>
      <c r="I2942">
        <v>5.0000000000000001E-3</v>
      </c>
      <c r="M2942" t="s">
        <v>65</v>
      </c>
      <c r="N2942" t="s">
        <v>29</v>
      </c>
      <c r="P2942" t="s">
        <v>30</v>
      </c>
      <c r="Q2942" t="s">
        <v>31</v>
      </c>
      <c r="R2942">
        <v>82640</v>
      </c>
      <c r="S2942" t="s">
        <v>42</v>
      </c>
      <c r="T2942">
        <v>82612</v>
      </c>
      <c r="U2942" t="s">
        <v>153</v>
      </c>
      <c r="V2942" t="s">
        <v>66</v>
      </c>
      <c r="W2942" t="s">
        <v>44</v>
      </c>
      <c r="X2942" t="s">
        <v>44</v>
      </c>
      <c r="Y2942" s="9">
        <f t="shared" si="136"/>
        <v>0</v>
      </c>
      <c r="Z2942" t="str">
        <f t="shared" si="137"/>
        <v>สแกนต่าง Cost</v>
      </c>
    </row>
    <row r="2943" spans="2:26" x14ac:dyDescent="0.45">
      <c r="B2943" t="s">
        <v>53</v>
      </c>
      <c r="C2943">
        <v>20280718</v>
      </c>
      <c r="D2943" t="s">
        <v>256</v>
      </c>
      <c r="E2943" s="10">
        <v>46113.645833333336</v>
      </c>
      <c r="F2943" s="10">
        <v>46113.833333333336</v>
      </c>
      <c r="G2943">
        <v>4.5</v>
      </c>
      <c r="H2943" s="9">
        <f t="shared" si="135"/>
        <v>2.4E-2</v>
      </c>
      <c r="K2943">
        <v>2.4E-2</v>
      </c>
      <c r="M2943" t="s">
        <v>28</v>
      </c>
      <c r="N2943" t="s">
        <v>40</v>
      </c>
      <c r="O2943" t="s">
        <v>41</v>
      </c>
      <c r="P2943" t="s">
        <v>30</v>
      </c>
      <c r="Q2943" t="s">
        <v>31</v>
      </c>
      <c r="R2943">
        <v>82640</v>
      </c>
      <c r="S2943" t="s">
        <v>42</v>
      </c>
      <c r="T2943">
        <v>82630</v>
      </c>
      <c r="U2943" t="s">
        <v>32</v>
      </c>
      <c r="V2943" t="s">
        <v>66</v>
      </c>
      <c r="W2943" t="s">
        <v>44</v>
      </c>
      <c r="X2943" t="s">
        <v>44</v>
      </c>
      <c r="Y2943" s="9">
        <f t="shared" si="136"/>
        <v>2.4E-2</v>
      </c>
      <c r="Z2943" t="str">
        <f t="shared" si="137"/>
        <v>สแกนต่าง Cost</v>
      </c>
    </row>
    <row r="2944" spans="2:26" x14ac:dyDescent="0.45">
      <c r="B2944" t="s">
        <v>53</v>
      </c>
      <c r="C2944">
        <v>20060579</v>
      </c>
      <c r="D2944" t="s">
        <v>39</v>
      </c>
      <c r="E2944" s="10">
        <v>46113.625</v>
      </c>
      <c r="F2944" s="10">
        <v>46113.645833333336</v>
      </c>
      <c r="G2944">
        <v>0.5</v>
      </c>
      <c r="H2944" s="9">
        <f t="shared" si="135"/>
        <v>3.0000000000000001E-3</v>
      </c>
      <c r="I2944">
        <v>3.0000000000000001E-3</v>
      </c>
      <c r="M2944" t="s">
        <v>65</v>
      </c>
      <c r="N2944" t="s">
        <v>29</v>
      </c>
      <c r="P2944" t="s">
        <v>30</v>
      </c>
      <c r="Q2944" t="s">
        <v>31</v>
      </c>
      <c r="R2944">
        <v>82640</v>
      </c>
      <c r="S2944" t="s">
        <v>42</v>
      </c>
      <c r="T2944">
        <v>82611</v>
      </c>
      <c r="U2944" t="s">
        <v>43</v>
      </c>
      <c r="V2944" t="s">
        <v>66</v>
      </c>
      <c r="W2944" t="s">
        <v>44</v>
      </c>
      <c r="X2944" t="s">
        <v>44</v>
      </c>
      <c r="Y2944" s="9">
        <f t="shared" si="136"/>
        <v>0</v>
      </c>
      <c r="Z2944" t="str">
        <f t="shared" si="137"/>
        <v>สแกนต่าง Cost</v>
      </c>
    </row>
    <row r="2945" spans="1:26" x14ac:dyDescent="0.45">
      <c r="B2945" t="s">
        <v>53</v>
      </c>
      <c r="C2945">
        <v>20198839</v>
      </c>
      <c r="D2945" t="s">
        <v>258</v>
      </c>
      <c r="E2945" s="10">
        <v>46113.625</v>
      </c>
      <c r="F2945" s="10">
        <v>46113.729166666664</v>
      </c>
      <c r="G2945">
        <v>2.5</v>
      </c>
      <c r="H2945" s="9">
        <f t="shared" si="135"/>
        <v>1.2999999999999999E-2</v>
      </c>
      <c r="I2945">
        <v>1.2999999999999999E-2</v>
      </c>
      <c r="M2945" t="s">
        <v>65</v>
      </c>
      <c r="N2945" t="s">
        <v>29</v>
      </c>
      <c r="P2945" t="s">
        <v>30</v>
      </c>
      <c r="Q2945" t="s">
        <v>31</v>
      </c>
      <c r="R2945">
        <v>82640</v>
      </c>
      <c r="S2945" t="s">
        <v>42</v>
      </c>
      <c r="T2945">
        <v>82611</v>
      </c>
      <c r="U2945" t="s">
        <v>43</v>
      </c>
      <c r="V2945" t="s">
        <v>66</v>
      </c>
      <c r="W2945" t="s">
        <v>44</v>
      </c>
      <c r="X2945" t="s">
        <v>44</v>
      </c>
      <c r="Y2945" s="9">
        <f t="shared" si="136"/>
        <v>0</v>
      </c>
      <c r="Z2945" t="str">
        <f t="shared" si="137"/>
        <v>สแกนต่าง Cost</v>
      </c>
    </row>
    <row r="2946" spans="1:26" x14ac:dyDescent="0.45">
      <c r="B2946" t="s">
        <v>53</v>
      </c>
      <c r="C2946">
        <v>20280718</v>
      </c>
      <c r="D2946" t="s">
        <v>256</v>
      </c>
      <c r="E2946" s="10">
        <v>46113.625</v>
      </c>
      <c r="F2946" s="10">
        <v>46113.645833333336</v>
      </c>
      <c r="G2946">
        <v>0.5</v>
      </c>
      <c r="H2946" s="9">
        <f t="shared" si="135"/>
        <v>3.0000000000000001E-3</v>
      </c>
      <c r="I2946">
        <v>3.0000000000000001E-3</v>
      </c>
      <c r="M2946" t="s">
        <v>65</v>
      </c>
      <c r="N2946" t="s">
        <v>29</v>
      </c>
      <c r="P2946" t="s">
        <v>30</v>
      </c>
      <c r="Q2946" t="s">
        <v>31</v>
      </c>
      <c r="R2946">
        <v>82640</v>
      </c>
      <c r="S2946" t="s">
        <v>42</v>
      </c>
      <c r="T2946">
        <v>82612</v>
      </c>
      <c r="U2946" t="s">
        <v>153</v>
      </c>
      <c r="V2946" t="s">
        <v>66</v>
      </c>
      <c r="W2946" t="s">
        <v>44</v>
      </c>
      <c r="X2946" t="s">
        <v>44</v>
      </c>
      <c r="Y2946" s="9">
        <f t="shared" si="136"/>
        <v>0</v>
      </c>
      <c r="Z2946" t="str">
        <f t="shared" si="137"/>
        <v>สแกนต่าง Cost</v>
      </c>
    </row>
    <row r="2947" spans="1:26" x14ac:dyDescent="0.45">
      <c r="A2947">
        <v>25731</v>
      </c>
      <c r="B2947" t="s">
        <v>53</v>
      </c>
      <c r="C2947">
        <v>20034645</v>
      </c>
      <c r="D2947" t="s">
        <v>359</v>
      </c>
      <c r="E2947" s="10">
        <v>46113.612500000003</v>
      </c>
      <c r="F2947" s="10">
        <v>46113.816666666666</v>
      </c>
      <c r="G2947">
        <v>4.9000000000000004</v>
      </c>
      <c r="H2947" s="9">
        <f t="shared" ref="H2947:H3010" si="138">SUM(I2947:L2947)</f>
        <v>2.5999999999999999E-2</v>
      </c>
      <c r="I2947">
        <v>2.5999999999999999E-2</v>
      </c>
      <c r="M2947" t="s">
        <v>65</v>
      </c>
      <c r="N2947" t="s">
        <v>29</v>
      </c>
      <c r="P2947" t="s">
        <v>30</v>
      </c>
      <c r="Q2947" t="s">
        <v>31</v>
      </c>
      <c r="R2947">
        <v>82652</v>
      </c>
      <c r="S2947" t="s">
        <v>46</v>
      </c>
      <c r="T2947">
        <v>82658</v>
      </c>
      <c r="U2947" t="s">
        <v>33</v>
      </c>
      <c r="V2947" t="s">
        <v>33</v>
      </c>
      <c r="W2947" t="s">
        <v>37</v>
      </c>
      <c r="X2947" t="s">
        <v>38</v>
      </c>
      <c r="Y2947" s="9">
        <f t="shared" ref="Y2947:Y3010" si="139">SUM(J2947:L2947)</f>
        <v>0</v>
      </c>
      <c r="Z2947" t="str">
        <f t="shared" ref="Z2947:Z3010" si="140">IF(R2947=T2947,"สแกน Cost ตัวเอง","สแกนต่าง Cost")</f>
        <v>สแกนต่าง Cost</v>
      </c>
    </row>
    <row r="2948" spans="1:26" x14ac:dyDescent="0.45">
      <c r="A2948">
        <v>25729</v>
      </c>
      <c r="B2948" t="s">
        <v>53</v>
      </c>
      <c r="C2948">
        <v>20045685</v>
      </c>
      <c r="D2948" t="s">
        <v>262</v>
      </c>
      <c r="E2948" s="10">
        <v>46113.611805555556</v>
      </c>
      <c r="F2948" s="10">
        <v>46113.729166666664</v>
      </c>
      <c r="G2948">
        <v>2.8166666666666669</v>
      </c>
      <c r="H2948" s="9">
        <f t="shared" si="138"/>
        <v>1.4999999999999999E-2</v>
      </c>
      <c r="I2948">
        <v>1.4999999999999999E-2</v>
      </c>
      <c r="M2948" t="s">
        <v>65</v>
      </c>
      <c r="N2948" t="s">
        <v>29</v>
      </c>
      <c r="P2948" t="s">
        <v>30</v>
      </c>
      <c r="Q2948" t="s">
        <v>31</v>
      </c>
      <c r="R2948">
        <v>82652</v>
      </c>
      <c r="S2948" t="s">
        <v>46</v>
      </c>
      <c r="T2948">
        <v>82658</v>
      </c>
      <c r="U2948" t="s">
        <v>33</v>
      </c>
      <c r="V2948" t="s">
        <v>33</v>
      </c>
      <c r="W2948" t="s">
        <v>37</v>
      </c>
      <c r="X2948" t="s">
        <v>38</v>
      </c>
      <c r="Y2948" s="9">
        <f t="shared" si="139"/>
        <v>0</v>
      </c>
      <c r="Z2948" t="str">
        <f t="shared" si="140"/>
        <v>สแกนต่าง Cost</v>
      </c>
    </row>
    <row r="2949" spans="1:26" x14ac:dyDescent="0.45">
      <c r="B2949" t="s">
        <v>53</v>
      </c>
      <c r="C2949">
        <v>20060579</v>
      </c>
      <c r="D2949" t="s">
        <v>39</v>
      </c>
      <c r="E2949" s="10">
        <v>46113.604166666664</v>
      </c>
      <c r="F2949" s="10">
        <v>46113.625</v>
      </c>
      <c r="G2949">
        <v>0.5</v>
      </c>
      <c r="H2949" s="9">
        <f t="shared" si="138"/>
        <v>3.0000000000000001E-3</v>
      </c>
      <c r="I2949">
        <v>3.0000000000000001E-3</v>
      </c>
      <c r="M2949" t="s">
        <v>65</v>
      </c>
      <c r="N2949" t="s">
        <v>29</v>
      </c>
      <c r="P2949" t="s">
        <v>30</v>
      </c>
      <c r="Q2949" t="s">
        <v>31</v>
      </c>
      <c r="R2949">
        <v>82640</v>
      </c>
      <c r="S2949" t="s">
        <v>42</v>
      </c>
      <c r="T2949">
        <v>82622</v>
      </c>
      <c r="U2949" t="s">
        <v>147</v>
      </c>
      <c r="V2949" t="s">
        <v>66</v>
      </c>
      <c r="W2949" t="s">
        <v>44</v>
      </c>
      <c r="X2949" t="s">
        <v>44</v>
      </c>
      <c r="Y2949" s="9">
        <f t="shared" si="139"/>
        <v>0</v>
      </c>
      <c r="Z2949" t="str">
        <f t="shared" si="140"/>
        <v>สแกนต่าง Cost</v>
      </c>
    </row>
    <row r="2950" spans="1:26" x14ac:dyDescent="0.45">
      <c r="B2950" t="s">
        <v>53</v>
      </c>
      <c r="C2950">
        <v>20310530</v>
      </c>
      <c r="D2950" t="s">
        <v>220</v>
      </c>
      <c r="E2950" s="10">
        <v>46113.604166666664</v>
      </c>
      <c r="F2950" s="10">
        <v>46113.666666666664</v>
      </c>
      <c r="G2950">
        <v>1.5</v>
      </c>
      <c r="H2950" s="9">
        <f t="shared" si="138"/>
        <v>8.0000000000000002E-3</v>
      </c>
      <c r="I2950">
        <v>8.0000000000000002E-3</v>
      </c>
      <c r="M2950" t="s">
        <v>65</v>
      </c>
      <c r="N2950" t="s">
        <v>29</v>
      </c>
      <c r="P2950" t="s">
        <v>30</v>
      </c>
      <c r="Q2950" t="s">
        <v>31</v>
      </c>
      <c r="R2950">
        <v>82640</v>
      </c>
      <c r="S2950" t="s">
        <v>42</v>
      </c>
      <c r="T2950">
        <v>82611</v>
      </c>
      <c r="U2950" t="s">
        <v>43</v>
      </c>
      <c r="V2950" t="s">
        <v>66</v>
      </c>
      <c r="W2950" t="s">
        <v>44</v>
      </c>
      <c r="X2950" t="s">
        <v>44</v>
      </c>
      <c r="Y2950" s="9">
        <f t="shared" si="139"/>
        <v>0</v>
      </c>
      <c r="Z2950" t="str">
        <f t="shared" si="140"/>
        <v>สแกนต่าง Cost</v>
      </c>
    </row>
    <row r="2951" spans="1:26" x14ac:dyDescent="0.45">
      <c r="B2951" t="s">
        <v>53</v>
      </c>
      <c r="C2951">
        <v>20332134</v>
      </c>
      <c r="D2951" t="s">
        <v>156</v>
      </c>
      <c r="E2951" s="10">
        <v>46113.604166666664</v>
      </c>
      <c r="F2951" s="10">
        <v>46113.666666666664</v>
      </c>
      <c r="G2951">
        <v>1.5</v>
      </c>
      <c r="H2951" s="9">
        <f t="shared" si="138"/>
        <v>8.0000000000000002E-3</v>
      </c>
      <c r="I2951">
        <v>8.0000000000000002E-3</v>
      </c>
      <c r="M2951" t="s">
        <v>65</v>
      </c>
      <c r="N2951" t="s">
        <v>29</v>
      </c>
      <c r="P2951" t="s">
        <v>30</v>
      </c>
      <c r="Q2951" t="s">
        <v>31</v>
      </c>
      <c r="R2951">
        <v>82640</v>
      </c>
      <c r="S2951" t="s">
        <v>42</v>
      </c>
      <c r="T2951">
        <v>82612</v>
      </c>
      <c r="U2951" t="s">
        <v>153</v>
      </c>
      <c r="V2951" t="s">
        <v>66</v>
      </c>
      <c r="W2951" t="s">
        <v>44</v>
      </c>
      <c r="X2951" t="s">
        <v>44</v>
      </c>
      <c r="Y2951" s="9">
        <f t="shared" si="139"/>
        <v>0</v>
      </c>
      <c r="Z2951" t="str">
        <f t="shared" si="140"/>
        <v>สแกนต่าง Cost</v>
      </c>
    </row>
    <row r="2952" spans="1:26" x14ac:dyDescent="0.45">
      <c r="B2952" t="s">
        <v>53</v>
      </c>
      <c r="C2952">
        <v>20368087</v>
      </c>
      <c r="D2952" t="s">
        <v>260</v>
      </c>
      <c r="E2952" s="10">
        <v>46113.604166666664</v>
      </c>
      <c r="F2952" s="10">
        <v>46113.666666666664</v>
      </c>
      <c r="G2952">
        <v>1.5</v>
      </c>
      <c r="H2952" s="9">
        <f t="shared" si="138"/>
        <v>8.0000000000000002E-3</v>
      </c>
      <c r="I2952">
        <v>8.0000000000000002E-3</v>
      </c>
      <c r="M2952" t="s">
        <v>65</v>
      </c>
      <c r="N2952" t="s">
        <v>29</v>
      </c>
      <c r="P2952" t="s">
        <v>30</v>
      </c>
      <c r="Q2952" t="s">
        <v>31</v>
      </c>
      <c r="R2952">
        <v>82640</v>
      </c>
      <c r="S2952" t="s">
        <v>42</v>
      </c>
      <c r="T2952">
        <v>82630</v>
      </c>
      <c r="U2952" t="s">
        <v>32</v>
      </c>
      <c r="V2952" t="s">
        <v>66</v>
      </c>
      <c r="W2952" t="s">
        <v>44</v>
      </c>
      <c r="X2952" t="s">
        <v>44</v>
      </c>
      <c r="Y2952" s="9">
        <f t="shared" si="139"/>
        <v>0</v>
      </c>
      <c r="Z2952" t="str">
        <f t="shared" si="140"/>
        <v>สแกนต่าง Cost</v>
      </c>
    </row>
    <row r="2953" spans="1:26" x14ac:dyDescent="0.45">
      <c r="B2953" t="s">
        <v>53</v>
      </c>
      <c r="C2953">
        <v>20198839</v>
      </c>
      <c r="D2953" t="s">
        <v>258</v>
      </c>
      <c r="E2953" s="10">
        <v>46113.583333333336</v>
      </c>
      <c r="F2953" s="10">
        <v>46113.625</v>
      </c>
      <c r="G2953">
        <v>1</v>
      </c>
      <c r="H2953" s="9">
        <f t="shared" si="138"/>
        <v>5.0000000000000001E-3</v>
      </c>
      <c r="I2953">
        <v>5.0000000000000001E-3</v>
      </c>
      <c r="M2953" t="s">
        <v>65</v>
      </c>
      <c r="N2953" t="s">
        <v>29</v>
      </c>
      <c r="P2953" t="s">
        <v>30</v>
      </c>
      <c r="Q2953" t="s">
        <v>31</v>
      </c>
      <c r="R2953">
        <v>82640</v>
      </c>
      <c r="S2953" t="s">
        <v>42</v>
      </c>
      <c r="T2953">
        <v>82612</v>
      </c>
      <c r="U2953" t="s">
        <v>153</v>
      </c>
      <c r="V2953" t="s">
        <v>66</v>
      </c>
      <c r="W2953" t="s">
        <v>44</v>
      </c>
      <c r="X2953" t="s">
        <v>44</v>
      </c>
      <c r="Y2953" s="9">
        <f t="shared" si="139"/>
        <v>0</v>
      </c>
      <c r="Z2953" t="str">
        <f t="shared" si="140"/>
        <v>สแกนต่าง Cost</v>
      </c>
    </row>
    <row r="2954" spans="1:26" x14ac:dyDescent="0.45">
      <c r="B2954" t="s">
        <v>53</v>
      </c>
      <c r="C2954">
        <v>20280718</v>
      </c>
      <c r="D2954" t="s">
        <v>256</v>
      </c>
      <c r="E2954" s="10">
        <v>46113.583333333336</v>
      </c>
      <c r="F2954" s="10">
        <v>46113.625</v>
      </c>
      <c r="G2954">
        <v>1</v>
      </c>
      <c r="H2954" s="9">
        <f t="shared" si="138"/>
        <v>5.0000000000000001E-3</v>
      </c>
      <c r="I2954">
        <v>5.0000000000000001E-3</v>
      </c>
      <c r="M2954" t="s">
        <v>65</v>
      </c>
      <c r="N2954" t="s">
        <v>29</v>
      </c>
      <c r="P2954" t="s">
        <v>30</v>
      </c>
      <c r="Q2954" t="s">
        <v>31</v>
      </c>
      <c r="R2954">
        <v>82640</v>
      </c>
      <c r="S2954" t="s">
        <v>42</v>
      </c>
      <c r="T2954">
        <v>82630</v>
      </c>
      <c r="U2954" t="s">
        <v>32</v>
      </c>
      <c r="V2954" t="s">
        <v>66</v>
      </c>
      <c r="W2954" t="s">
        <v>44</v>
      </c>
      <c r="X2954" t="s">
        <v>44</v>
      </c>
      <c r="Y2954" s="9">
        <f t="shared" si="139"/>
        <v>0</v>
      </c>
      <c r="Z2954" t="str">
        <f t="shared" si="140"/>
        <v>สแกนต่าง Cost</v>
      </c>
    </row>
    <row r="2955" spans="1:26" x14ac:dyDescent="0.45">
      <c r="B2955" t="s">
        <v>53</v>
      </c>
      <c r="C2955">
        <v>20310530</v>
      </c>
      <c r="D2955" t="s">
        <v>220</v>
      </c>
      <c r="E2955" s="10">
        <v>46113.583333333336</v>
      </c>
      <c r="F2955" s="10">
        <v>46113.604166666664</v>
      </c>
      <c r="G2955">
        <v>0.5</v>
      </c>
      <c r="H2955" s="9">
        <f t="shared" si="138"/>
        <v>3.0000000000000001E-3</v>
      </c>
      <c r="I2955">
        <v>3.0000000000000001E-3</v>
      </c>
      <c r="M2955" t="s">
        <v>65</v>
      </c>
      <c r="N2955" t="s">
        <v>29</v>
      </c>
      <c r="P2955" t="s">
        <v>30</v>
      </c>
      <c r="Q2955" t="s">
        <v>31</v>
      </c>
      <c r="R2955">
        <v>82640</v>
      </c>
      <c r="S2955" t="s">
        <v>42</v>
      </c>
      <c r="T2955">
        <v>82622</v>
      </c>
      <c r="U2955" t="s">
        <v>147</v>
      </c>
      <c r="V2955" t="s">
        <v>66</v>
      </c>
      <c r="W2955" t="s">
        <v>44</v>
      </c>
      <c r="X2955" t="s">
        <v>44</v>
      </c>
      <c r="Y2955" s="9">
        <f t="shared" si="139"/>
        <v>0</v>
      </c>
      <c r="Z2955" t="str">
        <f t="shared" si="140"/>
        <v>สแกนต่าง Cost</v>
      </c>
    </row>
    <row r="2956" spans="1:26" x14ac:dyDescent="0.45">
      <c r="B2956" t="s">
        <v>53</v>
      </c>
      <c r="C2956">
        <v>20060579</v>
      </c>
      <c r="D2956" t="s">
        <v>39</v>
      </c>
      <c r="E2956" s="10">
        <v>46113.5625</v>
      </c>
      <c r="F2956" s="10">
        <v>46113.583333333336</v>
      </c>
      <c r="G2956">
        <v>0.5</v>
      </c>
      <c r="H2956" s="9">
        <f t="shared" si="138"/>
        <v>3.0000000000000001E-3</v>
      </c>
      <c r="I2956">
        <v>3.0000000000000001E-3</v>
      </c>
      <c r="M2956" t="s">
        <v>65</v>
      </c>
      <c r="N2956" t="s">
        <v>29</v>
      </c>
      <c r="P2956" t="s">
        <v>30</v>
      </c>
      <c r="Q2956" t="s">
        <v>31</v>
      </c>
      <c r="R2956">
        <v>82640</v>
      </c>
      <c r="S2956" t="s">
        <v>42</v>
      </c>
      <c r="T2956">
        <v>82622</v>
      </c>
      <c r="U2956" t="s">
        <v>147</v>
      </c>
      <c r="V2956" t="s">
        <v>66</v>
      </c>
      <c r="W2956" t="s">
        <v>44</v>
      </c>
      <c r="X2956" t="s">
        <v>44</v>
      </c>
      <c r="Y2956" s="9">
        <f t="shared" si="139"/>
        <v>0</v>
      </c>
      <c r="Z2956" t="str">
        <f t="shared" si="140"/>
        <v>สแกนต่าง Cost</v>
      </c>
    </row>
    <row r="2957" spans="1:26" x14ac:dyDescent="0.45">
      <c r="B2957" t="s">
        <v>53</v>
      </c>
      <c r="C2957">
        <v>20198839</v>
      </c>
      <c r="D2957" t="s">
        <v>258</v>
      </c>
      <c r="E2957" s="10">
        <v>46113.5625</v>
      </c>
      <c r="F2957" s="10">
        <v>46113.583333333336</v>
      </c>
      <c r="G2957">
        <v>0.5</v>
      </c>
      <c r="H2957" s="9">
        <f t="shared" si="138"/>
        <v>3.0000000000000001E-3</v>
      </c>
      <c r="I2957">
        <v>3.0000000000000001E-3</v>
      </c>
      <c r="M2957" t="s">
        <v>65</v>
      </c>
      <c r="N2957" t="s">
        <v>29</v>
      </c>
      <c r="P2957" t="s">
        <v>30</v>
      </c>
      <c r="Q2957" t="s">
        <v>31</v>
      </c>
      <c r="R2957">
        <v>82640</v>
      </c>
      <c r="S2957" t="s">
        <v>42</v>
      </c>
      <c r="T2957">
        <v>82630</v>
      </c>
      <c r="U2957" t="s">
        <v>32</v>
      </c>
      <c r="V2957" t="s">
        <v>66</v>
      </c>
      <c r="W2957" t="s">
        <v>44</v>
      </c>
      <c r="X2957" t="s">
        <v>44</v>
      </c>
      <c r="Y2957" s="9">
        <f t="shared" si="139"/>
        <v>0</v>
      </c>
      <c r="Z2957" t="str">
        <f t="shared" si="140"/>
        <v>สแกนต่าง Cost</v>
      </c>
    </row>
    <row r="2958" spans="1:26" x14ac:dyDescent="0.45">
      <c r="B2958" t="s">
        <v>53</v>
      </c>
      <c r="C2958">
        <v>20018899</v>
      </c>
      <c r="D2958" t="s">
        <v>64</v>
      </c>
      <c r="E2958" s="10">
        <v>46113.541666666664</v>
      </c>
      <c r="F2958" s="10">
        <v>46113.729166666664</v>
      </c>
      <c r="G2958">
        <v>4.5</v>
      </c>
      <c r="H2958" s="9">
        <f t="shared" si="138"/>
        <v>2.4E-2</v>
      </c>
      <c r="I2958">
        <v>2.4E-2</v>
      </c>
      <c r="M2958" t="s">
        <v>65</v>
      </c>
      <c r="N2958" t="s">
        <v>29</v>
      </c>
      <c r="P2958" t="s">
        <v>30</v>
      </c>
      <c r="Q2958" t="s">
        <v>31</v>
      </c>
      <c r="R2958">
        <v>82640</v>
      </c>
      <c r="S2958" t="s">
        <v>42</v>
      </c>
      <c r="T2958">
        <v>82652</v>
      </c>
      <c r="U2958" t="s">
        <v>46</v>
      </c>
      <c r="V2958" t="s">
        <v>66</v>
      </c>
      <c r="W2958" t="s">
        <v>37</v>
      </c>
      <c r="X2958" t="s">
        <v>34</v>
      </c>
      <c r="Y2958" s="9">
        <f t="shared" si="139"/>
        <v>0</v>
      </c>
      <c r="Z2958" t="str">
        <f t="shared" si="140"/>
        <v>สแกนต่าง Cost</v>
      </c>
    </row>
    <row r="2959" spans="1:26" x14ac:dyDescent="0.45">
      <c r="B2959" t="s">
        <v>53</v>
      </c>
      <c r="C2959">
        <v>20026534</v>
      </c>
      <c r="D2959" t="s">
        <v>279</v>
      </c>
      <c r="E2959" s="10">
        <v>46113.541666666664</v>
      </c>
      <c r="F2959" s="10">
        <v>46113.666666666664</v>
      </c>
      <c r="G2959">
        <v>3</v>
      </c>
      <c r="H2959" s="9">
        <f t="shared" si="138"/>
        <v>1.6E-2</v>
      </c>
      <c r="I2959">
        <v>1.6E-2</v>
      </c>
      <c r="M2959" t="s">
        <v>65</v>
      </c>
      <c r="N2959" t="s">
        <v>29</v>
      </c>
      <c r="P2959" t="s">
        <v>30</v>
      </c>
      <c r="Q2959" t="s">
        <v>31</v>
      </c>
      <c r="R2959">
        <v>82640</v>
      </c>
      <c r="S2959" t="s">
        <v>42</v>
      </c>
      <c r="T2959">
        <v>82630</v>
      </c>
      <c r="U2959" t="s">
        <v>32</v>
      </c>
      <c r="V2959" t="s">
        <v>66</v>
      </c>
      <c r="W2959" t="s">
        <v>44</v>
      </c>
      <c r="X2959" t="s">
        <v>44</v>
      </c>
      <c r="Y2959" s="9">
        <f t="shared" si="139"/>
        <v>0</v>
      </c>
      <c r="Z2959" t="str">
        <f t="shared" si="140"/>
        <v>สแกนต่าง Cost</v>
      </c>
    </row>
    <row r="2960" spans="1:26" x14ac:dyDescent="0.45">
      <c r="B2960" t="s">
        <v>53</v>
      </c>
      <c r="C2960">
        <v>20060579</v>
      </c>
      <c r="D2960" t="s">
        <v>39</v>
      </c>
      <c r="E2960" s="10">
        <v>46113.541666666664</v>
      </c>
      <c r="F2960" s="10">
        <v>46113.5625</v>
      </c>
      <c r="G2960">
        <v>0.5</v>
      </c>
      <c r="H2960" s="9">
        <f t="shared" si="138"/>
        <v>3.0000000000000001E-3</v>
      </c>
      <c r="I2960">
        <v>3.0000000000000001E-3</v>
      </c>
      <c r="M2960" t="s">
        <v>65</v>
      </c>
      <c r="N2960" t="s">
        <v>29</v>
      </c>
      <c r="P2960" t="s">
        <v>30</v>
      </c>
      <c r="Q2960" t="s">
        <v>31</v>
      </c>
      <c r="R2960">
        <v>82640</v>
      </c>
      <c r="S2960" t="s">
        <v>42</v>
      </c>
      <c r="T2960">
        <v>82611</v>
      </c>
      <c r="U2960" t="s">
        <v>43</v>
      </c>
      <c r="V2960" t="s">
        <v>66</v>
      </c>
      <c r="W2960" t="s">
        <v>44</v>
      </c>
      <c r="X2960" t="s">
        <v>44</v>
      </c>
      <c r="Y2960" s="9">
        <f t="shared" si="139"/>
        <v>0</v>
      </c>
      <c r="Z2960" t="str">
        <f t="shared" si="140"/>
        <v>สแกนต่าง Cost</v>
      </c>
    </row>
    <row r="2961" spans="1:26" x14ac:dyDescent="0.45">
      <c r="B2961" t="s">
        <v>53</v>
      </c>
      <c r="C2961">
        <v>20167851</v>
      </c>
      <c r="D2961" t="s">
        <v>63</v>
      </c>
      <c r="E2961" s="10">
        <v>46113.541666666664</v>
      </c>
      <c r="F2961" s="10">
        <v>46113.6875</v>
      </c>
      <c r="G2961">
        <v>3.5</v>
      </c>
      <c r="H2961" s="9">
        <f t="shared" si="138"/>
        <v>1.9E-2</v>
      </c>
      <c r="I2961">
        <v>1.9E-2</v>
      </c>
      <c r="M2961" t="s">
        <v>65</v>
      </c>
      <c r="N2961" t="s">
        <v>29</v>
      </c>
      <c r="P2961" t="s">
        <v>30</v>
      </c>
      <c r="Q2961" t="s">
        <v>31</v>
      </c>
      <c r="R2961">
        <v>82640</v>
      </c>
      <c r="S2961" t="s">
        <v>42</v>
      </c>
      <c r="T2961">
        <v>82630</v>
      </c>
      <c r="U2961" t="s">
        <v>32</v>
      </c>
      <c r="V2961" t="s">
        <v>66</v>
      </c>
      <c r="W2961" t="s">
        <v>44</v>
      </c>
      <c r="X2961" t="s">
        <v>44</v>
      </c>
      <c r="Y2961" s="9">
        <f t="shared" si="139"/>
        <v>0</v>
      </c>
      <c r="Z2961" t="str">
        <f t="shared" si="140"/>
        <v>สแกนต่าง Cost</v>
      </c>
    </row>
    <row r="2962" spans="1:26" x14ac:dyDescent="0.45">
      <c r="B2962" t="s">
        <v>53</v>
      </c>
      <c r="C2962">
        <v>20220646</v>
      </c>
      <c r="D2962" t="s">
        <v>67</v>
      </c>
      <c r="E2962" s="10">
        <v>46113.541666666664</v>
      </c>
      <c r="F2962" s="10">
        <v>46113.729166666664</v>
      </c>
      <c r="G2962">
        <v>4.5</v>
      </c>
      <c r="H2962" s="9">
        <f t="shared" si="138"/>
        <v>2.4E-2</v>
      </c>
      <c r="J2962">
        <v>2.4E-2</v>
      </c>
      <c r="M2962" t="s">
        <v>77</v>
      </c>
      <c r="N2962" t="s">
        <v>29</v>
      </c>
      <c r="P2962" t="s">
        <v>30</v>
      </c>
      <c r="Q2962" t="s">
        <v>31</v>
      </c>
      <c r="R2962">
        <v>82640</v>
      </c>
      <c r="S2962" t="s">
        <v>42</v>
      </c>
      <c r="T2962">
        <v>82652</v>
      </c>
      <c r="U2962" t="s">
        <v>46</v>
      </c>
      <c r="V2962" t="s">
        <v>66</v>
      </c>
      <c r="W2962" t="s">
        <v>37</v>
      </c>
      <c r="X2962" t="s">
        <v>34</v>
      </c>
      <c r="Y2962" s="9">
        <f t="shared" si="139"/>
        <v>2.4E-2</v>
      </c>
      <c r="Z2962" t="str">
        <f t="shared" si="140"/>
        <v>สแกนต่าง Cost</v>
      </c>
    </row>
    <row r="2963" spans="1:26" x14ac:dyDescent="0.45">
      <c r="B2963" t="s">
        <v>53</v>
      </c>
      <c r="C2963">
        <v>20244923</v>
      </c>
      <c r="D2963" t="s">
        <v>246</v>
      </c>
      <c r="E2963" s="10">
        <v>46113.541666666664</v>
      </c>
      <c r="F2963" s="10">
        <v>46113.645833333336</v>
      </c>
      <c r="G2963">
        <v>2.5</v>
      </c>
      <c r="H2963" s="9">
        <f t="shared" si="138"/>
        <v>1.2999999999999999E-2</v>
      </c>
      <c r="I2963">
        <v>1.2999999999999999E-2</v>
      </c>
      <c r="M2963" t="s">
        <v>65</v>
      </c>
      <c r="N2963" t="s">
        <v>29</v>
      </c>
      <c r="P2963" t="s">
        <v>30</v>
      </c>
      <c r="Q2963" t="s">
        <v>31</v>
      </c>
      <c r="R2963">
        <v>82640</v>
      </c>
      <c r="S2963" t="s">
        <v>42</v>
      </c>
      <c r="T2963">
        <v>82630</v>
      </c>
      <c r="U2963" t="s">
        <v>32</v>
      </c>
      <c r="V2963" t="s">
        <v>66</v>
      </c>
      <c r="W2963" t="s">
        <v>44</v>
      </c>
      <c r="X2963" t="s">
        <v>44</v>
      </c>
      <c r="Y2963" s="9">
        <f t="shared" si="139"/>
        <v>0</v>
      </c>
      <c r="Z2963" t="str">
        <f t="shared" si="140"/>
        <v>สแกนต่าง Cost</v>
      </c>
    </row>
    <row r="2964" spans="1:26" x14ac:dyDescent="0.45">
      <c r="B2964" t="s">
        <v>53</v>
      </c>
      <c r="C2964">
        <v>20280718</v>
      </c>
      <c r="D2964" t="s">
        <v>256</v>
      </c>
      <c r="E2964" s="10">
        <v>46113.541666666664</v>
      </c>
      <c r="F2964" s="10">
        <v>46113.5625</v>
      </c>
      <c r="G2964">
        <v>0.5</v>
      </c>
      <c r="H2964" s="9">
        <f t="shared" si="138"/>
        <v>3.0000000000000001E-3</v>
      </c>
      <c r="I2964">
        <v>3.0000000000000001E-3</v>
      </c>
      <c r="M2964" t="s">
        <v>65</v>
      </c>
      <c r="N2964" t="s">
        <v>29</v>
      </c>
      <c r="P2964" t="s">
        <v>30</v>
      </c>
      <c r="Q2964" t="s">
        <v>31</v>
      </c>
      <c r="R2964">
        <v>82640</v>
      </c>
      <c r="S2964" t="s">
        <v>42</v>
      </c>
      <c r="T2964">
        <v>82630</v>
      </c>
      <c r="U2964" t="s">
        <v>32</v>
      </c>
      <c r="V2964" t="s">
        <v>66</v>
      </c>
      <c r="W2964" t="s">
        <v>44</v>
      </c>
      <c r="X2964" t="s">
        <v>44</v>
      </c>
      <c r="Y2964" s="9">
        <f t="shared" si="139"/>
        <v>0</v>
      </c>
      <c r="Z2964" t="str">
        <f t="shared" si="140"/>
        <v>สแกนต่าง Cost</v>
      </c>
    </row>
    <row r="2965" spans="1:26" x14ac:dyDescent="0.45">
      <c r="B2965" t="s">
        <v>53</v>
      </c>
      <c r="C2965">
        <v>20280718</v>
      </c>
      <c r="D2965" t="s">
        <v>256</v>
      </c>
      <c r="E2965" s="10">
        <v>46113.541666666664</v>
      </c>
      <c r="F2965" s="10">
        <v>46113.645833333336</v>
      </c>
      <c r="G2965">
        <v>2.5</v>
      </c>
      <c r="H2965" s="9">
        <f t="shared" si="138"/>
        <v>1.2999999999999999E-2</v>
      </c>
      <c r="I2965">
        <v>1.2999999999999999E-2</v>
      </c>
      <c r="M2965" t="s">
        <v>65</v>
      </c>
      <c r="N2965" t="s">
        <v>29</v>
      </c>
      <c r="P2965" t="s">
        <v>30</v>
      </c>
      <c r="Q2965" t="s">
        <v>31</v>
      </c>
      <c r="R2965">
        <v>82640</v>
      </c>
      <c r="S2965" t="s">
        <v>42</v>
      </c>
      <c r="T2965">
        <v>82630</v>
      </c>
      <c r="U2965" t="s">
        <v>32</v>
      </c>
      <c r="V2965" t="s">
        <v>66</v>
      </c>
      <c r="W2965" t="s">
        <v>44</v>
      </c>
      <c r="X2965" t="s">
        <v>44</v>
      </c>
      <c r="Y2965" s="9">
        <f t="shared" si="139"/>
        <v>0</v>
      </c>
      <c r="Z2965" t="str">
        <f t="shared" si="140"/>
        <v>สแกนต่าง Cost</v>
      </c>
    </row>
    <row r="2966" spans="1:26" x14ac:dyDescent="0.45">
      <c r="B2966" t="s">
        <v>53</v>
      </c>
      <c r="C2966">
        <v>20280722</v>
      </c>
      <c r="D2966" t="s">
        <v>342</v>
      </c>
      <c r="E2966" s="10">
        <v>46113.541666666664</v>
      </c>
      <c r="F2966" s="10">
        <v>46113.729166666664</v>
      </c>
      <c r="G2966">
        <v>4.5</v>
      </c>
      <c r="H2966" s="9">
        <f t="shared" si="138"/>
        <v>2.4E-2</v>
      </c>
      <c r="I2966">
        <v>2.4E-2</v>
      </c>
      <c r="M2966" t="s">
        <v>65</v>
      </c>
      <c r="N2966" t="s">
        <v>29</v>
      </c>
      <c r="P2966" t="s">
        <v>30</v>
      </c>
      <c r="Q2966" t="s">
        <v>31</v>
      </c>
      <c r="R2966">
        <v>82640</v>
      </c>
      <c r="S2966" t="s">
        <v>42</v>
      </c>
      <c r="T2966">
        <v>82652</v>
      </c>
      <c r="U2966" t="s">
        <v>46</v>
      </c>
      <c r="V2966" t="s">
        <v>66</v>
      </c>
      <c r="W2966" t="s">
        <v>37</v>
      </c>
      <c r="X2966" t="s">
        <v>34</v>
      </c>
      <c r="Y2966" s="9">
        <f t="shared" si="139"/>
        <v>0</v>
      </c>
      <c r="Z2966" t="str">
        <f t="shared" si="140"/>
        <v>สแกนต่าง Cost</v>
      </c>
    </row>
    <row r="2967" spans="1:26" x14ac:dyDescent="0.45">
      <c r="B2967" t="s">
        <v>53</v>
      </c>
      <c r="C2967">
        <v>20310530</v>
      </c>
      <c r="D2967" t="s">
        <v>220</v>
      </c>
      <c r="E2967" s="10">
        <v>46113.541666666664</v>
      </c>
      <c r="F2967" s="10">
        <v>46113.5625</v>
      </c>
      <c r="G2967">
        <v>0.5</v>
      </c>
      <c r="H2967" s="9">
        <f t="shared" si="138"/>
        <v>3.0000000000000001E-3</v>
      </c>
      <c r="I2967">
        <v>3.0000000000000001E-3</v>
      </c>
      <c r="M2967" t="s">
        <v>65</v>
      </c>
      <c r="N2967" t="s">
        <v>29</v>
      </c>
      <c r="P2967" t="s">
        <v>30</v>
      </c>
      <c r="Q2967" t="s">
        <v>31</v>
      </c>
      <c r="R2967">
        <v>82640</v>
      </c>
      <c r="S2967" t="s">
        <v>42</v>
      </c>
      <c r="T2967">
        <v>82630</v>
      </c>
      <c r="U2967" t="s">
        <v>32</v>
      </c>
      <c r="V2967" t="s">
        <v>66</v>
      </c>
      <c r="W2967" t="s">
        <v>44</v>
      </c>
      <c r="X2967" t="s">
        <v>44</v>
      </c>
      <c r="Y2967" s="9">
        <f t="shared" si="139"/>
        <v>0</v>
      </c>
      <c r="Z2967" t="str">
        <f t="shared" si="140"/>
        <v>สแกนต่าง Cost</v>
      </c>
    </row>
    <row r="2968" spans="1:26" x14ac:dyDescent="0.45">
      <c r="B2968" t="s">
        <v>53</v>
      </c>
      <c r="C2968">
        <v>20332134</v>
      </c>
      <c r="D2968" t="s">
        <v>156</v>
      </c>
      <c r="E2968" s="10">
        <v>46113.541666666664</v>
      </c>
      <c r="F2968" s="10">
        <v>46113.604166666664</v>
      </c>
      <c r="G2968">
        <v>1.5</v>
      </c>
      <c r="H2968" s="9">
        <f t="shared" si="138"/>
        <v>8.0000000000000002E-3</v>
      </c>
      <c r="I2968">
        <v>8.0000000000000002E-3</v>
      </c>
      <c r="M2968" t="s">
        <v>65</v>
      </c>
      <c r="N2968" t="s">
        <v>29</v>
      </c>
      <c r="P2968" t="s">
        <v>30</v>
      </c>
      <c r="Q2968" t="s">
        <v>31</v>
      </c>
      <c r="R2968">
        <v>82640</v>
      </c>
      <c r="S2968" t="s">
        <v>42</v>
      </c>
      <c r="T2968">
        <v>82630</v>
      </c>
      <c r="U2968" t="s">
        <v>32</v>
      </c>
      <c r="V2968" t="s">
        <v>66</v>
      </c>
      <c r="W2968" t="s">
        <v>44</v>
      </c>
      <c r="X2968" t="s">
        <v>44</v>
      </c>
      <c r="Y2968" s="9">
        <f t="shared" si="139"/>
        <v>0</v>
      </c>
      <c r="Z2968" t="str">
        <f t="shared" si="140"/>
        <v>สแกนต่าง Cost</v>
      </c>
    </row>
    <row r="2969" spans="1:26" x14ac:dyDescent="0.45">
      <c r="B2969" t="s">
        <v>53</v>
      </c>
      <c r="C2969">
        <v>20340657</v>
      </c>
      <c r="D2969" t="s">
        <v>221</v>
      </c>
      <c r="E2969" s="10">
        <v>46113.541666666664</v>
      </c>
      <c r="F2969" s="10">
        <v>46113.729166666664</v>
      </c>
      <c r="G2969">
        <v>4.5</v>
      </c>
      <c r="H2969" s="9">
        <f t="shared" si="138"/>
        <v>2.4E-2</v>
      </c>
      <c r="I2969">
        <v>2.4E-2</v>
      </c>
      <c r="M2969" t="s">
        <v>65</v>
      </c>
      <c r="N2969" t="s">
        <v>29</v>
      </c>
      <c r="P2969" t="s">
        <v>30</v>
      </c>
      <c r="Q2969" t="s">
        <v>31</v>
      </c>
      <c r="R2969">
        <v>82640</v>
      </c>
      <c r="S2969" t="s">
        <v>42</v>
      </c>
      <c r="T2969">
        <v>82630</v>
      </c>
      <c r="U2969" t="s">
        <v>32</v>
      </c>
      <c r="V2969" t="s">
        <v>66</v>
      </c>
      <c r="W2969" t="s">
        <v>44</v>
      </c>
      <c r="X2969" t="s">
        <v>44</v>
      </c>
      <c r="Y2969" s="9">
        <f t="shared" si="139"/>
        <v>0</v>
      </c>
      <c r="Z2969" t="str">
        <f t="shared" si="140"/>
        <v>สแกนต่าง Cost</v>
      </c>
    </row>
    <row r="2970" spans="1:26" x14ac:dyDescent="0.45">
      <c r="B2970" t="s">
        <v>53</v>
      </c>
      <c r="C2970">
        <v>20060579</v>
      </c>
      <c r="D2970" t="s">
        <v>39</v>
      </c>
      <c r="E2970" s="10">
        <v>46113.479166666664</v>
      </c>
      <c r="F2970" s="10">
        <v>46113.5</v>
      </c>
      <c r="G2970">
        <v>0.5</v>
      </c>
      <c r="H2970" s="9">
        <f t="shared" si="138"/>
        <v>3.0000000000000001E-3</v>
      </c>
      <c r="I2970">
        <v>3.0000000000000001E-3</v>
      </c>
      <c r="M2970" t="s">
        <v>65</v>
      </c>
      <c r="N2970" t="s">
        <v>29</v>
      </c>
      <c r="P2970" t="s">
        <v>30</v>
      </c>
      <c r="Q2970" t="s">
        <v>31</v>
      </c>
      <c r="R2970">
        <v>82640</v>
      </c>
      <c r="S2970" t="s">
        <v>42</v>
      </c>
      <c r="T2970">
        <v>82612</v>
      </c>
      <c r="U2970" t="s">
        <v>153</v>
      </c>
      <c r="V2970" t="s">
        <v>66</v>
      </c>
      <c r="W2970" t="s">
        <v>44</v>
      </c>
      <c r="X2970" t="s">
        <v>44</v>
      </c>
      <c r="Y2970" s="9">
        <f t="shared" si="139"/>
        <v>0</v>
      </c>
      <c r="Z2970" t="str">
        <f t="shared" si="140"/>
        <v>สแกนต่าง Cost</v>
      </c>
    </row>
    <row r="2971" spans="1:26" x14ac:dyDescent="0.45">
      <c r="B2971" t="s">
        <v>53</v>
      </c>
      <c r="C2971">
        <v>20310530</v>
      </c>
      <c r="D2971" t="s">
        <v>220</v>
      </c>
      <c r="E2971" s="10">
        <v>46113.479166666664</v>
      </c>
      <c r="F2971" s="10">
        <v>46113.5</v>
      </c>
      <c r="G2971">
        <v>0.5</v>
      </c>
      <c r="H2971" s="9">
        <f t="shared" si="138"/>
        <v>3.0000000000000001E-3</v>
      </c>
      <c r="I2971">
        <v>3.0000000000000001E-3</v>
      </c>
      <c r="M2971" t="s">
        <v>65</v>
      </c>
      <c r="N2971" t="s">
        <v>29</v>
      </c>
      <c r="P2971" t="s">
        <v>30</v>
      </c>
      <c r="Q2971" t="s">
        <v>31</v>
      </c>
      <c r="R2971">
        <v>82640</v>
      </c>
      <c r="S2971" t="s">
        <v>42</v>
      </c>
      <c r="T2971">
        <v>82630</v>
      </c>
      <c r="U2971" t="s">
        <v>32</v>
      </c>
      <c r="V2971" t="s">
        <v>66</v>
      </c>
      <c r="W2971" t="s">
        <v>44</v>
      </c>
      <c r="X2971" t="s">
        <v>44</v>
      </c>
      <c r="Y2971" s="9">
        <f t="shared" si="139"/>
        <v>0</v>
      </c>
      <c r="Z2971" t="str">
        <f t="shared" si="140"/>
        <v>สแกนต่าง Cost</v>
      </c>
    </row>
    <row r="2972" spans="1:26" x14ac:dyDescent="0.45">
      <c r="B2972" t="s">
        <v>53</v>
      </c>
      <c r="C2972">
        <v>20368087</v>
      </c>
      <c r="D2972" t="s">
        <v>260</v>
      </c>
      <c r="E2972" s="10">
        <v>46113.479166666664</v>
      </c>
      <c r="F2972" s="10">
        <v>46113.5</v>
      </c>
      <c r="G2972">
        <v>0.5</v>
      </c>
      <c r="H2972" s="9">
        <f t="shared" si="138"/>
        <v>3.0000000000000001E-3</v>
      </c>
      <c r="I2972">
        <v>3.0000000000000001E-3</v>
      </c>
      <c r="M2972" t="s">
        <v>65</v>
      </c>
      <c r="N2972" t="s">
        <v>29</v>
      </c>
      <c r="P2972" t="s">
        <v>30</v>
      </c>
      <c r="Q2972" t="s">
        <v>31</v>
      </c>
      <c r="R2972">
        <v>82640</v>
      </c>
      <c r="S2972" t="s">
        <v>42</v>
      </c>
      <c r="T2972">
        <v>82612</v>
      </c>
      <c r="U2972" t="s">
        <v>153</v>
      </c>
      <c r="V2972" t="s">
        <v>66</v>
      </c>
      <c r="W2972" t="s">
        <v>44</v>
      </c>
      <c r="X2972" t="s">
        <v>44</v>
      </c>
      <c r="Y2972" s="9">
        <f t="shared" si="139"/>
        <v>0</v>
      </c>
      <c r="Z2972" t="str">
        <f t="shared" si="140"/>
        <v>สแกนต่าง Cost</v>
      </c>
    </row>
    <row r="2973" spans="1:26" x14ac:dyDescent="0.45">
      <c r="A2973">
        <v>25439</v>
      </c>
      <c r="B2973" t="s">
        <v>53</v>
      </c>
      <c r="C2973">
        <v>20048905</v>
      </c>
      <c r="D2973" t="s">
        <v>73</v>
      </c>
      <c r="E2973" s="10">
        <v>46113.474305555559</v>
      </c>
      <c r="F2973" s="10">
        <v>46113.981249999997</v>
      </c>
      <c r="G2973">
        <v>12.166666666666666</v>
      </c>
      <c r="H2973" s="9">
        <f t="shared" si="138"/>
        <v>6.5000000000000002E-2</v>
      </c>
      <c r="I2973">
        <v>4.4999999999999998E-2</v>
      </c>
      <c r="K2973">
        <v>0.02</v>
      </c>
      <c r="M2973" t="s">
        <v>28</v>
      </c>
      <c r="N2973" t="s">
        <v>40</v>
      </c>
      <c r="O2973" t="s">
        <v>41</v>
      </c>
      <c r="P2973" t="s">
        <v>30</v>
      </c>
      <c r="Q2973" t="s">
        <v>31</v>
      </c>
      <c r="R2973">
        <v>82409</v>
      </c>
      <c r="S2973" t="s">
        <v>74</v>
      </c>
      <c r="T2973">
        <v>82664</v>
      </c>
      <c r="U2973" t="s">
        <v>75</v>
      </c>
      <c r="V2973" t="s">
        <v>75</v>
      </c>
      <c r="W2973" t="s">
        <v>74</v>
      </c>
      <c r="X2973" t="s">
        <v>74</v>
      </c>
      <c r="Y2973" s="9">
        <f t="shared" si="139"/>
        <v>0.02</v>
      </c>
      <c r="Z2973" t="str">
        <f t="shared" si="140"/>
        <v>สแกนต่าง Cost</v>
      </c>
    </row>
    <row r="2974" spans="1:26" x14ac:dyDescent="0.45">
      <c r="B2974" t="s">
        <v>53</v>
      </c>
      <c r="C2974">
        <v>20060579</v>
      </c>
      <c r="D2974" t="s">
        <v>39</v>
      </c>
      <c r="E2974" s="10">
        <v>46113.458333333336</v>
      </c>
      <c r="F2974" s="10">
        <v>46113.479166666664</v>
      </c>
      <c r="G2974">
        <v>0.5</v>
      </c>
      <c r="H2974" s="9">
        <f t="shared" si="138"/>
        <v>3.0000000000000001E-3</v>
      </c>
      <c r="I2974">
        <v>3.0000000000000001E-3</v>
      </c>
      <c r="M2974" t="s">
        <v>65</v>
      </c>
      <c r="N2974" t="s">
        <v>29</v>
      </c>
      <c r="P2974" t="s">
        <v>30</v>
      </c>
      <c r="Q2974" t="s">
        <v>31</v>
      </c>
      <c r="R2974">
        <v>82640</v>
      </c>
      <c r="S2974" t="s">
        <v>42</v>
      </c>
      <c r="T2974">
        <v>82611</v>
      </c>
      <c r="U2974" t="s">
        <v>43</v>
      </c>
      <c r="V2974" t="s">
        <v>66</v>
      </c>
      <c r="W2974" t="s">
        <v>44</v>
      </c>
      <c r="X2974" t="s">
        <v>44</v>
      </c>
      <c r="Y2974" s="9">
        <f t="shared" si="139"/>
        <v>0</v>
      </c>
      <c r="Z2974" t="str">
        <f t="shared" si="140"/>
        <v>สแกนต่าง Cost</v>
      </c>
    </row>
    <row r="2975" spans="1:26" x14ac:dyDescent="0.45">
      <c r="B2975" t="s">
        <v>53</v>
      </c>
      <c r="C2975">
        <v>20310530</v>
      </c>
      <c r="D2975" t="s">
        <v>220</v>
      </c>
      <c r="E2975" s="10">
        <v>46113.458333333336</v>
      </c>
      <c r="F2975" s="10">
        <v>46113.479166666664</v>
      </c>
      <c r="G2975">
        <v>0.5</v>
      </c>
      <c r="H2975" s="9">
        <f t="shared" si="138"/>
        <v>3.0000000000000001E-3</v>
      </c>
      <c r="I2975">
        <v>3.0000000000000001E-3</v>
      </c>
      <c r="M2975" t="s">
        <v>65</v>
      </c>
      <c r="N2975" t="s">
        <v>29</v>
      </c>
      <c r="P2975" t="s">
        <v>30</v>
      </c>
      <c r="Q2975" t="s">
        <v>31</v>
      </c>
      <c r="R2975">
        <v>82640</v>
      </c>
      <c r="S2975" t="s">
        <v>42</v>
      </c>
      <c r="T2975">
        <v>82622</v>
      </c>
      <c r="U2975" t="s">
        <v>147</v>
      </c>
      <c r="V2975" t="s">
        <v>66</v>
      </c>
      <c r="W2975" t="s">
        <v>44</v>
      </c>
      <c r="X2975" t="s">
        <v>44</v>
      </c>
      <c r="Y2975" s="9">
        <f t="shared" si="139"/>
        <v>0</v>
      </c>
      <c r="Z2975" t="str">
        <f t="shared" si="140"/>
        <v>สแกนต่าง Cost</v>
      </c>
    </row>
    <row r="2976" spans="1:26" x14ac:dyDescent="0.45">
      <c r="B2976" t="s">
        <v>53</v>
      </c>
      <c r="C2976">
        <v>20060579</v>
      </c>
      <c r="D2976" t="s">
        <v>39</v>
      </c>
      <c r="E2976" s="10">
        <v>46113.4375</v>
      </c>
      <c r="F2976" s="10">
        <v>46113.458333333336</v>
      </c>
      <c r="G2976">
        <v>0.5</v>
      </c>
      <c r="H2976" s="9">
        <f t="shared" si="138"/>
        <v>3.0000000000000001E-3</v>
      </c>
      <c r="I2976">
        <v>3.0000000000000001E-3</v>
      </c>
      <c r="M2976" t="s">
        <v>65</v>
      </c>
      <c r="N2976" t="s">
        <v>29</v>
      </c>
      <c r="P2976" t="s">
        <v>30</v>
      </c>
      <c r="Q2976" t="s">
        <v>31</v>
      </c>
      <c r="R2976">
        <v>82640</v>
      </c>
      <c r="S2976" t="s">
        <v>42</v>
      </c>
      <c r="T2976">
        <v>82622</v>
      </c>
      <c r="U2976" t="s">
        <v>147</v>
      </c>
      <c r="V2976" t="s">
        <v>66</v>
      </c>
      <c r="W2976" t="s">
        <v>44</v>
      </c>
      <c r="X2976" t="s">
        <v>44</v>
      </c>
      <c r="Y2976" s="9">
        <f t="shared" si="139"/>
        <v>0</v>
      </c>
      <c r="Z2976" t="str">
        <f t="shared" si="140"/>
        <v>สแกนต่าง Cost</v>
      </c>
    </row>
    <row r="2977" spans="1:26" x14ac:dyDescent="0.45">
      <c r="B2977" t="s">
        <v>53</v>
      </c>
      <c r="C2977">
        <v>20280718</v>
      </c>
      <c r="D2977" t="s">
        <v>256</v>
      </c>
      <c r="E2977" s="10">
        <v>46113.4375</v>
      </c>
      <c r="F2977" s="10">
        <v>46113.5</v>
      </c>
      <c r="G2977">
        <v>1.5</v>
      </c>
      <c r="H2977" s="9">
        <f t="shared" si="138"/>
        <v>8.0000000000000002E-3</v>
      </c>
      <c r="I2977">
        <v>8.0000000000000002E-3</v>
      </c>
      <c r="M2977" t="s">
        <v>65</v>
      </c>
      <c r="N2977" t="s">
        <v>29</v>
      </c>
      <c r="P2977" t="s">
        <v>30</v>
      </c>
      <c r="Q2977" t="s">
        <v>31</v>
      </c>
      <c r="R2977">
        <v>82640</v>
      </c>
      <c r="S2977" t="s">
        <v>42</v>
      </c>
      <c r="T2977">
        <v>82630</v>
      </c>
      <c r="U2977" t="s">
        <v>32</v>
      </c>
      <c r="V2977" t="s">
        <v>66</v>
      </c>
      <c r="W2977" t="s">
        <v>44</v>
      </c>
      <c r="X2977" t="s">
        <v>44</v>
      </c>
      <c r="Y2977" s="9">
        <f t="shared" si="139"/>
        <v>0</v>
      </c>
      <c r="Z2977" t="str">
        <f t="shared" si="140"/>
        <v>สแกนต่าง Cost</v>
      </c>
    </row>
    <row r="2978" spans="1:26" x14ac:dyDescent="0.45">
      <c r="B2978" t="s">
        <v>53</v>
      </c>
      <c r="C2978">
        <v>20310530</v>
      </c>
      <c r="D2978" t="s">
        <v>220</v>
      </c>
      <c r="E2978" s="10">
        <v>46113.4375</v>
      </c>
      <c r="F2978" s="10">
        <v>46113.458333333336</v>
      </c>
      <c r="G2978">
        <v>0.5</v>
      </c>
      <c r="H2978" s="9">
        <f t="shared" si="138"/>
        <v>3.0000000000000001E-3</v>
      </c>
      <c r="I2978">
        <v>3.0000000000000001E-3</v>
      </c>
      <c r="M2978" t="s">
        <v>65</v>
      </c>
      <c r="N2978" t="s">
        <v>29</v>
      </c>
      <c r="P2978" t="s">
        <v>30</v>
      </c>
      <c r="Q2978" t="s">
        <v>31</v>
      </c>
      <c r="R2978">
        <v>82640</v>
      </c>
      <c r="S2978" t="s">
        <v>42</v>
      </c>
      <c r="T2978">
        <v>82611</v>
      </c>
      <c r="U2978" t="s">
        <v>43</v>
      </c>
      <c r="V2978" t="s">
        <v>66</v>
      </c>
      <c r="W2978" t="s">
        <v>44</v>
      </c>
      <c r="X2978" t="s">
        <v>44</v>
      </c>
      <c r="Y2978" s="9">
        <f t="shared" si="139"/>
        <v>0</v>
      </c>
      <c r="Z2978" t="str">
        <f t="shared" si="140"/>
        <v>สแกนต่าง Cost</v>
      </c>
    </row>
    <row r="2979" spans="1:26" x14ac:dyDescent="0.45">
      <c r="B2979" t="s">
        <v>53</v>
      </c>
      <c r="C2979">
        <v>20332134</v>
      </c>
      <c r="D2979" t="s">
        <v>156</v>
      </c>
      <c r="E2979" s="10">
        <v>46113.4375</v>
      </c>
      <c r="F2979" s="10">
        <v>46113.5</v>
      </c>
      <c r="G2979">
        <v>1.5</v>
      </c>
      <c r="H2979" s="9">
        <f t="shared" si="138"/>
        <v>8.0000000000000002E-3</v>
      </c>
      <c r="I2979">
        <v>8.0000000000000002E-3</v>
      </c>
      <c r="M2979" t="s">
        <v>65</v>
      </c>
      <c r="N2979" t="s">
        <v>29</v>
      </c>
      <c r="P2979" t="s">
        <v>30</v>
      </c>
      <c r="Q2979" t="s">
        <v>31</v>
      </c>
      <c r="R2979">
        <v>82640</v>
      </c>
      <c r="S2979" t="s">
        <v>42</v>
      </c>
      <c r="T2979">
        <v>82630</v>
      </c>
      <c r="U2979" t="s">
        <v>32</v>
      </c>
      <c r="V2979" t="s">
        <v>66</v>
      </c>
      <c r="W2979" t="s">
        <v>44</v>
      </c>
      <c r="X2979" t="s">
        <v>44</v>
      </c>
      <c r="Y2979" s="9">
        <f t="shared" si="139"/>
        <v>0</v>
      </c>
      <c r="Z2979" t="str">
        <f t="shared" si="140"/>
        <v>สแกนต่าง Cost</v>
      </c>
    </row>
    <row r="2980" spans="1:26" x14ac:dyDescent="0.45">
      <c r="A2980">
        <v>25790</v>
      </c>
      <c r="B2980" t="s">
        <v>53</v>
      </c>
      <c r="C2980">
        <v>20344519</v>
      </c>
      <c r="D2980" t="s">
        <v>418</v>
      </c>
      <c r="E2980" s="10">
        <v>46113.423611111109</v>
      </c>
      <c r="F2980" s="10">
        <v>46113.979166666664</v>
      </c>
      <c r="G2980">
        <v>13.333333333333334</v>
      </c>
      <c r="H2980" s="9">
        <f t="shared" si="138"/>
        <v>7.0999999999999994E-2</v>
      </c>
      <c r="I2980">
        <v>4.4999999999999998E-2</v>
      </c>
      <c r="K2980">
        <v>2.5999999999999999E-2</v>
      </c>
      <c r="M2980" t="s">
        <v>28</v>
      </c>
      <c r="N2980" t="s">
        <v>40</v>
      </c>
      <c r="O2980" t="s">
        <v>183</v>
      </c>
      <c r="P2980" t="s">
        <v>30</v>
      </c>
      <c r="Q2980" t="s">
        <v>31</v>
      </c>
      <c r="R2980">
        <v>82652</v>
      </c>
      <c r="S2980" t="s">
        <v>46</v>
      </c>
      <c r="T2980">
        <v>82658</v>
      </c>
      <c r="U2980" t="s">
        <v>33</v>
      </c>
      <c r="V2980" t="s">
        <v>33</v>
      </c>
      <c r="W2980" t="s">
        <v>34</v>
      </c>
      <c r="X2980" t="s">
        <v>34</v>
      </c>
      <c r="Y2980" s="9">
        <f t="shared" si="139"/>
        <v>2.5999999999999999E-2</v>
      </c>
      <c r="Z2980" t="str">
        <f t="shared" si="140"/>
        <v>สแกนต่าง Cost</v>
      </c>
    </row>
    <row r="2981" spans="1:26" x14ac:dyDescent="0.45">
      <c r="B2981" t="s">
        <v>53</v>
      </c>
      <c r="C2981">
        <v>20167851</v>
      </c>
      <c r="D2981" t="s">
        <v>63</v>
      </c>
      <c r="E2981" s="10">
        <v>46113.416666666664</v>
      </c>
      <c r="F2981" s="10">
        <v>46113.479166666664</v>
      </c>
      <c r="G2981">
        <v>1.5</v>
      </c>
      <c r="H2981" s="9">
        <f t="shared" si="138"/>
        <v>8.0000000000000002E-3</v>
      </c>
      <c r="I2981">
        <v>8.0000000000000002E-3</v>
      </c>
      <c r="M2981" t="s">
        <v>65</v>
      </c>
      <c r="N2981" t="s">
        <v>29</v>
      </c>
      <c r="P2981" t="s">
        <v>30</v>
      </c>
      <c r="Q2981" t="s">
        <v>31</v>
      </c>
      <c r="R2981">
        <v>82640</v>
      </c>
      <c r="S2981" t="s">
        <v>42</v>
      </c>
      <c r="T2981">
        <v>82630</v>
      </c>
      <c r="U2981" t="s">
        <v>32</v>
      </c>
      <c r="V2981" t="s">
        <v>66</v>
      </c>
      <c r="W2981" t="s">
        <v>44</v>
      </c>
      <c r="X2981" t="s">
        <v>44</v>
      </c>
      <c r="Y2981" s="9">
        <f t="shared" si="139"/>
        <v>0</v>
      </c>
      <c r="Z2981" t="str">
        <f t="shared" si="140"/>
        <v>สแกนต่าง Cost</v>
      </c>
    </row>
    <row r="2982" spans="1:26" x14ac:dyDescent="0.45">
      <c r="B2982" t="s">
        <v>53</v>
      </c>
      <c r="C2982">
        <v>20198839</v>
      </c>
      <c r="D2982" t="s">
        <v>258</v>
      </c>
      <c r="E2982" s="10">
        <v>46113.416666666664</v>
      </c>
      <c r="F2982" s="10">
        <v>46113.5</v>
      </c>
      <c r="G2982">
        <v>2</v>
      </c>
      <c r="H2982" s="9">
        <f t="shared" si="138"/>
        <v>1.0999999999999999E-2</v>
      </c>
      <c r="I2982">
        <v>1.0999999999999999E-2</v>
      </c>
      <c r="M2982" t="s">
        <v>65</v>
      </c>
      <c r="N2982" t="s">
        <v>29</v>
      </c>
      <c r="P2982" t="s">
        <v>30</v>
      </c>
      <c r="Q2982" t="s">
        <v>31</v>
      </c>
      <c r="R2982">
        <v>82640</v>
      </c>
      <c r="S2982" t="s">
        <v>42</v>
      </c>
      <c r="T2982">
        <v>82611</v>
      </c>
      <c r="U2982" t="s">
        <v>43</v>
      </c>
      <c r="V2982" t="s">
        <v>66</v>
      </c>
      <c r="W2982" t="s">
        <v>44</v>
      </c>
      <c r="X2982" t="s">
        <v>44</v>
      </c>
      <c r="Y2982" s="9">
        <f t="shared" si="139"/>
        <v>0</v>
      </c>
      <c r="Z2982" t="str">
        <f t="shared" si="140"/>
        <v>สแกนต่าง Cost</v>
      </c>
    </row>
    <row r="2983" spans="1:26" x14ac:dyDescent="0.45">
      <c r="B2983" t="s">
        <v>53</v>
      </c>
      <c r="C2983">
        <v>20280718</v>
      </c>
      <c r="D2983" t="s">
        <v>256</v>
      </c>
      <c r="E2983" s="10">
        <v>46113.416666666664</v>
      </c>
      <c r="F2983" s="10">
        <v>46113.4375</v>
      </c>
      <c r="G2983">
        <v>0.5</v>
      </c>
      <c r="H2983" s="9">
        <f t="shared" si="138"/>
        <v>3.0000000000000001E-3</v>
      </c>
      <c r="I2983">
        <v>3.0000000000000001E-3</v>
      </c>
      <c r="M2983" t="s">
        <v>65</v>
      </c>
      <c r="N2983" t="s">
        <v>29</v>
      </c>
      <c r="P2983" t="s">
        <v>30</v>
      </c>
      <c r="Q2983" t="s">
        <v>31</v>
      </c>
      <c r="R2983">
        <v>82640</v>
      </c>
      <c r="S2983" t="s">
        <v>42</v>
      </c>
      <c r="T2983">
        <v>82622</v>
      </c>
      <c r="U2983" t="s">
        <v>147</v>
      </c>
      <c r="V2983" t="s">
        <v>66</v>
      </c>
      <c r="W2983" t="s">
        <v>44</v>
      </c>
      <c r="X2983" t="s">
        <v>44</v>
      </c>
      <c r="Y2983" s="9">
        <f t="shared" si="139"/>
        <v>0</v>
      </c>
      <c r="Z2983" t="str">
        <f t="shared" si="140"/>
        <v>สแกนต่าง Cost</v>
      </c>
    </row>
    <row r="2984" spans="1:26" x14ac:dyDescent="0.45">
      <c r="B2984" t="s">
        <v>53</v>
      </c>
      <c r="C2984">
        <v>20310530</v>
      </c>
      <c r="D2984" t="s">
        <v>220</v>
      </c>
      <c r="E2984" s="10">
        <v>46113.416666666664</v>
      </c>
      <c r="F2984" s="10">
        <v>46113.4375</v>
      </c>
      <c r="G2984">
        <v>0.5</v>
      </c>
      <c r="H2984" s="9">
        <f t="shared" si="138"/>
        <v>3.0000000000000001E-3</v>
      </c>
      <c r="I2984">
        <v>3.0000000000000001E-3</v>
      </c>
      <c r="M2984" t="s">
        <v>65</v>
      </c>
      <c r="N2984" t="s">
        <v>29</v>
      </c>
      <c r="P2984" t="s">
        <v>30</v>
      </c>
      <c r="Q2984" t="s">
        <v>31</v>
      </c>
      <c r="R2984">
        <v>82640</v>
      </c>
      <c r="S2984" t="s">
        <v>42</v>
      </c>
      <c r="T2984">
        <v>82612</v>
      </c>
      <c r="U2984" t="s">
        <v>153</v>
      </c>
      <c r="V2984" t="s">
        <v>66</v>
      </c>
      <c r="W2984" t="s">
        <v>44</v>
      </c>
      <c r="X2984" t="s">
        <v>44</v>
      </c>
      <c r="Y2984" s="9">
        <f t="shared" si="139"/>
        <v>0</v>
      </c>
      <c r="Z2984" t="str">
        <f t="shared" si="140"/>
        <v>สแกนต่าง Cost</v>
      </c>
    </row>
    <row r="2985" spans="1:26" x14ac:dyDescent="0.45">
      <c r="B2985" t="s">
        <v>53</v>
      </c>
      <c r="C2985">
        <v>20060579</v>
      </c>
      <c r="D2985" t="s">
        <v>39</v>
      </c>
      <c r="E2985" s="10">
        <v>46113.395833333336</v>
      </c>
      <c r="F2985" s="10">
        <v>46113.416666666664</v>
      </c>
      <c r="G2985">
        <v>0.5</v>
      </c>
      <c r="H2985" s="9">
        <f t="shared" si="138"/>
        <v>3.0000000000000001E-3</v>
      </c>
      <c r="I2985">
        <v>3.0000000000000001E-3</v>
      </c>
      <c r="M2985" t="s">
        <v>65</v>
      </c>
      <c r="N2985" t="s">
        <v>29</v>
      </c>
      <c r="P2985" t="s">
        <v>30</v>
      </c>
      <c r="Q2985" t="s">
        <v>31</v>
      </c>
      <c r="R2985">
        <v>82640</v>
      </c>
      <c r="S2985" t="s">
        <v>42</v>
      </c>
      <c r="T2985">
        <v>82630</v>
      </c>
      <c r="U2985" t="s">
        <v>32</v>
      </c>
      <c r="V2985" t="s">
        <v>66</v>
      </c>
      <c r="W2985" t="s">
        <v>44</v>
      </c>
      <c r="X2985" t="s">
        <v>44</v>
      </c>
      <c r="Y2985" s="9">
        <f t="shared" si="139"/>
        <v>0</v>
      </c>
      <c r="Z2985" t="str">
        <f t="shared" si="140"/>
        <v>สแกนต่าง Cost</v>
      </c>
    </row>
    <row r="2986" spans="1:26" x14ac:dyDescent="0.45">
      <c r="B2986" t="s">
        <v>53</v>
      </c>
      <c r="C2986">
        <v>20310530</v>
      </c>
      <c r="D2986" t="s">
        <v>220</v>
      </c>
      <c r="E2986" s="10">
        <v>46113.395833333336</v>
      </c>
      <c r="F2986" s="10">
        <v>46113.416666666664</v>
      </c>
      <c r="G2986">
        <v>0.5</v>
      </c>
      <c r="H2986" s="9">
        <f t="shared" si="138"/>
        <v>3.0000000000000001E-3</v>
      </c>
      <c r="I2986">
        <v>3.0000000000000001E-3</v>
      </c>
      <c r="M2986" t="s">
        <v>65</v>
      </c>
      <c r="N2986" t="s">
        <v>29</v>
      </c>
      <c r="P2986" t="s">
        <v>30</v>
      </c>
      <c r="Q2986" t="s">
        <v>31</v>
      </c>
      <c r="R2986">
        <v>82640</v>
      </c>
      <c r="S2986" t="s">
        <v>42</v>
      </c>
      <c r="T2986">
        <v>82611</v>
      </c>
      <c r="U2986" t="s">
        <v>43</v>
      </c>
      <c r="V2986" t="s">
        <v>66</v>
      </c>
      <c r="W2986" t="s">
        <v>44</v>
      </c>
      <c r="X2986" t="s">
        <v>44</v>
      </c>
      <c r="Y2986" s="9">
        <f t="shared" si="139"/>
        <v>0</v>
      </c>
      <c r="Z2986" t="str">
        <f t="shared" si="140"/>
        <v>สแกนต่าง Cost</v>
      </c>
    </row>
    <row r="2987" spans="1:26" x14ac:dyDescent="0.45">
      <c r="B2987" t="s">
        <v>53</v>
      </c>
      <c r="C2987">
        <v>20332134</v>
      </c>
      <c r="D2987" t="s">
        <v>156</v>
      </c>
      <c r="E2987" s="10">
        <v>46113.395833333336</v>
      </c>
      <c r="F2987" s="10">
        <v>46113.4375</v>
      </c>
      <c r="G2987">
        <v>1</v>
      </c>
      <c r="H2987" s="9">
        <f t="shared" si="138"/>
        <v>5.0000000000000001E-3</v>
      </c>
      <c r="I2987">
        <v>5.0000000000000001E-3</v>
      </c>
      <c r="M2987" t="s">
        <v>65</v>
      </c>
      <c r="N2987" t="s">
        <v>29</v>
      </c>
      <c r="P2987" t="s">
        <v>30</v>
      </c>
      <c r="Q2987" t="s">
        <v>31</v>
      </c>
      <c r="R2987">
        <v>82640</v>
      </c>
      <c r="S2987" t="s">
        <v>42</v>
      </c>
      <c r="T2987">
        <v>82612</v>
      </c>
      <c r="U2987" t="s">
        <v>153</v>
      </c>
      <c r="V2987" t="s">
        <v>66</v>
      </c>
      <c r="W2987" t="s">
        <v>44</v>
      </c>
      <c r="X2987" t="s">
        <v>44</v>
      </c>
      <c r="Y2987" s="9">
        <f t="shared" si="139"/>
        <v>0</v>
      </c>
      <c r="Z2987" t="str">
        <f t="shared" si="140"/>
        <v>สแกนต่าง Cost</v>
      </c>
    </row>
    <row r="2988" spans="1:26" x14ac:dyDescent="0.45">
      <c r="B2988" t="s">
        <v>53</v>
      </c>
      <c r="C2988">
        <v>20198839</v>
      </c>
      <c r="D2988" t="s">
        <v>258</v>
      </c>
      <c r="E2988" s="10">
        <v>46113.375</v>
      </c>
      <c r="F2988" s="10">
        <v>46113.416666666664</v>
      </c>
      <c r="G2988">
        <v>1</v>
      </c>
      <c r="H2988" s="9">
        <f t="shared" si="138"/>
        <v>5.0000000000000001E-3</v>
      </c>
      <c r="I2988">
        <v>5.0000000000000001E-3</v>
      </c>
      <c r="M2988" t="s">
        <v>65</v>
      </c>
      <c r="N2988" t="s">
        <v>29</v>
      </c>
      <c r="P2988" t="s">
        <v>30</v>
      </c>
      <c r="Q2988" t="s">
        <v>31</v>
      </c>
      <c r="R2988">
        <v>82640</v>
      </c>
      <c r="S2988" t="s">
        <v>42</v>
      </c>
      <c r="T2988">
        <v>82622</v>
      </c>
      <c r="U2988" t="s">
        <v>147</v>
      </c>
      <c r="V2988" t="s">
        <v>66</v>
      </c>
      <c r="W2988" t="s">
        <v>44</v>
      </c>
      <c r="X2988" t="s">
        <v>44</v>
      </c>
      <c r="Y2988" s="9">
        <f t="shared" si="139"/>
        <v>0</v>
      </c>
      <c r="Z2988" t="str">
        <f t="shared" si="140"/>
        <v>สแกนต่าง Cost</v>
      </c>
    </row>
    <row r="2989" spans="1:26" x14ac:dyDescent="0.45">
      <c r="B2989" t="s">
        <v>53</v>
      </c>
      <c r="C2989">
        <v>20310530</v>
      </c>
      <c r="D2989" t="s">
        <v>220</v>
      </c>
      <c r="E2989" s="10">
        <v>46113.375</v>
      </c>
      <c r="F2989" s="10">
        <v>46113.395833333336</v>
      </c>
      <c r="G2989">
        <v>0.5</v>
      </c>
      <c r="H2989" s="9">
        <f t="shared" si="138"/>
        <v>3.0000000000000001E-3</v>
      </c>
      <c r="I2989">
        <v>3.0000000000000001E-3</v>
      </c>
      <c r="M2989" t="s">
        <v>65</v>
      </c>
      <c r="N2989" t="s">
        <v>29</v>
      </c>
      <c r="P2989" t="s">
        <v>30</v>
      </c>
      <c r="Q2989" t="s">
        <v>31</v>
      </c>
      <c r="R2989">
        <v>82640</v>
      </c>
      <c r="S2989" t="s">
        <v>42</v>
      </c>
      <c r="T2989">
        <v>82622</v>
      </c>
      <c r="U2989" t="s">
        <v>147</v>
      </c>
      <c r="V2989" t="s">
        <v>66</v>
      </c>
      <c r="W2989" t="s">
        <v>44</v>
      </c>
      <c r="X2989" t="s">
        <v>44</v>
      </c>
      <c r="Y2989" s="9">
        <f t="shared" si="139"/>
        <v>0</v>
      </c>
      <c r="Z2989" t="str">
        <f t="shared" si="140"/>
        <v>สแกนต่าง Cost</v>
      </c>
    </row>
    <row r="2990" spans="1:26" x14ac:dyDescent="0.45">
      <c r="A2990">
        <v>25438</v>
      </c>
      <c r="B2990" t="s">
        <v>53</v>
      </c>
      <c r="C2990">
        <v>20372709</v>
      </c>
      <c r="D2990" t="s">
        <v>130</v>
      </c>
      <c r="E2990" s="10">
        <v>46113.372916666667</v>
      </c>
      <c r="F2990" s="10">
        <v>46113.913194444445</v>
      </c>
      <c r="G2990">
        <v>12.966666666666667</v>
      </c>
      <c r="H2990" s="9">
        <f t="shared" si="138"/>
        <v>6.9000000000000006E-2</v>
      </c>
      <c r="I2990">
        <v>4.4999999999999998E-2</v>
      </c>
      <c r="K2990">
        <v>2.4E-2</v>
      </c>
      <c r="M2990" t="s">
        <v>28</v>
      </c>
      <c r="N2990" t="s">
        <v>40</v>
      </c>
      <c r="O2990" t="s">
        <v>140</v>
      </c>
      <c r="P2990" t="s">
        <v>30</v>
      </c>
      <c r="Q2990" t="s">
        <v>31</v>
      </c>
      <c r="R2990">
        <v>82658</v>
      </c>
      <c r="S2990" t="s">
        <v>33</v>
      </c>
      <c r="T2990">
        <v>82664</v>
      </c>
      <c r="U2990" t="s">
        <v>75</v>
      </c>
      <c r="V2990" t="s">
        <v>75</v>
      </c>
      <c r="W2990" t="s">
        <v>37</v>
      </c>
      <c r="X2990" t="s">
        <v>111</v>
      </c>
      <c r="Y2990" s="9">
        <f t="shared" si="139"/>
        <v>2.4E-2</v>
      </c>
      <c r="Z2990" t="str">
        <f t="shared" si="140"/>
        <v>สแกนต่าง Cost</v>
      </c>
    </row>
    <row r="2991" spans="1:26" x14ac:dyDescent="0.45">
      <c r="B2991" t="s">
        <v>53</v>
      </c>
      <c r="C2991">
        <v>20280718</v>
      </c>
      <c r="D2991" t="s">
        <v>256</v>
      </c>
      <c r="E2991" s="10">
        <v>46113.354166666664</v>
      </c>
      <c r="F2991" s="10">
        <v>46113.5</v>
      </c>
      <c r="G2991">
        <v>3.5</v>
      </c>
      <c r="H2991" s="9">
        <f t="shared" si="138"/>
        <v>1.9E-2</v>
      </c>
      <c r="I2991">
        <v>1.9E-2</v>
      </c>
      <c r="M2991" t="s">
        <v>65</v>
      </c>
      <c r="N2991" t="s">
        <v>29</v>
      </c>
      <c r="P2991" t="s">
        <v>30</v>
      </c>
      <c r="Q2991" t="s">
        <v>31</v>
      </c>
      <c r="R2991">
        <v>82640</v>
      </c>
      <c r="S2991" t="s">
        <v>42</v>
      </c>
      <c r="T2991">
        <v>82630</v>
      </c>
      <c r="U2991" t="s">
        <v>32</v>
      </c>
      <c r="V2991" t="s">
        <v>66</v>
      </c>
      <c r="W2991" t="s">
        <v>44</v>
      </c>
      <c r="X2991" t="s">
        <v>44</v>
      </c>
      <c r="Y2991" s="9">
        <f t="shared" si="139"/>
        <v>0</v>
      </c>
      <c r="Z2991" t="str">
        <f t="shared" si="140"/>
        <v>สแกนต่าง Cost</v>
      </c>
    </row>
    <row r="2992" spans="1:26" x14ac:dyDescent="0.45">
      <c r="B2992" t="s">
        <v>53</v>
      </c>
      <c r="C2992">
        <v>20340657</v>
      </c>
      <c r="D2992" t="s">
        <v>221</v>
      </c>
      <c r="E2992" s="10">
        <v>46113.354166666664</v>
      </c>
      <c r="F2992" s="10">
        <v>46113.5</v>
      </c>
      <c r="G2992">
        <v>3.5</v>
      </c>
      <c r="H2992" s="9">
        <f t="shared" si="138"/>
        <v>1.9E-2</v>
      </c>
      <c r="I2992">
        <v>1.9E-2</v>
      </c>
      <c r="M2992" t="s">
        <v>65</v>
      </c>
      <c r="N2992" t="s">
        <v>29</v>
      </c>
      <c r="P2992" t="s">
        <v>30</v>
      </c>
      <c r="Q2992" t="s">
        <v>31</v>
      </c>
      <c r="R2992">
        <v>82640</v>
      </c>
      <c r="S2992" t="s">
        <v>42</v>
      </c>
      <c r="T2992">
        <v>82630</v>
      </c>
      <c r="U2992" t="s">
        <v>32</v>
      </c>
      <c r="V2992" t="s">
        <v>66</v>
      </c>
      <c r="W2992" t="s">
        <v>44</v>
      </c>
      <c r="X2992" t="s">
        <v>44</v>
      </c>
      <c r="Y2992" s="9">
        <f t="shared" si="139"/>
        <v>0</v>
      </c>
      <c r="Z2992" t="str">
        <f t="shared" si="140"/>
        <v>สแกนต่าง Cost</v>
      </c>
    </row>
    <row r="2993" spans="1:26" x14ac:dyDescent="0.45">
      <c r="A2993">
        <v>25723</v>
      </c>
      <c r="B2993" t="s">
        <v>53</v>
      </c>
      <c r="C2993">
        <v>20190548</v>
      </c>
      <c r="D2993" t="s">
        <v>266</v>
      </c>
      <c r="E2993" s="10">
        <v>46113.349305555559</v>
      </c>
      <c r="F2993" s="10">
        <v>46113.729166666664</v>
      </c>
      <c r="G2993">
        <v>8.1166666666666671</v>
      </c>
      <c r="H2993" s="9">
        <f t="shared" si="138"/>
        <v>4.2999999999999997E-2</v>
      </c>
      <c r="J2993">
        <v>4.2999999999999997E-2</v>
      </c>
      <c r="M2993" t="s">
        <v>77</v>
      </c>
      <c r="N2993" t="s">
        <v>40</v>
      </c>
      <c r="O2993" t="s">
        <v>78</v>
      </c>
      <c r="P2993" t="s">
        <v>30</v>
      </c>
      <c r="Q2993" t="s">
        <v>31</v>
      </c>
      <c r="R2993">
        <v>82308</v>
      </c>
      <c r="S2993" t="s">
        <v>69</v>
      </c>
      <c r="T2993">
        <v>82658</v>
      </c>
      <c r="U2993" t="s">
        <v>33</v>
      </c>
      <c r="V2993" t="s">
        <v>33</v>
      </c>
      <c r="W2993" t="s">
        <v>34</v>
      </c>
      <c r="X2993" t="s">
        <v>34</v>
      </c>
      <c r="Y2993" s="9">
        <f t="shared" si="139"/>
        <v>4.2999999999999997E-2</v>
      </c>
      <c r="Z2993" t="str">
        <f t="shared" si="140"/>
        <v>สแกนต่าง Cost</v>
      </c>
    </row>
    <row r="2994" spans="1:26" x14ac:dyDescent="0.45">
      <c r="A2994">
        <v>25722</v>
      </c>
      <c r="B2994" t="s">
        <v>53</v>
      </c>
      <c r="C2994">
        <v>20328003</v>
      </c>
      <c r="D2994" t="s">
        <v>107</v>
      </c>
      <c r="E2994" s="10">
        <v>46113.349305555559</v>
      </c>
      <c r="F2994" s="10">
        <v>46113.729166666664</v>
      </c>
      <c r="G2994">
        <v>8.1166666666666671</v>
      </c>
      <c r="H2994" s="9">
        <f t="shared" si="138"/>
        <v>4.2999999999999997E-2</v>
      </c>
      <c r="I2994">
        <v>4.2999999999999997E-2</v>
      </c>
      <c r="M2994" t="s">
        <v>65</v>
      </c>
      <c r="N2994" t="s">
        <v>29</v>
      </c>
      <c r="P2994" t="s">
        <v>30</v>
      </c>
      <c r="Q2994" t="s">
        <v>31</v>
      </c>
      <c r="R2994">
        <v>82400</v>
      </c>
      <c r="S2994" t="s">
        <v>83</v>
      </c>
      <c r="T2994">
        <v>82658</v>
      </c>
      <c r="U2994" t="s">
        <v>33</v>
      </c>
      <c r="V2994" t="s">
        <v>33</v>
      </c>
      <c r="W2994" t="s">
        <v>34</v>
      </c>
      <c r="X2994" t="s">
        <v>34</v>
      </c>
      <c r="Y2994" s="9">
        <f t="shared" si="139"/>
        <v>0</v>
      </c>
      <c r="Z2994" t="str">
        <f t="shared" si="140"/>
        <v>สแกนต่าง Cost</v>
      </c>
    </row>
    <row r="2995" spans="1:26" x14ac:dyDescent="0.45">
      <c r="A2995">
        <v>25721</v>
      </c>
      <c r="B2995" t="s">
        <v>53</v>
      </c>
      <c r="C2995">
        <v>20372080</v>
      </c>
      <c r="D2995" t="s">
        <v>117</v>
      </c>
      <c r="E2995" s="10">
        <v>46113.349305555559</v>
      </c>
      <c r="F2995" s="10">
        <v>46113.827777777777</v>
      </c>
      <c r="G2995">
        <v>11.483333333333333</v>
      </c>
      <c r="H2995" s="9">
        <f t="shared" si="138"/>
        <v>6.0999999999999999E-2</v>
      </c>
      <c r="I2995">
        <v>4.4999999999999998E-2</v>
      </c>
      <c r="K2995">
        <v>1.6E-2</v>
      </c>
      <c r="M2995" t="s">
        <v>28</v>
      </c>
      <c r="N2995" t="s">
        <v>40</v>
      </c>
      <c r="O2995" t="s">
        <v>41</v>
      </c>
      <c r="P2995" t="s">
        <v>30</v>
      </c>
      <c r="Q2995" t="s">
        <v>31</v>
      </c>
      <c r="R2995">
        <v>82400</v>
      </c>
      <c r="S2995" t="s">
        <v>83</v>
      </c>
      <c r="T2995">
        <v>82658</v>
      </c>
      <c r="U2995" t="s">
        <v>33</v>
      </c>
      <c r="V2995" t="s">
        <v>33</v>
      </c>
      <c r="W2995" t="s">
        <v>34</v>
      </c>
      <c r="X2995" t="s">
        <v>34</v>
      </c>
      <c r="Y2995" s="9">
        <f t="shared" si="139"/>
        <v>1.6E-2</v>
      </c>
      <c r="Z2995" t="str">
        <f t="shared" si="140"/>
        <v>สแกนต่าง Cost</v>
      </c>
    </row>
    <row r="2996" spans="1:26" x14ac:dyDescent="0.45">
      <c r="A2996">
        <v>25716</v>
      </c>
      <c r="B2996" t="s">
        <v>53</v>
      </c>
      <c r="C2996">
        <v>20003999</v>
      </c>
      <c r="D2996" t="s">
        <v>340</v>
      </c>
      <c r="E2996" s="10">
        <v>46113.348611111112</v>
      </c>
      <c r="F2996" s="10">
        <v>46113.729166666664</v>
      </c>
      <c r="G2996">
        <v>8.1333333333333329</v>
      </c>
      <c r="H2996" s="9">
        <f t="shared" si="138"/>
        <v>4.2999999999999997E-2</v>
      </c>
      <c r="J2996">
        <v>4.2999999999999997E-2</v>
      </c>
      <c r="M2996" t="s">
        <v>77</v>
      </c>
      <c r="N2996" t="s">
        <v>40</v>
      </c>
      <c r="O2996" t="s">
        <v>78</v>
      </c>
      <c r="P2996" t="s">
        <v>30</v>
      </c>
      <c r="Q2996" t="s">
        <v>31</v>
      </c>
      <c r="R2996">
        <v>82301</v>
      </c>
      <c r="S2996" t="s">
        <v>79</v>
      </c>
      <c r="T2996">
        <v>82658</v>
      </c>
      <c r="U2996" t="s">
        <v>33</v>
      </c>
      <c r="V2996" t="s">
        <v>33</v>
      </c>
      <c r="W2996" t="s">
        <v>34</v>
      </c>
      <c r="X2996" t="s">
        <v>34</v>
      </c>
      <c r="Y2996" s="9">
        <f t="shared" si="139"/>
        <v>4.2999999999999997E-2</v>
      </c>
      <c r="Z2996" t="str">
        <f t="shared" si="140"/>
        <v>สแกนต่าง Cost</v>
      </c>
    </row>
    <row r="2997" spans="1:26" x14ac:dyDescent="0.45">
      <c r="A2997">
        <v>25719</v>
      </c>
      <c r="B2997" t="s">
        <v>53</v>
      </c>
      <c r="C2997">
        <v>20152023</v>
      </c>
      <c r="D2997" t="s">
        <v>177</v>
      </c>
      <c r="E2997" s="10">
        <v>46113.348611111112</v>
      </c>
      <c r="F2997" s="10">
        <v>46113.729166666664</v>
      </c>
      <c r="G2997">
        <v>8.1333333333333329</v>
      </c>
      <c r="H2997" s="9">
        <f t="shared" si="138"/>
        <v>4.2999999999999997E-2</v>
      </c>
      <c r="I2997">
        <v>4.2999999999999997E-2</v>
      </c>
      <c r="M2997" t="s">
        <v>65</v>
      </c>
      <c r="N2997" t="s">
        <v>29</v>
      </c>
      <c r="P2997" t="s">
        <v>30</v>
      </c>
      <c r="Q2997" t="s">
        <v>31</v>
      </c>
      <c r="R2997">
        <v>82308</v>
      </c>
      <c r="S2997" t="s">
        <v>69</v>
      </c>
      <c r="T2997">
        <v>82658</v>
      </c>
      <c r="U2997" t="s">
        <v>33</v>
      </c>
      <c r="V2997" t="s">
        <v>33</v>
      </c>
      <c r="W2997" t="s">
        <v>34</v>
      </c>
      <c r="X2997" t="s">
        <v>34</v>
      </c>
      <c r="Y2997" s="9">
        <f t="shared" si="139"/>
        <v>0</v>
      </c>
      <c r="Z2997" t="str">
        <f t="shared" si="140"/>
        <v>สแกนต่าง Cost</v>
      </c>
    </row>
    <row r="2998" spans="1:26" x14ac:dyDescent="0.45">
      <c r="A2998">
        <v>25720</v>
      </c>
      <c r="B2998" t="s">
        <v>53</v>
      </c>
      <c r="C2998">
        <v>20190547</v>
      </c>
      <c r="D2998" t="s">
        <v>68</v>
      </c>
      <c r="E2998" s="10">
        <v>46113.348611111112</v>
      </c>
      <c r="F2998" s="10">
        <v>46113.729166666664</v>
      </c>
      <c r="G2998">
        <v>8.1333333333333329</v>
      </c>
      <c r="H2998" s="9">
        <f t="shared" si="138"/>
        <v>4.2999999999999997E-2</v>
      </c>
      <c r="J2998">
        <v>4.2999999999999997E-2</v>
      </c>
      <c r="M2998" t="s">
        <v>77</v>
      </c>
      <c r="N2998" t="s">
        <v>40</v>
      </c>
      <c r="O2998" t="s">
        <v>78</v>
      </c>
      <c r="P2998" t="s">
        <v>30</v>
      </c>
      <c r="Q2998" t="s">
        <v>31</v>
      </c>
      <c r="R2998">
        <v>82308</v>
      </c>
      <c r="S2998" t="s">
        <v>69</v>
      </c>
      <c r="T2998">
        <v>82658</v>
      </c>
      <c r="U2998" t="s">
        <v>33</v>
      </c>
      <c r="V2998" t="s">
        <v>33</v>
      </c>
      <c r="W2998" t="s">
        <v>34</v>
      </c>
      <c r="X2998" t="s">
        <v>34</v>
      </c>
      <c r="Y2998" s="9">
        <f t="shared" si="139"/>
        <v>4.2999999999999997E-2</v>
      </c>
      <c r="Z2998" t="str">
        <f t="shared" si="140"/>
        <v>สแกนต่าง Cost</v>
      </c>
    </row>
    <row r="2999" spans="1:26" x14ac:dyDescent="0.45">
      <c r="A2999">
        <v>25717</v>
      </c>
      <c r="B2999" t="s">
        <v>53</v>
      </c>
      <c r="C2999">
        <v>20339209</v>
      </c>
      <c r="D2999" t="s">
        <v>166</v>
      </c>
      <c r="E2999" s="10">
        <v>46113.348611111112</v>
      </c>
      <c r="F2999" s="10">
        <v>46113.729166666664</v>
      </c>
      <c r="G2999">
        <v>8.1333333333333329</v>
      </c>
      <c r="H2999" s="9">
        <f t="shared" si="138"/>
        <v>4.2999999999999997E-2</v>
      </c>
      <c r="I2999">
        <v>4.2999999999999997E-2</v>
      </c>
      <c r="M2999" t="s">
        <v>65</v>
      </c>
      <c r="N2999" t="s">
        <v>29</v>
      </c>
      <c r="P2999" t="s">
        <v>30</v>
      </c>
      <c r="Q2999" t="s">
        <v>31</v>
      </c>
      <c r="R2999">
        <v>82308</v>
      </c>
      <c r="S2999" t="s">
        <v>69</v>
      </c>
      <c r="T2999">
        <v>82658</v>
      </c>
      <c r="U2999" t="s">
        <v>33</v>
      </c>
      <c r="V2999" t="s">
        <v>33</v>
      </c>
      <c r="W2999" t="s">
        <v>34</v>
      </c>
      <c r="X2999" t="s">
        <v>34</v>
      </c>
      <c r="Y2999" s="9">
        <f t="shared" si="139"/>
        <v>0</v>
      </c>
      <c r="Z2999" t="str">
        <f t="shared" si="140"/>
        <v>สแกนต่าง Cost</v>
      </c>
    </row>
    <row r="3000" spans="1:26" x14ac:dyDescent="0.45">
      <c r="A3000">
        <v>25711</v>
      </c>
      <c r="B3000" t="s">
        <v>53</v>
      </c>
      <c r="C3000">
        <v>20352282</v>
      </c>
      <c r="D3000" t="s">
        <v>84</v>
      </c>
      <c r="E3000" s="10">
        <v>46113.348611111112</v>
      </c>
      <c r="F3000" s="10">
        <v>46113.729166666664</v>
      </c>
      <c r="G3000">
        <v>8.1333333333333329</v>
      </c>
      <c r="H3000" s="9">
        <f t="shared" si="138"/>
        <v>4.2999999999999997E-2</v>
      </c>
      <c r="I3000">
        <v>4.2999999999999997E-2</v>
      </c>
      <c r="M3000" t="s">
        <v>65</v>
      </c>
      <c r="N3000" t="s">
        <v>29</v>
      </c>
      <c r="P3000" t="s">
        <v>30</v>
      </c>
      <c r="Q3000" t="s">
        <v>31</v>
      </c>
      <c r="R3000">
        <v>82400</v>
      </c>
      <c r="S3000" t="s">
        <v>83</v>
      </c>
      <c r="T3000">
        <v>82658</v>
      </c>
      <c r="U3000" t="s">
        <v>33</v>
      </c>
      <c r="V3000" t="s">
        <v>33</v>
      </c>
      <c r="W3000" t="s">
        <v>34</v>
      </c>
      <c r="X3000" t="s">
        <v>34</v>
      </c>
      <c r="Y3000" s="9">
        <f t="shared" si="139"/>
        <v>0</v>
      </c>
      <c r="Z3000" t="str">
        <f t="shared" si="140"/>
        <v>สแกนต่าง Cost</v>
      </c>
    </row>
    <row r="3001" spans="1:26" x14ac:dyDescent="0.45">
      <c r="A3001">
        <v>25712</v>
      </c>
      <c r="B3001" t="s">
        <v>53</v>
      </c>
      <c r="C3001">
        <v>20352284</v>
      </c>
      <c r="D3001" t="s">
        <v>113</v>
      </c>
      <c r="E3001" s="10">
        <v>46113.348611111112</v>
      </c>
      <c r="F3001" s="10">
        <v>46113.729166666664</v>
      </c>
      <c r="G3001">
        <v>8.1333333333333329</v>
      </c>
      <c r="H3001" s="9">
        <f t="shared" si="138"/>
        <v>4.2999999999999997E-2</v>
      </c>
      <c r="I3001">
        <v>4.2999999999999997E-2</v>
      </c>
      <c r="M3001" t="s">
        <v>65</v>
      </c>
      <c r="N3001" t="s">
        <v>29</v>
      </c>
      <c r="P3001" t="s">
        <v>30</v>
      </c>
      <c r="Q3001" t="s">
        <v>31</v>
      </c>
      <c r="R3001">
        <v>82400</v>
      </c>
      <c r="S3001" t="s">
        <v>83</v>
      </c>
      <c r="T3001">
        <v>82658</v>
      </c>
      <c r="U3001" t="s">
        <v>33</v>
      </c>
      <c r="V3001" t="s">
        <v>33</v>
      </c>
      <c r="W3001" t="s">
        <v>34</v>
      </c>
      <c r="X3001" t="s">
        <v>34</v>
      </c>
      <c r="Y3001" s="9">
        <f t="shared" si="139"/>
        <v>0</v>
      </c>
      <c r="Z3001" t="str">
        <f t="shared" si="140"/>
        <v>สแกนต่าง Cost</v>
      </c>
    </row>
    <row r="3002" spans="1:26" x14ac:dyDescent="0.45">
      <c r="A3002">
        <v>25718</v>
      </c>
      <c r="B3002" t="s">
        <v>53</v>
      </c>
      <c r="C3002">
        <v>20352338</v>
      </c>
      <c r="D3002" t="s">
        <v>114</v>
      </c>
      <c r="E3002" s="10">
        <v>46113.348611111112</v>
      </c>
      <c r="F3002" s="10">
        <v>46113.729166666664</v>
      </c>
      <c r="G3002">
        <v>8.1333333333333329</v>
      </c>
      <c r="H3002" s="9">
        <f t="shared" si="138"/>
        <v>4.2999999999999997E-2</v>
      </c>
      <c r="I3002">
        <v>4.2999999999999997E-2</v>
      </c>
      <c r="M3002" t="s">
        <v>65</v>
      </c>
      <c r="N3002" t="s">
        <v>29</v>
      </c>
      <c r="P3002" t="s">
        <v>30</v>
      </c>
      <c r="Q3002" t="s">
        <v>31</v>
      </c>
      <c r="R3002">
        <v>82400</v>
      </c>
      <c r="S3002" t="s">
        <v>83</v>
      </c>
      <c r="T3002">
        <v>82658</v>
      </c>
      <c r="U3002" t="s">
        <v>33</v>
      </c>
      <c r="V3002" t="s">
        <v>33</v>
      </c>
      <c r="W3002" t="s">
        <v>34</v>
      </c>
      <c r="X3002" t="s">
        <v>34</v>
      </c>
      <c r="Y3002" s="9">
        <f t="shared" si="139"/>
        <v>0</v>
      </c>
      <c r="Z3002" t="str">
        <f t="shared" si="140"/>
        <v>สแกนต่าง Cost</v>
      </c>
    </row>
    <row r="3003" spans="1:26" x14ac:dyDescent="0.45">
      <c r="A3003">
        <v>25713</v>
      </c>
      <c r="B3003" t="s">
        <v>53</v>
      </c>
      <c r="C3003">
        <v>20372079</v>
      </c>
      <c r="D3003" t="s">
        <v>116</v>
      </c>
      <c r="E3003" s="10">
        <v>46113.348611111112</v>
      </c>
      <c r="F3003" s="10">
        <v>46113.826388888891</v>
      </c>
      <c r="G3003">
        <v>11.466666666666667</v>
      </c>
      <c r="H3003" s="9">
        <f t="shared" si="138"/>
        <v>6.0999999999999999E-2</v>
      </c>
      <c r="I3003">
        <v>4.4999999999999998E-2</v>
      </c>
      <c r="K3003">
        <v>1.6E-2</v>
      </c>
      <c r="M3003" t="s">
        <v>28</v>
      </c>
      <c r="N3003" t="s">
        <v>40</v>
      </c>
      <c r="O3003" t="s">
        <v>41</v>
      </c>
      <c r="P3003" t="s">
        <v>30</v>
      </c>
      <c r="Q3003" t="s">
        <v>31</v>
      </c>
      <c r="R3003">
        <v>82400</v>
      </c>
      <c r="S3003" t="s">
        <v>83</v>
      </c>
      <c r="T3003">
        <v>82658</v>
      </c>
      <c r="U3003" t="s">
        <v>33</v>
      </c>
      <c r="V3003" t="s">
        <v>33</v>
      </c>
      <c r="W3003" t="s">
        <v>34</v>
      </c>
      <c r="X3003" t="s">
        <v>34</v>
      </c>
      <c r="Y3003" s="9">
        <f t="shared" si="139"/>
        <v>1.6E-2</v>
      </c>
      <c r="Z3003" t="str">
        <f t="shared" si="140"/>
        <v>สแกนต่าง Cost</v>
      </c>
    </row>
    <row r="3004" spans="1:26" x14ac:dyDescent="0.45">
      <c r="A3004">
        <v>25714</v>
      </c>
      <c r="B3004" t="s">
        <v>53</v>
      </c>
      <c r="C3004">
        <v>20382170</v>
      </c>
      <c r="D3004" t="s">
        <v>118</v>
      </c>
      <c r="E3004" s="10">
        <v>46113.348611111112</v>
      </c>
      <c r="F3004" s="10">
        <v>46113.729166666664</v>
      </c>
      <c r="G3004">
        <v>8.1333333333333329</v>
      </c>
      <c r="H3004" s="9">
        <f t="shared" si="138"/>
        <v>4.2999999999999997E-2</v>
      </c>
      <c r="I3004">
        <v>4.2999999999999997E-2</v>
      </c>
      <c r="M3004" t="s">
        <v>65</v>
      </c>
      <c r="N3004" t="s">
        <v>29</v>
      </c>
      <c r="P3004" t="s">
        <v>30</v>
      </c>
      <c r="Q3004" t="s">
        <v>31</v>
      </c>
      <c r="R3004">
        <v>82400</v>
      </c>
      <c r="S3004" t="s">
        <v>83</v>
      </c>
      <c r="T3004">
        <v>82658</v>
      </c>
      <c r="U3004" t="s">
        <v>33</v>
      </c>
      <c r="V3004" t="s">
        <v>33</v>
      </c>
      <c r="W3004" t="s">
        <v>34</v>
      </c>
      <c r="X3004" t="s">
        <v>34</v>
      </c>
      <c r="Y3004" s="9">
        <f t="shared" si="139"/>
        <v>0</v>
      </c>
      <c r="Z3004" t="str">
        <f t="shared" si="140"/>
        <v>สแกนต่าง Cost</v>
      </c>
    </row>
    <row r="3005" spans="1:26" x14ac:dyDescent="0.45">
      <c r="A3005">
        <v>25715</v>
      </c>
      <c r="B3005" t="s">
        <v>53</v>
      </c>
      <c r="C3005">
        <v>20382171</v>
      </c>
      <c r="D3005" t="s">
        <v>119</v>
      </c>
      <c r="E3005" s="10">
        <v>46113.348611111112</v>
      </c>
      <c r="F3005" s="10">
        <v>46113.729166666664</v>
      </c>
      <c r="G3005">
        <v>8.1333333333333329</v>
      </c>
      <c r="H3005" s="9">
        <f t="shared" si="138"/>
        <v>4.2999999999999997E-2</v>
      </c>
      <c r="I3005">
        <v>4.2999999999999997E-2</v>
      </c>
      <c r="M3005" t="s">
        <v>65</v>
      </c>
      <c r="N3005" t="s">
        <v>29</v>
      </c>
      <c r="P3005" t="s">
        <v>30</v>
      </c>
      <c r="Q3005" t="s">
        <v>31</v>
      </c>
      <c r="R3005">
        <v>82400</v>
      </c>
      <c r="S3005" t="s">
        <v>83</v>
      </c>
      <c r="T3005">
        <v>82658</v>
      </c>
      <c r="U3005" t="s">
        <v>33</v>
      </c>
      <c r="V3005" t="s">
        <v>33</v>
      </c>
      <c r="W3005" t="s">
        <v>34</v>
      </c>
      <c r="X3005" t="s">
        <v>34</v>
      </c>
      <c r="Y3005" s="9">
        <f t="shared" si="139"/>
        <v>0</v>
      </c>
      <c r="Z3005" t="str">
        <f t="shared" si="140"/>
        <v>สแกนต่าง Cost</v>
      </c>
    </row>
    <row r="3006" spans="1:26" x14ac:dyDescent="0.45">
      <c r="A3006">
        <v>25707</v>
      </c>
      <c r="B3006" t="s">
        <v>53</v>
      </c>
      <c r="C3006">
        <v>20173592</v>
      </c>
      <c r="D3006" t="s">
        <v>302</v>
      </c>
      <c r="E3006" s="10">
        <v>46113.347916666666</v>
      </c>
      <c r="F3006" s="10">
        <v>46113.729166666664</v>
      </c>
      <c r="G3006">
        <v>8.15</v>
      </c>
      <c r="H3006" s="9">
        <f t="shared" si="138"/>
        <v>4.3999999999999997E-2</v>
      </c>
      <c r="J3006">
        <v>4.3999999999999997E-2</v>
      </c>
      <c r="M3006" t="s">
        <v>77</v>
      </c>
      <c r="N3006" t="s">
        <v>40</v>
      </c>
      <c r="O3006" t="s">
        <v>78</v>
      </c>
      <c r="P3006" t="s">
        <v>30</v>
      </c>
      <c r="Q3006" t="s">
        <v>31</v>
      </c>
      <c r="R3006">
        <v>82301</v>
      </c>
      <c r="S3006" t="s">
        <v>79</v>
      </c>
      <c r="T3006">
        <v>82658</v>
      </c>
      <c r="U3006" t="s">
        <v>33</v>
      </c>
      <c r="V3006" t="s">
        <v>33</v>
      </c>
      <c r="W3006" t="s">
        <v>37</v>
      </c>
      <c r="X3006" t="s">
        <v>38</v>
      </c>
      <c r="Y3006" s="9">
        <f t="shared" si="139"/>
        <v>4.3999999999999997E-2</v>
      </c>
      <c r="Z3006" t="str">
        <f t="shared" si="140"/>
        <v>สแกนต่าง Cost</v>
      </c>
    </row>
    <row r="3007" spans="1:26" x14ac:dyDescent="0.45">
      <c r="A3007">
        <v>25708</v>
      </c>
      <c r="B3007" t="s">
        <v>53</v>
      </c>
      <c r="C3007">
        <v>20276251</v>
      </c>
      <c r="D3007" t="s">
        <v>376</v>
      </c>
      <c r="E3007" s="10">
        <v>46113.347916666666</v>
      </c>
      <c r="F3007" s="10">
        <v>46113.729166666664</v>
      </c>
      <c r="G3007">
        <v>8.15</v>
      </c>
      <c r="H3007" s="9">
        <f t="shared" si="138"/>
        <v>4.3999999999999997E-2</v>
      </c>
      <c r="I3007">
        <v>4.3999999999999997E-2</v>
      </c>
      <c r="M3007" t="s">
        <v>65</v>
      </c>
      <c r="N3007" t="s">
        <v>29</v>
      </c>
      <c r="P3007" t="s">
        <v>30</v>
      </c>
      <c r="Q3007" t="s">
        <v>31</v>
      </c>
      <c r="R3007">
        <v>82210</v>
      </c>
      <c r="S3007" t="s">
        <v>184</v>
      </c>
      <c r="T3007">
        <v>82658</v>
      </c>
      <c r="U3007" t="s">
        <v>33</v>
      </c>
      <c r="V3007" t="s">
        <v>33</v>
      </c>
      <c r="W3007" t="s">
        <v>37</v>
      </c>
      <c r="X3007" t="s">
        <v>38</v>
      </c>
      <c r="Y3007" s="9">
        <f t="shared" si="139"/>
        <v>0</v>
      </c>
      <c r="Z3007" t="str">
        <f t="shared" si="140"/>
        <v>สแกนต่าง Cost</v>
      </c>
    </row>
    <row r="3008" spans="1:26" x14ac:dyDescent="0.45">
      <c r="A3008">
        <v>25710</v>
      </c>
      <c r="B3008" t="s">
        <v>53</v>
      </c>
      <c r="C3008">
        <v>20276264</v>
      </c>
      <c r="D3008" t="s">
        <v>236</v>
      </c>
      <c r="E3008" s="10">
        <v>46113.347916666666</v>
      </c>
      <c r="F3008" s="10">
        <v>46113.729166666664</v>
      </c>
      <c r="G3008">
        <v>8.15</v>
      </c>
      <c r="H3008" s="9">
        <f t="shared" si="138"/>
        <v>4.3999999999999997E-2</v>
      </c>
      <c r="J3008">
        <v>4.3999999999999997E-2</v>
      </c>
      <c r="M3008" t="s">
        <v>77</v>
      </c>
      <c r="N3008" t="s">
        <v>40</v>
      </c>
      <c r="O3008" t="s">
        <v>78</v>
      </c>
      <c r="P3008" t="s">
        <v>30</v>
      </c>
      <c r="Q3008" t="s">
        <v>31</v>
      </c>
      <c r="R3008">
        <v>82301</v>
      </c>
      <c r="S3008" t="s">
        <v>79</v>
      </c>
      <c r="T3008">
        <v>82658</v>
      </c>
      <c r="U3008" t="s">
        <v>33</v>
      </c>
      <c r="V3008" t="s">
        <v>33</v>
      </c>
      <c r="W3008" t="s">
        <v>37</v>
      </c>
      <c r="X3008" t="s">
        <v>38</v>
      </c>
      <c r="Y3008" s="9">
        <f t="shared" si="139"/>
        <v>4.3999999999999997E-2</v>
      </c>
      <c r="Z3008" t="str">
        <f t="shared" si="140"/>
        <v>สแกนต่าง Cost</v>
      </c>
    </row>
    <row r="3009" spans="1:26" x14ac:dyDescent="0.45">
      <c r="A3009">
        <v>25709</v>
      </c>
      <c r="B3009" t="s">
        <v>53</v>
      </c>
      <c r="C3009">
        <v>20377125</v>
      </c>
      <c r="D3009" t="s">
        <v>194</v>
      </c>
      <c r="E3009" s="10">
        <v>46113.347916666666</v>
      </c>
      <c r="F3009" s="10">
        <v>46113.729166666664</v>
      </c>
      <c r="G3009">
        <v>8.15</v>
      </c>
      <c r="H3009" s="9">
        <f t="shared" si="138"/>
        <v>4.3999999999999997E-2</v>
      </c>
      <c r="J3009">
        <v>4.3999999999999997E-2</v>
      </c>
      <c r="M3009" t="s">
        <v>77</v>
      </c>
      <c r="N3009" t="s">
        <v>40</v>
      </c>
      <c r="O3009" t="s">
        <v>78</v>
      </c>
      <c r="P3009" t="s">
        <v>30</v>
      </c>
      <c r="Q3009" t="s">
        <v>31</v>
      </c>
      <c r="R3009">
        <v>82301</v>
      </c>
      <c r="S3009" t="s">
        <v>79</v>
      </c>
      <c r="T3009">
        <v>82658</v>
      </c>
      <c r="U3009" t="s">
        <v>33</v>
      </c>
      <c r="V3009" t="s">
        <v>33</v>
      </c>
      <c r="W3009" t="s">
        <v>37</v>
      </c>
      <c r="X3009" t="s">
        <v>38</v>
      </c>
      <c r="Y3009" s="9">
        <f t="shared" si="139"/>
        <v>4.3999999999999997E-2</v>
      </c>
      <c r="Z3009" t="str">
        <f t="shared" si="140"/>
        <v>สแกนต่าง Cost</v>
      </c>
    </row>
    <row r="3010" spans="1:26" x14ac:dyDescent="0.45">
      <c r="A3010">
        <v>25706</v>
      </c>
      <c r="B3010" t="s">
        <v>53</v>
      </c>
      <c r="C3010">
        <v>20165798</v>
      </c>
      <c r="D3010" t="s">
        <v>352</v>
      </c>
      <c r="E3010" s="10">
        <v>46113.347222222219</v>
      </c>
      <c r="F3010" s="10">
        <v>46113.729166666664</v>
      </c>
      <c r="G3010">
        <v>8.1666666666666661</v>
      </c>
      <c r="H3010" s="9">
        <f t="shared" si="138"/>
        <v>4.3999999999999997E-2</v>
      </c>
      <c r="J3010">
        <v>4.3999999999999997E-2</v>
      </c>
      <c r="M3010" t="s">
        <v>77</v>
      </c>
      <c r="N3010" t="s">
        <v>40</v>
      </c>
      <c r="O3010" t="s">
        <v>78</v>
      </c>
      <c r="P3010" t="s">
        <v>30</v>
      </c>
      <c r="Q3010" t="s">
        <v>31</v>
      </c>
      <c r="R3010">
        <v>82301</v>
      </c>
      <c r="S3010" t="s">
        <v>79</v>
      </c>
      <c r="T3010">
        <v>82658</v>
      </c>
      <c r="U3010" t="s">
        <v>33</v>
      </c>
      <c r="V3010" t="s">
        <v>33</v>
      </c>
      <c r="W3010" t="s">
        <v>37</v>
      </c>
      <c r="X3010" t="s">
        <v>38</v>
      </c>
      <c r="Y3010" s="9">
        <f t="shared" si="139"/>
        <v>4.3999999999999997E-2</v>
      </c>
      <c r="Z3010" t="str">
        <f t="shared" si="140"/>
        <v>สแกนต่าง Cost</v>
      </c>
    </row>
    <row r="3011" spans="1:26" x14ac:dyDescent="0.45">
      <c r="A3011">
        <v>25705</v>
      </c>
      <c r="B3011" t="s">
        <v>53</v>
      </c>
      <c r="C3011">
        <v>20292379</v>
      </c>
      <c r="D3011" t="s">
        <v>341</v>
      </c>
      <c r="E3011" s="10">
        <v>46113.347222222219</v>
      </c>
      <c r="F3011" s="10">
        <v>46113.729166666664</v>
      </c>
      <c r="G3011">
        <v>8.1666666666666661</v>
      </c>
      <c r="H3011" s="9">
        <f t="shared" ref="H3011:H3056" si="141">SUM(I3011:L3011)</f>
        <v>4.3999999999999997E-2</v>
      </c>
      <c r="J3011">
        <v>4.3999999999999997E-2</v>
      </c>
      <c r="M3011" t="s">
        <v>77</v>
      </c>
      <c r="N3011" t="s">
        <v>40</v>
      </c>
      <c r="O3011" t="s">
        <v>78</v>
      </c>
      <c r="P3011" t="s">
        <v>30</v>
      </c>
      <c r="Q3011" t="s">
        <v>31</v>
      </c>
      <c r="R3011">
        <v>82301</v>
      </c>
      <c r="S3011" t="s">
        <v>79</v>
      </c>
      <c r="T3011">
        <v>82658</v>
      </c>
      <c r="U3011" t="s">
        <v>33</v>
      </c>
      <c r="V3011" t="s">
        <v>33</v>
      </c>
      <c r="W3011" t="s">
        <v>37</v>
      </c>
      <c r="X3011" t="s">
        <v>38</v>
      </c>
      <c r="Y3011" s="9">
        <f t="shared" ref="Y3011:Y3074" si="142">SUM(J3011:L3011)</f>
        <v>4.3999999999999997E-2</v>
      </c>
      <c r="Z3011" t="str">
        <f t="shared" ref="Z3011:Z3071" si="143">IF(R3011=T3011,"สแกน Cost ตัวเอง","สแกนต่าง Cost")</f>
        <v>สแกนต่าง Cost</v>
      </c>
    </row>
    <row r="3012" spans="1:26" x14ac:dyDescent="0.45">
      <c r="A3012">
        <v>25704</v>
      </c>
      <c r="B3012" t="s">
        <v>53</v>
      </c>
      <c r="C3012">
        <v>20002403</v>
      </c>
      <c r="D3012" t="s">
        <v>367</v>
      </c>
      <c r="E3012" s="10">
        <v>46113.333333333336</v>
      </c>
      <c r="F3012" s="10">
        <v>46113.729166666664</v>
      </c>
      <c r="G3012">
        <v>8.5</v>
      </c>
      <c r="H3012" s="9">
        <f t="shared" si="141"/>
        <v>4.4999999999999998E-2</v>
      </c>
      <c r="J3012">
        <v>4.4999999999999998E-2</v>
      </c>
      <c r="M3012" t="s">
        <v>77</v>
      </c>
      <c r="N3012" t="s">
        <v>40</v>
      </c>
      <c r="O3012" t="s">
        <v>78</v>
      </c>
      <c r="P3012" t="s">
        <v>30</v>
      </c>
      <c r="Q3012" t="s">
        <v>31</v>
      </c>
      <c r="R3012">
        <v>82308</v>
      </c>
      <c r="S3012" t="s">
        <v>69</v>
      </c>
      <c r="T3012">
        <v>82658</v>
      </c>
      <c r="U3012" t="s">
        <v>33</v>
      </c>
      <c r="V3012" t="s">
        <v>33</v>
      </c>
      <c r="W3012" t="s">
        <v>37</v>
      </c>
      <c r="X3012" t="s">
        <v>38</v>
      </c>
      <c r="Y3012" s="9">
        <f t="shared" si="142"/>
        <v>4.4999999999999998E-2</v>
      </c>
      <c r="Z3012" t="str">
        <f t="shared" si="143"/>
        <v>สแกนต่าง Cost</v>
      </c>
    </row>
    <row r="3013" spans="1:26" x14ac:dyDescent="0.45">
      <c r="A3013">
        <v>25396</v>
      </c>
      <c r="B3013" t="s">
        <v>53</v>
      </c>
      <c r="C3013">
        <v>20014916</v>
      </c>
      <c r="D3013" t="s">
        <v>167</v>
      </c>
      <c r="E3013" s="10">
        <v>46113.333333333336</v>
      </c>
      <c r="F3013" s="10">
        <v>46113.729166666664</v>
      </c>
      <c r="G3013">
        <v>8.5</v>
      </c>
      <c r="H3013" s="9">
        <f t="shared" si="141"/>
        <v>4.4999999999999998E-2</v>
      </c>
      <c r="I3013">
        <v>4.4999999999999998E-2</v>
      </c>
      <c r="M3013" t="s">
        <v>65</v>
      </c>
      <c r="N3013" t="s">
        <v>29</v>
      </c>
      <c r="P3013" t="s">
        <v>133</v>
      </c>
      <c r="Q3013" t="s">
        <v>31</v>
      </c>
      <c r="R3013">
        <v>82607</v>
      </c>
      <c r="S3013" t="s">
        <v>168</v>
      </c>
      <c r="T3013">
        <v>82640</v>
      </c>
      <c r="U3013" t="s">
        <v>42</v>
      </c>
      <c r="V3013" t="s">
        <v>70</v>
      </c>
      <c r="W3013" t="s">
        <v>47</v>
      </c>
      <c r="X3013" t="s">
        <v>95</v>
      </c>
      <c r="Y3013" s="9">
        <f t="shared" si="142"/>
        <v>0</v>
      </c>
      <c r="Z3013" t="str">
        <f t="shared" si="143"/>
        <v>สแกนต่าง Cost</v>
      </c>
    </row>
    <row r="3014" spans="1:26" x14ac:dyDescent="0.45">
      <c r="A3014">
        <v>25475</v>
      </c>
      <c r="B3014" t="s">
        <v>53</v>
      </c>
      <c r="C3014">
        <v>20017430</v>
      </c>
      <c r="D3014" t="s">
        <v>94</v>
      </c>
      <c r="E3014" s="10">
        <v>46113.333333333336</v>
      </c>
      <c r="F3014" s="10">
        <v>46113.729166666664</v>
      </c>
      <c r="G3014">
        <v>8.5</v>
      </c>
      <c r="H3014" s="9">
        <f t="shared" si="141"/>
        <v>4.4999999999999998E-2</v>
      </c>
      <c r="I3014">
        <v>4.4999999999999998E-2</v>
      </c>
      <c r="M3014" t="s">
        <v>65</v>
      </c>
      <c r="N3014" t="s">
        <v>29</v>
      </c>
      <c r="P3014" t="s">
        <v>30</v>
      </c>
      <c r="Q3014" t="s">
        <v>31</v>
      </c>
      <c r="R3014">
        <v>82301</v>
      </c>
      <c r="S3014" t="s">
        <v>79</v>
      </c>
      <c r="T3014">
        <v>82308</v>
      </c>
      <c r="U3014" t="s">
        <v>69</v>
      </c>
      <c r="V3014" t="s">
        <v>69</v>
      </c>
      <c r="W3014" t="s">
        <v>69</v>
      </c>
      <c r="X3014" t="s">
        <v>95</v>
      </c>
      <c r="Y3014" s="9">
        <f t="shared" si="142"/>
        <v>0</v>
      </c>
      <c r="Z3014" t="str">
        <f t="shared" si="143"/>
        <v>สแกนต่าง Cost</v>
      </c>
    </row>
    <row r="3015" spans="1:26" x14ac:dyDescent="0.45">
      <c r="A3015">
        <v>26696</v>
      </c>
      <c r="B3015" t="s">
        <v>53</v>
      </c>
      <c r="C3015">
        <v>20018611</v>
      </c>
      <c r="D3015" t="s">
        <v>132</v>
      </c>
      <c r="E3015" s="10">
        <v>46113.333333333336</v>
      </c>
      <c r="F3015" s="10">
        <v>46113.729166666664</v>
      </c>
      <c r="G3015">
        <v>8.5</v>
      </c>
      <c r="H3015" s="9">
        <f t="shared" si="141"/>
        <v>4.4999999999999998E-2</v>
      </c>
      <c r="I3015">
        <v>4.4999999999999998E-2</v>
      </c>
      <c r="M3015" t="s">
        <v>65</v>
      </c>
      <c r="N3015" t="s">
        <v>29</v>
      </c>
      <c r="P3015" t="s">
        <v>133</v>
      </c>
      <c r="Q3015" t="s">
        <v>31</v>
      </c>
      <c r="R3015">
        <v>82301</v>
      </c>
      <c r="S3015" t="s">
        <v>79</v>
      </c>
      <c r="T3015">
        <v>82308</v>
      </c>
      <c r="U3015" t="s">
        <v>69</v>
      </c>
      <c r="V3015" t="s">
        <v>69</v>
      </c>
      <c r="W3015" t="s">
        <v>69</v>
      </c>
      <c r="X3015" t="s">
        <v>95</v>
      </c>
      <c r="Y3015" s="9">
        <f t="shared" si="142"/>
        <v>0</v>
      </c>
      <c r="Z3015" t="str">
        <f t="shared" si="143"/>
        <v>สแกนต่าง Cost</v>
      </c>
    </row>
    <row r="3016" spans="1:26" x14ac:dyDescent="0.45">
      <c r="B3016" t="s">
        <v>53</v>
      </c>
      <c r="C3016">
        <v>20018899</v>
      </c>
      <c r="D3016" t="s">
        <v>64</v>
      </c>
      <c r="E3016" s="10">
        <v>46113.333333333336</v>
      </c>
      <c r="F3016" s="10">
        <v>46113.5</v>
      </c>
      <c r="G3016">
        <v>4</v>
      </c>
      <c r="H3016" s="9">
        <f t="shared" si="141"/>
        <v>2.1000000000000001E-2</v>
      </c>
      <c r="I3016">
        <v>2.1000000000000001E-2</v>
      </c>
      <c r="M3016" t="s">
        <v>65</v>
      </c>
      <c r="N3016" t="s">
        <v>29</v>
      </c>
      <c r="P3016" t="s">
        <v>30</v>
      </c>
      <c r="Q3016" t="s">
        <v>31</v>
      </c>
      <c r="R3016">
        <v>82640</v>
      </c>
      <c r="S3016" t="s">
        <v>42</v>
      </c>
      <c r="T3016">
        <v>82652</v>
      </c>
      <c r="U3016" t="s">
        <v>46</v>
      </c>
      <c r="V3016" t="s">
        <v>66</v>
      </c>
      <c r="W3016" t="s">
        <v>37</v>
      </c>
      <c r="X3016" t="s">
        <v>34</v>
      </c>
      <c r="Y3016" s="9">
        <f t="shared" si="142"/>
        <v>0</v>
      </c>
      <c r="Z3016" t="str">
        <f t="shared" si="143"/>
        <v>สแกนต่าง Cost</v>
      </c>
    </row>
    <row r="3017" spans="1:26" x14ac:dyDescent="0.45">
      <c r="B3017" t="s">
        <v>53</v>
      </c>
      <c r="C3017">
        <v>20023163</v>
      </c>
      <c r="D3017" t="s">
        <v>169</v>
      </c>
      <c r="E3017" s="10">
        <v>46113.333333333336</v>
      </c>
      <c r="F3017" s="10">
        <v>46113.729166666664</v>
      </c>
      <c r="G3017">
        <v>8.5</v>
      </c>
      <c r="H3017" s="9">
        <f t="shared" si="141"/>
        <v>4.4999999999999998E-2</v>
      </c>
      <c r="I3017">
        <v>4.4999999999999998E-2</v>
      </c>
      <c r="M3017" t="s">
        <v>65</v>
      </c>
      <c r="N3017" t="s">
        <v>29</v>
      </c>
      <c r="P3017" t="s">
        <v>30</v>
      </c>
      <c r="Q3017" t="s">
        <v>31</v>
      </c>
      <c r="R3017">
        <v>82630</v>
      </c>
      <c r="S3017" t="s">
        <v>32</v>
      </c>
      <c r="T3017">
        <v>82640</v>
      </c>
      <c r="U3017" t="s">
        <v>42</v>
      </c>
      <c r="V3017" t="s">
        <v>70</v>
      </c>
      <c r="W3017" t="s">
        <v>170</v>
      </c>
      <c r="X3017" t="s">
        <v>171</v>
      </c>
      <c r="Y3017" s="9">
        <f t="shared" si="142"/>
        <v>0</v>
      </c>
      <c r="Z3017" t="str">
        <f t="shared" si="143"/>
        <v>สแกนต่าง Cost</v>
      </c>
    </row>
    <row r="3018" spans="1:26" x14ac:dyDescent="0.45">
      <c r="A3018">
        <v>27167</v>
      </c>
      <c r="B3018" t="s">
        <v>53</v>
      </c>
      <c r="C3018">
        <v>20024254</v>
      </c>
      <c r="D3018" t="s">
        <v>233</v>
      </c>
      <c r="E3018" s="10">
        <v>46113.333333333336</v>
      </c>
      <c r="F3018" s="10">
        <v>46113.729166666664</v>
      </c>
      <c r="G3018">
        <v>8.5</v>
      </c>
      <c r="H3018" s="9">
        <f t="shared" si="141"/>
        <v>4.4999999999999998E-2</v>
      </c>
      <c r="I3018">
        <v>4.4999999999999998E-2</v>
      </c>
      <c r="M3018" t="s">
        <v>65</v>
      </c>
      <c r="N3018" t="s">
        <v>29</v>
      </c>
      <c r="P3018" t="s">
        <v>30</v>
      </c>
      <c r="Q3018" t="s">
        <v>31</v>
      </c>
      <c r="R3018">
        <v>82910</v>
      </c>
      <c r="S3018" t="s">
        <v>201</v>
      </c>
      <c r="T3018">
        <v>82611</v>
      </c>
      <c r="U3018" t="s">
        <v>43</v>
      </c>
      <c r="V3018" t="s">
        <v>43</v>
      </c>
      <c r="W3018" t="s">
        <v>148</v>
      </c>
      <c r="X3018" t="s">
        <v>171</v>
      </c>
      <c r="Y3018" s="9">
        <f t="shared" si="142"/>
        <v>0</v>
      </c>
      <c r="Z3018" t="str">
        <f t="shared" si="143"/>
        <v>สแกนต่าง Cost</v>
      </c>
    </row>
    <row r="3019" spans="1:26" x14ac:dyDescent="0.45">
      <c r="A3019">
        <v>27166</v>
      </c>
      <c r="B3019" t="s">
        <v>53</v>
      </c>
      <c r="C3019">
        <v>20025986</v>
      </c>
      <c r="D3019" t="s">
        <v>200</v>
      </c>
      <c r="E3019" s="10">
        <v>46113.333333333336</v>
      </c>
      <c r="F3019" s="10">
        <v>46113.729166666664</v>
      </c>
      <c r="G3019">
        <v>8.5</v>
      </c>
      <c r="H3019" s="9">
        <f t="shared" si="141"/>
        <v>4.4999999999999998E-2</v>
      </c>
      <c r="I3019">
        <v>4.4999999999999998E-2</v>
      </c>
      <c r="M3019" t="s">
        <v>65</v>
      </c>
      <c r="N3019" t="s">
        <v>29</v>
      </c>
      <c r="P3019" t="s">
        <v>30</v>
      </c>
      <c r="Q3019" t="s">
        <v>31</v>
      </c>
      <c r="R3019">
        <v>82910</v>
      </c>
      <c r="S3019" t="s">
        <v>201</v>
      </c>
      <c r="T3019">
        <v>82611</v>
      </c>
      <c r="U3019" t="s">
        <v>43</v>
      </c>
      <c r="V3019" t="s">
        <v>43</v>
      </c>
      <c r="W3019" t="s">
        <v>148</v>
      </c>
      <c r="X3019" t="s">
        <v>171</v>
      </c>
      <c r="Y3019" s="9">
        <f t="shared" si="142"/>
        <v>0</v>
      </c>
      <c r="Z3019" t="str">
        <f t="shared" si="143"/>
        <v>สแกนต่าง Cost</v>
      </c>
    </row>
    <row r="3020" spans="1:26" x14ac:dyDescent="0.45">
      <c r="A3020">
        <v>25352</v>
      </c>
      <c r="B3020" t="s">
        <v>53</v>
      </c>
      <c r="C3020">
        <v>20026402</v>
      </c>
      <c r="D3020" t="s">
        <v>164</v>
      </c>
      <c r="E3020" s="10">
        <v>46113.333333333336</v>
      </c>
      <c r="F3020" s="10">
        <v>46113.729166666664</v>
      </c>
      <c r="G3020">
        <v>8.5</v>
      </c>
      <c r="H3020" s="9">
        <f t="shared" si="141"/>
        <v>4.4999999999999998E-2</v>
      </c>
      <c r="I3020">
        <v>4.4999999999999998E-2</v>
      </c>
      <c r="M3020" t="s">
        <v>65</v>
      </c>
      <c r="N3020" t="s">
        <v>29</v>
      </c>
      <c r="P3020" t="s">
        <v>30</v>
      </c>
      <c r="Q3020" t="s">
        <v>31</v>
      </c>
      <c r="R3020">
        <v>82301</v>
      </c>
      <c r="S3020" t="s">
        <v>79</v>
      </c>
      <c r="T3020">
        <v>82308</v>
      </c>
      <c r="U3020" t="s">
        <v>69</v>
      </c>
      <c r="V3020" t="s">
        <v>69</v>
      </c>
      <c r="W3020" t="s">
        <v>69</v>
      </c>
      <c r="X3020" t="s">
        <v>88</v>
      </c>
      <c r="Y3020" s="9">
        <f t="shared" si="142"/>
        <v>0</v>
      </c>
      <c r="Z3020" t="str">
        <f t="shared" si="143"/>
        <v>สแกนต่าง Cost</v>
      </c>
    </row>
    <row r="3021" spans="1:26" x14ac:dyDescent="0.45">
      <c r="B3021" t="s">
        <v>53</v>
      </c>
      <c r="C3021">
        <v>20027956</v>
      </c>
      <c r="D3021" t="s">
        <v>214</v>
      </c>
      <c r="E3021" s="10">
        <v>46113.333333333336</v>
      </c>
      <c r="F3021" s="10">
        <v>46113.458333333336</v>
      </c>
      <c r="G3021">
        <v>3</v>
      </c>
      <c r="H3021" s="9">
        <f t="shared" si="141"/>
        <v>1.6E-2</v>
      </c>
      <c r="I3021">
        <v>1.6E-2</v>
      </c>
      <c r="M3021" t="s">
        <v>65</v>
      </c>
      <c r="N3021" t="s">
        <v>29</v>
      </c>
      <c r="P3021" t="s">
        <v>30</v>
      </c>
      <c r="Q3021" t="s">
        <v>31</v>
      </c>
      <c r="R3021">
        <v>82640</v>
      </c>
      <c r="S3021" t="s">
        <v>42</v>
      </c>
      <c r="T3021">
        <v>82611</v>
      </c>
      <c r="U3021" t="s">
        <v>43</v>
      </c>
      <c r="V3021" t="s">
        <v>66</v>
      </c>
      <c r="W3021" t="s">
        <v>44</v>
      </c>
      <c r="X3021" t="s">
        <v>44</v>
      </c>
      <c r="Y3021" s="9">
        <f t="shared" si="142"/>
        <v>0</v>
      </c>
      <c r="Z3021" t="str">
        <f t="shared" si="143"/>
        <v>สแกนต่าง Cost</v>
      </c>
    </row>
    <row r="3022" spans="1:26" x14ac:dyDescent="0.45">
      <c r="A3022">
        <v>25433</v>
      </c>
      <c r="B3022" t="s">
        <v>53</v>
      </c>
      <c r="C3022">
        <v>20030839</v>
      </c>
      <c r="D3022" t="s">
        <v>235</v>
      </c>
      <c r="E3022" s="10">
        <v>46113.333333333336</v>
      </c>
      <c r="F3022" s="10">
        <v>46113.913194444445</v>
      </c>
      <c r="G3022">
        <v>13.916666666666666</v>
      </c>
      <c r="H3022" s="9">
        <f t="shared" si="141"/>
        <v>7.3999999999999996E-2</v>
      </c>
      <c r="I3022">
        <v>4.4999999999999998E-2</v>
      </c>
      <c r="K3022">
        <v>2.9000000000000001E-2</v>
      </c>
      <c r="M3022" t="s">
        <v>28</v>
      </c>
      <c r="N3022" t="s">
        <v>40</v>
      </c>
      <c r="O3022" t="s">
        <v>140</v>
      </c>
      <c r="P3022" t="s">
        <v>30</v>
      </c>
      <c r="Q3022" t="s">
        <v>31</v>
      </c>
      <c r="R3022">
        <v>82658</v>
      </c>
      <c r="S3022" t="s">
        <v>33</v>
      </c>
      <c r="T3022">
        <v>82664</v>
      </c>
      <c r="U3022" t="s">
        <v>75</v>
      </c>
      <c r="V3022" t="s">
        <v>75</v>
      </c>
      <c r="W3022" t="s">
        <v>37</v>
      </c>
      <c r="X3022" t="s">
        <v>111</v>
      </c>
      <c r="Y3022" s="9">
        <f t="shared" si="142"/>
        <v>2.9000000000000001E-2</v>
      </c>
      <c r="Z3022" t="str">
        <f t="shared" si="143"/>
        <v>สแกนต่าง Cost</v>
      </c>
    </row>
    <row r="3023" spans="1:26" x14ac:dyDescent="0.45">
      <c r="B3023" t="s">
        <v>53</v>
      </c>
      <c r="C3023">
        <v>20034535</v>
      </c>
      <c r="D3023" t="s">
        <v>99</v>
      </c>
      <c r="E3023" s="10">
        <v>46113.333333333336</v>
      </c>
      <c r="F3023" s="10">
        <v>46113.729166666664</v>
      </c>
      <c r="G3023">
        <v>8.5</v>
      </c>
      <c r="H3023" s="9">
        <f t="shared" si="141"/>
        <v>4.4999999999999998E-2</v>
      </c>
      <c r="I3023">
        <v>4.4999999999999998E-2</v>
      </c>
      <c r="M3023" t="s">
        <v>65</v>
      </c>
      <c r="N3023" t="s">
        <v>29</v>
      </c>
      <c r="P3023" t="s">
        <v>30</v>
      </c>
      <c r="Q3023" t="s">
        <v>31</v>
      </c>
      <c r="R3023">
        <v>82630</v>
      </c>
      <c r="S3023" t="s">
        <v>32</v>
      </c>
      <c r="T3023">
        <v>82611</v>
      </c>
      <c r="U3023" t="s">
        <v>43</v>
      </c>
      <c r="V3023" t="s">
        <v>43</v>
      </c>
      <c r="W3023" t="s">
        <v>170</v>
      </c>
      <c r="X3023" t="s">
        <v>171</v>
      </c>
      <c r="Y3023" s="9">
        <f t="shared" si="142"/>
        <v>0</v>
      </c>
      <c r="Z3023" t="str">
        <f t="shared" si="143"/>
        <v>สแกนต่าง Cost</v>
      </c>
    </row>
    <row r="3024" spans="1:26" x14ac:dyDescent="0.45">
      <c r="B3024" t="s">
        <v>53</v>
      </c>
      <c r="C3024">
        <v>20037938</v>
      </c>
      <c r="D3024" t="s">
        <v>172</v>
      </c>
      <c r="E3024" s="10">
        <v>46113.333333333336</v>
      </c>
      <c r="F3024" s="10">
        <v>46113.729166666664</v>
      </c>
      <c r="G3024">
        <v>8.5</v>
      </c>
      <c r="H3024" s="9">
        <f t="shared" si="141"/>
        <v>4.4999999999999998E-2</v>
      </c>
      <c r="I3024">
        <v>4.4999999999999998E-2</v>
      </c>
      <c r="M3024" t="s">
        <v>65</v>
      </c>
      <c r="N3024" t="s">
        <v>29</v>
      </c>
      <c r="P3024" t="s">
        <v>30</v>
      </c>
      <c r="Q3024" t="s">
        <v>31</v>
      </c>
      <c r="R3024">
        <v>82630</v>
      </c>
      <c r="S3024" t="s">
        <v>32</v>
      </c>
      <c r="T3024">
        <v>82611</v>
      </c>
      <c r="U3024" t="s">
        <v>43</v>
      </c>
      <c r="V3024" t="s">
        <v>43</v>
      </c>
      <c r="W3024" t="s">
        <v>170</v>
      </c>
      <c r="X3024" t="s">
        <v>171</v>
      </c>
      <c r="Y3024" s="9">
        <f t="shared" si="142"/>
        <v>0</v>
      </c>
      <c r="Z3024" t="str">
        <f t="shared" si="143"/>
        <v>สแกนต่าง Cost</v>
      </c>
    </row>
    <row r="3025" spans="1:26" x14ac:dyDescent="0.45">
      <c r="B3025" t="s">
        <v>53</v>
      </c>
      <c r="C3025">
        <v>20041131</v>
      </c>
      <c r="D3025" t="s">
        <v>173</v>
      </c>
      <c r="E3025" s="10">
        <v>46113.333333333336</v>
      </c>
      <c r="F3025" s="10">
        <v>46113.729166666664</v>
      </c>
      <c r="G3025">
        <v>8.5</v>
      </c>
      <c r="H3025" s="9">
        <f t="shared" si="141"/>
        <v>4.4999999999999998E-2</v>
      </c>
      <c r="I3025">
        <v>4.4999999999999998E-2</v>
      </c>
      <c r="M3025" t="s">
        <v>65</v>
      </c>
      <c r="N3025" t="s">
        <v>29</v>
      </c>
      <c r="P3025" t="s">
        <v>30</v>
      </c>
      <c r="Q3025" t="s">
        <v>31</v>
      </c>
      <c r="R3025">
        <v>82630</v>
      </c>
      <c r="S3025" t="s">
        <v>32</v>
      </c>
      <c r="T3025">
        <v>82611</v>
      </c>
      <c r="U3025" t="s">
        <v>43</v>
      </c>
      <c r="V3025" t="s">
        <v>43</v>
      </c>
      <c r="W3025" t="s">
        <v>170</v>
      </c>
      <c r="X3025" t="s">
        <v>171</v>
      </c>
      <c r="Y3025" s="9">
        <f t="shared" si="142"/>
        <v>0</v>
      </c>
      <c r="Z3025" t="str">
        <f t="shared" si="143"/>
        <v>สแกนต่าง Cost</v>
      </c>
    </row>
    <row r="3026" spans="1:26" x14ac:dyDescent="0.45">
      <c r="B3026" t="s">
        <v>53</v>
      </c>
      <c r="C3026">
        <v>20074473</v>
      </c>
      <c r="D3026" t="s">
        <v>276</v>
      </c>
      <c r="E3026" s="10">
        <v>46113.333333333336</v>
      </c>
      <c r="F3026" s="10">
        <v>46113.729166666664</v>
      </c>
      <c r="G3026">
        <v>8.5</v>
      </c>
      <c r="H3026" s="9">
        <f t="shared" si="141"/>
        <v>4.4999999999999998E-2</v>
      </c>
      <c r="I3026">
        <v>4.4999999999999998E-2</v>
      </c>
      <c r="M3026" t="s">
        <v>65</v>
      </c>
      <c r="N3026" t="s">
        <v>29</v>
      </c>
      <c r="P3026" t="s">
        <v>30</v>
      </c>
      <c r="Q3026" t="s">
        <v>31</v>
      </c>
      <c r="R3026">
        <v>82630</v>
      </c>
      <c r="S3026" t="s">
        <v>32</v>
      </c>
      <c r="T3026">
        <v>82640</v>
      </c>
      <c r="U3026" t="s">
        <v>42</v>
      </c>
      <c r="V3026" t="s">
        <v>70</v>
      </c>
      <c r="W3026" t="s">
        <v>170</v>
      </c>
      <c r="X3026" t="s">
        <v>171</v>
      </c>
      <c r="Y3026" s="9">
        <f t="shared" si="142"/>
        <v>0</v>
      </c>
      <c r="Z3026" t="str">
        <f t="shared" si="143"/>
        <v>สแกนต่าง Cost</v>
      </c>
    </row>
    <row r="3027" spans="1:26" x14ac:dyDescent="0.45">
      <c r="A3027">
        <v>27135</v>
      </c>
      <c r="B3027" t="s">
        <v>53</v>
      </c>
      <c r="C3027">
        <v>20074749</v>
      </c>
      <c r="D3027" t="s">
        <v>395</v>
      </c>
      <c r="E3027" s="10">
        <v>46113.333333333336</v>
      </c>
      <c r="F3027" s="10">
        <v>46113.729166666664</v>
      </c>
      <c r="G3027">
        <v>8.5</v>
      </c>
      <c r="H3027" s="9">
        <f t="shared" si="141"/>
        <v>4.4999999999999998E-2</v>
      </c>
      <c r="I3027">
        <v>4.4999999999999998E-2</v>
      </c>
      <c r="M3027" t="s">
        <v>65</v>
      </c>
      <c r="N3027" t="s">
        <v>29</v>
      </c>
      <c r="P3027" t="s">
        <v>30</v>
      </c>
      <c r="Q3027" t="s">
        <v>31</v>
      </c>
      <c r="R3027">
        <v>82640</v>
      </c>
      <c r="S3027" t="s">
        <v>42</v>
      </c>
      <c r="T3027">
        <v>82611</v>
      </c>
      <c r="U3027" t="s">
        <v>43</v>
      </c>
      <c r="V3027" t="s">
        <v>43</v>
      </c>
      <c r="W3027" t="s">
        <v>42</v>
      </c>
      <c r="X3027" t="s">
        <v>38</v>
      </c>
      <c r="Y3027" s="9">
        <f t="shared" si="142"/>
        <v>0</v>
      </c>
      <c r="Z3027" t="str">
        <f t="shared" si="143"/>
        <v>สแกนต่าง Cost</v>
      </c>
    </row>
    <row r="3028" spans="1:26" x14ac:dyDescent="0.45">
      <c r="B3028" t="s">
        <v>53</v>
      </c>
      <c r="C3028">
        <v>20075871</v>
      </c>
      <c r="D3028" t="s">
        <v>174</v>
      </c>
      <c r="E3028" s="10">
        <v>46113.333333333336</v>
      </c>
      <c r="F3028" s="10">
        <v>46113.729166666664</v>
      </c>
      <c r="G3028">
        <v>8.5</v>
      </c>
      <c r="H3028" s="9">
        <f t="shared" si="141"/>
        <v>4.4999999999999998E-2</v>
      </c>
      <c r="I3028">
        <v>4.4999999999999998E-2</v>
      </c>
      <c r="M3028" t="s">
        <v>65</v>
      </c>
      <c r="N3028" t="s">
        <v>29</v>
      </c>
      <c r="P3028" t="s">
        <v>133</v>
      </c>
      <c r="Q3028" t="s">
        <v>31</v>
      </c>
      <c r="R3028">
        <v>82301</v>
      </c>
      <c r="S3028" t="s">
        <v>79</v>
      </c>
      <c r="T3028">
        <v>82308</v>
      </c>
      <c r="U3028" t="s">
        <v>69</v>
      </c>
      <c r="V3028" t="s">
        <v>69</v>
      </c>
      <c r="W3028" t="s">
        <v>69</v>
      </c>
      <c r="X3028" t="s">
        <v>95</v>
      </c>
      <c r="Y3028" s="9">
        <f t="shared" si="142"/>
        <v>0</v>
      </c>
      <c r="Z3028" t="str">
        <f t="shared" si="143"/>
        <v>สแกนต่าง Cost</v>
      </c>
    </row>
    <row r="3029" spans="1:26" x14ac:dyDescent="0.45">
      <c r="A3029">
        <v>26701</v>
      </c>
      <c r="B3029" t="s">
        <v>53</v>
      </c>
      <c r="C3029">
        <v>20076436</v>
      </c>
      <c r="D3029" t="s">
        <v>131</v>
      </c>
      <c r="E3029" s="10">
        <v>46113.333333333336</v>
      </c>
      <c r="F3029" s="10">
        <v>46113.729166666664</v>
      </c>
      <c r="G3029">
        <v>8.5</v>
      </c>
      <c r="H3029" s="9">
        <f t="shared" si="141"/>
        <v>4.4999999999999998E-2</v>
      </c>
      <c r="I3029">
        <v>4.4999999999999998E-2</v>
      </c>
      <c r="M3029" t="s">
        <v>65</v>
      </c>
      <c r="N3029" t="s">
        <v>29</v>
      </c>
      <c r="P3029" t="s">
        <v>30</v>
      </c>
      <c r="Q3029" t="s">
        <v>31</v>
      </c>
      <c r="R3029">
        <v>82301</v>
      </c>
      <c r="S3029" t="s">
        <v>79</v>
      </c>
      <c r="T3029">
        <v>82308</v>
      </c>
      <c r="U3029" t="s">
        <v>69</v>
      </c>
      <c r="V3029" t="s">
        <v>69</v>
      </c>
      <c r="W3029" t="s">
        <v>69</v>
      </c>
      <c r="X3029" t="s">
        <v>95</v>
      </c>
      <c r="Y3029" s="9">
        <f t="shared" si="142"/>
        <v>0</v>
      </c>
      <c r="Z3029" t="str">
        <f t="shared" si="143"/>
        <v>สแกนต่าง Cost</v>
      </c>
    </row>
    <row r="3030" spans="1:26" x14ac:dyDescent="0.45">
      <c r="A3030">
        <v>25432</v>
      </c>
      <c r="B3030" t="s">
        <v>53</v>
      </c>
      <c r="C3030">
        <v>20162724</v>
      </c>
      <c r="D3030" t="s">
        <v>128</v>
      </c>
      <c r="E3030" s="10">
        <v>46113.333333333336</v>
      </c>
      <c r="F3030" s="10">
        <v>46113.913194444445</v>
      </c>
      <c r="G3030">
        <v>13.916666666666666</v>
      </c>
      <c r="H3030" s="9">
        <f t="shared" si="141"/>
        <v>7.3999999999999996E-2</v>
      </c>
      <c r="I3030">
        <v>4.4999999999999998E-2</v>
      </c>
      <c r="K3030">
        <v>2.9000000000000001E-2</v>
      </c>
      <c r="M3030" t="s">
        <v>28</v>
      </c>
      <c r="N3030" t="s">
        <v>40</v>
      </c>
      <c r="O3030" t="s">
        <v>140</v>
      </c>
      <c r="P3030" t="s">
        <v>30</v>
      </c>
      <c r="Q3030" t="s">
        <v>31</v>
      </c>
      <c r="R3030">
        <v>82658</v>
      </c>
      <c r="S3030" t="s">
        <v>33</v>
      </c>
      <c r="T3030">
        <v>82664</v>
      </c>
      <c r="U3030" t="s">
        <v>75</v>
      </c>
      <c r="V3030" t="s">
        <v>75</v>
      </c>
      <c r="W3030" t="s">
        <v>37</v>
      </c>
      <c r="X3030" t="s">
        <v>111</v>
      </c>
      <c r="Y3030" s="9">
        <f t="shared" si="142"/>
        <v>2.9000000000000001E-2</v>
      </c>
      <c r="Z3030" t="str">
        <f t="shared" si="143"/>
        <v>สแกนต่าง Cost</v>
      </c>
    </row>
    <row r="3031" spans="1:26" x14ac:dyDescent="0.45">
      <c r="B3031" t="s">
        <v>53</v>
      </c>
      <c r="C3031">
        <v>20167851</v>
      </c>
      <c r="D3031" t="s">
        <v>63</v>
      </c>
      <c r="E3031" s="10">
        <v>46113.333333333336</v>
      </c>
      <c r="F3031" s="10">
        <v>46113.416666666664</v>
      </c>
      <c r="G3031">
        <v>2</v>
      </c>
      <c r="H3031" s="9">
        <f t="shared" si="141"/>
        <v>1.0999999999999999E-2</v>
      </c>
      <c r="I3031">
        <v>1.0999999999999999E-2</v>
      </c>
      <c r="M3031" t="s">
        <v>65</v>
      </c>
      <c r="N3031" t="s">
        <v>29</v>
      </c>
      <c r="P3031" t="s">
        <v>30</v>
      </c>
      <c r="Q3031" t="s">
        <v>31</v>
      </c>
      <c r="R3031">
        <v>82640</v>
      </c>
      <c r="S3031" t="s">
        <v>42</v>
      </c>
      <c r="T3031">
        <v>82612</v>
      </c>
      <c r="U3031" t="s">
        <v>153</v>
      </c>
      <c r="V3031" t="s">
        <v>66</v>
      </c>
      <c r="W3031" t="s">
        <v>44</v>
      </c>
      <c r="X3031" t="s">
        <v>44</v>
      </c>
      <c r="Y3031" s="9">
        <f t="shared" si="142"/>
        <v>0</v>
      </c>
      <c r="Z3031" t="str">
        <f t="shared" si="143"/>
        <v>สแกนต่าง Cost</v>
      </c>
    </row>
    <row r="3032" spans="1:26" x14ac:dyDescent="0.45">
      <c r="B3032" t="s">
        <v>53</v>
      </c>
      <c r="C3032">
        <v>20198711</v>
      </c>
      <c r="D3032" t="s">
        <v>178</v>
      </c>
      <c r="E3032" s="10">
        <v>46113.333333333336</v>
      </c>
      <c r="F3032" s="10">
        <v>46113.729166666664</v>
      </c>
      <c r="G3032">
        <v>8.5</v>
      </c>
      <c r="H3032" s="9">
        <f t="shared" si="141"/>
        <v>4.4999999999999998E-2</v>
      </c>
      <c r="I3032">
        <v>4.4999999999999998E-2</v>
      </c>
      <c r="M3032" t="s">
        <v>65</v>
      </c>
      <c r="N3032" t="s">
        <v>29</v>
      </c>
      <c r="P3032" t="s">
        <v>30</v>
      </c>
      <c r="Q3032" t="s">
        <v>31</v>
      </c>
      <c r="R3032">
        <v>82630</v>
      </c>
      <c r="S3032" t="s">
        <v>32</v>
      </c>
      <c r="T3032">
        <v>82611</v>
      </c>
      <c r="U3032" t="s">
        <v>43</v>
      </c>
      <c r="V3032" t="s">
        <v>43</v>
      </c>
      <c r="W3032" t="s">
        <v>170</v>
      </c>
      <c r="X3032" t="s">
        <v>171</v>
      </c>
      <c r="Y3032" s="9">
        <f t="shared" si="142"/>
        <v>0</v>
      </c>
      <c r="Z3032" t="str">
        <f t="shared" si="143"/>
        <v>สแกนต่าง Cost</v>
      </c>
    </row>
    <row r="3033" spans="1:26" x14ac:dyDescent="0.45">
      <c r="B3033" t="s">
        <v>53</v>
      </c>
      <c r="C3033">
        <v>20198715</v>
      </c>
      <c r="D3033" t="s">
        <v>179</v>
      </c>
      <c r="E3033" s="10">
        <v>46113.333333333336</v>
      </c>
      <c r="F3033" s="10">
        <v>46113.729166666664</v>
      </c>
      <c r="G3033">
        <v>8.5</v>
      </c>
      <c r="H3033" s="9">
        <f t="shared" si="141"/>
        <v>4.4999999999999998E-2</v>
      </c>
      <c r="I3033">
        <v>4.4999999999999998E-2</v>
      </c>
      <c r="M3033" t="s">
        <v>65</v>
      </c>
      <c r="N3033" t="s">
        <v>29</v>
      </c>
      <c r="P3033" t="s">
        <v>30</v>
      </c>
      <c r="Q3033" t="s">
        <v>31</v>
      </c>
      <c r="R3033">
        <v>82630</v>
      </c>
      <c r="S3033" t="s">
        <v>32</v>
      </c>
      <c r="T3033">
        <v>82611</v>
      </c>
      <c r="U3033" t="s">
        <v>43</v>
      </c>
      <c r="V3033" t="s">
        <v>43</v>
      </c>
      <c r="W3033" t="s">
        <v>170</v>
      </c>
      <c r="X3033" t="s">
        <v>171</v>
      </c>
      <c r="Y3033" s="9">
        <f t="shared" si="142"/>
        <v>0</v>
      </c>
      <c r="Z3033" t="str">
        <f t="shared" si="143"/>
        <v>สแกนต่าง Cost</v>
      </c>
    </row>
    <row r="3034" spans="1:26" x14ac:dyDescent="0.45">
      <c r="B3034" t="s">
        <v>53</v>
      </c>
      <c r="C3034">
        <v>20198747</v>
      </c>
      <c r="D3034" t="s">
        <v>180</v>
      </c>
      <c r="E3034" s="10">
        <v>46113.333333333336</v>
      </c>
      <c r="F3034" s="10">
        <v>46113.729166666664</v>
      </c>
      <c r="G3034">
        <v>8.5</v>
      </c>
      <c r="H3034" s="9">
        <f t="shared" si="141"/>
        <v>4.4999999999999998E-2</v>
      </c>
      <c r="I3034">
        <v>4.4999999999999998E-2</v>
      </c>
      <c r="M3034" t="s">
        <v>65</v>
      </c>
      <c r="N3034" t="s">
        <v>29</v>
      </c>
      <c r="P3034" t="s">
        <v>30</v>
      </c>
      <c r="Q3034" t="s">
        <v>31</v>
      </c>
      <c r="R3034">
        <v>82630</v>
      </c>
      <c r="S3034" t="s">
        <v>32</v>
      </c>
      <c r="T3034">
        <v>82640</v>
      </c>
      <c r="U3034" t="s">
        <v>42</v>
      </c>
      <c r="V3034" t="s">
        <v>70</v>
      </c>
      <c r="W3034" t="s">
        <v>170</v>
      </c>
      <c r="X3034" t="s">
        <v>171</v>
      </c>
      <c r="Y3034" s="9">
        <f t="shared" si="142"/>
        <v>0</v>
      </c>
      <c r="Z3034" t="str">
        <f t="shared" si="143"/>
        <v>สแกนต่าง Cost</v>
      </c>
    </row>
    <row r="3035" spans="1:26" x14ac:dyDescent="0.45">
      <c r="A3035">
        <v>25434</v>
      </c>
      <c r="B3035" t="s">
        <v>53</v>
      </c>
      <c r="C3035">
        <v>20198835</v>
      </c>
      <c r="D3035" t="s">
        <v>129</v>
      </c>
      <c r="E3035" s="10">
        <v>46113.333333333336</v>
      </c>
      <c r="F3035" s="10">
        <v>46113.913194444445</v>
      </c>
      <c r="G3035">
        <v>13.916666666666666</v>
      </c>
      <c r="H3035" s="9">
        <f t="shared" si="141"/>
        <v>7.3999999999999996E-2</v>
      </c>
      <c r="I3035">
        <v>4.4999999999999998E-2</v>
      </c>
      <c r="K3035">
        <v>2.9000000000000001E-2</v>
      </c>
      <c r="M3035" t="s">
        <v>28</v>
      </c>
      <c r="N3035" t="s">
        <v>40</v>
      </c>
      <c r="O3035" t="s">
        <v>140</v>
      </c>
      <c r="P3035" t="s">
        <v>30</v>
      </c>
      <c r="Q3035" t="s">
        <v>31</v>
      </c>
      <c r="R3035">
        <v>82658</v>
      </c>
      <c r="S3035" t="s">
        <v>33</v>
      </c>
      <c r="T3035">
        <v>82664</v>
      </c>
      <c r="U3035" t="s">
        <v>75</v>
      </c>
      <c r="V3035" t="s">
        <v>75</v>
      </c>
      <c r="W3035" t="s">
        <v>37</v>
      </c>
      <c r="X3035" t="s">
        <v>111</v>
      </c>
      <c r="Y3035" s="9">
        <f t="shared" si="142"/>
        <v>2.9000000000000001E-2</v>
      </c>
      <c r="Z3035" t="str">
        <f t="shared" si="143"/>
        <v>สแกนต่าง Cost</v>
      </c>
    </row>
    <row r="3036" spans="1:26" x14ac:dyDescent="0.45">
      <c r="B3036" t="s">
        <v>53</v>
      </c>
      <c r="C3036">
        <v>20198839</v>
      </c>
      <c r="D3036" t="s">
        <v>258</v>
      </c>
      <c r="E3036" s="10">
        <v>46113.333333333336</v>
      </c>
      <c r="F3036" s="10">
        <v>46113.375</v>
      </c>
      <c r="G3036">
        <v>1</v>
      </c>
      <c r="H3036" s="9">
        <f t="shared" si="141"/>
        <v>5.0000000000000001E-3</v>
      </c>
      <c r="I3036">
        <v>5.0000000000000001E-3</v>
      </c>
      <c r="M3036" t="s">
        <v>65</v>
      </c>
      <c r="N3036" t="s">
        <v>29</v>
      </c>
      <c r="P3036" t="s">
        <v>30</v>
      </c>
      <c r="Q3036" t="s">
        <v>31</v>
      </c>
      <c r="R3036">
        <v>82640</v>
      </c>
      <c r="S3036" t="s">
        <v>42</v>
      </c>
      <c r="T3036">
        <v>82611</v>
      </c>
      <c r="U3036" t="s">
        <v>43</v>
      </c>
      <c r="V3036" t="s">
        <v>66</v>
      </c>
      <c r="W3036" t="s">
        <v>44</v>
      </c>
      <c r="X3036" t="s">
        <v>44</v>
      </c>
      <c r="Y3036" s="9">
        <f t="shared" si="142"/>
        <v>0</v>
      </c>
      <c r="Z3036" t="str">
        <f t="shared" si="143"/>
        <v>สแกนต่าง Cost</v>
      </c>
    </row>
    <row r="3037" spans="1:26" x14ac:dyDescent="0.45">
      <c r="B3037" t="s">
        <v>53</v>
      </c>
      <c r="C3037">
        <v>20220646</v>
      </c>
      <c r="D3037" t="s">
        <v>67</v>
      </c>
      <c r="E3037" s="10">
        <v>46113.333333333336</v>
      </c>
      <c r="F3037" s="10">
        <v>46113.5</v>
      </c>
      <c r="G3037">
        <v>4</v>
      </c>
      <c r="H3037" s="9">
        <f t="shared" si="141"/>
        <v>2.1000000000000001E-2</v>
      </c>
      <c r="J3037">
        <v>2.1000000000000001E-2</v>
      </c>
      <c r="M3037" t="s">
        <v>77</v>
      </c>
      <c r="N3037" t="s">
        <v>29</v>
      </c>
      <c r="P3037" t="s">
        <v>30</v>
      </c>
      <c r="Q3037" t="s">
        <v>31</v>
      </c>
      <c r="R3037">
        <v>82640</v>
      </c>
      <c r="S3037" t="s">
        <v>42</v>
      </c>
      <c r="T3037">
        <v>82652</v>
      </c>
      <c r="U3037" t="s">
        <v>46</v>
      </c>
      <c r="V3037" t="s">
        <v>66</v>
      </c>
      <c r="W3037" t="s">
        <v>37</v>
      </c>
      <c r="X3037" t="s">
        <v>34</v>
      </c>
      <c r="Y3037" s="9">
        <f t="shared" si="142"/>
        <v>2.1000000000000001E-2</v>
      </c>
      <c r="Z3037" t="str">
        <f t="shared" si="143"/>
        <v>สแกนต่าง Cost</v>
      </c>
    </row>
    <row r="3038" spans="1:26" x14ac:dyDescent="0.45">
      <c r="B3038" t="s">
        <v>53</v>
      </c>
      <c r="C3038">
        <v>20244923</v>
      </c>
      <c r="D3038" t="s">
        <v>246</v>
      </c>
      <c r="E3038" s="10">
        <v>46113.333333333336</v>
      </c>
      <c r="F3038" s="10">
        <v>46113.5</v>
      </c>
      <c r="G3038">
        <v>4</v>
      </c>
      <c r="H3038" s="9">
        <f t="shared" si="141"/>
        <v>2.1000000000000001E-2</v>
      </c>
      <c r="I3038">
        <v>2.1000000000000001E-2</v>
      </c>
      <c r="M3038" t="s">
        <v>65</v>
      </c>
      <c r="N3038" t="s">
        <v>29</v>
      </c>
      <c r="P3038" t="s">
        <v>30</v>
      </c>
      <c r="Q3038" t="s">
        <v>31</v>
      </c>
      <c r="R3038">
        <v>82640</v>
      </c>
      <c r="S3038" t="s">
        <v>42</v>
      </c>
      <c r="T3038">
        <v>82630</v>
      </c>
      <c r="U3038" t="s">
        <v>32</v>
      </c>
      <c r="V3038" t="s">
        <v>66</v>
      </c>
      <c r="W3038" t="s">
        <v>44</v>
      </c>
      <c r="X3038" t="s">
        <v>44</v>
      </c>
      <c r="Y3038" s="9">
        <f t="shared" si="142"/>
        <v>0</v>
      </c>
      <c r="Z3038" t="str">
        <f t="shared" si="143"/>
        <v>สแกนต่าง Cost</v>
      </c>
    </row>
    <row r="3039" spans="1:26" x14ac:dyDescent="0.45">
      <c r="A3039">
        <v>25437</v>
      </c>
      <c r="B3039" t="s">
        <v>53</v>
      </c>
      <c r="C3039">
        <v>20267288</v>
      </c>
      <c r="D3039" t="s">
        <v>127</v>
      </c>
      <c r="E3039" s="10">
        <v>46113.333333333336</v>
      </c>
      <c r="F3039" s="10">
        <v>46113.827777777777</v>
      </c>
      <c r="G3039">
        <v>11.866666666666667</v>
      </c>
      <c r="H3039" s="9">
        <f t="shared" si="141"/>
        <v>6.3E-2</v>
      </c>
      <c r="I3039">
        <v>4.4999999999999998E-2</v>
      </c>
      <c r="K3039">
        <v>1.7999999999999999E-2</v>
      </c>
      <c r="M3039" t="s">
        <v>28</v>
      </c>
      <c r="N3039" t="s">
        <v>40</v>
      </c>
      <c r="O3039" t="s">
        <v>41</v>
      </c>
      <c r="P3039" t="s">
        <v>30</v>
      </c>
      <c r="Q3039" t="s">
        <v>31</v>
      </c>
      <c r="R3039">
        <v>82409</v>
      </c>
      <c r="S3039" t="s">
        <v>74</v>
      </c>
      <c r="T3039">
        <v>82664</v>
      </c>
      <c r="U3039" t="s">
        <v>75</v>
      </c>
      <c r="V3039" t="s">
        <v>75</v>
      </c>
      <c r="W3039" t="s">
        <v>74</v>
      </c>
      <c r="X3039" t="s">
        <v>74</v>
      </c>
      <c r="Y3039" s="9">
        <f t="shared" si="142"/>
        <v>1.7999999999999999E-2</v>
      </c>
      <c r="Z3039" t="str">
        <f t="shared" si="143"/>
        <v>สแกนต่าง Cost</v>
      </c>
    </row>
    <row r="3040" spans="1:26" x14ac:dyDescent="0.45">
      <c r="B3040" t="s">
        <v>53</v>
      </c>
      <c r="C3040">
        <v>20280718</v>
      </c>
      <c r="D3040" t="s">
        <v>256</v>
      </c>
      <c r="E3040" s="10">
        <v>46113.333333333336</v>
      </c>
      <c r="F3040" s="10">
        <v>46113.395833333336</v>
      </c>
      <c r="G3040">
        <v>1.5</v>
      </c>
      <c r="H3040" s="9">
        <f t="shared" si="141"/>
        <v>8.0000000000000002E-3</v>
      </c>
      <c r="I3040">
        <v>8.0000000000000002E-3</v>
      </c>
      <c r="M3040" t="s">
        <v>65</v>
      </c>
      <c r="N3040" t="s">
        <v>29</v>
      </c>
      <c r="P3040" t="s">
        <v>30</v>
      </c>
      <c r="Q3040" t="s">
        <v>31</v>
      </c>
      <c r="R3040">
        <v>82640</v>
      </c>
      <c r="S3040" t="s">
        <v>42</v>
      </c>
      <c r="T3040">
        <v>82630</v>
      </c>
      <c r="U3040" t="s">
        <v>32</v>
      </c>
      <c r="V3040" t="s">
        <v>66</v>
      </c>
      <c r="W3040" t="s">
        <v>44</v>
      </c>
      <c r="X3040" t="s">
        <v>44</v>
      </c>
      <c r="Y3040" s="9">
        <f t="shared" si="142"/>
        <v>0</v>
      </c>
      <c r="Z3040" t="str">
        <f t="shared" si="143"/>
        <v>สแกนต่าง Cost</v>
      </c>
    </row>
    <row r="3041" spans="1:26" x14ac:dyDescent="0.45">
      <c r="B3041" t="s">
        <v>53</v>
      </c>
      <c r="C3041">
        <v>20280722</v>
      </c>
      <c r="D3041" t="s">
        <v>342</v>
      </c>
      <c r="E3041" s="10">
        <v>46113.333333333336</v>
      </c>
      <c r="F3041" s="10">
        <v>46113.5</v>
      </c>
      <c r="G3041">
        <v>4</v>
      </c>
      <c r="H3041" s="9">
        <f t="shared" si="141"/>
        <v>2.1000000000000001E-2</v>
      </c>
      <c r="I3041">
        <v>2.1000000000000001E-2</v>
      </c>
      <c r="M3041" t="s">
        <v>65</v>
      </c>
      <c r="N3041" t="s">
        <v>29</v>
      </c>
      <c r="P3041" t="s">
        <v>30</v>
      </c>
      <c r="Q3041" t="s">
        <v>31</v>
      </c>
      <c r="R3041">
        <v>82640</v>
      </c>
      <c r="S3041" t="s">
        <v>42</v>
      </c>
      <c r="T3041">
        <v>82652</v>
      </c>
      <c r="U3041" t="s">
        <v>46</v>
      </c>
      <c r="V3041" t="s">
        <v>66</v>
      </c>
      <c r="W3041" t="s">
        <v>37</v>
      </c>
      <c r="X3041" t="s">
        <v>34</v>
      </c>
      <c r="Y3041" s="9">
        <f t="shared" si="142"/>
        <v>0</v>
      </c>
      <c r="Z3041" t="str">
        <f t="shared" si="143"/>
        <v>สแกนต่าง Cost</v>
      </c>
    </row>
    <row r="3042" spans="1:26" x14ac:dyDescent="0.45">
      <c r="B3042" t="s">
        <v>53</v>
      </c>
      <c r="C3042">
        <v>20319535</v>
      </c>
      <c r="D3042" t="s">
        <v>36</v>
      </c>
      <c r="E3042" s="10">
        <v>46113.333333333336</v>
      </c>
      <c r="F3042" s="10">
        <v>46113.729166666664</v>
      </c>
      <c r="G3042">
        <v>9.5</v>
      </c>
      <c r="H3042" s="9">
        <f t="shared" si="141"/>
        <v>4.9999999999999996E-2</v>
      </c>
      <c r="I3042">
        <v>4.4999999999999998E-2</v>
      </c>
      <c r="K3042">
        <v>5.0000000000000001E-3</v>
      </c>
      <c r="M3042" t="s">
        <v>28</v>
      </c>
      <c r="N3042" t="s">
        <v>29</v>
      </c>
      <c r="P3042" t="s">
        <v>30</v>
      </c>
      <c r="Q3042" t="s">
        <v>31</v>
      </c>
      <c r="R3042">
        <v>82630</v>
      </c>
      <c r="S3042" t="s">
        <v>32</v>
      </c>
      <c r="T3042">
        <v>82611</v>
      </c>
      <c r="U3042" t="s">
        <v>43</v>
      </c>
      <c r="V3042" t="s">
        <v>43</v>
      </c>
      <c r="W3042" t="s">
        <v>170</v>
      </c>
      <c r="X3042" t="s">
        <v>171</v>
      </c>
      <c r="Y3042" s="9">
        <f t="shared" si="142"/>
        <v>5.0000000000000001E-3</v>
      </c>
      <c r="Z3042" t="str">
        <f t="shared" si="143"/>
        <v>สแกนต่าง Cost</v>
      </c>
    </row>
    <row r="3043" spans="1:26" x14ac:dyDescent="0.45">
      <c r="A3043">
        <v>27168</v>
      </c>
      <c r="B3043" t="s">
        <v>53</v>
      </c>
      <c r="C3043">
        <v>20330032</v>
      </c>
      <c r="D3043" t="s">
        <v>204</v>
      </c>
      <c r="E3043" s="10">
        <v>46113.333333333336</v>
      </c>
      <c r="F3043" s="10">
        <v>46113.729166666664</v>
      </c>
      <c r="G3043">
        <v>8.5</v>
      </c>
      <c r="H3043" s="9">
        <f t="shared" si="141"/>
        <v>4.4999999999999998E-2</v>
      </c>
      <c r="I3043">
        <v>4.4999999999999998E-2</v>
      </c>
      <c r="M3043" t="s">
        <v>77</v>
      </c>
      <c r="N3043" t="s">
        <v>29</v>
      </c>
      <c r="P3043" t="s">
        <v>30</v>
      </c>
      <c r="Q3043" t="s">
        <v>31</v>
      </c>
      <c r="R3043">
        <v>82910</v>
      </c>
      <c r="S3043" t="s">
        <v>201</v>
      </c>
      <c r="T3043">
        <v>82611</v>
      </c>
      <c r="U3043" t="s">
        <v>43</v>
      </c>
      <c r="V3043" t="s">
        <v>43</v>
      </c>
      <c r="W3043" t="s">
        <v>148</v>
      </c>
      <c r="X3043" t="s">
        <v>171</v>
      </c>
      <c r="Y3043" s="9">
        <f t="shared" si="142"/>
        <v>0</v>
      </c>
      <c r="Z3043" t="str">
        <f t="shared" si="143"/>
        <v>สแกนต่าง Cost</v>
      </c>
    </row>
    <row r="3044" spans="1:26" x14ac:dyDescent="0.45">
      <c r="B3044" t="s">
        <v>53</v>
      </c>
      <c r="C3044">
        <v>20332134</v>
      </c>
      <c r="D3044" t="s">
        <v>156</v>
      </c>
      <c r="E3044" s="10">
        <v>46113.333333333336</v>
      </c>
      <c r="F3044" s="10">
        <v>46113.395833333336</v>
      </c>
      <c r="G3044">
        <v>1.5</v>
      </c>
      <c r="H3044" s="9">
        <f t="shared" si="141"/>
        <v>8.0000000000000002E-3</v>
      </c>
      <c r="I3044">
        <v>8.0000000000000002E-3</v>
      </c>
      <c r="M3044" t="s">
        <v>65</v>
      </c>
      <c r="N3044" t="s">
        <v>29</v>
      </c>
      <c r="P3044" t="s">
        <v>30</v>
      </c>
      <c r="Q3044" t="s">
        <v>31</v>
      </c>
      <c r="R3044">
        <v>82640</v>
      </c>
      <c r="S3044" t="s">
        <v>42</v>
      </c>
      <c r="T3044">
        <v>82630</v>
      </c>
      <c r="U3044" t="s">
        <v>32</v>
      </c>
      <c r="V3044" t="s">
        <v>66</v>
      </c>
      <c r="W3044" t="s">
        <v>44</v>
      </c>
      <c r="X3044" t="s">
        <v>44</v>
      </c>
      <c r="Y3044" s="9">
        <f t="shared" si="142"/>
        <v>0</v>
      </c>
      <c r="Z3044" t="str">
        <f t="shared" si="143"/>
        <v>สแกนต่าง Cost</v>
      </c>
    </row>
    <row r="3045" spans="1:26" x14ac:dyDescent="0.45">
      <c r="B3045" t="s">
        <v>53</v>
      </c>
      <c r="C3045">
        <v>20344532</v>
      </c>
      <c r="D3045" t="s">
        <v>186</v>
      </c>
      <c r="E3045" s="10">
        <v>46113.333333333336</v>
      </c>
      <c r="F3045" s="10">
        <v>46113.729166666664</v>
      </c>
      <c r="G3045">
        <v>9.5</v>
      </c>
      <c r="H3045" s="9">
        <f t="shared" si="141"/>
        <v>4.9999999999999996E-2</v>
      </c>
      <c r="I3045">
        <v>4.4999999999999998E-2</v>
      </c>
      <c r="K3045">
        <v>5.0000000000000001E-3</v>
      </c>
      <c r="M3045" t="s">
        <v>28</v>
      </c>
      <c r="N3045" t="s">
        <v>40</v>
      </c>
      <c r="O3045" t="s">
        <v>41</v>
      </c>
      <c r="P3045" t="s">
        <v>30</v>
      </c>
      <c r="Q3045" t="s">
        <v>31</v>
      </c>
      <c r="R3045">
        <v>82630</v>
      </c>
      <c r="S3045" t="s">
        <v>32</v>
      </c>
      <c r="T3045">
        <v>82611</v>
      </c>
      <c r="U3045" t="s">
        <v>43</v>
      </c>
      <c r="V3045" t="s">
        <v>43</v>
      </c>
      <c r="W3045" t="s">
        <v>170</v>
      </c>
      <c r="X3045" t="s">
        <v>171</v>
      </c>
      <c r="Y3045" s="9">
        <f t="shared" si="142"/>
        <v>5.0000000000000001E-3</v>
      </c>
      <c r="Z3045" t="str">
        <f t="shared" si="143"/>
        <v>สแกนต่าง Cost</v>
      </c>
    </row>
    <row r="3046" spans="1:26" x14ac:dyDescent="0.45">
      <c r="A3046">
        <v>25435</v>
      </c>
      <c r="B3046" t="s">
        <v>53</v>
      </c>
      <c r="C3046">
        <v>20344551</v>
      </c>
      <c r="D3046" t="s">
        <v>110</v>
      </c>
      <c r="E3046" s="10">
        <v>46113.333333333336</v>
      </c>
      <c r="F3046" s="10">
        <v>46113.913888888892</v>
      </c>
      <c r="G3046">
        <v>13.933333333333334</v>
      </c>
      <c r="H3046" s="9">
        <f t="shared" si="141"/>
        <v>7.3999999999999996E-2</v>
      </c>
      <c r="I3046">
        <v>4.4999999999999998E-2</v>
      </c>
      <c r="K3046">
        <v>2.9000000000000001E-2</v>
      </c>
      <c r="M3046" t="s">
        <v>28</v>
      </c>
      <c r="N3046" t="s">
        <v>40</v>
      </c>
      <c r="O3046" t="s">
        <v>140</v>
      </c>
      <c r="P3046" t="s">
        <v>30</v>
      </c>
      <c r="Q3046" t="s">
        <v>31</v>
      </c>
      <c r="R3046">
        <v>82655</v>
      </c>
      <c r="S3046" t="s">
        <v>59</v>
      </c>
      <c r="T3046">
        <v>82664</v>
      </c>
      <c r="U3046" t="s">
        <v>75</v>
      </c>
      <c r="V3046" t="s">
        <v>75</v>
      </c>
      <c r="W3046" t="s">
        <v>37</v>
      </c>
      <c r="X3046" t="s">
        <v>111</v>
      </c>
      <c r="Y3046" s="9">
        <f t="shared" si="142"/>
        <v>2.9000000000000001E-2</v>
      </c>
      <c r="Z3046" t="str">
        <f t="shared" si="143"/>
        <v>สแกนต่าง Cost</v>
      </c>
    </row>
    <row r="3047" spans="1:26" x14ac:dyDescent="0.45">
      <c r="A3047">
        <v>25436</v>
      </c>
      <c r="B3047" t="s">
        <v>53</v>
      </c>
      <c r="C3047">
        <v>20344552</v>
      </c>
      <c r="D3047" t="s">
        <v>112</v>
      </c>
      <c r="E3047" s="10">
        <v>46113.333333333336</v>
      </c>
      <c r="F3047" s="10">
        <v>46113.913888888892</v>
      </c>
      <c r="G3047">
        <v>13.933333333333334</v>
      </c>
      <c r="H3047" s="9">
        <f t="shared" si="141"/>
        <v>7.3999999999999996E-2</v>
      </c>
      <c r="I3047">
        <v>4.4999999999999998E-2</v>
      </c>
      <c r="K3047">
        <v>2.9000000000000001E-2</v>
      </c>
      <c r="M3047" t="s">
        <v>28</v>
      </c>
      <c r="N3047" t="s">
        <v>40</v>
      </c>
      <c r="O3047" t="s">
        <v>140</v>
      </c>
      <c r="P3047" t="s">
        <v>30</v>
      </c>
      <c r="Q3047" t="s">
        <v>31</v>
      </c>
      <c r="R3047">
        <v>82655</v>
      </c>
      <c r="S3047" t="s">
        <v>59</v>
      </c>
      <c r="T3047">
        <v>82664</v>
      </c>
      <c r="U3047" t="s">
        <v>75</v>
      </c>
      <c r="V3047" t="s">
        <v>75</v>
      </c>
      <c r="W3047" t="s">
        <v>37</v>
      </c>
      <c r="X3047" t="s">
        <v>111</v>
      </c>
      <c r="Y3047" s="9">
        <f t="shared" si="142"/>
        <v>2.9000000000000001E-2</v>
      </c>
      <c r="Z3047" t="str">
        <f t="shared" si="143"/>
        <v>สแกนต่าง Cost</v>
      </c>
    </row>
    <row r="3048" spans="1:26" x14ac:dyDescent="0.45">
      <c r="B3048" t="s">
        <v>53</v>
      </c>
      <c r="C3048">
        <v>20352276</v>
      </c>
      <c r="D3048" t="s">
        <v>187</v>
      </c>
      <c r="E3048" s="10">
        <v>46113.333333333336</v>
      </c>
      <c r="F3048" s="10">
        <v>46113.729166666664</v>
      </c>
      <c r="G3048">
        <v>8.5</v>
      </c>
      <c r="H3048" s="9">
        <f t="shared" si="141"/>
        <v>4.4999999999999998E-2</v>
      </c>
      <c r="I3048">
        <v>4.4999999999999998E-2</v>
      </c>
      <c r="M3048" t="s">
        <v>65</v>
      </c>
      <c r="N3048" t="s">
        <v>29</v>
      </c>
      <c r="P3048" t="s">
        <v>30</v>
      </c>
      <c r="Q3048" t="s">
        <v>31</v>
      </c>
      <c r="R3048">
        <v>82630</v>
      </c>
      <c r="S3048" t="s">
        <v>32</v>
      </c>
      <c r="T3048">
        <v>82611</v>
      </c>
      <c r="U3048" t="s">
        <v>43</v>
      </c>
      <c r="V3048" t="s">
        <v>43</v>
      </c>
      <c r="W3048" t="s">
        <v>170</v>
      </c>
      <c r="X3048" t="s">
        <v>171</v>
      </c>
      <c r="Y3048" s="9">
        <f t="shared" si="142"/>
        <v>0</v>
      </c>
      <c r="Z3048" t="str">
        <f t="shared" si="143"/>
        <v>สแกนต่าง Cost</v>
      </c>
    </row>
    <row r="3049" spans="1:26" x14ac:dyDescent="0.45">
      <c r="B3049" t="s">
        <v>53</v>
      </c>
      <c r="C3049">
        <v>20368087</v>
      </c>
      <c r="D3049" t="s">
        <v>260</v>
      </c>
      <c r="E3049" s="10">
        <v>46113.333333333336</v>
      </c>
      <c r="F3049" s="10">
        <v>46113.479166666664</v>
      </c>
      <c r="G3049">
        <v>3.5</v>
      </c>
      <c r="H3049" s="9">
        <f t="shared" si="141"/>
        <v>1.9E-2</v>
      </c>
      <c r="I3049">
        <v>1.9E-2</v>
      </c>
      <c r="M3049" t="s">
        <v>65</v>
      </c>
      <c r="N3049" t="s">
        <v>29</v>
      </c>
      <c r="P3049" t="s">
        <v>30</v>
      </c>
      <c r="Q3049" t="s">
        <v>31</v>
      </c>
      <c r="R3049">
        <v>82640</v>
      </c>
      <c r="S3049" t="s">
        <v>42</v>
      </c>
      <c r="T3049">
        <v>82630</v>
      </c>
      <c r="U3049" t="s">
        <v>32</v>
      </c>
      <c r="V3049" t="s">
        <v>66</v>
      </c>
      <c r="W3049" t="s">
        <v>44</v>
      </c>
      <c r="X3049" t="s">
        <v>44</v>
      </c>
      <c r="Y3049" s="9">
        <f t="shared" si="142"/>
        <v>0</v>
      </c>
      <c r="Z3049" t="str">
        <f t="shared" si="143"/>
        <v>สแกนต่าง Cost</v>
      </c>
    </row>
    <row r="3050" spans="1:26" x14ac:dyDescent="0.45">
      <c r="A3050">
        <v>27169</v>
      </c>
      <c r="B3050" t="s">
        <v>53</v>
      </c>
      <c r="C3050">
        <v>20373210</v>
      </c>
      <c r="D3050" t="s">
        <v>206</v>
      </c>
      <c r="E3050" s="10">
        <v>46113.333333333336</v>
      </c>
      <c r="F3050" s="10">
        <v>46113.729166666664</v>
      </c>
      <c r="G3050">
        <v>8.5</v>
      </c>
      <c r="H3050" s="9">
        <f t="shared" si="141"/>
        <v>4.4999999999999998E-2</v>
      </c>
      <c r="I3050">
        <v>4.4999999999999998E-2</v>
      </c>
      <c r="M3050" t="s">
        <v>65</v>
      </c>
      <c r="N3050" t="s">
        <v>29</v>
      </c>
      <c r="P3050" t="s">
        <v>30</v>
      </c>
      <c r="Q3050" t="s">
        <v>31</v>
      </c>
      <c r="R3050">
        <v>82910</v>
      </c>
      <c r="S3050" t="s">
        <v>201</v>
      </c>
      <c r="T3050">
        <v>82611</v>
      </c>
      <c r="U3050" t="s">
        <v>43</v>
      </c>
      <c r="V3050" t="s">
        <v>43</v>
      </c>
      <c r="W3050" t="s">
        <v>148</v>
      </c>
      <c r="X3050" t="s">
        <v>171</v>
      </c>
      <c r="Y3050" s="9">
        <f t="shared" si="142"/>
        <v>0</v>
      </c>
      <c r="Z3050" t="str">
        <f t="shared" si="143"/>
        <v>สแกนต่าง Cost</v>
      </c>
    </row>
    <row r="3051" spans="1:26" x14ac:dyDescent="0.45">
      <c r="A3051">
        <v>25351</v>
      </c>
      <c r="B3051" t="s">
        <v>53</v>
      </c>
      <c r="C3051">
        <v>20276269</v>
      </c>
      <c r="D3051" t="s">
        <v>134</v>
      </c>
      <c r="E3051" s="10">
        <v>46113.291666666664</v>
      </c>
      <c r="F3051" s="10">
        <v>46113.6875</v>
      </c>
      <c r="G3051">
        <v>8.5</v>
      </c>
      <c r="H3051" s="9">
        <f t="shared" si="141"/>
        <v>4.4999999999999998E-2</v>
      </c>
      <c r="I3051">
        <v>4.4999999999999998E-2</v>
      </c>
      <c r="M3051" t="s">
        <v>65</v>
      </c>
      <c r="N3051" t="s">
        <v>29</v>
      </c>
      <c r="P3051" t="s">
        <v>30</v>
      </c>
      <c r="Q3051" t="s">
        <v>31</v>
      </c>
      <c r="R3051">
        <v>82308</v>
      </c>
      <c r="S3051" t="s">
        <v>69</v>
      </c>
      <c r="T3051">
        <v>82301</v>
      </c>
      <c r="U3051" t="s">
        <v>79</v>
      </c>
      <c r="V3051" t="s">
        <v>79</v>
      </c>
      <c r="W3051" t="s">
        <v>80</v>
      </c>
      <c r="X3051" t="s">
        <v>135</v>
      </c>
      <c r="Y3051" s="9">
        <f t="shared" si="142"/>
        <v>0</v>
      </c>
      <c r="Z3051" t="str">
        <f t="shared" si="143"/>
        <v>สแกนต่าง Cost</v>
      </c>
    </row>
    <row r="3052" spans="1:26" x14ac:dyDescent="0.45">
      <c r="A3052">
        <v>25431</v>
      </c>
      <c r="B3052" t="s">
        <v>53</v>
      </c>
      <c r="C3052">
        <v>20214280</v>
      </c>
      <c r="D3052" t="s">
        <v>136</v>
      </c>
      <c r="E3052" s="10">
        <v>46113.24722222222</v>
      </c>
      <c r="F3052" s="10">
        <v>46113.651388888888</v>
      </c>
      <c r="G3052">
        <v>8.6999999999999993</v>
      </c>
      <c r="H3052" s="9">
        <f t="shared" si="141"/>
        <v>4.7E-2</v>
      </c>
      <c r="I3052">
        <v>4.7E-2</v>
      </c>
      <c r="M3052" t="s">
        <v>65</v>
      </c>
      <c r="N3052" t="s">
        <v>29</v>
      </c>
      <c r="P3052" t="s">
        <v>30</v>
      </c>
      <c r="Q3052" t="s">
        <v>31</v>
      </c>
      <c r="R3052">
        <v>82415</v>
      </c>
      <c r="S3052" t="s">
        <v>137</v>
      </c>
      <c r="T3052">
        <v>82664</v>
      </c>
      <c r="U3052" t="s">
        <v>75</v>
      </c>
      <c r="V3052" t="s">
        <v>75</v>
      </c>
      <c r="W3052" t="s">
        <v>74</v>
      </c>
      <c r="X3052" t="s">
        <v>74</v>
      </c>
      <c r="Y3052" s="9">
        <f t="shared" si="142"/>
        <v>0</v>
      </c>
      <c r="Z3052" t="str">
        <f t="shared" si="143"/>
        <v>สแกนต่าง Cost</v>
      </c>
    </row>
    <row r="3053" spans="1:26" x14ac:dyDescent="0.45">
      <c r="B3053" t="s">
        <v>53</v>
      </c>
      <c r="C3053">
        <v>20310532</v>
      </c>
      <c r="D3053" t="s">
        <v>61</v>
      </c>
      <c r="E3053" s="10">
        <v>46113.041666666664</v>
      </c>
      <c r="F3053" s="10">
        <v>46113.229166666664</v>
      </c>
      <c r="G3053">
        <v>4.5</v>
      </c>
      <c r="H3053" s="9">
        <f t="shared" si="141"/>
        <v>2.4E-2</v>
      </c>
      <c r="K3053">
        <v>2.4E-2</v>
      </c>
      <c r="M3053" t="s">
        <v>28</v>
      </c>
      <c r="N3053" t="s">
        <v>29</v>
      </c>
      <c r="P3053" t="s">
        <v>30</v>
      </c>
      <c r="Q3053" t="s">
        <v>31</v>
      </c>
      <c r="R3053">
        <v>82640</v>
      </c>
      <c r="S3053" t="s">
        <v>42</v>
      </c>
      <c r="T3053">
        <v>82630</v>
      </c>
      <c r="U3053" t="s">
        <v>32</v>
      </c>
      <c r="V3053" t="s">
        <v>66</v>
      </c>
      <c r="W3053" t="s">
        <v>44</v>
      </c>
      <c r="X3053" t="s">
        <v>44</v>
      </c>
      <c r="Y3053" s="9">
        <f t="shared" si="142"/>
        <v>2.4E-2</v>
      </c>
      <c r="Z3053" t="str">
        <f t="shared" si="143"/>
        <v>สแกนต่าง Cost</v>
      </c>
    </row>
    <row r="3054" spans="1:26" x14ac:dyDescent="0.45">
      <c r="A3054" s="12"/>
      <c r="B3054" s="12" t="s">
        <v>53</v>
      </c>
      <c r="C3054" s="12"/>
      <c r="D3054" s="12"/>
      <c r="E3054" s="12"/>
      <c r="F3054" s="12"/>
      <c r="G3054" s="12"/>
      <c r="H3054" s="13">
        <v>0.55303030303030298</v>
      </c>
      <c r="I3054" s="13">
        <v>0.55303030303030298</v>
      </c>
      <c r="J3054" s="12"/>
      <c r="K3054" s="12"/>
      <c r="L3054" s="12"/>
      <c r="M3054" s="12"/>
      <c r="N3054" s="12"/>
      <c r="O3054" s="12"/>
      <c r="P3054" s="12" t="s">
        <v>30</v>
      </c>
      <c r="Q3054" s="12"/>
      <c r="R3054" s="12">
        <v>82640</v>
      </c>
      <c r="S3054" s="12"/>
      <c r="T3054" s="12">
        <v>82620</v>
      </c>
      <c r="U3054" s="12"/>
      <c r="V3054" s="12" t="s">
        <v>419</v>
      </c>
      <c r="W3054" s="12"/>
      <c r="X3054" s="12"/>
      <c r="Y3054" s="12">
        <f>SUM(J3054:L3054)</f>
        <v>0</v>
      </c>
      <c r="Z3054" s="12" t="str">
        <f t="shared" si="143"/>
        <v>สแกนต่าง Cost</v>
      </c>
    </row>
    <row r="3055" spans="1:26" x14ac:dyDescent="0.45">
      <c r="A3055" s="12"/>
      <c r="B3055" s="12" t="s">
        <v>53</v>
      </c>
      <c r="C3055" s="12"/>
      <c r="D3055" s="12"/>
      <c r="E3055" s="12"/>
      <c r="F3055" s="12"/>
      <c r="G3055" s="12"/>
      <c r="H3055" s="13">
        <v>4.7348484848484848E-2</v>
      </c>
      <c r="I3055" s="13">
        <v>4.7348484848484848E-2</v>
      </c>
      <c r="J3055" s="12"/>
      <c r="K3055" s="12"/>
      <c r="L3055" s="12"/>
      <c r="M3055" s="12"/>
      <c r="N3055" s="12"/>
      <c r="O3055" s="12"/>
      <c r="P3055" s="12" t="s">
        <v>133</v>
      </c>
      <c r="Q3055" s="12"/>
      <c r="R3055" s="12">
        <v>82640</v>
      </c>
      <c r="S3055" s="12"/>
      <c r="T3055" s="12">
        <v>82620</v>
      </c>
      <c r="U3055" s="12"/>
      <c r="V3055" s="12" t="s">
        <v>419</v>
      </c>
      <c r="W3055" s="12"/>
      <c r="X3055" s="12"/>
      <c r="Y3055" s="12">
        <f t="shared" ref="Y3055:Y3058" si="144">SUM(J3055:L3055)</f>
        <v>0</v>
      </c>
      <c r="Z3055" s="12" t="str">
        <f t="shared" si="143"/>
        <v>สแกนต่าง Cost</v>
      </c>
    </row>
    <row r="3056" spans="1:26" x14ac:dyDescent="0.45">
      <c r="A3056" s="14"/>
      <c r="B3056" s="14" t="s">
        <v>53</v>
      </c>
      <c r="C3056" s="14"/>
      <c r="D3056" s="14"/>
      <c r="E3056" s="14"/>
      <c r="F3056" s="14"/>
      <c r="G3056" s="14"/>
      <c r="H3056" s="14">
        <v>4.78</v>
      </c>
      <c r="I3056" s="14">
        <v>4.78</v>
      </c>
      <c r="J3056" s="14"/>
      <c r="K3056" s="14"/>
      <c r="L3056" s="14"/>
      <c r="M3056" s="14"/>
      <c r="N3056" s="14"/>
      <c r="O3056" s="14"/>
      <c r="P3056" s="14" t="s">
        <v>30</v>
      </c>
      <c r="Q3056" s="14"/>
      <c r="R3056" s="14">
        <v>82640</v>
      </c>
      <c r="S3056" s="14"/>
      <c r="T3056" s="14">
        <v>82609</v>
      </c>
      <c r="U3056" s="14"/>
      <c r="V3056" s="14" t="s">
        <v>420</v>
      </c>
      <c r="W3056" s="14"/>
      <c r="X3056" s="14"/>
      <c r="Y3056" s="14">
        <f t="shared" si="144"/>
        <v>0</v>
      </c>
      <c r="Z3056" s="14" t="str">
        <f t="shared" si="143"/>
        <v>สแกนต่าง Cost</v>
      </c>
    </row>
    <row r="3057" spans="1:26" x14ac:dyDescent="0.45">
      <c r="A3057" s="14"/>
      <c r="B3057" s="14" t="s">
        <v>53</v>
      </c>
      <c r="C3057" s="14"/>
      <c r="D3057" s="14"/>
      <c r="E3057" s="14"/>
      <c r="F3057" s="14"/>
      <c r="G3057" s="14"/>
      <c r="H3057" s="14">
        <v>1.43</v>
      </c>
      <c r="I3057" s="14">
        <v>1.43</v>
      </c>
      <c r="J3057" s="14"/>
      <c r="K3057" s="14"/>
      <c r="L3057" s="14"/>
      <c r="M3057" s="14"/>
      <c r="N3057" s="14"/>
      <c r="O3057" s="14"/>
      <c r="P3057" s="14" t="s">
        <v>30</v>
      </c>
      <c r="Q3057" s="14"/>
      <c r="R3057" s="14">
        <v>82308</v>
      </c>
      <c r="S3057" s="14"/>
      <c r="T3057" s="14">
        <v>82608</v>
      </c>
      <c r="U3057" s="14"/>
      <c r="V3057" s="14" t="s">
        <v>421</v>
      </c>
      <c r="W3057" s="14"/>
      <c r="X3057" s="14"/>
      <c r="Y3057" s="14">
        <f t="shared" si="144"/>
        <v>0</v>
      </c>
      <c r="Z3057" s="14" t="str">
        <f t="shared" si="143"/>
        <v>สแกนต่าง Cost</v>
      </c>
    </row>
    <row r="3058" spans="1:26" x14ac:dyDescent="0.45">
      <c r="A3058" s="15"/>
      <c r="B3058" s="15" t="s">
        <v>53</v>
      </c>
      <c r="C3058" s="15"/>
      <c r="D3058" s="15"/>
      <c r="E3058" s="15"/>
      <c r="F3058" s="15"/>
      <c r="G3058" s="15"/>
      <c r="H3058" s="15">
        <v>1</v>
      </c>
      <c r="I3058" s="15">
        <v>1</v>
      </c>
      <c r="J3058" s="15"/>
      <c r="K3058" s="15"/>
      <c r="L3058" s="15"/>
      <c r="M3058" s="15"/>
      <c r="N3058" s="15"/>
      <c r="O3058" s="15"/>
      <c r="P3058" s="15" t="s">
        <v>133</v>
      </c>
      <c r="Q3058" s="15"/>
      <c r="R3058" s="15">
        <v>82899</v>
      </c>
      <c r="S3058" s="15"/>
      <c r="T3058" s="15">
        <v>82400</v>
      </c>
      <c r="U3058" s="15"/>
      <c r="V3058" s="15" t="s">
        <v>422</v>
      </c>
      <c r="W3058" s="15"/>
      <c r="X3058" s="15"/>
      <c r="Y3058" s="15">
        <f t="shared" si="144"/>
        <v>0</v>
      </c>
      <c r="Z3058" s="15" t="str">
        <f t="shared" si="143"/>
        <v>สแกนต่าง Cost</v>
      </c>
    </row>
    <row r="3059" spans="1:26" x14ac:dyDescent="0.45">
      <c r="A3059" s="16"/>
      <c r="B3059" s="16" t="s">
        <v>53</v>
      </c>
      <c r="C3059" s="16"/>
      <c r="D3059" s="16"/>
      <c r="E3059" s="17"/>
      <c r="F3059" s="17"/>
      <c r="G3059" s="16"/>
      <c r="H3059" s="18">
        <v>0.72</v>
      </c>
      <c r="I3059" s="16">
        <v>0.72</v>
      </c>
      <c r="J3059" s="16"/>
      <c r="K3059" s="16"/>
      <c r="L3059" s="16"/>
      <c r="M3059" s="16"/>
      <c r="N3059" s="16"/>
      <c r="O3059" s="16"/>
      <c r="P3059" s="16" t="s">
        <v>133</v>
      </c>
      <c r="Q3059" s="16"/>
      <c r="R3059" s="16">
        <v>82400</v>
      </c>
      <c r="S3059" s="16"/>
      <c r="T3059" s="16">
        <v>82604</v>
      </c>
      <c r="U3059" s="16"/>
      <c r="V3059" s="19" t="s">
        <v>336</v>
      </c>
      <c r="W3059" s="16"/>
      <c r="X3059" s="16"/>
      <c r="Y3059" s="18">
        <f t="shared" si="142"/>
        <v>0</v>
      </c>
      <c r="Z3059" s="16" t="str">
        <f t="shared" si="143"/>
        <v>สแกนต่าง Cost</v>
      </c>
    </row>
    <row r="3060" spans="1:26" x14ac:dyDescent="0.45">
      <c r="A3060" s="20"/>
      <c r="B3060" s="20" t="s">
        <v>53</v>
      </c>
      <c r="C3060" s="20"/>
      <c r="D3060" s="20"/>
      <c r="E3060" s="21"/>
      <c r="F3060" s="21"/>
      <c r="G3060" s="20"/>
      <c r="H3060" s="22">
        <v>0.42</v>
      </c>
      <c r="I3060" s="20">
        <v>0.42</v>
      </c>
      <c r="J3060" s="20"/>
      <c r="K3060" s="20"/>
      <c r="L3060" s="20"/>
      <c r="M3060" s="20"/>
      <c r="N3060" s="20"/>
      <c r="O3060" s="20"/>
      <c r="P3060" s="20" t="s">
        <v>30</v>
      </c>
      <c r="Q3060" s="20"/>
      <c r="R3060" s="20">
        <v>82612</v>
      </c>
      <c r="S3060" s="20"/>
      <c r="T3060" s="20">
        <v>82611</v>
      </c>
      <c r="U3060" s="20"/>
      <c r="V3060" s="23" t="s">
        <v>423</v>
      </c>
      <c r="W3060" s="20"/>
      <c r="X3060" s="20"/>
      <c r="Y3060" s="22">
        <f t="shared" si="142"/>
        <v>0</v>
      </c>
      <c r="Z3060" s="20" t="str">
        <f t="shared" si="143"/>
        <v>สแกนต่าง Cost</v>
      </c>
    </row>
    <row r="3061" spans="1:26" x14ac:dyDescent="0.45">
      <c r="A3061" s="24"/>
      <c r="B3061" s="24" t="s">
        <v>53</v>
      </c>
      <c r="C3061" s="24"/>
      <c r="D3061" s="24"/>
      <c r="E3061" s="25"/>
      <c r="F3061" s="25"/>
      <c r="G3061" s="24"/>
      <c r="H3061" s="26">
        <v>15</v>
      </c>
      <c r="I3061" s="24">
        <v>15</v>
      </c>
      <c r="J3061" s="24"/>
      <c r="K3061" s="24"/>
      <c r="L3061" s="24"/>
      <c r="M3061" s="24"/>
      <c r="N3061" s="24"/>
      <c r="O3061" s="24"/>
      <c r="P3061" s="24" t="s">
        <v>30</v>
      </c>
      <c r="Q3061" s="24"/>
      <c r="R3061" s="24">
        <v>82612</v>
      </c>
      <c r="S3061" s="24"/>
      <c r="T3061" s="24">
        <v>82630</v>
      </c>
      <c r="U3061" s="24"/>
      <c r="V3061" s="27" t="s">
        <v>424</v>
      </c>
      <c r="W3061" s="24"/>
      <c r="X3061" s="24"/>
      <c r="Y3061" s="26">
        <f t="shared" si="142"/>
        <v>0</v>
      </c>
      <c r="Z3061" s="24" t="str">
        <f t="shared" si="143"/>
        <v>สแกนต่าง Cost</v>
      </c>
    </row>
    <row r="3062" spans="1:26" x14ac:dyDescent="0.45">
      <c r="A3062" s="24"/>
      <c r="B3062" s="24" t="s">
        <v>53</v>
      </c>
      <c r="C3062" s="24"/>
      <c r="D3062" s="24"/>
      <c r="E3062" s="25"/>
      <c r="F3062" s="25"/>
      <c r="G3062" s="24"/>
      <c r="H3062" s="26">
        <v>15</v>
      </c>
      <c r="I3062" s="24">
        <v>15</v>
      </c>
      <c r="J3062" s="24"/>
      <c r="K3062" s="24"/>
      <c r="L3062" s="24"/>
      <c r="M3062" s="24"/>
      <c r="N3062" s="24"/>
      <c r="O3062" s="24"/>
      <c r="P3062" s="24" t="s">
        <v>30</v>
      </c>
      <c r="Q3062" s="24"/>
      <c r="R3062" s="24">
        <v>82611</v>
      </c>
      <c r="S3062" s="24"/>
      <c r="T3062" s="24">
        <v>82630</v>
      </c>
      <c r="U3062" s="24"/>
      <c r="V3062" s="27" t="s">
        <v>425</v>
      </c>
      <c r="W3062" s="24"/>
      <c r="X3062" s="24"/>
      <c r="Y3062" s="26">
        <f t="shared" si="142"/>
        <v>0</v>
      </c>
      <c r="Z3062" s="24" t="str">
        <f t="shared" si="143"/>
        <v>สแกนต่าง Cost</v>
      </c>
    </row>
    <row r="3063" spans="1:26" x14ac:dyDescent="0.45">
      <c r="A3063" s="24"/>
      <c r="B3063" s="24" t="s">
        <v>53</v>
      </c>
      <c r="C3063" s="24"/>
      <c r="D3063" s="24"/>
      <c r="E3063" s="25"/>
      <c r="F3063" s="25"/>
      <c r="G3063" s="24"/>
      <c r="H3063" s="26">
        <v>10</v>
      </c>
      <c r="I3063" s="24">
        <v>10</v>
      </c>
      <c r="J3063" s="24"/>
      <c r="K3063" s="24"/>
      <c r="L3063" s="24"/>
      <c r="M3063" s="24"/>
      <c r="N3063" s="24"/>
      <c r="O3063" s="24"/>
      <c r="P3063" s="24" t="s">
        <v>30</v>
      </c>
      <c r="Q3063" s="24"/>
      <c r="R3063" s="24">
        <v>82611</v>
      </c>
      <c r="S3063" s="24"/>
      <c r="T3063" s="24">
        <v>82640</v>
      </c>
      <c r="U3063" s="24"/>
      <c r="V3063" s="27" t="s">
        <v>426</v>
      </c>
      <c r="W3063" s="24"/>
      <c r="X3063" s="24"/>
      <c r="Y3063" s="26">
        <f t="shared" si="142"/>
        <v>0</v>
      </c>
      <c r="Z3063" s="24" t="str">
        <f t="shared" si="143"/>
        <v>สแกนต่าง Cost</v>
      </c>
    </row>
    <row r="3064" spans="1:26" x14ac:dyDescent="0.45">
      <c r="A3064" s="24"/>
      <c r="B3064" s="24" t="s">
        <v>53</v>
      </c>
      <c r="C3064" s="24"/>
      <c r="D3064" s="24"/>
      <c r="E3064" s="25"/>
      <c r="F3064" s="25"/>
      <c r="G3064" s="24"/>
      <c r="H3064" s="26">
        <v>5</v>
      </c>
      <c r="I3064" s="24">
        <v>5</v>
      </c>
      <c r="J3064" s="24"/>
      <c r="K3064" s="24"/>
      <c r="L3064" s="24"/>
      <c r="M3064" s="24"/>
      <c r="N3064" s="24"/>
      <c r="O3064" s="24"/>
      <c r="P3064" s="24" t="s">
        <v>30</v>
      </c>
      <c r="Q3064" s="24"/>
      <c r="R3064" s="24">
        <v>82210</v>
      </c>
      <c r="S3064" s="24"/>
      <c r="T3064" s="24">
        <v>82630</v>
      </c>
      <c r="U3064" s="24"/>
      <c r="V3064" s="27" t="s">
        <v>427</v>
      </c>
      <c r="W3064" s="24"/>
      <c r="X3064" s="24"/>
      <c r="Y3064" s="26">
        <f t="shared" si="142"/>
        <v>0</v>
      </c>
      <c r="Z3064" s="24" t="str">
        <f t="shared" si="143"/>
        <v>สแกนต่าง Cost</v>
      </c>
    </row>
    <row r="3065" spans="1:26" x14ac:dyDescent="0.45">
      <c r="A3065" s="24"/>
      <c r="B3065" s="24" t="s">
        <v>53</v>
      </c>
      <c r="C3065" s="24"/>
      <c r="D3065" s="24"/>
      <c r="E3065" s="25"/>
      <c r="F3065" s="25"/>
      <c r="G3065" s="24"/>
      <c r="H3065" s="26">
        <v>2</v>
      </c>
      <c r="I3065" s="24">
        <v>2</v>
      </c>
      <c r="J3065" s="24"/>
      <c r="K3065" s="24"/>
      <c r="L3065" s="24"/>
      <c r="M3065" s="24"/>
      <c r="N3065" s="24"/>
      <c r="O3065" s="24"/>
      <c r="P3065" s="24" t="s">
        <v>30</v>
      </c>
      <c r="Q3065" s="24"/>
      <c r="R3065" s="24">
        <v>82301</v>
      </c>
      <c r="S3065" s="24"/>
      <c r="T3065" s="24">
        <v>82308</v>
      </c>
      <c r="U3065" s="24"/>
      <c r="V3065" s="27" t="s">
        <v>428</v>
      </c>
      <c r="W3065" s="24"/>
      <c r="X3065" s="24"/>
      <c r="Y3065" s="26">
        <f t="shared" si="142"/>
        <v>0</v>
      </c>
      <c r="Z3065" s="24" t="str">
        <f t="shared" si="143"/>
        <v>สแกนต่าง Cost</v>
      </c>
    </row>
    <row r="3066" spans="1:26" x14ac:dyDescent="0.45">
      <c r="A3066" s="28"/>
      <c r="B3066" s="28" t="s">
        <v>53</v>
      </c>
      <c r="C3066" s="28"/>
      <c r="D3066" s="28"/>
      <c r="E3066" s="29"/>
      <c r="F3066" s="29"/>
      <c r="G3066" s="28"/>
      <c r="H3066" s="30">
        <v>12</v>
      </c>
      <c r="I3066" s="28"/>
      <c r="J3066" s="28">
        <v>12</v>
      </c>
      <c r="K3066" s="28"/>
      <c r="L3066" s="28"/>
      <c r="M3066" s="28"/>
      <c r="N3066" s="28"/>
      <c r="O3066" s="28"/>
      <c r="P3066" s="28" t="s">
        <v>30</v>
      </c>
      <c r="Q3066" s="28"/>
      <c r="R3066" s="28">
        <v>82658</v>
      </c>
      <c r="S3066" s="28"/>
      <c r="T3066" s="28">
        <v>82630</v>
      </c>
      <c r="U3066" s="28"/>
      <c r="V3066" s="31" t="s">
        <v>429</v>
      </c>
      <c r="W3066" s="28"/>
      <c r="X3066" s="28"/>
      <c r="Y3066" s="30">
        <f t="shared" si="142"/>
        <v>12</v>
      </c>
      <c r="Z3066" s="28" t="str">
        <f t="shared" si="143"/>
        <v>สแกนต่าง Cost</v>
      </c>
    </row>
    <row r="3067" spans="1:26" x14ac:dyDescent="0.45">
      <c r="A3067" s="28"/>
      <c r="B3067" s="28" t="s">
        <v>53</v>
      </c>
      <c r="C3067" s="28"/>
      <c r="D3067" s="28"/>
      <c r="E3067" s="29"/>
      <c r="F3067" s="29"/>
      <c r="G3067" s="28"/>
      <c r="H3067" s="30">
        <v>25</v>
      </c>
      <c r="I3067" s="28">
        <v>25</v>
      </c>
      <c r="J3067" s="28"/>
      <c r="K3067" s="28"/>
      <c r="L3067" s="28"/>
      <c r="M3067" s="28"/>
      <c r="N3067" s="28"/>
      <c r="O3067" s="28"/>
      <c r="P3067" s="28" t="s">
        <v>30</v>
      </c>
      <c r="Q3067" s="28"/>
      <c r="R3067" s="28">
        <v>82652</v>
      </c>
      <c r="S3067" s="28"/>
      <c r="T3067" s="28">
        <v>82400</v>
      </c>
      <c r="U3067" s="28"/>
      <c r="V3067" s="31" t="s">
        <v>430</v>
      </c>
      <c r="W3067" s="28"/>
      <c r="X3067" s="28"/>
      <c r="Y3067" s="30">
        <f t="shared" si="142"/>
        <v>0</v>
      </c>
      <c r="Z3067" s="28" t="str">
        <f t="shared" si="143"/>
        <v>สแกนต่าง Cost</v>
      </c>
    </row>
    <row r="3068" spans="1:26" x14ac:dyDescent="0.45">
      <c r="A3068" s="32"/>
      <c r="B3068" s="32" t="s">
        <v>53</v>
      </c>
      <c r="C3068" s="32"/>
      <c r="D3068" s="32"/>
      <c r="E3068" s="33"/>
      <c r="F3068" s="33"/>
      <c r="G3068" s="32"/>
      <c r="H3068" s="34">
        <v>0.25</v>
      </c>
      <c r="I3068" s="34">
        <v>0.25</v>
      </c>
      <c r="J3068" s="34"/>
      <c r="K3068" s="34"/>
      <c r="L3068" s="34"/>
      <c r="M3068" s="32"/>
      <c r="N3068" s="32"/>
      <c r="O3068" s="32"/>
      <c r="P3068" s="32" t="s">
        <v>431</v>
      </c>
      <c r="Q3068" s="32"/>
      <c r="R3068" s="32">
        <v>82650</v>
      </c>
      <c r="S3068" s="32"/>
      <c r="T3068" s="32">
        <v>82680</v>
      </c>
      <c r="U3068" s="32"/>
      <c r="V3068" s="32" t="s">
        <v>432</v>
      </c>
      <c r="W3068" s="32"/>
      <c r="X3068" s="32"/>
      <c r="Y3068" s="34">
        <f t="shared" si="142"/>
        <v>0</v>
      </c>
      <c r="Z3068" s="32" t="s">
        <v>433</v>
      </c>
    </row>
    <row r="3069" spans="1:26" x14ac:dyDescent="0.45">
      <c r="A3069" s="32"/>
      <c r="B3069" s="32" t="s">
        <v>53</v>
      </c>
      <c r="C3069" s="32"/>
      <c r="D3069" s="32"/>
      <c r="E3069" s="33"/>
      <c r="F3069" s="33"/>
      <c r="G3069" s="32"/>
      <c r="H3069" s="34">
        <v>0.6</v>
      </c>
      <c r="I3069" s="34">
        <v>0.6</v>
      </c>
      <c r="J3069" s="34"/>
      <c r="K3069" s="34"/>
      <c r="L3069" s="34"/>
      <c r="M3069" s="32"/>
      <c r="N3069" s="32"/>
      <c r="O3069" s="32"/>
      <c r="P3069" s="32" t="s">
        <v>133</v>
      </c>
      <c r="Q3069" s="32"/>
      <c r="R3069" s="32">
        <v>82650</v>
      </c>
      <c r="S3069" s="32"/>
      <c r="T3069" s="32">
        <v>82660</v>
      </c>
      <c r="U3069" s="32"/>
      <c r="V3069" s="32" t="s">
        <v>432</v>
      </c>
      <c r="W3069" s="32"/>
      <c r="X3069" s="32"/>
      <c r="Y3069" s="34">
        <f t="shared" si="142"/>
        <v>0</v>
      </c>
      <c r="Z3069" s="32" t="s">
        <v>433</v>
      </c>
    </row>
    <row r="3070" spans="1:26" x14ac:dyDescent="0.45">
      <c r="A3070" s="32"/>
      <c r="B3070" s="32" t="s">
        <v>53</v>
      </c>
      <c r="C3070" s="32"/>
      <c r="D3070" s="32"/>
      <c r="E3070" s="33"/>
      <c r="F3070" s="33"/>
      <c r="G3070" s="32"/>
      <c r="H3070" s="34">
        <v>0.25</v>
      </c>
      <c r="I3070" s="34">
        <v>0.25</v>
      </c>
      <c r="J3070" s="34"/>
      <c r="K3070" s="34"/>
      <c r="L3070" s="34"/>
      <c r="M3070" s="32"/>
      <c r="N3070" s="32"/>
      <c r="O3070" s="32"/>
      <c r="P3070" s="32" t="s">
        <v>133</v>
      </c>
      <c r="Q3070" s="32"/>
      <c r="R3070" s="32">
        <v>82650</v>
      </c>
      <c r="S3070" s="32"/>
      <c r="T3070" s="32">
        <v>82680</v>
      </c>
      <c r="U3070" s="32"/>
      <c r="V3070" s="32" t="s">
        <v>432</v>
      </c>
      <c r="W3070" s="32"/>
      <c r="X3070" s="32"/>
      <c r="Y3070" s="34">
        <f t="shared" si="142"/>
        <v>0</v>
      </c>
      <c r="Z3070" s="32" t="s">
        <v>433</v>
      </c>
    </row>
    <row r="3071" spans="1:26" x14ac:dyDescent="0.45">
      <c r="A3071" s="32"/>
      <c r="B3071" s="32" t="s">
        <v>53</v>
      </c>
      <c r="C3071" s="32"/>
      <c r="D3071" s="32"/>
      <c r="E3071" s="33"/>
      <c r="F3071" s="33"/>
      <c r="G3071" s="32"/>
      <c r="H3071" s="34">
        <v>0.67</v>
      </c>
      <c r="I3071" s="34">
        <v>0.67</v>
      </c>
      <c r="J3071" s="34"/>
      <c r="K3071" s="34"/>
      <c r="L3071" s="34"/>
      <c r="M3071" s="32"/>
      <c r="N3071" s="32"/>
      <c r="O3071" s="32"/>
      <c r="P3071" s="32" t="s">
        <v>133</v>
      </c>
      <c r="Q3071" s="32"/>
      <c r="R3071" s="32">
        <v>82650</v>
      </c>
      <c r="S3071" s="32"/>
      <c r="T3071" s="32">
        <v>82660</v>
      </c>
      <c r="U3071" s="32"/>
      <c r="V3071" s="32" t="s">
        <v>432</v>
      </c>
      <c r="W3071" s="32"/>
      <c r="X3071" s="32"/>
      <c r="Y3071" s="34">
        <f t="shared" si="142"/>
        <v>0</v>
      </c>
      <c r="Z3071" s="32" t="s">
        <v>433</v>
      </c>
    </row>
    <row r="3072" spans="1:26" x14ac:dyDescent="0.45">
      <c r="A3072" s="32"/>
      <c r="B3072" s="32" t="s">
        <v>53</v>
      </c>
      <c r="C3072" s="32"/>
      <c r="D3072" s="32"/>
      <c r="E3072" s="33"/>
      <c r="F3072" s="33"/>
      <c r="G3072" s="32"/>
      <c r="H3072" s="34">
        <v>0.06</v>
      </c>
      <c r="I3072" s="34">
        <v>0.06</v>
      </c>
      <c r="J3072" s="34"/>
      <c r="K3072" s="34"/>
      <c r="L3072" s="34"/>
      <c r="M3072" s="32"/>
      <c r="N3072" s="32"/>
      <c r="O3072" s="32"/>
      <c r="P3072" s="32" t="s">
        <v>133</v>
      </c>
      <c r="Q3072" s="32"/>
      <c r="R3072" s="32">
        <v>82650</v>
      </c>
      <c r="S3072" s="32"/>
      <c r="T3072" s="32">
        <v>82664</v>
      </c>
      <c r="U3072" s="32"/>
      <c r="V3072" s="32" t="s">
        <v>432</v>
      </c>
      <c r="W3072" s="32"/>
      <c r="X3072" s="32"/>
      <c r="Y3072" s="34">
        <f t="shared" si="142"/>
        <v>0</v>
      </c>
      <c r="Z3072" s="32" t="s">
        <v>433</v>
      </c>
    </row>
    <row r="3073" spans="1:26" x14ac:dyDescent="0.45">
      <c r="A3073" s="35"/>
      <c r="B3073" s="35" t="s">
        <v>53</v>
      </c>
      <c r="C3073" s="35"/>
      <c r="D3073" s="35"/>
      <c r="E3073" s="36"/>
      <c r="F3073" s="36"/>
      <c r="G3073" s="35"/>
      <c r="H3073" s="37">
        <v>4</v>
      </c>
      <c r="I3073" s="35">
        <v>4</v>
      </c>
      <c r="J3073" s="35"/>
      <c r="K3073" s="35"/>
      <c r="L3073" s="35"/>
      <c r="M3073" s="35"/>
      <c r="N3073" s="35"/>
      <c r="O3073" s="35"/>
      <c r="P3073" s="35" t="s">
        <v>30</v>
      </c>
      <c r="Q3073" s="35"/>
      <c r="R3073" s="35">
        <v>82655</v>
      </c>
      <c r="S3073" s="35"/>
      <c r="T3073" s="35">
        <v>82400</v>
      </c>
      <c r="U3073" s="35"/>
      <c r="V3073" s="35" t="s">
        <v>432</v>
      </c>
      <c r="W3073" s="35"/>
      <c r="X3073" s="35"/>
      <c r="Y3073" s="37">
        <f t="shared" si="142"/>
        <v>0</v>
      </c>
      <c r="Z3073" s="35" t="str">
        <f t="shared" ref="Z3073:Z3080" si="145">IF(R3073=T3073,"สแกน Cost ตัวเอง","สแกนต่าง Cost")</f>
        <v>สแกนต่าง Cost</v>
      </c>
    </row>
    <row r="3074" spans="1:26" x14ac:dyDescent="0.45">
      <c r="A3074" s="35"/>
      <c r="B3074" s="35" t="s">
        <v>53</v>
      </c>
      <c r="C3074" s="35"/>
      <c r="D3074" s="35"/>
      <c r="E3074" s="36"/>
      <c r="F3074" s="36"/>
      <c r="G3074" s="35"/>
      <c r="H3074" s="37">
        <v>3</v>
      </c>
      <c r="I3074" s="35">
        <v>3</v>
      </c>
      <c r="J3074" s="35"/>
      <c r="K3074" s="35"/>
      <c r="L3074" s="35"/>
      <c r="M3074" s="35"/>
      <c r="N3074" s="35"/>
      <c r="O3074" s="35"/>
      <c r="P3074" s="35" t="s">
        <v>30</v>
      </c>
      <c r="Q3074" s="35"/>
      <c r="R3074" s="35">
        <v>82655</v>
      </c>
      <c r="S3074" s="35"/>
      <c r="T3074" s="35">
        <v>82660</v>
      </c>
      <c r="U3074" s="35"/>
      <c r="V3074" s="35" t="s">
        <v>432</v>
      </c>
      <c r="W3074" s="35"/>
      <c r="X3074" s="35"/>
      <c r="Y3074" s="37">
        <f t="shared" si="142"/>
        <v>0</v>
      </c>
      <c r="Z3074" s="35" t="str">
        <f t="shared" si="145"/>
        <v>สแกนต่าง Cost</v>
      </c>
    </row>
    <row r="3075" spans="1:26" x14ac:dyDescent="0.45">
      <c r="A3075" s="35"/>
      <c r="B3075" s="35" t="s">
        <v>53</v>
      </c>
      <c r="C3075" s="35"/>
      <c r="D3075" s="35"/>
      <c r="E3075" s="36"/>
      <c r="F3075" s="36"/>
      <c r="G3075" s="35"/>
      <c r="H3075" s="37">
        <v>7</v>
      </c>
      <c r="I3075" s="35">
        <v>7</v>
      </c>
      <c r="J3075" s="35"/>
      <c r="K3075" s="35"/>
      <c r="L3075" s="35"/>
      <c r="M3075" s="35"/>
      <c r="N3075" s="35"/>
      <c r="O3075" s="35"/>
      <c r="P3075" s="35" t="s">
        <v>30</v>
      </c>
      <c r="Q3075" s="35"/>
      <c r="R3075" s="35">
        <v>82652</v>
      </c>
      <c r="S3075" s="35"/>
      <c r="T3075" s="35">
        <v>82658</v>
      </c>
      <c r="U3075" s="35"/>
      <c r="V3075" s="35" t="s">
        <v>432</v>
      </c>
      <c r="W3075" s="35"/>
      <c r="X3075" s="35"/>
      <c r="Y3075" s="37">
        <f t="shared" ref="Y3075:Y3080" si="146">SUM(J3075:L3075)</f>
        <v>0</v>
      </c>
      <c r="Z3075" s="35" t="str">
        <f t="shared" si="145"/>
        <v>สแกนต่าง Cost</v>
      </c>
    </row>
    <row r="3076" spans="1:26" x14ac:dyDescent="0.45">
      <c r="A3076" s="35"/>
      <c r="B3076" s="35" t="s">
        <v>53</v>
      </c>
      <c r="C3076" s="35"/>
      <c r="D3076" s="35"/>
      <c r="E3076" s="36"/>
      <c r="F3076" s="36"/>
      <c r="G3076" s="35"/>
      <c r="H3076" s="37">
        <v>0.14000000000000001</v>
      </c>
      <c r="I3076" s="35">
        <v>0.14000000000000001</v>
      </c>
      <c r="J3076" s="35"/>
      <c r="K3076" s="35"/>
      <c r="L3076" s="35"/>
      <c r="M3076" s="35"/>
      <c r="N3076" s="35"/>
      <c r="O3076" s="35"/>
      <c r="P3076" s="35" t="s">
        <v>30</v>
      </c>
      <c r="Q3076" s="35"/>
      <c r="R3076" s="35">
        <v>82910</v>
      </c>
      <c r="S3076" s="35"/>
      <c r="T3076" s="35">
        <v>82308</v>
      </c>
      <c r="U3076" s="35"/>
      <c r="V3076" s="35" t="s">
        <v>331</v>
      </c>
      <c r="W3076" s="35"/>
      <c r="X3076" s="35"/>
      <c r="Y3076" s="37">
        <f t="shared" si="146"/>
        <v>0</v>
      </c>
      <c r="Z3076" s="35" t="str">
        <f t="shared" si="145"/>
        <v>สแกนต่าง Cost</v>
      </c>
    </row>
    <row r="3077" spans="1:26" x14ac:dyDescent="0.45">
      <c r="A3077" s="35"/>
      <c r="B3077" s="35" t="s">
        <v>53</v>
      </c>
      <c r="C3077" s="35"/>
      <c r="D3077" s="35"/>
      <c r="E3077" s="36"/>
      <c r="F3077" s="36"/>
      <c r="G3077" s="35"/>
      <c r="H3077" s="37">
        <f>I3077+K3077</f>
        <v>7.0600000000000005</v>
      </c>
      <c r="I3077" s="35">
        <v>6.7</v>
      </c>
      <c r="J3077" s="35"/>
      <c r="K3077" s="35">
        <v>0.36</v>
      </c>
      <c r="L3077" s="35"/>
      <c r="M3077" s="35"/>
      <c r="N3077" s="35"/>
      <c r="O3077" s="35"/>
      <c r="P3077" s="35" t="s">
        <v>30</v>
      </c>
      <c r="Q3077" s="35"/>
      <c r="R3077" s="35">
        <v>82210</v>
      </c>
      <c r="S3077" s="35"/>
      <c r="T3077" s="35">
        <v>82301</v>
      </c>
      <c r="U3077" s="35"/>
      <c r="V3077" s="35" t="s">
        <v>57</v>
      </c>
      <c r="W3077" s="35"/>
      <c r="X3077" s="35"/>
      <c r="Y3077" s="37">
        <f t="shared" si="146"/>
        <v>0.36</v>
      </c>
      <c r="Z3077" s="35" t="str">
        <f t="shared" si="145"/>
        <v>สแกนต่าง Cost</v>
      </c>
    </row>
    <row r="3078" spans="1:26" x14ac:dyDescent="0.45">
      <c r="E3078" s="10"/>
      <c r="F3078" s="10"/>
      <c r="H3078" s="9"/>
      <c r="Y3078" s="9"/>
    </row>
    <row r="3079" spans="1:26" x14ac:dyDescent="0.45">
      <c r="E3079" s="10"/>
      <c r="F3079" s="10"/>
      <c r="H3079" s="9"/>
      <c r="Y3079" s="9"/>
    </row>
    <row r="3080" spans="1:26" x14ac:dyDescent="0.45">
      <c r="E3080" s="10"/>
      <c r="F3080" s="10"/>
      <c r="H3080" s="9"/>
      <c r="Y3080" s="9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 FTE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Apinya Kerdtong</dc:creator>
  <cp:lastModifiedBy>Apinya Kerdtong</cp:lastModifiedBy>
  <dcterms:created xsi:type="dcterms:W3CDTF">2026-06-02T07:07:17Z</dcterms:created>
  <dcterms:modified xsi:type="dcterms:W3CDTF">2026-06-02T07:07:37Z</dcterms:modified>
</cp:coreProperties>
</file>