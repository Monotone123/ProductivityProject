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entralgroup.sharepoint.com/sites/SCDCOtherBUMonthlyperformance/Shared Documents/General/A. Act/0. TP/"/>
    </mc:Choice>
  </mc:AlternateContent>
  <xr:revisionPtr revIDLastSave="14309" documentId="13_ncr:1_{27D6ECC7-9788-4E05-B32B-31460377A67A}" xr6:coauthVersionLast="47" xr6:coauthVersionMax="47" xr10:uidLastSave="{4FF546DC-80E3-415B-871E-99B0B5957C3F}"/>
  <bookViews>
    <workbookView xWindow="-110" yWindow="-110" windowWidth="19420" windowHeight="11500" xr2:uid="{84FEE20A-AD07-4E23-9E9B-BEC2EC9BFF20}"/>
  </bookViews>
  <sheets>
    <sheet name="XD" sheetId="1" r:id="rId1"/>
    <sheet name="WH" sheetId="3" r:id="rId2"/>
    <sheet name="Online" sheetId="4" r:id="rId3"/>
  </sheets>
  <externalReferences>
    <externalReference r:id="rId4"/>
  </externalReferences>
  <definedNames>
    <definedName name="_xlnm._FilterDatabase" localSheetId="2" hidden="1">Online!$A$1:$BJ$33</definedName>
    <definedName name="_xlnm._FilterDatabase" localSheetId="1" hidden="1">WH!$A$2:$ACT$49</definedName>
    <definedName name="_xlnm._FilterDatabase" localSheetId="0" hidden="1">XD!$A$1:$HJ$35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C41" i="1" l="1"/>
  <c r="AKB41" i="1"/>
  <c r="AKB18" i="1"/>
  <c r="AKC18" i="1"/>
  <c r="AKD18" i="1"/>
  <c r="AKE18" i="1"/>
  <c r="AKF18" i="1"/>
  <c r="AKB6" i="1"/>
  <c r="AKC6" i="1"/>
  <c r="AKD6" i="1"/>
  <c r="AKE6" i="1"/>
  <c r="AKF6" i="1"/>
  <c r="AKD51" i="3"/>
  <c r="AKE51" i="3"/>
  <c r="AKF51" i="3"/>
  <c r="AKD52" i="3"/>
  <c r="AKE52" i="3"/>
  <c r="AKF52" i="3"/>
  <c r="AKB36" i="4"/>
  <c r="AKC36" i="4"/>
  <c r="AKD36" i="4"/>
  <c r="AKE36" i="4"/>
  <c r="AKF36" i="4"/>
  <c r="AKG36" i="4"/>
  <c r="AKH36" i="4"/>
  <c r="ALG1" i="3"/>
  <c r="ALH1" i="3" s="1"/>
  <c r="ALI1" i="3" s="1"/>
  <c r="ALJ1" i="3" s="1"/>
  <c r="ALK1" i="3" s="1"/>
  <c r="ALL1" i="3" s="1"/>
  <c r="ALM1" i="3" s="1"/>
  <c r="ALN1" i="3" s="1"/>
  <c r="ALO1" i="3" s="1"/>
  <c r="ALP1" i="3" s="1"/>
  <c r="ALQ1" i="3" s="1"/>
  <c r="ALR1" i="3" s="1"/>
  <c r="ALS1" i="3" s="1"/>
  <c r="ALT1" i="3" s="1"/>
  <c r="ALU1" i="3" s="1"/>
  <c r="ALV1" i="3" s="1"/>
  <c r="AKL1" i="3"/>
  <c r="AKM1" i="3"/>
  <c r="AKN1" i="3" s="1"/>
  <c r="AKO1" i="3" s="1"/>
  <c r="AKP1" i="3" s="1"/>
  <c r="AKQ1" i="3" s="1"/>
  <c r="AKR1" i="3" s="1"/>
  <c r="AKS1" i="3" s="1"/>
  <c r="AKT1" i="3" s="1"/>
  <c r="AKU1" i="3" s="1"/>
  <c r="AKV1" i="3" s="1"/>
  <c r="AKW1" i="3" s="1"/>
  <c r="AKX1" i="3" s="1"/>
  <c r="AKY1" i="3" s="1"/>
  <c r="AKZ1" i="3" s="1"/>
  <c r="ALA1" i="3" s="1"/>
  <c r="ALB1" i="3" s="1"/>
  <c r="ALC1" i="3" s="1"/>
  <c r="ALD1" i="3" s="1"/>
  <c r="ALE1" i="3" s="1"/>
  <c r="ALF1" i="3" s="1"/>
  <c r="AKK1" i="3"/>
  <c r="AKB38" i="1"/>
  <c r="AKC38" i="1"/>
  <c r="AKD38" i="1"/>
  <c r="AKE38" i="1"/>
  <c r="AKF38" i="1"/>
  <c r="AKG38" i="1"/>
  <c r="AKH38" i="1"/>
  <c r="AKI38" i="1"/>
  <c r="AKJ38" i="1"/>
  <c r="AKK38" i="1"/>
  <c r="AKB39" i="1"/>
  <c r="AKC39" i="1"/>
  <c r="AKD39" i="1"/>
  <c r="AKE39" i="1"/>
  <c r="AKF39" i="1"/>
  <c r="AKG39" i="1"/>
  <c r="AKH39" i="1"/>
  <c r="AKI39" i="1"/>
  <c r="AKJ39" i="1"/>
  <c r="AKK39" i="1"/>
  <c r="AKB40" i="1"/>
  <c r="AKC40" i="1"/>
  <c r="AKD40" i="1"/>
  <c r="AKE40" i="1"/>
  <c r="AKF40" i="1"/>
  <c r="AKG40" i="1"/>
  <c r="AKH40" i="1"/>
  <c r="AKI40" i="1"/>
  <c r="AKJ40" i="1"/>
  <c r="AKK40" i="1"/>
  <c r="AKD41" i="1"/>
  <c r="AKE41" i="1"/>
  <c r="AKF41" i="1"/>
  <c r="AKG41" i="1"/>
  <c r="AKH41" i="1"/>
  <c r="AKI41" i="1"/>
  <c r="AKJ41" i="1"/>
  <c r="AKK41" i="1"/>
  <c r="AJR18" i="1"/>
  <c r="AJS18" i="1"/>
  <c r="AJT18" i="1"/>
  <c r="AJU18" i="1"/>
  <c r="AJV18" i="1"/>
  <c r="AJW18" i="1"/>
  <c r="AJX18" i="1"/>
  <c r="AJY18" i="1"/>
  <c r="AJZ18" i="1"/>
  <c r="AKA18" i="1"/>
  <c r="AJQ18" i="1"/>
  <c r="AJR6" i="1"/>
  <c r="AJS6" i="1"/>
  <c r="AJT6" i="1"/>
  <c r="AJT38" i="1" s="1"/>
  <c r="AJU6" i="1"/>
  <c r="AJU38" i="1" s="1"/>
  <c r="AJV6" i="1"/>
  <c r="AJV38" i="1" s="1"/>
  <c r="AJW6" i="1"/>
  <c r="AJW38" i="1" s="1"/>
  <c r="AJX6" i="1"/>
  <c r="AJY6" i="1"/>
  <c r="AJZ6" i="1"/>
  <c r="AKA6" i="1"/>
  <c r="AKA38" i="1" s="1"/>
  <c r="AKC51" i="3"/>
  <c r="AKC52" i="3"/>
  <c r="AJQ51" i="3"/>
  <c r="AJR51" i="3"/>
  <c r="AJT51" i="3"/>
  <c r="AJU51" i="3"/>
  <c r="AJV51" i="3"/>
  <c r="AJW51" i="3"/>
  <c r="AJX51" i="3"/>
  <c r="AJY51" i="3"/>
  <c r="AJZ51" i="3"/>
  <c r="AKA51" i="3"/>
  <c r="AJQ52" i="3"/>
  <c r="AJR52" i="3"/>
  <c r="AJT52" i="3"/>
  <c r="AJU52" i="3"/>
  <c r="AJV52" i="3"/>
  <c r="AJW52" i="3"/>
  <c r="AJX52" i="3"/>
  <c r="AJY52" i="3"/>
  <c r="AJZ52" i="3"/>
  <c r="AKA52" i="3"/>
  <c r="AJJ36" i="4"/>
  <c r="AJK36" i="4"/>
  <c r="AJL36" i="4"/>
  <c r="AJM36" i="4"/>
  <c r="AJN36" i="4"/>
  <c r="AJO36" i="4"/>
  <c r="AJP36" i="4"/>
  <c r="AJQ36" i="4"/>
  <c r="AJR36" i="4"/>
  <c r="AJS36" i="4"/>
  <c r="AJT36" i="4"/>
  <c r="AJU36" i="4"/>
  <c r="AJV36" i="4"/>
  <c r="AJW36" i="4"/>
  <c r="AJX36" i="4"/>
  <c r="AJY36" i="4"/>
  <c r="AJZ36" i="4"/>
  <c r="AKA36" i="4"/>
  <c r="AJR38" i="1"/>
  <c r="AJS38" i="1"/>
  <c r="AJX38" i="1"/>
  <c r="AJY38" i="1"/>
  <c r="AJZ38" i="1"/>
  <c r="AJQ39" i="1"/>
  <c r="AJR39" i="1"/>
  <c r="AJS39" i="1"/>
  <c r="AJT39" i="1"/>
  <c r="AJU39" i="1"/>
  <c r="AJV39" i="1"/>
  <c r="AJW39" i="1"/>
  <c r="AJX39" i="1"/>
  <c r="AJY39" i="1"/>
  <c r="AJZ39" i="1"/>
  <c r="AKA39" i="1"/>
  <c r="AJQ40" i="1"/>
  <c r="AJR40" i="1"/>
  <c r="AJS40" i="1"/>
  <c r="AJT40" i="1"/>
  <c r="AJU40" i="1"/>
  <c r="AJV40" i="1"/>
  <c r="AJW40" i="1"/>
  <c r="AJX40" i="1"/>
  <c r="AJY40" i="1"/>
  <c r="AJZ40" i="1"/>
  <c r="AKA40" i="1"/>
  <c r="AJQ41" i="1"/>
  <c r="AJR41" i="1"/>
  <c r="AJS41" i="1"/>
  <c r="AJT41" i="1"/>
  <c r="AJU41" i="1"/>
  <c r="AJV41" i="1"/>
  <c r="AJW41" i="1"/>
  <c r="AJX41" i="1"/>
  <c r="AJY41" i="1"/>
  <c r="AJZ41" i="1"/>
  <c r="AKA41" i="1"/>
  <c r="AJC18" i="1"/>
  <c r="AJD18" i="1"/>
  <c r="AJE18" i="1"/>
  <c r="AJF18" i="1"/>
  <c r="AJG18" i="1"/>
  <c r="AJH18" i="1"/>
  <c r="AJI18" i="1"/>
  <c r="AJJ18" i="1"/>
  <c r="AJK18" i="1"/>
  <c r="AJL18" i="1"/>
  <c r="AJM18" i="1"/>
  <c r="AJN18" i="1"/>
  <c r="AJO18" i="1"/>
  <c r="AJP18" i="1"/>
  <c r="AJN6" i="1"/>
  <c r="AJN38" i="1" s="1"/>
  <c r="AJO6" i="1"/>
  <c r="AJO38" i="1" s="1"/>
  <c r="AJP6" i="1"/>
  <c r="AJP38" i="1" s="1"/>
  <c r="AJQ6" i="1"/>
  <c r="AJQ38" i="1" s="1"/>
  <c r="AJL6" i="1"/>
  <c r="AJM6" i="1"/>
  <c r="AJM38" i="1" s="1"/>
  <c r="AJC6" i="1"/>
  <c r="AJD6" i="1"/>
  <c r="AJE6" i="1"/>
  <c r="AJF6" i="1"/>
  <c r="AJG6" i="1"/>
  <c r="AJH6" i="1"/>
  <c r="AJI6" i="1"/>
  <c r="AJJ6" i="1"/>
  <c r="AJK6" i="1"/>
  <c r="AJD51" i="3"/>
  <c r="AJE51" i="3"/>
  <c r="AJF51" i="3"/>
  <c r="AJG51" i="3"/>
  <c r="AJH51" i="3"/>
  <c r="AJI51" i="3"/>
  <c r="AJJ51" i="3"/>
  <c r="AJK51" i="3"/>
  <c r="AJL51" i="3"/>
  <c r="AJM51" i="3"/>
  <c r="AJN51" i="3"/>
  <c r="AJO51" i="3"/>
  <c r="AJP51" i="3"/>
  <c r="AJD52" i="3"/>
  <c r="AJE52" i="3"/>
  <c r="AJF52" i="3"/>
  <c r="AJG52" i="3"/>
  <c r="AJH52" i="3"/>
  <c r="AJI52" i="3"/>
  <c r="AJJ52" i="3"/>
  <c r="AJK52" i="3"/>
  <c r="AJL52" i="3"/>
  <c r="AJM52" i="3"/>
  <c r="AJN52" i="3"/>
  <c r="AJO52" i="3"/>
  <c r="AJP52" i="3"/>
  <c r="AJL38" i="1"/>
  <c r="AJL39" i="1"/>
  <c r="AJM39" i="1"/>
  <c r="AJN39" i="1"/>
  <c r="AJO39" i="1"/>
  <c r="AJP39" i="1"/>
  <c r="AJL40" i="1"/>
  <c r="AJM40" i="1"/>
  <c r="AJN40" i="1"/>
  <c r="AJO40" i="1"/>
  <c r="AJP40" i="1"/>
  <c r="AJL41" i="1"/>
  <c r="AJM41" i="1"/>
  <c r="AJN41" i="1"/>
  <c r="AJO41" i="1"/>
  <c r="AJP41" i="1"/>
  <c r="AKB52" i="3" l="1"/>
  <c r="AKB51" i="3"/>
  <c r="AJS52" i="3"/>
  <c r="AJS51" i="3"/>
  <c r="AJB51" i="3"/>
  <c r="AJB52" i="3"/>
  <c r="AIY52" i="3"/>
  <c r="AIY51" i="3"/>
  <c r="AJL1" i="1"/>
  <c r="AJM1" i="1"/>
  <c r="AJN1" i="1"/>
  <c r="AJO1" i="1" s="1"/>
  <c r="AJP1" i="1" s="1"/>
  <c r="AJQ1" i="1" s="1"/>
  <c r="AJR1" i="1" s="1"/>
  <c r="AJS1" i="1" s="1"/>
  <c r="AJT1" i="1" s="1"/>
  <c r="AJU1" i="1" s="1"/>
  <c r="AJV1" i="1" s="1"/>
  <c r="AJW1" i="1" s="1"/>
  <c r="AJX1" i="1" s="1"/>
  <c r="AJY1" i="1" s="1"/>
  <c r="AJZ1" i="1" s="1"/>
  <c r="AKA1" i="1" s="1"/>
  <c r="AKB1" i="1" s="1"/>
  <c r="AKC1" i="1" s="1"/>
  <c r="AKD1" i="1" s="1"/>
  <c r="AKE1" i="1" s="1"/>
  <c r="AKF1" i="1" s="1"/>
  <c r="AKG1" i="1" s="1"/>
  <c r="AKH1" i="1" s="1"/>
  <c r="AKI1" i="1" s="1"/>
  <c r="AKJ1" i="1" s="1"/>
  <c r="AKK1" i="1" s="1"/>
  <c r="AKL1" i="1" s="1"/>
  <c r="AKM1" i="1" s="1"/>
  <c r="AKN1" i="1" s="1"/>
  <c r="AKO1" i="1" s="1"/>
  <c r="AKP1" i="1" s="1"/>
  <c r="AKQ1" i="1" s="1"/>
  <c r="AKR1" i="1" s="1"/>
  <c r="AKS1" i="1" s="1"/>
  <c r="AKT1" i="1" s="1"/>
  <c r="AKU1" i="1" s="1"/>
  <c r="AKV1" i="1" s="1"/>
  <c r="AKW1" i="1" s="1"/>
  <c r="AGW54" i="3" l="1"/>
  <c r="AGX54" i="3"/>
  <c r="AGW55" i="3"/>
  <c r="AGX55" i="3"/>
  <c r="AJB36" i="4"/>
  <c r="AJE38" i="1"/>
  <c r="AJF38" i="1"/>
  <c r="AJG38" i="1"/>
  <c r="AJH38" i="1"/>
  <c r="AJI38" i="1"/>
  <c r="AJJ38" i="1"/>
  <c r="AJK38" i="1"/>
  <c r="AJE39" i="1"/>
  <c r="AJF39" i="1"/>
  <c r="AJG39" i="1"/>
  <c r="AJH39" i="1"/>
  <c r="AJI39" i="1"/>
  <c r="AJJ39" i="1"/>
  <c r="AJK39" i="1"/>
  <c r="AJE40" i="1"/>
  <c r="AJF40" i="1"/>
  <c r="AJG40" i="1"/>
  <c r="AJH40" i="1"/>
  <c r="AJI40" i="1"/>
  <c r="AJJ40" i="1"/>
  <c r="AJK40" i="1"/>
  <c r="AJE41" i="1"/>
  <c r="AJF41" i="1"/>
  <c r="AJG41" i="1"/>
  <c r="AJH41" i="1"/>
  <c r="AJI41" i="1"/>
  <c r="AJJ41" i="1"/>
  <c r="AJK41" i="1"/>
  <c r="AJF36" i="4"/>
  <c r="AJG36" i="4"/>
  <c r="AJH36" i="4"/>
  <c r="AJI36" i="4"/>
  <c r="AIM36" i="4"/>
  <c r="AIN36" i="4"/>
  <c r="AIO36" i="4"/>
  <c r="AIP36" i="4"/>
  <c r="AIQ36" i="4"/>
  <c r="AIR36" i="4"/>
  <c r="AIS36" i="4"/>
  <c r="AIT36" i="4"/>
  <c r="AIU36" i="4"/>
  <c r="AIV36" i="4"/>
  <c r="AIW36" i="4"/>
  <c r="AIX36" i="4"/>
  <c r="AIY36" i="4"/>
  <c r="AIZ36" i="4"/>
  <c r="AJA36" i="4"/>
  <c r="AJC36" i="4"/>
  <c r="AJD36" i="4"/>
  <c r="AJE36" i="4"/>
  <c r="AIW51" i="3" l="1"/>
  <c r="AIX51" i="3"/>
  <c r="AIZ51" i="3"/>
  <c r="AJA51" i="3"/>
  <c r="AJC51" i="3"/>
  <c r="AIW52" i="3"/>
  <c r="AIX52" i="3"/>
  <c r="AIZ52" i="3"/>
  <c r="AJA52" i="3"/>
  <c r="AJC52" i="3"/>
  <c r="AJD1" i="1"/>
  <c r="AJE1" i="1"/>
  <c r="AJF1" i="1" s="1"/>
  <c r="AJG1" i="1" s="1"/>
  <c r="AJH1" i="1" s="1"/>
  <c r="AJI1" i="1" s="1"/>
  <c r="AJJ1" i="1" s="1"/>
  <c r="AJK1" i="1" s="1"/>
  <c r="AIV18" i="1"/>
  <c r="AIW18" i="1"/>
  <c r="AIX18" i="1"/>
  <c r="AIY18" i="1"/>
  <c r="AIZ18" i="1"/>
  <c r="AJA18" i="1"/>
  <c r="AJB18" i="1"/>
  <c r="AIV6" i="1"/>
  <c r="AIW6" i="1"/>
  <c r="AIX6" i="1"/>
  <c r="AIY6" i="1"/>
  <c r="AIZ6" i="1"/>
  <c r="AJA6" i="1"/>
  <c r="AJB6" i="1"/>
  <c r="AHN1" i="4"/>
  <c r="AHO1" i="4"/>
  <c r="AHP1" i="4"/>
  <c r="AHQ1" i="4" s="1"/>
  <c r="AHR1" i="4" s="1"/>
  <c r="AHS1" i="4" s="1"/>
  <c r="AHT1" i="4" s="1"/>
  <c r="AHU1" i="4" s="1"/>
  <c r="AHV1" i="4" s="1"/>
  <c r="AHW1" i="4" s="1"/>
  <c r="AHX1" i="4" s="1"/>
  <c r="AHY1" i="4" s="1"/>
  <c r="AHZ1" i="4" s="1"/>
  <c r="AIA1" i="4" s="1"/>
  <c r="AIB1" i="4" s="1"/>
  <c r="AIC1" i="4" s="1"/>
  <c r="AID1" i="4" s="1"/>
  <c r="AIE1" i="4" s="1"/>
  <c r="AIF1" i="4" s="1"/>
  <c r="AIG1" i="4" s="1"/>
  <c r="AIH1" i="4" s="1"/>
  <c r="AII1" i="4" s="1"/>
  <c r="AIJ1" i="4" s="1"/>
  <c r="AIK1" i="4" s="1"/>
  <c r="AIL1" i="4" s="1"/>
  <c r="AIM1" i="4" s="1"/>
  <c r="AIN1" i="4" s="1"/>
  <c r="AIO1" i="4" s="1"/>
  <c r="AIP1" i="4" s="1"/>
  <c r="AIQ1" i="4" s="1"/>
  <c r="AIR1" i="4" s="1"/>
  <c r="AIS1" i="4" s="1"/>
  <c r="AIT1" i="4" s="1"/>
  <c r="AIU1" i="4" s="1"/>
  <c r="AIV1" i="4" s="1"/>
  <c r="AIW1" i="4" s="1"/>
  <c r="AIX1" i="4" s="1"/>
  <c r="AIY1" i="4" s="1"/>
  <c r="AIZ1" i="4" s="1"/>
  <c r="AJA1" i="4" s="1"/>
  <c r="AJB1" i="4" s="1"/>
  <c r="AJC1" i="4" s="1"/>
  <c r="AJD1" i="4" s="1"/>
  <c r="AJE1" i="4" s="1"/>
  <c r="AJF1" i="4" s="1"/>
  <c r="AJG1" i="4" s="1"/>
  <c r="AJH1" i="4" s="1"/>
  <c r="AJI1" i="4" s="1"/>
  <c r="AJJ1" i="4" s="1"/>
  <c r="AJK1" i="4" s="1"/>
  <c r="AJL1" i="4" s="1"/>
  <c r="AJM1" i="4" s="1"/>
  <c r="AJN1" i="4" s="1"/>
  <c r="AJO1" i="4" s="1"/>
  <c r="AJP1" i="4" s="1"/>
  <c r="AJQ1" i="4" s="1"/>
  <c r="AJR1" i="4" s="1"/>
  <c r="AJS1" i="4" s="1"/>
  <c r="AJT1" i="4" s="1"/>
  <c r="AJU1" i="4" s="1"/>
  <c r="AJV1" i="4" s="1"/>
  <c r="AJW1" i="4" s="1"/>
  <c r="AJX1" i="4" s="1"/>
  <c r="AJY1" i="4" s="1"/>
  <c r="AJZ1" i="4" s="1"/>
  <c r="AKA1" i="4" s="1"/>
  <c r="AKB1" i="4" s="1"/>
  <c r="AKC1" i="4" s="1"/>
  <c r="AKD1" i="4" s="1"/>
  <c r="AKE1" i="4" s="1"/>
  <c r="AKF1" i="4" s="1"/>
  <c r="AKG1" i="4" s="1"/>
  <c r="AKH1" i="4" s="1"/>
  <c r="AKI1" i="4" s="1"/>
  <c r="AKJ1" i="4" s="1"/>
  <c r="AKK1" i="4" s="1"/>
  <c r="AKL1" i="4" s="1"/>
  <c r="AKM1" i="4" s="1"/>
  <c r="AKN1" i="4" s="1"/>
  <c r="AGX36" i="4"/>
  <c r="AGY36" i="4"/>
  <c r="AGZ36" i="4"/>
  <c r="AHA36" i="4"/>
  <c r="AHB36" i="4"/>
  <c r="AHC36" i="4"/>
  <c r="AHD36" i="4"/>
  <c r="AHE36" i="4"/>
  <c r="AHF36" i="4"/>
  <c r="AHG36" i="4"/>
  <c r="AHH36" i="4"/>
  <c r="AHI36" i="4"/>
  <c r="AHJ36" i="4"/>
  <c r="AHK36" i="4"/>
  <c r="AHL36" i="4"/>
  <c r="AHM36" i="4"/>
  <c r="AHN36" i="4"/>
  <c r="AHO36" i="4"/>
  <c r="AHP36" i="4"/>
  <c r="AHQ36" i="4"/>
  <c r="AHR36" i="4"/>
  <c r="AHS36" i="4"/>
  <c r="AHT36" i="4"/>
  <c r="AHU36" i="4"/>
  <c r="AHV36" i="4"/>
  <c r="AHW36" i="4"/>
  <c r="AHX36" i="4"/>
  <c r="AHY36" i="4"/>
  <c r="AHZ36" i="4"/>
  <c r="AIA36" i="4"/>
  <c r="AIB36" i="4"/>
  <c r="AIC36" i="4"/>
  <c r="AID36" i="4"/>
  <c r="AIE36" i="4"/>
  <c r="AIF36" i="4"/>
  <c r="AIG36" i="4"/>
  <c r="AIH36" i="4"/>
  <c r="AII36" i="4"/>
  <c r="AIJ36" i="4"/>
  <c r="AIK36" i="4"/>
  <c r="AIL36" i="4"/>
  <c r="AIM18" i="1"/>
  <c r="AIN18" i="1"/>
  <c r="AIO18" i="1"/>
  <c r="AIP18" i="1"/>
  <c r="AIQ18" i="1"/>
  <c r="AIR18" i="1"/>
  <c r="AIS18" i="1"/>
  <c r="AIT18" i="1"/>
  <c r="AIU18" i="1"/>
  <c r="AIM6" i="1"/>
  <c r="AIN6" i="1"/>
  <c r="AIO6" i="1"/>
  <c r="AIP6" i="1"/>
  <c r="AIQ6" i="1"/>
  <c r="AIR6" i="1"/>
  <c r="AIS6" i="1"/>
  <c r="AIT6" i="1"/>
  <c r="AIU6" i="1"/>
  <c r="AIM51" i="3" l="1"/>
  <c r="AIN51" i="3"/>
  <c r="AIO51" i="3"/>
  <c r="AIP51" i="3"/>
  <c r="AIQ51" i="3"/>
  <c r="AIR51" i="3"/>
  <c r="AIS51" i="3"/>
  <c r="AIT51" i="3"/>
  <c r="AIU51" i="3"/>
  <c r="AIV51" i="3"/>
  <c r="AIM52" i="3"/>
  <c r="AIN52" i="3"/>
  <c r="AIO52" i="3"/>
  <c r="AIP52" i="3"/>
  <c r="AIQ52" i="3"/>
  <c r="AIR52" i="3"/>
  <c r="AIS52" i="3"/>
  <c r="AIT52" i="3"/>
  <c r="AIU52" i="3"/>
  <c r="AIV52" i="3"/>
  <c r="AIQ38" i="1" l="1"/>
  <c r="AIR38" i="1"/>
  <c r="AIS38" i="1"/>
  <c r="AIT38" i="1"/>
  <c r="AIU38" i="1"/>
  <c r="AIV38" i="1"/>
  <c r="AIW38" i="1"/>
  <c r="AIX38" i="1"/>
  <c r="AIY38" i="1"/>
  <c r="AIZ38" i="1"/>
  <c r="AJA38" i="1"/>
  <c r="AJB38" i="1"/>
  <c r="AJC38" i="1"/>
  <c r="AJD38" i="1"/>
  <c r="AIQ39" i="1"/>
  <c r="AIR39" i="1"/>
  <c r="AIS39" i="1"/>
  <c r="AIT39" i="1"/>
  <c r="AIU39" i="1"/>
  <c r="AIV39" i="1"/>
  <c r="AIW39" i="1"/>
  <c r="AIX39" i="1"/>
  <c r="AIY39" i="1"/>
  <c r="AIZ39" i="1"/>
  <c r="AJA39" i="1"/>
  <c r="AJB39" i="1"/>
  <c r="AJC39" i="1"/>
  <c r="AJD39" i="1"/>
  <c r="AIQ40" i="1"/>
  <c r="AIR40" i="1"/>
  <c r="AIS40" i="1"/>
  <c r="AIT40" i="1"/>
  <c r="AIU40" i="1"/>
  <c r="AIV40" i="1"/>
  <c r="AIW40" i="1"/>
  <c r="AIX40" i="1"/>
  <c r="AIY40" i="1"/>
  <c r="AIZ40" i="1"/>
  <c r="AJA40" i="1"/>
  <c r="AJB40" i="1"/>
  <c r="AJC40" i="1"/>
  <c r="AJD40" i="1"/>
  <c r="AIQ41" i="1"/>
  <c r="AIR41" i="1"/>
  <c r="AIS41" i="1"/>
  <c r="AIT41" i="1"/>
  <c r="AIU41" i="1"/>
  <c r="AIV41" i="1"/>
  <c r="AIW41" i="1"/>
  <c r="AIX41" i="1"/>
  <c r="AIY41" i="1"/>
  <c r="AIZ41" i="1"/>
  <c r="AJA41" i="1"/>
  <c r="AJB41" i="1"/>
  <c r="AJC41" i="1"/>
  <c r="AJD41" i="1"/>
  <c r="AIJ18" i="1"/>
  <c r="AIK18" i="1"/>
  <c r="AIL18" i="1"/>
  <c r="AIJ6" i="1"/>
  <c r="AIK6" i="1"/>
  <c r="AIL6" i="1"/>
  <c r="AIK51" i="3"/>
  <c r="AIL51" i="3"/>
  <c r="AIK52" i="3"/>
  <c r="AIL52" i="3"/>
  <c r="AIJ38" i="1"/>
  <c r="AIK38" i="1"/>
  <c r="AIL38" i="1"/>
  <c r="AIM38" i="1"/>
  <c r="AIN38" i="1"/>
  <c r="AIO38" i="1"/>
  <c r="AIP38" i="1"/>
  <c r="AIG39" i="1"/>
  <c r="AIH39" i="1"/>
  <c r="AII39" i="1"/>
  <c r="AIJ39" i="1"/>
  <c r="AIK39" i="1"/>
  <c r="AIL39" i="1"/>
  <c r="AIM39" i="1"/>
  <c r="AIN39" i="1"/>
  <c r="AIO39" i="1"/>
  <c r="AIP39" i="1"/>
  <c r="AIG40" i="1"/>
  <c r="AIH40" i="1"/>
  <c r="AII40" i="1"/>
  <c r="AIJ40" i="1"/>
  <c r="AIK40" i="1"/>
  <c r="AIL40" i="1"/>
  <c r="AIM40" i="1"/>
  <c r="AIN40" i="1"/>
  <c r="AIO40" i="1"/>
  <c r="AIP40" i="1"/>
  <c r="AIG41" i="1"/>
  <c r="AIH41" i="1"/>
  <c r="AII41" i="1"/>
  <c r="AIJ41" i="1"/>
  <c r="AIK41" i="1"/>
  <c r="AIL41" i="1"/>
  <c r="AIM41" i="1"/>
  <c r="AIN41" i="1"/>
  <c r="AIO41" i="1"/>
  <c r="AIP41" i="1"/>
  <c r="AIA18" i="1"/>
  <c r="AIB18" i="1"/>
  <c r="AIC18" i="1"/>
  <c r="AID18" i="1"/>
  <c r="AIE18" i="1"/>
  <c r="AIF18" i="1"/>
  <c r="AIG18" i="1"/>
  <c r="AIH18" i="1"/>
  <c r="AII18" i="1"/>
  <c r="AIH1" i="1"/>
  <c r="AII1" i="1"/>
  <c r="AIJ1" i="1"/>
  <c r="AIK1" i="1"/>
  <c r="AIL1" i="1"/>
  <c r="AIM1" i="1"/>
  <c r="AIN1" i="1"/>
  <c r="AIO1" i="1"/>
  <c r="AIP1" i="1"/>
  <c r="AIQ1" i="1"/>
  <c r="AIR1" i="1"/>
  <c r="AIS1" i="1" s="1"/>
  <c r="AIT1" i="1" s="1"/>
  <c r="AIU1" i="1" s="1"/>
  <c r="AIV1" i="1" s="1"/>
  <c r="AIW1" i="1" s="1"/>
  <c r="AIX1" i="1" s="1"/>
  <c r="AIY1" i="1" s="1"/>
  <c r="AIZ1" i="1" s="1"/>
  <c r="AJA1" i="1" s="1"/>
  <c r="AJB1" i="1" s="1"/>
  <c r="AJC1" i="1" s="1"/>
  <c r="AIA6" i="1"/>
  <c r="AIA38" i="1" s="1"/>
  <c r="AIB6" i="1"/>
  <c r="AIB38" i="1" s="1"/>
  <c r="AIC6" i="1"/>
  <c r="AIC38" i="1" s="1"/>
  <c r="AID6" i="1"/>
  <c r="AID38" i="1" s="1"/>
  <c r="AIE6" i="1"/>
  <c r="AIE38" i="1" s="1"/>
  <c r="AIF6" i="1"/>
  <c r="AIF38" i="1" s="1"/>
  <c r="AIG6" i="1"/>
  <c r="AIG38" i="1" s="1"/>
  <c r="AIH6" i="1"/>
  <c r="AIH38" i="1" s="1"/>
  <c r="AII6" i="1"/>
  <c r="AII38" i="1" s="1"/>
  <c r="AIB51" i="3"/>
  <c r="AIC51" i="3"/>
  <c r="AID51" i="3"/>
  <c r="AIE51" i="3"/>
  <c r="AIF51" i="3"/>
  <c r="AIG51" i="3"/>
  <c r="AIH51" i="3"/>
  <c r="AII51" i="3"/>
  <c r="AIJ51" i="3"/>
  <c r="AIB52" i="3"/>
  <c r="AIC52" i="3"/>
  <c r="AID52" i="3"/>
  <c r="AIE52" i="3"/>
  <c r="AIF52" i="3"/>
  <c r="AIG52" i="3"/>
  <c r="AIH52" i="3"/>
  <c r="AII52" i="3"/>
  <c r="AIJ52" i="3"/>
  <c r="AHT18" i="1"/>
  <c r="AHU18" i="1"/>
  <c r="AHV18" i="1"/>
  <c r="AHW18" i="1"/>
  <c r="AHX18" i="1"/>
  <c r="AHY18" i="1"/>
  <c r="AHZ18" i="1"/>
  <c r="AHT6" i="1"/>
  <c r="AHU6" i="1"/>
  <c r="AHV6" i="1"/>
  <c r="AHW6" i="1"/>
  <c r="AHX6" i="1"/>
  <c r="AHY6" i="1"/>
  <c r="AHZ6" i="1"/>
  <c r="AHT51" i="3"/>
  <c r="AHU51" i="3"/>
  <c r="AHV51" i="3"/>
  <c r="AHW51" i="3"/>
  <c r="AHX51" i="3"/>
  <c r="AHY51" i="3"/>
  <c r="AHZ51" i="3"/>
  <c r="AIA51" i="3"/>
  <c r="AHT52" i="3"/>
  <c r="AHU52" i="3"/>
  <c r="AHV52" i="3"/>
  <c r="AHW52" i="3"/>
  <c r="AHX52" i="3"/>
  <c r="AHY52" i="3"/>
  <c r="AHZ52" i="3"/>
  <c r="AIA52" i="3"/>
  <c r="AHN41" i="1"/>
  <c r="AHJ18" i="1"/>
  <c r="AHK18" i="1"/>
  <c r="AHL18" i="1"/>
  <c r="AHM18" i="1"/>
  <c r="AHN18" i="1"/>
  <c r="AHO18" i="1"/>
  <c r="AHP18" i="1"/>
  <c r="AHQ18" i="1"/>
  <c r="AHR18" i="1"/>
  <c r="AHS18" i="1"/>
  <c r="AHI18" i="1"/>
  <c r="AGY6" i="1" l="1"/>
  <c r="AGZ6" i="1"/>
  <c r="AHA6" i="1"/>
  <c r="AHB6" i="1"/>
  <c r="AHC6" i="1"/>
  <c r="AHD6" i="1"/>
  <c r="AHE6" i="1"/>
  <c r="AHF6" i="1"/>
  <c r="AHG6" i="1"/>
  <c r="AHH6" i="1"/>
  <c r="AHI6" i="1"/>
  <c r="AHJ6" i="1"/>
  <c r="AHK6" i="1"/>
  <c r="AHL6" i="1"/>
  <c r="AHM6" i="1"/>
  <c r="AHN6" i="1"/>
  <c r="AHO6" i="1"/>
  <c r="AHP6" i="1"/>
  <c r="AHQ6" i="1"/>
  <c r="AHR6" i="1"/>
  <c r="AHS6" i="1"/>
  <c r="AHG51" i="3" l="1"/>
  <c r="AHH51" i="3"/>
  <c r="AHI51" i="3"/>
  <c r="AHJ51" i="3"/>
  <c r="AHK51" i="3"/>
  <c r="AHL51" i="3"/>
  <c r="AHM51" i="3"/>
  <c r="AHN51" i="3"/>
  <c r="AHO51" i="3"/>
  <c r="AHP51" i="3"/>
  <c r="AHQ51" i="3"/>
  <c r="AHR51" i="3"/>
  <c r="AHS51" i="3"/>
  <c r="AHG52" i="3"/>
  <c r="AHH52" i="3"/>
  <c r="AHI52" i="3"/>
  <c r="AHJ52" i="3"/>
  <c r="AHK52" i="3"/>
  <c r="AHL52" i="3"/>
  <c r="AHM52" i="3"/>
  <c r="AHN52" i="3"/>
  <c r="AHO52" i="3"/>
  <c r="AHP52" i="3"/>
  <c r="AHQ52" i="3"/>
  <c r="AHR52" i="3"/>
  <c r="AHS52" i="3"/>
  <c r="AHM38" i="1" l="1"/>
  <c r="AHN38" i="1"/>
  <c r="AHO38" i="1"/>
  <c r="AHP38" i="1"/>
  <c r="AHQ38" i="1"/>
  <c r="AHR38" i="1"/>
  <c r="AHS38" i="1"/>
  <c r="AHT38" i="1"/>
  <c r="AHU38" i="1"/>
  <c r="AHV38" i="1"/>
  <c r="AHW38" i="1"/>
  <c r="AHX38" i="1"/>
  <c r="AHY38" i="1"/>
  <c r="AHZ38" i="1"/>
  <c r="AHM39" i="1"/>
  <c r="AHN39" i="1"/>
  <c r="AHO39" i="1"/>
  <c r="AHP39" i="1"/>
  <c r="AHQ39" i="1"/>
  <c r="AHR39" i="1"/>
  <c r="AHS39" i="1"/>
  <c r="AHT39" i="1"/>
  <c r="AHU39" i="1"/>
  <c r="AHV39" i="1"/>
  <c r="AHW39" i="1"/>
  <c r="AHX39" i="1"/>
  <c r="AHY39" i="1"/>
  <c r="AHZ39" i="1"/>
  <c r="AIA39" i="1"/>
  <c r="AIB39" i="1"/>
  <c r="AIC39" i="1"/>
  <c r="AID39" i="1"/>
  <c r="AIE39" i="1"/>
  <c r="AIF39" i="1"/>
  <c r="AHM40" i="1"/>
  <c r="AHN40" i="1"/>
  <c r="AHO40" i="1"/>
  <c r="AHP40" i="1"/>
  <c r="AHQ40" i="1"/>
  <c r="AHR40" i="1"/>
  <c r="AHS40" i="1"/>
  <c r="AHT40" i="1"/>
  <c r="AHU40" i="1"/>
  <c r="AHV40" i="1"/>
  <c r="AHW40" i="1"/>
  <c r="AHX40" i="1"/>
  <c r="AHY40" i="1"/>
  <c r="AHZ40" i="1"/>
  <c r="AIA40" i="1"/>
  <c r="AIB40" i="1"/>
  <c r="AIC40" i="1"/>
  <c r="AID40" i="1"/>
  <c r="AIE40" i="1"/>
  <c r="AIF40" i="1"/>
  <c r="AHM41" i="1"/>
  <c r="AHO41" i="1"/>
  <c r="AHP41" i="1"/>
  <c r="AHQ41" i="1"/>
  <c r="AHR41" i="1"/>
  <c r="AHS41" i="1"/>
  <c r="AHT41" i="1"/>
  <c r="AHU41" i="1"/>
  <c r="AHV41" i="1"/>
  <c r="AHW41" i="1"/>
  <c r="AHX41" i="1"/>
  <c r="AHY41" i="1"/>
  <c r="AHZ41" i="1"/>
  <c r="AIA41" i="1"/>
  <c r="AIB41" i="1"/>
  <c r="AIC41" i="1"/>
  <c r="AID41" i="1"/>
  <c r="AIE41" i="1"/>
  <c r="AIF41" i="1"/>
  <c r="AHQ1" i="1" l="1"/>
  <c r="AHR1" i="1"/>
  <c r="AHS1" i="1"/>
  <c r="AHT1" i="1"/>
  <c r="AHU1" i="1" s="1"/>
  <c r="AHV1" i="1" s="1"/>
  <c r="AHW1" i="1" s="1"/>
  <c r="AHX1" i="1" s="1"/>
  <c r="AHY1" i="1" s="1"/>
  <c r="AHZ1" i="1" s="1"/>
  <c r="AIA1" i="1" s="1"/>
  <c r="AIB1" i="1" s="1"/>
  <c r="AIC1" i="1" s="1"/>
  <c r="AID1" i="1" s="1"/>
  <c r="AIE1" i="1" s="1"/>
  <c r="AIF1" i="1" s="1"/>
  <c r="AIG1" i="1" s="1"/>
  <c r="AHE51" i="3"/>
  <c r="AHF38" i="1"/>
  <c r="AHG38" i="1"/>
  <c r="AHH38" i="1"/>
  <c r="AHI38" i="1"/>
  <c r="AHJ38" i="1"/>
  <c r="AHK38" i="1"/>
  <c r="AHL38" i="1"/>
  <c r="AHF39" i="1"/>
  <c r="AHG39" i="1"/>
  <c r="AHH39" i="1"/>
  <c r="AHI39" i="1"/>
  <c r="AHJ39" i="1"/>
  <c r="AHK39" i="1"/>
  <c r="AHL39" i="1"/>
  <c r="AHF40" i="1"/>
  <c r="AHG40" i="1"/>
  <c r="AHH40" i="1"/>
  <c r="AHI40" i="1"/>
  <c r="AHJ40" i="1"/>
  <c r="AHK40" i="1"/>
  <c r="AHL40" i="1"/>
  <c r="AHF41" i="1"/>
  <c r="AHG41" i="1"/>
  <c r="AHH41" i="1"/>
  <c r="AHI41" i="1"/>
  <c r="AHJ41" i="1"/>
  <c r="AHK41" i="1"/>
  <c r="AHL41" i="1"/>
  <c r="AGD18" i="1" l="1"/>
  <c r="AHA51" i="3"/>
  <c r="AHB51" i="3"/>
  <c r="AHC51" i="3"/>
  <c r="AHD51" i="3"/>
  <c r="AHF51" i="3"/>
  <c r="AHA52" i="3"/>
  <c r="AHB52" i="3"/>
  <c r="AHC52" i="3"/>
  <c r="AHD52" i="3"/>
  <c r="AHE52" i="3"/>
  <c r="AHF52" i="3"/>
  <c r="AGZ38" i="1"/>
  <c r="AHA38" i="1"/>
  <c r="AHB38" i="1"/>
  <c r="AHC38" i="1"/>
  <c r="AHD38" i="1"/>
  <c r="AHE38" i="1"/>
  <c r="AGZ39" i="1"/>
  <c r="AHA39" i="1"/>
  <c r="AHB39" i="1"/>
  <c r="AHC39" i="1"/>
  <c r="AHD39" i="1"/>
  <c r="AHE39" i="1"/>
  <c r="AGZ40" i="1"/>
  <c r="AHA40" i="1"/>
  <c r="AHB40" i="1"/>
  <c r="AHC40" i="1"/>
  <c r="AHD40" i="1"/>
  <c r="AHE40" i="1"/>
  <c r="AGZ41" i="1"/>
  <c r="AHA41" i="1"/>
  <c r="AHB41" i="1"/>
  <c r="AHC41" i="1"/>
  <c r="AHD41" i="1"/>
  <c r="AHE41" i="1"/>
  <c r="AGE18" i="1"/>
  <c r="AGF18" i="1"/>
  <c r="AGG18" i="1"/>
  <c r="AGH18" i="1"/>
  <c r="AGI18" i="1"/>
  <c r="AGJ18" i="1"/>
  <c r="AGK18" i="1"/>
  <c r="AGL18" i="1"/>
  <c r="AGM18" i="1"/>
  <c r="AGN18" i="1"/>
  <c r="AGO18" i="1"/>
  <c r="AGP18" i="1"/>
  <c r="AGQ18" i="1"/>
  <c r="AGR18" i="1"/>
  <c r="AGS18" i="1"/>
  <c r="AGT18" i="1"/>
  <c r="AGU18" i="1"/>
  <c r="AGV18" i="1"/>
  <c r="AGW18" i="1"/>
  <c r="AGX18" i="1"/>
  <c r="AGW6" i="1"/>
  <c r="AGW38" i="1" s="1"/>
  <c r="AGX6" i="1"/>
  <c r="AGX38" i="1" s="1"/>
  <c r="AGZ51" i="3"/>
  <c r="AGY52" i="3"/>
  <c r="AGZ52" i="3"/>
  <c r="AGX48" i="3" a="1"/>
  <c r="AGX48" i="3" s="1"/>
  <c r="AGY51" i="3"/>
  <c r="AGX47" i="3" a="1"/>
  <c r="AGX47" i="3" s="1"/>
  <c r="AGX52" i="3"/>
  <c r="AGW48" i="3" a="1"/>
  <c r="AGW48" i="3" s="1"/>
  <c r="AGW47" i="3" a="1"/>
  <c r="AGW47" i="3" s="1"/>
  <c r="AGY38" i="1"/>
  <c r="AGW39" i="1"/>
  <c r="AGX39" i="1"/>
  <c r="AGY39" i="1"/>
  <c r="AGW40" i="1"/>
  <c r="AGX40" i="1"/>
  <c r="AGY40" i="1"/>
  <c r="AGW41" i="1"/>
  <c r="AGX41" i="1"/>
  <c r="AGY41" i="1"/>
  <c r="AGJ6" i="1"/>
  <c r="AGK6" i="1"/>
  <c r="AGL6" i="1"/>
  <c r="AGM6" i="1"/>
  <c r="AGN6" i="1"/>
  <c r="AGO6" i="1"/>
  <c r="AGP6" i="1"/>
  <c r="AGQ6" i="1"/>
  <c r="AGR6" i="1"/>
  <c r="AGS6" i="1"/>
  <c r="AGT6" i="1"/>
  <c r="AGU6" i="1"/>
  <c r="AGV6" i="1"/>
  <c r="AGX51" i="3" l="1"/>
  <c r="AGS51" i="3"/>
  <c r="AGT51" i="3"/>
  <c r="AGU51" i="3"/>
  <c r="AGV51" i="3"/>
  <c r="AGW51" i="3"/>
  <c r="AGS52" i="3"/>
  <c r="AGT52" i="3"/>
  <c r="AGU52" i="3"/>
  <c r="AGV52" i="3"/>
  <c r="AGW52" i="3"/>
  <c r="AGR52" i="3"/>
  <c r="AGP36" i="4"/>
  <c r="AGQ36" i="4"/>
  <c r="AGR36" i="4"/>
  <c r="AGS36" i="4"/>
  <c r="AGT36" i="4"/>
  <c r="AGU36" i="4"/>
  <c r="AGV36" i="4"/>
  <c r="AGW36" i="4"/>
  <c r="AGR38" i="1"/>
  <c r="AGS38" i="1"/>
  <c r="AGT38" i="1"/>
  <c r="AGU38" i="1"/>
  <c r="AGV38" i="1"/>
  <c r="AGR39" i="1"/>
  <c r="AGS39" i="1"/>
  <c r="AGT39" i="1"/>
  <c r="AGU39" i="1"/>
  <c r="AGV39" i="1"/>
  <c r="AGR40" i="1"/>
  <c r="AGS40" i="1"/>
  <c r="AGT40" i="1"/>
  <c r="AGU40" i="1"/>
  <c r="AGV40" i="1"/>
  <c r="AGR41" i="1"/>
  <c r="AGS41" i="1"/>
  <c r="AGT41" i="1"/>
  <c r="AGU41" i="1"/>
  <c r="AGV41" i="1"/>
  <c r="AGQ39" i="1"/>
  <c r="AGL38" i="1"/>
  <c r="AGM38" i="1"/>
  <c r="AGN38" i="1"/>
  <c r="AGO38" i="1"/>
  <c r="AGP38" i="1"/>
  <c r="AGQ38" i="1"/>
  <c r="AGL39" i="1"/>
  <c r="AGM39" i="1"/>
  <c r="AGN39" i="1"/>
  <c r="AGO39" i="1"/>
  <c r="AGP39" i="1"/>
  <c r="AGL40" i="1"/>
  <c r="AGM40" i="1"/>
  <c r="AGN40" i="1"/>
  <c r="AGO40" i="1"/>
  <c r="AGP40" i="1"/>
  <c r="AGQ40" i="1"/>
  <c r="AGL41" i="1"/>
  <c r="AGM41" i="1"/>
  <c r="AGN41" i="1"/>
  <c r="AGO41" i="1"/>
  <c r="AGP41" i="1"/>
  <c r="AGQ41" i="1"/>
  <c r="AGQ51" i="3"/>
  <c r="AGQ52" i="3"/>
  <c r="AGM51" i="3"/>
  <c r="AGN51" i="3"/>
  <c r="AGO51" i="3"/>
  <c r="AGP51" i="3"/>
  <c r="AGM52" i="3"/>
  <c r="AGN52" i="3"/>
  <c r="AGO52" i="3"/>
  <c r="AGP52" i="3"/>
  <c r="AGC6" i="1"/>
  <c r="AGC38" i="1" s="1"/>
  <c r="AFV36" i="4"/>
  <c r="AFW36" i="4"/>
  <c r="AFX36" i="4"/>
  <c r="AFY36" i="4"/>
  <c r="AFZ36" i="4"/>
  <c r="AGA36" i="4"/>
  <c r="AGB36" i="4"/>
  <c r="AGC36" i="4"/>
  <c r="AGD36" i="4"/>
  <c r="AGE36" i="4"/>
  <c r="AGF36" i="4"/>
  <c r="AGG36" i="4"/>
  <c r="AGH36" i="4"/>
  <c r="AGI36" i="4"/>
  <c r="AGJ36" i="4"/>
  <c r="AGK36" i="4"/>
  <c r="AGL36" i="4"/>
  <c r="AGM36" i="4"/>
  <c r="AGN36" i="4"/>
  <c r="AGO36" i="4"/>
  <c r="AGJ38" i="1"/>
  <c r="AGK38" i="1"/>
  <c r="AGD39" i="1"/>
  <c r="AGE39" i="1"/>
  <c r="AGF39" i="1"/>
  <c r="AGG39" i="1"/>
  <c r="AGH39" i="1"/>
  <c r="AGI39" i="1"/>
  <c r="AGJ39" i="1"/>
  <c r="AGK39" i="1"/>
  <c r="AGD40" i="1"/>
  <c r="AGE40" i="1"/>
  <c r="AGF40" i="1"/>
  <c r="AGG40" i="1"/>
  <c r="AGH40" i="1"/>
  <c r="AGI40" i="1"/>
  <c r="AGJ40" i="1"/>
  <c r="AGK40" i="1"/>
  <c r="AGD41" i="1"/>
  <c r="AGE41" i="1"/>
  <c r="AGF41" i="1"/>
  <c r="AGG41" i="1"/>
  <c r="AGH41" i="1"/>
  <c r="AGI41" i="1"/>
  <c r="AGJ41" i="1"/>
  <c r="AGK41" i="1"/>
  <c r="AFH6" i="1"/>
  <c r="AFH38" i="1" s="1"/>
  <c r="AFI6" i="1"/>
  <c r="AFI38" i="1" s="1"/>
  <c r="AFJ6" i="1"/>
  <c r="AFJ38" i="1" s="1"/>
  <c r="AFK6" i="1"/>
  <c r="AFK38" i="1" s="1"/>
  <c r="AFL6" i="1"/>
  <c r="AFL38" i="1" s="1"/>
  <c r="AFM6" i="1"/>
  <c r="AFM38" i="1" s="1"/>
  <c r="AFN6" i="1"/>
  <c r="AFN38" i="1" s="1"/>
  <c r="AFO6" i="1"/>
  <c r="AFP6" i="1"/>
  <c r="AFQ6" i="1"/>
  <c r="AFR6" i="1"/>
  <c r="AFS6" i="1"/>
  <c r="AFT6" i="1"/>
  <c r="AFT38" i="1" s="1"/>
  <c r="AFU6" i="1"/>
  <c r="AFU38" i="1" s="1"/>
  <c r="AFV6" i="1"/>
  <c r="AFV38" i="1" s="1"/>
  <c r="AFW6" i="1"/>
  <c r="AFW38" i="1" s="1"/>
  <c r="AFX6" i="1"/>
  <c r="AFY6" i="1"/>
  <c r="AFY38" i="1" s="1"/>
  <c r="AFZ6" i="1"/>
  <c r="AFZ38" i="1" s="1"/>
  <c r="AGA6" i="1"/>
  <c r="AGA38" i="1" s="1"/>
  <c r="AGB6" i="1"/>
  <c r="AGB38" i="1" s="1"/>
  <c r="AGD6" i="1"/>
  <c r="AGD38" i="1" s="1"/>
  <c r="AGE6" i="1"/>
  <c r="AGE38" i="1" s="1"/>
  <c r="AGF6" i="1"/>
  <c r="AGF38" i="1" s="1"/>
  <c r="AGG6" i="1"/>
  <c r="AGG38" i="1" s="1"/>
  <c r="AGH6" i="1"/>
  <c r="AGH38" i="1" s="1"/>
  <c r="AGI6" i="1"/>
  <c r="AGI38" i="1" s="1"/>
  <c r="AGE51" i="3"/>
  <c r="AGF51" i="3"/>
  <c r="AGG51" i="3"/>
  <c r="AGH51" i="3"/>
  <c r="AGI51" i="3"/>
  <c r="AGJ51" i="3"/>
  <c r="AGK51" i="3"/>
  <c r="AGL51" i="3"/>
  <c r="AGE52" i="3"/>
  <c r="AGF52" i="3"/>
  <c r="AGG52" i="3"/>
  <c r="AGH52" i="3"/>
  <c r="AGI52" i="3"/>
  <c r="AGJ52" i="3"/>
  <c r="AGK52" i="3"/>
  <c r="AGL52" i="3"/>
  <c r="AGD52" i="3"/>
  <c r="AGC51" i="3"/>
  <c r="AGC52" i="3"/>
  <c r="AFX38" i="1"/>
  <c r="AFW39" i="1"/>
  <c r="AFX39" i="1"/>
  <c r="AFY39" i="1"/>
  <c r="AFZ39" i="1"/>
  <c r="AGA39" i="1"/>
  <c r="AGB39" i="1"/>
  <c r="AGC39" i="1"/>
  <c r="AFW40" i="1"/>
  <c r="AFX40" i="1"/>
  <c r="AFY40" i="1"/>
  <c r="AFZ40" i="1"/>
  <c r="AGA40" i="1"/>
  <c r="AGB40" i="1"/>
  <c r="AGC40" i="1"/>
  <c r="AFW41" i="1"/>
  <c r="AFX41" i="1"/>
  <c r="AFY41" i="1"/>
  <c r="AFZ41" i="1"/>
  <c r="AGA41" i="1"/>
  <c r="AGB41" i="1"/>
  <c r="AGC41" i="1"/>
  <c r="AFQ51" i="3"/>
  <c r="AFR51" i="3"/>
  <c r="AFS51" i="3"/>
  <c r="AFT51" i="3"/>
  <c r="AFU51" i="3"/>
  <c r="AFV51" i="3"/>
  <c r="AFW51" i="3"/>
  <c r="AFX51" i="3"/>
  <c r="AFY51" i="3"/>
  <c r="AFZ51" i="3"/>
  <c r="AGA51" i="3"/>
  <c r="AGB51" i="3"/>
  <c r="AFQ52" i="3"/>
  <c r="AFR52" i="3"/>
  <c r="AFS52" i="3"/>
  <c r="AFT52" i="3"/>
  <c r="AFU52" i="3"/>
  <c r="AFV52" i="3"/>
  <c r="AFW52" i="3"/>
  <c r="AFX52" i="3"/>
  <c r="AFY52" i="3"/>
  <c r="AFZ52" i="3"/>
  <c r="AGA52" i="3"/>
  <c r="AGB52" i="3"/>
  <c r="AEZ38" i="1"/>
  <c r="AEP36" i="4"/>
  <c r="AEQ36" i="4"/>
  <c r="AER36" i="4"/>
  <c r="AES36" i="4"/>
  <c r="AET36" i="4"/>
  <c r="AEU36" i="4"/>
  <c r="AEV36" i="4"/>
  <c r="AEW36" i="4"/>
  <c r="AEX36" i="4"/>
  <c r="AEY36" i="4"/>
  <c r="AEZ36" i="4"/>
  <c r="AFA36" i="4"/>
  <c r="AFB36" i="4"/>
  <c r="AFC36" i="4"/>
  <c r="AFD36" i="4"/>
  <c r="AFE36" i="4"/>
  <c r="AFF36" i="4"/>
  <c r="AFG36" i="4"/>
  <c r="AFH36" i="4"/>
  <c r="AFI36" i="4"/>
  <c r="AFJ36" i="4"/>
  <c r="AFK36" i="4"/>
  <c r="AFL36" i="4"/>
  <c r="AFM36" i="4"/>
  <c r="AFN36" i="4"/>
  <c r="AFO36" i="4"/>
  <c r="AFP36" i="4"/>
  <c r="AFQ36" i="4"/>
  <c r="AFR36" i="4"/>
  <c r="AFS36" i="4"/>
  <c r="AFT36" i="4"/>
  <c r="AFU36" i="4"/>
  <c r="AGB1" i="4"/>
  <c r="AGC1" i="4" s="1"/>
  <c r="AGD1" i="4" s="1"/>
  <c r="AGE1" i="4" s="1"/>
  <c r="AGF1" i="4" s="1"/>
  <c r="AGG1" i="4" s="1"/>
  <c r="AGH1" i="4" s="1"/>
  <c r="AGI1" i="4" s="1"/>
  <c r="AGJ1" i="4" s="1"/>
  <c r="AGK1" i="4" s="1"/>
  <c r="AGL1" i="4" s="1"/>
  <c r="AGM1" i="4" s="1"/>
  <c r="AGN1" i="4" s="1"/>
  <c r="AGO1" i="4" s="1"/>
  <c r="AGP1" i="4" s="1"/>
  <c r="AGQ1" i="4" s="1"/>
  <c r="AGR1" i="4" s="1"/>
  <c r="AGS1" i="4" s="1"/>
  <c r="AGT1" i="4" s="1"/>
  <c r="AGU1" i="4" s="1"/>
  <c r="AGV1" i="4" s="1"/>
  <c r="AGW1" i="4" s="1"/>
  <c r="AGX1" i="4" s="1"/>
  <c r="AGY1" i="4" s="1"/>
  <c r="AGZ1" i="4" s="1"/>
  <c r="AHA1" i="4" s="1"/>
  <c r="AHB1" i="4" s="1"/>
  <c r="AHC1" i="4" s="1"/>
  <c r="AHD1" i="4" s="1"/>
  <c r="AHE1" i="4" s="1"/>
  <c r="AHF1" i="4" s="1"/>
  <c r="AHG1" i="4" s="1"/>
  <c r="AHH1" i="4" s="1"/>
  <c r="AHI1" i="4" s="1"/>
  <c r="AHJ1" i="4" s="1"/>
  <c r="AHK1" i="4" s="1"/>
  <c r="AHL1" i="4" s="1"/>
  <c r="AHM1" i="4" s="1"/>
  <c r="AFK51" i="3"/>
  <c r="AFL51" i="3"/>
  <c r="AFM51" i="3"/>
  <c r="AFN51" i="3"/>
  <c r="AFO51" i="3"/>
  <c r="AFP51" i="3"/>
  <c r="AFK52" i="3"/>
  <c r="AFL52" i="3"/>
  <c r="AFM52" i="3"/>
  <c r="AFN52" i="3"/>
  <c r="AFO52" i="3"/>
  <c r="AFP52" i="3"/>
  <c r="AFF38" i="1"/>
  <c r="AFO38" i="1"/>
  <c r="AFP38" i="1"/>
  <c r="AFQ38" i="1"/>
  <c r="AFR38" i="1"/>
  <c r="AFS38" i="1"/>
  <c r="AFD39" i="1"/>
  <c r="AFE39" i="1"/>
  <c r="AFF39" i="1"/>
  <c r="AFG39" i="1"/>
  <c r="AFH39" i="1"/>
  <c r="AFI39" i="1"/>
  <c r="AFJ39" i="1"/>
  <c r="AFK39" i="1"/>
  <c r="AFL39" i="1"/>
  <c r="AFM39" i="1"/>
  <c r="AFN39" i="1"/>
  <c r="AFO39" i="1"/>
  <c r="AFP39" i="1"/>
  <c r="AFQ39" i="1"/>
  <c r="AFR39" i="1"/>
  <c r="AFS39" i="1"/>
  <c r="AFT39" i="1"/>
  <c r="AFU39" i="1"/>
  <c r="AFV39" i="1"/>
  <c r="AFD40" i="1"/>
  <c r="AFE40" i="1"/>
  <c r="AFF40" i="1"/>
  <c r="AFG40" i="1"/>
  <c r="AFH40" i="1"/>
  <c r="AFI40" i="1"/>
  <c r="AFJ40" i="1"/>
  <c r="AFK40" i="1"/>
  <c r="AFL40" i="1"/>
  <c r="AFM40" i="1"/>
  <c r="AFN40" i="1"/>
  <c r="AFO40" i="1"/>
  <c r="AFP40" i="1"/>
  <c r="AFQ40" i="1"/>
  <c r="AFR40" i="1"/>
  <c r="AFS40" i="1"/>
  <c r="AFT40" i="1"/>
  <c r="AFU40" i="1"/>
  <c r="AFV40" i="1"/>
  <c r="AFD41" i="1"/>
  <c r="AFE41" i="1"/>
  <c r="AFF41" i="1"/>
  <c r="AFG41" i="1"/>
  <c r="AFH41" i="1"/>
  <c r="AFI41" i="1"/>
  <c r="AFJ41" i="1"/>
  <c r="AFK41" i="1"/>
  <c r="AFL41" i="1"/>
  <c r="AFM41" i="1"/>
  <c r="AFN41" i="1"/>
  <c r="AFO41" i="1"/>
  <c r="AFP41" i="1"/>
  <c r="AFQ41" i="1"/>
  <c r="AFR41" i="1"/>
  <c r="AFS41" i="1"/>
  <c r="AFT41" i="1"/>
  <c r="AFU41" i="1"/>
  <c r="AFV41" i="1"/>
  <c r="AEU6" i="1"/>
  <c r="AEV6" i="1"/>
  <c r="AEW6" i="1"/>
  <c r="AEX6" i="1"/>
  <c r="AEY6" i="1"/>
  <c r="AEZ6" i="1"/>
  <c r="AFA6" i="1"/>
  <c r="AFB6" i="1"/>
  <c r="AFB38" i="1" s="1"/>
  <c r="AFC6" i="1"/>
  <c r="AFD6" i="1"/>
  <c r="AFD38" i="1" s="1"/>
  <c r="AFE6" i="1"/>
  <c r="AFE38" i="1" s="1"/>
  <c r="AFF6" i="1"/>
  <c r="AFG6" i="1"/>
  <c r="AFG38" i="1" s="1"/>
  <c r="AGR51" i="3" l="1"/>
  <c r="AGD51" i="3"/>
  <c r="AEY51" i="3"/>
  <c r="AEZ51" i="3"/>
  <c r="AFA51" i="3"/>
  <c r="AFB51" i="3"/>
  <c r="AFC51" i="3"/>
  <c r="AFD51" i="3"/>
  <c r="AFE51" i="3"/>
  <c r="AFF51" i="3"/>
  <c r="AFG51" i="3"/>
  <c r="AFH51" i="3"/>
  <c r="AFI51" i="3"/>
  <c r="AFJ51" i="3"/>
  <c r="AEY52" i="3"/>
  <c r="AEZ52" i="3"/>
  <c r="AFA52" i="3"/>
  <c r="AFB52" i="3"/>
  <c r="AFC52" i="3"/>
  <c r="AFD52" i="3"/>
  <c r="AFE52" i="3"/>
  <c r="AFF52" i="3"/>
  <c r="AFG52" i="3"/>
  <c r="AFH52" i="3"/>
  <c r="AFI52" i="3"/>
  <c r="AFJ52" i="3"/>
  <c r="AEU52" i="3"/>
  <c r="AEX38" i="1"/>
  <c r="AEY38" i="1"/>
  <c r="AFA38" i="1"/>
  <c r="AFC38" i="1"/>
  <c r="AEX39" i="1"/>
  <c r="AEY39" i="1"/>
  <c r="AEZ39" i="1"/>
  <c r="AFA39" i="1"/>
  <c r="AFB39" i="1"/>
  <c r="AFC39" i="1"/>
  <c r="AEX40" i="1"/>
  <c r="AEY40" i="1"/>
  <c r="AEZ40" i="1"/>
  <c r="AFA40" i="1"/>
  <c r="AFB40" i="1"/>
  <c r="AFC40" i="1"/>
  <c r="AEX41" i="1"/>
  <c r="AEY41" i="1"/>
  <c r="AEZ41" i="1"/>
  <c r="AFA41" i="1"/>
  <c r="AFB41" i="1"/>
  <c r="AFC41" i="1"/>
  <c r="AEG6" i="1"/>
  <c r="AEH6" i="1"/>
  <c r="AEI6" i="1"/>
  <c r="AEJ6" i="1"/>
  <c r="AEK6" i="1"/>
  <c r="AEK38" i="1" s="1"/>
  <c r="AEL6" i="1"/>
  <c r="AEM6" i="1"/>
  <c r="AEN6" i="1"/>
  <c r="AEO6" i="1"/>
  <c r="AEP6" i="1"/>
  <c r="AEQ6" i="1"/>
  <c r="AER6" i="1"/>
  <c r="AER38" i="1" s="1"/>
  <c r="AES6" i="1"/>
  <c r="AES38" i="1" s="1"/>
  <c r="AET6" i="1"/>
  <c r="AET38" i="1" s="1"/>
  <c r="AEG51" i="3"/>
  <c r="AEH51" i="3"/>
  <c r="AEI51" i="3"/>
  <c r="AEJ51" i="3"/>
  <c r="AEK51" i="3"/>
  <c r="AEL51" i="3"/>
  <c r="AEM51" i="3"/>
  <c r="AEN51" i="3"/>
  <c r="AEO51" i="3"/>
  <c r="AEP51" i="3"/>
  <c r="AEQ51" i="3"/>
  <c r="AER51" i="3"/>
  <c r="AES51" i="3"/>
  <c r="AET51" i="3"/>
  <c r="AEW51" i="3"/>
  <c r="AEX51" i="3"/>
  <c r="AEG52" i="3"/>
  <c r="AEH52" i="3"/>
  <c r="AEI52" i="3"/>
  <c r="AEJ52" i="3"/>
  <c r="AEK52" i="3"/>
  <c r="AEL52" i="3"/>
  <c r="AEM52" i="3"/>
  <c r="AEN52" i="3"/>
  <c r="AEO52" i="3"/>
  <c r="AEP52" i="3"/>
  <c r="AEQ52" i="3"/>
  <c r="AER52" i="3"/>
  <c r="AES52" i="3"/>
  <c r="AET52" i="3"/>
  <c r="AEW52" i="3"/>
  <c r="AEX52" i="3"/>
  <c r="AEJ36" i="4"/>
  <c r="AEK36" i="4"/>
  <c r="AEL36" i="4"/>
  <c r="AEM36" i="4"/>
  <c r="AEN36" i="4"/>
  <c r="AEO36" i="4"/>
  <c r="AEH38" i="1"/>
  <c r="AEI38" i="1"/>
  <c r="AEJ38" i="1"/>
  <c r="AEL38" i="1"/>
  <c r="AEM38" i="1"/>
  <c r="AEN38" i="1"/>
  <c r="AEO38" i="1"/>
  <c r="AEP38" i="1"/>
  <c r="AEQ38" i="1"/>
  <c r="AEU38" i="1"/>
  <c r="AEV38" i="1"/>
  <c r="AEW38" i="1"/>
  <c r="AEH39" i="1"/>
  <c r="AEI39" i="1"/>
  <c r="AEJ39" i="1"/>
  <c r="AEK39" i="1"/>
  <c r="AEL39" i="1"/>
  <c r="AEM39" i="1"/>
  <c r="AEN39" i="1"/>
  <c r="AEO39" i="1"/>
  <c r="AEP39" i="1"/>
  <c r="AEQ39" i="1"/>
  <c r="AER39" i="1"/>
  <c r="AES39" i="1"/>
  <c r="AET39" i="1"/>
  <c r="AEU39" i="1"/>
  <c r="AEV39" i="1"/>
  <c r="AEW39" i="1"/>
  <c r="AEH40" i="1"/>
  <c r="AEI40" i="1"/>
  <c r="AEJ40" i="1"/>
  <c r="AEK40" i="1"/>
  <c r="AEL40" i="1"/>
  <c r="AEM40" i="1"/>
  <c r="AEN40" i="1"/>
  <c r="AEO40" i="1"/>
  <c r="AEP40" i="1"/>
  <c r="AEQ40" i="1"/>
  <c r="AER40" i="1"/>
  <c r="AES40" i="1"/>
  <c r="AET40" i="1"/>
  <c r="AEU40" i="1"/>
  <c r="AEV40" i="1"/>
  <c r="AEW40" i="1"/>
  <c r="AEH41" i="1"/>
  <c r="AEI41" i="1"/>
  <c r="AEJ41" i="1"/>
  <c r="AEK41" i="1"/>
  <c r="AEL41" i="1"/>
  <c r="AEM41" i="1"/>
  <c r="AEN41" i="1"/>
  <c r="AEO41" i="1"/>
  <c r="AEP41" i="1"/>
  <c r="AEQ41" i="1"/>
  <c r="AER41" i="1"/>
  <c r="AES41" i="1"/>
  <c r="AET41" i="1"/>
  <c r="AEU41" i="1"/>
  <c r="AEV41" i="1"/>
  <c r="AEW41" i="1"/>
  <c r="ADY36" i="4"/>
  <c r="ADZ36" i="4"/>
  <c r="AEA36" i="4"/>
  <c r="AEB36" i="4"/>
  <c r="AEC36" i="4"/>
  <c r="AED36" i="4"/>
  <c r="AEE36" i="4"/>
  <c r="AEF36" i="4"/>
  <c r="AEG36" i="4"/>
  <c r="AEH36" i="4"/>
  <c r="AEI36" i="4"/>
  <c r="AEC38" i="1"/>
  <c r="AED38" i="1"/>
  <c r="AEG38" i="1"/>
  <c r="ADY39" i="1"/>
  <c r="ADZ39" i="1"/>
  <c r="AEA39" i="1"/>
  <c r="AEB39" i="1"/>
  <c r="AEC39" i="1"/>
  <c r="AED39" i="1"/>
  <c r="AEE39" i="1"/>
  <c r="AEF39" i="1"/>
  <c r="AEG39" i="1"/>
  <c r="ADY40" i="1"/>
  <c r="ADZ40" i="1"/>
  <c r="AEA40" i="1"/>
  <c r="AEB40" i="1"/>
  <c r="AEC40" i="1"/>
  <c r="AED40" i="1"/>
  <c r="AEE40" i="1"/>
  <c r="AEF40" i="1"/>
  <c r="AEG40" i="1"/>
  <c r="ADY41" i="1"/>
  <c r="ADZ41" i="1"/>
  <c r="AEA41" i="1"/>
  <c r="AEB41" i="1"/>
  <c r="AEC41" i="1"/>
  <c r="AED41" i="1"/>
  <c r="AEE41" i="1"/>
  <c r="AEF41" i="1"/>
  <c r="AEG41" i="1"/>
  <c r="ADS6" i="1"/>
  <c r="ADT6" i="1"/>
  <c r="ADU6" i="1"/>
  <c r="ADV6" i="1"/>
  <c r="ADW6" i="1"/>
  <c r="ADX6" i="1"/>
  <c r="ADY6" i="1"/>
  <c r="ADY38" i="1" s="1"/>
  <c r="ADZ6" i="1"/>
  <c r="ADZ38" i="1" s="1"/>
  <c r="AEA6" i="1"/>
  <c r="AEA38" i="1" s="1"/>
  <c r="AEB6" i="1"/>
  <c r="AEB38" i="1" s="1"/>
  <c r="AEC6" i="1"/>
  <c r="AED6" i="1"/>
  <c r="AEE6" i="1"/>
  <c r="AEE38" i="1" s="1"/>
  <c r="AEF6" i="1"/>
  <c r="AEF38" i="1" s="1"/>
  <c r="AEF51" i="3"/>
  <c r="AEF52" i="3"/>
  <c r="ADS51" i="3"/>
  <c r="ADT51" i="3"/>
  <c r="ADU51" i="3"/>
  <c r="ADV51" i="3"/>
  <c r="ADW51" i="3"/>
  <c r="ADX51" i="3"/>
  <c r="ADY51" i="3"/>
  <c r="ADZ51" i="3"/>
  <c r="AEA51" i="3"/>
  <c r="AEB51" i="3"/>
  <c r="AEC51" i="3"/>
  <c r="AED51" i="3"/>
  <c r="AEE51" i="3"/>
  <c r="ADS52" i="3"/>
  <c r="ADT52" i="3"/>
  <c r="ADU52" i="3"/>
  <c r="ADV52" i="3"/>
  <c r="ADW52" i="3"/>
  <c r="ADX52" i="3"/>
  <c r="ADY52" i="3"/>
  <c r="ADZ52" i="3"/>
  <c r="AEA52" i="3"/>
  <c r="AEB52" i="3"/>
  <c r="AEC52" i="3"/>
  <c r="AED52" i="3"/>
  <c r="AEE52" i="3"/>
  <c r="ADN36" i="4"/>
  <c r="ADO36" i="4"/>
  <c r="ADP36" i="4"/>
  <c r="ADQ36" i="4"/>
  <c r="ADR36" i="4"/>
  <c r="ADS36" i="4"/>
  <c r="ADT36" i="4"/>
  <c r="ADU36" i="4"/>
  <c r="ADV36" i="4"/>
  <c r="ADW36" i="4"/>
  <c r="ADX36" i="4"/>
  <c r="AEV52" i="3" l="1"/>
  <c r="AEV51" i="3"/>
  <c r="AEU51" i="3"/>
  <c r="ADW1" i="4"/>
  <c r="ADX1" i="4" s="1"/>
  <c r="ADY1" i="4" s="1"/>
  <c r="ADZ1" i="4" s="1"/>
  <c r="AEA1" i="4" s="1"/>
  <c r="AEB1" i="4" s="1"/>
  <c r="AEC1" i="4" s="1"/>
  <c r="AED1" i="4" s="1"/>
  <c r="AEE1" i="4" s="1"/>
  <c r="AEF1" i="4" s="1"/>
  <c r="AEG1" i="4" s="1"/>
  <c r="AEH1" i="4" s="1"/>
  <c r="AEI1" i="4" s="1"/>
  <c r="AEJ1" i="4" s="1"/>
  <c r="AEK1" i="4" s="1"/>
  <c r="AEL1" i="4" s="1"/>
  <c r="AEM1" i="4" s="1"/>
  <c r="AEN1" i="4" s="1"/>
  <c r="AEO1" i="4" s="1"/>
  <c r="AEP1" i="4" s="1"/>
  <c r="AEQ1" i="4" s="1"/>
  <c r="AER1" i="4" s="1"/>
  <c r="AES1" i="4" s="1"/>
  <c r="AET1" i="4" s="1"/>
  <c r="AEU1" i="4" s="1"/>
  <c r="AEV1" i="4" s="1"/>
  <c r="AEW1" i="4" s="1"/>
  <c r="AEX1" i="4" s="1"/>
  <c r="AEY1" i="4" s="1"/>
  <c r="AEZ1" i="4" s="1"/>
  <c r="AFA1" i="4" s="1"/>
  <c r="AFB1" i="4" s="1"/>
  <c r="AFC1" i="4" s="1"/>
  <c r="AFD1" i="4" s="1"/>
  <c r="AFE1" i="4" s="1"/>
  <c r="AFF1" i="4" s="1"/>
  <c r="AFG1" i="4" s="1"/>
  <c r="AFH1" i="4" s="1"/>
  <c r="AFI1" i="4" s="1"/>
  <c r="AFJ1" i="4" s="1"/>
  <c r="AFK1" i="4" s="1"/>
  <c r="AFL1" i="4" s="1"/>
  <c r="AFM1" i="4" s="1"/>
  <c r="AFN1" i="4" s="1"/>
  <c r="AFO1" i="4" s="1"/>
  <c r="AFP1" i="4" s="1"/>
  <c r="AFQ1" i="4" s="1"/>
  <c r="AFR1" i="4" s="1"/>
  <c r="AFS1" i="4" s="1"/>
  <c r="AFT1" i="4" s="1"/>
  <c r="AFU1" i="4" s="1"/>
  <c r="AFV1" i="4" s="1"/>
  <c r="AFW1" i="4" s="1"/>
  <c r="AFX1" i="4" s="1"/>
  <c r="AFY1" i="4" s="1"/>
  <c r="AFZ1" i="4" s="1"/>
  <c r="AGA1" i="4" s="1"/>
  <c r="ADS38" i="1"/>
  <c r="ADT38" i="1"/>
  <c r="ADU38" i="1"/>
  <c r="ADV38" i="1"/>
  <c r="ADW38" i="1"/>
  <c r="ADX38" i="1"/>
  <c r="ADS39" i="1"/>
  <c r="ADT39" i="1"/>
  <c r="ADU39" i="1"/>
  <c r="ADV39" i="1"/>
  <c r="ADW39" i="1"/>
  <c r="ADX39" i="1"/>
  <c r="ADS40" i="1"/>
  <c r="ADT40" i="1"/>
  <c r="ADU40" i="1"/>
  <c r="ADV40" i="1"/>
  <c r="ADW40" i="1"/>
  <c r="ADX40" i="1"/>
  <c r="ADS41" i="1"/>
  <c r="ADT41" i="1"/>
  <c r="ADU41" i="1"/>
  <c r="ADV41" i="1"/>
  <c r="ADW41" i="1"/>
  <c r="ADX41" i="1"/>
  <c r="ADL6" i="1"/>
  <c r="ADM6" i="1"/>
  <c r="ADN6" i="1"/>
  <c r="ADO6" i="1"/>
  <c r="ADP6" i="1"/>
  <c r="ADQ6" i="1"/>
  <c r="ADR6" i="1"/>
  <c r="ADM51" i="3"/>
  <c r="ADN51" i="3"/>
  <c r="ADO51" i="3"/>
  <c r="ADP51" i="3"/>
  <c r="ADQ51" i="3"/>
  <c r="ADR51" i="3"/>
  <c r="ADM52" i="3"/>
  <c r="ADN52" i="3"/>
  <c r="ADO52" i="3"/>
  <c r="ADP52" i="3"/>
  <c r="ADQ52" i="3"/>
  <c r="ADR52" i="3"/>
  <c r="ADC6" i="1"/>
  <c r="ADD6" i="1"/>
  <c r="ADE6" i="1"/>
  <c r="ADF6" i="1"/>
  <c r="ADG6" i="1"/>
  <c r="ADH6" i="1"/>
  <c r="ADI6" i="1"/>
  <c r="ADJ6" i="1"/>
  <c r="ADK6" i="1"/>
  <c r="ADE51" i="3"/>
  <c r="ADF51" i="3"/>
  <c r="ADG51" i="3"/>
  <c r="ADH51" i="3"/>
  <c r="ADI51" i="3"/>
  <c r="ADJ51" i="3"/>
  <c r="ADK51" i="3"/>
  <c r="ADL51" i="3"/>
  <c r="ADE52" i="3"/>
  <c r="ADF52" i="3"/>
  <c r="ADG52" i="3"/>
  <c r="ADH52" i="3"/>
  <c r="ADI52" i="3"/>
  <c r="ADJ52" i="3"/>
  <c r="ADK52" i="3"/>
  <c r="ADL52" i="3"/>
  <c r="ADF36" i="4"/>
  <c r="ADG36" i="4"/>
  <c r="ADH36" i="4"/>
  <c r="ADI36" i="4"/>
  <c r="ADJ36" i="4"/>
  <c r="ADK36" i="4"/>
  <c r="ADL36" i="4"/>
  <c r="ADM36" i="4"/>
  <c r="ACR6" i="1" l="1"/>
  <c r="ACS6" i="1"/>
  <c r="ACT6" i="1"/>
  <c r="ACT38" i="1" s="1"/>
  <c r="ACU6" i="1"/>
  <c r="ACV6" i="1"/>
  <c r="ACW6" i="1"/>
  <c r="ACX6" i="1"/>
  <c r="ACY6" i="1"/>
  <c r="ACZ6" i="1"/>
  <c r="ACZ38" i="1" s="1"/>
  <c r="ADA6" i="1"/>
  <c r="ADB6" i="1"/>
  <c r="ACT51" i="3"/>
  <c r="ACU51" i="3"/>
  <c r="ACV51" i="3"/>
  <c r="ACW51" i="3"/>
  <c r="ACX51" i="3"/>
  <c r="ACY51" i="3"/>
  <c r="ACZ51" i="3"/>
  <c r="ADA51" i="3"/>
  <c r="ADB51" i="3"/>
  <c r="ADC51" i="3"/>
  <c r="ADD51" i="3"/>
  <c r="ACT52" i="3"/>
  <c r="ACU52" i="3"/>
  <c r="ACV52" i="3"/>
  <c r="ACW52" i="3"/>
  <c r="ACX52" i="3"/>
  <c r="ACY52" i="3"/>
  <c r="ACZ52" i="3"/>
  <c r="ADA52" i="3"/>
  <c r="ADB52" i="3"/>
  <c r="ADC52" i="3"/>
  <c r="ADD52" i="3"/>
  <c r="ADE38" i="1"/>
  <c r="ADF38" i="1"/>
  <c r="ADG38" i="1"/>
  <c r="ADH38" i="1"/>
  <c r="ADI38" i="1"/>
  <c r="ADJ38" i="1"/>
  <c r="ADK38" i="1"/>
  <c r="ADL38" i="1"/>
  <c r="ADM38" i="1"/>
  <c r="ADN38" i="1"/>
  <c r="ADO38" i="1"/>
  <c r="ADP38" i="1"/>
  <c r="ADQ38" i="1"/>
  <c r="ADR38" i="1"/>
  <c r="ADE39" i="1"/>
  <c r="ADF39" i="1"/>
  <c r="ADG39" i="1"/>
  <c r="ADH39" i="1"/>
  <c r="ADI39" i="1"/>
  <c r="ADJ39" i="1"/>
  <c r="ADK39" i="1"/>
  <c r="ADL39" i="1"/>
  <c r="ADM39" i="1"/>
  <c r="ADN39" i="1"/>
  <c r="ADO39" i="1"/>
  <c r="ADP39" i="1"/>
  <c r="ADQ39" i="1"/>
  <c r="ADR39" i="1"/>
  <c r="ADE40" i="1"/>
  <c r="ADF40" i="1"/>
  <c r="ADG40" i="1"/>
  <c r="ADH40" i="1"/>
  <c r="ADI40" i="1"/>
  <c r="ADJ40" i="1"/>
  <c r="ADK40" i="1"/>
  <c r="ADL40" i="1"/>
  <c r="ADM40" i="1"/>
  <c r="ADN40" i="1"/>
  <c r="ADO40" i="1"/>
  <c r="ADP40" i="1"/>
  <c r="ADQ40" i="1"/>
  <c r="ADR40" i="1"/>
  <c r="ADE41" i="1"/>
  <c r="ADF41" i="1"/>
  <c r="ADG41" i="1"/>
  <c r="ADH41" i="1"/>
  <c r="ADI41" i="1"/>
  <c r="ADJ41" i="1"/>
  <c r="ADK41" i="1"/>
  <c r="ADL41" i="1"/>
  <c r="ADM41" i="1"/>
  <c r="ADN41" i="1"/>
  <c r="ADO41" i="1"/>
  <c r="ADP41" i="1"/>
  <c r="ADQ41" i="1"/>
  <c r="ADR41" i="1"/>
  <c r="ACV36" i="4"/>
  <c r="ACW36" i="4"/>
  <c r="ACX36" i="4"/>
  <c r="ACY36" i="4"/>
  <c r="ACZ36" i="4"/>
  <c r="ADA36" i="4"/>
  <c r="ADB36" i="4"/>
  <c r="ADC36" i="4"/>
  <c r="ADD36" i="4"/>
  <c r="ADE36" i="4"/>
  <c r="ACV38" i="1"/>
  <c r="ACW38" i="1"/>
  <c r="ACX38" i="1"/>
  <c r="ACY38" i="1"/>
  <c r="ADA38" i="1"/>
  <c r="ADB38" i="1"/>
  <c r="ADC38" i="1"/>
  <c r="ADD38" i="1"/>
  <c r="ACV39" i="1"/>
  <c r="ACW39" i="1"/>
  <c r="ACX39" i="1"/>
  <c r="ACY39" i="1"/>
  <c r="ACZ39" i="1"/>
  <c r="ADA39" i="1"/>
  <c r="ADB39" i="1"/>
  <c r="ADC39" i="1"/>
  <c r="ADD39" i="1"/>
  <c r="ACV40" i="1"/>
  <c r="ACW40" i="1"/>
  <c r="ACX40" i="1"/>
  <c r="ACY40" i="1"/>
  <c r="ACZ40" i="1"/>
  <c r="ADA40" i="1"/>
  <c r="ADB40" i="1"/>
  <c r="ADC40" i="1"/>
  <c r="ADD40" i="1"/>
  <c r="ACV41" i="1"/>
  <c r="ACW41" i="1"/>
  <c r="ACX41" i="1"/>
  <c r="ACY41" i="1"/>
  <c r="ACZ41" i="1"/>
  <c r="ADA41" i="1"/>
  <c r="ADB41" i="1"/>
  <c r="ADC41" i="1"/>
  <c r="ADD41" i="1"/>
  <c r="ACJ36" i="4"/>
  <c r="ACK36" i="4"/>
  <c r="ACL36" i="4"/>
  <c r="ACM36" i="4"/>
  <c r="ACN36" i="4"/>
  <c r="ACO36" i="4"/>
  <c r="ACP36" i="4"/>
  <c r="ACQ36" i="4"/>
  <c r="ACR36" i="4"/>
  <c r="ACS36" i="4"/>
  <c r="ACT36" i="4"/>
  <c r="ACU36" i="4"/>
  <c r="ACK6" i="1"/>
  <c r="ACL6" i="1"/>
  <c r="ACM6" i="1"/>
  <c r="ACN6" i="1"/>
  <c r="ACO6" i="1"/>
  <c r="ACO38" i="1" s="1"/>
  <c r="ACP6" i="1"/>
  <c r="ACP38" i="1" s="1"/>
  <c r="ACQ6" i="1"/>
  <c r="ACQ38" i="1" s="1"/>
  <c r="ACQ51" i="3"/>
  <c r="ACR51" i="3"/>
  <c r="ACS51" i="3"/>
  <c r="ACQ52" i="3"/>
  <c r="ACR52" i="3"/>
  <c r="ACS52" i="3"/>
  <c r="ACO51" i="3"/>
  <c r="ACP51" i="3"/>
  <c r="ACO52" i="3"/>
  <c r="ACP52" i="3"/>
  <c r="ACR38" i="1"/>
  <c r="ACS38" i="1"/>
  <c r="ACU38" i="1"/>
  <c r="ACO39" i="1"/>
  <c r="ACP39" i="1"/>
  <c r="ACQ39" i="1"/>
  <c r="ACR39" i="1"/>
  <c r="ACS39" i="1"/>
  <c r="ACT39" i="1"/>
  <c r="ACU39" i="1"/>
  <c r="ACO40" i="1"/>
  <c r="ACP40" i="1"/>
  <c r="ACQ40" i="1"/>
  <c r="ACR40" i="1"/>
  <c r="ACS40" i="1"/>
  <c r="ACT40" i="1"/>
  <c r="ACU40" i="1"/>
  <c r="ACO41" i="1"/>
  <c r="ACP41" i="1"/>
  <c r="ACQ41" i="1"/>
  <c r="ACR41" i="1"/>
  <c r="ACS41" i="1"/>
  <c r="ACT41" i="1"/>
  <c r="ACU41" i="1"/>
  <c r="ACC6" i="1"/>
  <c r="ACD6" i="1"/>
  <c r="ACE6" i="1"/>
  <c r="ACF6" i="1"/>
  <c r="ACG6" i="1"/>
  <c r="ACH6" i="1"/>
  <c r="ACI6" i="1"/>
  <c r="ACJ6" i="1"/>
  <c r="ACF51" i="3"/>
  <c r="ACG51" i="3"/>
  <c r="ACH51" i="3"/>
  <c r="ACI51" i="3"/>
  <c r="ACJ51" i="3"/>
  <c r="ACK51" i="3"/>
  <c r="ACL51" i="3"/>
  <c r="ACM51" i="3"/>
  <c r="ACN51" i="3"/>
  <c r="ACF52" i="3"/>
  <c r="ACG52" i="3"/>
  <c r="ACH52" i="3"/>
  <c r="ACI52" i="3"/>
  <c r="ACJ52" i="3"/>
  <c r="ACK52" i="3"/>
  <c r="ACL52" i="3"/>
  <c r="ACM52" i="3"/>
  <c r="ACN52" i="3"/>
  <c r="ACB36" i="4"/>
  <c r="ACC36" i="4"/>
  <c r="ACD36" i="4"/>
  <c r="ACE36" i="4"/>
  <c r="ACF36" i="4"/>
  <c r="ACG36" i="4"/>
  <c r="ACH36" i="4"/>
  <c r="ACI36" i="4"/>
  <c r="ACD38" i="1" l="1"/>
  <c r="ACE38" i="1"/>
  <c r="ACF38" i="1"/>
  <c r="ACG38" i="1"/>
  <c r="ACH38" i="1"/>
  <c r="ACI38" i="1"/>
  <c r="ACJ38" i="1"/>
  <c r="ACK38" i="1"/>
  <c r="ACL38" i="1"/>
  <c r="ACM38" i="1"/>
  <c r="ACN38" i="1"/>
  <c r="ACD39" i="1"/>
  <c r="ACE39" i="1"/>
  <c r="ACF39" i="1"/>
  <c r="ACG39" i="1"/>
  <c r="ACH39" i="1"/>
  <c r="ACI39" i="1"/>
  <c r="ACJ39" i="1"/>
  <c r="ACK39" i="1"/>
  <c r="ACL39" i="1"/>
  <c r="ACM39" i="1"/>
  <c r="ACN39" i="1"/>
  <c r="ACD40" i="1"/>
  <c r="ACE40" i="1"/>
  <c r="ACF40" i="1"/>
  <c r="ACG40" i="1"/>
  <c r="ACH40" i="1"/>
  <c r="ACI40" i="1"/>
  <c r="ACJ40" i="1"/>
  <c r="ACK40" i="1"/>
  <c r="ACL40" i="1"/>
  <c r="ACM40" i="1"/>
  <c r="ACN40" i="1"/>
  <c r="ACD41" i="1"/>
  <c r="ACE41" i="1"/>
  <c r="ACF41" i="1"/>
  <c r="ACG41" i="1"/>
  <c r="ACH41" i="1"/>
  <c r="ACI41" i="1"/>
  <c r="ACJ41" i="1"/>
  <c r="ACK41" i="1"/>
  <c r="ACL41" i="1"/>
  <c r="ACM41" i="1"/>
  <c r="ACN41" i="1"/>
  <c r="ABV6" i="1"/>
  <c r="ABW6" i="1"/>
  <c r="ABX6" i="1"/>
  <c r="ABY6" i="1"/>
  <c r="ABZ6" i="1"/>
  <c r="ACA6" i="1"/>
  <c r="ACB6" i="1"/>
  <c r="ABZ51" i="3"/>
  <c r="ACA51" i="3"/>
  <c r="ACB51" i="3"/>
  <c r="ACC51" i="3"/>
  <c r="ACD51" i="3"/>
  <c r="ACE51" i="3"/>
  <c r="ABZ52" i="3"/>
  <c r="ACA52" i="3"/>
  <c r="ACB52" i="3"/>
  <c r="ACC52" i="3"/>
  <c r="ACD52" i="3"/>
  <c r="ACE52" i="3"/>
  <c r="ABN36" i="4" l="1"/>
  <c r="ABP36" i="4"/>
  <c r="ABQ36" i="4"/>
  <c r="ABR36" i="4"/>
  <c r="ABS36" i="4"/>
  <c r="ABT36" i="4"/>
  <c r="ABU36" i="4"/>
  <c r="ABV36" i="4"/>
  <c r="ABW36" i="4"/>
  <c r="ABX36" i="4"/>
  <c r="ABY36" i="4"/>
  <c r="ABZ36" i="4"/>
  <c r="ACA36" i="4"/>
  <c r="ABV38" i="1"/>
  <c r="ABW38" i="1"/>
  <c r="ABX38" i="1"/>
  <c r="ABY38" i="1"/>
  <c r="ABZ38" i="1"/>
  <c r="ACA38" i="1"/>
  <c r="ACB38" i="1"/>
  <c r="ACC38" i="1"/>
  <c r="ABV39" i="1"/>
  <c r="ABW39" i="1"/>
  <c r="ABX39" i="1"/>
  <c r="ABY39" i="1"/>
  <c r="ABZ39" i="1"/>
  <c r="ACA39" i="1"/>
  <c r="ACB39" i="1"/>
  <c r="ACC39" i="1"/>
  <c r="ABV40" i="1"/>
  <c r="ABW40" i="1"/>
  <c r="ABX40" i="1"/>
  <c r="ABY40" i="1"/>
  <c r="ABZ40" i="1"/>
  <c r="ACA40" i="1"/>
  <c r="ACB40" i="1"/>
  <c r="ACC40" i="1"/>
  <c r="ABV41" i="1"/>
  <c r="ABW41" i="1"/>
  <c r="ABX41" i="1"/>
  <c r="ABY41" i="1"/>
  <c r="ABZ41" i="1"/>
  <c r="ACA41" i="1"/>
  <c r="ACB41" i="1"/>
  <c r="ACC41" i="1"/>
  <c r="ABP39" i="1"/>
  <c r="ABQ39" i="1"/>
  <c r="ABR39" i="1"/>
  <c r="ABS39" i="1"/>
  <c r="ABT39" i="1"/>
  <c r="ABU39" i="1"/>
  <c r="ABP40" i="1"/>
  <c r="ABQ40" i="1"/>
  <c r="ABR40" i="1"/>
  <c r="ABS40" i="1"/>
  <c r="ABT40" i="1"/>
  <c r="ABU40" i="1"/>
  <c r="ABP41" i="1"/>
  <c r="ABQ41" i="1"/>
  <c r="ABR41" i="1"/>
  <c r="ABS41" i="1"/>
  <c r="ABT41" i="1"/>
  <c r="ABU41" i="1"/>
  <c r="ABN6" i="1"/>
  <c r="ABN38" i="1" s="1"/>
  <c r="ABO6" i="1"/>
  <c r="ABO38" i="1" s="1"/>
  <c r="ABP6" i="1"/>
  <c r="ABP38" i="1" s="1"/>
  <c r="ABQ6" i="1"/>
  <c r="ABQ38" i="1" s="1"/>
  <c r="ABR6" i="1"/>
  <c r="ABR38" i="1" s="1"/>
  <c r="ABS6" i="1"/>
  <c r="ABS38" i="1" s="1"/>
  <c r="ABT6" i="1"/>
  <c r="ABT38" i="1" s="1"/>
  <c r="ABU6" i="1"/>
  <c r="ABU38" i="1" s="1"/>
  <c r="ABN51" i="3"/>
  <c r="ABO51" i="3"/>
  <c r="ABP51" i="3"/>
  <c r="ABQ51" i="3"/>
  <c r="ABR51" i="3"/>
  <c r="ABS51" i="3"/>
  <c r="ABT51" i="3"/>
  <c r="ABU51" i="3"/>
  <c r="ABV51" i="3"/>
  <c r="ABX51" i="3"/>
  <c r="ABY51" i="3"/>
  <c r="ABN52" i="3"/>
  <c r="ABO52" i="3"/>
  <c r="ABP52" i="3"/>
  <c r="ABQ52" i="3"/>
  <c r="ABR52" i="3"/>
  <c r="ABS52" i="3"/>
  <c r="ABT52" i="3"/>
  <c r="ABU52" i="3"/>
  <c r="ABV52" i="3"/>
  <c r="ABX52" i="3"/>
  <c r="ABY52" i="3"/>
  <c r="ABI51" i="3"/>
  <c r="ABJ51" i="3"/>
  <c r="ABK51" i="3"/>
  <c r="ABL51" i="3"/>
  <c r="ABM51" i="3"/>
  <c r="ABI52" i="3"/>
  <c r="ABJ52" i="3"/>
  <c r="ABK52" i="3"/>
  <c r="ABL52" i="3"/>
  <c r="ABM52" i="3"/>
  <c r="ABG6" i="1"/>
  <c r="ABG38" i="1" s="1"/>
  <c r="ABH6" i="1"/>
  <c r="ABH38" i="1" s="1"/>
  <c r="ABI6" i="1"/>
  <c r="ABI38" i="1" s="1"/>
  <c r="ABJ6" i="1"/>
  <c r="ABJ38" i="1" s="1"/>
  <c r="ABK6" i="1"/>
  <c r="ABK38" i="1" s="1"/>
  <c r="ABL6" i="1"/>
  <c r="ABL38" i="1" s="1"/>
  <c r="ABM6" i="1"/>
  <c r="ABM38" i="1" s="1"/>
  <c r="ABM39" i="1"/>
  <c r="ABN39" i="1"/>
  <c r="ABO39" i="1"/>
  <c r="ABM40" i="1"/>
  <c r="ABN40" i="1"/>
  <c r="ABO40" i="1"/>
  <c r="ABM41" i="1"/>
  <c r="ABN41" i="1"/>
  <c r="ABO41" i="1"/>
  <c r="ABW52" i="3" l="1"/>
  <c r="ABW51" i="3"/>
  <c r="ABF36" i="4"/>
  <c r="ABG36" i="4"/>
  <c r="ABH36" i="4"/>
  <c r="ABI36" i="4"/>
  <c r="ABJ36" i="4"/>
  <c r="ABK36" i="4"/>
  <c r="ABL36" i="4"/>
  <c r="ABM36" i="4"/>
  <c r="ABO36" i="4"/>
  <c r="AAZ6" i="1"/>
  <c r="ABA6" i="1"/>
  <c r="ABB6" i="1"/>
  <c r="ABC6" i="1"/>
  <c r="ABC38" i="1" s="1"/>
  <c r="ABD6" i="1"/>
  <c r="ABD38" i="1" s="1"/>
  <c r="ABE6" i="1"/>
  <c r="ABF6" i="1"/>
  <c r="ABE38" i="1"/>
  <c r="ABF38" i="1"/>
  <c r="ABC39" i="1"/>
  <c r="ABD39" i="1"/>
  <c r="ABE39" i="1"/>
  <c r="ABF39" i="1"/>
  <c r="ABG39" i="1"/>
  <c r="ABH39" i="1"/>
  <c r="ABI39" i="1"/>
  <c r="ABJ39" i="1"/>
  <c r="ABK39" i="1"/>
  <c r="ABL39" i="1"/>
  <c r="ABC40" i="1"/>
  <c r="ABD40" i="1"/>
  <c r="ABE40" i="1"/>
  <c r="ABF40" i="1"/>
  <c r="ABG40" i="1"/>
  <c r="ABH40" i="1"/>
  <c r="ABI40" i="1"/>
  <c r="ABJ40" i="1"/>
  <c r="ABK40" i="1"/>
  <c r="ABL40" i="1"/>
  <c r="ABC41" i="1"/>
  <c r="ABD41" i="1"/>
  <c r="ABE41" i="1"/>
  <c r="ABF41" i="1"/>
  <c r="ABG41" i="1"/>
  <c r="ABH41" i="1"/>
  <c r="ABI41" i="1"/>
  <c r="ABJ41" i="1"/>
  <c r="ABK41" i="1"/>
  <c r="ABL41" i="1"/>
  <c r="ABB51" i="3" l="1"/>
  <c r="ABC51" i="3"/>
  <c r="ABD51" i="3"/>
  <c r="ABE51" i="3"/>
  <c r="ABF51" i="3"/>
  <c r="ABG51" i="3"/>
  <c r="ABH51" i="3"/>
  <c r="ABB52" i="3"/>
  <c r="ABC52" i="3"/>
  <c r="ABD52" i="3"/>
  <c r="ABE52" i="3"/>
  <c r="ABF52" i="3"/>
  <c r="ABG52" i="3"/>
  <c r="ABH52" i="3"/>
  <c r="ABA36" i="4" l="1"/>
  <c r="ABB36" i="4"/>
  <c r="ABC36" i="4"/>
  <c r="ABD36" i="4"/>
  <c r="ABE36" i="4"/>
  <c r="AAT6" i="1"/>
  <c r="AAU6" i="1"/>
  <c r="AAV6" i="1"/>
  <c r="AAW6" i="1"/>
  <c r="AAX6" i="1"/>
  <c r="AAY6" i="1"/>
  <c r="AAS6" i="1"/>
  <c r="AAV51" i="3" l="1"/>
  <c r="AAW51" i="3"/>
  <c r="AAX51" i="3"/>
  <c r="AAY51" i="3"/>
  <c r="AAZ51" i="3"/>
  <c r="ABA51" i="3"/>
  <c r="AAV52" i="3"/>
  <c r="AAW52" i="3"/>
  <c r="AAX52" i="3"/>
  <c r="AAY52" i="3"/>
  <c r="AAZ52" i="3"/>
  <c r="ABA52" i="3"/>
  <c r="AAV38" i="1"/>
  <c r="AAW38" i="1"/>
  <c r="AAX38" i="1"/>
  <c r="AAY38" i="1"/>
  <c r="AAZ38" i="1"/>
  <c r="ABA38" i="1"/>
  <c r="ABB38" i="1"/>
  <c r="AAV39" i="1"/>
  <c r="AAW39" i="1"/>
  <c r="AAX39" i="1"/>
  <c r="AAY39" i="1"/>
  <c r="AAZ39" i="1"/>
  <c r="ABA39" i="1"/>
  <c r="ABB39" i="1"/>
  <c r="AAV40" i="1"/>
  <c r="AAW40" i="1"/>
  <c r="AAX40" i="1"/>
  <c r="AAY40" i="1"/>
  <c r="AAZ40" i="1"/>
  <c r="ABA40" i="1"/>
  <c r="ABB40" i="1"/>
  <c r="AAV41" i="1"/>
  <c r="AAW41" i="1"/>
  <c r="AAX41" i="1"/>
  <c r="AAY41" i="1"/>
  <c r="AAZ41" i="1"/>
  <c r="ABA41" i="1"/>
  <c r="ABB41" i="1"/>
  <c r="AAS36" i="4" l="1"/>
  <c r="AAT36" i="4"/>
  <c r="AAU36" i="4"/>
  <c r="AAV36" i="4"/>
  <c r="AAW36" i="4"/>
  <c r="AAX36" i="4"/>
  <c r="AAY36" i="4"/>
  <c r="AAZ36" i="4"/>
  <c r="ZX6" i="1"/>
  <c r="ZX38" i="1" s="1"/>
  <c r="ZY6" i="1"/>
  <c r="ZY38" i="1" s="1"/>
  <c r="ZZ6" i="1"/>
  <c r="ZZ38" i="1" s="1"/>
  <c r="AAA6" i="1"/>
  <c r="AAA38" i="1" s="1"/>
  <c r="AAB6" i="1"/>
  <c r="AAB38" i="1" s="1"/>
  <c r="AAC6" i="1"/>
  <c r="AAC38" i="1" s="1"/>
  <c r="AAD6" i="1"/>
  <c r="AAD38" i="1" s="1"/>
  <c r="AAE6" i="1"/>
  <c r="AAE38" i="1" s="1"/>
  <c r="AAF6" i="1"/>
  <c r="AAF38" i="1" s="1"/>
  <c r="AAG6" i="1"/>
  <c r="AAG38" i="1" s="1"/>
  <c r="AAH6" i="1"/>
  <c r="AAH38" i="1" s="1"/>
  <c r="AAI6" i="1"/>
  <c r="AAI38" i="1" s="1"/>
  <c r="AAJ6" i="1"/>
  <c r="AAJ38" i="1" s="1"/>
  <c r="AAK6" i="1"/>
  <c r="AAK38" i="1" s="1"/>
  <c r="AAL6" i="1"/>
  <c r="AAL38" i="1" s="1"/>
  <c r="AAM6" i="1"/>
  <c r="AAM38" i="1" s="1"/>
  <c r="AAN6" i="1"/>
  <c r="AAN38" i="1" s="1"/>
  <c r="AAO6" i="1"/>
  <c r="AAO38" i="1" s="1"/>
  <c r="AAP6" i="1"/>
  <c r="AAP38" i="1" s="1"/>
  <c r="AAQ6" i="1"/>
  <c r="AAQ38" i="1" s="1"/>
  <c r="AAR6" i="1"/>
  <c r="AAR38" i="1" s="1"/>
  <c r="AAK51" i="3"/>
  <c r="AAL51" i="3"/>
  <c r="AAM51" i="3"/>
  <c r="AAN51" i="3"/>
  <c r="AAO51" i="3"/>
  <c r="AAP51" i="3"/>
  <c r="AAQ51" i="3"/>
  <c r="AAR51" i="3"/>
  <c r="AAS51" i="3"/>
  <c r="AAT51" i="3"/>
  <c r="AAU51" i="3"/>
  <c r="AAK52" i="3"/>
  <c r="AAL52" i="3"/>
  <c r="AAM52" i="3"/>
  <c r="AAN52" i="3"/>
  <c r="AAO52" i="3"/>
  <c r="AAP52" i="3"/>
  <c r="AAQ52" i="3"/>
  <c r="AAR52" i="3"/>
  <c r="AAS52" i="3"/>
  <c r="AAT52" i="3"/>
  <c r="AAU52" i="3"/>
  <c r="AAS38" i="1"/>
  <c r="AAT38" i="1"/>
  <c r="AAU38" i="1"/>
  <c r="AAR39" i="1"/>
  <c r="AAS39" i="1"/>
  <c r="AAT39" i="1"/>
  <c r="AAU39" i="1"/>
  <c r="AAR40" i="1"/>
  <c r="AAS40" i="1"/>
  <c r="AAT40" i="1"/>
  <c r="AAU40" i="1"/>
  <c r="AAR41" i="1"/>
  <c r="AAS41" i="1"/>
  <c r="AAT41" i="1"/>
  <c r="AAU41" i="1"/>
  <c r="AAH36" i="4"/>
  <c r="AAI36" i="4"/>
  <c r="AAJ36" i="4"/>
  <c r="AAK36" i="4"/>
  <c r="AAL36" i="4"/>
  <c r="AAM36" i="4"/>
  <c r="AAN36" i="4"/>
  <c r="AAO36" i="4"/>
  <c r="AAP36" i="4"/>
  <c r="AAQ36" i="4"/>
  <c r="AAG36" i="4"/>
  <c r="AAR36" i="4"/>
  <c r="ZZ51" i="3"/>
  <c r="AAA51" i="3"/>
  <c r="AAB51" i="3"/>
  <c r="AAC51" i="3"/>
  <c r="AAD51" i="3"/>
  <c r="AAE51" i="3"/>
  <c r="AAF51" i="3"/>
  <c r="AAG51" i="3"/>
  <c r="AAH51" i="3"/>
  <c r="AAI51" i="3"/>
  <c r="AAJ51" i="3"/>
  <c r="ZZ52" i="3"/>
  <c r="AAA52" i="3"/>
  <c r="AAB52" i="3"/>
  <c r="AAC52" i="3"/>
  <c r="AAD52" i="3"/>
  <c r="AAE52" i="3"/>
  <c r="AAF52" i="3"/>
  <c r="AAG52" i="3"/>
  <c r="AAH52" i="3"/>
  <c r="AAI52" i="3"/>
  <c r="AAJ52" i="3"/>
  <c r="AAF39" i="1"/>
  <c r="AAG39" i="1"/>
  <c r="AAH39" i="1"/>
  <c r="AAI39" i="1"/>
  <c r="AAJ39" i="1"/>
  <c r="AAK39" i="1"/>
  <c r="AAL39" i="1"/>
  <c r="AAM39" i="1"/>
  <c r="AAN39" i="1"/>
  <c r="AAO39" i="1"/>
  <c r="AAP39" i="1"/>
  <c r="AAQ39" i="1"/>
  <c r="AAF40" i="1"/>
  <c r="AAG40" i="1"/>
  <c r="AAH40" i="1"/>
  <c r="AAI40" i="1"/>
  <c r="AAJ40" i="1"/>
  <c r="AAK40" i="1"/>
  <c r="AAL40" i="1"/>
  <c r="AAM40" i="1"/>
  <c r="AAN40" i="1"/>
  <c r="AAO40" i="1"/>
  <c r="AAP40" i="1"/>
  <c r="AAQ40" i="1"/>
  <c r="AAF41" i="1"/>
  <c r="AAG41" i="1"/>
  <c r="AAH41" i="1"/>
  <c r="AAI41" i="1"/>
  <c r="AAJ41" i="1"/>
  <c r="AAK41" i="1"/>
  <c r="AAL41" i="1"/>
  <c r="AAM41" i="1"/>
  <c r="AAN41" i="1"/>
  <c r="AAO41" i="1"/>
  <c r="AAP41" i="1"/>
  <c r="AAQ41" i="1"/>
  <c r="AAF36" i="4"/>
  <c r="ZY36" i="4"/>
  <c r="ZZ36" i="4"/>
  <c r="AAA36" i="4"/>
  <c r="AAB36" i="4"/>
  <c r="AAC36" i="4"/>
  <c r="AAD36" i="4"/>
  <c r="AAE36" i="4"/>
  <c r="ZX39" i="1"/>
  <c r="ZY39" i="1"/>
  <c r="ZZ39" i="1"/>
  <c r="AAA39" i="1"/>
  <c r="AAB39" i="1"/>
  <c r="AAC39" i="1"/>
  <c r="AAD39" i="1"/>
  <c r="AAE39" i="1"/>
  <c r="ZX40" i="1"/>
  <c r="ZY40" i="1"/>
  <c r="ZZ40" i="1"/>
  <c r="AAA40" i="1"/>
  <c r="AAB40" i="1"/>
  <c r="AAC40" i="1"/>
  <c r="AAD40" i="1"/>
  <c r="AAE40" i="1"/>
  <c r="ZX41" i="1"/>
  <c r="ZY41" i="1"/>
  <c r="ZZ41" i="1"/>
  <c r="AAA41" i="1"/>
  <c r="AAB41" i="1"/>
  <c r="AAC41" i="1"/>
  <c r="AAD41" i="1"/>
  <c r="AAE41" i="1"/>
  <c r="ZT39" i="1"/>
  <c r="ZU39" i="1"/>
  <c r="ZV39" i="1"/>
  <c r="ZW39" i="1"/>
  <c r="ZT40" i="1"/>
  <c r="ZU40" i="1"/>
  <c r="ZV40" i="1"/>
  <c r="ZW40" i="1"/>
  <c r="ZT41" i="1"/>
  <c r="ZU41" i="1"/>
  <c r="ZV41" i="1"/>
  <c r="ZW41" i="1"/>
  <c r="ZR6" i="1"/>
  <c r="ZS6" i="1"/>
  <c r="ZT6" i="1"/>
  <c r="ZT38" i="1" s="1"/>
  <c r="ZU6" i="1"/>
  <c r="ZU38" i="1" s="1"/>
  <c r="ZV6" i="1"/>
  <c r="ZV38" i="1" s="1"/>
  <c r="ZW6" i="1"/>
  <c r="ZW38" i="1" s="1"/>
  <c r="ZT51" i="3"/>
  <c r="ZU51" i="3"/>
  <c r="ZV51" i="3"/>
  <c r="ZW51" i="3"/>
  <c r="ZX51" i="3"/>
  <c r="ZY51" i="3"/>
  <c r="ZT52" i="3"/>
  <c r="ZU52" i="3"/>
  <c r="ZV52" i="3"/>
  <c r="ZW52" i="3"/>
  <c r="ZX52" i="3"/>
  <c r="ZY52" i="3"/>
  <c r="ZE6" i="1"/>
  <c r="ZF6" i="1"/>
  <c r="ZG6" i="1"/>
  <c r="ZH6" i="1"/>
  <c r="ZI6" i="1"/>
  <c r="ZJ6" i="1"/>
  <c r="ZK6" i="1"/>
  <c r="ZL6" i="1"/>
  <c r="ZM6" i="1"/>
  <c r="ZN6" i="1"/>
  <c r="ZO6" i="1"/>
  <c r="ZP6" i="1"/>
  <c r="ZQ6" i="1"/>
  <c r="ZO51" i="3" l="1"/>
  <c r="ZP51" i="3"/>
  <c r="ZQ51" i="3"/>
  <c r="ZR51" i="3"/>
  <c r="ZS51" i="3"/>
  <c r="ZO52" i="3"/>
  <c r="ZP52" i="3"/>
  <c r="ZQ52" i="3"/>
  <c r="ZR52" i="3"/>
  <c r="ZS52" i="3"/>
  <c r="ZD51" i="3" l="1"/>
  <c r="ZE51" i="3"/>
  <c r="ZF51" i="3"/>
  <c r="ZG51" i="3"/>
  <c r="ZH51" i="3"/>
  <c r="ZI51" i="3"/>
  <c r="ZJ51" i="3"/>
  <c r="ZK51" i="3"/>
  <c r="ZL51" i="3"/>
  <c r="ZM51" i="3"/>
  <c r="ZN51" i="3"/>
  <c r="ZD52" i="3"/>
  <c r="ZE52" i="3"/>
  <c r="ZF52" i="3"/>
  <c r="ZG52" i="3"/>
  <c r="ZH52" i="3"/>
  <c r="ZI52" i="3"/>
  <c r="ZJ52" i="3"/>
  <c r="ZK52" i="3"/>
  <c r="ZL52" i="3"/>
  <c r="ZM52" i="3"/>
  <c r="ZN52" i="3"/>
  <c r="ZM36" i="4"/>
  <c r="ZN36" i="4"/>
  <c r="ZO36" i="4"/>
  <c r="ZP36" i="4"/>
  <c r="ZL36" i="4"/>
  <c r="ZQ36" i="4"/>
  <c r="ZR36" i="4"/>
  <c r="ZS36" i="4"/>
  <c r="ZT36" i="4"/>
  <c r="ZU36" i="4"/>
  <c r="ZV36" i="4"/>
  <c r="ZW36" i="4"/>
  <c r="ZX36" i="4"/>
  <c r="ZO38" i="1"/>
  <c r="ZP38" i="1"/>
  <c r="ZQ38" i="1"/>
  <c r="ZR38" i="1"/>
  <c r="ZS38" i="1"/>
  <c r="ZO39" i="1"/>
  <c r="ZP39" i="1"/>
  <c r="ZQ39" i="1"/>
  <c r="ZR39" i="1"/>
  <c r="ZS39" i="1"/>
  <c r="ZO40" i="1"/>
  <c r="ZP40" i="1"/>
  <c r="ZQ40" i="1"/>
  <c r="ZR40" i="1"/>
  <c r="ZS40" i="1"/>
  <c r="ZO41" i="1"/>
  <c r="ZP41" i="1"/>
  <c r="ZQ41" i="1"/>
  <c r="ZR41" i="1"/>
  <c r="ZS41" i="1"/>
  <c r="ZK38" i="1"/>
  <c r="ZL38" i="1"/>
  <c r="ZM38" i="1"/>
  <c r="ZN38" i="1"/>
  <c r="ZK39" i="1"/>
  <c r="ZL39" i="1"/>
  <c r="ZM39" i="1"/>
  <c r="ZN39" i="1"/>
  <c r="ZK40" i="1"/>
  <c r="ZL40" i="1"/>
  <c r="ZM40" i="1"/>
  <c r="ZN40" i="1"/>
  <c r="ZK41" i="1"/>
  <c r="ZL41" i="1"/>
  <c r="ZM41" i="1"/>
  <c r="ZN41" i="1"/>
  <c r="ZF38" i="1"/>
  <c r="ZG38" i="1"/>
  <c r="ZH38" i="1"/>
  <c r="ZI38" i="1"/>
  <c r="ZJ38" i="1"/>
  <c r="ZF39" i="1"/>
  <c r="ZG39" i="1"/>
  <c r="ZH39" i="1"/>
  <c r="ZI39" i="1"/>
  <c r="ZJ39" i="1"/>
  <c r="ZF40" i="1"/>
  <c r="ZG40" i="1"/>
  <c r="ZH40" i="1"/>
  <c r="ZI40" i="1"/>
  <c r="ZJ40" i="1"/>
  <c r="ZF41" i="1"/>
  <c r="ZG41" i="1"/>
  <c r="ZH41" i="1"/>
  <c r="ZI41" i="1"/>
  <c r="ZJ41" i="1"/>
  <c r="ZE38" i="1"/>
  <c r="ZD39" i="1"/>
  <c r="ZE39" i="1"/>
  <c r="ZD40" i="1"/>
  <c r="ZE40" i="1"/>
  <c r="ZD41" i="1"/>
  <c r="ZE41" i="1"/>
  <c r="YX6" i="1"/>
  <c r="YX38" i="1" s="1"/>
  <c r="YY6" i="1"/>
  <c r="YY38" i="1" s="1"/>
  <c r="YZ6" i="1"/>
  <c r="YZ38" i="1" s="1"/>
  <c r="ZA6" i="1"/>
  <c r="ZA38" i="1" s="1"/>
  <c r="ZB6" i="1"/>
  <c r="ZB38" i="1" s="1"/>
  <c r="ZC6" i="1"/>
  <c r="ZC38" i="1" s="1"/>
  <c r="ZD6" i="1"/>
  <c r="ZD38" i="1" s="1"/>
  <c r="ZD36" i="4"/>
  <c r="ZE36" i="4"/>
  <c r="ZF36" i="4"/>
  <c r="ZG36" i="4"/>
  <c r="ZH36" i="4"/>
  <c r="ZI36" i="4"/>
  <c r="ZJ36" i="4"/>
  <c r="ZK36" i="4"/>
  <c r="YY39" i="1"/>
  <c r="YZ39" i="1"/>
  <c r="ZA39" i="1"/>
  <c r="ZB39" i="1"/>
  <c r="ZC39" i="1"/>
  <c r="YY40" i="1"/>
  <c r="YZ40" i="1"/>
  <c r="ZA40" i="1"/>
  <c r="ZB40" i="1"/>
  <c r="ZC40" i="1"/>
  <c r="YY41" i="1"/>
  <c r="YZ41" i="1"/>
  <c r="ZA41" i="1"/>
  <c r="ZB41" i="1"/>
  <c r="ZC41" i="1"/>
  <c r="YY36" i="4"/>
  <c r="YZ36" i="4"/>
  <c r="ZA36" i="4"/>
  <c r="ZB36" i="4"/>
  <c r="ZC36" i="4"/>
  <c r="YW51" i="3"/>
  <c r="YX51" i="3"/>
  <c r="YY51" i="3"/>
  <c r="YZ51" i="3"/>
  <c r="ZA51" i="3"/>
  <c r="ZB51" i="3"/>
  <c r="ZC51" i="3"/>
  <c r="YW52" i="3"/>
  <c r="YX52" i="3"/>
  <c r="YY52" i="3"/>
  <c r="YZ52" i="3"/>
  <c r="ZA52" i="3"/>
  <c r="ZB52" i="3"/>
  <c r="ZC52" i="3"/>
  <c r="YS6" i="1"/>
  <c r="YT6" i="1"/>
  <c r="YT38" i="1" s="1"/>
  <c r="YU6" i="1"/>
  <c r="YV6" i="1"/>
  <c r="YW6" i="1"/>
  <c r="YW38" i="1" s="1"/>
  <c r="YU38" i="1"/>
  <c r="YV38" i="1"/>
  <c r="YT39" i="1"/>
  <c r="YU39" i="1"/>
  <c r="YV39" i="1"/>
  <c r="YW39" i="1"/>
  <c r="YX39" i="1"/>
  <c r="YT40" i="1"/>
  <c r="YU40" i="1"/>
  <c r="YV40" i="1"/>
  <c r="YW40" i="1"/>
  <c r="YX40" i="1"/>
  <c r="YT41" i="1"/>
  <c r="YU41" i="1"/>
  <c r="YV41" i="1"/>
  <c r="YW41" i="1"/>
  <c r="YX41" i="1"/>
  <c r="YR51" i="3"/>
  <c r="YS51" i="3"/>
  <c r="YT51" i="3"/>
  <c r="YU51" i="3"/>
  <c r="YV51" i="3"/>
  <c r="YR52" i="3"/>
  <c r="YS52" i="3"/>
  <c r="YT52" i="3"/>
  <c r="YU52" i="3"/>
  <c r="YV52" i="3"/>
  <c r="YA36" i="4"/>
  <c r="YB36" i="4"/>
  <c r="YC36" i="4"/>
  <c r="YD36" i="4"/>
  <c r="YE36" i="4"/>
  <c r="YF36" i="4"/>
  <c r="YG36" i="4"/>
  <c r="YH36" i="4"/>
  <c r="YI36" i="4"/>
  <c r="YJ36" i="4"/>
  <c r="YK36" i="4"/>
  <c r="YL36" i="4"/>
  <c r="YM36" i="4"/>
  <c r="YN36" i="4"/>
  <c r="YO36" i="4"/>
  <c r="YP36" i="4"/>
  <c r="YQ36" i="4"/>
  <c r="YR36" i="4"/>
  <c r="YS36" i="4"/>
  <c r="YT36" i="4"/>
  <c r="YU36" i="4"/>
  <c r="YV36" i="4"/>
  <c r="YW36" i="4"/>
  <c r="YX36" i="4"/>
  <c r="XZ36" i="4"/>
  <c r="YN6" i="1" l="1"/>
  <c r="YO6" i="1"/>
  <c r="YP6" i="1"/>
  <c r="YP38" i="1" s="1"/>
  <c r="YQ6" i="1"/>
  <c r="YQ38" i="1" s="1"/>
  <c r="YR6" i="1"/>
  <c r="YR38" i="1" s="1"/>
  <c r="YN51" i="3"/>
  <c r="YO51" i="3"/>
  <c r="YP51" i="3"/>
  <c r="YQ51" i="3"/>
  <c r="YN52" i="3"/>
  <c r="YO52" i="3"/>
  <c r="YP52" i="3"/>
  <c r="YQ52" i="3"/>
  <c r="YS38" i="1"/>
  <c r="YR39" i="1"/>
  <c r="YS39" i="1"/>
  <c r="YR40" i="1"/>
  <c r="YS40" i="1"/>
  <c r="YR41" i="1"/>
  <c r="YS41" i="1"/>
  <c r="YN38" i="1"/>
  <c r="YO38" i="1"/>
  <c r="YN39" i="1"/>
  <c r="YO39" i="1"/>
  <c r="YP39" i="1"/>
  <c r="YQ39" i="1"/>
  <c r="YN40" i="1"/>
  <c r="YO40" i="1"/>
  <c r="YP40" i="1"/>
  <c r="YQ40" i="1"/>
  <c r="YN41" i="1"/>
  <c r="YO41" i="1"/>
  <c r="YP41" i="1"/>
  <c r="YQ41" i="1"/>
  <c r="YJ39" i="1" l="1"/>
  <c r="YK39" i="1"/>
  <c r="YL39" i="1"/>
  <c r="YM39" i="1"/>
  <c r="YJ40" i="1"/>
  <c r="YK40" i="1"/>
  <c r="YL40" i="1"/>
  <c r="YM40" i="1"/>
  <c r="YJ41" i="1"/>
  <c r="YK41" i="1"/>
  <c r="YL41" i="1"/>
  <c r="YM41" i="1"/>
  <c r="XZ6" i="1"/>
  <c r="YA6" i="1"/>
  <c r="YB6" i="1"/>
  <c r="YC6" i="1"/>
  <c r="YD6" i="1"/>
  <c r="YE6" i="1"/>
  <c r="YE38" i="1" s="1"/>
  <c r="YF6" i="1"/>
  <c r="YF38" i="1" s="1"/>
  <c r="YG6" i="1"/>
  <c r="YG38" i="1" s="1"/>
  <c r="YH6" i="1"/>
  <c r="YH38" i="1" s="1"/>
  <c r="YI6" i="1"/>
  <c r="YI38" i="1" s="1"/>
  <c r="YJ6" i="1"/>
  <c r="YJ38" i="1" s="1"/>
  <c r="YK6" i="1"/>
  <c r="YK38" i="1" s="1"/>
  <c r="YL6" i="1"/>
  <c r="YL38" i="1" s="1"/>
  <c r="YM6" i="1"/>
  <c r="YM38" i="1" s="1"/>
  <c r="YI51" i="3"/>
  <c r="YJ51" i="3"/>
  <c r="YK51" i="3"/>
  <c r="YL51" i="3"/>
  <c r="YM51" i="3"/>
  <c r="YI52" i="3"/>
  <c r="YJ52" i="3"/>
  <c r="YK52" i="3"/>
  <c r="YL52" i="3"/>
  <c r="YM52" i="3"/>
  <c r="YE39" i="1"/>
  <c r="YF39" i="1"/>
  <c r="YG39" i="1"/>
  <c r="YH39" i="1"/>
  <c r="YI39" i="1"/>
  <c r="YE40" i="1"/>
  <c r="YF40" i="1"/>
  <c r="YG40" i="1"/>
  <c r="YH40" i="1"/>
  <c r="YI40" i="1"/>
  <c r="YE41" i="1"/>
  <c r="YF41" i="1"/>
  <c r="YG41" i="1"/>
  <c r="YH41" i="1"/>
  <c r="YI41" i="1"/>
  <c r="XZ51" i="3"/>
  <c r="YA51" i="3"/>
  <c r="YB51" i="3"/>
  <c r="YC51" i="3"/>
  <c r="YD51" i="3"/>
  <c r="YE51" i="3"/>
  <c r="YF51" i="3"/>
  <c r="YG51" i="3"/>
  <c r="YH51" i="3"/>
  <c r="XZ52" i="3"/>
  <c r="YA52" i="3"/>
  <c r="YB52" i="3"/>
  <c r="YC52" i="3"/>
  <c r="YD52" i="3"/>
  <c r="YE52" i="3"/>
  <c r="YF52" i="3"/>
  <c r="YG52" i="3"/>
  <c r="YH52" i="3"/>
  <c r="XN6" i="1" l="1"/>
  <c r="XO6" i="1"/>
  <c r="XP6" i="1"/>
  <c r="XQ6" i="1"/>
  <c r="XR6" i="1"/>
  <c r="XS6" i="1"/>
  <c r="XT6" i="1"/>
  <c r="XU6" i="1"/>
  <c r="XV6" i="1"/>
  <c r="XW6" i="1"/>
  <c r="XX6" i="1"/>
  <c r="XY6" i="1"/>
  <c r="XV51" i="3" l="1"/>
  <c r="XW51" i="3"/>
  <c r="XX51" i="3"/>
  <c r="XY51" i="3"/>
  <c r="XV52" i="3"/>
  <c r="XW52" i="3"/>
  <c r="XX52" i="3"/>
  <c r="XY52" i="3"/>
  <c r="XX38" i="1" l="1"/>
  <c r="XY38" i="1"/>
  <c r="XZ38" i="1"/>
  <c r="YA38" i="1"/>
  <c r="YB38" i="1"/>
  <c r="YC38" i="1"/>
  <c r="YD38" i="1"/>
  <c r="XX39" i="1"/>
  <c r="XY39" i="1"/>
  <c r="XZ39" i="1"/>
  <c r="YA39" i="1"/>
  <c r="YB39" i="1"/>
  <c r="YC39" i="1"/>
  <c r="YD39" i="1"/>
  <c r="XX40" i="1"/>
  <c r="XY40" i="1"/>
  <c r="XZ40" i="1"/>
  <c r="YA40" i="1"/>
  <c r="YB40" i="1"/>
  <c r="YC40" i="1"/>
  <c r="YD40" i="1"/>
  <c r="XX41" i="1"/>
  <c r="XY41" i="1"/>
  <c r="XZ41" i="1"/>
  <c r="YA41" i="1"/>
  <c r="YB41" i="1"/>
  <c r="YC41" i="1"/>
  <c r="YD41" i="1"/>
  <c r="XN36" i="4" l="1"/>
  <c r="XO36" i="4"/>
  <c r="XX36" i="4"/>
  <c r="XY36" i="4"/>
  <c r="XU36" i="4"/>
  <c r="XH36" i="4"/>
  <c r="XP36" i="4"/>
  <c r="XQ36" i="4"/>
  <c r="XR36" i="4"/>
  <c r="XS36" i="4"/>
  <c r="XT36" i="4"/>
  <c r="XV36" i="4"/>
  <c r="XW36" i="4"/>
  <c r="XM36" i="4"/>
  <c r="XO38" i="1"/>
  <c r="XP38" i="1"/>
  <c r="XQ38" i="1"/>
  <c r="XR38" i="1"/>
  <c r="XS38" i="1"/>
  <c r="XT38" i="1"/>
  <c r="XU38" i="1"/>
  <c r="XV38" i="1"/>
  <c r="XW38" i="1"/>
  <c r="XO39" i="1"/>
  <c r="XP39" i="1"/>
  <c r="XQ39" i="1"/>
  <c r="XR39" i="1"/>
  <c r="XS39" i="1"/>
  <c r="XT39" i="1"/>
  <c r="XU39" i="1"/>
  <c r="XV39" i="1"/>
  <c r="XW39" i="1"/>
  <c r="XO40" i="1"/>
  <c r="XP40" i="1"/>
  <c r="XQ40" i="1"/>
  <c r="XR40" i="1"/>
  <c r="XS40" i="1"/>
  <c r="XT40" i="1"/>
  <c r="XU40" i="1"/>
  <c r="XV40" i="1"/>
  <c r="XW40" i="1"/>
  <c r="XO41" i="1"/>
  <c r="XP41" i="1"/>
  <c r="XQ41" i="1"/>
  <c r="XR41" i="1"/>
  <c r="XS41" i="1"/>
  <c r="XT41" i="1"/>
  <c r="XU41" i="1"/>
  <c r="XV41" i="1"/>
  <c r="XW41" i="1"/>
  <c r="XO51" i="3" l="1"/>
  <c r="XP51" i="3"/>
  <c r="XQ51" i="3"/>
  <c r="XR51" i="3"/>
  <c r="XS51" i="3"/>
  <c r="XT51" i="3"/>
  <c r="XU51" i="3"/>
  <c r="XO52" i="3"/>
  <c r="XP52" i="3"/>
  <c r="XQ52" i="3"/>
  <c r="XR52" i="3"/>
  <c r="XS52" i="3"/>
  <c r="XT52" i="3"/>
  <c r="XU52" i="3"/>
  <c r="XN38" i="1"/>
  <c r="XM39" i="1"/>
  <c r="XN39" i="1"/>
  <c r="XM40" i="1"/>
  <c r="XN40" i="1"/>
  <c r="XM41" i="1"/>
  <c r="XN41" i="1"/>
  <c r="XG6" i="1"/>
  <c r="XH6" i="1"/>
  <c r="XI6" i="1"/>
  <c r="XJ6" i="1"/>
  <c r="XK6" i="1"/>
  <c r="XL6" i="1"/>
  <c r="XM6" i="1"/>
  <c r="XM38" i="1" s="1"/>
  <c r="XL51" i="3"/>
  <c r="XM51" i="3"/>
  <c r="XN51" i="3"/>
  <c r="XL52" i="3"/>
  <c r="XM52" i="3"/>
  <c r="XN52" i="3"/>
  <c r="XB36" i="4"/>
  <c r="WT36" i="4"/>
  <c r="XF36" i="4"/>
  <c r="XG36" i="4"/>
  <c r="XI36" i="4"/>
  <c r="XJ36" i="4"/>
  <c r="XK36" i="4"/>
  <c r="XL36" i="4"/>
  <c r="XA6" i="1" l="1"/>
  <c r="XB6" i="1"/>
  <c r="XC6" i="1"/>
  <c r="XD6" i="1"/>
  <c r="XD38" i="1" s="1"/>
  <c r="XE6" i="1"/>
  <c r="XF6" i="1"/>
  <c r="XH51" i="3"/>
  <c r="XI51" i="3"/>
  <c r="XJ51" i="3"/>
  <c r="XK51" i="3"/>
  <c r="XH52" i="3"/>
  <c r="XI52" i="3"/>
  <c r="XJ52" i="3"/>
  <c r="XK52" i="3"/>
  <c r="XA51" i="3"/>
  <c r="XB51" i="3"/>
  <c r="XC51" i="3"/>
  <c r="XD51" i="3"/>
  <c r="XE51" i="3"/>
  <c r="XF51" i="3"/>
  <c r="XG51" i="3"/>
  <c r="XA52" i="3"/>
  <c r="XB52" i="3"/>
  <c r="XC52" i="3"/>
  <c r="XD52" i="3"/>
  <c r="XE52" i="3"/>
  <c r="XF52" i="3"/>
  <c r="XG52" i="3"/>
  <c r="WU6" i="1"/>
  <c r="WU38" i="1" s="1"/>
  <c r="WV6" i="1"/>
  <c r="WV38" i="1" s="1"/>
  <c r="WW6" i="1"/>
  <c r="WW38" i="1" s="1"/>
  <c r="WX6" i="1"/>
  <c r="WX38" i="1" s="1"/>
  <c r="WY6" i="1"/>
  <c r="WY38" i="1" s="1"/>
  <c r="WZ6" i="1"/>
  <c r="WZ38" i="1" s="1"/>
  <c r="WU51" i="3"/>
  <c r="WV51" i="3"/>
  <c r="WW51" i="3"/>
  <c r="WX51" i="3"/>
  <c r="WY51" i="3"/>
  <c r="WZ51" i="3"/>
  <c r="WU52" i="3"/>
  <c r="WV52" i="3"/>
  <c r="WW52" i="3"/>
  <c r="WX52" i="3"/>
  <c r="WY52" i="3"/>
  <c r="WZ52" i="3"/>
  <c r="XG38" i="1"/>
  <c r="XH38" i="1"/>
  <c r="XI38" i="1"/>
  <c r="XJ38" i="1"/>
  <c r="XK38" i="1"/>
  <c r="XL38" i="1"/>
  <c r="XG39" i="1"/>
  <c r="XH39" i="1"/>
  <c r="XI39" i="1"/>
  <c r="XJ39" i="1"/>
  <c r="XK39" i="1"/>
  <c r="XL39" i="1"/>
  <c r="XG40" i="1"/>
  <c r="XH40" i="1"/>
  <c r="XI40" i="1"/>
  <c r="XJ40" i="1"/>
  <c r="XK40" i="1"/>
  <c r="XL40" i="1"/>
  <c r="XG41" i="1"/>
  <c r="XH41" i="1"/>
  <c r="XI41" i="1"/>
  <c r="XJ41" i="1"/>
  <c r="XK41" i="1"/>
  <c r="XL41" i="1"/>
  <c r="XA38" i="1"/>
  <c r="XB38" i="1"/>
  <c r="XC38" i="1"/>
  <c r="XE38" i="1"/>
  <c r="XF38" i="1"/>
  <c r="WX39" i="1"/>
  <c r="WY39" i="1"/>
  <c r="WZ39" i="1"/>
  <c r="XA39" i="1"/>
  <c r="XB39" i="1"/>
  <c r="XC39" i="1"/>
  <c r="XD39" i="1"/>
  <c r="XE39" i="1"/>
  <c r="XF39" i="1"/>
  <c r="WX40" i="1"/>
  <c r="WY40" i="1"/>
  <c r="WZ40" i="1"/>
  <c r="XA40" i="1"/>
  <c r="XB40" i="1"/>
  <c r="XC40" i="1"/>
  <c r="XD40" i="1"/>
  <c r="XE40" i="1"/>
  <c r="XF40" i="1"/>
  <c r="WX41" i="1"/>
  <c r="WY41" i="1"/>
  <c r="WZ41" i="1"/>
  <c r="XA41" i="1"/>
  <c r="XB41" i="1"/>
  <c r="XC41" i="1"/>
  <c r="XD41" i="1"/>
  <c r="XE41" i="1"/>
  <c r="XF41" i="1"/>
  <c r="WT51" i="3"/>
  <c r="WT52" i="3"/>
  <c r="WL6" i="1"/>
  <c r="WL38" i="1" s="1"/>
  <c r="WM6" i="1"/>
  <c r="WM38" i="1" s="1"/>
  <c r="WN6" i="1"/>
  <c r="WN38" i="1" s="1"/>
  <c r="WO6" i="1"/>
  <c r="WO38" i="1" s="1"/>
  <c r="WP6" i="1"/>
  <c r="WP38" i="1" s="1"/>
  <c r="WQ6" i="1"/>
  <c r="WQ38" i="1" s="1"/>
  <c r="WR6" i="1"/>
  <c r="WR38" i="1" s="1"/>
  <c r="WS6" i="1"/>
  <c r="WS38" i="1" s="1"/>
  <c r="WT6" i="1"/>
  <c r="WT38" i="1" s="1"/>
  <c r="WL39" i="1"/>
  <c r="WM39" i="1"/>
  <c r="WN39" i="1"/>
  <c r="WO39" i="1"/>
  <c r="WP39" i="1"/>
  <c r="WQ39" i="1"/>
  <c r="WR39" i="1"/>
  <c r="WS39" i="1"/>
  <c r="WT39" i="1"/>
  <c r="WU39" i="1"/>
  <c r="WV39" i="1"/>
  <c r="WW39" i="1"/>
  <c r="WL40" i="1"/>
  <c r="WM40" i="1"/>
  <c r="WN40" i="1"/>
  <c r="WO40" i="1"/>
  <c r="WP40" i="1"/>
  <c r="WQ40" i="1"/>
  <c r="WR40" i="1"/>
  <c r="WS40" i="1"/>
  <c r="WT40" i="1"/>
  <c r="WU40" i="1"/>
  <c r="WV40" i="1"/>
  <c r="WW40" i="1"/>
  <c r="WL41" i="1"/>
  <c r="WM41" i="1"/>
  <c r="WN41" i="1"/>
  <c r="WO41" i="1"/>
  <c r="WP41" i="1"/>
  <c r="WQ41" i="1"/>
  <c r="WR41" i="1"/>
  <c r="WS41" i="1"/>
  <c r="WT41" i="1"/>
  <c r="WU41" i="1"/>
  <c r="WV41" i="1"/>
  <c r="WW41" i="1"/>
  <c r="WN36" i="4" l="1"/>
  <c r="WO36" i="4"/>
  <c r="WP36" i="4"/>
  <c r="WQ36" i="4"/>
  <c r="WR36" i="4"/>
  <c r="WS36" i="4"/>
  <c r="WU36" i="4"/>
  <c r="WV36" i="4"/>
  <c r="WW36" i="4"/>
  <c r="WX36" i="4"/>
  <c r="WY36" i="4"/>
  <c r="WZ36" i="4"/>
  <c r="XA36" i="4"/>
  <c r="XC36" i="4"/>
  <c r="XD36" i="4"/>
  <c r="XE36" i="4"/>
  <c r="WM51" i="3"/>
  <c r="WN51" i="3"/>
  <c r="WO51" i="3"/>
  <c r="WP51" i="3"/>
  <c r="WQ51" i="3"/>
  <c r="WR51" i="3"/>
  <c r="WS51" i="3"/>
  <c r="WM52" i="3"/>
  <c r="WN52" i="3"/>
  <c r="WO52" i="3"/>
  <c r="WP52" i="3"/>
  <c r="WQ52" i="3"/>
  <c r="WR52" i="3"/>
  <c r="WS52" i="3"/>
  <c r="WC39" i="1"/>
  <c r="WD39" i="1"/>
  <c r="WE39" i="1"/>
  <c r="WF39" i="1"/>
  <c r="WG39" i="1"/>
  <c r="WH39" i="1"/>
  <c r="WI39" i="1"/>
  <c r="WJ39" i="1"/>
  <c r="WK39" i="1"/>
  <c r="WC40" i="1"/>
  <c r="WD40" i="1"/>
  <c r="WE40" i="1"/>
  <c r="WF40" i="1"/>
  <c r="WG40" i="1"/>
  <c r="WH40" i="1"/>
  <c r="WI40" i="1"/>
  <c r="WJ40" i="1"/>
  <c r="WK40" i="1"/>
  <c r="WC41" i="1"/>
  <c r="WD41" i="1"/>
  <c r="WE41" i="1"/>
  <c r="WF41" i="1"/>
  <c r="WG41" i="1"/>
  <c r="WH41" i="1"/>
  <c r="WI41" i="1"/>
  <c r="WJ41" i="1"/>
  <c r="WK41" i="1"/>
  <c r="WD6" i="1"/>
  <c r="WD38" i="1" s="1"/>
  <c r="WE6" i="1"/>
  <c r="WE38" i="1" s="1"/>
  <c r="WF6" i="1"/>
  <c r="WF38" i="1" s="1"/>
  <c r="WG6" i="1"/>
  <c r="WG38" i="1" s="1"/>
  <c r="WH6" i="1"/>
  <c r="WH38" i="1" s="1"/>
  <c r="WI6" i="1"/>
  <c r="WI38" i="1" s="1"/>
  <c r="WJ6" i="1"/>
  <c r="WJ38" i="1" s="1"/>
  <c r="WK6" i="1"/>
  <c r="WK38" i="1" s="1"/>
  <c r="WL51" i="3"/>
  <c r="WL52" i="3"/>
  <c r="WE51" i="3"/>
  <c r="WF51" i="3"/>
  <c r="WG51" i="3"/>
  <c r="WH51" i="3"/>
  <c r="WI51" i="3"/>
  <c r="WJ51" i="3"/>
  <c r="WK51" i="3"/>
  <c r="WE52" i="3"/>
  <c r="WF52" i="3"/>
  <c r="WG52" i="3"/>
  <c r="WH52" i="3"/>
  <c r="WI52" i="3"/>
  <c r="WJ52" i="3"/>
  <c r="WK52" i="3"/>
  <c r="WH36" i="4"/>
  <c r="WI36" i="4"/>
  <c r="WJ36" i="4"/>
  <c r="WK36" i="4"/>
  <c r="WL36" i="4"/>
  <c r="WM36" i="4"/>
  <c r="VY36" i="4"/>
  <c r="VZ36" i="4"/>
  <c r="WA36" i="4"/>
  <c r="WB36" i="4"/>
  <c r="WC36" i="4"/>
  <c r="WD36" i="4"/>
  <c r="WE36" i="4"/>
  <c r="WF36" i="4"/>
  <c r="WG36" i="4"/>
  <c r="WD51" i="3" l="1"/>
  <c r="WD52" i="3"/>
  <c r="VV41" i="1"/>
  <c r="VU41" i="1"/>
  <c r="VT41" i="1"/>
  <c r="VS41" i="1"/>
  <c r="VR41" i="1"/>
  <c r="VQ41" i="1"/>
  <c r="WB41" i="1"/>
  <c r="WA41" i="1"/>
  <c r="VZ41" i="1"/>
  <c r="VY41" i="1"/>
  <c r="VX41" i="1"/>
  <c r="VW41" i="1"/>
  <c r="VQ6" i="1"/>
  <c r="VR6" i="1"/>
  <c r="VS6" i="1"/>
  <c r="VT6" i="1"/>
  <c r="VU6" i="1"/>
  <c r="VV6" i="1"/>
  <c r="VW6" i="1"/>
  <c r="VW38" i="1" s="1"/>
  <c r="VX6" i="1"/>
  <c r="VX38" i="1" s="1"/>
  <c r="VY6" i="1"/>
  <c r="VZ6" i="1"/>
  <c r="WA6" i="1"/>
  <c r="WA38" i="1" s="1"/>
  <c r="WB6" i="1"/>
  <c r="WB38" i="1" s="1"/>
  <c r="WC6" i="1"/>
  <c r="WC38" i="1" s="1"/>
  <c r="VX51" i="3"/>
  <c r="VY51" i="3"/>
  <c r="VZ51" i="3"/>
  <c r="WA51" i="3"/>
  <c r="WB51" i="3"/>
  <c r="WC51" i="3"/>
  <c r="VX52" i="3"/>
  <c r="VY52" i="3"/>
  <c r="VZ52" i="3"/>
  <c r="WA52" i="3"/>
  <c r="WB52" i="3"/>
  <c r="WC52" i="3"/>
  <c r="VY38" i="1"/>
  <c r="VZ38" i="1"/>
  <c r="VW39" i="1"/>
  <c r="VX39" i="1"/>
  <c r="VY39" i="1"/>
  <c r="VZ39" i="1"/>
  <c r="WA39" i="1"/>
  <c r="WB39" i="1"/>
  <c r="VW40" i="1"/>
  <c r="VX40" i="1"/>
  <c r="VY40" i="1"/>
  <c r="VZ40" i="1"/>
  <c r="WA40" i="1"/>
  <c r="WB40" i="1"/>
  <c r="VQ36" i="4"/>
  <c r="VR36" i="4"/>
  <c r="VS36" i="4"/>
  <c r="VT36" i="4"/>
  <c r="VU36" i="4"/>
  <c r="VV36" i="4"/>
  <c r="VW36" i="4"/>
  <c r="VX36" i="4"/>
  <c r="UV6" i="1" l="1"/>
  <c r="UW6" i="1"/>
  <c r="UX6" i="1"/>
  <c r="UY6" i="1"/>
  <c r="UZ6" i="1"/>
  <c r="VA6" i="1"/>
  <c r="VB6" i="1"/>
  <c r="VC6" i="1"/>
  <c r="VD6" i="1"/>
  <c r="VE6" i="1"/>
  <c r="VF6" i="1"/>
  <c r="VG6" i="1"/>
  <c r="VH6" i="1"/>
  <c r="VI6" i="1"/>
  <c r="VJ6" i="1"/>
  <c r="VK6" i="1"/>
  <c r="VL6" i="1"/>
  <c r="VM6" i="1"/>
  <c r="VN6" i="1"/>
  <c r="VO6" i="1"/>
  <c r="VP6" i="1"/>
  <c r="VK51" i="3" l="1"/>
  <c r="VL51" i="3"/>
  <c r="VM51" i="3"/>
  <c r="VN51" i="3"/>
  <c r="VO51" i="3"/>
  <c r="VP51" i="3"/>
  <c r="VQ51" i="3"/>
  <c r="VR51" i="3"/>
  <c r="VS51" i="3"/>
  <c r="VT51" i="3"/>
  <c r="VU51" i="3"/>
  <c r="VV51" i="3"/>
  <c r="VW51" i="3"/>
  <c r="VK52" i="3"/>
  <c r="VL52" i="3"/>
  <c r="VM52" i="3"/>
  <c r="VN52" i="3"/>
  <c r="VO52" i="3"/>
  <c r="VP52" i="3"/>
  <c r="VQ52" i="3"/>
  <c r="VR52" i="3"/>
  <c r="VS52" i="3"/>
  <c r="VT52" i="3"/>
  <c r="VU52" i="3"/>
  <c r="VV52" i="3"/>
  <c r="VW52" i="3"/>
  <c r="VJ36" i="4"/>
  <c r="VK36" i="4"/>
  <c r="VL36" i="4"/>
  <c r="VM36" i="4"/>
  <c r="VN36" i="4"/>
  <c r="VO36" i="4"/>
  <c r="VP36" i="4"/>
  <c r="VF51" i="3" l="1"/>
  <c r="VG51" i="3"/>
  <c r="VH51" i="3"/>
  <c r="VI51" i="3"/>
  <c r="VJ51" i="3"/>
  <c r="VF52" i="3"/>
  <c r="VG52" i="3"/>
  <c r="VH52" i="3"/>
  <c r="VI52" i="3"/>
  <c r="VJ52" i="3"/>
  <c r="UV38" i="1"/>
  <c r="UW38" i="1"/>
  <c r="UX38" i="1"/>
  <c r="UY38" i="1"/>
  <c r="UZ38" i="1"/>
  <c r="VA38" i="1"/>
  <c r="VB38" i="1"/>
  <c r="VC36" i="4"/>
  <c r="VD36" i="4"/>
  <c r="VE36" i="4"/>
  <c r="VF36" i="4"/>
  <c r="VG36" i="4"/>
  <c r="VH36" i="4"/>
  <c r="VC38" i="1" l="1"/>
  <c r="VD38" i="1"/>
  <c r="VE38" i="1"/>
  <c r="VF38" i="1"/>
  <c r="VG38" i="1"/>
  <c r="VH38" i="1"/>
  <c r="VI38" i="1"/>
  <c r="VJ38" i="1"/>
  <c r="VK38" i="1"/>
  <c r="VL38" i="1"/>
  <c r="VM38" i="1"/>
  <c r="VN38" i="1"/>
  <c r="VO38" i="1"/>
  <c r="VP38" i="1"/>
  <c r="VQ38" i="1"/>
  <c r="VR38" i="1"/>
  <c r="VS38" i="1"/>
  <c r="VT38" i="1"/>
  <c r="VU38" i="1"/>
  <c r="VV38" i="1"/>
  <c r="VC39" i="1"/>
  <c r="VD39" i="1"/>
  <c r="VE39" i="1"/>
  <c r="VF39" i="1"/>
  <c r="VG39" i="1"/>
  <c r="VH39" i="1"/>
  <c r="VI39" i="1"/>
  <c r="VJ39" i="1"/>
  <c r="VK39" i="1"/>
  <c r="VL39" i="1"/>
  <c r="VM39" i="1"/>
  <c r="VN39" i="1"/>
  <c r="VO39" i="1"/>
  <c r="VP39" i="1"/>
  <c r="VQ39" i="1"/>
  <c r="VR39" i="1"/>
  <c r="VS39" i="1"/>
  <c r="VT39" i="1"/>
  <c r="VU39" i="1"/>
  <c r="VV39" i="1"/>
  <c r="VC40" i="1"/>
  <c r="VD40" i="1"/>
  <c r="VE40" i="1"/>
  <c r="VF40" i="1"/>
  <c r="VG40" i="1"/>
  <c r="VH40" i="1"/>
  <c r="VI40" i="1"/>
  <c r="VJ40" i="1"/>
  <c r="VK40" i="1"/>
  <c r="VL40" i="1"/>
  <c r="VM40" i="1"/>
  <c r="VN40" i="1"/>
  <c r="VO40" i="1"/>
  <c r="VP40" i="1"/>
  <c r="VQ40" i="1"/>
  <c r="VR40" i="1"/>
  <c r="VS40" i="1"/>
  <c r="VT40" i="1"/>
  <c r="VU40" i="1"/>
  <c r="VV40" i="1"/>
  <c r="VC41" i="1"/>
  <c r="VD41" i="1"/>
  <c r="VE41" i="1"/>
  <c r="VF41" i="1"/>
  <c r="VG41" i="1"/>
  <c r="VH41" i="1"/>
  <c r="VI41" i="1"/>
  <c r="VJ41" i="1"/>
  <c r="VK41" i="1"/>
  <c r="VL41" i="1"/>
  <c r="VM41" i="1"/>
  <c r="VN41" i="1"/>
  <c r="VO41" i="1"/>
  <c r="VP41" i="1"/>
  <c r="VC51" i="3"/>
  <c r="VD51" i="3"/>
  <c r="VE51" i="3"/>
  <c r="VC52" i="3"/>
  <c r="VD52" i="3"/>
  <c r="VE52" i="3"/>
  <c r="UW51" i="3"/>
  <c r="UX51" i="3"/>
  <c r="UY51" i="3"/>
  <c r="UZ51" i="3"/>
  <c r="VA51" i="3"/>
  <c r="VB51" i="3"/>
  <c r="UW52" i="3"/>
  <c r="UX52" i="3"/>
  <c r="UY52" i="3"/>
  <c r="UZ52" i="3"/>
  <c r="VA52" i="3"/>
  <c r="VB52" i="3"/>
  <c r="UV39" i="1"/>
  <c r="UW39" i="1"/>
  <c r="UX39" i="1"/>
  <c r="UY39" i="1"/>
  <c r="UZ39" i="1"/>
  <c r="VA39" i="1"/>
  <c r="VB39" i="1"/>
  <c r="UV40" i="1"/>
  <c r="UW40" i="1"/>
  <c r="UX40" i="1"/>
  <c r="UY40" i="1"/>
  <c r="UZ40" i="1"/>
  <c r="VA40" i="1"/>
  <c r="VB40" i="1"/>
  <c r="UV41" i="1"/>
  <c r="UW41" i="1"/>
  <c r="UX41" i="1"/>
  <c r="UY41" i="1"/>
  <c r="UZ41" i="1"/>
  <c r="VA41" i="1"/>
  <c r="VB41" i="1"/>
  <c r="UP36" i="4" l="1"/>
  <c r="UQ36" i="4"/>
  <c r="UR36" i="4"/>
  <c r="US36" i="4"/>
  <c r="UT36" i="4"/>
  <c r="UU36" i="4"/>
  <c r="UV36" i="4"/>
  <c r="UW36" i="4"/>
  <c r="UX36" i="4"/>
  <c r="UY36" i="4"/>
  <c r="UZ36" i="4"/>
  <c r="VA36" i="4"/>
  <c r="VB36" i="4"/>
  <c r="VI36" i="4"/>
  <c r="UL39" i="1"/>
  <c r="UM39" i="1"/>
  <c r="UN39" i="1"/>
  <c r="UO39" i="1"/>
  <c r="UP39" i="1"/>
  <c r="UQ39" i="1"/>
  <c r="UR39" i="1"/>
  <c r="US39" i="1"/>
  <c r="UT39" i="1"/>
  <c r="UU39" i="1"/>
  <c r="UL40" i="1"/>
  <c r="UM40" i="1"/>
  <c r="UN40" i="1"/>
  <c r="UO40" i="1"/>
  <c r="UP40" i="1"/>
  <c r="UQ40" i="1"/>
  <c r="UR40" i="1"/>
  <c r="US40" i="1"/>
  <c r="UT40" i="1"/>
  <c r="UU40" i="1"/>
  <c r="UL41" i="1"/>
  <c r="UM41" i="1"/>
  <c r="UN41" i="1"/>
  <c r="UO41" i="1"/>
  <c r="UP41" i="1"/>
  <c r="UQ41" i="1"/>
  <c r="UR41" i="1"/>
  <c r="US41" i="1"/>
  <c r="UT41" i="1"/>
  <c r="UU41" i="1"/>
  <c r="UA6" i="1"/>
  <c r="UB6" i="1"/>
  <c r="UC6" i="1"/>
  <c r="UD6" i="1"/>
  <c r="UE6" i="1"/>
  <c r="UF6" i="1"/>
  <c r="UG6" i="1"/>
  <c r="UH6" i="1"/>
  <c r="UI6" i="1"/>
  <c r="UJ6" i="1"/>
  <c r="UK6" i="1"/>
  <c r="UL6" i="1"/>
  <c r="UL38" i="1" s="1"/>
  <c r="UM6" i="1"/>
  <c r="UM38" i="1" s="1"/>
  <c r="UN6" i="1"/>
  <c r="UN38" i="1" s="1"/>
  <c r="UO6" i="1"/>
  <c r="UO38" i="1" s="1"/>
  <c r="UP6" i="1"/>
  <c r="UP38" i="1" s="1"/>
  <c r="UQ6" i="1"/>
  <c r="UQ38" i="1" s="1"/>
  <c r="UR6" i="1"/>
  <c r="UR38" i="1" s="1"/>
  <c r="US6" i="1"/>
  <c r="US38" i="1" s="1"/>
  <c r="UT6" i="1"/>
  <c r="UT38" i="1" s="1"/>
  <c r="UU6" i="1"/>
  <c r="UU38" i="1" s="1"/>
  <c r="UT51" i="3"/>
  <c r="UU51" i="3"/>
  <c r="UV51" i="3"/>
  <c r="UT52" i="3"/>
  <c r="UU52" i="3"/>
  <c r="UV52" i="3"/>
  <c r="UN51" i="3"/>
  <c r="UO51" i="3"/>
  <c r="UP51" i="3"/>
  <c r="UQ51" i="3"/>
  <c r="UR51" i="3"/>
  <c r="US51" i="3"/>
  <c r="UN52" i="3"/>
  <c r="UO52" i="3"/>
  <c r="UP52" i="3"/>
  <c r="UQ52" i="3"/>
  <c r="UR52" i="3"/>
  <c r="US52" i="3"/>
  <c r="UK51" i="3"/>
  <c r="UM51" i="3"/>
  <c r="UK52" i="3"/>
  <c r="UM52" i="3"/>
  <c r="UH51" i="3"/>
  <c r="UI51" i="3"/>
  <c r="UJ51" i="3"/>
  <c r="UH52" i="3"/>
  <c r="UI52" i="3"/>
  <c r="UJ52" i="3"/>
  <c r="UB51" i="3"/>
  <c r="UC51" i="3"/>
  <c r="UD51" i="3"/>
  <c r="UE51" i="3"/>
  <c r="UF51" i="3"/>
  <c r="UG51" i="3"/>
  <c r="UB52" i="3"/>
  <c r="UC52" i="3"/>
  <c r="UD52" i="3"/>
  <c r="UE52" i="3"/>
  <c r="UF52" i="3"/>
  <c r="UG52" i="3"/>
  <c r="UK36" i="4"/>
  <c r="UL36" i="4"/>
  <c r="UM36" i="4"/>
  <c r="UN36" i="4"/>
  <c r="UO36" i="4"/>
  <c r="UE36" i="4"/>
  <c r="UF36" i="4"/>
  <c r="UG36" i="4"/>
  <c r="UH36" i="4"/>
  <c r="UI36" i="4"/>
  <c r="UJ36" i="4"/>
  <c r="UL52" i="3" l="1"/>
  <c r="UL51" i="3"/>
  <c r="UD38" i="1"/>
  <c r="UE38" i="1"/>
  <c r="UF38" i="1"/>
  <c r="UG38" i="1"/>
  <c r="UH38" i="1"/>
  <c r="UI38" i="1"/>
  <c r="UJ38" i="1"/>
  <c r="UK38" i="1"/>
  <c r="UD39" i="1"/>
  <c r="UE39" i="1"/>
  <c r="UF39" i="1"/>
  <c r="UG39" i="1"/>
  <c r="UH39" i="1"/>
  <c r="UI39" i="1"/>
  <c r="UJ39" i="1"/>
  <c r="UK39" i="1"/>
  <c r="UD40" i="1"/>
  <c r="UE40" i="1"/>
  <c r="UF40" i="1"/>
  <c r="UG40" i="1"/>
  <c r="UH40" i="1"/>
  <c r="UI40" i="1"/>
  <c r="UJ40" i="1"/>
  <c r="UK40" i="1"/>
  <c r="UD41" i="1"/>
  <c r="UE41" i="1"/>
  <c r="UF41" i="1"/>
  <c r="UG41" i="1"/>
  <c r="UH41" i="1"/>
  <c r="UI41" i="1"/>
  <c r="UJ41" i="1"/>
  <c r="UK41" i="1"/>
  <c r="TY6" i="1"/>
  <c r="TZ6" i="1"/>
  <c r="TV51" i="3"/>
  <c r="TW51" i="3"/>
  <c r="TX51" i="3"/>
  <c r="TY51" i="3"/>
  <c r="TZ51" i="3"/>
  <c r="UA51" i="3"/>
  <c r="TV52" i="3"/>
  <c r="TW52" i="3"/>
  <c r="TX52" i="3"/>
  <c r="TY52" i="3"/>
  <c r="TZ52" i="3"/>
  <c r="UA52" i="3"/>
  <c r="TY36" i="4"/>
  <c r="TZ36" i="4"/>
  <c r="UA36" i="4"/>
  <c r="UB36" i="4"/>
  <c r="UC36" i="4"/>
  <c r="UD36" i="4"/>
  <c r="TY38" i="1" l="1"/>
  <c r="TZ38" i="1"/>
  <c r="UA38" i="1"/>
  <c r="UB38" i="1"/>
  <c r="UC38" i="1"/>
  <c r="TY39" i="1"/>
  <c r="TZ39" i="1"/>
  <c r="UA39" i="1"/>
  <c r="UB39" i="1"/>
  <c r="UC39" i="1"/>
  <c r="TY40" i="1"/>
  <c r="TZ40" i="1"/>
  <c r="UA40" i="1"/>
  <c r="UB40" i="1"/>
  <c r="UC40" i="1"/>
  <c r="TY41" i="1"/>
  <c r="TZ41" i="1"/>
  <c r="UA41" i="1"/>
  <c r="UB41" i="1"/>
  <c r="UC41" i="1"/>
  <c r="TP39" i="1" l="1"/>
  <c r="TQ39" i="1"/>
  <c r="TR39" i="1"/>
  <c r="TS39" i="1"/>
  <c r="TT39" i="1"/>
  <c r="TU39" i="1"/>
  <c r="TV39" i="1"/>
  <c r="TW39" i="1"/>
  <c r="TX39" i="1"/>
  <c r="TP40" i="1"/>
  <c r="TQ40" i="1"/>
  <c r="TR40" i="1"/>
  <c r="TS40" i="1"/>
  <c r="TT40" i="1"/>
  <c r="TU40" i="1"/>
  <c r="TV40" i="1"/>
  <c r="TW40" i="1"/>
  <c r="TX40" i="1"/>
  <c r="TP41" i="1"/>
  <c r="TQ41" i="1"/>
  <c r="TR41" i="1"/>
  <c r="TS41" i="1"/>
  <c r="TT41" i="1"/>
  <c r="TU41" i="1"/>
  <c r="TV41" i="1"/>
  <c r="TW41" i="1"/>
  <c r="TX41" i="1"/>
  <c r="TM6" i="1" l="1"/>
  <c r="TN6" i="1"/>
  <c r="TO6" i="1"/>
  <c r="TP6" i="1"/>
  <c r="TP38" i="1" s="1"/>
  <c r="TQ6" i="1"/>
  <c r="TQ38" i="1" s="1"/>
  <c r="TR6" i="1"/>
  <c r="TR38" i="1" s="1"/>
  <c r="TS6" i="1"/>
  <c r="TS38" i="1" s="1"/>
  <c r="TT6" i="1"/>
  <c r="TT38" i="1" s="1"/>
  <c r="TU6" i="1"/>
  <c r="TU38" i="1" s="1"/>
  <c r="TV6" i="1"/>
  <c r="TV38" i="1" s="1"/>
  <c r="TW6" i="1"/>
  <c r="TW38" i="1" s="1"/>
  <c r="TX6" i="1"/>
  <c r="TX38" i="1" s="1"/>
  <c r="TT51" i="3" l="1"/>
  <c r="TM51" i="3"/>
  <c r="TN51" i="3"/>
  <c r="TO51" i="3"/>
  <c r="TP51" i="3"/>
  <c r="TQ51" i="3"/>
  <c r="TR51" i="3"/>
  <c r="TS51" i="3"/>
  <c r="TU51" i="3"/>
  <c r="TM52" i="3"/>
  <c r="TN52" i="3"/>
  <c r="TO52" i="3"/>
  <c r="TP52" i="3"/>
  <c r="TQ52" i="3"/>
  <c r="TR52" i="3"/>
  <c r="TS52" i="3"/>
  <c r="TT52" i="3"/>
  <c r="TU52" i="3"/>
  <c r="TP36" i="4" l="1"/>
  <c r="TQ36" i="4"/>
  <c r="TR36" i="4"/>
  <c r="TS36" i="4"/>
  <c r="TT36" i="4"/>
  <c r="TU36" i="4"/>
  <c r="TV36" i="4"/>
  <c r="TW36" i="4"/>
  <c r="TX36" i="4"/>
  <c r="TJ36" i="4"/>
  <c r="TK36" i="4"/>
  <c r="TL36" i="4"/>
  <c r="TM36" i="4"/>
  <c r="TN36" i="4"/>
  <c r="TO36" i="4"/>
  <c r="TM38" i="1"/>
  <c r="TN38" i="1"/>
  <c r="TO38" i="1"/>
  <c r="TI39" i="1"/>
  <c r="TJ39" i="1"/>
  <c r="TK39" i="1"/>
  <c r="TL39" i="1"/>
  <c r="TM39" i="1"/>
  <c r="TN39" i="1"/>
  <c r="TO39" i="1"/>
  <c r="TI40" i="1"/>
  <c r="TJ40" i="1"/>
  <c r="TK40" i="1"/>
  <c r="TL40" i="1"/>
  <c r="TM40" i="1"/>
  <c r="TN40" i="1"/>
  <c r="TO40" i="1"/>
  <c r="TI41" i="1"/>
  <c r="TJ41" i="1"/>
  <c r="TK41" i="1"/>
  <c r="TL41" i="1"/>
  <c r="TM41" i="1"/>
  <c r="TN41" i="1"/>
  <c r="TO41" i="1"/>
  <c r="SY6" i="1" l="1"/>
  <c r="SZ6" i="1"/>
  <c r="TA6" i="1"/>
  <c r="TB6" i="1"/>
  <c r="TC6" i="1"/>
  <c r="TD6" i="1"/>
  <c r="TE6" i="1"/>
  <c r="TF6" i="1"/>
  <c r="TG6" i="1"/>
  <c r="TH6" i="1"/>
  <c r="TI6" i="1"/>
  <c r="TI38" i="1" s="1"/>
  <c r="TJ6" i="1"/>
  <c r="TJ38" i="1" s="1"/>
  <c r="TK6" i="1"/>
  <c r="TK38" i="1" s="1"/>
  <c r="TL6" i="1"/>
  <c r="TL38" i="1" s="1"/>
  <c r="TF51" i="3"/>
  <c r="TG51" i="3"/>
  <c r="TH51" i="3"/>
  <c r="TI51" i="3"/>
  <c r="TJ51" i="3"/>
  <c r="TK51" i="3"/>
  <c r="TL51" i="3"/>
  <c r="TF52" i="3"/>
  <c r="TG52" i="3"/>
  <c r="TH52" i="3"/>
  <c r="TI52" i="3"/>
  <c r="TJ52" i="3"/>
  <c r="TK52" i="3"/>
  <c r="TL52" i="3"/>
  <c r="TB36" i="4"/>
  <c r="TC36" i="4"/>
  <c r="TD36" i="4"/>
  <c r="TE36" i="4"/>
  <c r="TF36" i="4"/>
  <c r="TG36" i="4"/>
  <c r="TH36" i="4"/>
  <c r="TI36" i="4"/>
  <c r="TA51" i="3" l="1"/>
  <c r="TB51" i="3"/>
  <c r="TC51" i="3"/>
  <c r="TD51" i="3"/>
  <c r="TE51" i="3"/>
  <c r="TA52" i="3"/>
  <c r="TB52" i="3"/>
  <c r="TC52" i="3"/>
  <c r="TD52" i="3"/>
  <c r="TE52" i="3"/>
  <c r="SR6" i="1"/>
  <c r="SS6" i="1"/>
  <c r="ST6" i="1"/>
  <c r="SU6" i="1"/>
  <c r="SV6" i="1"/>
  <c r="SW6" i="1"/>
  <c r="SX6" i="1"/>
  <c r="SS51" i="3"/>
  <c r="ST51" i="3"/>
  <c r="SU51" i="3"/>
  <c r="SV51" i="3"/>
  <c r="SW51" i="3"/>
  <c r="SX51" i="3"/>
  <c r="SY51" i="3"/>
  <c r="SZ51" i="3"/>
  <c r="SS52" i="3"/>
  <c r="ST52" i="3"/>
  <c r="SU52" i="3"/>
  <c r="SV52" i="3"/>
  <c r="SW52" i="3"/>
  <c r="SX52" i="3"/>
  <c r="SY52" i="3"/>
  <c r="SZ52" i="3"/>
  <c r="SV36" i="4"/>
  <c r="SW36" i="4"/>
  <c r="SX36" i="4"/>
  <c r="SY36" i="4"/>
  <c r="SZ36" i="4"/>
  <c r="TA36" i="4"/>
  <c r="SW38" i="1" l="1"/>
  <c r="SX38" i="1"/>
  <c r="SY38" i="1"/>
  <c r="SZ38" i="1"/>
  <c r="TA38" i="1"/>
  <c r="TB38" i="1"/>
  <c r="TC38" i="1"/>
  <c r="TD38" i="1"/>
  <c r="TE38" i="1"/>
  <c r="TF38" i="1"/>
  <c r="TG38" i="1"/>
  <c r="TH38" i="1"/>
  <c r="SW39" i="1"/>
  <c r="SX39" i="1"/>
  <c r="SY39" i="1"/>
  <c r="SZ39" i="1"/>
  <c r="TA39" i="1"/>
  <c r="TB39" i="1"/>
  <c r="TC39" i="1"/>
  <c r="TD39" i="1"/>
  <c r="TE39" i="1"/>
  <c r="TF39" i="1"/>
  <c r="TG39" i="1"/>
  <c r="TH39" i="1"/>
  <c r="SW40" i="1"/>
  <c r="SX40" i="1"/>
  <c r="SY40" i="1"/>
  <c r="SZ40" i="1"/>
  <c r="TA40" i="1"/>
  <c r="TB40" i="1"/>
  <c r="TC40" i="1"/>
  <c r="TD40" i="1"/>
  <c r="TE40" i="1"/>
  <c r="TF40" i="1"/>
  <c r="TG40" i="1"/>
  <c r="TH40" i="1"/>
  <c r="SW41" i="1"/>
  <c r="SX41" i="1"/>
  <c r="SY41" i="1"/>
  <c r="SZ41" i="1"/>
  <c r="TA41" i="1"/>
  <c r="TB41" i="1"/>
  <c r="TC41" i="1"/>
  <c r="TD41" i="1"/>
  <c r="TE41" i="1"/>
  <c r="TF41" i="1"/>
  <c r="TG41" i="1"/>
  <c r="TH41" i="1"/>
  <c r="SR51" i="3" l="1"/>
  <c r="SR52" i="3"/>
  <c r="SK6" i="1"/>
  <c r="SL6" i="1"/>
  <c r="SM6" i="1"/>
  <c r="SN6" i="1"/>
  <c r="SN38" i="1" s="1"/>
  <c r="SO6" i="1"/>
  <c r="SO38" i="1" s="1"/>
  <c r="SP6" i="1"/>
  <c r="SQ6" i="1"/>
  <c r="SQ36" i="4"/>
  <c r="SR36" i="4"/>
  <c r="SS36" i="4"/>
  <c r="ST36" i="4"/>
  <c r="SU36" i="4"/>
  <c r="SP38" i="1"/>
  <c r="SQ38" i="1"/>
  <c r="SR38" i="1"/>
  <c r="SS38" i="1"/>
  <c r="ST38" i="1"/>
  <c r="SU38" i="1"/>
  <c r="SV38" i="1"/>
  <c r="SP39" i="1"/>
  <c r="SQ39" i="1"/>
  <c r="SR39" i="1"/>
  <c r="SS39" i="1"/>
  <c r="ST39" i="1"/>
  <c r="SU39" i="1"/>
  <c r="SV39" i="1"/>
  <c r="SP40" i="1"/>
  <c r="SQ40" i="1"/>
  <c r="SR40" i="1"/>
  <c r="SS40" i="1"/>
  <c r="ST40" i="1"/>
  <c r="SU40" i="1"/>
  <c r="SV40" i="1"/>
  <c r="SP41" i="1"/>
  <c r="SQ41" i="1"/>
  <c r="SR41" i="1"/>
  <c r="SS41" i="1"/>
  <c r="ST41" i="1"/>
  <c r="SU41" i="1"/>
  <c r="SV41" i="1"/>
  <c r="SL38" i="1"/>
  <c r="SM38" i="1"/>
  <c r="SL51" i="3" l="1"/>
  <c r="SM51" i="3"/>
  <c r="SN51" i="3"/>
  <c r="SO51" i="3"/>
  <c r="SP51" i="3"/>
  <c r="SQ51" i="3"/>
  <c r="SL52" i="3"/>
  <c r="SM52" i="3"/>
  <c r="SN52" i="3"/>
  <c r="SO52" i="3"/>
  <c r="SP52" i="3"/>
  <c r="SQ52" i="3"/>
  <c r="SE39" i="1"/>
  <c r="SJ38" i="1"/>
  <c r="SC6" i="1"/>
  <c r="SC38" i="1" s="1"/>
  <c r="SD6" i="1"/>
  <c r="SD38" i="1" s="1"/>
  <c r="SE6" i="1"/>
  <c r="SE38" i="1" s="1"/>
  <c r="SF6" i="1"/>
  <c r="SF38" i="1" s="1"/>
  <c r="SG6" i="1"/>
  <c r="SG38" i="1" s="1"/>
  <c r="SH6" i="1"/>
  <c r="SH38" i="1" s="1"/>
  <c r="SI6" i="1"/>
  <c r="SI38" i="1" s="1"/>
  <c r="SJ6" i="1"/>
  <c r="SG36" i="4"/>
  <c r="SH36" i="4"/>
  <c r="SI36" i="4"/>
  <c r="SJ36" i="4"/>
  <c r="SK36" i="4"/>
  <c r="SL36" i="4"/>
  <c r="SM36" i="4"/>
  <c r="SN36" i="4"/>
  <c r="SO36" i="4"/>
  <c r="SP36" i="4"/>
  <c r="SK38" i="1"/>
  <c r="SC39" i="1"/>
  <c r="SD39" i="1"/>
  <c r="SF39" i="1"/>
  <c r="SG39" i="1"/>
  <c r="SH39" i="1"/>
  <c r="SI39" i="1"/>
  <c r="SJ39" i="1"/>
  <c r="SK39" i="1"/>
  <c r="SL39" i="1"/>
  <c r="SM39" i="1"/>
  <c r="SN39" i="1"/>
  <c r="SO39" i="1"/>
  <c r="SC40" i="1"/>
  <c r="SD40" i="1"/>
  <c r="SE40" i="1"/>
  <c r="SF40" i="1"/>
  <c r="SG40" i="1"/>
  <c r="SH40" i="1"/>
  <c r="SI40" i="1"/>
  <c r="SJ40" i="1"/>
  <c r="SK40" i="1"/>
  <c r="SL40" i="1"/>
  <c r="SM40" i="1"/>
  <c r="SN40" i="1"/>
  <c r="SO40" i="1"/>
  <c r="SC41" i="1"/>
  <c r="SD41" i="1"/>
  <c r="SE41" i="1"/>
  <c r="SF41" i="1"/>
  <c r="SG41" i="1"/>
  <c r="SH41" i="1"/>
  <c r="SI41" i="1"/>
  <c r="SJ41" i="1"/>
  <c r="SK41" i="1"/>
  <c r="SL41" i="1"/>
  <c r="SM41" i="1"/>
  <c r="SN41" i="1"/>
  <c r="SO41" i="1"/>
  <c r="SB39" i="1"/>
  <c r="SB40" i="1"/>
  <c r="SB41" i="1"/>
  <c r="SA36" i="4"/>
  <c r="SB36" i="4"/>
  <c r="SC36" i="4"/>
  <c r="SD36" i="4"/>
  <c r="SE36" i="4"/>
  <c r="SF36" i="4"/>
  <c r="RY6" i="1"/>
  <c r="RZ6" i="1"/>
  <c r="SA6" i="1"/>
  <c r="SB6" i="1"/>
  <c r="SB38" i="1" s="1"/>
  <c r="RP6" i="1"/>
  <c r="RQ6" i="1"/>
  <c r="RR6" i="1"/>
  <c r="RS6" i="1"/>
  <c r="RT6" i="1"/>
  <c r="RU6" i="1"/>
  <c r="RV6" i="1"/>
  <c r="RW6" i="1"/>
  <c r="RX6" i="1"/>
  <c r="RQ36" i="4"/>
  <c r="RR36" i="4"/>
  <c r="RS36" i="4"/>
  <c r="RT36" i="4"/>
  <c r="RU36" i="4"/>
  <c r="RV36" i="4"/>
  <c r="RW36" i="4"/>
  <c r="RX36" i="4"/>
  <c r="RY36" i="4"/>
  <c r="RZ36" i="4"/>
  <c r="RK6" i="1" l="1"/>
  <c r="RL6" i="1"/>
  <c r="RM6" i="1"/>
  <c r="RN6" i="1"/>
  <c r="RO6" i="1"/>
  <c r="RH6" i="1"/>
  <c r="RI6" i="1"/>
  <c r="RJ6" i="1"/>
  <c r="RA6" i="1"/>
  <c r="RB6" i="1"/>
  <c r="RC6" i="1"/>
  <c r="RD6" i="1"/>
  <c r="RE6" i="1"/>
  <c r="RF6" i="1"/>
  <c r="RG6" i="1"/>
  <c r="QV6" i="1" l="1"/>
  <c r="QW6" i="1"/>
  <c r="QX6" i="1"/>
  <c r="QY6" i="1"/>
  <c r="QZ6" i="1"/>
  <c r="RB51" i="3"/>
  <c r="RC51" i="3"/>
  <c r="RD51" i="3"/>
  <c r="RE51" i="3"/>
  <c r="RF51" i="3"/>
  <c r="RG51" i="3"/>
  <c r="RH51" i="3"/>
  <c r="RI51" i="3"/>
  <c r="RJ51" i="3"/>
  <c r="RK51" i="3"/>
  <c r="RL51" i="3"/>
  <c r="RM51" i="3"/>
  <c r="RN51" i="3"/>
  <c r="RO51" i="3"/>
  <c r="RP51" i="3"/>
  <c r="RQ51" i="3"/>
  <c r="RR51" i="3"/>
  <c r="RS51" i="3"/>
  <c r="RT51" i="3"/>
  <c r="RU51" i="3"/>
  <c r="RV51" i="3"/>
  <c r="RW51" i="3"/>
  <c r="RX51" i="3"/>
  <c r="RY51" i="3"/>
  <c r="RZ51" i="3"/>
  <c r="SA51" i="3"/>
  <c r="SB51" i="3"/>
  <c r="SC51" i="3"/>
  <c r="SD51" i="3"/>
  <c r="SE51" i="3"/>
  <c r="SF51" i="3"/>
  <c r="SG51" i="3"/>
  <c r="SH51" i="3"/>
  <c r="SI51" i="3"/>
  <c r="SJ51" i="3"/>
  <c r="SK51" i="3"/>
  <c r="RB52" i="3"/>
  <c r="RC52" i="3"/>
  <c r="RD52" i="3"/>
  <c r="RE52" i="3"/>
  <c r="RF52" i="3"/>
  <c r="RG52" i="3"/>
  <c r="RH52" i="3"/>
  <c r="RI52" i="3"/>
  <c r="RJ52" i="3"/>
  <c r="RK52" i="3"/>
  <c r="RL52" i="3"/>
  <c r="RM52" i="3"/>
  <c r="RN52" i="3"/>
  <c r="RO52" i="3"/>
  <c r="RP52" i="3"/>
  <c r="RQ52" i="3"/>
  <c r="RR52" i="3"/>
  <c r="RS52" i="3"/>
  <c r="RT52" i="3"/>
  <c r="RU52" i="3"/>
  <c r="RV52" i="3"/>
  <c r="RW52" i="3"/>
  <c r="RX52" i="3"/>
  <c r="RY52" i="3"/>
  <c r="RZ52" i="3"/>
  <c r="SA52" i="3"/>
  <c r="SB52" i="3"/>
  <c r="SC52" i="3"/>
  <c r="SD52" i="3"/>
  <c r="SE52" i="3"/>
  <c r="SF52" i="3"/>
  <c r="SG52" i="3"/>
  <c r="SH52" i="3"/>
  <c r="SI52" i="3"/>
  <c r="SJ52" i="3"/>
  <c r="SK52" i="3"/>
  <c r="RA38" i="1"/>
  <c r="RB38" i="1"/>
  <c r="RC38" i="1"/>
  <c r="RD38" i="1"/>
  <c r="RE38" i="1"/>
  <c r="RF38" i="1"/>
  <c r="RG38" i="1"/>
  <c r="RH38" i="1"/>
  <c r="RI38" i="1"/>
  <c r="RJ38" i="1"/>
  <c r="RK38" i="1"/>
  <c r="RL38" i="1"/>
  <c r="RM38" i="1"/>
  <c r="RN38" i="1"/>
  <c r="RO38" i="1"/>
  <c r="RP38" i="1"/>
  <c r="RQ38" i="1"/>
  <c r="RR38" i="1"/>
  <c r="RS38" i="1"/>
  <c r="RT38" i="1"/>
  <c r="RU38" i="1"/>
  <c r="RV38" i="1"/>
  <c r="RW38" i="1"/>
  <c r="RX38" i="1"/>
  <c r="RY38" i="1"/>
  <c r="RZ38" i="1"/>
  <c r="SA38" i="1"/>
  <c r="RA39" i="1"/>
  <c r="RB39" i="1"/>
  <c r="RC39" i="1"/>
  <c r="RD39" i="1"/>
  <c r="RE39" i="1"/>
  <c r="RF39" i="1"/>
  <c r="RG39" i="1"/>
  <c r="RH39" i="1"/>
  <c r="RI39" i="1"/>
  <c r="RJ39" i="1"/>
  <c r="RK39" i="1"/>
  <c r="RL39" i="1"/>
  <c r="RM39" i="1"/>
  <c r="RN39" i="1"/>
  <c r="RO39" i="1"/>
  <c r="RP39" i="1"/>
  <c r="RQ39" i="1"/>
  <c r="RR39" i="1"/>
  <c r="RS39" i="1"/>
  <c r="RT39" i="1"/>
  <c r="RU39" i="1"/>
  <c r="RV39" i="1"/>
  <c r="RW39" i="1"/>
  <c r="RX39" i="1"/>
  <c r="RY39" i="1"/>
  <c r="RZ39" i="1"/>
  <c r="SA39" i="1"/>
  <c r="RA40" i="1"/>
  <c r="RB40" i="1"/>
  <c r="RC40" i="1"/>
  <c r="RD40" i="1"/>
  <c r="RE40" i="1"/>
  <c r="RF40" i="1"/>
  <c r="RG40" i="1"/>
  <c r="RH40" i="1"/>
  <c r="RI40" i="1"/>
  <c r="RJ40" i="1"/>
  <c r="RK40" i="1"/>
  <c r="RL40" i="1"/>
  <c r="RM40" i="1"/>
  <c r="RN40" i="1"/>
  <c r="RO40" i="1"/>
  <c r="RP40" i="1"/>
  <c r="RQ40" i="1"/>
  <c r="RR40" i="1"/>
  <c r="RS40" i="1"/>
  <c r="RT40" i="1"/>
  <c r="RU40" i="1"/>
  <c r="RV40" i="1"/>
  <c r="RW40" i="1"/>
  <c r="RX40" i="1"/>
  <c r="RY40" i="1"/>
  <c r="RZ40" i="1"/>
  <c r="SA40" i="1"/>
  <c r="RA41" i="1"/>
  <c r="RB41" i="1"/>
  <c r="RC41" i="1"/>
  <c r="RD41" i="1"/>
  <c r="RE41" i="1"/>
  <c r="RF41" i="1"/>
  <c r="RG41" i="1"/>
  <c r="RH41" i="1"/>
  <c r="RI41" i="1"/>
  <c r="RJ41" i="1"/>
  <c r="RK41" i="1"/>
  <c r="RL41" i="1"/>
  <c r="RM41" i="1"/>
  <c r="RN41" i="1"/>
  <c r="RO41" i="1"/>
  <c r="RP41" i="1"/>
  <c r="RQ41" i="1"/>
  <c r="RR41" i="1"/>
  <c r="RS41" i="1"/>
  <c r="RT41" i="1"/>
  <c r="RU41" i="1"/>
  <c r="RV41" i="1"/>
  <c r="RW41" i="1"/>
  <c r="RX41" i="1"/>
  <c r="RY41" i="1"/>
  <c r="RZ41" i="1"/>
  <c r="SA41" i="1"/>
  <c r="QW38" i="1"/>
  <c r="QX38" i="1"/>
  <c r="QY38" i="1"/>
  <c r="QZ38" i="1"/>
  <c r="QW39" i="1"/>
  <c r="QX39" i="1"/>
  <c r="QY39" i="1"/>
  <c r="QZ39" i="1"/>
  <c r="QW40" i="1"/>
  <c r="QX40" i="1"/>
  <c r="QY40" i="1"/>
  <c r="QZ40" i="1"/>
  <c r="QW41" i="1"/>
  <c r="QX41" i="1"/>
  <c r="QY41" i="1"/>
  <c r="QZ41" i="1"/>
  <c r="QV38" i="1"/>
  <c r="RA51" i="3"/>
  <c r="RA52" i="3"/>
  <c r="QV51" i="3"/>
  <c r="QW51" i="3"/>
  <c r="QX51" i="3"/>
  <c r="QY51" i="3"/>
  <c r="QZ51" i="3"/>
  <c r="QV52" i="3"/>
  <c r="QW52" i="3"/>
  <c r="QX52" i="3"/>
  <c r="QY52" i="3"/>
  <c r="QZ52" i="3"/>
  <c r="QO6" i="1"/>
  <c r="QO38" i="1" s="1"/>
  <c r="QP6" i="1"/>
  <c r="QP38" i="1" s="1"/>
  <c r="QQ6" i="1"/>
  <c r="QQ38" i="1" s="1"/>
  <c r="QR6" i="1"/>
  <c r="QR38" i="1" s="1"/>
  <c r="QS6" i="1"/>
  <c r="QS38" i="1" s="1"/>
  <c r="QT6" i="1"/>
  <c r="QT38" i="1" s="1"/>
  <c r="QU6" i="1"/>
  <c r="QU38" i="1" s="1"/>
  <c r="QN6" i="1"/>
  <c r="QP39" i="1"/>
  <c r="QQ39" i="1"/>
  <c r="QR39" i="1"/>
  <c r="QS39" i="1"/>
  <c r="QT39" i="1"/>
  <c r="QU39" i="1"/>
  <c r="QV39" i="1"/>
  <c r="QP40" i="1"/>
  <c r="QQ40" i="1"/>
  <c r="QR40" i="1"/>
  <c r="QS40" i="1"/>
  <c r="QT40" i="1"/>
  <c r="QU40" i="1"/>
  <c r="QV40" i="1"/>
  <c r="QP41" i="1"/>
  <c r="QQ41" i="1"/>
  <c r="QR41" i="1"/>
  <c r="QS41" i="1"/>
  <c r="QT41" i="1"/>
  <c r="QU41" i="1"/>
  <c r="QV41" i="1"/>
  <c r="QT51" i="3" l="1"/>
  <c r="QU51" i="3"/>
  <c r="QT52" i="3"/>
  <c r="QU52" i="3"/>
  <c r="QN38" i="1"/>
  <c r="QJ39" i="1"/>
  <c r="QK39" i="1"/>
  <c r="QL39" i="1"/>
  <c r="QM39" i="1"/>
  <c r="QN39" i="1"/>
  <c r="QO39" i="1"/>
  <c r="QJ40" i="1"/>
  <c r="QK40" i="1"/>
  <c r="QL40" i="1"/>
  <c r="QM40" i="1"/>
  <c r="QN40" i="1"/>
  <c r="QO40" i="1"/>
  <c r="QJ41" i="1"/>
  <c r="QK41" i="1"/>
  <c r="QL41" i="1"/>
  <c r="QM41" i="1"/>
  <c r="QN41" i="1"/>
  <c r="QO41" i="1"/>
  <c r="QH6" i="1"/>
  <c r="QI6" i="1"/>
  <c r="QJ6" i="1"/>
  <c r="QJ38" i="1" s="1"/>
  <c r="QK6" i="1"/>
  <c r="QK38" i="1" s="1"/>
  <c r="QL6" i="1"/>
  <c r="QL38" i="1" s="1"/>
  <c r="QM6" i="1"/>
  <c r="QM38" i="1" s="1"/>
  <c r="QG6" i="1"/>
  <c r="QF6" i="1"/>
  <c r="QI51" i="3"/>
  <c r="QJ51" i="3"/>
  <c r="QK51" i="3"/>
  <c r="QL51" i="3"/>
  <c r="QM51" i="3"/>
  <c r="QN51" i="3"/>
  <c r="QO51" i="3"/>
  <c r="QP51" i="3"/>
  <c r="QQ51" i="3"/>
  <c r="QR51" i="3"/>
  <c r="QS51" i="3"/>
  <c r="QI52" i="3"/>
  <c r="QJ52" i="3"/>
  <c r="QK52" i="3"/>
  <c r="QL52" i="3"/>
  <c r="QM52" i="3"/>
  <c r="QN52" i="3"/>
  <c r="QO52" i="3"/>
  <c r="QP52" i="3"/>
  <c r="QQ52" i="3"/>
  <c r="QR52" i="3"/>
  <c r="QS52" i="3"/>
  <c r="QA6" i="1"/>
  <c r="PV6" i="1"/>
  <c r="PW6" i="1"/>
  <c r="PX6" i="1"/>
  <c r="PY6" i="1"/>
  <c r="PZ6" i="1"/>
  <c r="QB6" i="1"/>
  <c r="QC6" i="1"/>
  <c r="QD6" i="1"/>
  <c r="QE6" i="1"/>
  <c r="PV51" i="3"/>
  <c r="PW51" i="3"/>
  <c r="PX51" i="3"/>
  <c r="PY51" i="3"/>
  <c r="PZ51" i="3"/>
  <c r="QA51" i="3"/>
  <c r="QB51" i="3"/>
  <c r="QC51" i="3"/>
  <c r="QD51" i="3"/>
  <c r="QE51" i="3"/>
  <c r="QF51" i="3"/>
  <c r="QG51" i="3"/>
  <c r="QH51" i="3"/>
  <c r="PV52" i="3"/>
  <c r="PW52" i="3"/>
  <c r="PX52" i="3"/>
  <c r="PY52" i="3"/>
  <c r="PZ52" i="3"/>
  <c r="QA52" i="3"/>
  <c r="QB52" i="3"/>
  <c r="QC52" i="3"/>
  <c r="QD52" i="3"/>
  <c r="QE52" i="3"/>
  <c r="QF52" i="3"/>
  <c r="QG52" i="3"/>
  <c r="QH52" i="3"/>
  <c r="QG36" i="4"/>
  <c r="QH36" i="4"/>
  <c r="QI36" i="4"/>
  <c r="QJ36" i="4"/>
  <c r="QK36" i="4"/>
  <c r="QL36" i="4"/>
  <c r="QM36" i="4"/>
  <c r="QN36" i="4"/>
  <c r="QO36" i="4"/>
  <c r="QP36" i="4"/>
  <c r="QQ36" i="4"/>
  <c r="QR36" i="4"/>
  <c r="QS36" i="4"/>
  <c r="QT36" i="4"/>
  <c r="QU36" i="4"/>
  <c r="QV36" i="4"/>
  <c r="QW36" i="4"/>
  <c r="QX36" i="4"/>
  <c r="QY36" i="4"/>
  <c r="QZ36" i="4"/>
  <c r="RA36" i="4"/>
  <c r="RB36" i="4"/>
  <c r="RC36" i="4"/>
  <c r="RD36" i="4"/>
  <c r="RE36" i="4"/>
  <c r="RF36" i="4"/>
  <c r="RG36" i="4"/>
  <c r="RH36" i="4"/>
  <c r="RI36" i="4"/>
  <c r="RJ36" i="4"/>
  <c r="RK36" i="4"/>
  <c r="RL36" i="4"/>
  <c r="RM36" i="4"/>
  <c r="RN36" i="4"/>
  <c r="RO36" i="4"/>
  <c r="RP36" i="4"/>
  <c r="QC38" i="1" l="1"/>
  <c r="QD38" i="1"/>
  <c r="QE38" i="1"/>
  <c r="QF38" i="1"/>
  <c r="QG38" i="1"/>
  <c r="QH38" i="1"/>
  <c r="QI38" i="1"/>
  <c r="QC39" i="1"/>
  <c r="QD39" i="1"/>
  <c r="QE39" i="1"/>
  <c r="QF39" i="1"/>
  <c r="QG39" i="1"/>
  <c r="QH39" i="1"/>
  <c r="QI39" i="1"/>
  <c r="QC40" i="1"/>
  <c r="QD40" i="1"/>
  <c r="QE40" i="1"/>
  <c r="QF40" i="1"/>
  <c r="QG40" i="1"/>
  <c r="QH40" i="1"/>
  <c r="QI40" i="1"/>
  <c r="QC41" i="1"/>
  <c r="QD41" i="1"/>
  <c r="QE41" i="1"/>
  <c r="QF41" i="1"/>
  <c r="QG41" i="1"/>
  <c r="QH41" i="1"/>
  <c r="QI41" i="1"/>
  <c r="QA36" i="4"/>
  <c r="QB36" i="4"/>
  <c r="QC36" i="4"/>
  <c r="QD36" i="4"/>
  <c r="QE36" i="4"/>
  <c r="QF36" i="4"/>
  <c r="PW40" i="1"/>
  <c r="PV38" i="1"/>
  <c r="PW38" i="1"/>
  <c r="PX38" i="1"/>
  <c r="PY38" i="1"/>
  <c r="PZ38" i="1"/>
  <c r="QA38" i="1"/>
  <c r="QB38" i="1"/>
  <c r="PV39" i="1"/>
  <c r="PW39" i="1"/>
  <c r="PX39" i="1"/>
  <c r="PY39" i="1"/>
  <c r="PZ39" i="1"/>
  <c r="QA39" i="1"/>
  <c r="QB39" i="1"/>
  <c r="PV40" i="1"/>
  <c r="PX40" i="1"/>
  <c r="PY40" i="1"/>
  <c r="PZ40" i="1"/>
  <c r="QA40" i="1"/>
  <c r="QB40" i="1"/>
  <c r="PV41" i="1"/>
  <c r="PW41" i="1"/>
  <c r="PX41" i="1"/>
  <c r="PY41" i="1"/>
  <c r="PZ41" i="1"/>
  <c r="QA41" i="1"/>
  <c r="QB41" i="1"/>
  <c r="PM6" i="1" l="1"/>
  <c r="PN6" i="1"/>
  <c r="PO6" i="1"/>
  <c r="PP6" i="1"/>
  <c r="PQ6" i="1"/>
  <c r="PR6" i="1"/>
  <c r="PS6" i="1"/>
  <c r="PT6" i="1"/>
  <c r="PS51" i="3" l="1"/>
  <c r="PT51" i="3"/>
  <c r="PU51" i="3"/>
  <c r="PS52" i="3"/>
  <c r="PT52" i="3"/>
  <c r="PU52" i="3"/>
  <c r="PO51" i="3"/>
  <c r="PP51" i="3"/>
  <c r="PQ51" i="3"/>
  <c r="PR51" i="3"/>
  <c r="PO52" i="3"/>
  <c r="PP52" i="3"/>
  <c r="PQ52" i="3"/>
  <c r="PR52" i="3"/>
  <c r="PF6" i="1" l="1"/>
  <c r="PG6" i="1"/>
  <c r="PH6" i="1"/>
  <c r="PI6" i="1"/>
  <c r="PJ6" i="1"/>
  <c r="PK6" i="1"/>
  <c r="PL6" i="1"/>
  <c r="PL51" i="3"/>
  <c r="PM51" i="3"/>
  <c r="PN51" i="3"/>
  <c r="PL52" i="3"/>
  <c r="PM52" i="3"/>
  <c r="PN52" i="3"/>
  <c r="PG51" i="3"/>
  <c r="PH51" i="3"/>
  <c r="PI51" i="3"/>
  <c r="PJ51" i="3"/>
  <c r="PK51" i="3"/>
  <c r="PG52" i="3"/>
  <c r="PH52" i="3"/>
  <c r="PI52" i="3"/>
  <c r="PJ52" i="3"/>
  <c r="PK52" i="3"/>
  <c r="PZ36" i="4"/>
  <c r="PY36" i="4"/>
  <c r="PX36" i="4"/>
  <c r="PW36" i="4"/>
  <c r="PV36" i="4"/>
  <c r="PU36" i="4"/>
  <c r="PT36" i="4"/>
  <c r="PS36" i="4"/>
  <c r="PR36" i="4"/>
  <c r="PQ36" i="4"/>
  <c r="PP36" i="4"/>
  <c r="PO36" i="4"/>
  <c r="PN36" i="4"/>
  <c r="PM36" i="4"/>
  <c r="PL36" i="4"/>
  <c r="PK38" i="1" l="1"/>
  <c r="PL38" i="1"/>
  <c r="PM38" i="1"/>
  <c r="PN38" i="1"/>
  <c r="PO38" i="1"/>
  <c r="PP38" i="1"/>
  <c r="PQ38" i="1"/>
  <c r="PR38" i="1"/>
  <c r="PS38" i="1"/>
  <c r="PT38" i="1"/>
  <c r="PU38" i="1"/>
  <c r="PK39" i="1"/>
  <c r="PL39" i="1"/>
  <c r="PM39" i="1"/>
  <c r="PN39" i="1"/>
  <c r="PO39" i="1"/>
  <c r="PP39" i="1"/>
  <c r="PQ39" i="1"/>
  <c r="PR39" i="1"/>
  <c r="PS39" i="1"/>
  <c r="PT39" i="1"/>
  <c r="PU39" i="1"/>
  <c r="PK40" i="1"/>
  <c r="PL40" i="1"/>
  <c r="PM40" i="1"/>
  <c r="PN40" i="1"/>
  <c r="PO40" i="1"/>
  <c r="PP40" i="1"/>
  <c r="PQ40" i="1"/>
  <c r="PR40" i="1"/>
  <c r="PS40" i="1"/>
  <c r="PT40" i="1"/>
  <c r="PU40" i="1"/>
  <c r="PK41" i="1"/>
  <c r="PL41" i="1"/>
  <c r="PM41" i="1"/>
  <c r="PN41" i="1"/>
  <c r="PO41" i="1"/>
  <c r="PP41" i="1"/>
  <c r="PQ41" i="1"/>
  <c r="PR41" i="1"/>
  <c r="PS41" i="1"/>
  <c r="PT41" i="1"/>
  <c r="PU41" i="1"/>
  <c r="OI6" i="1"/>
  <c r="OQ6" i="1"/>
  <c r="OR6" i="1"/>
  <c r="OS6" i="1"/>
  <c r="OT6" i="1"/>
  <c r="OU6" i="1"/>
  <c r="OV6" i="1"/>
  <c r="OW6" i="1"/>
  <c r="OX6" i="1"/>
  <c r="OY6" i="1"/>
  <c r="OY38" i="1" s="1"/>
  <c r="OZ6" i="1"/>
  <c r="OZ38" i="1" s="1"/>
  <c r="PA6" i="1"/>
  <c r="PA38" i="1" s="1"/>
  <c r="PB6" i="1"/>
  <c r="PB38" i="1" s="1"/>
  <c r="PC6" i="1"/>
  <c r="PC38" i="1" s="1"/>
  <c r="PD6" i="1"/>
  <c r="PD38" i="1" s="1"/>
  <c r="PE6" i="1"/>
  <c r="PE38" i="1" s="1"/>
  <c r="OZ51" i="3"/>
  <c r="PA51" i="3"/>
  <c r="PB51" i="3"/>
  <c r="PC51" i="3"/>
  <c r="PD51" i="3"/>
  <c r="PE51" i="3"/>
  <c r="PF51" i="3"/>
  <c r="OZ52" i="3"/>
  <c r="PA52" i="3"/>
  <c r="PB52" i="3"/>
  <c r="PC52" i="3"/>
  <c r="PD52" i="3"/>
  <c r="PE52" i="3"/>
  <c r="PF52" i="3"/>
  <c r="PF38" i="1"/>
  <c r="PG38" i="1"/>
  <c r="PH38" i="1"/>
  <c r="PI38" i="1"/>
  <c r="PJ38" i="1"/>
  <c r="OY39" i="1"/>
  <c r="OZ39" i="1"/>
  <c r="PA39" i="1"/>
  <c r="PB39" i="1"/>
  <c r="PC39" i="1"/>
  <c r="PD39" i="1"/>
  <c r="PE39" i="1"/>
  <c r="PF39" i="1"/>
  <c r="PG39" i="1"/>
  <c r="PH39" i="1"/>
  <c r="PI39" i="1"/>
  <c r="PJ39" i="1"/>
  <c r="OY40" i="1"/>
  <c r="OZ40" i="1"/>
  <c r="PA40" i="1"/>
  <c r="PB40" i="1"/>
  <c r="PC40" i="1"/>
  <c r="PD40" i="1"/>
  <c r="PE40" i="1"/>
  <c r="PF40" i="1"/>
  <c r="PG40" i="1"/>
  <c r="PH40" i="1"/>
  <c r="PI40" i="1"/>
  <c r="PJ40" i="1"/>
  <c r="OY41" i="1"/>
  <c r="OZ41" i="1"/>
  <c r="PA41" i="1"/>
  <c r="PB41" i="1"/>
  <c r="PC41" i="1"/>
  <c r="PD41" i="1"/>
  <c r="PE41" i="1"/>
  <c r="PF41" i="1"/>
  <c r="PG41" i="1"/>
  <c r="PH41" i="1"/>
  <c r="PI41" i="1"/>
  <c r="PJ41" i="1"/>
  <c r="OR38" i="1" l="1"/>
  <c r="OS38" i="1"/>
  <c r="OT38" i="1"/>
  <c r="OU38" i="1"/>
  <c r="OV38" i="1"/>
  <c r="OW38" i="1"/>
  <c r="OX38" i="1"/>
  <c r="OR39" i="1"/>
  <c r="OS39" i="1"/>
  <c r="OT39" i="1"/>
  <c r="OU39" i="1"/>
  <c r="OV39" i="1"/>
  <c r="OW39" i="1"/>
  <c r="OX39" i="1"/>
  <c r="OR40" i="1"/>
  <c r="OS40" i="1"/>
  <c r="OT40" i="1"/>
  <c r="OU40" i="1"/>
  <c r="OV40" i="1"/>
  <c r="OW40" i="1"/>
  <c r="OX40" i="1"/>
  <c r="OR41" i="1"/>
  <c r="OS41" i="1"/>
  <c r="OT41" i="1"/>
  <c r="OU41" i="1"/>
  <c r="OV41" i="1"/>
  <c r="OW41" i="1"/>
  <c r="OX41" i="1"/>
  <c r="OK6" i="1"/>
  <c r="OL6" i="1"/>
  <c r="OM6" i="1"/>
  <c r="OM38" i="1" s="1"/>
  <c r="ON6" i="1"/>
  <c r="ON38" i="1" s="1"/>
  <c r="OO6" i="1"/>
  <c r="OO38" i="1" s="1"/>
  <c r="OP6" i="1"/>
  <c r="OP38" i="1" s="1"/>
  <c r="OR51" i="3"/>
  <c r="OS51" i="3"/>
  <c r="OT51" i="3"/>
  <c r="OU51" i="3"/>
  <c r="OV51" i="3"/>
  <c r="OW51" i="3"/>
  <c r="OX51" i="3"/>
  <c r="OY51" i="3"/>
  <c r="OR52" i="3"/>
  <c r="OS52" i="3"/>
  <c r="OT52" i="3"/>
  <c r="OU52" i="3"/>
  <c r="OV52" i="3"/>
  <c r="OW52" i="3"/>
  <c r="OX52" i="3"/>
  <c r="OY52" i="3"/>
  <c r="OQ51" i="3"/>
  <c r="OQ52" i="3"/>
  <c r="OJ51" i="3"/>
  <c r="OK51" i="3"/>
  <c r="OL51" i="3"/>
  <c r="OM51" i="3"/>
  <c r="ON51" i="3"/>
  <c r="OO51" i="3"/>
  <c r="OP51" i="3"/>
  <c r="OJ52" i="3"/>
  <c r="OK52" i="3"/>
  <c r="OL52" i="3"/>
  <c r="OM52" i="3"/>
  <c r="ON52" i="3"/>
  <c r="OO52" i="3"/>
  <c r="OP52" i="3"/>
  <c r="OQ38" i="1"/>
  <c r="OM39" i="1"/>
  <c r="ON39" i="1"/>
  <c r="OO39" i="1"/>
  <c r="OP39" i="1"/>
  <c r="OQ39" i="1"/>
  <c r="OM40" i="1"/>
  <c r="ON40" i="1"/>
  <c r="OO40" i="1"/>
  <c r="OP40" i="1"/>
  <c r="OQ40" i="1"/>
  <c r="OM41" i="1"/>
  <c r="ON41" i="1"/>
  <c r="OO41" i="1"/>
  <c r="OP41" i="1"/>
  <c r="OQ41" i="1"/>
  <c r="OJ6" i="1" l="1"/>
  <c r="OD6" i="1"/>
  <c r="OE6" i="1"/>
  <c r="OF6" i="1"/>
  <c r="OG6" i="1"/>
  <c r="OG38" i="1" s="1"/>
  <c r="OH6" i="1"/>
  <c r="OH38" i="1" s="1"/>
  <c r="OI38" i="1"/>
  <c r="OA6" i="1"/>
  <c r="OE51" i="3"/>
  <c r="OF51" i="3"/>
  <c r="OG51" i="3"/>
  <c r="OH51" i="3"/>
  <c r="OI51" i="3"/>
  <c r="OE52" i="3"/>
  <c r="OF52" i="3"/>
  <c r="OG52" i="3"/>
  <c r="OH52" i="3"/>
  <c r="OI52" i="3"/>
  <c r="OE38" i="1"/>
  <c r="OF38" i="1"/>
  <c r="OJ38" i="1"/>
  <c r="OK38" i="1"/>
  <c r="OL38" i="1"/>
  <c r="OE39" i="1"/>
  <c r="OF39" i="1"/>
  <c r="OG39" i="1"/>
  <c r="OH39" i="1"/>
  <c r="OI39" i="1"/>
  <c r="OJ39" i="1"/>
  <c r="OK39" i="1"/>
  <c r="OL39" i="1"/>
  <c r="OE40" i="1"/>
  <c r="OF40" i="1"/>
  <c r="OG40" i="1"/>
  <c r="OH40" i="1"/>
  <c r="OI40" i="1"/>
  <c r="OJ40" i="1"/>
  <c r="OK40" i="1"/>
  <c r="OL40" i="1"/>
  <c r="OE41" i="1"/>
  <c r="OF41" i="1"/>
  <c r="OG41" i="1"/>
  <c r="OH41" i="1"/>
  <c r="OI41" i="1"/>
  <c r="OJ41" i="1"/>
  <c r="OK41" i="1"/>
  <c r="OL41" i="1"/>
  <c r="OK36" i="4"/>
  <c r="OL36" i="4"/>
  <c r="OM36" i="4"/>
  <c r="ON36" i="4"/>
  <c r="OO36" i="4"/>
  <c r="OP36" i="4"/>
  <c r="OQ36" i="4"/>
  <c r="OR36" i="4"/>
  <c r="OS36" i="4"/>
  <c r="OT36" i="4"/>
  <c r="OU36" i="4"/>
  <c r="OV36" i="4"/>
  <c r="OW36" i="4"/>
  <c r="OX36" i="4"/>
  <c r="OY36" i="4"/>
  <c r="OZ36" i="4"/>
  <c r="PA36" i="4"/>
  <c r="PB36" i="4"/>
  <c r="PC36" i="4"/>
  <c r="PD36" i="4"/>
  <c r="PE36" i="4"/>
  <c r="PF36" i="4"/>
  <c r="PG36" i="4"/>
  <c r="PH36" i="4"/>
  <c r="PI36" i="4"/>
  <c r="PJ36" i="4"/>
  <c r="PK36" i="4"/>
  <c r="NN6" i="1" l="1"/>
  <c r="NO6" i="1"/>
  <c r="NO38" i="1" s="1"/>
  <c r="NP6" i="1"/>
  <c r="NQ6" i="1"/>
  <c r="NR6" i="1"/>
  <c r="NS6" i="1"/>
  <c r="NT6" i="1"/>
  <c r="NT38" i="1" s="1"/>
  <c r="NU6" i="1"/>
  <c r="NU38" i="1" s="1"/>
  <c r="NV6" i="1"/>
  <c r="NV38" i="1" s="1"/>
  <c r="NW6" i="1"/>
  <c r="NW38" i="1" s="1"/>
  <c r="NX6" i="1"/>
  <c r="NX38" i="1" s="1"/>
  <c r="NY6" i="1"/>
  <c r="NY38" i="1" s="1"/>
  <c r="NZ6" i="1"/>
  <c r="NZ38" i="1" s="1"/>
  <c r="OB6" i="1"/>
  <c r="OB38" i="1" s="1"/>
  <c r="OC6" i="1"/>
  <c r="OC38" i="1" s="1"/>
  <c r="NM6" i="1"/>
  <c r="NM38" i="1" s="1"/>
  <c r="OA38" i="1"/>
  <c r="OD38" i="1"/>
  <c r="NW39" i="1"/>
  <c r="NX39" i="1"/>
  <c r="NY39" i="1"/>
  <c r="NZ39" i="1"/>
  <c r="OA39" i="1"/>
  <c r="OB39" i="1"/>
  <c r="OC39" i="1"/>
  <c r="OD39" i="1"/>
  <c r="NW40" i="1"/>
  <c r="NX40" i="1"/>
  <c r="NY40" i="1"/>
  <c r="NZ40" i="1"/>
  <c r="OA40" i="1"/>
  <c r="OB40" i="1"/>
  <c r="OC40" i="1"/>
  <c r="OD40" i="1"/>
  <c r="NW41" i="1"/>
  <c r="NX41" i="1"/>
  <c r="NY41" i="1"/>
  <c r="NZ41" i="1"/>
  <c r="OA41" i="1"/>
  <c r="OB41" i="1"/>
  <c r="OC41" i="1"/>
  <c r="OD41" i="1"/>
  <c r="NY51" i="3"/>
  <c r="NZ51" i="3"/>
  <c r="OA51" i="3"/>
  <c r="OB51" i="3"/>
  <c r="OC51" i="3"/>
  <c r="OD51" i="3"/>
  <c r="NY52" i="3"/>
  <c r="NZ52" i="3"/>
  <c r="OA52" i="3"/>
  <c r="OB52" i="3"/>
  <c r="OC52" i="3"/>
  <c r="OD52" i="3"/>
  <c r="NP38" i="1"/>
  <c r="NQ38" i="1"/>
  <c r="NR38" i="1"/>
  <c r="NS38" i="1"/>
  <c r="NP39" i="1"/>
  <c r="NQ39" i="1"/>
  <c r="NR39" i="1"/>
  <c r="NS39" i="1"/>
  <c r="NT39" i="1"/>
  <c r="NU39" i="1"/>
  <c r="NV39" i="1"/>
  <c r="NP40" i="1"/>
  <c r="NQ40" i="1"/>
  <c r="NR40" i="1"/>
  <c r="NS40" i="1"/>
  <c r="NT40" i="1"/>
  <c r="NU40" i="1"/>
  <c r="NV40" i="1"/>
  <c r="NP41" i="1"/>
  <c r="NQ41" i="1"/>
  <c r="NR41" i="1"/>
  <c r="NS41" i="1"/>
  <c r="NT41" i="1"/>
  <c r="NU41" i="1"/>
  <c r="NV41" i="1"/>
  <c r="NQ51" i="3"/>
  <c r="NR51" i="3"/>
  <c r="NS51" i="3"/>
  <c r="NT51" i="3"/>
  <c r="NU51" i="3"/>
  <c r="NV51" i="3"/>
  <c r="NW51" i="3"/>
  <c r="NX51" i="3"/>
  <c r="NQ52" i="3"/>
  <c r="NR52" i="3"/>
  <c r="NS52" i="3"/>
  <c r="NT52" i="3"/>
  <c r="NU52" i="3"/>
  <c r="NV52" i="3"/>
  <c r="NW52" i="3"/>
  <c r="NX52" i="3"/>
  <c r="NN38" i="1"/>
  <c r="NM39" i="1"/>
  <c r="NN39" i="1"/>
  <c r="NO39" i="1"/>
  <c r="NM40" i="1"/>
  <c r="NN40" i="1"/>
  <c r="NO40" i="1"/>
  <c r="NM41" i="1"/>
  <c r="NN41" i="1"/>
  <c r="NO41" i="1"/>
  <c r="NL51" i="3"/>
  <c r="NM51" i="3"/>
  <c r="NN51" i="3"/>
  <c r="NO51" i="3"/>
  <c r="NP51" i="3"/>
  <c r="NL52" i="3"/>
  <c r="NM52" i="3"/>
  <c r="NN52" i="3"/>
  <c r="NO52" i="3"/>
  <c r="NP52" i="3"/>
  <c r="NK38" i="1"/>
  <c r="NL38" i="1" l="1"/>
  <c r="NL39" i="1"/>
  <c r="NL40" i="1"/>
  <c r="NL41" i="1"/>
  <c r="NJ52" i="3"/>
  <c r="NJ51" i="3"/>
  <c r="NC51" i="3"/>
  <c r="ND51" i="3"/>
  <c r="NE51" i="3"/>
  <c r="NF51" i="3"/>
  <c r="NG51" i="3"/>
  <c r="NH51" i="3"/>
  <c r="NI51" i="3"/>
  <c r="NK51" i="3"/>
  <c r="NC52" i="3"/>
  <c r="ND52" i="3"/>
  <c r="NE52" i="3"/>
  <c r="NF52" i="3"/>
  <c r="NG52" i="3"/>
  <c r="NH52" i="3"/>
  <c r="NI52" i="3"/>
  <c r="NK52" i="3"/>
  <c r="MH38" i="1"/>
  <c r="MH39" i="1"/>
  <c r="NA38" i="1"/>
  <c r="NA51" i="3"/>
  <c r="NB51" i="3"/>
  <c r="NA52" i="3"/>
  <c r="NB52" i="3"/>
  <c r="MN38" i="1"/>
  <c r="MT38" i="1"/>
  <c r="MU38" i="1"/>
  <c r="MV38" i="1"/>
  <c r="MW38" i="1"/>
  <c r="MX38" i="1"/>
  <c r="MY38" i="1"/>
  <c r="MZ38" i="1"/>
  <c r="NB38" i="1"/>
  <c r="NC38" i="1"/>
  <c r="ND38" i="1"/>
  <c r="NE38" i="1"/>
  <c r="NF38" i="1"/>
  <c r="NG38" i="1"/>
  <c r="NH38" i="1"/>
  <c r="NI38" i="1"/>
  <c r="NJ38" i="1"/>
  <c r="MT39" i="1"/>
  <c r="MU39" i="1"/>
  <c r="MV39" i="1"/>
  <c r="MW39" i="1"/>
  <c r="MX39" i="1"/>
  <c r="MY39" i="1"/>
  <c r="MZ39" i="1"/>
  <c r="NA39" i="1"/>
  <c r="NB39" i="1"/>
  <c r="NC39" i="1"/>
  <c r="ND39" i="1"/>
  <c r="NE39" i="1"/>
  <c r="NF39" i="1"/>
  <c r="NG39" i="1"/>
  <c r="NH39" i="1"/>
  <c r="NI39" i="1"/>
  <c r="NJ39" i="1"/>
  <c r="NK39" i="1"/>
  <c r="MT40" i="1"/>
  <c r="MU40" i="1"/>
  <c r="MV40" i="1"/>
  <c r="MW40" i="1"/>
  <c r="MX40" i="1"/>
  <c r="MY40" i="1"/>
  <c r="MZ40" i="1"/>
  <c r="NA40" i="1"/>
  <c r="NB40" i="1"/>
  <c r="NC40" i="1"/>
  <c r="ND40" i="1"/>
  <c r="NE40" i="1"/>
  <c r="NF40" i="1"/>
  <c r="NG40" i="1"/>
  <c r="NH40" i="1"/>
  <c r="NI40" i="1"/>
  <c r="NJ40" i="1"/>
  <c r="NK40" i="1"/>
  <c r="MT41" i="1"/>
  <c r="MU41" i="1"/>
  <c r="MV41" i="1"/>
  <c r="MW41" i="1"/>
  <c r="MX41" i="1"/>
  <c r="MY41" i="1"/>
  <c r="MZ41" i="1"/>
  <c r="NA41" i="1"/>
  <c r="NB41" i="1"/>
  <c r="NC41" i="1"/>
  <c r="ND41" i="1"/>
  <c r="NE41" i="1"/>
  <c r="NF41" i="1"/>
  <c r="NG41" i="1"/>
  <c r="NH41" i="1"/>
  <c r="NI41" i="1"/>
  <c r="NJ41" i="1"/>
  <c r="NK41" i="1"/>
  <c r="MM38" i="1"/>
  <c r="MO38" i="1"/>
  <c r="MP38" i="1"/>
  <c r="MQ38" i="1"/>
  <c r="MR38" i="1"/>
  <c r="MS38" i="1"/>
  <c r="MM39" i="1"/>
  <c r="MN39" i="1"/>
  <c r="MO39" i="1"/>
  <c r="MP39" i="1"/>
  <c r="MQ39" i="1"/>
  <c r="MR39" i="1"/>
  <c r="MS39" i="1"/>
  <c r="MM40" i="1"/>
  <c r="MN40" i="1"/>
  <c r="MO40" i="1"/>
  <c r="MP40" i="1"/>
  <c r="MQ40" i="1"/>
  <c r="MR40" i="1"/>
  <c r="MS40" i="1"/>
  <c r="MM41" i="1"/>
  <c r="MN41" i="1"/>
  <c r="MO41" i="1"/>
  <c r="MP41" i="1"/>
  <c r="MQ41" i="1"/>
  <c r="MR41" i="1"/>
  <c r="MS41" i="1"/>
  <c r="MY51" i="3"/>
  <c r="MZ51" i="3"/>
  <c r="MY52" i="3"/>
  <c r="MZ52" i="3"/>
  <c r="MU51" i="3"/>
  <c r="MV51" i="3"/>
  <c r="MW51" i="3"/>
  <c r="MX51" i="3"/>
  <c r="MU52" i="3"/>
  <c r="MV52" i="3"/>
  <c r="MW52" i="3"/>
  <c r="MX52" i="3"/>
  <c r="MI51" i="3"/>
  <c r="MJ51" i="3"/>
  <c r="MK51" i="3"/>
  <c r="ML51" i="3"/>
  <c r="MM51" i="3"/>
  <c r="MO51" i="3"/>
  <c r="MP51" i="3"/>
  <c r="MQ51" i="3"/>
  <c r="MR51" i="3"/>
  <c r="MS51" i="3"/>
  <c r="MT51" i="3"/>
  <c r="MI52" i="3"/>
  <c r="MJ52" i="3"/>
  <c r="MK52" i="3"/>
  <c r="ML52" i="3"/>
  <c r="MM52" i="3"/>
  <c r="MO52" i="3"/>
  <c r="MP52" i="3"/>
  <c r="MQ52" i="3"/>
  <c r="MR52" i="3"/>
  <c r="MS52" i="3"/>
  <c r="MT52" i="3"/>
  <c r="MJ36" i="4"/>
  <c r="MK36" i="4"/>
  <c r="ML36" i="4"/>
  <c r="MM36" i="4"/>
  <c r="MN36" i="4"/>
  <c r="MO36" i="4"/>
  <c r="MP36" i="4"/>
  <c r="MQ36" i="4"/>
  <c r="MR36" i="4"/>
  <c r="MS36" i="4"/>
  <c r="MT36" i="4"/>
  <c r="MU36" i="4"/>
  <c r="MV36" i="4"/>
  <c r="MW36" i="4"/>
  <c r="MX36" i="4"/>
  <c r="MY36" i="4"/>
  <c r="MZ36" i="4"/>
  <c r="NA36" i="4"/>
  <c r="NB36" i="4"/>
  <c r="NC36" i="4"/>
  <c r="ND36" i="4"/>
  <c r="NE36" i="4"/>
  <c r="NF36" i="4"/>
  <c r="NG36" i="4"/>
  <c r="NH36" i="4"/>
  <c r="NI36" i="4"/>
  <c r="NJ36" i="4"/>
  <c r="NK36" i="4"/>
  <c r="NL36" i="4"/>
  <c r="NM36" i="4"/>
  <c r="NN36" i="4"/>
  <c r="NO36" i="4"/>
  <c r="NP36" i="4"/>
  <c r="NQ36" i="4"/>
  <c r="NR36" i="4"/>
  <c r="NS36" i="4"/>
  <c r="NT36" i="4"/>
  <c r="NU36" i="4"/>
  <c r="NV36" i="4"/>
  <c r="NW36" i="4"/>
  <c r="NX36" i="4"/>
  <c r="NY36" i="4"/>
  <c r="NZ36" i="4"/>
  <c r="OA36" i="4"/>
  <c r="OB36" i="4"/>
  <c r="OC36" i="4"/>
  <c r="OD36" i="4"/>
  <c r="OE36" i="4"/>
  <c r="OF36" i="4"/>
  <c r="OG36" i="4"/>
  <c r="OH36" i="4"/>
  <c r="OI36" i="4"/>
  <c r="OJ36" i="4"/>
  <c r="MN52" i="3" l="1"/>
  <c r="MN51" i="3"/>
  <c r="MG36" i="4"/>
  <c r="LP36" i="4"/>
  <c r="LO36" i="4"/>
  <c r="LV38" i="1" l="1"/>
  <c r="HP38" i="1" l="1"/>
  <c r="HP39" i="1"/>
  <c r="HP40" i="1"/>
  <c r="HP41" i="1"/>
  <c r="KW38" i="1" l="1"/>
  <c r="KX38" i="1"/>
  <c r="KY38" i="1"/>
  <c r="KZ38" i="1"/>
  <c r="LA38" i="1"/>
  <c r="LB38" i="1"/>
  <c r="LC38" i="1"/>
  <c r="LD38" i="1"/>
  <c r="LE38" i="1"/>
  <c r="LF38" i="1"/>
  <c r="LG38" i="1"/>
  <c r="LH38" i="1"/>
  <c r="LI38" i="1"/>
  <c r="LJ38" i="1"/>
  <c r="LK38" i="1"/>
  <c r="LL38" i="1"/>
  <c r="LM38" i="1"/>
  <c r="LN38" i="1"/>
  <c r="LO38" i="1"/>
  <c r="LP38" i="1"/>
  <c r="LQ38" i="1"/>
  <c r="LR38" i="1"/>
  <c r="LS38" i="1"/>
  <c r="LT38" i="1"/>
  <c r="LU38" i="1"/>
  <c r="LW38" i="1"/>
  <c r="LX38" i="1"/>
  <c r="LY38" i="1"/>
  <c r="LZ38" i="1"/>
  <c r="MA38" i="1"/>
  <c r="MB38" i="1"/>
  <c r="MC38" i="1"/>
  <c r="MD38" i="1"/>
  <c r="ME38" i="1"/>
  <c r="MF38" i="1"/>
  <c r="MG38" i="1"/>
  <c r="MI38" i="1"/>
  <c r="MJ38" i="1"/>
  <c r="MK38" i="1"/>
  <c r="ML38" i="1"/>
  <c r="KW39" i="1"/>
  <c r="KX39" i="1"/>
  <c r="KY39" i="1"/>
  <c r="KZ39" i="1"/>
  <c r="LA39" i="1"/>
  <c r="LB39" i="1"/>
  <c r="LC39" i="1"/>
  <c r="LD39" i="1"/>
  <c r="LE39" i="1"/>
  <c r="LF39" i="1"/>
  <c r="LG39" i="1"/>
  <c r="LH39" i="1"/>
  <c r="LI39" i="1"/>
  <c r="LJ39" i="1"/>
  <c r="LK39" i="1"/>
  <c r="LL39" i="1"/>
  <c r="LM39" i="1"/>
  <c r="LN39" i="1"/>
  <c r="LO39" i="1"/>
  <c r="LP39" i="1"/>
  <c r="LQ39" i="1"/>
  <c r="LR39" i="1"/>
  <c r="LS39" i="1"/>
  <c r="LT39" i="1"/>
  <c r="LU39" i="1"/>
  <c r="LV39" i="1"/>
  <c r="LW39" i="1"/>
  <c r="LX39" i="1"/>
  <c r="LY39" i="1"/>
  <c r="LZ39" i="1"/>
  <c r="MA39" i="1"/>
  <c r="MB39" i="1"/>
  <c r="MC39" i="1"/>
  <c r="MD39" i="1"/>
  <c r="ME39" i="1"/>
  <c r="MF39" i="1"/>
  <c r="MG39" i="1"/>
  <c r="MI39" i="1"/>
  <c r="MJ39" i="1"/>
  <c r="MK39" i="1"/>
  <c r="ML39" i="1"/>
  <c r="KW40" i="1"/>
  <c r="KX40" i="1"/>
  <c r="KY40" i="1"/>
  <c r="KZ40" i="1"/>
  <c r="LA40" i="1"/>
  <c r="LB40" i="1"/>
  <c r="LC40" i="1"/>
  <c r="LD40" i="1"/>
  <c r="LE40" i="1"/>
  <c r="LF40" i="1"/>
  <c r="LG40" i="1"/>
  <c r="LH40" i="1"/>
  <c r="LI40" i="1"/>
  <c r="LJ40" i="1"/>
  <c r="LK40" i="1"/>
  <c r="LL40" i="1"/>
  <c r="LM40" i="1"/>
  <c r="LN40" i="1"/>
  <c r="LO40" i="1"/>
  <c r="LP40" i="1"/>
  <c r="LQ40" i="1"/>
  <c r="LR40" i="1"/>
  <c r="LS40" i="1"/>
  <c r="LT40" i="1"/>
  <c r="LU40" i="1"/>
  <c r="LV40" i="1"/>
  <c r="LW40" i="1"/>
  <c r="LX40" i="1"/>
  <c r="LY40" i="1"/>
  <c r="LZ40" i="1"/>
  <c r="MA40" i="1"/>
  <c r="MB40" i="1"/>
  <c r="MC40" i="1"/>
  <c r="MD40" i="1"/>
  <c r="ME40" i="1"/>
  <c r="MF40" i="1"/>
  <c r="MG40" i="1"/>
  <c r="MH40" i="1"/>
  <c r="MI40" i="1"/>
  <c r="MJ40" i="1"/>
  <c r="MK40" i="1"/>
  <c r="ML40" i="1"/>
  <c r="KW41" i="1"/>
  <c r="KX41" i="1"/>
  <c r="KY41" i="1"/>
  <c r="KZ41" i="1"/>
  <c r="LA41" i="1"/>
  <c r="LB41" i="1"/>
  <c r="LC41" i="1"/>
  <c r="LD41" i="1"/>
  <c r="LE41" i="1"/>
  <c r="LF41" i="1"/>
  <c r="LG41" i="1"/>
  <c r="LH41" i="1"/>
  <c r="LI41" i="1"/>
  <c r="LJ41" i="1"/>
  <c r="LK41" i="1"/>
  <c r="LL41" i="1"/>
  <c r="LM41" i="1"/>
  <c r="LN41" i="1"/>
  <c r="LO41" i="1"/>
  <c r="LP41" i="1"/>
  <c r="LQ41" i="1"/>
  <c r="LR41" i="1"/>
  <c r="LS41" i="1"/>
  <c r="LT41" i="1"/>
  <c r="LU41" i="1"/>
  <c r="LV41" i="1"/>
  <c r="LW41" i="1"/>
  <c r="LX41" i="1"/>
  <c r="LY41" i="1"/>
  <c r="LZ41" i="1"/>
  <c r="MA41" i="1"/>
  <c r="MB41" i="1"/>
  <c r="MC41" i="1"/>
  <c r="MD41" i="1"/>
  <c r="ME41" i="1"/>
  <c r="MF41" i="1"/>
  <c r="MG41" i="1"/>
  <c r="MH41" i="1"/>
  <c r="MI41" i="1"/>
  <c r="MJ41" i="1"/>
  <c r="MK41" i="1"/>
  <c r="ML41" i="1"/>
  <c r="KP38" i="1" l="1"/>
  <c r="KQ38" i="1"/>
  <c r="KR38" i="1"/>
  <c r="KS38" i="1"/>
  <c r="KT38" i="1"/>
  <c r="KU38" i="1"/>
  <c r="KV38" i="1"/>
  <c r="KP39" i="1"/>
  <c r="KQ39" i="1"/>
  <c r="KR39" i="1"/>
  <c r="KS39" i="1"/>
  <c r="KT39" i="1"/>
  <c r="KU39" i="1"/>
  <c r="KV39" i="1"/>
  <c r="KP40" i="1"/>
  <c r="KQ40" i="1"/>
  <c r="KR40" i="1"/>
  <c r="KS40" i="1"/>
  <c r="KT40" i="1"/>
  <c r="KU40" i="1"/>
  <c r="KV40" i="1"/>
  <c r="KP41" i="1"/>
  <c r="KQ41" i="1"/>
  <c r="KR41" i="1"/>
  <c r="KS41" i="1"/>
  <c r="KT41" i="1"/>
  <c r="KU41" i="1"/>
  <c r="KV41" i="1"/>
  <c r="KO36" i="4"/>
  <c r="KP36" i="4"/>
  <c r="KQ36" i="4"/>
  <c r="KR36" i="4"/>
  <c r="KS36" i="4"/>
  <c r="KT36" i="4"/>
  <c r="KU36" i="4"/>
  <c r="KV36" i="4"/>
  <c r="KW36" i="4"/>
  <c r="KX36" i="4"/>
  <c r="KY36" i="4"/>
  <c r="KZ36" i="4"/>
  <c r="LA36" i="4"/>
  <c r="LB36" i="4"/>
  <c r="LC36" i="4"/>
  <c r="LD36" i="4"/>
  <c r="LE36" i="4"/>
  <c r="LF36" i="4"/>
  <c r="LG36" i="4"/>
  <c r="LH36" i="4"/>
  <c r="LI36" i="4"/>
  <c r="LJ36" i="4"/>
  <c r="LK36" i="4"/>
  <c r="LL36" i="4"/>
  <c r="LM36" i="4"/>
  <c r="LN36" i="4"/>
  <c r="LQ36" i="4"/>
  <c r="LR36" i="4"/>
  <c r="LS36" i="4"/>
  <c r="LT36" i="4"/>
  <c r="LU36" i="4"/>
  <c r="LV36" i="4"/>
  <c r="LW36" i="4"/>
  <c r="LX36" i="4"/>
  <c r="LY36" i="4"/>
  <c r="LZ36" i="4"/>
  <c r="MA36" i="4"/>
  <c r="MB36" i="4"/>
  <c r="MC36" i="4"/>
  <c r="MD36" i="4"/>
  <c r="ME36" i="4"/>
  <c r="MF36" i="4"/>
  <c r="MH36" i="4"/>
  <c r="MI36" i="4"/>
  <c r="JY36" i="4"/>
  <c r="JZ36" i="4"/>
  <c r="KA36" i="4"/>
  <c r="KB36" i="4"/>
  <c r="KC36" i="4"/>
  <c r="KD36" i="4"/>
  <c r="KE36" i="4"/>
  <c r="KF36" i="4"/>
  <c r="KG36" i="4"/>
  <c r="KH36" i="4"/>
  <c r="KI36" i="4"/>
  <c r="KJ36" i="4"/>
  <c r="KK36" i="4"/>
  <c r="KL36" i="4"/>
  <c r="KM36" i="4"/>
  <c r="KN36" i="4"/>
  <c r="JX38" i="1" l="1"/>
  <c r="JY38" i="1"/>
  <c r="JZ38" i="1"/>
  <c r="KA38" i="1"/>
  <c r="KB38" i="1"/>
  <c r="KC38" i="1"/>
  <c r="KD38" i="1"/>
  <c r="KE38" i="1"/>
  <c r="KF38" i="1"/>
  <c r="KG38" i="1"/>
  <c r="KH38" i="1"/>
  <c r="KI38" i="1"/>
  <c r="KJ38" i="1"/>
  <c r="KK38" i="1"/>
  <c r="KL38" i="1"/>
  <c r="KM38" i="1"/>
  <c r="KN38" i="1"/>
  <c r="KO38" i="1"/>
  <c r="JX39" i="1"/>
  <c r="JY39" i="1"/>
  <c r="JZ39" i="1"/>
  <c r="KA39" i="1"/>
  <c r="KB39" i="1"/>
  <c r="KC39" i="1"/>
  <c r="KD39" i="1"/>
  <c r="KE39" i="1"/>
  <c r="KF39" i="1"/>
  <c r="KG39" i="1"/>
  <c r="KH39" i="1"/>
  <c r="KI39" i="1"/>
  <c r="KJ39" i="1"/>
  <c r="KK39" i="1"/>
  <c r="KL39" i="1"/>
  <c r="KM39" i="1"/>
  <c r="KN39" i="1"/>
  <c r="KO39" i="1"/>
  <c r="JX40" i="1"/>
  <c r="JY40" i="1"/>
  <c r="JZ40" i="1"/>
  <c r="KA40" i="1"/>
  <c r="KB40" i="1"/>
  <c r="KC40" i="1"/>
  <c r="KD40" i="1"/>
  <c r="KE40" i="1"/>
  <c r="KF40" i="1"/>
  <c r="KG40" i="1"/>
  <c r="KH40" i="1"/>
  <c r="KI40" i="1"/>
  <c r="KJ40" i="1"/>
  <c r="KK40" i="1"/>
  <c r="KL40" i="1"/>
  <c r="KM40" i="1"/>
  <c r="KN40" i="1"/>
  <c r="KO40" i="1"/>
  <c r="JX41" i="1"/>
  <c r="JY41" i="1"/>
  <c r="JZ41" i="1"/>
  <c r="KA41" i="1"/>
  <c r="KB41" i="1"/>
  <c r="KC41" i="1"/>
  <c r="KD41" i="1"/>
  <c r="KE41" i="1"/>
  <c r="KF41" i="1"/>
  <c r="KG41" i="1"/>
  <c r="KH41" i="1"/>
  <c r="KI41" i="1"/>
  <c r="KJ41" i="1"/>
  <c r="KK41" i="1"/>
  <c r="KL41" i="1"/>
  <c r="KM41" i="1"/>
  <c r="KN41" i="1"/>
  <c r="KO41" i="1"/>
  <c r="JU36" i="4"/>
  <c r="JV36" i="4"/>
  <c r="JW36" i="4"/>
  <c r="JX36" i="4"/>
  <c r="JL36" i="4"/>
  <c r="JM36" i="4"/>
  <c r="JN36" i="4"/>
  <c r="JO36" i="4"/>
  <c r="JP36" i="4"/>
  <c r="JQ36" i="4"/>
  <c r="JR36" i="4"/>
  <c r="JS36" i="4"/>
  <c r="JT36" i="4"/>
  <c r="JF38" i="1" l="1"/>
  <c r="JG38" i="1"/>
  <c r="JH38" i="1"/>
  <c r="JI38" i="1"/>
  <c r="JF39" i="1"/>
  <c r="JG39" i="1"/>
  <c r="JH39" i="1"/>
  <c r="JI39" i="1"/>
  <c r="JF40" i="1"/>
  <c r="JG40" i="1"/>
  <c r="JH40" i="1"/>
  <c r="JI40" i="1"/>
  <c r="JF41" i="1"/>
  <c r="JG41" i="1"/>
  <c r="JH41" i="1"/>
  <c r="JI41" i="1"/>
  <c r="IY38" i="1"/>
  <c r="IZ38" i="1"/>
  <c r="JA38" i="1"/>
  <c r="JB38" i="1"/>
  <c r="JC38" i="1"/>
  <c r="JD38" i="1"/>
  <c r="JE38" i="1"/>
  <c r="IY39" i="1"/>
  <c r="IZ39" i="1"/>
  <c r="JA39" i="1"/>
  <c r="JB39" i="1"/>
  <c r="JC39" i="1"/>
  <c r="JD39" i="1"/>
  <c r="JE39" i="1"/>
  <c r="IY40" i="1"/>
  <c r="IZ40" i="1"/>
  <c r="JA40" i="1"/>
  <c r="JB40" i="1"/>
  <c r="JC40" i="1"/>
  <c r="JD40" i="1"/>
  <c r="JE40" i="1"/>
  <c r="IY41" i="1"/>
  <c r="IZ41" i="1"/>
  <c r="JA41" i="1"/>
  <c r="JB41" i="1"/>
  <c r="JC41" i="1"/>
  <c r="JD41" i="1"/>
  <c r="JE41" i="1"/>
  <c r="IT38" i="1"/>
  <c r="JJ38" i="1"/>
  <c r="JK38" i="1"/>
  <c r="JL38" i="1"/>
  <c r="JM38" i="1"/>
  <c r="JN38" i="1"/>
  <c r="JO38" i="1"/>
  <c r="JP38" i="1"/>
  <c r="JQ38" i="1"/>
  <c r="JR38" i="1"/>
  <c r="JS38" i="1"/>
  <c r="JT38" i="1"/>
  <c r="JU38" i="1"/>
  <c r="JV38" i="1"/>
  <c r="JW38" i="1"/>
  <c r="JJ39" i="1"/>
  <c r="JK39" i="1"/>
  <c r="JL39" i="1"/>
  <c r="JM39" i="1"/>
  <c r="JN39" i="1"/>
  <c r="JO39" i="1"/>
  <c r="JP39" i="1"/>
  <c r="JQ39" i="1"/>
  <c r="JR39" i="1"/>
  <c r="JS39" i="1"/>
  <c r="JT39" i="1"/>
  <c r="JU39" i="1"/>
  <c r="JV39" i="1"/>
  <c r="JW39" i="1"/>
  <c r="JJ40" i="1"/>
  <c r="JK40" i="1"/>
  <c r="JL40" i="1"/>
  <c r="JM40" i="1"/>
  <c r="JN40" i="1"/>
  <c r="JO40" i="1"/>
  <c r="JP40" i="1"/>
  <c r="JQ40" i="1"/>
  <c r="JR40" i="1"/>
  <c r="JS40" i="1"/>
  <c r="JT40" i="1"/>
  <c r="JU40" i="1"/>
  <c r="JV40" i="1"/>
  <c r="JW40" i="1"/>
  <c r="JJ41" i="1"/>
  <c r="JK41" i="1"/>
  <c r="JL41" i="1"/>
  <c r="JM41" i="1"/>
  <c r="JN41" i="1"/>
  <c r="JO41" i="1"/>
  <c r="JP41" i="1"/>
  <c r="JQ41" i="1"/>
  <c r="JR41" i="1"/>
  <c r="JS41" i="1"/>
  <c r="JT41" i="1"/>
  <c r="JU41" i="1"/>
  <c r="JV41" i="1"/>
  <c r="JW41" i="1"/>
  <c r="IZ36" i="4"/>
  <c r="JA36" i="4"/>
  <c r="JB36" i="4"/>
  <c r="JC36" i="4"/>
  <c r="JD36" i="4"/>
  <c r="JE36" i="4"/>
  <c r="JF36" i="4"/>
  <c r="JG36" i="4"/>
  <c r="JH36" i="4"/>
  <c r="JI36" i="4"/>
  <c r="JJ36" i="4"/>
  <c r="JK36" i="4"/>
  <c r="IQ38" i="1"/>
  <c r="IQ41" i="1"/>
  <c r="IQ40" i="1"/>
  <c r="IQ39" i="1"/>
  <c r="IR38" i="1"/>
  <c r="IR54" i="3"/>
  <c r="IR51" i="3" s="1"/>
  <c r="HS51" i="3"/>
  <c r="HP51" i="3"/>
  <c r="IS36" i="4"/>
  <c r="HQ38" i="1"/>
  <c r="HR38" i="1"/>
  <c r="HS38" i="1"/>
  <c r="HT38" i="1"/>
  <c r="HU38" i="1"/>
  <c r="HV38" i="1"/>
  <c r="HW38" i="1"/>
  <c r="HX38" i="1"/>
  <c r="HY38" i="1"/>
  <c r="HZ38" i="1"/>
  <c r="IA38" i="1"/>
  <c r="IB38" i="1"/>
  <c r="IC38" i="1"/>
  <c r="ID38" i="1"/>
  <c r="IE38" i="1"/>
  <c r="IF38" i="1"/>
  <c r="IG38" i="1"/>
  <c r="IH38" i="1"/>
  <c r="II38" i="1"/>
  <c r="IJ38" i="1"/>
  <c r="IK38" i="1"/>
  <c r="IL38" i="1"/>
  <c r="IM38" i="1"/>
  <c r="IN38" i="1"/>
  <c r="IO38" i="1"/>
  <c r="IP38" i="1"/>
  <c r="IS38" i="1"/>
  <c r="IU38" i="1"/>
  <c r="IV38" i="1"/>
  <c r="IW38" i="1"/>
  <c r="IX38" i="1"/>
  <c r="HQ39" i="1"/>
  <c r="HR39" i="1"/>
  <c r="HS39" i="1"/>
  <c r="HT39" i="1"/>
  <c r="HU39" i="1"/>
  <c r="HV39" i="1"/>
  <c r="HW39" i="1"/>
  <c r="HX39" i="1"/>
  <c r="HY39" i="1"/>
  <c r="HZ39" i="1"/>
  <c r="IA39" i="1"/>
  <c r="IB39" i="1"/>
  <c r="IC39" i="1"/>
  <c r="ID39" i="1"/>
  <c r="IE39" i="1"/>
  <c r="IF39" i="1"/>
  <c r="IG39" i="1"/>
  <c r="IH39" i="1"/>
  <c r="II39" i="1"/>
  <c r="IJ39" i="1"/>
  <c r="IK39" i="1"/>
  <c r="IL39" i="1"/>
  <c r="IM39" i="1"/>
  <c r="IN39" i="1"/>
  <c r="IO39" i="1"/>
  <c r="IP39" i="1"/>
  <c r="IR39" i="1"/>
  <c r="IS39" i="1"/>
  <c r="IT39" i="1"/>
  <c r="IU39" i="1"/>
  <c r="IV39" i="1"/>
  <c r="IW39" i="1"/>
  <c r="IX39" i="1"/>
  <c r="HQ40" i="1"/>
  <c r="HR40" i="1"/>
  <c r="HS40" i="1"/>
  <c r="HT40" i="1"/>
  <c r="HU40" i="1"/>
  <c r="HV40" i="1"/>
  <c r="HW40" i="1"/>
  <c r="HX40" i="1"/>
  <c r="HY40" i="1"/>
  <c r="HZ40" i="1"/>
  <c r="IA40" i="1"/>
  <c r="IB40" i="1"/>
  <c r="IC40" i="1"/>
  <c r="ID40" i="1"/>
  <c r="IE40" i="1"/>
  <c r="IF40" i="1"/>
  <c r="IG40" i="1"/>
  <c r="IH40" i="1"/>
  <c r="II40" i="1"/>
  <c r="IJ40" i="1"/>
  <c r="IK40" i="1"/>
  <c r="IL40" i="1"/>
  <c r="IM40" i="1"/>
  <c r="IN40" i="1"/>
  <c r="IO40" i="1"/>
  <c r="IP40" i="1"/>
  <c r="IR40" i="1"/>
  <c r="IS40" i="1"/>
  <c r="IT40" i="1"/>
  <c r="IU40" i="1"/>
  <c r="IV40" i="1"/>
  <c r="IW40" i="1"/>
  <c r="IX40" i="1"/>
  <c r="HQ41" i="1"/>
  <c r="HR41" i="1"/>
  <c r="HS41" i="1"/>
  <c r="HT41" i="1"/>
  <c r="HU41" i="1"/>
  <c r="HV41" i="1"/>
  <c r="HW41" i="1"/>
  <c r="HX41" i="1"/>
  <c r="HY41" i="1"/>
  <c r="HZ41" i="1"/>
  <c r="IA41" i="1"/>
  <c r="IB41" i="1"/>
  <c r="IC41" i="1"/>
  <c r="ID41" i="1"/>
  <c r="IE41" i="1"/>
  <c r="IF41" i="1"/>
  <c r="IG41" i="1"/>
  <c r="IH41" i="1"/>
  <c r="II41" i="1"/>
  <c r="IJ41" i="1"/>
  <c r="IK41" i="1"/>
  <c r="IL41" i="1"/>
  <c r="IM41" i="1"/>
  <c r="IN41" i="1"/>
  <c r="IO41" i="1"/>
  <c r="IP41" i="1"/>
  <c r="IR41" i="1"/>
  <c r="IS41" i="1"/>
  <c r="IT41" i="1"/>
  <c r="IU41" i="1"/>
  <c r="IV41" i="1"/>
  <c r="IW41" i="1"/>
  <c r="IX41" i="1"/>
  <c r="IK36" i="4" l="1"/>
  <c r="IM51" i="3"/>
  <c r="IN51" i="3"/>
  <c r="IO51" i="3"/>
  <c r="IP51" i="3"/>
  <c r="IQ51" i="3"/>
  <c r="IS51" i="3"/>
  <c r="IT51" i="3"/>
  <c r="IU51" i="3"/>
  <c r="IV51" i="3"/>
  <c r="IW51" i="3"/>
  <c r="IX51" i="3"/>
  <c r="IY51" i="3"/>
  <c r="IZ51" i="3"/>
  <c r="JA51" i="3"/>
  <c r="JB51" i="3"/>
  <c r="JC51" i="3"/>
  <c r="JD51" i="3"/>
  <c r="JE51" i="3"/>
  <c r="JF51" i="3"/>
  <c r="JG51" i="3"/>
  <c r="JH51" i="3"/>
  <c r="JI51" i="3"/>
  <c r="JJ51" i="3"/>
  <c r="JK51" i="3"/>
  <c r="JL51" i="3"/>
  <c r="JM51" i="3"/>
  <c r="JN51" i="3"/>
  <c r="JO51" i="3"/>
  <c r="JP51" i="3"/>
  <c r="JQ51" i="3"/>
  <c r="JR51" i="3"/>
  <c r="JS51" i="3"/>
  <c r="JT51" i="3"/>
  <c r="JU51" i="3"/>
  <c r="JV51" i="3"/>
  <c r="JW51" i="3"/>
  <c r="JX51" i="3"/>
  <c r="JY51" i="3"/>
  <c r="JZ51" i="3"/>
  <c r="KA51" i="3"/>
  <c r="KB51" i="3"/>
  <c r="KC51" i="3"/>
  <c r="KD51" i="3"/>
  <c r="KE51" i="3"/>
  <c r="KF51" i="3"/>
  <c r="KG51" i="3"/>
  <c r="KH51" i="3"/>
  <c r="KI51" i="3"/>
  <c r="KJ51" i="3"/>
  <c r="KK51" i="3"/>
  <c r="KL51" i="3"/>
  <c r="KM51" i="3"/>
  <c r="KN51" i="3"/>
  <c r="KO51" i="3"/>
  <c r="KP51" i="3"/>
  <c r="KQ51" i="3"/>
  <c r="KR51" i="3"/>
  <c r="KS51" i="3"/>
  <c r="KT51" i="3"/>
  <c r="KU51" i="3"/>
  <c r="KV51" i="3"/>
  <c r="KW51" i="3"/>
  <c r="KX51" i="3"/>
  <c r="KY51" i="3"/>
  <c r="KZ51" i="3"/>
  <c r="LA51" i="3"/>
  <c r="LB51" i="3"/>
  <c r="LC51" i="3"/>
  <c r="LD51" i="3"/>
  <c r="LE51" i="3"/>
  <c r="LF51" i="3"/>
  <c r="LG51" i="3"/>
  <c r="LH51" i="3"/>
  <c r="LI51" i="3"/>
  <c r="LJ51" i="3"/>
  <c r="LK51" i="3"/>
  <c r="LL51" i="3"/>
  <c r="LM51" i="3"/>
  <c r="LN51" i="3"/>
  <c r="LO51" i="3"/>
  <c r="LP51" i="3"/>
  <c r="LQ51" i="3"/>
  <c r="LR51" i="3"/>
  <c r="LS51" i="3"/>
  <c r="LT51" i="3"/>
  <c r="LU51" i="3"/>
  <c r="LV51" i="3"/>
  <c r="LW51" i="3"/>
  <c r="LX51" i="3"/>
  <c r="LY51" i="3"/>
  <c r="LZ51" i="3"/>
  <c r="MA51" i="3"/>
  <c r="MB51" i="3"/>
  <c r="MC51" i="3"/>
  <c r="MD51" i="3"/>
  <c r="ME51" i="3"/>
  <c r="MF51" i="3"/>
  <c r="MG51" i="3"/>
  <c r="MH51" i="3"/>
  <c r="IM52" i="3"/>
  <c r="IN52" i="3"/>
  <c r="IO52" i="3"/>
  <c r="IP52" i="3"/>
  <c r="IQ52" i="3"/>
  <c r="IR52" i="3"/>
  <c r="IS52" i="3"/>
  <c r="IT52" i="3"/>
  <c r="IU52" i="3"/>
  <c r="IV52" i="3"/>
  <c r="IW52" i="3"/>
  <c r="IX52" i="3"/>
  <c r="IY52" i="3"/>
  <c r="IZ52" i="3"/>
  <c r="JA52" i="3"/>
  <c r="JB52" i="3"/>
  <c r="JC52" i="3"/>
  <c r="JD52" i="3"/>
  <c r="JE52" i="3"/>
  <c r="JF52" i="3"/>
  <c r="JG52" i="3"/>
  <c r="JH52" i="3"/>
  <c r="JI52" i="3"/>
  <c r="JJ52" i="3"/>
  <c r="JK52" i="3"/>
  <c r="JL52" i="3"/>
  <c r="JM52" i="3"/>
  <c r="JN52" i="3"/>
  <c r="JO52" i="3"/>
  <c r="JP52" i="3"/>
  <c r="JQ52" i="3"/>
  <c r="JR52" i="3"/>
  <c r="JS52" i="3"/>
  <c r="JT52" i="3"/>
  <c r="JU52" i="3"/>
  <c r="JV52" i="3"/>
  <c r="JW52" i="3"/>
  <c r="JX52" i="3"/>
  <c r="JY52" i="3"/>
  <c r="JZ52" i="3"/>
  <c r="KA52" i="3"/>
  <c r="KB52" i="3"/>
  <c r="KC52" i="3"/>
  <c r="KD52" i="3"/>
  <c r="KE52" i="3"/>
  <c r="KF52" i="3"/>
  <c r="KG52" i="3"/>
  <c r="KH52" i="3"/>
  <c r="KI52" i="3"/>
  <c r="KJ52" i="3"/>
  <c r="KK52" i="3"/>
  <c r="KL52" i="3"/>
  <c r="KM52" i="3"/>
  <c r="KN52" i="3"/>
  <c r="KO52" i="3"/>
  <c r="KP52" i="3"/>
  <c r="KQ52" i="3"/>
  <c r="KR52" i="3"/>
  <c r="KS52" i="3"/>
  <c r="KT52" i="3"/>
  <c r="KU52" i="3"/>
  <c r="KV52" i="3"/>
  <c r="KW52" i="3"/>
  <c r="KX52" i="3"/>
  <c r="KY52" i="3"/>
  <c r="KZ52" i="3"/>
  <c r="LA52" i="3"/>
  <c r="LB52" i="3"/>
  <c r="LC52" i="3"/>
  <c r="LD52" i="3"/>
  <c r="LE52" i="3"/>
  <c r="LF52" i="3"/>
  <c r="LG52" i="3"/>
  <c r="LH52" i="3"/>
  <c r="LI52" i="3"/>
  <c r="LJ52" i="3"/>
  <c r="LK52" i="3"/>
  <c r="LL52" i="3"/>
  <c r="LM52" i="3"/>
  <c r="LN52" i="3"/>
  <c r="LO52" i="3"/>
  <c r="LP52" i="3"/>
  <c r="LQ52" i="3"/>
  <c r="LR52" i="3"/>
  <c r="LS52" i="3"/>
  <c r="LT52" i="3"/>
  <c r="LU52" i="3"/>
  <c r="LV52" i="3"/>
  <c r="LW52" i="3"/>
  <c r="LX52" i="3"/>
  <c r="LY52" i="3"/>
  <c r="LZ52" i="3"/>
  <c r="MA52" i="3"/>
  <c r="MB52" i="3"/>
  <c r="MC52" i="3"/>
  <c r="MD52" i="3"/>
  <c r="ME52" i="3"/>
  <c r="MF52" i="3"/>
  <c r="MG52" i="3"/>
  <c r="MH52" i="3"/>
  <c r="IE51" i="3"/>
  <c r="IF51" i="3"/>
  <c r="IG51" i="3"/>
  <c r="IH51" i="3"/>
  <c r="II51" i="3"/>
  <c r="IJ51" i="3"/>
  <c r="IK51" i="3"/>
  <c r="IL51" i="3"/>
  <c r="IE52" i="3"/>
  <c r="IF52" i="3"/>
  <c r="IG52" i="3"/>
  <c r="IH52" i="3"/>
  <c r="II52" i="3"/>
  <c r="IJ52" i="3"/>
  <c r="IK52" i="3"/>
  <c r="IL52" i="3"/>
  <c r="IM36" i="4"/>
  <c r="IN36" i="4"/>
  <c r="IO36" i="4"/>
  <c r="IP36" i="4"/>
  <c r="IQ36" i="4"/>
  <c r="IR36" i="4"/>
  <c r="IT36" i="4"/>
  <c r="IU36" i="4"/>
  <c r="IV36" i="4"/>
  <c r="IW36" i="4"/>
  <c r="IX36" i="4"/>
  <c r="IY36" i="4"/>
  <c r="ID36" i="4"/>
  <c r="IC36" i="4"/>
  <c r="IE36" i="4"/>
  <c r="IF36" i="4"/>
  <c r="IG36" i="4"/>
  <c r="IH36" i="4"/>
  <c r="II36" i="4"/>
  <c r="IJ36" i="4"/>
  <c r="IL36" i="4"/>
  <c r="HX51" i="3" l="1"/>
  <c r="HY51" i="3"/>
  <c r="HZ51" i="3"/>
  <c r="IA51" i="3"/>
  <c r="IB51" i="3"/>
  <c r="IC51" i="3"/>
  <c r="ID51" i="3"/>
  <c r="HX52" i="3"/>
  <c r="HY52" i="3"/>
  <c r="HZ52" i="3"/>
  <c r="IA52" i="3"/>
  <c r="IB52" i="3"/>
  <c r="IC52" i="3"/>
  <c r="ID52" i="3"/>
  <c r="HQ52" i="3"/>
  <c r="HR52" i="3"/>
  <c r="HS52" i="3"/>
  <c r="HT52" i="3"/>
  <c r="HU52" i="3"/>
  <c r="HV52" i="3"/>
  <c r="HW52" i="3"/>
  <c r="HW36" i="4"/>
  <c r="HX36" i="4"/>
  <c r="HY36" i="4"/>
  <c r="HZ36" i="4"/>
  <c r="IA36" i="4"/>
  <c r="IB36" i="4"/>
  <c r="HJ51" i="3"/>
  <c r="HK51" i="3"/>
  <c r="HL51" i="3"/>
  <c r="HM51" i="3"/>
  <c r="HN51" i="3"/>
  <c r="HO51" i="3"/>
  <c r="HJ52" i="3"/>
  <c r="HK52" i="3"/>
  <c r="HL52" i="3"/>
  <c r="HM52" i="3"/>
  <c r="HN52" i="3"/>
  <c r="HO52" i="3"/>
  <c r="HL38" i="1"/>
  <c r="HJ38" i="1"/>
  <c r="HK38" i="1"/>
  <c r="HM38" i="1"/>
  <c r="HN38" i="1"/>
  <c r="HO38" i="1"/>
  <c r="HJ39" i="1"/>
  <c r="HK39" i="1"/>
  <c r="HL39" i="1"/>
  <c r="HM39" i="1"/>
  <c r="HN39" i="1"/>
  <c r="HO39" i="1"/>
  <c r="HJ40" i="1"/>
  <c r="HK40" i="1"/>
  <c r="HL40" i="1"/>
  <c r="HM40" i="1"/>
  <c r="HN40" i="1"/>
  <c r="HO40" i="1"/>
  <c r="HJ41" i="1"/>
  <c r="HK41" i="1"/>
  <c r="HL41" i="1"/>
  <c r="HM41" i="1"/>
  <c r="HN41" i="1"/>
  <c r="HO41" i="1"/>
  <c r="HI41" i="1"/>
  <c r="HD38" i="1"/>
  <c r="HE38" i="1"/>
  <c r="HF38" i="1"/>
  <c r="HG38" i="1"/>
  <c r="HH38" i="1"/>
  <c r="HI38" i="1"/>
  <c r="HD39" i="1"/>
  <c r="HE39" i="1"/>
  <c r="HF39" i="1"/>
  <c r="HG39" i="1"/>
  <c r="HH39" i="1"/>
  <c r="HI39" i="1"/>
  <c r="HD40" i="1"/>
  <c r="HE40" i="1"/>
  <c r="HF40" i="1"/>
  <c r="HG40" i="1"/>
  <c r="HH40" i="1"/>
  <c r="HI40" i="1"/>
  <c r="HD41" i="1"/>
  <c r="HE41" i="1"/>
  <c r="HF41" i="1"/>
  <c r="HG41" i="1"/>
  <c r="HH41" i="1"/>
  <c r="HE52" i="3"/>
  <c r="HF52" i="3"/>
  <c r="HG52" i="3"/>
  <c r="HH52" i="3"/>
  <c r="HI52" i="3"/>
  <c r="HE51" i="3"/>
  <c r="HF51" i="3"/>
  <c r="HG51" i="3"/>
  <c r="HH51" i="3"/>
  <c r="HI51" i="3"/>
  <c r="GV38" i="1"/>
  <c r="GW38" i="1"/>
  <c r="GX38" i="1"/>
  <c r="GY38" i="1"/>
  <c r="GZ38" i="1"/>
  <c r="HA38" i="1"/>
  <c r="HB38" i="1"/>
  <c r="HC38" i="1"/>
  <c r="GV39" i="1"/>
  <c r="GW39" i="1"/>
  <c r="GX39" i="1"/>
  <c r="GY39" i="1"/>
  <c r="GZ39" i="1"/>
  <c r="HA39" i="1"/>
  <c r="HB39" i="1"/>
  <c r="HC39" i="1"/>
  <c r="GV40" i="1"/>
  <c r="GW40" i="1"/>
  <c r="GX40" i="1"/>
  <c r="GY40" i="1"/>
  <c r="GZ40" i="1"/>
  <c r="HA40" i="1"/>
  <c r="HB40" i="1"/>
  <c r="HC40" i="1"/>
  <c r="GV41" i="1"/>
  <c r="GW41" i="1"/>
  <c r="GX41" i="1"/>
  <c r="GY41" i="1"/>
  <c r="GZ41" i="1"/>
  <c r="HA41" i="1"/>
  <c r="HB41" i="1"/>
  <c r="HC41" i="1"/>
  <c r="GW52" i="3"/>
  <c r="GX52" i="3"/>
  <c r="GY52" i="3"/>
  <c r="GZ52" i="3"/>
  <c r="HA52" i="3"/>
  <c r="HB52" i="3"/>
  <c r="HC52" i="3"/>
  <c r="HD52" i="3"/>
  <c r="GW51" i="3"/>
  <c r="GX51" i="3"/>
  <c r="GY51" i="3"/>
  <c r="GZ51" i="3"/>
  <c r="HA51" i="3"/>
  <c r="HB51" i="3"/>
  <c r="HC51" i="3"/>
  <c r="HD51" i="3"/>
  <c r="GZ36" i="4"/>
  <c r="HA36" i="4"/>
  <c r="HB36" i="4"/>
  <c r="HC36" i="4"/>
  <c r="HD36" i="4"/>
  <c r="HE36" i="4"/>
  <c r="HF36" i="4"/>
  <c r="HG36" i="4"/>
  <c r="HH36" i="4"/>
  <c r="HI36" i="4"/>
  <c r="HJ36" i="4"/>
  <c r="HK36" i="4"/>
  <c r="HL36" i="4"/>
  <c r="HM36" i="4"/>
  <c r="HN36" i="4"/>
  <c r="HO36" i="4"/>
  <c r="HP36" i="4"/>
  <c r="HQ36" i="4"/>
  <c r="HR36" i="4"/>
  <c r="HS36" i="4"/>
  <c r="HT36" i="4"/>
  <c r="HU36" i="4"/>
  <c r="HV36" i="4"/>
  <c r="HP52" i="3" l="1"/>
  <c r="HQ51" i="3"/>
  <c r="HU51" i="3"/>
  <c r="HT51" i="3"/>
  <c r="HW51" i="3"/>
  <c r="HR51" i="3"/>
  <c r="HV51" i="3"/>
  <c r="GO38" i="1"/>
  <c r="GP38" i="1"/>
  <c r="GQ38" i="1"/>
  <c r="GP52" i="3" l="1"/>
  <c r="GQ52" i="3"/>
  <c r="GR52" i="3"/>
  <c r="GS52" i="3"/>
  <c r="GT52" i="3"/>
  <c r="GU52" i="3"/>
  <c r="GV52" i="3"/>
  <c r="GP51" i="3"/>
  <c r="GQ51" i="3"/>
  <c r="GR51" i="3"/>
  <c r="GS51" i="3"/>
  <c r="GT51" i="3"/>
  <c r="GU51" i="3"/>
  <c r="GV51" i="3"/>
  <c r="GK52" i="3"/>
  <c r="GL51" i="3"/>
  <c r="GM51" i="3"/>
  <c r="GN51" i="3"/>
  <c r="GO51" i="3"/>
  <c r="GL52" i="3"/>
  <c r="GM52" i="3"/>
  <c r="GN52" i="3"/>
  <c r="GO52" i="3"/>
  <c r="GM36" i="4"/>
  <c r="GN36" i="4"/>
  <c r="GO36" i="4"/>
  <c r="GP36" i="4"/>
  <c r="GQ36" i="4"/>
  <c r="GR36" i="4"/>
  <c r="GS36" i="4"/>
  <c r="GT36" i="4"/>
  <c r="GU36" i="4"/>
  <c r="GV36" i="4"/>
  <c r="GW36" i="4"/>
  <c r="GX36" i="4"/>
  <c r="GY36" i="4"/>
  <c r="GK51" i="3" l="1"/>
  <c r="GK38" i="1"/>
  <c r="GL38" i="1"/>
  <c r="GM38" i="1"/>
  <c r="GN38" i="1"/>
  <c r="GR38" i="1"/>
  <c r="GS38" i="1"/>
  <c r="GT38" i="1"/>
  <c r="GU38" i="1"/>
  <c r="GK39" i="1"/>
  <c r="GL39" i="1"/>
  <c r="GM39" i="1"/>
  <c r="GN39" i="1"/>
  <c r="GO39" i="1"/>
  <c r="GP39" i="1"/>
  <c r="GQ39" i="1"/>
  <c r="GR39" i="1"/>
  <c r="GS39" i="1"/>
  <c r="GT39" i="1"/>
  <c r="GU39" i="1"/>
  <c r="GK40" i="1"/>
  <c r="GL40" i="1"/>
  <c r="GM40" i="1"/>
  <c r="GN40" i="1"/>
  <c r="GO40" i="1"/>
  <c r="GP40" i="1"/>
  <c r="GQ40" i="1"/>
  <c r="GR40" i="1"/>
  <c r="GS40" i="1"/>
  <c r="GT40" i="1"/>
  <c r="GU40" i="1"/>
  <c r="GK41" i="1"/>
  <c r="GL41" i="1"/>
  <c r="GM41" i="1"/>
  <c r="GN41" i="1"/>
  <c r="GO41" i="1"/>
  <c r="GP41" i="1"/>
  <c r="GQ41" i="1"/>
  <c r="GR41" i="1"/>
  <c r="GS41" i="1"/>
  <c r="GT41" i="1"/>
  <c r="GU41" i="1"/>
  <c r="GI38" i="1" l="1"/>
  <c r="GJ38" i="1"/>
  <c r="GI39" i="1"/>
  <c r="GJ39" i="1"/>
  <c r="GI40" i="1"/>
  <c r="GJ40" i="1"/>
  <c r="GI41" i="1"/>
  <c r="GJ41" i="1"/>
  <c r="GI52" i="3"/>
  <c r="GJ52" i="3"/>
  <c r="GI51" i="3"/>
  <c r="GJ51" i="3"/>
  <c r="GH51" i="3"/>
  <c r="GB51" i="3"/>
  <c r="GH36" i="4"/>
  <c r="GI36" i="4"/>
  <c r="GJ36" i="4"/>
  <c r="GK36" i="4"/>
  <c r="GL36" i="4"/>
  <c r="GB38" i="1" l="1"/>
  <c r="GC38" i="1"/>
  <c r="GD38" i="1"/>
  <c r="GE38" i="1"/>
  <c r="GF38" i="1"/>
  <c r="GG38" i="1"/>
  <c r="GH38" i="1"/>
  <c r="GB39" i="1"/>
  <c r="GC39" i="1"/>
  <c r="GD39" i="1"/>
  <c r="GE39" i="1"/>
  <c r="GF39" i="1"/>
  <c r="GG39" i="1"/>
  <c r="GH39" i="1"/>
  <c r="GB40" i="1"/>
  <c r="GC40" i="1"/>
  <c r="GD40" i="1"/>
  <c r="GE40" i="1"/>
  <c r="GF40" i="1"/>
  <c r="GG40" i="1"/>
  <c r="GH40" i="1"/>
  <c r="GB41" i="1"/>
  <c r="GC41" i="1"/>
  <c r="GD41" i="1"/>
  <c r="GE41" i="1"/>
  <c r="GF41" i="1"/>
  <c r="GG41" i="1"/>
  <c r="GH41" i="1"/>
  <c r="GC51" i="3"/>
  <c r="GD51" i="3"/>
  <c r="GE51" i="3"/>
  <c r="GF51" i="3"/>
  <c r="GG51" i="3"/>
  <c r="GB52" i="3"/>
  <c r="GC52" i="3"/>
  <c r="GD52" i="3"/>
  <c r="GE52" i="3"/>
  <c r="GF52" i="3"/>
  <c r="GG52" i="3"/>
  <c r="GH52" i="3"/>
  <c r="FX38" i="1"/>
  <c r="GA38" i="1"/>
  <c r="FZ38" i="1"/>
  <c r="FY38" i="1"/>
  <c r="GA51" i="3"/>
  <c r="GA52" i="3"/>
  <c r="FY39" i="1"/>
  <c r="FZ39" i="1"/>
  <c r="GA39" i="1"/>
  <c r="FY40" i="1"/>
  <c r="FZ40" i="1"/>
  <c r="GA40" i="1"/>
  <c r="FY41" i="1"/>
  <c r="FZ41" i="1"/>
  <c r="GA41" i="1"/>
  <c r="FS41" i="1"/>
  <c r="FV51" i="3"/>
  <c r="FW51" i="3"/>
  <c r="FX51" i="3"/>
  <c r="FY51" i="3"/>
  <c r="FZ51" i="3"/>
  <c r="FV52" i="3"/>
  <c r="FW52" i="3"/>
  <c r="FX52" i="3"/>
  <c r="FY52" i="3"/>
  <c r="FZ52" i="3"/>
  <c r="FZ36" i="4"/>
  <c r="GA36" i="4"/>
  <c r="GB36" i="4"/>
  <c r="GC36" i="4"/>
  <c r="GD36" i="4"/>
  <c r="GE36" i="4"/>
  <c r="GF36" i="4"/>
  <c r="GG36" i="4"/>
  <c r="FS51" i="3" l="1"/>
  <c r="FT51" i="3"/>
  <c r="FU51" i="3"/>
  <c r="FS52" i="3"/>
  <c r="FT52" i="3"/>
  <c r="FU52" i="3"/>
  <c r="FP36" i="4"/>
  <c r="FQ36" i="4"/>
  <c r="FR36" i="4"/>
  <c r="FS36" i="4"/>
  <c r="FT36" i="4"/>
  <c r="FU36" i="4"/>
  <c r="FV36" i="4"/>
  <c r="FW36" i="4"/>
  <c r="FX36" i="4"/>
  <c r="FY36" i="4"/>
  <c r="FN51" i="3" l="1"/>
  <c r="FO51" i="3"/>
  <c r="FP51" i="3"/>
  <c r="FQ51" i="3"/>
  <c r="FR51" i="3"/>
  <c r="FN52" i="3"/>
  <c r="FO52" i="3"/>
  <c r="FP52" i="3"/>
  <c r="FQ52" i="3"/>
  <c r="FR52" i="3"/>
  <c r="FF52" i="3"/>
  <c r="FG52" i="3"/>
  <c r="FH52" i="3"/>
  <c r="FI52" i="3"/>
  <c r="FJ52" i="3"/>
  <c r="FK52" i="3"/>
  <c r="FL52" i="3"/>
  <c r="FM52" i="3"/>
  <c r="FF51" i="3"/>
  <c r="FG51" i="3"/>
  <c r="FH51" i="3"/>
  <c r="FI51" i="3"/>
  <c r="FJ51" i="3"/>
  <c r="FK51" i="3"/>
  <c r="FL51" i="3"/>
  <c r="FM51" i="3"/>
  <c r="FH36" i="4"/>
  <c r="FI36" i="4"/>
  <c r="FJ36" i="4"/>
  <c r="FK36" i="4"/>
  <c r="FL36" i="4"/>
  <c r="FM36" i="4"/>
  <c r="FN36" i="4"/>
  <c r="FO36" i="4"/>
  <c r="FJ38" i="1" l="1"/>
  <c r="FK38" i="1"/>
  <c r="FL38" i="1"/>
  <c r="FM38" i="1"/>
  <c r="FN38" i="1"/>
  <c r="FO38" i="1"/>
  <c r="FP38" i="1"/>
  <c r="FQ38" i="1"/>
  <c r="FR38" i="1"/>
  <c r="FS38" i="1"/>
  <c r="FT38" i="1"/>
  <c r="FU38" i="1"/>
  <c r="FV38" i="1"/>
  <c r="FW38" i="1"/>
  <c r="FJ39" i="1"/>
  <c r="FK39" i="1"/>
  <c r="FL39" i="1"/>
  <c r="FM39" i="1"/>
  <c r="FN39" i="1"/>
  <c r="FO39" i="1"/>
  <c r="FP39" i="1"/>
  <c r="FQ39" i="1"/>
  <c r="FR39" i="1"/>
  <c r="FS39" i="1"/>
  <c r="FT39" i="1"/>
  <c r="FU39" i="1"/>
  <c r="FV39" i="1"/>
  <c r="FW39" i="1"/>
  <c r="FX39" i="1"/>
  <c r="FJ40" i="1"/>
  <c r="FK40" i="1"/>
  <c r="FL40" i="1"/>
  <c r="FM40" i="1"/>
  <c r="FN40" i="1"/>
  <c r="FO40" i="1"/>
  <c r="FP40" i="1"/>
  <c r="FQ40" i="1"/>
  <c r="FR40" i="1"/>
  <c r="FS40" i="1"/>
  <c r="FT40" i="1"/>
  <c r="FU40" i="1"/>
  <c r="FV40" i="1"/>
  <c r="FW40" i="1"/>
  <c r="FX40" i="1"/>
  <c r="FJ41" i="1"/>
  <c r="FK41" i="1"/>
  <c r="FL41" i="1"/>
  <c r="FM41" i="1"/>
  <c r="FN41" i="1"/>
  <c r="FO41" i="1"/>
  <c r="FP41" i="1"/>
  <c r="FQ41" i="1"/>
  <c r="FR41" i="1"/>
  <c r="FT41" i="1"/>
  <c r="FU41" i="1"/>
  <c r="FV41" i="1"/>
  <c r="FW41" i="1"/>
  <c r="FX41" i="1"/>
  <c r="EZ51" i="3"/>
  <c r="FA51" i="3"/>
  <c r="FB51" i="3"/>
  <c r="FC51" i="3"/>
  <c r="FD51" i="3"/>
  <c r="FE51" i="3"/>
  <c r="EZ52" i="3"/>
  <c r="FA52" i="3"/>
  <c r="FB52" i="3"/>
  <c r="FC52" i="3"/>
  <c r="FD52" i="3"/>
  <c r="FE52" i="3"/>
  <c r="FC36" i="4"/>
  <c r="FD36" i="4"/>
  <c r="FE36" i="4"/>
  <c r="FF36" i="4"/>
  <c r="FG36" i="4"/>
  <c r="EY38" i="1" l="1"/>
  <c r="EZ38" i="1"/>
  <c r="FA38" i="1"/>
  <c r="FB38" i="1"/>
  <c r="FC38" i="1"/>
  <c r="FD38" i="1"/>
  <c r="FE38" i="1"/>
  <c r="FF38" i="1"/>
  <c r="FG38" i="1"/>
  <c r="FH38" i="1"/>
  <c r="FI38" i="1"/>
  <c r="EY39" i="1"/>
  <c r="EZ39" i="1"/>
  <c r="FA39" i="1"/>
  <c r="FB39" i="1"/>
  <c r="FC39" i="1"/>
  <c r="FD39" i="1"/>
  <c r="FE39" i="1"/>
  <c r="FF39" i="1"/>
  <c r="FG39" i="1"/>
  <c r="FH39" i="1"/>
  <c r="FI39" i="1"/>
  <c r="EY40" i="1"/>
  <c r="EZ40" i="1"/>
  <c r="FA40" i="1"/>
  <c r="FB40" i="1"/>
  <c r="FC40" i="1"/>
  <c r="FD40" i="1"/>
  <c r="FE40" i="1"/>
  <c r="FF40" i="1"/>
  <c r="FG40" i="1"/>
  <c r="FH40" i="1"/>
  <c r="FI40" i="1"/>
  <c r="EY41" i="1"/>
  <c r="EZ41" i="1"/>
  <c r="FA41" i="1"/>
  <c r="FB41" i="1"/>
  <c r="FC41" i="1"/>
  <c r="FD41" i="1"/>
  <c r="FE41" i="1"/>
  <c r="FF41" i="1"/>
  <c r="FG41" i="1"/>
  <c r="FH41" i="1"/>
  <c r="FI41" i="1"/>
  <c r="ES38" i="1"/>
  <c r="ET38" i="1"/>
  <c r="EU38" i="1"/>
  <c r="EV38" i="1"/>
  <c r="EW38" i="1"/>
  <c r="EX38" i="1"/>
  <c r="ES39" i="1"/>
  <c r="ET39" i="1"/>
  <c r="EU39" i="1"/>
  <c r="EV39" i="1"/>
  <c r="EW39" i="1"/>
  <c r="EX39" i="1"/>
  <c r="ES40" i="1"/>
  <c r="ET40" i="1"/>
  <c r="EU40" i="1"/>
  <c r="EV40" i="1"/>
  <c r="EW40" i="1"/>
  <c r="EX40" i="1"/>
  <c r="ES41" i="1"/>
  <c r="ET41" i="1"/>
  <c r="EU41" i="1"/>
  <c r="EV41" i="1"/>
  <c r="EW41" i="1"/>
  <c r="EX41" i="1"/>
  <c r="ES51" i="3"/>
  <c r="ET51" i="3"/>
  <c r="EU51" i="3"/>
  <c r="EV51" i="3"/>
  <c r="EW51" i="3"/>
  <c r="EX51" i="3"/>
  <c r="EY51" i="3"/>
  <c r="ES52" i="3"/>
  <c r="ET52" i="3"/>
  <c r="EU52" i="3"/>
  <c r="EV52" i="3"/>
  <c r="EW52" i="3"/>
  <c r="EX52" i="3"/>
  <c r="EY52" i="3"/>
  <c r="EW36" i="4" l="1"/>
  <c r="EX36" i="4"/>
  <c r="EY36" i="4"/>
  <c r="EZ36" i="4"/>
  <c r="FA36" i="4"/>
  <c r="FB36" i="4"/>
  <c r="EL38" i="1"/>
  <c r="EM38" i="1"/>
  <c r="EN38" i="1"/>
  <c r="EO38" i="1"/>
  <c r="EP38" i="1"/>
  <c r="EQ38" i="1"/>
  <c r="ER38" i="1"/>
  <c r="EL39" i="1"/>
  <c r="EM39" i="1"/>
  <c r="EN39" i="1"/>
  <c r="EO39" i="1"/>
  <c r="EP39" i="1"/>
  <c r="EQ39" i="1"/>
  <c r="ER39" i="1"/>
  <c r="EL40" i="1"/>
  <c r="EM40" i="1"/>
  <c r="EN40" i="1"/>
  <c r="EO40" i="1"/>
  <c r="EP40" i="1"/>
  <c r="EQ40" i="1"/>
  <c r="ER40" i="1"/>
  <c r="EL41" i="1"/>
  <c r="EM41" i="1"/>
  <c r="EN41" i="1"/>
  <c r="EO41" i="1"/>
  <c r="EP41" i="1"/>
  <c r="EQ41" i="1"/>
  <c r="ER41" i="1"/>
  <c r="EL51" i="3"/>
  <c r="EM51" i="3"/>
  <c r="EN51" i="3"/>
  <c r="EO51" i="3"/>
  <c r="EP51" i="3"/>
  <c r="EQ51" i="3"/>
  <c r="ER51" i="3"/>
  <c r="EL52" i="3"/>
  <c r="EM52" i="3"/>
  <c r="EN52" i="3"/>
  <c r="EO52" i="3"/>
  <c r="EP52" i="3"/>
  <c r="EQ52" i="3"/>
  <c r="ER52" i="3"/>
  <c r="EJ38" i="1"/>
  <c r="EK38" i="1"/>
  <c r="EJ39" i="1"/>
  <c r="EK39" i="1"/>
  <c r="EJ40" i="1"/>
  <c r="EK40" i="1"/>
  <c r="EJ41" i="1"/>
  <c r="EK41" i="1"/>
  <c r="EE51" i="3"/>
  <c r="EF51" i="3"/>
  <c r="EG51" i="3"/>
  <c r="EH51" i="3"/>
  <c r="EI51" i="3"/>
  <c r="EJ51" i="3"/>
  <c r="EK51" i="3"/>
  <c r="EE52" i="3"/>
  <c r="EF52" i="3"/>
  <c r="EG52" i="3"/>
  <c r="EH52" i="3"/>
  <c r="EI52" i="3"/>
  <c r="EJ52" i="3"/>
  <c r="EK52" i="3"/>
  <c r="EE36" i="4"/>
  <c r="EF36" i="4"/>
  <c r="EG36" i="4"/>
  <c r="EH36" i="4"/>
  <c r="EI36" i="4"/>
  <c r="EJ36" i="4"/>
  <c r="EK36" i="4"/>
  <c r="EL36" i="4"/>
  <c r="EM36" i="4"/>
  <c r="EN36" i="4"/>
  <c r="EO36" i="4"/>
  <c r="EP36" i="4"/>
  <c r="EQ36" i="4"/>
  <c r="ER36" i="4"/>
  <c r="ES36" i="4"/>
  <c r="ET36" i="4"/>
  <c r="EU36" i="4"/>
  <c r="EV36" i="4"/>
  <c r="DX52" i="3"/>
  <c r="DY52" i="3"/>
  <c r="DZ52" i="3"/>
  <c r="EA52" i="3"/>
  <c r="EB52" i="3"/>
  <c r="EC52" i="3"/>
  <c r="ED52" i="3"/>
  <c r="DX51" i="3"/>
  <c r="DY51" i="3"/>
  <c r="DZ51" i="3"/>
  <c r="EA51" i="3"/>
  <c r="EB51" i="3"/>
  <c r="EC51" i="3"/>
  <c r="ED51" i="3"/>
  <c r="DQ11" i="4"/>
  <c r="CY36" i="4"/>
  <c r="DW51" i="3"/>
  <c r="DP51" i="3"/>
  <c r="DQ51" i="3"/>
  <c r="DR51" i="3"/>
  <c r="DS51" i="3"/>
  <c r="DT51" i="3"/>
  <c r="DU51" i="3"/>
  <c r="DV51" i="3"/>
  <c r="DP52" i="3"/>
  <c r="DQ52" i="3"/>
  <c r="DR52" i="3"/>
  <c r="DS52" i="3"/>
  <c r="DT52" i="3"/>
  <c r="DU52" i="3"/>
  <c r="DV52" i="3"/>
  <c r="DW52" i="3"/>
  <c r="DP36" i="4" l="1"/>
  <c r="DQ36" i="4"/>
  <c r="DR36" i="4"/>
  <c r="DS36" i="4"/>
  <c r="DT36" i="4"/>
  <c r="DU36" i="4"/>
  <c r="DV36" i="4"/>
  <c r="DW36" i="4"/>
  <c r="DX36" i="4"/>
  <c r="DY36" i="4"/>
  <c r="DZ36" i="4"/>
  <c r="EA36" i="4"/>
  <c r="EB36" i="4"/>
  <c r="EC36" i="4"/>
  <c r="ED36" i="4"/>
  <c r="DP38" i="1" l="1"/>
  <c r="DQ38" i="1"/>
  <c r="DR38" i="1"/>
  <c r="DS38" i="1"/>
  <c r="DT38" i="1"/>
  <c r="DU38" i="1"/>
  <c r="DV38" i="1"/>
  <c r="DW38" i="1"/>
  <c r="DX38" i="1"/>
  <c r="DY38" i="1"/>
  <c r="DZ38" i="1"/>
  <c r="EA38" i="1"/>
  <c r="EB38" i="1"/>
  <c r="EC38" i="1"/>
  <c r="ED38" i="1"/>
  <c r="EE38" i="1"/>
  <c r="EF38" i="1"/>
  <c r="EG38" i="1"/>
  <c r="EH38" i="1"/>
  <c r="EI38" i="1"/>
  <c r="DP39" i="1"/>
  <c r="DQ39" i="1"/>
  <c r="DR39" i="1"/>
  <c r="DS39" i="1"/>
  <c r="DT39" i="1"/>
  <c r="DU39" i="1"/>
  <c r="DV39" i="1"/>
  <c r="DW39" i="1"/>
  <c r="DX39" i="1"/>
  <c r="DY39" i="1"/>
  <c r="DZ39" i="1"/>
  <c r="EA39" i="1"/>
  <c r="EB39" i="1"/>
  <c r="EC39" i="1"/>
  <c r="ED39" i="1"/>
  <c r="EE39" i="1"/>
  <c r="EF39" i="1"/>
  <c r="EG39" i="1"/>
  <c r="EH39" i="1"/>
  <c r="EI39" i="1"/>
  <c r="DP40" i="1"/>
  <c r="DQ40" i="1"/>
  <c r="DR40" i="1"/>
  <c r="DS40" i="1"/>
  <c r="DT40" i="1"/>
  <c r="DU40" i="1"/>
  <c r="DV40" i="1"/>
  <c r="DW40" i="1"/>
  <c r="DX40" i="1"/>
  <c r="DY40" i="1"/>
  <c r="DZ40" i="1"/>
  <c r="EA40" i="1"/>
  <c r="EB40" i="1"/>
  <c r="EC40" i="1"/>
  <c r="ED40" i="1"/>
  <c r="EE40" i="1"/>
  <c r="EF40" i="1"/>
  <c r="EG40" i="1"/>
  <c r="EH40" i="1"/>
  <c r="EI40" i="1"/>
  <c r="DP41" i="1"/>
  <c r="DQ41" i="1"/>
  <c r="DR41" i="1"/>
  <c r="DS41" i="1"/>
  <c r="DT41" i="1"/>
  <c r="DU41" i="1"/>
  <c r="DV41" i="1"/>
  <c r="DW41" i="1"/>
  <c r="DX41" i="1"/>
  <c r="DY41" i="1"/>
  <c r="DZ41" i="1"/>
  <c r="EA41" i="1"/>
  <c r="EB41" i="1"/>
  <c r="EC41" i="1"/>
  <c r="ED41" i="1"/>
  <c r="EE41" i="1"/>
  <c r="EF41" i="1"/>
  <c r="EG41" i="1"/>
  <c r="EH41" i="1"/>
  <c r="EI41" i="1"/>
  <c r="DM38" i="1"/>
  <c r="DN38" i="1"/>
  <c r="DO38" i="1"/>
  <c r="DM39" i="1"/>
  <c r="DN39" i="1"/>
  <c r="DO39" i="1"/>
  <c r="DM40" i="1"/>
  <c r="DN40" i="1"/>
  <c r="DO40" i="1"/>
  <c r="DM41" i="1"/>
  <c r="DN41" i="1"/>
  <c r="DO41" i="1"/>
  <c r="DJ52" i="3"/>
  <c r="DK52" i="3"/>
  <c r="DL52" i="3"/>
  <c r="DM52" i="3"/>
  <c r="DN52" i="3"/>
  <c r="DO52" i="3"/>
  <c r="DJ51" i="3"/>
  <c r="DK51" i="3"/>
  <c r="DL51" i="3"/>
  <c r="DM51" i="3"/>
  <c r="DN51" i="3"/>
  <c r="DO51" i="3"/>
  <c r="DN11" i="4"/>
  <c r="DO11" i="4"/>
  <c r="DP11" i="4"/>
  <c r="DN2" i="4"/>
  <c r="DO2" i="4"/>
  <c r="DP2" i="4"/>
  <c r="DQ2" i="4"/>
  <c r="DK36" i="4" l="1"/>
  <c r="DL36" i="4"/>
  <c r="DM36" i="4"/>
  <c r="DN36" i="4"/>
  <c r="DO36" i="4"/>
  <c r="DA38" i="1"/>
  <c r="DB38" i="1"/>
  <c r="DC38" i="1"/>
  <c r="DD38" i="1"/>
  <c r="DE38" i="1"/>
  <c r="DF38" i="1"/>
  <c r="DG38" i="1"/>
  <c r="DH38" i="1"/>
  <c r="DI38" i="1"/>
  <c r="DJ38" i="1"/>
  <c r="DK38" i="1"/>
  <c r="DL38" i="1"/>
  <c r="DA39" i="1"/>
  <c r="DB39" i="1"/>
  <c r="DC39" i="1"/>
  <c r="DD39" i="1"/>
  <c r="DE39" i="1"/>
  <c r="DF39" i="1"/>
  <c r="DG39" i="1"/>
  <c r="DH39" i="1"/>
  <c r="DI39" i="1"/>
  <c r="DJ39" i="1"/>
  <c r="DK39" i="1"/>
  <c r="DL39" i="1"/>
  <c r="DA40" i="1"/>
  <c r="DB40" i="1"/>
  <c r="DC40" i="1"/>
  <c r="DD40" i="1"/>
  <c r="DE40" i="1"/>
  <c r="DF40" i="1"/>
  <c r="DG40" i="1"/>
  <c r="DH40" i="1"/>
  <c r="DI40" i="1"/>
  <c r="DJ40" i="1"/>
  <c r="DK40" i="1"/>
  <c r="DL40" i="1"/>
  <c r="DA41" i="1"/>
  <c r="DB41" i="1"/>
  <c r="DC41" i="1"/>
  <c r="DD41" i="1"/>
  <c r="DE41" i="1"/>
  <c r="DF41" i="1"/>
  <c r="DG41" i="1"/>
  <c r="DH41" i="1"/>
  <c r="DI41" i="1"/>
  <c r="DJ41" i="1"/>
  <c r="DK41" i="1"/>
  <c r="DL41" i="1"/>
  <c r="DC52" i="3"/>
  <c r="DD52" i="3"/>
  <c r="DE52" i="3"/>
  <c r="DF52" i="3"/>
  <c r="DG52" i="3"/>
  <c r="DH52" i="3"/>
  <c r="DI52" i="3"/>
  <c r="DC51" i="3"/>
  <c r="DD51" i="3"/>
  <c r="DE51" i="3"/>
  <c r="DF51" i="3"/>
  <c r="DG51" i="3"/>
  <c r="DH51" i="3"/>
  <c r="DI51" i="3"/>
  <c r="CZ41" i="1"/>
  <c r="DE36" i="4" l="1"/>
  <c r="DF36" i="4"/>
  <c r="DG36" i="4"/>
  <c r="DH36" i="4"/>
  <c r="DI36" i="4"/>
  <c r="DJ36" i="4"/>
  <c r="DE11" i="4"/>
  <c r="DF11" i="4"/>
  <c r="DG11" i="4"/>
  <c r="DH11" i="4"/>
  <c r="DI11" i="4"/>
  <c r="DJ11" i="4"/>
  <c r="DK11" i="4"/>
  <c r="DL11" i="4"/>
  <c r="DM11" i="4"/>
  <c r="DI2" i="4"/>
  <c r="DJ2" i="4"/>
  <c r="DK2" i="4"/>
  <c r="DL2" i="4"/>
  <c r="DM2" i="4"/>
  <c r="CV52" i="3"/>
  <c r="CX51" i="3"/>
  <c r="CY51" i="3"/>
  <c r="CZ51" i="3"/>
  <c r="DA51" i="3"/>
  <c r="DB51" i="3"/>
  <c r="CX52" i="3"/>
  <c r="CY52" i="3"/>
  <c r="CZ52" i="3"/>
  <c r="DA52" i="3"/>
  <c r="DB52" i="3"/>
  <c r="CV51" i="3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K12" i="1"/>
  <c r="CX36" i="4"/>
  <c r="CZ36" i="4"/>
  <c r="DA36" i="4"/>
  <c r="DB36" i="4"/>
  <c r="DC36" i="4"/>
  <c r="DD36" i="4"/>
  <c r="DD11" i="4"/>
  <c r="CW11" i="4"/>
  <c r="CX11" i="4"/>
  <c r="CY11" i="4"/>
  <c r="CZ11" i="4"/>
  <c r="DA11" i="4"/>
  <c r="DB11" i="4"/>
  <c r="DC11" i="4"/>
  <c r="CW2" i="4"/>
  <c r="CX2" i="4"/>
  <c r="CY2" i="4"/>
  <c r="CZ2" i="4"/>
  <c r="DA2" i="4"/>
  <c r="DB2" i="4"/>
  <c r="DC2" i="4"/>
  <c r="DD2" i="4"/>
  <c r="DE2" i="4"/>
  <c r="DF2" i="4"/>
  <c r="DG2" i="4"/>
  <c r="DH2" i="4"/>
  <c r="CP52" i="3"/>
  <c r="CQ52" i="3"/>
  <c r="CR52" i="3"/>
  <c r="CS52" i="3"/>
  <c r="CT52" i="3"/>
  <c r="CU52" i="3"/>
  <c r="CP51" i="3"/>
  <c r="CQ51" i="3"/>
  <c r="CR51" i="3"/>
  <c r="CS51" i="3"/>
  <c r="CT51" i="3"/>
  <c r="CU51" i="3"/>
  <c r="CO51" i="3"/>
  <c r="CS36" i="4"/>
  <c r="CT36" i="4"/>
  <c r="CU36" i="4"/>
  <c r="CV36" i="4"/>
  <c r="CW36" i="4"/>
  <c r="CP11" i="4"/>
  <c r="CQ11" i="4"/>
  <c r="CR11" i="4"/>
  <c r="CS11" i="4"/>
  <c r="CT11" i="4"/>
  <c r="CU11" i="4"/>
  <c r="CV11" i="4"/>
  <c r="CP2" i="4"/>
  <c r="CQ2" i="4"/>
  <c r="CR2" i="4"/>
  <c r="CS2" i="4"/>
  <c r="CT2" i="4"/>
  <c r="CU2" i="4"/>
  <c r="CV2" i="4"/>
  <c r="CJ38" i="1" l="1"/>
  <c r="CK38" i="1"/>
  <c r="CL38" i="1"/>
  <c r="CM38" i="1"/>
  <c r="CN38" i="1"/>
  <c r="CO38" i="1"/>
  <c r="CP38" i="1"/>
  <c r="CQ38" i="1"/>
  <c r="CR38" i="1"/>
  <c r="CS38" i="1"/>
  <c r="CT38" i="1"/>
  <c r="CU38" i="1"/>
  <c r="CV38" i="1"/>
  <c r="CW38" i="1"/>
  <c r="CX38" i="1"/>
  <c r="CY38" i="1"/>
  <c r="CZ38" i="1"/>
  <c r="CJ39" i="1"/>
  <c r="CK39" i="1"/>
  <c r="CL39" i="1"/>
  <c r="CM39" i="1"/>
  <c r="CN39" i="1"/>
  <c r="CO39" i="1"/>
  <c r="CP39" i="1"/>
  <c r="CQ39" i="1"/>
  <c r="CR39" i="1"/>
  <c r="CS39" i="1"/>
  <c r="CT39" i="1"/>
  <c r="CU39" i="1"/>
  <c r="CV39" i="1"/>
  <c r="CW39" i="1"/>
  <c r="CX39" i="1"/>
  <c r="CY39" i="1"/>
  <c r="CZ39" i="1"/>
  <c r="CJ40" i="1"/>
  <c r="CK40" i="1"/>
  <c r="CL40" i="1"/>
  <c r="CM40" i="1"/>
  <c r="CN40" i="1"/>
  <c r="CO40" i="1"/>
  <c r="CP40" i="1"/>
  <c r="CQ40" i="1"/>
  <c r="CR40" i="1"/>
  <c r="CS40" i="1"/>
  <c r="CT40" i="1"/>
  <c r="CU40" i="1"/>
  <c r="CV40" i="1"/>
  <c r="CW40" i="1"/>
  <c r="CX40" i="1"/>
  <c r="CY40" i="1"/>
  <c r="CZ40" i="1"/>
  <c r="CJ41" i="1"/>
  <c r="CK41" i="1"/>
  <c r="CL41" i="1"/>
  <c r="CM41" i="1"/>
  <c r="CN41" i="1"/>
  <c r="CO41" i="1"/>
  <c r="CP41" i="1"/>
  <c r="CQ41" i="1"/>
  <c r="CR41" i="1"/>
  <c r="CS41" i="1"/>
  <c r="CT41" i="1"/>
  <c r="CU41" i="1"/>
  <c r="CV41" i="1"/>
  <c r="CW41" i="1"/>
  <c r="CX41" i="1"/>
  <c r="CY41" i="1"/>
  <c r="CI11" i="4"/>
  <c r="CJ11" i="4"/>
  <c r="CK11" i="4"/>
  <c r="CL11" i="4"/>
  <c r="CM11" i="4"/>
  <c r="CN11" i="4"/>
  <c r="CO11" i="4"/>
  <c r="CI2" i="4"/>
  <c r="CJ2" i="4"/>
  <c r="CK2" i="4"/>
  <c r="CL2" i="4"/>
  <c r="CM2" i="4"/>
  <c r="CN2" i="4"/>
  <c r="CO2" i="4"/>
  <c r="CA52" i="3"/>
  <c r="CA51" i="3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BM38" i="1"/>
  <c r="BN38" i="1"/>
  <c r="BO38" i="1"/>
  <c r="BP38" i="1"/>
  <c r="BQ38" i="1"/>
  <c r="BR38" i="1"/>
  <c r="BS38" i="1"/>
  <c r="BT38" i="1"/>
  <c r="BU38" i="1"/>
  <c r="BV38" i="1"/>
  <c r="BW38" i="1"/>
  <c r="BX38" i="1"/>
  <c r="BY38" i="1"/>
  <c r="BZ38" i="1"/>
  <c r="CA38" i="1"/>
  <c r="CB38" i="1"/>
  <c r="CC38" i="1"/>
  <c r="CD38" i="1"/>
  <c r="CE38" i="1"/>
  <c r="CF38" i="1"/>
  <c r="CG38" i="1"/>
  <c r="CH38" i="1"/>
  <c r="CI38" i="1"/>
  <c r="CI39" i="1"/>
  <c r="CI40" i="1"/>
  <c r="CI41" i="1"/>
  <c r="CE39" i="1"/>
  <c r="CF39" i="1"/>
  <c r="CG39" i="1"/>
  <c r="CH39" i="1"/>
  <c r="CE40" i="1"/>
  <c r="CF40" i="1"/>
  <c r="CG40" i="1"/>
  <c r="CH40" i="1"/>
  <c r="CE41" i="1"/>
  <c r="CF41" i="1"/>
  <c r="CG41" i="1"/>
  <c r="CH41" i="1"/>
  <c r="BW41" i="1" l="1"/>
  <c r="CA41" i="1"/>
  <c r="BX41" i="1"/>
  <c r="CG36" i="4"/>
  <c r="CH11" i="4"/>
  <c r="CE2" i="4"/>
  <c r="CF2" i="4"/>
  <c r="CG2" i="4"/>
  <c r="CH2" i="4"/>
  <c r="CB51" i="3" l="1"/>
  <c r="CC51" i="3"/>
  <c r="CD51" i="3"/>
  <c r="CE51" i="3"/>
  <c r="CF51" i="3"/>
  <c r="CG51" i="3"/>
  <c r="CH51" i="3"/>
  <c r="CI51" i="3"/>
  <c r="CJ51" i="3"/>
  <c r="CK51" i="3"/>
  <c r="CL51" i="3"/>
  <c r="CM51" i="3"/>
  <c r="CN51" i="3"/>
  <c r="CW51" i="3"/>
  <c r="CB52" i="3"/>
  <c r="CC52" i="3"/>
  <c r="CD52" i="3"/>
  <c r="CE52" i="3"/>
  <c r="CF52" i="3"/>
  <c r="CG52" i="3"/>
  <c r="CH52" i="3"/>
  <c r="CI52" i="3"/>
  <c r="CJ52" i="3"/>
  <c r="CK52" i="3"/>
  <c r="CL52" i="3"/>
  <c r="CM52" i="3"/>
  <c r="CN52" i="3"/>
  <c r="CO52" i="3"/>
  <c r="CW52" i="3"/>
  <c r="BZ40" i="1"/>
  <c r="BR52" i="3" l="1"/>
  <c r="BS52" i="3"/>
  <c r="BT52" i="3"/>
  <c r="BU52" i="3"/>
  <c r="BV52" i="3"/>
  <c r="BW52" i="3"/>
  <c r="BX52" i="3"/>
  <c r="BY52" i="3"/>
  <c r="BZ52" i="3"/>
  <c r="BR51" i="3"/>
  <c r="BS51" i="3"/>
  <c r="BT51" i="3"/>
  <c r="BU51" i="3"/>
  <c r="BV51" i="3"/>
  <c r="BW51" i="3"/>
  <c r="BX51" i="3"/>
  <c r="BY51" i="3"/>
  <c r="BZ51" i="3"/>
  <c r="BQ51" i="3"/>
  <c r="K52" i="3" l="1"/>
  <c r="K51" i="3"/>
  <c r="L52" i="3"/>
  <c r="M52" i="3"/>
  <c r="N52" i="3"/>
  <c r="O52" i="3"/>
  <c r="P52" i="3"/>
  <c r="Q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AL52" i="3"/>
  <c r="AM52" i="3"/>
  <c r="AN52" i="3"/>
  <c r="AO52" i="3"/>
  <c r="AP52" i="3"/>
  <c r="AQ52" i="3"/>
  <c r="AR52" i="3"/>
  <c r="AS52" i="3"/>
  <c r="AT52" i="3"/>
  <c r="AU52" i="3"/>
  <c r="AV52" i="3"/>
  <c r="AW52" i="3"/>
  <c r="AX52" i="3"/>
  <c r="AY52" i="3"/>
  <c r="AZ52" i="3"/>
  <c r="BA52" i="3"/>
  <c r="BB52" i="3"/>
  <c r="BC52" i="3"/>
  <c r="BD52" i="3"/>
  <c r="BE52" i="3"/>
  <c r="BF52" i="3"/>
  <c r="BG52" i="3"/>
  <c r="BH52" i="3"/>
  <c r="BI52" i="3"/>
  <c r="BJ52" i="3"/>
  <c r="BK52" i="3"/>
  <c r="BL52" i="3"/>
  <c r="BM52" i="3"/>
  <c r="BN52" i="3"/>
  <c r="BO52" i="3"/>
  <c r="BP52" i="3"/>
  <c r="BQ52" i="3"/>
  <c r="R52" i="3"/>
  <c r="R51" i="3"/>
  <c r="L51" i="3" l="1"/>
  <c r="M51" i="3"/>
  <c r="N51" i="3"/>
  <c r="O51" i="3"/>
  <c r="P51" i="3"/>
  <c r="Q51" i="3"/>
  <c r="S51" i="3"/>
  <c r="T51" i="3"/>
  <c r="U51" i="3"/>
  <c r="V51" i="3"/>
  <c r="W51" i="3"/>
  <c r="X51" i="3"/>
  <c r="Y51" i="3"/>
  <c r="Z51" i="3"/>
  <c r="AA51" i="3"/>
  <c r="AB51" i="3"/>
  <c r="AC51" i="3"/>
  <c r="AD51" i="3"/>
  <c r="AE51" i="3"/>
  <c r="AF51" i="3"/>
  <c r="AG51" i="3"/>
  <c r="AH51" i="3"/>
  <c r="AI51" i="3"/>
  <c r="AJ51" i="3"/>
  <c r="AK51" i="3"/>
  <c r="AL51" i="3"/>
  <c r="AM51" i="3"/>
  <c r="AN51" i="3"/>
  <c r="AO51" i="3"/>
  <c r="AP51" i="3"/>
  <c r="AQ51" i="3"/>
  <c r="AR51" i="3"/>
  <c r="AS51" i="3"/>
  <c r="AT51" i="3"/>
  <c r="AU51" i="3"/>
  <c r="AV51" i="3"/>
  <c r="AW51" i="3"/>
  <c r="AX51" i="3"/>
  <c r="AY51" i="3"/>
  <c r="AZ51" i="3"/>
  <c r="BA51" i="3"/>
  <c r="BB51" i="3"/>
  <c r="BC51" i="3"/>
  <c r="BD51" i="3"/>
  <c r="BE51" i="3"/>
  <c r="BF51" i="3"/>
  <c r="BG51" i="3"/>
  <c r="BH51" i="3"/>
  <c r="BI51" i="3"/>
  <c r="BJ51" i="3"/>
  <c r="BK51" i="3"/>
  <c r="BL51" i="3"/>
  <c r="BM51" i="3"/>
  <c r="BN51" i="3"/>
  <c r="BO51" i="3"/>
  <c r="BP51" i="3"/>
  <c r="CC11" i="4"/>
  <c r="CD11" i="4"/>
  <c r="CE11" i="4"/>
  <c r="CF11" i="4"/>
  <c r="CG11" i="4"/>
  <c r="BY11" i="4"/>
  <c r="BZ11" i="4"/>
  <c r="CA11" i="4"/>
  <c r="CB11" i="4"/>
  <c r="BB11" i="4"/>
  <c r="BC11" i="4"/>
  <c r="BD11" i="4"/>
  <c r="BE11" i="4"/>
  <c r="BF11" i="4"/>
  <c r="BG11" i="4"/>
  <c r="BH11" i="4"/>
  <c r="BI11" i="4"/>
  <c r="BJ11" i="4"/>
  <c r="BK11" i="4"/>
  <c r="BL11" i="4"/>
  <c r="BM11" i="4"/>
  <c r="BN11" i="4"/>
  <c r="BO11" i="4"/>
  <c r="BP11" i="4"/>
  <c r="BQ11" i="4"/>
  <c r="BR11" i="4"/>
  <c r="BS11" i="4"/>
  <c r="BT11" i="4"/>
  <c r="BU11" i="4"/>
  <c r="BV11" i="4"/>
  <c r="BW11" i="4"/>
  <c r="BX11" i="4"/>
  <c r="BG2" i="4"/>
  <c r="BH2" i="4"/>
  <c r="BI2" i="4"/>
  <c r="BJ2" i="4"/>
  <c r="BK2" i="4"/>
  <c r="BL2" i="4"/>
  <c r="BM2" i="4"/>
  <c r="BN2" i="4"/>
  <c r="BO2" i="4"/>
  <c r="BP2" i="4"/>
  <c r="BQ2" i="4"/>
  <c r="BR2" i="4"/>
  <c r="BS2" i="4"/>
  <c r="BT2" i="4"/>
  <c r="BU2" i="4"/>
  <c r="BV2" i="4"/>
  <c r="BW2" i="4"/>
  <c r="BX2" i="4"/>
  <c r="BY2" i="4"/>
  <c r="BZ2" i="4"/>
  <c r="CA2" i="4"/>
  <c r="CB2" i="4"/>
  <c r="CC2" i="4"/>
  <c r="CD2" i="4"/>
  <c r="BE2" i="4"/>
  <c r="BF2" i="4"/>
  <c r="BI36" i="4" l="1"/>
  <c r="BJ36" i="4"/>
  <c r="BK36" i="4"/>
  <c r="BL36" i="4"/>
  <c r="BM36" i="4"/>
  <c r="BN36" i="4"/>
  <c r="BO36" i="4"/>
  <c r="BP36" i="4"/>
  <c r="BQ36" i="4"/>
  <c r="BR36" i="4"/>
  <c r="BS36" i="4"/>
  <c r="BT36" i="4"/>
  <c r="BU36" i="4"/>
  <c r="BV36" i="4"/>
  <c r="BW36" i="4"/>
  <c r="BX36" i="4"/>
  <c r="BY36" i="4"/>
  <c r="BZ36" i="4"/>
  <c r="CA36" i="4"/>
  <c r="CB36" i="4"/>
  <c r="CC36" i="4"/>
  <c r="CD36" i="4"/>
  <c r="CE36" i="4"/>
  <c r="CF36" i="4"/>
  <c r="CH36" i="4"/>
  <c r="CI36" i="4"/>
  <c r="CJ36" i="4"/>
  <c r="CK36" i="4"/>
  <c r="CL36" i="4"/>
  <c r="CM36" i="4"/>
  <c r="CN36" i="4"/>
  <c r="CO36" i="4"/>
  <c r="CP36" i="4"/>
  <c r="CQ36" i="4"/>
  <c r="CR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AG36" i="4"/>
  <c r="AH36" i="4"/>
  <c r="AI36" i="4"/>
  <c r="AJ36" i="4"/>
  <c r="AK36" i="4"/>
  <c r="AL36" i="4"/>
  <c r="AM36" i="4"/>
  <c r="AN36" i="4"/>
  <c r="AO36" i="4"/>
  <c r="AP36" i="4"/>
  <c r="AQ36" i="4"/>
  <c r="AR36" i="4"/>
  <c r="AS36" i="4"/>
  <c r="AT36" i="4"/>
  <c r="AU36" i="4"/>
  <c r="AV36" i="4"/>
  <c r="AW36" i="4"/>
  <c r="AX36" i="4"/>
  <c r="AY36" i="4"/>
  <c r="AZ36" i="4"/>
  <c r="BA36" i="4"/>
  <c r="BB36" i="4"/>
  <c r="BC36" i="4"/>
  <c r="BD36" i="4"/>
  <c r="BE36" i="4"/>
  <c r="BF36" i="4"/>
  <c r="BG36" i="4"/>
  <c r="BH36" i="4"/>
  <c r="K36" i="4"/>
  <c r="K40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BA41" i="1"/>
  <c r="BB41" i="1"/>
  <c r="BC41" i="1"/>
  <c r="BD41" i="1"/>
  <c r="BE41" i="1"/>
  <c r="BF41" i="1"/>
  <c r="BG41" i="1"/>
  <c r="BH41" i="1"/>
  <c r="BI41" i="1"/>
  <c r="BJ41" i="1"/>
  <c r="BK41" i="1"/>
  <c r="BL41" i="1"/>
  <c r="BM41" i="1"/>
  <c r="BN41" i="1"/>
  <c r="BO41" i="1"/>
  <c r="BP41" i="1"/>
  <c r="BQ41" i="1"/>
  <c r="BR41" i="1"/>
  <c r="BS41" i="1"/>
  <c r="BT41" i="1"/>
  <c r="BU41" i="1"/>
  <c r="BV41" i="1"/>
  <c r="BY41" i="1"/>
  <c r="BZ41" i="1"/>
  <c r="CB41" i="1"/>
  <c r="CC41" i="1"/>
  <c r="CD41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BJ40" i="1"/>
  <c r="BK40" i="1"/>
  <c r="BL40" i="1"/>
  <c r="BM40" i="1"/>
  <c r="BN40" i="1"/>
  <c r="BO40" i="1"/>
  <c r="BP40" i="1"/>
  <c r="BQ40" i="1"/>
  <c r="BR40" i="1"/>
  <c r="BS40" i="1"/>
  <c r="BT40" i="1"/>
  <c r="BU40" i="1"/>
  <c r="BV40" i="1"/>
  <c r="BW40" i="1"/>
  <c r="BX40" i="1"/>
  <c r="BY40" i="1"/>
  <c r="CA40" i="1"/>
  <c r="CB40" i="1"/>
  <c r="CC40" i="1"/>
  <c r="CD40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BM39" i="1"/>
  <c r="BN39" i="1"/>
  <c r="BO39" i="1"/>
  <c r="BP39" i="1"/>
  <c r="BQ39" i="1"/>
  <c r="BR39" i="1"/>
  <c r="BS39" i="1"/>
  <c r="BT39" i="1"/>
  <c r="BU39" i="1"/>
  <c r="BV39" i="1"/>
  <c r="BW39" i="1"/>
  <c r="BX39" i="1"/>
  <c r="BY39" i="1"/>
  <c r="BZ39" i="1"/>
  <c r="CA39" i="1"/>
  <c r="CB39" i="1"/>
  <c r="CC39" i="1"/>
  <c r="CD39" i="1"/>
  <c r="K39" i="1"/>
  <c r="BA11" i="4" l="1"/>
  <c r="AY11" i="4"/>
  <c r="AZ11" i="4"/>
  <c r="AO27" i="1"/>
  <c r="L27" i="1" l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K27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BJ23" i="1"/>
  <c r="BK23" i="1"/>
  <c r="BL23" i="1"/>
  <c r="BM23" i="1"/>
  <c r="BN23" i="1"/>
  <c r="BO23" i="1"/>
  <c r="BP23" i="1"/>
  <c r="BQ23" i="1"/>
  <c r="K23" i="1"/>
  <c r="L11" i="4" l="1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N11" i="4"/>
  <c r="AO11" i="4"/>
  <c r="AP11" i="4"/>
  <c r="AQ11" i="4"/>
  <c r="AR11" i="4"/>
  <c r="AS11" i="4"/>
  <c r="AT11" i="4"/>
  <c r="AU11" i="4"/>
  <c r="AV11" i="4"/>
  <c r="AW11" i="4"/>
  <c r="AX11" i="4"/>
  <c r="K11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AG2" i="4"/>
  <c r="AH2" i="4"/>
  <c r="AI2" i="4"/>
  <c r="AJ2" i="4"/>
  <c r="AK2" i="4"/>
  <c r="AL2" i="4"/>
  <c r="AM2" i="4"/>
  <c r="AN2" i="4"/>
  <c r="AO2" i="4"/>
  <c r="AP2" i="4"/>
  <c r="AQ2" i="4"/>
  <c r="AR2" i="4"/>
  <c r="AS2" i="4"/>
  <c r="AT2" i="4"/>
  <c r="AU2" i="4"/>
  <c r="AV2" i="4"/>
  <c r="AW2" i="4"/>
  <c r="AX2" i="4"/>
  <c r="AY2" i="4"/>
  <c r="AZ2" i="4"/>
  <c r="BA2" i="4"/>
  <c r="BB2" i="4"/>
  <c r="BC2" i="4"/>
  <c r="BD2" i="4"/>
  <c r="K2" i="4"/>
  <c r="AO1" i="3" l="1"/>
  <c r="AP1" i="3" s="1"/>
  <c r="AQ1" i="3" s="1"/>
  <c r="AR1" i="3" s="1"/>
  <c r="AS1" i="3" s="1"/>
  <c r="AT1" i="3" s="1"/>
  <c r="AU1" i="3" s="1"/>
  <c r="AV1" i="3" s="1"/>
  <c r="AW1" i="3" s="1"/>
  <c r="AX1" i="3" s="1"/>
  <c r="AY1" i="3" s="1"/>
  <c r="AZ1" i="3" s="1"/>
  <c r="BA1" i="3" s="1"/>
  <c r="BB1" i="3" s="1"/>
  <c r="BC1" i="3" s="1"/>
  <c r="BD1" i="3" s="1"/>
  <c r="BE1" i="3" s="1"/>
  <c r="BF1" i="3" s="1"/>
  <c r="BG1" i="3" s="1"/>
  <c r="BH1" i="3" s="1"/>
  <c r="BI1" i="3" s="1"/>
  <c r="BJ1" i="3" s="1"/>
  <c r="BK1" i="3" s="1"/>
  <c r="BL1" i="3" s="1"/>
  <c r="BM1" i="3" s="1"/>
  <c r="BN1" i="3" s="1"/>
  <c r="BO1" i="3" s="1"/>
  <c r="BP1" i="3" s="1"/>
  <c r="BQ1" i="3" s="1"/>
  <c r="BR1" i="3" s="1"/>
  <c r="BS1" i="3" s="1"/>
  <c r="BT1" i="3" s="1"/>
  <c r="BU1" i="3" s="1"/>
  <c r="BV1" i="3" s="1"/>
  <c r="BW1" i="3" s="1"/>
  <c r="BX1" i="3" s="1"/>
  <c r="BY1" i="3" s="1"/>
  <c r="BZ1" i="3" s="1"/>
  <c r="CA1" i="3" s="1"/>
  <c r="CB1" i="3" s="1"/>
  <c r="CC1" i="3" s="1"/>
  <c r="CD1" i="3" s="1"/>
  <c r="CE1" i="3" s="1"/>
  <c r="CF1" i="3" s="1"/>
  <c r="CG1" i="3" s="1"/>
  <c r="CH1" i="3" s="1"/>
  <c r="CI1" i="3" s="1"/>
  <c r="CJ1" i="3" s="1"/>
  <c r="CK1" i="3" s="1"/>
  <c r="CL1" i="3" s="1"/>
  <c r="CM1" i="3" s="1"/>
  <c r="CN1" i="3" s="1"/>
  <c r="CO1" i="3" s="1"/>
  <c r="CP1" i="3" s="1"/>
  <c r="CQ1" i="3" s="1"/>
  <c r="CR1" i="3" s="1"/>
  <c r="CS1" i="3" s="1"/>
  <c r="CT1" i="3" s="1"/>
  <c r="CU1" i="3" s="1"/>
  <c r="CV1" i="3" s="1"/>
  <c r="CW1" i="3" s="1"/>
  <c r="CX1" i="3" s="1"/>
  <c r="CY1" i="3" s="1"/>
  <c r="CZ1" i="3" s="1"/>
  <c r="DA1" i="3" s="1"/>
  <c r="DB1" i="3" s="1"/>
  <c r="DC1" i="3" s="1"/>
  <c r="DD1" i="3" s="1"/>
  <c r="DE1" i="3" s="1"/>
  <c r="DF1" i="3" s="1"/>
  <c r="DG1" i="3" s="1"/>
  <c r="DH1" i="3" s="1"/>
  <c r="DI1" i="3" s="1"/>
  <c r="DJ1" i="3" s="1"/>
  <c r="DK1" i="3" s="1"/>
  <c r="DL1" i="3" s="1"/>
  <c r="DM1" i="3" s="1"/>
  <c r="DN1" i="3" s="1"/>
  <c r="DO1" i="3" s="1"/>
  <c r="DP1" i="3" s="1"/>
  <c r="DQ1" i="3" s="1"/>
  <c r="DR1" i="3" s="1"/>
  <c r="DS1" i="3" s="1"/>
  <c r="DT1" i="3" s="1"/>
  <c r="DU1" i="3" s="1"/>
  <c r="DV1" i="3" s="1"/>
  <c r="DW1" i="3" s="1"/>
  <c r="DX1" i="3" s="1"/>
  <c r="DY1" i="3" s="1"/>
  <c r="DZ1" i="3" s="1"/>
  <c r="EA1" i="3" s="1"/>
  <c r="EB1" i="3" s="1"/>
  <c r="EC1" i="3" s="1"/>
  <c r="ED1" i="3" s="1"/>
  <c r="EE1" i="3" s="1"/>
  <c r="EF1" i="3" s="1"/>
  <c r="EG1" i="3" s="1"/>
  <c r="EH1" i="3" s="1"/>
  <c r="EI1" i="3" s="1"/>
  <c r="EJ1" i="3" s="1"/>
  <c r="EK1" i="3" s="1"/>
  <c r="EL1" i="3" s="1"/>
  <c r="EM1" i="3" s="1"/>
  <c r="EN1" i="3" s="1"/>
  <c r="EO1" i="3" s="1"/>
  <c r="EP1" i="3" s="1"/>
  <c r="EQ1" i="3" s="1"/>
  <c r="ER1" i="3" s="1"/>
  <c r="ES1" i="3" s="1"/>
  <c r="ET1" i="3" s="1"/>
  <c r="EU1" i="3" s="1"/>
  <c r="EV1" i="3" s="1"/>
  <c r="EW1" i="3" s="1"/>
  <c r="EX1" i="3" s="1"/>
  <c r="EY1" i="3" s="1"/>
  <c r="EZ1" i="3" s="1"/>
  <c r="FA1" i="3" s="1"/>
  <c r="FB1" i="3" s="1"/>
  <c r="FC1" i="3" s="1"/>
  <c r="FD1" i="3" s="1"/>
  <c r="FE1" i="3" s="1"/>
  <c r="FF1" i="3" s="1"/>
  <c r="FG1" i="3" s="1"/>
  <c r="FH1" i="3" s="1"/>
  <c r="FI1" i="3" s="1"/>
  <c r="FJ1" i="3" s="1"/>
  <c r="FK1" i="3" s="1"/>
  <c r="FL1" i="3" s="1"/>
  <c r="FM1" i="3" s="1"/>
  <c r="FN1" i="3" s="1"/>
  <c r="FO1" i="3" s="1"/>
  <c r="FP1" i="3" s="1"/>
  <c r="FQ1" i="3" s="1"/>
  <c r="FR1" i="3" s="1"/>
  <c r="FS1" i="3" s="1"/>
  <c r="FT1" i="3" s="1"/>
  <c r="FU1" i="3" s="1"/>
  <c r="FV1" i="3" s="1"/>
  <c r="FW1" i="3" s="1"/>
  <c r="FX1" i="3" s="1"/>
  <c r="FY1" i="3" s="1"/>
  <c r="FZ1" i="3" s="1"/>
  <c r="GA1" i="3" s="1"/>
  <c r="GB1" i="3" s="1"/>
  <c r="GC1" i="3" s="1"/>
  <c r="GD1" i="3" s="1"/>
  <c r="GE1" i="3" s="1"/>
  <c r="GF1" i="3" s="1"/>
  <c r="GG1" i="3" s="1"/>
  <c r="GH1" i="3" s="1"/>
  <c r="GI1" i="3" s="1"/>
  <c r="GJ1" i="3" s="1"/>
  <c r="GK1" i="3" s="1"/>
  <c r="GL1" i="3" s="1"/>
  <c r="GM1" i="3" s="1"/>
  <c r="GN1" i="3" s="1"/>
  <c r="GO1" i="3" s="1"/>
  <c r="GP1" i="3" s="1"/>
  <c r="GQ1" i="3" s="1"/>
  <c r="GR1" i="3" s="1"/>
  <c r="GS1" i="3" s="1"/>
  <c r="GT1" i="3" s="1"/>
  <c r="GU1" i="3" s="1"/>
  <c r="GV1" i="3" s="1"/>
  <c r="GW1" i="3" s="1"/>
  <c r="GX1" i="3" s="1"/>
  <c r="GY1" i="3" s="1"/>
  <c r="GZ1" i="3" s="1"/>
  <c r="HA1" i="3" s="1"/>
  <c r="HB1" i="3" s="1"/>
  <c r="HC1" i="3" s="1"/>
  <c r="HD1" i="3" s="1"/>
  <c r="HE1" i="3" s="1"/>
  <c r="HF1" i="3" s="1"/>
  <c r="HG1" i="3" s="1"/>
  <c r="HH1" i="3" s="1"/>
  <c r="HI1" i="3" s="1"/>
  <c r="HJ1" i="3" s="1"/>
  <c r="HK1" i="3" s="1"/>
  <c r="HL1" i="3" s="1"/>
  <c r="HM1" i="3" s="1"/>
  <c r="HN1" i="3" s="1"/>
  <c r="HO1" i="3" s="1"/>
  <c r="HP1" i="3" s="1"/>
  <c r="HQ1" i="3" s="1"/>
  <c r="HR1" i="3" s="1"/>
  <c r="HS1" i="3" s="1"/>
  <c r="HT1" i="3" s="1"/>
  <c r="HU1" i="3" s="1"/>
  <c r="HV1" i="3" s="1"/>
  <c r="HW1" i="3" s="1"/>
  <c r="HX1" i="3" s="1"/>
  <c r="HY1" i="3" s="1"/>
  <c r="HZ1" i="3" s="1"/>
  <c r="IA1" i="3" s="1"/>
  <c r="IB1" i="3" s="1"/>
  <c r="IC1" i="3" s="1"/>
  <c r="ID1" i="3" s="1"/>
  <c r="IE1" i="3" s="1"/>
  <c r="IF1" i="3" s="1"/>
  <c r="IG1" i="3" s="1"/>
  <c r="IH1" i="3" s="1"/>
  <c r="II1" i="3" s="1"/>
  <c r="IJ1" i="3" s="1"/>
  <c r="IK1" i="3" s="1"/>
  <c r="IL1" i="3" s="1"/>
  <c r="IM1" i="3" s="1"/>
  <c r="IN1" i="3" s="1"/>
  <c r="IO1" i="3" s="1"/>
  <c r="IP1" i="3" s="1"/>
  <c r="IQ1" i="3" s="1"/>
  <c r="IR1" i="3" s="1"/>
  <c r="IS1" i="3" s="1"/>
  <c r="IT1" i="3" s="1"/>
  <c r="IU1" i="3" s="1"/>
  <c r="IV1" i="3" s="1"/>
  <c r="IW1" i="3" s="1"/>
  <c r="IX1" i="3" s="1"/>
  <c r="IY1" i="3" s="1"/>
  <c r="IZ1" i="3" s="1"/>
  <c r="JA1" i="3" s="1"/>
  <c r="JB1" i="3" s="1"/>
  <c r="JC1" i="3" s="1"/>
  <c r="JD1" i="3" s="1"/>
  <c r="JE1" i="3" s="1"/>
  <c r="JF1" i="3" s="1"/>
  <c r="JG1" i="3" s="1"/>
  <c r="JH1" i="3" s="1"/>
  <c r="JI1" i="3" s="1"/>
  <c r="JJ1" i="3" s="1"/>
  <c r="JK1" i="3" s="1"/>
  <c r="JL1" i="3" s="1"/>
  <c r="JM1" i="3" s="1"/>
  <c r="JN1" i="3" s="1"/>
  <c r="JO1" i="3" s="1"/>
  <c r="JP1" i="3" s="1"/>
  <c r="JQ1" i="3" s="1"/>
  <c r="JR1" i="3" s="1"/>
  <c r="JS1" i="3" s="1"/>
  <c r="JT1" i="3" s="1"/>
  <c r="JU1" i="3" s="1"/>
  <c r="JV1" i="3" s="1"/>
  <c r="JW1" i="3" s="1"/>
  <c r="JX1" i="3" s="1"/>
  <c r="JY1" i="3" s="1"/>
  <c r="JZ1" i="3" s="1"/>
  <c r="KA1" i="3" s="1"/>
  <c r="KB1" i="3" s="1"/>
  <c r="KC1" i="3" s="1"/>
  <c r="KD1" i="3" s="1"/>
  <c r="KE1" i="3" s="1"/>
  <c r="KF1" i="3" s="1"/>
  <c r="KG1" i="3" s="1"/>
  <c r="KH1" i="3" s="1"/>
  <c r="KI1" i="3" s="1"/>
  <c r="KJ1" i="3" s="1"/>
  <c r="KK1" i="3" s="1"/>
  <c r="KL1" i="3" s="1"/>
  <c r="KM1" i="3" s="1"/>
  <c r="KN1" i="3" s="1"/>
  <c r="KO1" i="3" s="1"/>
  <c r="KP1" i="3" s="1"/>
  <c r="KQ1" i="3" s="1"/>
  <c r="KR1" i="3" s="1"/>
  <c r="KS1" i="3" s="1"/>
  <c r="KT1" i="3" s="1"/>
  <c r="KU1" i="3" s="1"/>
  <c r="KV1" i="3" s="1"/>
  <c r="KW1" i="3" s="1"/>
  <c r="KX1" i="3" s="1"/>
  <c r="KY1" i="3" s="1"/>
  <c r="KZ1" i="3" s="1"/>
  <c r="LA1" i="3" s="1"/>
  <c r="LB1" i="3" s="1"/>
  <c r="LC1" i="3" s="1"/>
  <c r="LD1" i="3" s="1"/>
  <c r="LE1" i="3" s="1"/>
  <c r="LF1" i="3" s="1"/>
  <c r="LG1" i="3" s="1"/>
  <c r="LH1" i="3" s="1"/>
  <c r="LI1" i="3" s="1"/>
  <c r="LJ1" i="3" s="1"/>
  <c r="LK1" i="3" s="1"/>
  <c r="LL1" i="3" s="1"/>
  <c r="LM1" i="3" s="1"/>
  <c r="LN1" i="3" s="1"/>
  <c r="LO1" i="3" s="1"/>
  <c r="LP1" i="3" s="1"/>
  <c r="LQ1" i="3" s="1"/>
  <c r="LR1" i="3" s="1"/>
  <c r="LS1" i="3" s="1"/>
  <c r="LT1" i="3" s="1"/>
  <c r="LU1" i="3" s="1"/>
  <c r="LV1" i="3" s="1"/>
  <c r="LW1" i="3" s="1"/>
  <c r="LX1" i="3" s="1"/>
  <c r="LY1" i="3" s="1"/>
  <c r="LZ1" i="3" s="1"/>
  <c r="MA1" i="3" s="1"/>
  <c r="MB1" i="3" s="1"/>
  <c r="MC1" i="3" s="1"/>
  <c r="MD1" i="3" s="1"/>
  <c r="ME1" i="3" s="1"/>
  <c r="MF1" i="3" s="1"/>
  <c r="MG1" i="3" s="1"/>
  <c r="MH1" i="3" s="1"/>
  <c r="MI1" i="3" s="1"/>
  <c r="MJ1" i="3" s="1"/>
  <c r="MK1" i="3" s="1"/>
  <c r="ML1" i="3" s="1"/>
  <c r="MM1" i="3" s="1"/>
  <c r="MN1" i="3" s="1"/>
  <c r="MO1" i="3" s="1"/>
  <c r="MP1" i="3" s="1"/>
  <c r="MQ1" i="3" s="1"/>
  <c r="MR1" i="3" s="1"/>
  <c r="MS1" i="3" s="1"/>
  <c r="MT1" i="3" s="1"/>
  <c r="MU1" i="3" s="1"/>
  <c r="MV1" i="3" s="1"/>
  <c r="MW1" i="3" s="1"/>
  <c r="MX1" i="3" s="1"/>
  <c r="MY1" i="3" s="1"/>
  <c r="MZ1" i="3" s="1"/>
  <c r="NA1" i="3" s="1"/>
  <c r="NB1" i="3" s="1"/>
  <c r="NC1" i="3" s="1"/>
  <c r="ND1" i="3" s="1"/>
  <c r="NE1" i="3" s="1"/>
  <c r="NF1" i="3" s="1"/>
  <c r="NG1" i="3" s="1"/>
  <c r="NH1" i="3" s="1"/>
  <c r="NI1" i="3" s="1"/>
  <c r="NJ1" i="3" s="1"/>
  <c r="NK1" i="3" s="1"/>
  <c r="NL1" i="3" s="1"/>
  <c r="NM1" i="3" s="1"/>
  <c r="NN1" i="3" s="1"/>
  <c r="NO1" i="3" s="1"/>
  <c r="NP1" i="3" s="1"/>
  <c r="NQ1" i="3" s="1"/>
  <c r="NR1" i="3" s="1"/>
  <c r="NS1" i="3" s="1"/>
  <c r="NT1" i="3" s="1"/>
  <c r="NU1" i="3" s="1"/>
  <c r="NV1" i="3" s="1"/>
  <c r="NW1" i="3" s="1"/>
  <c r="NX1" i="3" s="1"/>
  <c r="NY1" i="3" s="1"/>
  <c r="NZ1" i="3" s="1"/>
  <c r="OA1" i="3" s="1"/>
  <c r="OB1" i="3" s="1"/>
  <c r="OC1" i="3" s="1"/>
  <c r="OD1" i="3" s="1"/>
  <c r="OE1" i="3" s="1"/>
  <c r="OF1" i="3" s="1"/>
  <c r="OG1" i="3" s="1"/>
  <c r="OH1" i="3" s="1"/>
  <c r="OI1" i="3" s="1"/>
  <c r="OJ1" i="3" s="1"/>
  <c r="OK1" i="3" s="1"/>
  <c r="OL1" i="3" s="1"/>
  <c r="OM1" i="3" s="1"/>
  <c r="ON1" i="3" s="1"/>
  <c r="OO1" i="3" s="1"/>
  <c r="OP1" i="3" s="1"/>
  <c r="OQ1" i="3" s="1"/>
  <c r="OR1" i="3" s="1"/>
  <c r="OS1" i="3" s="1"/>
  <c r="OT1" i="3" s="1"/>
  <c r="OU1" i="3" s="1"/>
  <c r="OV1" i="3" s="1"/>
  <c r="OW1" i="3" s="1"/>
  <c r="OX1" i="3" s="1"/>
  <c r="OY1" i="3" s="1"/>
  <c r="OZ1" i="3" s="1"/>
  <c r="PA1" i="3" s="1"/>
  <c r="PB1" i="3" s="1"/>
  <c r="PC1" i="3" s="1"/>
  <c r="PD1" i="3" s="1"/>
  <c r="PE1" i="3" s="1"/>
  <c r="PF1" i="3" s="1"/>
  <c r="PG1" i="3" s="1"/>
  <c r="PH1" i="3" s="1"/>
  <c r="PI1" i="3" s="1"/>
  <c r="PJ1" i="3" s="1"/>
  <c r="PK1" i="3" s="1"/>
  <c r="PL1" i="3" s="1"/>
  <c r="PM1" i="3" s="1"/>
  <c r="PN1" i="3" s="1"/>
  <c r="PO1" i="3" s="1"/>
  <c r="PP1" i="3" s="1"/>
  <c r="PQ1" i="3" s="1"/>
  <c r="PR1" i="3" s="1"/>
  <c r="PS1" i="3" s="1"/>
  <c r="PT1" i="3" s="1"/>
  <c r="PU1" i="3" s="1"/>
  <c r="PV1" i="3" s="1"/>
  <c r="PW1" i="3" s="1"/>
  <c r="PX1" i="3" s="1"/>
  <c r="PY1" i="3" s="1"/>
  <c r="PZ1" i="3" s="1"/>
  <c r="QA1" i="3" s="1"/>
  <c r="QB1" i="3" s="1"/>
  <c r="QC1" i="3" s="1"/>
  <c r="QD1" i="3" s="1"/>
  <c r="QE1" i="3" s="1"/>
  <c r="QF1" i="3" s="1"/>
  <c r="QG1" i="3" s="1"/>
  <c r="QH1" i="3" s="1"/>
  <c r="QI1" i="3" s="1"/>
  <c r="QJ1" i="3" s="1"/>
  <c r="QK1" i="3" s="1"/>
  <c r="QL1" i="3" s="1"/>
  <c r="QM1" i="3" s="1"/>
  <c r="QN1" i="3" s="1"/>
  <c r="QO1" i="3" s="1"/>
  <c r="QP1" i="3" s="1"/>
  <c r="QQ1" i="3" s="1"/>
  <c r="QR1" i="3" s="1"/>
  <c r="QS1" i="3" s="1"/>
  <c r="QT1" i="3" s="1"/>
  <c r="QU1" i="3" s="1"/>
  <c r="QV1" i="3" s="1"/>
  <c r="QW1" i="3" s="1"/>
  <c r="QX1" i="3" s="1"/>
  <c r="QY1" i="3" s="1"/>
  <c r="QZ1" i="3" s="1"/>
  <c r="RA1" i="3" s="1"/>
  <c r="RB1" i="3" s="1"/>
  <c r="RC1" i="3" s="1"/>
  <c r="RD1" i="3" s="1"/>
  <c r="RE1" i="3" s="1"/>
  <c r="RF1" i="3" s="1"/>
  <c r="RG1" i="3" s="1"/>
  <c r="RH1" i="3" s="1"/>
  <c r="RI1" i="3" s="1"/>
  <c r="RJ1" i="3" s="1"/>
  <c r="RK1" i="3" s="1"/>
  <c r="RL1" i="3" s="1"/>
  <c r="RM1" i="3" s="1"/>
  <c r="RN1" i="3" s="1"/>
  <c r="RO1" i="3" s="1"/>
  <c r="RP1" i="3" s="1"/>
  <c r="RQ1" i="3" s="1"/>
  <c r="RR1" i="3" s="1"/>
  <c r="RS1" i="3" s="1"/>
  <c r="RT1" i="3" s="1"/>
  <c r="RU1" i="3" s="1"/>
  <c r="RV1" i="3" s="1"/>
  <c r="RW1" i="3" s="1"/>
  <c r="RX1" i="3" s="1"/>
  <c r="RY1" i="3" s="1"/>
  <c r="RZ1" i="3" s="1"/>
  <c r="SA1" i="3" s="1"/>
  <c r="SB1" i="3" s="1"/>
  <c r="SC1" i="3" s="1"/>
  <c r="SD1" i="3" s="1"/>
  <c r="SE1" i="3" s="1"/>
  <c r="SF1" i="3" s="1"/>
  <c r="SG1" i="3" s="1"/>
  <c r="SH1" i="3" s="1"/>
  <c r="SI1" i="3" s="1"/>
  <c r="SJ1" i="3" s="1"/>
  <c r="SK1" i="3" s="1"/>
  <c r="SL1" i="3" s="1"/>
  <c r="SM1" i="3" s="1"/>
  <c r="SN1" i="3" s="1"/>
  <c r="SO1" i="3" s="1"/>
  <c r="SP1" i="3" s="1"/>
  <c r="SQ1" i="3" s="1"/>
  <c r="SR1" i="3" s="1"/>
  <c r="SS1" i="3" s="1"/>
  <c r="ST1" i="3" s="1"/>
  <c r="SU1" i="3" s="1"/>
  <c r="SV1" i="3" s="1"/>
  <c r="SW1" i="3" s="1"/>
  <c r="SX1" i="3" s="1"/>
  <c r="SY1" i="3" s="1"/>
  <c r="SZ1" i="3" s="1"/>
  <c r="TA1" i="3" s="1"/>
  <c r="TB1" i="3" s="1"/>
  <c r="TC1" i="3" s="1"/>
  <c r="TD1" i="3" s="1"/>
  <c r="TE1" i="3" s="1"/>
  <c r="TF1" i="3" s="1"/>
  <c r="TG1" i="3" s="1"/>
  <c r="TH1" i="3" s="1"/>
  <c r="TI1" i="3" s="1"/>
  <c r="TJ1" i="3" s="1"/>
  <c r="TK1" i="3" s="1"/>
  <c r="TL1" i="3" s="1"/>
  <c r="TM1" i="3" s="1"/>
  <c r="TN1" i="3" s="1"/>
  <c r="TO1" i="3" s="1"/>
  <c r="TP1" i="3" s="1"/>
  <c r="TQ1" i="3" s="1"/>
  <c r="TR1" i="3" s="1"/>
  <c r="TS1" i="3" s="1"/>
  <c r="TT1" i="3" s="1"/>
  <c r="TU1" i="3" s="1"/>
  <c r="TV1" i="3" s="1"/>
  <c r="TW1" i="3" s="1"/>
  <c r="TX1" i="3" s="1"/>
  <c r="TY1" i="3" s="1"/>
  <c r="TZ1" i="3" s="1"/>
  <c r="UA1" i="3" s="1"/>
  <c r="UB1" i="3" s="1"/>
  <c r="UC1" i="3" s="1"/>
  <c r="UD1" i="3" s="1"/>
  <c r="UE1" i="3" s="1"/>
  <c r="UF1" i="3" s="1"/>
  <c r="UG1" i="3" s="1"/>
  <c r="UH1" i="3" s="1"/>
  <c r="UI1" i="3" s="1"/>
  <c r="UJ1" i="3" s="1"/>
  <c r="UK1" i="3" s="1"/>
  <c r="UL1" i="3" s="1"/>
  <c r="UM1" i="3" s="1"/>
  <c r="UN1" i="3" s="1"/>
  <c r="UO1" i="3" s="1"/>
  <c r="UP1" i="3" s="1"/>
  <c r="UQ1" i="3" s="1"/>
  <c r="UR1" i="3" s="1"/>
  <c r="US1" i="3" s="1"/>
  <c r="UT1" i="3" s="1"/>
  <c r="UU1" i="3" s="1"/>
  <c r="UV1" i="3" s="1"/>
  <c r="UW1" i="3" s="1"/>
  <c r="UX1" i="3" s="1"/>
  <c r="UY1" i="3" s="1"/>
  <c r="UZ1" i="3" s="1"/>
  <c r="VA1" i="3" s="1"/>
  <c r="VB1" i="3" s="1"/>
  <c r="VC1" i="3" s="1"/>
  <c r="VD1" i="3" s="1"/>
  <c r="VE1" i="3" s="1"/>
  <c r="VF1" i="3" s="1"/>
  <c r="VG1" i="3" s="1"/>
  <c r="VH1" i="3" s="1"/>
  <c r="VI1" i="3" s="1"/>
  <c r="VJ1" i="3" s="1"/>
  <c r="VK1" i="3" s="1"/>
  <c r="VL1" i="3" s="1"/>
  <c r="VM1" i="3" s="1"/>
  <c r="VN1" i="3" s="1"/>
  <c r="VO1" i="3" s="1"/>
  <c r="VP1" i="3" s="1"/>
  <c r="VQ1" i="3" s="1"/>
  <c r="VR1" i="3" s="1"/>
  <c r="VS1" i="3" s="1"/>
  <c r="VT1" i="3" s="1"/>
  <c r="VU1" i="3" s="1"/>
  <c r="VV1" i="3" s="1"/>
  <c r="VW1" i="3" s="1"/>
  <c r="VX1" i="3" s="1"/>
  <c r="VY1" i="3" s="1"/>
  <c r="VZ1" i="3" s="1"/>
  <c r="WA1" i="3" s="1"/>
  <c r="WB1" i="3" s="1"/>
  <c r="WC1" i="3" s="1"/>
  <c r="WD1" i="3" s="1"/>
  <c r="WE1" i="3" s="1"/>
  <c r="WF1" i="3" s="1"/>
  <c r="WG1" i="3" s="1"/>
  <c r="WH1" i="3" s="1"/>
  <c r="WI1" i="3" s="1"/>
  <c r="WJ1" i="3" s="1"/>
  <c r="WK1" i="3" s="1"/>
  <c r="WL1" i="3" s="1"/>
  <c r="WM1" i="3" s="1"/>
  <c r="WN1" i="3" s="1"/>
  <c r="WO1" i="3" s="1"/>
  <c r="WP1" i="3" s="1"/>
  <c r="WQ1" i="3" s="1"/>
  <c r="WR1" i="3" s="1"/>
  <c r="WS1" i="3" s="1"/>
  <c r="WT1" i="3" s="1"/>
  <c r="WU1" i="3" s="1"/>
  <c r="WV1" i="3" s="1"/>
  <c r="WW1" i="3" s="1"/>
  <c r="WX1" i="3" s="1"/>
  <c r="WY1" i="3" s="1"/>
  <c r="WZ1" i="3" s="1"/>
  <c r="XA1" i="3" s="1"/>
  <c r="XB1" i="3" s="1"/>
  <c r="XC1" i="3" s="1"/>
  <c r="XD1" i="3" s="1"/>
  <c r="XE1" i="3" s="1"/>
  <c r="XF1" i="3" s="1"/>
  <c r="XG1" i="3" s="1"/>
  <c r="XH1" i="3" s="1"/>
  <c r="XI1" i="3" s="1"/>
  <c r="XJ1" i="3" s="1"/>
  <c r="XK1" i="3" s="1"/>
  <c r="XL1" i="3" s="1"/>
  <c r="XM1" i="3" s="1"/>
  <c r="XN1" i="3" s="1"/>
  <c r="XO1" i="3" s="1"/>
  <c r="XP1" i="3" s="1"/>
  <c r="XQ1" i="3" s="1"/>
  <c r="XR1" i="3" s="1"/>
  <c r="XS1" i="3" s="1"/>
  <c r="XT1" i="3" s="1"/>
  <c r="XU1" i="3" s="1"/>
  <c r="XV1" i="3" s="1"/>
  <c r="XW1" i="3" s="1"/>
  <c r="XX1" i="3" s="1"/>
  <c r="XY1" i="3" s="1"/>
  <c r="XZ1" i="3" s="1"/>
  <c r="YA1" i="3" s="1"/>
  <c r="YB1" i="3" s="1"/>
  <c r="YC1" i="3" s="1"/>
  <c r="YD1" i="3" s="1"/>
  <c r="YE1" i="3" s="1"/>
  <c r="YF1" i="3" s="1"/>
  <c r="YG1" i="3" s="1"/>
  <c r="YH1" i="3" s="1"/>
  <c r="YI1" i="3" s="1"/>
  <c r="YJ1" i="3" s="1"/>
  <c r="YK1" i="3" s="1"/>
  <c r="YL1" i="3" s="1"/>
  <c r="YM1" i="3" s="1"/>
  <c r="YN1" i="3" s="1"/>
  <c r="YO1" i="3" s="1"/>
  <c r="YP1" i="3" s="1"/>
  <c r="YQ1" i="3" s="1"/>
  <c r="YR1" i="3" s="1"/>
  <c r="YS1" i="3" s="1"/>
  <c r="YT1" i="3" s="1"/>
  <c r="YU1" i="3" s="1"/>
  <c r="YV1" i="3" s="1"/>
  <c r="YW1" i="3" s="1"/>
  <c r="YX1" i="3" s="1"/>
  <c r="YY1" i="3" s="1"/>
  <c r="YZ1" i="3" s="1"/>
  <c r="ZA1" i="3" s="1"/>
  <c r="ZB1" i="3" s="1"/>
  <c r="ZC1" i="3" s="1"/>
  <c r="ZD1" i="3" s="1"/>
  <c r="ZE1" i="3" s="1"/>
  <c r="ZF1" i="3" s="1"/>
  <c r="ZG1" i="3" s="1"/>
  <c r="ZH1" i="3" s="1"/>
  <c r="ZI1" i="3" s="1"/>
  <c r="ZJ1" i="3" s="1"/>
  <c r="ZK1" i="3" s="1"/>
  <c r="ZL1" i="3" s="1"/>
  <c r="ZM1" i="3" s="1"/>
  <c r="ZN1" i="3" s="1"/>
  <c r="ZO1" i="3" s="1"/>
  <c r="ZP1" i="3" s="1"/>
  <c r="ZQ1" i="3" s="1"/>
  <c r="ZR1" i="3" s="1"/>
  <c r="ZS1" i="3" s="1"/>
  <c r="ZT1" i="3" s="1"/>
  <c r="ZU1" i="3" s="1"/>
  <c r="ZV1" i="3" s="1"/>
  <c r="ZW1" i="3" s="1"/>
  <c r="ZX1" i="3" s="1"/>
  <c r="ZY1" i="3" s="1"/>
  <c r="ZZ1" i="3" s="1"/>
  <c r="AAA1" i="3" s="1"/>
  <c r="AAB1" i="3" s="1"/>
  <c r="AAC1" i="3" s="1"/>
  <c r="AAD1" i="3" s="1"/>
  <c r="AAE1" i="3" s="1"/>
  <c r="AAF1" i="3" s="1"/>
  <c r="AAG1" i="3" s="1"/>
  <c r="AAH1" i="3" s="1"/>
  <c r="AAI1" i="3" s="1"/>
  <c r="AAJ1" i="3" s="1"/>
  <c r="AAK1" i="3" s="1"/>
  <c r="AAL1" i="3" s="1"/>
  <c r="AAM1" i="3" s="1"/>
  <c r="AAN1" i="3" s="1"/>
  <c r="AAO1" i="3" s="1"/>
  <c r="AAP1" i="3" s="1"/>
  <c r="AAQ1" i="3" s="1"/>
  <c r="AAR1" i="3" s="1"/>
  <c r="AAS1" i="3" s="1"/>
  <c r="AAT1" i="3" s="1"/>
  <c r="AAU1" i="3" s="1"/>
  <c r="AAV1" i="3" s="1"/>
  <c r="AAW1" i="3" s="1"/>
  <c r="AAX1" i="3" s="1"/>
  <c r="AAY1" i="3" s="1"/>
  <c r="AAZ1" i="3" s="1"/>
  <c r="ABA1" i="3" s="1"/>
  <c r="ABB1" i="3" s="1"/>
  <c r="ABC1" i="3" s="1"/>
  <c r="ABD1" i="3" s="1"/>
  <c r="ABE1" i="3" s="1"/>
  <c r="ABF1" i="3" s="1"/>
  <c r="ABG1" i="3" s="1"/>
  <c r="ABH1" i="3" s="1"/>
  <c r="ABI1" i="3" s="1"/>
  <c r="ABJ1" i="3" s="1"/>
  <c r="ABK1" i="3" s="1"/>
  <c r="ABL1" i="3" s="1"/>
  <c r="ABM1" i="3" s="1"/>
  <c r="ABN1" i="3" s="1"/>
  <c r="ABO1" i="3" s="1"/>
  <c r="ABP1" i="3" s="1"/>
  <c r="ABQ1" i="3" s="1"/>
  <c r="ABR1" i="3" s="1"/>
  <c r="ABS1" i="3" s="1"/>
  <c r="ABT1" i="3" s="1"/>
  <c r="ABU1" i="3" s="1"/>
  <c r="ABV1" i="3" s="1"/>
  <c r="ABW1" i="3" s="1"/>
  <c r="ABX1" i="3" s="1"/>
  <c r="ABY1" i="3" s="1"/>
  <c r="ABZ1" i="3" s="1"/>
  <c r="ACA1" i="3" s="1"/>
  <c r="ACB1" i="3" s="1"/>
  <c r="ACC1" i="3" s="1"/>
  <c r="ACD1" i="3" s="1"/>
  <c r="ACE1" i="3" s="1"/>
  <c r="ACF1" i="3" s="1"/>
  <c r="ACG1" i="3" s="1"/>
  <c r="ACH1" i="3" s="1"/>
  <c r="ACI1" i="3" s="1"/>
  <c r="ACJ1" i="3" s="1"/>
  <c r="ACK1" i="3" s="1"/>
  <c r="ACL1" i="3" s="1"/>
  <c r="ACM1" i="3" s="1"/>
  <c r="ACN1" i="3" s="1"/>
  <c r="ACO1" i="3" s="1"/>
  <c r="ACP1" i="3" s="1"/>
  <c r="ACQ1" i="3" s="1"/>
  <c r="ACR1" i="3" s="1"/>
  <c r="ACS1" i="3" s="1"/>
  <c r="ACT1" i="3" s="1"/>
  <c r="ACU1" i="3" s="1"/>
  <c r="ACV1" i="3" s="1"/>
  <c r="ACW1" i="3" s="1"/>
  <c r="ACX1" i="3" s="1"/>
  <c r="ACY1" i="3" s="1"/>
  <c r="ACZ1" i="3" s="1"/>
  <c r="ADA1" i="3" s="1"/>
  <c r="ADB1" i="3" s="1"/>
  <c r="ADC1" i="3" s="1"/>
  <c r="ADD1" i="3" s="1"/>
  <c r="ADE1" i="3" s="1"/>
  <c r="ADF1" i="3" s="1"/>
  <c r="ADG1" i="3" s="1"/>
  <c r="ADH1" i="3" s="1"/>
  <c r="ADI1" i="3" s="1"/>
  <c r="ADJ1" i="3" s="1"/>
  <c r="ADK1" i="3" s="1"/>
  <c r="ADL1" i="3" s="1"/>
  <c r="ADM1" i="3" s="1"/>
  <c r="ADN1" i="3" s="1"/>
  <c r="ADO1" i="3" s="1"/>
  <c r="ADP1" i="3" s="1"/>
  <c r="ADQ1" i="3" s="1"/>
  <c r="ADR1" i="3" s="1"/>
  <c r="ADS1" i="3" s="1"/>
  <c r="ADT1" i="3" s="1"/>
  <c r="ADU1" i="3" s="1"/>
  <c r="ADV1" i="3" s="1"/>
  <c r="ADW1" i="3" s="1"/>
  <c r="ADX1" i="3" s="1"/>
  <c r="ADY1" i="3" s="1"/>
  <c r="ADZ1" i="3" s="1"/>
  <c r="AEA1" i="3" s="1"/>
  <c r="AEB1" i="3" s="1"/>
  <c r="AEC1" i="3" s="1"/>
  <c r="AED1" i="3" s="1"/>
  <c r="AEE1" i="3" s="1"/>
  <c r="AEF1" i="3" s="1"/>
  <c r="AEG1" i="3" s="1"/>
  <c r="AEH1" i="3" s="1"/>
  <c r="AEI1" i="3" s="1"/>
  <c r="AEJ1" i="3" s="1"/>
  <c r="AEK1" i="3" s="1"/>
  <c r="AEL1" i="3" s="1"/>
  <c r="AEM1" i="3" s="1"/>
  <c r="AEN1" i="3" s="1"/>
  <c r="AEO1" i="3" s="1"/>
  <c r="AEP1" i="3" s="1"/>
  <c r="AEQ1" i="3" s="1"/>
  <c r="AER1" i="3" s="1"/>
  <c r="AES1" i="3" s="1"/>
  <c r="AET1" i="3" s="1"/>
  <c r="AEU1" i="3" s="1"/>
  <c r="AEV1" i="3" s="1"/>
  <c r="AEW1" i="3" s="1"/>
  <c r="AEX1" i="3" s="1"/>
  <c r="AEY1" i="3" s="1"/>
  <c r="AEZ1" i="3" s="1"/>
  <c r="AFA1" i="3" s="1"/>
  <c r="AFB1" i="3" s="1"/>
  <c r="AFC1" i="3" s="1"/>
  <c r="AFD1" i="3" s="1"/>
  <c r="AFE1" i="3" s="1"/>
  <c r="AFF1" i="3" s="1"/>
  <c r="AFG1" i="3" s="1"/>
  <c r="AFH1" i="3" s="1"/>
  <c r="AFI1" i="3" s="1"/>
  <c r="AFJ1" i="3" s="1"/>
  <c r="AFK1" i="3" s="1"/>
  <c r="AFL1" i="3" s="1"/>
  <c r="AFM1" i="3" s="1"/>
  <c r="AFN1" i="3" s="1"/>
  <c r="AFO1" i="3" s="1"/>
  <c r="AFP1" i="3" s="1"/>
  <c r="AFQ1" i="3" s="1"/>
  <c r="AFR1" i="3" s="1"/>
  <c r="AFS1" i="3" s="1"/>
  <c r="AFT1" i="3" s="1"/>
  <c r="AFU1" i="3" s="1"/>
  <c r="AFV1" i="3" s="1"/>
  <c r="AFW1" i="3" s="1"/>
  <c r="AFX1" i="3" s="1"/>
  <c r="AFY1" i="3" s="1"/>
  <c r="AFZ1" i="3" s="1"/>
  <c r="AGA1" i="3" s="1"/>
  <c r="AGB1" i="3" s="1"/>
  <c r="AGC1" i="3" s="1"/>
  <c r="AGD1" i="3" s="1"/>
  <c r="AGE1" i="3" s="1"/>
  <c r="AGF1" i="3" s="1"/>
  <c r="AGG1" i="3" s="1"/>
  <c r="AGH1" i="3" s="1"/>
  <c r="AGI1" i="3" s="1"/>
  <c r="AGJ1" i="3" s="1"/>
  <c r="AGK1" i="3" s="1"/>
  <c r="AGL1" i="3" s="1"/>
  <c r="AGM1" i="3" s="1"/>
  <c r="AGN1" i="3" s="1"/>
  <c r="AGO1" i="3" s="1"/>
  <c r="AGP1" i="3" s="1"/>
  <c r="AGQ1" i="3" s="1"/>
  <c r="AGR1" i="3" s="1"/>
  <c r="AGS1" i="3" s="1"/>
  <c r="AGT1" i="3" s="1"/>
  <c r="AGU1" i="3" s="1"/>
  <c r="AGV1" i="3" s="1"/>
  <c r="AGW1" i="3" s="1"/>
  <c r="AGX1" i="3" s="1"/>
  <c r="AGY1" i="3" s="1"/>
  <c r="AGZ1" i="3" s="1"/>
  <c r="AHA1" i="3" s="1"/>
  <c r="AHB1" i="3" s="1"/>
  <c r="AHC1" i="3" s="1"/>
  <c r="AHD1" i="3" s="1"/>
  <c r="AHE1" i="3" s="1"/>
  <c r="AHF1" i="3" s="1"/>
  <c r="AHG1" i="3" s="1"/>
  <c r="AHH1" i="3" s="1"/>
  <c r="AHI1" i="3" s="1"/>
  <c r="AHJ1" i="3" s="1"/>
  <c r="AHK1" i="3" s="1"/>
  <c r="AHL1" i="3" s="1"/>
  <c r="AHM1" i="3" s="1"/>
  <c r="AHN1" i="3" s="1"/>
  <c r="AHO1" i="3" s="1"/>
  <c r="AHP1" i="3" s="1"/>
  <c r="AHQ1" i="3" s="1"/>
  <c r="AHR1" i="3" s="1"/>
  <c r="AHS1" i="3" s="1"/>
  <c r="AHT1" i="3" s="1"/>
  <c r="AHU1" i="3" s="1"/>
  <c r="AHV1" i="3" s="1"/>
  <c r="AHW1" i="3" s="1"/>
  <c r="AHX1" i="3" s="1"/>
  <c r="AHY1" i="3" s="1"/>
  <c r="AHZ1" i="3" s="1"/>
  <c r="AIA1" i="3" s="1"/>
  <c r="AIB1" i="3" s="1"/>
  <c r="AIC1" i="3" s="1"/>
  <c r="AID1" i="3" s="1"/>
  <c r="AIE1" i="3" s="1"/>
  <c r="AIF1" i="3" s="1"/>
  <c r="AIG1" i="3" s="1"/>
  <c r="AIH1" i="3" s="1"/>
  <c r="AII1" i="3" s="1"/>
  <c r="AIJ1" i="3" s="1"/>
  <c r="AIK1" i="3" s="1"/>
  <c r="AIL1" i="3" s="1"/>
  <c r="AIM1" i="3" s="1"/>
  <c r="AIN1" i="3" s="1"/>
  <c r="AIO1" i="3" s="1"/>
  <c r="AIP1" i="3" s="1"/>
  <c r="AIQ1" i="3" s="1"/>
  <c r="AIR1" i="3" s="1"/>
  <c r="AIS1" i="3" s="1"/>
  <c r="AIT1" i="3" s="1"/>
  <c r="AIU1" i="3" s="1"/>
  <c r="AIV1" i="3" s="1"/>
  <c r="AIW1" i="3" s="1"/>
  <c r="AIX1" i="3" s="1"/>
  <c r="AIY1" i="3" s="1"/>
  <c r="AIZ1" i="3" s="1"/>
  <c r="AJA1" i="3" s="1"/>
  <c r="AJB1" i="3" s="1"/>
  <c r="AJC1" i="3" s="1"/>
  <c r="AJD1" i="3" s="1"/>
  <c r="AJE1" i="3" s="1"/>
  <c r="AJF1" i="3" s="1"/>
  <c r="AJG1" i="3" s="1"/>
  <c r="AJH1" i="3" s="1"/>
  <c r="AJI1" i="3" s="1"/>
  <c r="AJJ1" i="3" s="1"/>
  <c r="AJK1" i="3" s="1"/>
  <c r="AJL1" i="3" s="1"/>
  <c r="AJM1" i="3" s="1"/>
  <c r="AJN1" i="3" s="1"/>
  <c r="AJO1" i="3" s="1"/>
  <c r="AJP1" i="3" s="1"/>
  <c r="AJQ1" i="3" s="1"/>
  <c r="AJR1" i="3" s="1"/>
  <c r="AJS1" i="3" s="1"/>
  <c r="AJT1" i="3" s="1"/>
  <c r="AJU1" i="3" s="1"/>
  <c r="AJV1" i="3" s="1"/>
  <c r="AJW1" i="3" s="1"/>
  <c r="AJX1" i="3" s="1"/>
  <c r="AJY1" i="3" s="1"/>
  <c r="AJZ1" i="3" s="1"/>
  <c r="AKA1" i="3" s="1"/>
  <c r="AKB1" i="3" s="1"/>
  <c r="AKC1" i="3" s="1"/>
  <c r="AKD1" i="3" s="1"/>
  <c r="AKE1" i="3" s="1"/>
  <c r="AKF1" i="3" s="1"/>
  <c r="AKG1" i="3" s="1"/>
  <c r="AKH1" i="3" s="1"/>
  <c r="AKI1" i="3" s="1"/>
  <c r="AKJ1" i="3" s="1"/>
  <c r="L1" i="4" l="1"/>
  <c r="M1" i="4" s="1"/>
  <c r="N1" i="4" s="1"/>
  <c r="O1" i="4" s="1"/>
  <c r="P1" i="4" s="1"/>
  <c r="Q1" i="4" s="1"/>
  <c r="R1" i="4" s="1"/>
  <c r="S1" i="4" s="1"/>
  <c r="T1" i="4" s="1"/>
  <c r="U1" i="4" s="1"/>
  <c r="V1" i="4" s="1"/>
  <c r="W1" i="4" s="1"/>
  <c r="X1" i="4" s="1"/>
  <c r="Y1" i="4" s="1"/>
  <c r="Z1" i="4" s="1"/>
  <c r="AA1" i="4" s="1"/>
  <c r="AB1" i="4" s="1"/>
  <c r="AC1" i="4" s="1"/>
  <c r="AD1" i="4" s="1"/>
  <c r="AE1" i="4" s="1"/>
  <c r="AF1" i="4" s="1"/>
  <c r="AG1" i="4" s="1"/>
  <c r="AH1" i="4" s="1"/>
  <c r="AI1" i="4" s="1"/>
  <c r="AJ1" i="4" s="1"/>
  <c r="AK1" i="4" s="1"/>
  <c r="AL1" i="4" s="1"/>
  <c r="AM1" i="4" s="1"/>
  <c r="AN1" i="4" s="1"/>
  <c r="AO1" i="4" s="1"/>
  <c r="AP1" i="4" s="1"/>
  <c r="AQ1" i="4" s="1"/>
  <c r="AR1" i="4" s="1"/>
  <c r="AS1" i="4" s="1"/>
  <c r="AT1" i="4" s="1"/>
  <c r="AU1" i="4" s="1"/>
  <c r="AV1" i="4" s="1"/>
  <c r="AW1" i="4" s="1"/>
  <c r="AX1" i="4" s="1"/>
  <c r="AY1" i="4" s="1"/>
  <c r="AZ1" i="4" s="1"/>
  <c r="BA1" i="4" s="1"/>
  <c r="BB1" i="4" s="1"/>
  <c r="BC1" i="4" s="1"/>
  <c r="BD1" i="4" s="1"/>
  <c r="BE1" i="4" s="1"/>
  <c r="BF1" i="4" s="1"/>
  <c r="BG1" i="4" s="1"/>
  <c r="BH1" i="4" s="1"/>
  <c r="BI1" i="4" s="1"/>
  <c r="BJ1" i="4" s="1"/>
  <c r="BK1" i="4" s="1"/>
  <c r="BL1" i="4" s="1"/>
  <c r="BM1" i="4" s="1"/>
  <c r="BN1" i="4" s="1"/>
  <c r="BO1" i="4" s="1"/>
  <c r="BP1" i="4" s="1"/>
  <c r="BQ1" i="4" s="1"/>
  <c r="BR1" i="4" s="1"/>
  <c r="BS1" i="4" s="1"/>
  <c r="BT1" i="4" s="1"/>
  <c r="BU1" i="4" s="1"/>
  <c r="BV1" i="4" s="1"/>
  <c r="BW1" i="4" s="1"/>
  <c r="BX1" i="4" s="1"/>
  <c r="BY1" i="4" s="1"/>
  <c r="BZ1" i="4" s="1"/>
  <c r="CA1" i="4" s="1"/>
  <c r="CB1" i="4" s="1"/>
  <c r="CC1" i="4" s="1"/>
  <c r="CD1" i="4" s="1"/>
  <c r="CE1" i="4" s="1"/>
  <c r="CF1" i="4" s="1"/>
  <c r="CG1" i="4" s="1"/>
  <c r="CH1" i="4" s="1"/>
  <c r="CI1" i="4" s="1"/>
  <c r="CJ1" i="4" s="1"/>
  <c r="CK1" i="4" s="1"/>
  <c r="CL1" i="4" s="1"/>
  <c r="CM1" i="4" s="1"/>
  <c r="CN1" i="4" s="1"/>
  <c r="CO1" i="4" s="1"/>
  <c r="CP1" i="4" s="1"/>
  <c r="CQ1" i="4" s="1"/>
  <c r="CR1" i="4" s="1"/>
  <c r="CS1" i="4" s="1"/>
  <c r="CT1" i="4" s="1"/>
  <c r="CU1" i="4" s="1"/>
  <c r="CV1" i="4" s="1"/>
  <c r="CW1" i="4" s="1"/>
  <c r="CX1" i="4" s="1"/>
  <c r="CY1" i="4" s="1"/>
  <c r="CZ1" i="4" s="1"/>
  <c r="DA1" i="4" s="1"/>
  <c r="DB1" i="4" s="1"/>
  <c r="DC1" i="4" s="1"/>
  <c r="DD1" i="4" s="1"/>
  <c r="DE1" i="4" s="1"/>
  <c r="DF1" i="4" s="1"/>
  <c r="DG1" i="4" s="1"/>
  <c r="DH1" i="4" s="1"/>
  <c r="DI1" i="4" s="1"/>
  <c r="DJ1" i="4" s="1"/>
  <c r="DK1" i="4" s="1"/>
  <c r="DL1" i="4" s="1"/>
  <c r="DM1" i="4" s="1"/>
  <c r="DN1" i="4" s="1"/>
  <c r="DO1" i="4" s="1"/>
  <c r="DP1" i="4" s="1"/>
  <c r="DQ1" i="4" s="1"/>
  <c r="DR1" i="4" s="1"/>
  <c r="DS1" i="4" s="1"/>
  <c r="DT1" i="4" s="1"/>
  <c r="DU1" i="4" s="1"/>
  <c r="DV1" i="4" s="1"/>
  <c r="DW1" i="4" s="1"/>
  <c r="DX1" i="4" s="1"/>
  <c r="DY1" i="4" s="1"/>
  <c r="DZ1" i="4" s="1"/>
  <c r="EA1" i="4" s="1"/>
  <c r="EB1" i="4" s="1"/>
  <c r="EC1" i="4" s="1"/>
  <c r="ED1" i="4" s="1"/>
  <c r="EE1" i="4" s="1"/>
  <c r="EF1" i="4" s="1"/>
  <c r="EG1" i="4" s="1"/>
  <c r="EH1" i="4" s="1"/>
  <c r="EI1" i="4" s="1"/>
  <c r="EJ1" i="4" s="1"/>
  <c r="EK1" i="4" s="1"/>
  <c r="EL1" i="4" s="1"/>
  <c r="EM1" i="4" s="1"/>
  <c r="EN1" i="4" s="1"/>
  <c r="EO1" i="4" s="1"/>
  <c r="EP1" i="4" s="1"/>
  <c r="EQ1" i="4" s="1"/>
  <c r="ER1" i="4" s="1"/>
  <c r="ES1" i="4" s="1"/>
  <c r="ET1" i="4" s="1"/>
  <c r="EU1" i="4" s="1"/>
  <c r="EV1" i="4" s="1"/>
  <c r="EW1" i="4" s="1"/>
  <c r="EX1" i="4" s="1"/>
  <c r="EY1" i="4" s="1"/>
  <c r="EZ1" i="4" s="1"/>
  <c r="FA1" i="4" s="1"/>
  <c r="FB1" i="4" s="1"/>
  <c r="FC1" i="4" s="1"/>
  <c r="FD1" i="4" s="1"/>
  <c r="FE1" i="4" s="1"/>
  <c r="FF1" i="4" s="1"/>
  <c r="FG1" i="4" s="1"/>
  <c r="FH1" i="4" s="1"/>
  <c r="FI1" i="4" s="1"/>
  <c r="FJ1" i="4" s="1"/>
  <c r="FK1" i="4" s="1"/>
  <c r="FL1" i="4" s="1"/>
  <c r="FM1" i="4" s="1"/>
  <c r="FN1" i="4" s="1"/>
  <c r="FO1" i="4" s="1"/>
  <c r="FP1" i="4" s="1"/>
  <c r="FQ1" i="4" s="1"/>
  <c r="FR1" i="4" s="1"/>
  <c r="FS1" i="4" s="1"/>
  <c r="FT1" i="4" s="1"/>
  <c r="FU1" i="4" s="1"/>
  <c r="FV1" i="4" s="1"/>
  <c r="FW1" i="4" s="1"/>
  <c r="FX1" i="4" s="1"/>
  <c r="FY1" i="4" s="1"/>
  <c r="FZ1" i="4" s="1"/>
  <c r="GA1" i="4" s="1"/>
  <c r="GB1" i="4" s="1"/>
  <c r="GC1" i="4" s="1"/>
  <c r="GD1" i="4" s="1"/>
  <c r="GE1" i="4" s="1"/>
  <c r="GF1" i="4" s="1"/>
  <c r="GG1" i="4" s="1"/>
  <c r="GH1" i="4" s="1"/>
  <c r="GI1" i="4" s="1"/>
  <c r="GJ1" i="4" s="1"/>
  <c r="GK1" i="4" s="1"/>
  <c r="GL1" i="4" s="1"/>
  <c r="GM1" i="4" s="1"/>
  <c r="GN1" i="4" s="1"/>
  <c r="GO1" i="4" s="1"/>
  <c r="GP1" i="4" s="1"/>
  <c r="GQ1" i="4" s="1"/>
  <c r="GR1" i="4" s="1"/>
  <c r="GS1" i="4" s="1"/>
  <c r="GT1" i="4" s="1"/>
  <c r="GU1" i="4" s="1"/>
  <c r="GV1" i="4" s="1"/>
  <c r="GW1" i="4" s="1"/>
  <c r="GX1" i="4" s="1"/>
  <c r="GY1" i="4" s="1"/>
  <c r="GZ1" i="4" s="1"/>
  <c r="HA1" i="4" s="1"/>
  <c r="HB1" i="4" s="1"/>
  <c r="HC1" i="4" s="1"/>
  <c r="HD1" i="4" s="1"/>
  <c r="HE1" i="4" s="1"/>
  <c r="HF1" i="4" s="1"/>
  <c r="HG1" i="4" s="1"/>
  <c r="HH1" i="4" s="1"/>
  <c r="HI1" i="4" s="1"/>
  <c r="HJ1" i="4" s="1"/>
  <c r="HK1" i="4" s="1"/>
  <c r="HL1" i="4" s="1"/>
  <c r="HM1" i="4" s="1"/>
  <c r="HN1" i="4" s="1"/>
  <c r="HO1" i="4" s="1"/>
  <c r="HP1" i="4" s="1"/>
  <c r="HQ1" i="4" s="1"/>
  <c r="HR1" i="4" s="1"/>
  <c r="HS1" i="4" s="1"/>
  <c r="HT1" i="4" s="1"/>
  <c r="HU1" i="4" s="1"/>
  <c r="HV1" i="4" s="1"/>
  <c r="HW1" i="4" s="1"/>
  <c r="HX1" i="4" s="1"/>
  <c r="HY1" i="4" s="1"/>
  <c r="HZ1" i="4" s="1"/>
  <c r="IA1" i="4" s="1"/>
  <c r="IB1" i="4" s="1"/>
  <c r="IC1" i="4" s="1"/>
  <c r="ID1" i="4" s="1"/>
  <c r="IE1" i="4" s="1"/>
  <c r="IF1" i="4" s="1"/>
  <c r="IG1" i="4" s="1"/>
  <c r="IH1" i="4" s="1"/>
  <c r="II1" i="4" s="1"/>
  <c r="IJ1" i="4" s="1"/>
  <c r="IK1" i="4" s="1"/>
  <c r="IL1" i="4" s="1"/>
  <c r="IM1" i="4" s="1"/>
  <c r="IN1" i="4" s="1"/>
  <c r="IO1" i="4" s="1"/>
  <c r="IP1" i="4" s="1"/>
  <c r="IQ1" i="4" s="1"/>
  <c r="IR1" i="4" s="1"/>
  <c r="IS1" i="4" s="1"/>
  <c r="IT1" i="4" s="1"/>
  <c r="IU1" i="4" s="1"/>
  <c r="IV1" i="4" s="1"/>
  <c r="IW1" i="4" s="1"/>
  <c r="IX1" i="4" s="1"/>
  <c r="IY1" i="4" s="1"/>
  <c r="IZ1" i="4" s="1"/>
  <c r="JA1" i="4" s="1"/>
  <c r="JB1" i="4" s="1"/>
  <c r="JC1" i="4" s="1"/>
  <c r="JD1" i="4" s="1"/>
  <c r="JE1" i="4" s="1"/>
  <c r="JF1" i="4" s="1"/>
  <c r="JG1" i="4" s="1"/>
  <c r="JH1" i="4" s="1"/>
  <c r="JI1" i="4" s="1"/>
  <c r="JJ1" i="4" s="1"/>
  <c r="JK1" i="4" s="1"/>
  <c r="JL1" i="4" s="1"/>
  <c r="JM1" i="4" s="1"/>
  <c r="JN1" i="4" s="1"/>
  <c r="JO1" i="4" s="1"/>
  <c r="JP1" i="4" s="1"/>
  <c r="JQ1" i="4" s="1"/>
  <c r="JR1" i="4" s="1"/>
  <c r="JS1" i="4" s="1"/>
  <c r="JT1" i="4" s="1"/>
  <c r="JU1" i="4" s="1"/>
  <c r="JV1" i="4" s="1"/>
  <c r="JW1" i="4" s="1"/>
  <c r="JX1" i="4" s="1"/>
  <c r="JY1" i="4" s="1"/>
  <c r="JZ1" i="4" s="1"/>
  <c r="KA1" i="4" s="1"/>
  <c r="KB1" i="4" s="1"/>
  <c r="KC1" i="4" s="1"/>
  <c r="KD1" i="4" s="1"/>
  <c r="KE1" i="4" s="1"/>
  <c r="KF1" i="4" s="1"/>
  <c r="KG1" i="4" s="1"/>
  <c r="KH1" i="4" s="1"/>
  <c r="KI1" i="4" s="1"/>
  <c r="KJ1" i="4" s="1"/>
  <c r="KK1" i="4" s="1"/>
  <c r="KL1" i="4" s="1"/>
  <c r="KM1" i="4" s="1"/>
  <c r="KN1" i="4" s="1"/>
  <c r="KO1" i="4" s="1"/>
  <c r="KP1" i="4" s="1"/>
  <c r="KQ1" i="4" s="1"/>
  <c r="KR1" i="4" s="1"/>
  <c r="KS1" i="4" s="1"/>
  <c r="KT1" i="4" s="1"/>
  <c r="KU1" i="4" s="1"/>
  <c r="KV1" i="4" s="1"/>
  <c r="KW1" i="4" s="1"/>
  <c r="KX1" i="4" s="1"/>
  <c r="KY1" i="4" s="1"/>
  <c r="KZ1" i="4" s="1"/>
  <c r="LA1" i="4" s="1"/>
  <c r="LB1" i="4" s="1"/>
  <c r="LC1" i="4" s="1"/>
  <c r="LD1" i="4" s="1"/>
  <c r="LE1" i="4" s="1"/>
  <c r="LF1" i="4" s="1"/>
  <c r="LG1" i="4" s="1"/>
  <c r="LH1" i="4" s="1"/>
  <c r="LI1" i="4" s="1"/>
  <c r="LJ1" i="4" s="1"/>
  <c r="LK1" i="4" s="1"/>
  <c r="LL1" i="4" s="1"/>
  <c r="LM1" i="4" s="1"/>
  <c r="LN1" i="4" s="1"/>
  <c r="LO1" i="4" s="1"/>
  <c r="LP1" i="4" s="1"/>
  <c r="LQ1" i="4" s="1"/>
  <c r="LR1" i="4" s="1"/>
  <c r="LS1" i="4" s="1"/>
  <c r="LT1" i="4" s="1"/>
  <c r="LU1" i="4" s="1"/>
  <c r="LV1" i="4" s="1"/>
  <c r="LW1" i="4" s="1"/>
  <c r="LX1" i="4" s="1"/>
  <c r="LY1" i="4" s="1"/>
  <c r="LZ1" i="4" s="1"/>
  <c r="MA1" i="4" s="1"/>
  <c r="MB1" i="4" s="1"/>
  <c r="MC1" i="4" s="1"/>
  <c r="MD1" i="4" s="1"/>
  <c r="ME1" i="4" s="1"/>
  <c r="MF1" i="4" s="1"/>
  <c r="MG1" i="4" s="1"/>
  <c r="MH1" i="4" s="1"/>
  <c r="MI1" i="4" s="1"/>
  <c r="MJ1" i="4" s="1"/>
  <c r="MK1" i="4" s="1"/>
  <c r="ML1" i="4" s="1"/>
  <c r="MM1" i="4" s="1"/>
  <c r="MN1" i="4" s="1"/>
  <c r="MO1" i="4" s="1"/>
  <c r="MP1" i="4" s="1"/>
  <c r="MQ1" i="4" s="1"/>
  <c r="MR1" i="4" s="1"/>
  <c r="MS1" i="4" s="1"/>
  <c r="MT1" i="4" s="1"/>
  <c r="MU1" i="4" s="1"/>
  <c r="MV1" i="4" s="1"/>
  <c r="MW1" i="4" s="1"/>
  <c r="MX1" i="4" s="1"/>
  <c r="MY1" i="4" s="1"/>
  <c r="MZ1" i="4" s="1"/>
  <c r="NA1" i="4" s="1"/>
  <c r="NB1" i="4" s="1"/>
  <c r="NC1" i="4" s="1"/>
  <c r="ND1" i="4" s="1"/>
  <c r="NE1" i="4" s="1"/>
  <c r="NF1" i="4" s="1"/>
  <c r="NG1" i="4" s="1"/>
  <c r="NH1" i="4" s="1"/>
  <c r="NI1" i="4" s="1"/>
  <c r="NJ1" i="4" s="1"/>
  <c r="NK1" i="4" s="1"/>
  <c r="NL1" i="4" s="1"/>
  <c r="NM1" i="4" s="1"/>
  <c r="NN1" i="4" s="1"/>
  <c r="NO1" i="4" s="1"/>
  <c r="NP1" i="4" s="1"/>
  <c r="NQ1" i="4" s="1"/>
  <c r="NR1" i="4" s="1"/>
  <c r="NS1" i="4" s="1"/>
  <c r="NT1" i="4" s="1"/>
  <c r="NU1" i="4" s="1"/>
  <c r="NV1" i="4" s="1"/>
  <c r="NW1" i="4" s="1"/>
  <c r="NX1" i="4" s="1"/>
  <c r="NY1" i="4" s="1"/>
  <c r="NZ1" i="4" s="1"/>
  <c r="OA1" i="4" s="1"/>
  <c r="OB1" i="4" s="1"/>
  <c r="OC1" i="4" s="1"/>
  <c r="OD1" i="4" s="1"/>
  <c r="OE1" i="4" s="1"/>
  <c r="OF1" i="4" s="1"/>
  <c r="OG1" i="4" s="1"/>
  <c r="OH1" i="4" s="1"/>
  <c r="OI1" i="4" s="1"/>
  <c r="OJ1" i="4" s="1"/>
  <c r="OK1" i="4" s="1"/>
  <c r="OL1" i="4" s="1"/>
  <c r="OM1" i="4" s="1"/>
  <c r="ON1" i="4" s="1"/>
  <c r="OO1" i="4" s="1"/>
  <c r="OP1" i="4" s="1"/>
  <c r="OQ1" i="4" s="1"/>
  <c r="OR1" i="4" s="1"/>
  <c r="OS1" i="4" s="1"/>
  <c r="OT1" i="4" s="1"/>
  <c r="OU1" i="4" s="1"/>
  <c r="OV1" i="4" s="1"/>
  <c r="OW1" i="4" s="1"/>
  <c r="OX1" i="4" s="1"/>
  <c r="OY1" i="4" s="1"/>
  <c r="OZ1" i="4" s="1"/>
  <c r="PA1" i="4" s="1"/>
  <c r="PB1" i="4" s="1"/>
  <c r="PC1" i="4" s="1"/>
  <c r="PD1" i="4" s="1"/>
  <c r="PE1" i="4" s="1"/>
  <c r="PF1" i="4" s="1"/>
  <c r="PG1" i="4" s="1"/>
  <c r="PH1" i="4" s="1"/>
  <c r="PI1" i="4" s="1"/>
  <c r="PJ1" i="4" s="1"/>
  <c r="PK1" i="4" s="1"/>
  <c r="PL1" i="4" s="1"/>
  <c r="PM1" i="4" s="1"/>
  <c r="PN1" i="4" s="1"/>
  <c r="PO1" i="4" s="1"/>
  <c r="PP1" i="4" s="1"/>
  <c r="PQ1" i="4" s="1"/>
  <c r="PR1" i="4" s="1"/>
  <c r="PS1" i="4" s="1"/>
  <c r="PT1" i="4" s="1"/>
  <c r="PU1" i="4" s="1"/>
  <c r="PV1" i="4" s="1"/>
  <c r="PW1" i="4" s="1"/>
  <c r="PX1" i="4" s="1"/>
  <c r="PY1" i="4" s="1"/>
  <c r="PZ1" i="4" s="1"/>
  <c r="QA1" i="4" s="1"/>
  <c r="QB1" i="4" s="1"/>
  <c r="QC1" i="4" s="1"/>
  <c r="QD1" i="4" s="1"/>
  <c r="QE1" i="4" s="1"/>
  <c r="QF1" i="4" s="1"/>
  <c r="QG1" i="4" s="1"/>
  <c r="QH1" i="4" s="1"/>
  <c r="QI1" i="4" s="1"/>
  <c r="QJ1" i="4" s="1"/>
  <c r="QK1" i="4" s="1"/>
  <c r="QL1" i="4" s="1"/>
  <c r="QM1" i="4" s="1"/>
  <c r="QN1" i="4" s="1"/>
  <c r="QO1" i="4" s="1"/>
  <c r="QP1" i="4" s="1"/>
  <c r="QQ1" i="4" s="1"/>
  <c r="QR1" i="4" s="1"/>
  <c r="QS1" i="4" s="1"/>
  <c r="QT1" i="4" s="1"/>
  <c r="QU1" i="4" s="1"/>
  <c r="QV1" i="4" s="1"/>
  <c r="QW1" i="4" s="1"/>
  <c r="QX1" i="4" s="1"/>
  <c r="QY1" i="4" s="1"/>
  <c r="QZ1" i="4" s="1"/>
  <c r="RA1" i="4" s="1"/>
  <c r="RB1" i="4" s="1"/>
  <c r="RC1" i="4" s="1"/>
  <c r="RD1" i="4" s="1"/>
  <c r="RE1" i="4" s="1"/>
  <c r="RF1" i="4" s="1"/>
  <c r="RG1" i="4" s="1"/>
  <c r="RH1" i="4" s="1"/>
  <c r="RI1" i="4" s="1"/>
  <c r="RJ1" i="4" s="1"/>
  <c r="RK1" i="4" s="1"/>
  <c r="RL1" i="4" s="1"/>
  <c r="RM1" i="4" s="1"/>
  <c r="RN1" i="4" s="1"/>
  <c r="RO1" i="4" s="1"/>
  <c r="RP1" i="4" s="1"/>
  <c r="RQ1" i="4" s="1"/>
  <c r="RR1" i="4" s="1"/>
  <c r="RS1" i="4" s="1"/>
  <c r="RT1" i="4" s="1"/>
  <c r="RU1" i="4" s="1"/>
  <c r="RV1" i="4" s="1"/>
  <c r="RW1" i="4" s="1"/>
  <c r="RX1" i="4" s="1"/>
  <c r="RY1" i="4" s="1"/>
  <c r="RZ1" i="4" s="1"/>
  <c r="SA1" i="4" s="1"/>
  <c r="SB1" i="4" s="1"/>
  <c r="SC1" i="4" s="1"/>
  <c r="SD1" i="4" s="1"/>
  <c r="SE1" i="4" s="1"/>
  <c r="SF1" i="4" s="1"/>
  <c r="SG1" i="4" s="1"/>
  <c r="SH1" i="4" s="1"/>
  <c r="SI1" i="4" s="1"/>
  <c r="SJ1" i="4" s="1"/>
  <c r="SK1" i="4" s="1"/>
  <c r="SL1" i="4" s="1"/>
  <c r="SM1" i="4" s="1"/>
  <c r="SN1" i="4" s="1"/>
  <c r="SO1" i="4" s="1"/>
  <c r="SP1" i="4" s="1"/>
  <c r="SQ1" i="4" s="1"/>
  <c r="SR1" i="4" s="1"/>
  <c r="SS1" i="4" s="1"/>
  <c r="ST1" i="4" s="1"/>
  <c r="SU1" i="4" s="1"/>
  <c r="SV1" i="4" s="1"/>
  <c r="SW1" i="4" s="1"/>
  <c r="SX1" i="4" s="1"/>
  <c r="SY1" i="4" s="1"/>
  <c r="SZ1" i="4" s="1"/>
  <c r="TA1" i="4" s="1"/>
  <c r="TB1" i="4" s="1"/>
  <c r="TC1" i="4" s="1"/>
  <c r="TD1" i="4" s="1"/>
  <c r="TE1" i="4" s="1"/>
  <c r="TF1" i="4" s="1"/>
  <c r="TG1" i="4" s="1"/>
  <c r="TH1" i="4" s="1"/>
  <c r="TI1" i="4" s="1"/>
  <c r="TJ1" i="4" s="1"/>
  <c r="TK1" i="4" s="1"/>
  <c r="TL1" i="4" s="1"/>
  <c r="TM1" i="4" s="1"/>
  <c r="TN1" i="4" s="1"/>
  <c r="TO1" i="4" s="1"/>
  <c r="TP1" i="4" s="1"/>
  <c r="TQ1" i="4" s="1"/>
  <c r="TR1" i="4" s="1"/>
  <c r="TS1" i="4" s="1"/>
  <c r="TT1" i="4" s="1"/>
  <c r="TU1" i="4" s="1"/>
  <c r="TV1" i="4" s="1"/>
  <c r="TW1" i="4" s="1"/>
  <c r="TX1" i="4" s="1"/>
  <c r="TY1" i="4" s="1"/>
  <c r="TZ1" i="4" s="1"/>
  <c r="UA1" i="4" s="1"/>
  <c r="UB1" i="4" s="1"/>
  <c r="UC1" i="4" s="1"/>
  <c r="UD1" i="4" s="1"/>
  <c r="UE1" i="4" s="1"/>
  <c r="UF1" i="4" s="1"/>
  <c r="UG1" i="4" s="1"/>
  <c r="UH1" i="4" s="1"/>
  <c r="UI1" i="4" s="1"/>
  <c r="UJ1" i="4" s="1"/>
  <c r="UK1" i="4" s="1"/>
  <c r="UL1" i="4" s="1"/>
  <c r="UM1" i="4" s="1"/>
  <c r="UN1" i="4" s="1"/>
  <c r="UO1" i="4" s="1"/>
  <c r="UP1" i="4" s="1"/>
  <c r="UQ1" i="4" s="1"/>
  <c r="UR1" i="4" s="1"/>
  <c r="US1" i="4" s="1"/>
  <c r="UT1" i="4" s="1"/>
  <c r="UU1" i="4" s="1"/>
  <c r="UV1" i="4" s="1"/>
  <c r="UW1" i="4" s="1"/>
  <c r="UX1" i="4" s="1"/>
  <c r="UY1" i="4" s="1"/>
  <c r="UZ1" i="4" s="1"/>
  <c r="VA1" i="4" s="1"/>
  <c r="VB1" i="4" s="1"/>
  <c r="VC1" i="4" s="1"/>
  <c r="VD1" i="4" s="1"/>
  <c r="VE1" i="4" s="1"/>
  <c r="VF1" i="4" s="1"/>
  <c r="VG1" i="4" s="1"/>
  <c r="VH1" i="4" s="1"/>
  <c r="VI1" i="4" s="1"/>
  <c r="VJ1" i="4" s="1"/>
  <c r="VK1" i="4" s="1"/>
  <c r="VL1" i="4" s="1"/>
  <c r="VM1" i="4" s="1"/>
  <c r="VN1" i="4" s="1"/>
  <c r="VO1" i="4" s="1"/>
  <c r="VP1" i="4" s="1"/>
  <c r="VQ1" i="4" s="1"/>
  <c r="VR1" i="4" s="1"/>
  <c r="VS1" i="4" s="1"/>
  <c r="VT1" i="4" s="1"/>
  <c r="VU1" i="4" s="1"/>
  <c r="VV1" i="4" s="1"/>
  <c r="VW1" i="4" s="1"/>
  <c r="VX1" i="4" s="1"/>
  <c r="VY1" i="4" s="1"/>
  <c r="VZ1" i="4" s="1"/>
  <c r="WA1" i="4" s="1"/>
  <c r="WB1" i="4" s="1"/>
  <c r="WC1" i="4" s="1"/>
  <c r="WD1" i="4" s="1"/>
  <c r="WE1" i="4" s="1"/>
  <c r="WF1" i="4" s="1"/>
  <c r="WG1" i="4" s="1"/>
  <c r="WH1" i="4" s="1"/>
  <c r="WI1" i="4" s="1"/>
  <c r="WJ1" i="4" s="1"/>
  <c r="WK1" i="4" s="1"/>
  <c r="WL1" i="4" s="1"/>
  <c r="WM1" i="4" s="1"/>
  <c r="WN1" i="4" s="1"/>
  <c r="WO1" i="4" s="1"/>
  <c r="WP1" i="4" s="1"/>
  <c r="WQ1" i="4" s="1"/>
  <c r="WR1" i="4" s="1"/>
  <c r="WS1" i="4" s="1"/>
  <c r="WT1" i="4" s="1"/>
  <c r="WU1" i="4" s="1"/>
  <c r="WV1" i="4" s="1"/>
  <c r="WW1" i="4" s="1"/>
  <c r="WX1" i="4" s="1"/>
  <c r="WY1" i="4" s="1"/>
  <c r="WZ1" i="4" s="1"/>
  <c r="XA1" i="4" s="1"/>
  <c r="XB1" i="4" s="1"/>
  <c r="XC1" i="4" s="1"/>
  <c r="XD1" i="4" s="1"/>
  <c r="XE1" i="4" s="1"/>
  <c r="XF1" i="4" s="1"/>
  <c r="XG1" i="4" s="1"/>
  <c r="XH1" i="4" s="1"/>
  <c r="XI1" i="4" s="1"/>
  <c r="XJ1" i="4" s="1"/>
  <c r="XK1" i="4" s="1"/>
  <c r="XL1" i="4" s="1"/>
  <c r="XM1" i="4" s="1"/>
  <c r="XN1" i="4" s="1"/>
  <c r="XO1" i="4" s="1"/>
  <c r="XP1" i="4" s="1"/>
  <c r="XQ1" i="4" s="1"/>
  <c r="XR1" i="4" s="1"/>
  <c r="XS1" i="4" s="1"/>
  <c r="XT1" i="4" s="1"/>
  <c r="XU1" i="4" s="1"/>
  <c r="XV1" i="4" s="1"/>
  <c r="XW1" i="4" s="1"/>
  <c r="XX1" i="4" s="1"/>
  <c r="XY1" i="4" s="1"/>
  <c r="XZ1" i="4" s="1"/>
  <c r="YA1" i="4" s="1"/>
  <c r="YB1" i="4" s="1"/>
  <c r="YC1" i="4" s="1"/>
  <c r="YD1" i="4" s="1"/>
  <c r="YE1" i="4" s="1"/>
  <c r="YF1" i="4" s="1"/>
  <c r="YG1" i="4" s="1"/>
  <c r="YH1" i="4" s="1"/>
  <c r="YI1" i="4" s="1"/>
  <c r="YJ1" i="4" s="1"/>
  <c r="YK1" i="4" s="1"/>
  <c r="YL1" i="4" s="1"/>
  <c r="YM1" i="4" s="1"/>
  <c r="YN1" i="4" s="1"/>
  <c r="YO1" i="4" s="1"/>
  <c r="YP1" i="4" s="1"/>
  <c r="YQ1" i="4" s="1"/>
  <c r="YR1" i="4" s="1"/>
  <c r="YS1" i="4" s="1"/>
  <c r="YT1" i="4" s="1"/>
  <c r="YU1" i="4" s="1"/>
  <c r="YV1" i="4" s="1"/>
  <c r="YW1" i="4" s="1"/>
  <c r="YX1" i="4" s="1"/>
  <c r="YY1" i="4" s="1"/>
  <c r="YZ1" i="4" s="1"/>
  <c r="ZA1" i="4" s="1"/>
  <c r="ZB1" i="4" s="1"/>
  <c r="ZC1" i="4" s="1"/>
  <c r="ZD1" i="4" s="1"/>
  <c r="ZE1" i="4" s="1"/>
  <c r="ZF1" i="4" s="1"/>
  <c r="ZG1" i="4" s="1"/>
  <c r="ZH1" i="4" s="1"/>
  <c r="ZI1" i="4" s="1"/>
  <c r="ZJ1" i="4" s="1"/>
  <c r="ZK1" i="4" s="1"/>
  <c r="ZL1" i="4" s="1"/>
  <c r="ZM1" i="4" s="1"/>
  <c r="ZN1" i="4" s="1"/>
  <c r="ZO1" i="4" s="1"/>
  <c r="ZP1" i="4" s="1"/>
  <c r="ZQ1" i="4" s="1"/>
  <c r="ZR1" i="4" s="1"/>
  <c r="ZS1" i="4" s="1"/>
  <c r="ZT1" i="4" s="1"/>
  <c r="ZU1" i="4" s="1"/>
  <c r="ZV1" i="4" s="1"/>
  <c r="ZW1" i="4" s="1"/>
  <c r="ZX1" i="4" s="1"/>
  <c r="ZY1" i="4" s="1"/>
  <c r="ZZ1" i="4" s="1"/>
  <c r="AAA1" i="4" s="1"/>
  <c r="AAB1" i="4" s="1"/>
  <c r="AAC1" i="4" s="1"/>
  <c r="AAD1" i="4" s="1"/>
  <c r="AAE1" i="4" s="1"/>
  <c r="AAF1" i="4" s="1"/>
  <c r="AAG1" i="4" s="1"/>
  <c r="AAH1" i="4" s="1"/>
  <c r="AAI1" i="4" s="1"/>
  <c r="AAJ1" i="4" s="1"/>
  <c r="AAK1" i="4" s="1"/>
  <c r="AAL1" i="4" s="1"/>
  <c r="AAM1" i="4" s="1"/>
  <c r="AAN1" i="4" s="1"/>
  <c r="AAO1" i="4" s="1"/>
  <c r="AAP1" i="4" s="1"/>
  <c r="AAQ1" i="4" s="1"/>
  <c r="AAR1" i="4" s="1"/>
  <c r="AAS1" i="4" s="1"/>
  <c r="AAT1" i="4" s="1"/>
  <c r="AAU1" i="4" s="1"/>
  <c r="AAV1" i="4" s="1"/>
  <c r="AAW1" i="4" s="1"/>
  <c r="AAX1" i="4" s="1"/>
  <c r="AAY1" i="4" s="1"/>
  <c r="AAZ1" i="4" s="1"/>
  <c r="ABA1" i="4" s="1"/>
  <c r="ABB1" i="4" s="1"/>
  <c r="ABC1" i="4" s="1"/>
  <c r="ABD1" i="4" s="1"/>
  <c r="ABE1" i="4" s="1"/>
  <c r="ABF1" i="4" s="1"/>
  <c r="ABG1" i="4" s="1"/>
  <c r="ABH1" i="4" s="1"/>
  <c r="ABI1" i="4" s="1"/>
  <c r="ABJ1" i="4" s="1"/>
  <c r="ABK1" i="4" s="1"/>
  <c r="ABL1" i="4" s="1"/>
  <c r="ABM1" i="4" s="1"/>
  <c r="ABN1" i="4" s="1"/>
  <c r="ABO1" i="4" s="1"/>
  <c r="ABP1" i="4" s="1"/>
  <c r="ABQ1" i="4" s="1"/>
  <c r="ABR1" i="4" s="1"/>
  <c r="ABS1" i="4" s="1"/>
  <c r="ABT1" i="4" s="1"/>
  <c r="ABU1" i="4" s="1"/>
  <c r="ABV1" i="4" s="1"/>
  <c r="ABW1" i="4" s="1"/>
  <c r="ABX1" i="4" s="1"/>
  <c r="ABY1" i="4" s="1"/>
  <c r="ABZ1" i="4" s="1"/>
  <c r="ACA1" i="4" s="1"/>
  <c r="ACB1" i="4" s="1"/>
  <c r="ACC1" i="4" s="1"/>
  <c r="ACD1" i="4" s="1"/>
  <c r="ACE1" i="4" s="1"/>
  <c r="ACF1" i="4" s="1"/>
  <c r="ACG1" i="4" s="1"/>
  <c r="ACH1" i="4" s="1"/>
  <c r="ACI1" i="4" s="1"/>
  <c r="ACJ1" i="4" s="1"/>
  <c r="ACK1" i="4" s="1"/>
  <c r="ACL1" i="4" s="1"/>
  <c r="ACM1" i="4" s="1"/>
  <c r="ACN1" i="4" s="1"/>
  <c r="ACO1" i="4" s="1"/>
  <c r="ACP1" i="4" s="1"/>
  <c r="ACQ1" i="4" s="1"/>
  <c r="ACR1" i="4" s="1"/>
  <c r="ACS1" i="4" s="1"/>
  <c r="ACT1" i="4" s="1"/>
  <c r="ACU1" i="4" s="1"/>
  <c r="ACV1" i="4" s="1"/>
  <c r="ACW1" i="4" s="1"/>
  <c r="ACX1" i="4" s="1"/>
  <c r="ACY1" i="4" s="1"/>
  <c r="ACZ1" i="4" s="1"/>
  <c r="ADA1" i="4" s="1"/>
  <c r="ADB1" i="4" s="1"/>
  <c r="ADC1" i="4" s="1"/>
  <c r="ADD1" i="4" s="1"/>
  <c r="ADE1" i="4" s="1"/>
  <c r="ADF1" i="4" s="1"/>
  <c r="ADG1" i="4" s="1"/>
  <c r="ADH1" i="4" s="1"/>
  <c r="ADI1" i="4" s="1"/>
  <c r="ADJ1" i="4" s="1"/>
  <c r="ADK1" i="4" s="1"/>
  <c r="ADL1" i="4" s="1"/>
  <c r="ADM1" i="4" s="1"/>
  <c r="ADN1" i="4" s="1"/>
  <c r="ADO1" i="4" s="1"/>
  <c r="ADP1" i="4" s="1"/>
  <c r="ADQ1" i="4" s="1"/>
  <c r="ADR1" i="4" s="1"/>
  <c r="ADS1" i="4" s="1"/>
  <c r="ADT1" i="4" s="1"/>
  <c r="ADU1" i="4" s="1"/>
  <c r="ADV1" i="4" s="1"/>
  <c r="L1" i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DC1" i="1" s="1"/>
  <c r="DD1" i="1" s="1"/>
  <c r="DE1" i="1" s="1"/>
  <c r="DF1" i="1" s="1"/>
  <c r="DG1" i="1" s="1"/>
  <c r="DH1" i="1" s="1"/>
  <c r="DI1" i="1" s="1"/>
  <c r="DJ1" i="1" s="1"/>
  <c r="DK1" i="1" s="1"/>
  <c r="DL1" i="1" s="1"/>
  <c r="DM1" i="1" s="1"/>
  <c r="DN1" i="1" s="1"/>
  <c r="DO1" i="1" s="1"/>
  <c r="DP1" i="1" s="1"/>
  <c r="DQ1" i="1" s="1"/>
  <c r="DR1" i="1" s="1"/>
  <c r="DS1" i="1" s="1"/>
  <c r="DT1" i="1" s="1"/>
  <c r="DU1" i="1" s="1"/>
  <c r="DV1" i="1" s="1"/>
  <c r="DW1" i="1" s="1"/>
  <c r="DX1" i="1" s="1"/>
  <c r="DY1" i="1" s="1"/>
  <c r="DZ1" i="1" s="1"/>
  <c r="EA1" i="1" s="1"/>
  <c r="EB1" i="1" s="1"/>
  <c r="EC1" i="1" s="1"/>
  <c r="ED1" i="1" s="1"/>
  <c r="EE1" i="1" s="1"/>
  <c r="EF1" i="1" s="1"/>
  <c r="EG1" i="1" s="1"/>
  <c r="EH1" i="1" s="1"/>
  <c r="EI1" i="1" s="1"/>
  <c r="EJ1" i="1" s="1"/>
  <c r="EK1" i="1" s="1"/>
  <c r="EL1" i="1" s="1"/>
  <c r="EM1" i="1" s="1"/>
  <c r="EN1" i="1" s="1"/>
  <c r="EO1" i="1" s="1"/>
  <c r="EP1" i="1" s="1"/>
  <c r="EQ1" i="1" s="1"/>
  <c r="ER1" i="1" s="1"/>
  <c r="ES1" i="1" s="1"/>
  <c r="ET1" i="1" s="1"/>
  <c r="EU1" i="1" s="1"/>
  <c r="EV1" i="1" s="1"/>
  <c r="EW1" i="1" s="1"/>
  <c r="EX1" i="1" s="1"/>
  <c r="EY1" i="1" s="1"/>
  <c r="EZ1" i="1" s="1"/>
  <c r="FA1" i="1" s="1"/>
  <c r="FB1" i="1" s="1"/>
  <c r="FC1" i="1" s="1"/>
  <c r="FD1" i="1" s="1"/>
  <c r="FE1" i="1" s="1"/>
  <c r="FF1" i="1" s="1"/>
  <c r="FG1" i="1" s="1"/>
  <c r="FH1" i="1" s="1"/>
  <c r="FI1" i="1" s="1"/>
  <c r="FJ1" i="1" s="1"/>
  <c r="FK1" i="1" s="1"/>
  <c r="FL1" i="1" s="1"/>
  <c r="FM1" i="1" s="1"/>
  <c r="FN1" i="1" s="1"/>
  <c r="FO1" i="1" s="1"/>
  <c r="FP1" i="1" s="1"/>
  <c r="FQ1" i="1" s="1"/>
  <c r="FR1" i="1" s="1"/>
  <c r="FS1" i="1" s="1"/>
  <c r="FT1" i="1" s="1"/>
  <c r="FU1" i="1" s="1"/>
  <c r="FV1" i="1" s="1"/>
  <c r="FW1" i="1" s="1"/>
  <c r="FX1" i="1" s="1"/>
  <c r="FY1" i="1" s="1"/>
  <c r="FZ1" i="1" s="1"/>
  <c r="GA1" i="1" s="1"/>
  <c r="GB1" i="1" s="1"/>
  <c r="GC1" i="1" s="1"/>
  <c r="GD1" i="1" s="1"/>
  <c r="GE1" i="1" s="1"/>
  <c r="GF1" i="1" s="1"/>
  <c r="GG1" i="1" s="1"/>
  <c r="GH1" i="1" s="1"/>
  <c r="GI1" i="1" s="1"/>
  <c r="GJ1" i="1" s="1"/>
  <c r="GK1" i="1" s="1"/>
  <c r="GL1" i="1" s="1"/>
  <c r="GM1" i="1" s="1"/>
  <c r="GN1" i="1" s="1"/>
  <c r="GO1" i="1" s="1"/>
  <c r="GP1" i="1" s="1"/>
  <c r="GQ1" i="1" s="1"/>
  <c r="GR1" i="1" s="1"/>
  <c r="GS1" i="1" s="1"/>
  <c r="GT1" i="1" s="1"/>
  <c r="GU1" i="1" s="1"/>
  <c r="GV1" i="1" s="1"/>
  <c r="GW1" i="1" s="1"/>
  <c r="GX1" i="1" s="1"/>
  <c r="GY1" i="1" s="1"/>
  <c r="GZ1" i="1" s="1"/>
  <c r="HA1" i="1" s="1"/>
  <c r="HB1" i="1" s="1"/>
  <c r="HC1" i="1" s="1"/>
  <c r="HD1" i="1" s="1"/>
  <c r="HE1" i="1" s="1"/>
  <c r="HF1" i="1" s="1"/>
  <c r="HG1" i="1" s="1"/>
  <c r="HH1" i="1" s="1"/>
  <c r="HI1" i="1" s="1"/>
  <c r="HJ1" i="1" s="1"/>
  <c r="HK1" i="1" s="1"/>
  <c r="HL1" i="1" s="1"/>
  <c r="HM1" i="1" s="1"/>
  <c r="HN1" i="1" s="1"/>
  <c r="HO1" i="1" s="1"/>
  <c r="HP1" i="1" s="1"/>
  <c r="HQ1" i="1" s="1"/>
  <c r="HR1" i="1" s="1"/>
  <c r="HS1" i="1" s="1"/>
  <c r="HT1" i="1" s="1"/>
  <c r="HU1" i="1" s="1"/>
  <c r="HV1" i="1" l="1"/>
  <c r="HW1" i="1" s="1"/>
  <c r="HX1" i="1" s="1"/>
  <c r="HY1" i="1" s="1"/>
  <c r="HZ1" i="1" s="1"/>
  <c r="IA1" i="1" s="1"/>
  <c r="IB1" i="1" s="1"/>
  <c r="IC1" i="1" s="1"/>
  <c r="ID1" i="1" s="1"/>
  <c r="IE1" i="1" s="1"/>
  <c r="IF1" i="1" s="1"/>
  <c r="IG1" i="1" s="1"/>
  <c r="IH1" i="1" s="1"/>
  <c r="II1" i="1" s="1"/>
  <c r="IJ1" i="1" s="1"/>
  <c r="IK1" i="1" s="1"/>
  <c r="IL1" i="1" s="1"/>
  <c r="IM1" i="1" s="1"/>
  <c r="IN1" i="1" s="1"/>
  <c r="IO1" i="1" s="1"/>
  <c r="IP1" i="1" s="1"/>
  <c r="IQ1" i="1" s="1"/>
  <c r="IR1" i="1" s="1"/>
  <c r="IS1" i="1" s="1"/>
  <c r="IT1" i="1" s="1"/>
  <c r="IU1" i="1" s="1"/>
  <c r="IV1" i="1" s="1"/>
  <c r="IW1" i="1" s="1"/>
  <c r="IX1" i="1" s="1"/>
  <c r="IY1" i="1" s="1"/>
  <c r="IZ1" i="1" s="1"/>
  <c r="JA1" i="1" s="1"/>
  <c r="JB1" i="1" s="1"/>
  <c r="JC1" i="1" s="1"/>
  <c r="JD1" i="1" s="1"/>
  <c r="JE1" i="1" s="1"/>
  <c r="JF1" i="1" s="1"/>
  <c r="JG1" i="1" s="1"/>
  <c r="JH1" i="1" s="1"/>
  <c r="JI1" i="1" s="1"/>
  <c r="JJ1" i="1" s="1"/>
  <c r="JK1" i="1" s="1"/>
  <c r="JL1" i="1" s="1"/>
  <c r="JM1" i="1" s="1"/>
  <c r="JN1" i="1" s="1"/>
  <c r="JO1" i="1" s="1"/>
  <c r="JP1" i="1" s="1"/>
  <c r="JQ1" i="1" s="1"/>
  <c r="JR1" i="1" s="1"/>
  <c r="JS1" i="1" s="1"/>
  <c r="JT1" i="1" s="1"/>
  <c r="JU1" i="1" s="1"/>
  <c r="JV1" i="1" s="1"/>
  <c r="JW1" i="1" s="1"/>
  <c r="JX1" i="1" s="1"/>
  <c r="JY1" i="1" s="1"/>
  <c r="JZ1" i="1" s="1"/>
  <c r="KA1" i="1" s="1"/>
  <c r="KB1" i="1" s="1"/>
  <c r="KC1" i="1" s="1"/>
  <c r="KD1" i="1" s="1"/>
  <c r="KE1" i="1" s="1"/>
  <c r="KF1" i="1" s="1"/>
  <c r="KG1" i="1" s="1"/>
  <c r="KH1" i="1" s="1"/>
  <c r="KI1" i="1" s="1"/>
  <c r="KJ1" i="1" s="1"/>
  <c r="KK1" i="1" s="1"/>
  <c r="KL1" i="1" s="1"/>
  <c r="KM1" i="1" s="1"/>
  <c r="KN1" i="1" s="1"/>
  <c r="KO1" i="1" s="1"/>
  <c r="KP1" i="1" s="1"/>
  <c r="KQ1" i="1" s="1"/>
  <c r="KR1" i="1" s="1"/>
  <c r="KS1" i="1" s="1"/>
  <c r="KT1" i="1" s="1"/>
  <c r="KU1" i="1" s="1"/>
  <c r="KV1" i="1" s="1"/>
  <c r="KW1" i="1" s="1"/>
  <c r="KX1" i="1" s="1"/>
  <c r="KY1" i="1" s="1"/>
  <c r="KZ1" i="1" s="1"/>
  <c r="LA1" i="1" s="1"/>
  <c r="LB1" i="1" s="1"/>
  <c r="LC1" i="1" s="1"/>
  <c r="LD1" i="1" s="1"/>
  <c r="LE1" i="1" s="1"/>
  <c r="LF1" i="1" s="1"/>
  <c r="LG1" i="1" s="1"/>
  <c r="LH1" i="1" s="1"/>
  <c r="LI1" i="1" s="1"/>
  <c r="LJ1" i="1" s="1"/>
  <c r="LK1" i="1" s="1"/>
  <c r="LL1" i="1" s="1"/>
  <c r="LM1" i="1" s="1"/>
  <c r="LN1" i="1" s="1"/>
  <c r="LO1" i="1" s="1"/>
  <c r="LP1" i="1" s="1"/>
  <c r="LQ1" i="1" s="1"/>
  <c r="LR1" i="1" s="1"/>
  <c r="LS1" i="1" s="1"/>
  <c r="LT1" i="1" s="1"/>
  <c r="LU1" i="1" s="1"/>
  <c r="LV1" i="1" s="1"/>
  <c r="LW1" i="1" s="1"/>
  <c r="LX1" i="1" s="1"/>
  <c r="LY1" i="1" s="1"/>
  <c r="LZ1" i="1" s="1"/>
  <c r="MA1" i="1" s="1"/>
  <c r="MB1" i="1" s="1"/>
  <c r="MC1" i="1" s="1"/>
  <c r="MD1" i="1" s="1"/>
  <c r="ME1" i="1" s="1"/>
  <c r="MF1" i="1" s="1"/>
  <c r="MG1" i="1" s="1"/>
  <c r="MH1" i="1" s="1"/>
  <c r="MI1" i="1" s="1"/>
  <c r="MJ1" i="1" s="1"/>
  <c r="MK1" i="1" s="1"/>
  <c r="ML1" i="1" s="1"/>
  <c r="MM1" i="1" s="1"/>
  <c r="MN1" i="1" s="1"/>
  <c r="MO1" i="1" s="1"/>
  <c r="MP1" i="1" s="1"/>
  <c r="MQ1" i="1" s="1"/>
  <c r="MR1" i="1" s="1"/>
  <c r="MS1" i="1" s="1"/>
  <c r="MT1" i="1" s="1"/>
  <c r="MU1" i="1" s="1"/>
  <c r="MV1" i="1" s="1"/>
  <c r="MW1" i="1" s="1"/>
  <c r="MX1" i="1" s="1"/>
  <c r="MY1" i="1" s="1"/>
  <c r="MZ1" i="1" s="1"/>
  <c r="NA1" i="1" s="1"/>
  <c r="NB1" i="1" s="1"/>
  <c r="NC1" i="1" s="1"/>
  <c r="ND1" i="1" s="1"/>
  <c r="NE1" i="1" s="1"/>
  <c r="NF1" i="1" s="1"/>
  <c r="NG1" i="1" s="1"/>
  <c r="NH1" i="1" s="1"/>
  <c r="NI1" i="1" s="1"/>
  <c r="NJ1" i="1" s="1"/>
  <c r="NK1" i="1" s="1"/>
  <c r="NL1" i="1" s="1"/>
  <c r="NM1" i="1" s="1"/>
  <c r="NN1" i="1" s="1"/>
  <c r="NO1" i="1" s="1"/>
  <c r="NP1" i="1" s="1"/>
  <c r="NQ1" i="1" s="1"/>
  <c r="NR1" i="1" s="1"/>
  <c r="NS1" i="1" s="1"/>
  <c r="NT1" i="1" s="1"/>
  <c r="NU1" i="1" s="1"/>
  <c r="NV1" i="1" s="1"/>
  <c r="NW1" i="1" s="1"/>
  <c r="NX1" i="1" s="1"/>
  <c r="NY1" i="1" s="1"/>
  <c r="NZ1" i="1" s="1"/>
  <c r="OA1" i="1" s="1"/>
  <c r="OB1" i="1" s="1"/>
  <c r="OC1" i="1" s="1"/>
  <c r="OD1" i="1" s="1"/>
  <c r="OE1" i="1" s="1"/>
  <c r="OF1" i="1" s="1"/>
  <c r="OG1" i="1" s="1"/>
  <c r="OH1" i="1" s="1"/>
  <c r="OI1" i="1" s="1"/>
  <c r="OJ1" i="1" s="1"/>
  <c r="OK1" i="1" s="1"/>
  <c r="OL1" i="1" s="1"/>
  <c r="OM1" i="1" s="1"/>
  <c r="ON1" i="1" s="1"/>
  <c r="OO1" i="1" s="1"/>
  <c r="OP1" i="1" s="1"/>
  <c r="OQ1" i="1" s="1"/>
  <c r="OR1" i="1" s="1"/>
  <c r="OS1" i="1" s="1"/>
  <c r="OT1" i="1" s="1"/>
  <c r="OU1" i="1" s="1"/>
  <c r="OV1" i="1" s="1"/>
  <c r="OW1" i="1" s="1"/>
  <c r="OX1" i="1" s="1"/>
  <c r="OY1" i="1" s="1"/>
  <c r="OZ1" i="1" s="1"/>
  <c r="PA1" i="1" s="1"/>
  <c r="PB1" i="1" s="1"/>
  <c r="PC1" i="1" s="1"/>
  <c r="PD1" i="1" s="1"/>
  <c r="PE1" i="1" s="1"/>
  <c r="PF1" i="1" s="1"/>
  <c r="PG1" i="1" s="1"/>
  <c r="PH1" i="1" s="1"/>
  <c r="PI1" i="1" s="1"/>
  <c r="PJ1" i="1" s="1"/>
  <c r="PK1" i="1" s="1"/>
  <c r="PL1" i="1" s="1"/>
  <c r="PM1" i="1" s="1"/>
  <c r="PN1" i="1" s="1"/>
  <c r="PO1" i="1" s="1"/>
  <c r="PP1" i="1" s="1"/>
  <c r="PQ1" i="1" s="1"/>
  <c r="PR1" i="1" s="1"/>
  <c r="PS1" i="1" s="1"/>
  <c r="PT1" i="1" s="1"/>
  <c r="PU1" i="1" s="1"/>
  <c r="PV1" i="1" s="1"/>
  <c r="PW1" i="1" s="1"/>
  <c r="PX1" i="1" s="1"/>
  <c r="PY1" i="1" s="1"/>
  <c r="PZ1" i="1" s="1"/>
  <c r="QA1" i="1" s="1"/>
  <c r="QB1" i="1" s="1"/>
  <c r="QC1" i="1" s="1"/>
  <c r="QD1" i="1" s="1"/>
  <c r="QE1" i="1" s="1"/>
  <c r="QF1" i="1" s="1"/>
  <c r="QG1" i="1" s="1"/>
  <c r="QH1" i="1" s="1"/>
  <c r="QI1" i="1" s="1"/>
  <c r="QJ1" i="1" s="1"/>
  <c r="QK1" i="1" s="1"/>
  <c r="QL1" i="1" s="1"/>
  <c r="QM1" i="1" s="1"/>
  <c r="QN1" i="1" s="1"/>
  <c r="QO1" i="1" s="1"/>
  <c r="QP1" i="1" s="1"/>
  <c r="QQ1" i="1" s="1"/>
  <c r="QR1" i="1" s="1"/>
  <c r="QS1" i="1" s="1"/>
  <c r="QT1" i="1" s="1"/>
  <c r="QU1" i="1" s="1"/>
  <c r="QV1" i="1" s="1"/>
  <c r="QW1" i="1" s="1"/>
  <c r="QX1" i="1" s="1"/>
  <c r="QY1" i="1" s="1"/>
  <c r="QZ1" i="1" s="1"/>
  <c r="RA1" i="1" s="1"/>
  <c r="RB1" i="1" s="1"/>
  <c r="RC1" i="1" s="1"/>
  <c r="RD1" i="1" s="1"/>
  <c r="RE1" i="1" s="1"/>
  <c r="RF1" i="1" s="1"/>
  <c r="RG1" i="1" s="1"/>
  <c r="RH1" i="1" s="1"/>
  <c r="RI1" i="1" s="1"/>
  <c r="RJ1" i="1" s="1"/>
  <c r="RK1" i="1" s="1"/>
  <c r="RL1" i="1" s="1"/>
  <c r="RM1" i="1" s="1"/>
  <c r="RN1" i="1" s="1"/>
  <c r="RO1" i="1" s="1"/>
  <c r="RP1" i="1" s="1"/>
  <c r="RQ1" i="1" s="1"/>
  <c r="RR1" i="1" s="1"/>
  <c r="RS1" i="1" s="1"/>
  <c r="RT1" i="1" s="1"/>
  <c r="RU1" i="1" s="1"/>
  <c r="RV1" i="1" s="1"/>
  <c r="RW1" i="1" s="1"/>
  <c r="RX1" i="1" s="1"/>
  <c r="RY1" i="1" s="1"/>
  <c r="RZ1" i="1" s="1"/>
  <c r="SA1" i="1" s="1"/>
  <c r="SB1" i="1" s="1"/>
  <c r="SC1" i="1" s="1"/>
  <c r="SD1" i="1" s="1"/>
  <c r="SE1" i="1" s="1"/>
  <c r="SF1" i="1" s="1"/>
  <c r="SG1" i="1" s="1"/>
  <c r="SH1" i="1" s="1"/>
  <c r="SI1" i="1" s="1"/>
  <c r="SJ1" i="1" s="1"/>
  <c r="SK1" i="1" s="1"/>
  <c r="SL1" i="1" s="1"/>
  <c r="SM1" i="1" s="1"/>
  <c r="SN1" i="1" s="1"/>
  <c r="SO1" i="1" s="1"/>
  <c r="SP1" i="1" s="1"/>
  <c r="SQ1" i="1" s="1"/>
  <c r="SR1" i="1" s="1"/>
  <c r="SS1" i="1" s="1"/>
  <c r="ST1" i="1" s="1"/>
  <c r="SU1" i="1" s="1"/>
  <c r="SV1" i="1" s="1"/>
  <c r="SW1" i="1" s="1"/>
  <c r="SX1" i="1" s="1"/>
  <c r="SY1" i="1" s="1"/>
  <c r="SZ1" i="1" s="1"/>
  <c r="TA1" i="1" s="1"/>
  <c r="TB1" i="1" s="1"/>
  <c r="TC1" i="1" s="1"/>
  <c r="TD1" i="1" s="1"/>
  <c r="TE1" i="1" s="1"/>
  <c r="TF1" i="1" s="1"/>
  <c r="TG1" i="1" s="1"/>
  <c r="TH1" i="1" s="1"/>
  <c r="TI1" i="1" s="1"/>
  <c r="TJ1" i="1" s="1"/>
  <c r="TK1" i="1" s="1"/>
  <c r="TL1" i="1" s="1"/>
  <c r="TM1" i="1" s="1"/>
  <c r="TN1" i="1" s="1"/>
  <c r="TO1" i="1" s="1"/>
  <c r="TP1" i="1" s="1"/>
  <c r="TQ1" i="1" s="1"/>
  <c r="TR1" i="1" s="1"/>
  <c r="TS1" i="1" s="1"/>
  <c r="TT1" i="1" s="1"/>
  <c r="TU1" i="1" s="1"/>
  <c r="TV1" i="1" s="1"/>
  <c r="TW1" i="1" s="1"/>
  <c r="TX1" i="1" s="1"/>
  <c r="TY1" i="1" s="1"/>
  <c r="TZ1" i="1" s="1"/>
  <c r="UA1" i="1" s="1"/>
  <c r="UB1" i="1" s="1"/>
  <c r="UC1" i="1" s="1"/>
  <c r="UD1" i="1" s="1"/>
  <c r="UE1" i="1" s="1"/>
  <c r="UF1" i="1" s="1"/>
  <c r="UG1" i="1" s="1"/>
  <c r="UH1" i="1" s="1"/>
  <c r="UI1" i="1" s="1"/>
  <c r="UJ1" i="1" s="1"/>
  <c r="UK1" i="1" s="1"/>
  <c r="UL1" i="1" s="1"/>
  <c r="UM1" i="1" s="1"/>
  <c r="UN1" i="1" s="1"/>
  <c r="UO1" i="1" s="1"/>
  <c r="UP1" i="1" s="1"/>
  <c r="UQ1" i="1" s="1"/>
  <c r="UR1" i="1" s="1"/>
  <c r="US1" i="1" s="1"/>
  <c r="UT1" i="1" s="1"/>
  <c r="UU1" i="1" s="1"/>
  <c r="UV1" i="1" s="1"/>
  <c r="UW1" i="1" s="1"/>
  <c r="UX1" i="1" s="1"/>
  <c r="UY1" i="1" s="1"/>
  <c r="UZ1" i="1" s="1"/>
  <c r="VA1" i="1" s="1"/>
  <c r="VB1" i="1" s="1"/>
  <c r="VC1" i="1" s="1"/>
  <c r="VD1" i="1" s="1"/>
  <c r="VE1" i="1" s="1"/>
  <c r="VF1" i="1" s="1"/>
  <c r="VG1" i="1" s="1"/>
  <c r="VH1" i="1" s="1"/>
  <c r="VI1" i="1" s="1"/>
  <c r="VJ1" i="1" s="1"/>
  <c r="VK1" i="1" s="1"/>
  <c r="VL1" i="1" s="1"/>
  <c r="VM1" i="1" s="1"/>
  <c r="VN1" i="1" s="1"/>
  <c r="VO1" i="1" s="1"/>
  <c r="VP1" i="1" s="1"/>
  <c r="VQ1" i="1" s="1"/>
  <c r="VR1" i="1" s="1"/>
  <c r="VS1" i="1" s="1"/>
  <c r="VT1" i="1" s="1"/>
  <c r="VU1" i="1" s="1"/>
  <c r="VV1" i="1" s="1"/>
  <c r="VW1" i="1" s="1"/>
  <c r="VX1" i="1" s="1"/>
  <c r="VY1" i="1" s="1"/>
  <c r="VZ1" i="1" s="1"/>
  <c r="WA1" i="1" s="1"/>
  <c r="WB1" i="1" s="1"/>
  <c r="WC1" i="1" s="1"/>
  <c r="WD1" i="1" s="1"/>
  <c r="WE1" i="1" s="1"/>
  <c r="WF1" i="1" s="1"/>
  <c r="WG1" i="1" s="1"/>
  <c r="WH1" i="1" s="1"/>
  <c r="WI1" i="1" s="1"/>
  <c r="WJ1" i="1" s="1"/>
  <c r="WK1" i="1" s="1"/>
  <c r="WL1" i="1" s="1"/>
  <c r="WM1" i="1" s="1"/>
  <c r="WN1" i="1" s="1"/>
  <c r="WO1" i="1" s="1"/>
  <c r="WP1" i="1" s="1"/>
  <c r="WQ1" i="1" s="1"/>
  <c r="WR1" i="1" s="1"/>
  <c r="WS1" i="1" s="1"/>
  <c r="WT1" i="1" s="1"/>
  <c r="WU1" i="1" s="1"/>
  <c r="WV1" i="1" s="1"/>
  <c r="WW1" i="1" s="1"/>
  <c r="WX1" i="1" s="1"/>
  <c r="WY1" i="1" s="1"/>
  <c r="WZ1" i="1" s="1"/>
  <c r="XA1" i="1" s="1"/>
  <c r="XB1" i="1" s="1"/>
  <c r="XC1" i="1" s="1"/>
  <c r="XD1" i="1" s="1"/>
  <c r="XE1" i="1" s="1"/>
  <c r="XF1" i="1" s="1"/>
  <c r="XG1" i="1" s="1"/>
  <c r="XH1" i="1" s="1"/>
  <c r="XI1" i="1" s="1"/>
  <c r="XJ1" i="1" s="1"/>
  <c r="XK1" i="1" s="1"/>
  <c r="XL1" i="1" s="1"/>
  <c r="XM1" i="1" s="1"/>
  <c r="XN1" i="1" s="1"/>
  <c r="XO1" i="1" s="1"/>
  <c r="XP1" i="1" s="1"/>
  <c r="XQ1" i="1" s="1"/>
  <c r="XR1" i="1" s="1"/>
  <c r="XS1" i="1" s="1"/>
  <c r="XT1" i="1" s="1"/>
  <c r="XU1" i="1" s="1"/>
  <c r="XV1" i="1" s="1"/>
  <c r="XW1" i="1" s="1"/>
  <c r="XX1" i="1" s="1"/>
  <c r="XY1" i="1" s="1"/>
  <c r="XZ1" i="1" s="1"/>
  <c r="YA1" i="1" s="1"/>
  <c r="YB1" i="1" s="1"/>
  <c r="YC1" i="1" s="1"/>
  <c r="YD1" i="1" s="1"/>
  <c r="YE1" i="1" s="1"/>
  <c r="YF1" i="1" s="1"/>
  <c r="YG1" i="1" s="1"/>
  <c r="YH1" i="1" s="1"/>
  <c r="YI1" i="1" s="1"/>
  <c r="YJ1" i="1" s="1"/>
  <c r="YK1" i="1" s="1"/>
  <c r="YL1" i="1" s="1"/>
  <c r="YM1" i="1" s="1"/>
  <c r="YN1" i="1" s="1"/>
  <c r="YO1" i="1" s="1"/>
  <c r="YP1" i="1" s="1"/>
  <c r="YQ1" i="1" s="1"/>
  <c r="YR1" i="1" s="1"/>
  <c r="YS1" i="1" s="1"/>
  <c r="YT1" i="1" s="1"/>
  <c r="YU1" i="1" s="1"/>
  <c r="YV1" i="1" s="1"/>
  <c r="YW1" i="1" s="1"/>
  <c r="YX1" i="1" s="1"/>
  <c r="YY1" i="1" s="1"/>
  <c r="YZ1" i="1" s="1"/>
  <c r="ZA1" i="1" s="1"/>
  <c r="ZB1" i="1" s="1"/>
  <c r="ZC1" i="1" s="1"/>
  <c r="ZD1" i="1" s="1"/>
  <c r="ZE1" i="1" s="1"/>
  <c r="ZF1" i="1" s="1"/>
  <c r="ZG1" i="1" s="1"/>
  <c r="ZH1" i="1" s="1"/>
  <c r="ZI1" i="1" s="1"/>
  <c r="ZJ1" i="1" s="1"/>
  <c r="ZK1" i="1" s="1"/>
  <c r="ZL1" i="1" s="1"/>
  <c r="ZM1" i="1" s="1"/>
  <c r="ZN1" i="1" s="1"/>
  <c r="ZO1" i="1" s="1"/>
  <c r="ZP1" i="1" s="1"/>
  <c r="ZQ1" i="1" s="1"/>
  <c r="ZR1" i="1" s="1"/>
  <c r="ZS1" i="1" s="1"/>
  <c r="ZT1" i="1" s="1"/>
  <c r="ZU1" i="1" s="1"/>
  <c r="ZV1" i="1" s="1"/>
  <c r="ZW1" i="1" s="1"/>
  <c r="ZX1" i="1" s="1"/>
  <c r="ZY1" i="1" s="1"/>
  <c r="ZZ1" i="1" s="1"/>
  <c r="AAA1" i="1" s="1"/>
  <c r="AAB1" i="1" s="1"/>
  <c r="AAC1" i="1" s="1"/>
  <c r="AAD1" i="1" s="1"/>
  <c r="AAE1" i="1" s="1"/>
  <c r="AAF1" i="1" s="1"/>
  <c r="AAG1" i="1" s="1"/>
  <c r="AAH1" i="1" s="1"/>
  <c r="AAI1" i="1" s="1"/>
  <c r="AAJ1" i="1" s="1"/>
  <c r="AAK1" i="1" s="1"/>
  <c r="AAL1" i="1" s="1"/>
  <c r="AAM1" i="1" s="1"/>
  <c r="AAN1" i="1" s="1"/>
  <c r="AAO1" i="1" s="1"/>
  <c r="AAP1" i="1" s="1"/>
  <c r="AAQ1" i="1" s="1"/>
  <c r="AAR1" i="1" s="1"/>
  <c r="AAS1" i="1" s="1"/>
  <c r="AAT1" i="1" s="1"/>
  <c r="AAU1" i="1" s="1"/>
  <c r="AAV1" i="1" s="1"/>
  <c r="AAW1" i="1" s="1"/>
  <c r="AAX1" i="1" s="1"/>
  <c r="AAY1" i="1" s="1"/>
  <c r="AAZ1" i="1" s="1"/>
  <c r="ABA1" i="1" s="1"/>
  <c r="ABB1" i="1" s="1"/>
  <c r="ABC1" i="1" s="1"/>
  <c r="ABD1" i="1" s="1"/>
  <c r="ABE1" i="1" s="1"/>
  <c r="ABF1" i="1" s="1"/>
  <c r="ABG1" i="1" s="1"/>
  <c r="ABH1" i="1" s="1"/>
  <c r="ABI1" i="1" s="1"/>
  <c r="ABJ1" i="1" s="1"/>
  <c r="ABK1" i="1" s="1"/>
  <c r="ABL1" i="1" s="1"/>
  <c r="ABM1" i="1" s="1"/>
  <c r="ABN1" i="1" s="1"/>
  <c r="ABO1" i="1" s="1"/>
  <c r="ABP1" i="1" s="1"/>
  <c r="ABQ1" i="1" s="1"/>
  <c r="ABR1" i="1" s="1"/>
  <c r="ABS1" i="1" s="1"/>
  <c r="ABT1" i="1" s="1"/>
  <c r="ABU1" i="1" s="1"/>
  <c r="ABV1" i="1" s="1"/>
  <c r="ABW1" i="1" s="1"/>
  <c r="ABX1" i="1" s="1"/>
  <c r="ABY1" i="1" s="1"/>
  <c r="ABZ1" i="1" s="1"/>
  <c r="ACA1" i="1" s="1"/>
  <c r="ACB1" i="1" s="1"/>
  <c r="ACC1" i="1" s="1"/>
  <c r="ACD1" i="1" s="1"/>
  <c r="ACE1" i="1" s="1"/>
  <c r="ACF1" i="1" s="1"/>
  <c r="ACG1" i="1" s="1"/>
  <c r="ACH1" i="1" s="1"/>
  <c r="ACI1" i="1" s="1"/>
  <c r="ACJ1" i="1" s="1"/>
  <c r="ACK1" i="1" s="1"/>
  <c r="ACL1" i="1" s="1"/>
  <c r="ACM1" i="1" s="1"/>
  <c r="ACN1" i="1" s="1"/>
  <c r="ACO1" i="1" s="1"/>
  <c r="ACP1" i="1" s="1"/>
  <c r="ACQ1" i="1" s="1"/>
  <c r="ACR1" i="1" s="1"/>
  <c r="ACS1" i="1" s="1"/>
  <c r="ACT1" i="1" s="1"/>
  <c r="ACU1" i="1" s="1"/>
  <c r="ACV1" i="1" s="1"/>
  <c r="ACW1" i="1" s="1"/>
  <c r="ACX1" i="1" s="1"/>
  <c r="ACY1" i="1" s="1"/>
  <c r="ACZ1" i="1" s="1"/>
  <c r="ADA1" i="1" s="1"/>
  <c r="ADB1" i="1" s="1"/>
  <c r="ADC1" i="1" s="1"/>
  <c r="ADD1" i="1" s="1"/>
  <c r="ADE1" i="1" s="1"/>
  <c r="ADF1" i="1" s="1"/>
  <c r="ADG1" i="1" s="1"/>
  <c r="ADH1" i="1" s="1"/>
  <c r="ADI1" i="1" s="1"/>
  <c r="ADJ1" i="1" s="1"/>
  <c r="ADK1" i="1" s="1"/>
  <c r="ADL1" i="1" s="1"/>
  <c r="ADM1" i="1" s="1"/>
  <c r="ADN1" i="1" s="1"/>
  <c r="ADO1" i="1" s="1"/>
  <c r="ADP1" i="1" s="1"/>
  <c r="ADQ1" i="1" s="1"/>
  <c r="ADR1" i="1" s="1"/>
  <c r="ADS1" i="1" s="1"/>
  <c r="ADT1" i="1" s="1"/>
  <c r="ADU1" i="1" s="1"/>
  <c r="ADV1" i="1" s="1"/>
  <c r="ADW1" i="1" s="1"/>
  <c r="ADX1" i="1" s="1"/>
  <c r="ADY1" i="1" s="1"/>
  <c r="ADZ1" i="1" s="1"/>
  <c r="AEA1" i="1" s="1"/>
  <c r="AEB1" i="1" s="1"/>
  <c r="AEC1" i="1" s="1"/>
  <c r="AED1" i="1" s="1"/>
  <c r="AEE1" i="1" s="1"/>
  <c r="AEF1" i="1" s="1"/>
  <c r="AEG1" i="1" s="1"/>
  <c r="AEH1" i="1" s="1"/>
  <c r="AEI1" i="1" s="1"/>
  <c r="AEJ1" i="1" s="1"/>
  <c r="AEK1" i="1" s="1"/>
  <c r="AEL1" i="1" s="1"/>
  <c r="AEM1" i="1" s="1"/>
  <c r="AEN1" i="1" s="1"/>
  <c r="AEO1" i="1" s="1"/>
  <c r="AEP1" i="1" s="1"/>
  <c r="AEQ1" i="1" s="1"/>
  <c r="AER1" i="1" s="1"/>
  <c r="AES1" i="1" s="1"/>
  <c r="AET1" i="1" s="1"/>
  <c r="AEU1" i="1" s="1"/>
  <c r="AEV1" i="1" s="1"/>
  <c r="AEW1" i="1" s="1"/>
  <c r="AEX1" i="1" s="1"/>
  <c r="AEY1" i="1" s="1"/>
  <c r="AEZ1" i="1" s="1"/>
  <c r="AFA1" i="1" s="1"/>
  <c r="AFB1" i="1" s="1"/>
  <c r="AFC1" i="1" s="1"/>
  <c r="AFD1" i="1" s="1"/>
  <c r="AFE1" i="1" s="1"/>
  <c r="AFF1" i="1" s="1"/>
  <c r="AFG1" i="1" s="1"/>
  <c r="AFH1" i="1" s="1"/>
  <c r="AFI1" i="1" s="1"/>
  <c r="AFJ1" i="1" s="1"/>
  <c r="AFK1" i="1" s="1"/>
  <c r="AFL1" i="1" s="1"/>
  <c r="AFM1" i="1" s="1"/>
  <c r="AFN1" i="1" s="1"/>
  <c r="AFO1" i="1" s="1"/>
  <c r="AFP1" i="1" s="1"/>
  <c r="AFQ1" i="1" s="1"/>
  <c r="AFR1" i="1" s="1"/>
  <c r="AFS1" i="1" s="1"/>
  <c r="AFT1" i="1" s="1"/>
  <c r="AFU1" i="1" s="1"/>
  <c r="AFV1" i="1" s="1"/>
  <c r="AFW1" i="1" s="1"/>
  <c r="AFX1" i="1" s="1"/>
  <c r="AFY1" i="1" s="1"/>
  <c r="AFZ1" i="1" s="1"/>
  <c r="AGA1" i="1" s="1"/>
  <c r="AGB1" i="1" s="1"/>
  <c r="AGC1" i="1" s="1"/>
  <c r="AGD1" i="1" s="1"/>
  <c r="AGE1" i="1" s="1"/>
  <c r="AGF1" i="1" s="1"/>
  <c r="AGG1" i="1" s="1"/>
  <c r="AGH1" i="1" s="1"/>
  <c r="AGI1" i="1" s="1"/>
  <c r="AGJ1" i="1" s="1"/>
  <c r="AGK1" i="1" s="1"/>
  <c r="AGL1" i="1" s="1"/>
  <c r="AGM1" i="1" s="1"/>
  <c r="AGN1" i="1" s="1"/>
  <c r="AGO1" i="1" s="1"/>
  <c r="AGP1" i="1" s="1"/>
  <c r="AGQ1" i="1" s="1"/>
  <c r="AGR1" i="1" s="1"/>
  <c r="AGS1" i="1" s="1"/>
  <c r="AGT1" i="1" s="1"/>
  <c r="AGU1" i="1" s="1"/>
  <c r="AGV1" i="1" s="1"/>
  <c r="AGW1" i="1" s="1"/>
  <c r="AGX1" i="1" s="1"/>
  <c r="AGY1" i="1" s="1"/>
  <c r="AGZ1" i="1" s="1"/>
  <c r="AHA1" i="1" s="1"/>
  <c r="AHB1" i="1" s="1"/>
  <c r="AHC1" i="1" s="1"/>
  <c r="AHD1" i="1" s="1"/>
  <c r="AHE1" i="1" s="1"/>
  <c r="AHF1" i="1" s="1"/>
  <c r="AHG1" i="1" s="1"/>
  <c r="AHH1" i="1" s="1"/>
  <c r="AHI1" i="1" s="1"/>
  <c r="AHJ1" i="1" s="1"/>
  <c r="AHK1" i="1" s="1"/>
  <c r="AHL1" i="1" s="1"/>
  <c r="AHM1" i="1" s="1"/>
  <c r="AHN1" i="1" s="1"/>
  <c r="AHO1" i="1" s="1"/>
  <c r="AHP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Witchai Chaengthiraphusit</author>
  </authors>
  <commentList>
    <comment ref="C2" authorId="0" shapeId="0" xr:uid="{9A2B85CE-55A8-42F0-AB32-D08F788CF28E}">
      <text>
        <r>
          <rPr>
            <b/>
            <sz val="9"/>
            <color indexed="81"/>
            <rFont val="Tahoma"/>
            <family val="2"/>
          </rPr>
          <t>Report 74</t>
        </r>
      </text>
    </comment>
    <comment ref="B3" authorId="0" shapeId="0" xr:uid="{367EEC76-054D-4D84-8FBA-0F86C6BB1598}">
      <text>
        <r>
          <rPr>
            <b/>
            <sz val="9"/>
            <color indexed="81"/>
            <rFont val="Tahoma"/>
            <family val="2"/>
          </rPr>
          <t>XD All Box out + WH (MUJI+CDS+RBS+SSP+M&amp;S+HCDS) box out + Box out plaza + GIC TRF Store IN box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3" authorId="0" shapeId="0" xr:uid="{1F8BC9D1-E53C-4CA4-B58C-7E4551FA08AB}">
      <text>
        <r>
          <rPr>
            <b/>
            <sz val="9"/>
            <color indexed="81"/>
            <rFont val="Tahoma"/>
            <family val="2"/>
          </rPr>
          <t xml:space="preserve">RP72 +73 </t>
        </r>
      </text>
    </comment>
    <comment ref="B4" authorId="0" shapeId="0" xr:uid="{9FB07A79-BF35-4828-A40C-11E778EEFB4B}">
      <text>
        <r>
          <rPr>
            <b/>
            <sz val="9"/>
            <color indexed="81"/>
            <rFont val="Tahoma"/>
            <family val="2"/>
          </rPr>
          <t>XD All Box out [Type2 All type , UOM Box]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4" authorId="0" shapeId="0" xr:uid="{690708CD-9180-4F1F-99B8-52E242635E2E}">
      <text>
        <r>
          <rPr>
            <sz val="9"/>
            <color indexed="81"/>
            <rFont val="Tahoma"/>
            <family val="2"/>
          </rPr>
          <t xml:space="preserve">
RP72 +73</t>
        </r>
      </text>
    </comment>
    <comment ref="B5" authorId="0" shapeId="0" xr:uid="{5232BE5C-801B-4562-881A-6986433E2E29}">
      <text>
        <r>
          <rPr>
            <b/>
            <sz val="9"/>
            <color indexed="81"/>
            <rFont val="Tahoma"/>
            <family val="2"/>
          </rPr>
          <t>Box out plaza  "NJDA"</t>
        </r>
      </text>
    </comment>
    <comment ref="F5" authorId="0" shapeId="0" xr:uid="{59270C23-95EE-4886-8A62-E5A53E2FB302}">
      <text>
        <r>
          <rPr>
            <b/>
            <sz val="9"/>
            <color indexed="81"/>
            <rFont val="Tahoma"/>
            <family val="2"/>
          </rPr>
          <t>Witchai Chaengthiraphusit:</t>
        </r>
        <r>
          <rPr>
            <sz val="9"/>
            <color indexed="81"/>
            <rFont val="Tahoma"/>
            <family val="2"/>
          </rPr>
          <t xml:space="preserve">
NON JDA</t>
        </r>
      </text>
    </comment>
    <comment ref="B6" authorId="0" shapeId="0" xr:uid="{EDC31A06-493B-4A40-B87E-3E04878D641F}">
      <text>
        <r>
          <rPr>
            <b/>
            <sz val="9"/>
            <color indexed="81"/>
            <rFont val="Tahoma"/>
            <family val="2"/>
          </rPr>
          <t>Box out plaza  "NJDA"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6" authorId="0" shapeId="0" xr:uid="{522CA255-DA83-4143-8757-DCC7A75FFDAD}">
      <text>
        <r>
          <rPr>
            <sz val="9"/>
            <color indexed="81"/>
            <rFont val="Tahoma"/>
            <family val="2"/>
          </rPr>
          <t xml:space="preserve">NON JDA PNM ปรับเป็น GIC RTV เริ่ม 1/11/24
 </t>
        </r>
      </text>
    </comment>
    <comment ref="B7" authorId="0" shapeId="0" xr:uid="{2435B470-06D3-4F01-AA98-3BCF60E4A41C}">
      <text>
        <r>
          <rPr>
            <b/>
            <sz val="9"/>
            <color indexed="81"/>
            <rFont val="Tahoma"/>
            <family val="2"/>
          </rPr>
          <t xml:space="preserve">GIC TRF Store IN box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7" authorId="0" shapeId="0" xr:uid="{BFF49446-5174-4E84-936F-4884511900DD}">
      <text>
        <r>
          <rPr>
            <b/>
            <sz val="9"/>
            <color indexed="81"/>
            <rFont val="Tahoma"/>
            <family val="2"/>
          </rPr>
          <t>Witchai Chaengthiraphusit:</t>
        </r>
        <r>
          <rPr>
            <sz val="9"/>
            <color indexed="81"/>
            <rFont val="Tahoma"/>
            <family val="2"/>
          </rPr>
          <t xml:space="preserve">
NON JDA</t>
        </r>
      </text>
    </comment>
    <comment ref="F8" authorId="0" shapeId="0" xr:uid="{F0B507D6-90BC-4684-8BCD-94AE81CD7A84}">
      <text>
        <r>
          <rPr>
            <b/>
            <sz val="9"/>
            <color indexed="81"/>
            <rFont val="Tahoma"/>
            <family val="2"/>
          </rPr>
          <t>Witchai Chaengthiraphusit:</t>
        </r>
        <r>
          <rPr>
            <sz val="9"/>
            <color indexed="81"/>
            <rFont val="Tahoma"/>
            <family val="2"/>
          </rPr>
          <t xml:space="preserve">
RP 74</t>
        </r>
      </text>
    </comment>
    <comment ref="F10" authorId="0" shapeId="0" xr:uid="{365BB2D9-A0A0-437C-AC54-53CB2CC4A805}">
      <text>
        <r>
          <rPr>
            <b/>
            <sz val="9"/>
            <color indexed="81"/>
            <rFont val="Tahoma"/>
            <family val="2"/>
          </rPr>
          <t>Witchai Chaengthiraphusit:</t>
        </r>
        <r>
          <rPr>
            <sz val="9"/>
            <color indexed="81"/>
            <rFont val="Tahoma"/>
            <family val="2"/>
          </rPr>
          <t xml:space="preserve">
RP 72 +73</t>
        </r>
      </text>
    </comment>
    <comment ref="F11" authorId="0" shapeId="0" xr:uid="{7BB405A3-DDDC-4B2C-91F0-9582D85010F9}">
      <text>
        <r>
          <rPr>
            <b/>
            <sz val="9"/>
            <color indexed="81"/>
            <rFont val="Tahoma"/>
            <family val="2"/>
          </rPr>
          <t>Witchai Chaengthiraphusit:</t>
        </r>
        <r>
          <rPr>
            <sz val="9"/>
            <color indexed="81"/>
            <rFont val="Tahoma"/>
            <family val="2"/>
          </rPr>
          <t xml:space="preserve">
RP 72 +73</t>
        </r>
      </text>
    </comment>
    <comment ref="F12" authorId="0" shapeId="0" xr:uid="{C90624B3-7F8B-45FF-AA9F-59531E816BC9}">
      <text>
        <r>
          <rPr>
            <sz val="9"/>
            <color indexed="81"/>
            <rFont val="Tahoma"/>
            <family val="2"/>
          </rPr>
          <t xml:space="preserve">
Pallet OFM B2S SSP</t>
        </r>
      </text>
    </comment>
    <comment ref="C13" authorId="0" shapeId="0" xr:uid="{EEBFB034-B962-4F7D-A168-1E797D899DA1}">
      <text>
        <r>
          <rPr>
            <b/>
            <sz val="9"/>
            <color indexed="81"/>
            <rFont val="Tahoma"/>
            <family val="2"/>
          </rPr>
          <t>PR 72,73</t>
        </r>
      </text>
    </comment>
    <comment ref="F14" authorId="0" shapeId="0" xr:uid="{CAB73366-1BAE-4D8F-B042-A43BC60AF6EC}">
      <text>
        <r>
          <rPr>
            <b/>
            <sz val="9"/>
            <color indexed="81"/>
            <rFont val="Tahoma"/>
            <family val="2"/>
          </rPr>
          <t>Witchai Chaengthiraphusit:</t>
        </r>
        <r>
          <rPr>
            <sz val="9"/>
            <color indexed="81"/>
            <rFont val="Tahoma"/>
            <family val="2"/>
          </rPr>
          <t xml:space="preserve">
RP72+RP73</t>
        </r>
      </text>
    </comment>
    <comment ref="H14" authorId="0" shapeId="0" xr:uid="{FF24EB1C-10F3-46FC-8D66-5C689702FB13}">
      <text>
        <r>
          <rPr>
            <b/>
            <sz val="9"/>
            <color indexed="81"/>
            <rFont val="Tahoma"/>
            <family val="2"/>
          </rPr>
          <t xml:space="preserve">CR </t>
        </r>
      </text>
    </comment>
    <comment ref="F15" authorId="0" shapeId="0" xr:uid="{10E8E902-D09E-4B84-8380-556908470A3B}">
      <text>
        <r>
          <rPr>
            <b/>
            <sz val="9"/>
            <color indexed="81"/>
            <rFont val="Tahoma"/>
            <family val="2"/>
          </rPr>
          <t>Witchai Chaengthiraphusit:</t>
        </r>
        <r>
          <rPr>
            <sz val="9"/>
            <color indexed="81"/>
            <rFont val="Tahoma"/>
            <family val="2"/>
          </rPr>
          <t xml:space="preserve">
JDA Type G Rcve 1,3</t>
        </r>
      </text>
    </comment>
    <comment ref="F16" authorId="0" shapeId="0" xr:uid="{CF427C02-E681-4766-A59D-7BB361A3CF15}">
      <text>
        <r>
          <rPr>
            <b/>
            <sz val="9"/>
            <color indexed="81"/>
            <rFont val="Tahoma"/>
            <family val="2"/>
          </rPr>
          <t>Witchai Chaengthiraphusit:</t>
        </r>
        <r>
          <rPr>
            <sz val="9"/>
            <color indexed="81"/>
            <rFont val="Tahoma"/>
            <family val="2"/>
          </rPr>
          <t xml:space="preserve">
RP72</t>
        </r>
      </text>
    </comment>
    <comment ref="H16" authorId="0" shapeId="0" xr:uid="{BED48A8F-1688-4063-8D1E-8F97BD4D0C99}">
      <text>
        <r>
          <rPr>
            <b/>
            <sz val="9"/>
            <color indexed="81"/>
            <rFont val="Tahoma"/>
            <family val="2"/>
          </rPr>
          <t xml:space="preserve">CR </t>
        </r>
      </text>
    </comment>
    <comment ref="F17" authorId="0" shapeId="0" xr:uid="{E5A6A16E-6077-424F-A4B6-A8BFE2826297}">
      <text>
        <r>
          <rPr>
            <b/>
            <sz val="9"/>
            <color indexed="81"/>
            <rFont val="Tahoma"/>
            <family val="2"/>
          </rPr>
          <t>Witchai Chaengthiraphusit:</t>
        </r>
        <r>
          <rPr>
            <sz val="9"/>
            <color indexed="81"/>
            <rFont val="Tahoma"/>
            <family val="2"/>
          </rPr>
          <t xml:space="preserve">
JDA Type G Rcve 1,3</t>
        </r>
      </text>
    </comment>
    <comment ref="F18" authorId="0" shapeId="0" xr:uid="{06F97D4C-5ECA-4B22-9F48-C125B3FCA2AD}">
      <text>
        <r>
          <rPr>
            <b/>
            <sz val="9"/>
            <color indexed="81"/>
            <rFont val="Tahoma"/>
            <family val="2"/>
          </rPr>
          <t>Witchai Chaengthiraphusit:</t>
        </r>
        <r>
          <rPr>
            <sz val="9"/>
            <color indexed="81"/>
            <rFont val="Tahoma"/>
            <family val="2"/>
          </rPr>
          <t xml:space="preserve">
NON JDA</t>
        </r>
      </text>
    </comment>
    <comment ref="DN32" authorId="0" shapeId="0" xr:uid="{9A830166-6795-4D4E-A109-20A85A108406}">
      <text>
        <r>
          <rPr>
            <b/>
            <sz val="9"/>
            <color indexed="81"/>
            <rFont val="Tahoma"/>
            <family val="2"/>
          </rPr>
          <t>ไม่มีข้อมูล STS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Anusorn Aunyamaneekul</author>
  </authors>
  <commentList>
    <comment ref="IR54" authorId="0" shapeId="0" xr:uid="{75BD406D-BD32-4027-8CEE-0025DD609907}">
      <text>
        <r>
          <rPr>
            <sz val="9"/>
            <color indexed="81"/>
            <rFont val="Tahoma"/>
            <family val="2"/>
          </rPr>
          <t xml:space="preserve">+Put-away ที่หายไป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Warittha Thim-On</author>
  </authors>
  <commentList>
    <comment ref="XH22" authorId="0" shapeId="0" xr:uid="{6D3ABDBD-7A10-4762-A7C3-CABE80B3231D}">
      <text>
        <r>
          <rPr>
            <b/>
            <sz val="9"/>
            <color indexed="81"/>
            <rFont val="Tahoma"/>
            <family val="2"/>
          </rPr>
          <t>Warittha Thim-On:</t>
        </r>
        <r>
          <rPr>
            <sz val="9"/>
            <color indexed="81"/>
            <rFont val="Tahoma"/>
            <family val="2"/>
          </rPr>
          <t xml:space="preserve">
เพิ่ม TRF Out (ถ้าข้อมูลไหลตัดออก)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Append1].[Code].[All]}"/>
  </metadataStrings>
  <mdxMetadata count="1">
    <mdx n="0" f="s">
      <ms ns="1" c="0"/>
    </mdx>
  </mdx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<sst xmlns="http://schemas.openxmlformats.org/spreadsheetml/2006/main" count="2512" uniqueCount="198">
  <si>
    <t>Cost</t>
  </si>
  <si>
    <t>Function</t>
  </si>
  <si>
    <t>SCDC Site</t>
  </si>
  <si>
    <t>BU</t>
  </si>
  <si>
    <t>Topic</t>
  </si>
  <si>
    <t>Type</t>
  </si>
  <si>
    <t>แหล่งข้อมูล</t>
  </si>
  <si>
    <t>UOM</t>
  </si>
  <si>
    <t>XD</t>
  </si>
  <si>
    <t>XD Offline Sorting</t>
  </si>
  <si>
    <t>82210 - 1</t>
  </si>
  <si>
    <t>CDS</t>
  </si>
  <si>
    <t>Outbound</t>
  </si>
  <si>
    <r>
      <t>Cr,Co,</t>
    </r>
    <r>
      <rPr>
        <sz val="11"/>
        <color rgb="FFFF0000"/>
        <rFont val="Calibri"/>
        <family val="2"/>
        <scheme val="minor"/>
      </rPr>
      <t>STS</t>
    </r>
  </si>
  <si>
    <t>MHT</t>
  </si>
  <si>
    <t>Box</t>
  </si>
  <si>
    <t>82210 - 2</t>
  </si>
  <si>
    <t>RBS</t>
  </si>
  <si>
    <r>
      <t>Cr,Co,</t>
    </r>
    <r>
      <rPr>
        <sz val="11"/>
        <color rgb="FFFF0000"/>
        <rFont val="Calibri"/>
        <family val="2"/>
        <scheme val="minor"/>
      </rPr>
      <t>STS,</t>
    </r>
  </si>
  <si>
    <t>82210 - 3</t>
  </si>
  <si>
    <t>Plaza +CRL</t>
  </si>
  <si>
    <t>All</t>
  </si>
  <si>
    <t>Non JDA</t>
  </si>
  <si>
    <t>82210 - 4</t>
  </si>
  <si>
    <t>GIC (RTV)</t>
  </si>
  <si>
    <t>82210 - 5</t>
  </si>
  <si>
    <t>BT</t>
  </si>
  <si>
    <t>82210 - 6</t>
  </si>
  <si>
    <t>WH</t>
  </si>
  <si>
    <t>CDS,RBS,M&amp;S,MUJI,HCDS</t>
  </si>
  <si>
    <t>82210 - 9</t>
  </si>
  <si>
    <t>SSP</t>
  </si>
  <si>
    <t>82210 - 7</t>
  </si>
  <si>
    <t>Inbound</t>
  </si>
  <si>
    <t>STS</t>
  </si>
  <si>
    <t>82210 - 8</t>
  </si>
  <si>
    <t>OFM,B2S,SSP</t>
  </si>
  <si>
    <t>Other BU</t>
  </si>
  <si>
    <t/>
  </si>
  <si>
    <t xml:space="preserve">GIC CDS&amp;RBS </t>
  </si>
  <si>
    <t>82301 - 1</t>
  </si>
  <si>
    <t xml:space="preserve">GIC </t>
  </si>
  <si>
    <t xml:space="preserve">Co ,NOPO </t>
  </si>
  <si>
    <t>82301 - 2</t>
  </si>
  <si>
    <t>Cr</t>
  </si>
  <si>
    <t>JDA</t>
  </si>
  <si>
    <t>Qty</t>
  </si>
  <si>
    <t>82301 - 3</t>
  </si>
  <si>
    <t>82301 - 4</t>
  </si>
  <si>
    <t>82301 - 5</t>
  </si>
  <si>
    <t xml:space="preserve"> BT + CRL</t>
  </si>
  <si>
    <t>82910 - 1</t>
  </si>
  <si>
    <t>459</t>
  </si>
  <si>
    <t>82910 - 2</t>
  </si>
  <si>
    <t>82910 - 3</t>
  </si>
  <si>
    <t>618</t>
  </si>
  <si>
    <t>82910 - 4</t>
  </si>
  <si>
    <t xml:space="preserve">GIC OFM </t>
  </si>
  <si>
    <t>82303 - 1</t>
  </si>
  <si>
    <t>OFM</t>
  </si>
  <si>
    <t>Cr,Co,STS</t>
  </si>
  <si>
    <t>D Sheet</t>
  </si>
  <si>
    <t>82303 - 2</t>
  </si>
  <si>
    <t>GIC OFM (RTV)</t>
  </si>
  <si>
    <t>Manual</t>
  </si>
  <si>
    <t>82303 - 3</t>
  </si>
  <si>
    <t xml:space="preserve">GIC B2S </t>
  </si>
  <si>
    <t>82306 - 1</t>
  </si>
  <si>
    <t>GIC B2S</t>
  </si>
  <si>
    <t>B2S</t>
  </si>
  <si>
    <t>82920 - 1</t>
  </si>
  <si>
    <t>GIC B2S (RTV)</t>
  </si>
  <si>
    <t>82920 - 2</t>
  </si>
  <si>
    <t xml:space="preserve">GIC SSP </t>
  </si>
  <si>
    <t>82308 - 1</t>
  </si>
  <si>
    <t>Co,STS</t>
  </si>
  <si>
    <t>82308 - 2</t>
  </si>
  <si>
    <t>82308 - 3</t>
  </si>
  <si>
    <t>GIC SSP (RTV)</t>
  </si>
  <si>
    <t>82308 - 4</t>
  </si>
  <si>
    <t>99999 - 1</t>
  </si>
  <si>
    <t>GIC</t>
  </si>
  <si>
    <t>99999 - 2</t>
  </si>
  <si>
    <t>99999 - 3</t>
  </si>
  <si>
    <t>99999 - 4</t>
  </si>
  <si>
    <t xml:space="preserve">SSP </t>
  </si>
  <si>
    <t>Import</t>
  </si>
  <si>
    <t>82630 - 1</t>
  </si>
  <si>
    <t>Import (FH)</t>
  </si>
  <si>
    <t>Put-away,Predist</t>
  </si>
  <si>
    <t>82630 - 2</t>
  </si>
  <si>
    <t>82630 - 3</t>
  </si>
  <si>
    <t>82630 - 4</t>
  </si>
  <si>
    <t>M&amp;S</t>
  </si>
  <si>
    <t>82630 - 5</t>
  </si>
  <si>
    <t>HCDS</t>
  </si>
  <si>
    <t>82630 - 6</t>
  </si>
  <si>
    <t>MUJI</t>
  </si>
  <si>
    <t>82630 - 7</t>
  </si>
  <si>
    <t>Import (ST)</t>
  </si>
  <si>
    <t>KMNY</t>
  </si>
  <si>
    <t>82630 - 8</t>
  </si>
  <si>
    <t>82630 - 9</t>
  </si>
  <si>
    <t>Predist</t>
  </si>
  <si>
    <t>82630 - 10</t>
  </si>
  <si>
    <t>82630 - 11</t>
  </si>
  <si>
    <t>82630 - 12</t>
  </si>
  <si>
    <t>82630 - 13</t>
  </si>
  <si>
    <t>82630 - 14</t>
  </si>
  <si>
    <t>82630 - 15</t>
  </si>
  <si>
    <t>82630 - 16</t>
  </si>
  <si>
    <t>Inventory</t>
  </si>
  <si>
    <t>82640 - 1</t>
  </si>
  <si>
    <t>Inventory (FH)</t>
  </si>
  <si>
    <t>Put-away IM,Domestic,RTW</t>
  </si>
  <si>
    <t>82640 - 2</t>
  </si>
  <si>
    <t>82640 - 3</t>
  </si>
  <si>
    <t>82640 - 4</t>
  </si>
  <si>
    <t>82640 - 5</t>
  </si>
  <si>
    <t>RTV,TRF,WHS</t>
  </si>
  <si>
    <t>82640 - 6</t>
  </si>
  <si>
    <t>82640 - 7</t>
  </si>
  <si>
    <t>82640 - 8</t>
  </si>
  <si>
    <t>82612 - 1</t>
  </si>
  <si>
    <t>82612 - 2</t>
  </si>
  <si>
    <t>82607 - 1</t>
  </si>
  <si>
    <t>82607 - 2</t>
  </si>
  <si>
    <t>82621 - 1</t>
  </si>
  <si>
    <t>82621 - 2</t>
  </si>
  <si>
    <t>82606 - 1</t>
  </si>
  <si>
    <t>82606 - 2</t>
  </si>
  <si>
    <t>CMG</t>
  </si>
  <si>
    <t>82611 - 1</t>
  </si>
  <si>
    <t>WDCS</t>
  </si>
  <si>
    <t>82611 - 2</t>
  </si>
  <si>
    <t>Good Goods</t>
  </si>
  <si>
    <t>82622 - 1</t>
  </si>
  <si>
    <t>GG</t>
  </si>
  <si>
    <t>82622 - 2</t>
  </si>
  <si>
    <t>Clearance sale</t>
  </si>
  <si>
    <t>82620 - 1</t>
  </si>
  <si>
    <t>MN</t>
  </si>
  <si>
    <t>82620 - 2</t>
  </si>
  <si>
    <t>Office Warehouse - Fashion</t>
  </si>
  <si>
    <t>Office Warehouse - Stationery</t>
  </si>
  <si>
    <t>Office Warehouse - Fashion (Put-away)</t>
  </si>
  <si>
    <t>Office Warehouse - Stationery (Put-away)</t>
  </si>
  <si>
    <t>Online</t>
  </si>
  <si>
    <t>Customer Order</t>
  </si>
  <si>
    <t>82652 - 1</t>
  </si>
  <si>
    <t>Supplier</t>
  </si>
  <si>
    <t>OMS</t>
  </si>
  <si>
    <t xml:space="preserve">  </t>
  </si>
  <si>
    <t>82652 - 2</t>
  </si>
  <si>
    <t>Normal</t>
  </si>
  <si>
    <t>82658 - 3</t>
  </si>
  <si>
    <t>82658 - 4</t>
  </si>
  <si>
    <t xml:space="preserve">Normal </t>
  </si>
  <si>
    <t>82658 - 5</t>
  </si>
  <si>
    <t>MKT</t>
  </si>
  <si>
    <t>MKT Order</t>
  </si>
  <si>
    <t>82652 - 6</t>
  </si>
  <si>
    <t>FC</t>
  </si>
  <si>
    <t>82652 - 7</t>
  </si>
  <si>
    <t xml:space="preserve">               -  </t>
  </si>
  <si>
    <t>RTV&amp;TRF</t>
  </si>
  <si>
    <t>82660 - 1</t>
  </si>
  <si>
    <t>RTV</t>
  </si>
  <si>
    <t>82660 - 2</t>
  </si>
  <si>
    <t>82660 - 3</t>
  </si>
  <si>
    <t>82660 - 4</t>
  </si>
  <si>
    <t>82660 - 5</t>
  </si>
  <si>
    <t>82660 - 6</t>
  </si>
  <si>
    <t>82660 - 7</t>
  </si>
  <si>
    <t>TRF</t>
  </si>
  <si>
    <t>TRF WH</t>
  </si>
  <si>
    <t>82660 - 8</t>
  </si>
  <si>
    <t>TRF STS</t>
  </si>
  <si>
    <t>82660 - 9</t>
  </si>
  <si>
    <t>TRF WH,TRF STS</t>
  </si>
  <si>
    <t>82660 - 10</t>
  </si>
  <si>
    <t>RTC</t>
  </si>
  <si>
    <t>82660 - 11</t>
  </si>
  <si>
    <t>82660 - 12</t>
  </si>
  <si>
    <t>82660 - 13</t>
  </si>
  <si>
    <t>82660 - 14</t>
  </si>
  <si>
    <t>CDS RRE</t>
  </si>
  <si>
    <t>Customer return and fail delivery</t>
  </si>
  <si>
    <t>82660 - 15</t>
  </si>
  <si>
    <t>Normal outbound</t>
  </si>
  <si>
    <t>82660 - 16</t>
  </si>
  <si>
    <t>Transfer to stores</t>
  </si>
  <si>
    <t>PNM</t>
  </si>
  <si>
    <t>82665 - 1</t>
  </si>
  <si>
    <t>82665 - 2</t>
  </si>
  <si>
    <t>82664 - 1</t>
  </si>
  <si>
    <t>82664 - 2</t>
  </si>
  <si>
    <t>Online Warehouse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</si>
</sst>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_-* #,##0_-;\-* #,##0_-;_-* &quot;-&quot;??_-;_-@_-"/>
  </numFmts>
  <fonts count="28">
    <font>
      <sz val="11"/>
      <color theme="1"/>
      <name val="Calibri"/>
      <family val="2"/>
      <charset val="222"/>
      <scheme val="minor"/>
    </font>
    <font>
      <b/>
      <sz val="9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0"/>
      <name val="Calibri"/>
      <family val="2"/>
      <charset val="22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b/>
      <sz val="9"/>
      <color indexed="81"/>
      <name val="Tahoma"/>
      <family val="2"/>
    </font>
    <font>
      <sz val="10"/>
      <color rgb="FF000000"/>
      <name val="Arial"/>
      <family val="2"/>
    </font>
    <font>
      <sz val="9"/>
      <color indexed="81"/>
      <name val="Tahoma"/>
      <family val="2"/>
    </font>
    <font>
      <sz val="11"/>
      <color theme="0"/>
      <name val="Calibri"/>
      <family val="2"/>
      <charset val="22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charset val="222"/>
      <scheme val="minor"/>
    </font>
    <font>
      <b/>
      <sz val="9"/>
      <color theme="0"/>
      <name val="Calibri"/>
      <family val="2"/>
      <charset val="222"/>
      <scheme val="minor"/>
    </font>
    <font>
      <b/>
      <sz val="11"/>
      <color rgb="FFFF0000"/>
      <name val="Calibri"/>
      <family val="2"/>
      <charset val="222"/>
      <scheme val="minor"/>
    </font>
    <font>
      <b/>
      <sz val="10"/>
      <color rgb="FFFF0000"/>
      <name val="Calibri"/>
      <family val="2"/>
      <charset val="222"/>
      <scheme val="minor"/>
    </font>
    <font>
      <b/>
      <sz val="9"/>
      <color rgb="FFFF0000"/>
      <name val="Calibri"/>
      <family val="2"/>
      <charset val="222"/>
      <scheme val="minor"/>
    </font>
    <font>
      <sz val="11"/>
      <color rgb="FF0C4CC0"/>
      <name val="Calibri"/>
      <family val="2"/>
      <charset val="222"/>
      <scheme val="minor"/>
    </font>
    <font>
      <sz val="11"/>
      <color rgb="FFD515AC"/>
      <name val="Calibri"/>
      <family val="2"/>
      <charset val="222"/>
      <scheme val="minor"/>
    </font>
    <font>
      <sz val="11"/>
      <color rgb="FFC00000"/>
      <name val="Calibri"/>
      <family val="2"/>
      <charset val="22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AE1E1"/>
        <bgColor indexed="64"/>
      </patternFill>
    </fill>
    <fill>
      <patternFill patternType="solid">
        <fgColor rgb="FFF686EB"/>
        <bgColor indexed="64"/>
      </patternFill>
    </fill>
    <fill>
      <patternFill patternType="solid">
        <fgColor rgb="FFB4CDFA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/>
      <bottom/>
      <diagonal/>
    </border>
    <border>
      <left style="thin">
        <color theme="2" tint="-9.9978637043366805E-2"/>
      </left>
      <right style="thin">
        <color indexed="64"/>
      </right>
      <top/>
      <bottom/>
      <diagonal/>
    </border>
    <border>
      <left/>
      <right style="thin">
        <color theme="2" tint="-9.9978637043366805E-2"/>
      </right>
      <top/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3" fillId="0" borderId="0"/>
    <xf numFmtId="9" fontId="10" fillId="0" borderId="0" applyFont="0" applyFill="0" applyBorder="0" applyAlignment="0" applyProtection="0"/>
  </cellStyleXfs>
  <cellXfs count="160">
    <xf numFmtId="0" fontId="0" fillId="0" borderId="0" xfId="0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0" fillId="4" borderId="0" xfId="0" applyFill="1"/>
    <xf numFmtId="0" fontId="5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6" borderId="0" xfId="0" applyFill="1"/>
    <xf numFmtId="0" fontId="5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7" borderId="0" xfId="0" applyFont="1" applyFill="1" applyAlignment="1">
      <alignment vertical="center"/>
    </xf>
    <xf numFmtId="0" fontId="2" fillId="7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14" fontId="3" fillId="7" borderId="1" xfId="0" applyNumberFormat="1" applyFont="1" applyFill="1" applyBorder="1" applyAlignment="1">
      <alignment horizontal="center" vertical="center"/>
    </xf>
    <xf numFmtId="0" fontId="0" fillId="2" borderId="0" xfId="0" applyFill="1"/>
    <xf numFmtId="0" fontId="5" fillId="2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0" fillId="8" borderId="0" xfId="0" applyFill="1"/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164" fontId="0" fillId="4" borderId="0" xfId="1" applyNumberFormat="1" applyFont="1" applyFill="1"/>
    <xf numFmtId="164" fontId="0" fillId="0" borderId="0" xfId="1" applyNumberFormat="1" applyFont="1"/>
    <xf numFmtId="164" fontId="0" fillId="2" borderId="0" xfId="1" applyNumberFormat="1" applyFont="1" applyFill="1"/>
    <xf numFmtId="164" fontId="0" fillId="0" borderId="0" xfId="1" applyNumberFormat="1" applyFont="1" applyFill="1"/>
    <xf numFmtId="164" fontId="8" fillId="0" borderId="0" xfId="1" applyNumberFormat="1" applyFont="1"/>
    <xf numFmtId="0" fontId="0" fillId="0" borderId="0" xfId="0" quotePrefix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/>
    <xf numFmtId="0" fontId="0" fillId="9" borderId="0" xfId="0" applyFill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/>
    </xf>
    <xf numFmtId="0" fontId="6" fillId="0" borderId="0" xfId="0" applyFont="1"/>
    <xf numFmtId="0" fontId="6" fillId="6" borderId="0" xfId="0" applyFont="1" applyFill="1"/>
    <xf numFmtId="164" fontId="11" fillId="0" borderId="0" xfId="1" applyNumberFormat="1" applyFont="1"/>
    <xf numFmtId="43" fontId="0" fillId="0" borderId="0" xfId="1" applyFont="1"/>
    <xf numFmtId="0" fontId="11" fillId="0" borderId="0" xfId="0" quotePrefix="1" applyFont="1" applyAlignment="1">
      <alignment horizontal="center"/>
    </xf>
    <xf numFmtId="0" fontId="11" fillId="0" borderId="0" xfId="0" applyFont="1" applyAlignment="1">
      <alignment horizontal="left"/>
    </xf>
    <xf numFmtId="0" fontId="0" fillId="3" borderId="0" xfId="0" applyFill="1" applyAlignment="1">
      <alignment horizontal="center"/>
    </xf>
    <xf numFmtId="0" fontId="0" fillId="9" borderId="0" xfId="0" applyFill="1"/>
    <xf numFmtId="9" fontId="0" fillId="0" borderId="0" xfId="3" applyFont="1"/>
    <xf numFmtId="0" fontId="11" fillId="8" borderId="0" xfId="0" applyFont="1" applyFill="1"/>
    <xf numFmtId="0" fontId="0" fillId="11" borderId="0" xfId="0" applyFill="1"/>
    <xf numFmtId="0" fontId="6" fillId="12" borderId="0" xfId="0" applyFont="1" applyFill="1"/>
    <xf numFmtId="0" fontId="6" fillId="13" borderId="0" xfId="0" applyFont="1" applyFill="1"/>
    <xf numFmtId="0" fontId="0" fillId="14" borderId="0" xfId="0" applyFill="1"/>
    <xf numFmtId="164" fontId="0" fillId="8" borderId="0" xfId="0" applyNumberFormat="1" applyFill="1"/>
    <xf numFmtId="0" fontId="0" fillId="15" borderId="0" xfId="0" applyFill="1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/>
    <xf numFmtId="0" fontId="0" fillId="15" borderId="0" xfId="0" applyFill="1"/>
    <xf numFmtId="0" fontId="0" fillId="16" borderId="0" xfId="0" applyFill="1" applyAlignment="1">
      <alignment horizontal="center"/>
    </xf>
    <xf numFmtId="0" fontId="16" fillId="3" borderId="0" xfId="0" applyFont="1" applyFill="1" applyAlignment="1">
      <alignment vertical="center"/>
    </xf>
    <xf numFmtId="0" fontId="16" fillId="3" borderId="0" xfId="0" applyFont="1" applyFill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14" fontId="17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11" fillId="8" borderId="0" xfId="0" applyFont="1" applyFill="1" applyAlignment="1">
      <alignment vertical="top"/>
    </xf>
    <xf numFmtId="0" fontId="5" fillId="5" borderId="0" xfId="0" applyFont="1" applyFill="1" applyAlignment="1">
      <alignment vertical="center"/>
    </xf>
    <xf numFmtId="0" fontId="18" fillId="5" borderId="0" xfId="0" applyFont="1" applyFill="1" applyAlignment="1">
      <alignment horizontal="center" vertical="center"/>
    </xf>
    <xf numFmtId="14" fontId="18" fillId="5" borderId="1" xfId="0" applyNumberFormat="1" applyFont="1" applyFill="1" applyBorder="1" applyAlignment="1">
      <alignment horizontal="center" vertical="center"/>
    </xf>
    <xf numFmtId="14" fontId="19" fillId="5" borderId="1" xfId="0" applyNumberFormat="1" applyFont="1" applyFill="1" applyBorder="1" applyAlignment="1">
      <alignment horizontal="center" vertical="center"/>
    </xf>
    <xf numFmtId="0" fontId="19" fillId="8" borderId="0" xfId="0" applyFont="1" applyFill="1" applyAlignment="1">
      <alignment horizontal="center"/>
    </xf>
    <xf numFmtId="14" fontId="20" fillId="5" borderId="1" xfId="0" applyNumberFormat="1" applyFont="1" applyFill="1" applyBorder="1" applyAlignment="1">
      <alignment horizontal="center" vertical="center"/>
    </xf>
    <xf numFmtId="164" fontId="0" fillId="9" borderId="0" xfId="1" applyNumberFormat="1" applyFont="1" applyFill="1"/>
    <xf numFmtId="43" fontId="0" fillId="0" borderId="0" xfId="0" applyNumberFormat="1"/>
    <xf numFmtId="3" fontId="0" fillId="0" borderId="0" xfId="0" applyNumberFormat="1" applyAlignment="1">
      <alignment vertical="top"/>
    </xf>
    <xf numFmtId="1" fontId="6" fillId="12" borderId="0" xfId="0" applyNumberFormat="1" applyFont="1" applyFill="1"/>
    <xf numFmtId="0" fontId="11" fillId="17" borderId="0" xfId="0" applyFont="1" applyFill="1"/>
    <xf numFmtId="14" fontId="21" fillId="3" borderId="1" xfId="0" applyNumberFormat="1" applyFont="1" applyFill="1" applyBorder="1" applyAlignment="1">
      <alignment horizontal="center" vertical="center"/>
    </xf>
    <xf numFmtId="14" fontId="17" fillId="8" borderId="1" xfId="0" applyNumberFormat="1" applyFont="1" applyFill="1" applyBorder="1" applyAlignment="1">
      <alignment horizontal="center" vertical="center"/>
    </xf>
    <xf numFmtId="14" fontId="22" fillId="8" borderId="1" xfId="0" applyNumberFormat="1" applyFont="1" applyFill="1" applyBorder="1" applyAlignment="1">
      <alignment horizontal="center" vertical="center"/>
    </xf>
    <xf numFmtId="14" fontId="23" fillId="8" borderId="1" xfId="0" applyNumberFormat="1" applyFont="1" applyFill="1" applyBorder="1" applyAlignment="1">
      <alignment horizontal="center" vertical="center"/>
    </xf>
    <xf numFmtId="1" fontId="0" fillId="0" borderId="0" xfId="0" applyNumberFormat="1"/>
    <xf numFmtId="14" fontId="24" fillId="18" borderId="1" xfId="0" applyNumberFormat="1" applyFont="1" applyFill="1" applyBorder="1" applyAlignment="1">
      <alignment horizontal="center" vertical="center"/>
    </xf>
    <xf numFmtId="14" fontId="24" fillId="8" borderId="1" xfId="0" applyNumberFormat="1" applyFont="1" applyFill="1" applyBorder="1" applyAlignment="1">
      <alignment horizontal="center" vertical="center"/>
    </xf>
    <xf numFmtId="0" fontId="0" fillId="19" borderId="0" xfId="0" applyFill="1" applyAlignment="1">
      <alignment horizontal="center"/>
    </xf>
    <xf numFmtId="0" fontId="11" fillId="20" borderId="0" xfId="0" applyFont="1" applyFill="1"/>
    <xf numFmtId="3" fontId="0" fillId="0" borderId="0" xfId="0" applyNumberFormat="1"/>
    <xf numFmtId="0" fontId="0" fillId="22" borderId="0" xfId="0" applyFill="1"/>
    <xf numFmtId="0" fontId="0" fillId="22" borderId="0" xfId="0" applyFill="1" applyAlignment="1">
      <alignment horizontal="center"/>
    </xf>
    <xf numFmtId="0" fontId="7" fillId="22" borderId="0" xfId="0" applyFont="1" applyFill="1" applyAlignment="1">
      <alignment horizontal="center"/>
    </xf>
    <xf numFmtId="164" fontId="0" fillId="22" borderId="0" xfId="1" applyNumberFormat="1" applyFont="1" applyFill="1"/>
    <xf numFmtId="164" fontId="0" fillId="22" borderId="0" xfId="0" applyNumberFormat="1" applyFill="1"/>
    <xf numFmtId="3" fontId="0" fillId="22" borderId="0" xfId="0" applyNumberFormat="1" applyFill="1"/>
    <xf numFmtId="0" fontId="11" fillId="16" borderId="0" xfId="0" applyFont="1" applyFill="1" applyAlignment="1">
      <alignment horizontal="center"/>
    </xf>
    <xf numFmtId="0" fontId="0" fillId="23" borderId="0" xfId="0" applyFill="1" applyAlignment="1">
      <alignment horizontal="center"/>
    </xf>
    <xf numFmtId="0" fontId="0" fillId="22" borderId="2" xfId="0" applyFill="1" applyBorder="1"/>
    <xf numFmtId="0" fontId="0" fillId="22" borderId="3" xfId="0" applyFill="1" applyBorder="1" applyAlignment="1">
      <alignment horizontal="center"/>
    </xf>
    <xf numFmtId="0" fontId="0" fillId="22" borderId="3" xfId="0" applyFill="1" applyBorder="1"/>
    <xf numFmtId="164" fontId="0" fillId="22" borderId="3" xfId="1" applyNumberFormat="1" applyFont="1" applyFill="1" applyBorder="1"/>
    <xf numFmtId="3" fontId="0" fillId="22" borderId="3" xfId="0" applyNumberFormat="1" applyFill="1" applyBorder="1"/>
    <xf numFmtId="0" fontId="0" fillId="12" borderId="2" xfId="0" applyFill="1" applyBorder="1"/>
    <xf numFmtId="0" fontId="0" fillId="12" borderId="3" xfId="0" applyFill="1" applyBorder="1"/>
    <xf numFmtId="0" fontId="0" fillId="12" borderId="3" xfId="0" applyFill="1" applyBorder="1" applyAlignment="1">
      <alignment horizontal="center"/>
    </xf>
    <xf numFmtId="164" fontId="0" fillId="12" borderId="3" xfId="1" applyNumberFormat="1" applyFont="1" applyFill="1" applyBorder="1"/>
    <xf numFmtId="0" fontId="0" fillId="17" borderId="2" xfId="0" applyFill="1" applyBorder="1"/>
    <xf numFmtId="0" fontId="0" fillId="17" borderId="3" xfId="0" applyFill="1" applyBorder="1"/>
    <xf numFmtId="0" fontId="0" fillId="17" borderId="3" xfId="0" applyFill="1" applyBorder="1" applyAlignment="1">
      <alignment horizontal="center"/>
    </xf>
    <xf numFmtId="0" fontId="7" fillId="17" borderId="3" xfId="0" applyFont="1" applyFill="1" applyBorder="1" applyAlignment="1">
      <alignment horizontal="center"/>
    </xf>
    <xf numFmtId="164" fontId="0" fillId="17" borderId="3" xfId="1" applyNumberFormat="1" applyFont="1" applyFill="1" applyBorder="1"/>
    <xf numFmtId="0" fontId="0" fillId="21" borderId="2" xfId="0" applyFill="1" applyBorder="1"/>
    <xf numFmtId="0" fontId="0" fillId="21" borderId="3" xfId="0" applyFill="1" applyBorder="1"/>
    <xf numFmtId="0" fontId="0" fillId="21" borderId="3" xfId="0" applyFill="1" applyBorder="1" applyAlignment="1">
      <alignment horizontal="center"/>
    </xf>
    <xf numFmtId="0" fontId="7" fillId="21" borderId="3" xfId="0" applyFont="1" applyFill="1" applyBorder="1" applyAlignment="1">
      <alignment horizontal="center"/>
    </xf>
    <xf numFmtId="164" fontId="0" fillId="21" borderId="3" xfId="1" applyNumberFormat="1" applyFont="1" applyFill="1" applyBorder="1"/>
    <xf numFmtId="3" fontId="0" fillId="21" borderId="3" xfId="0" applyNumberFormat="1" applyFill="1" applyBorder="1"/>
    <xf numFmtId="0" fontId="7" fillId="22" borderId="3" xfId="0" applyFont="1" applyFill="1" applyBorder="1" applyAlignment="1">
      <alignment horizontal="center"/>
    </xf>
    <xf numFmtId="14" fontId="3" fillId="7" borderId="0" xfId="0" applyNumberFormat="1" applyFont="1" applyFill="1" applyAlignment="1">
      <alignment horizontal="center" vertical="center"/>
    </xf>
    <xf numFmtId="14" fontId="3" fillId="7" borderId="6" xfId="0" applyNumberFormat="1" applyFont="1" applyFill="1" applyBorder="1" applyAlignment="1">
      <alignment horizontal="center" vertical="center"/>
    </xf>
    <xf numFmtId="0" fontId="0" fillId="2" borderId="5" xfId="0" applyFill="1" applyBorder="1"/>
    <xf numFmtId="3" fontId="0" fillId="22" borderId="2" xfId="0" applyNumberFormat="1" applyFill="1" applyBorder="1"/>
    <xf numFmtId="3" fontId="0" fillId="22" borderId="5" xfId="0" applyNumberFormat="1" applyFill="1" applyBorder="1"/>
    <xf numFmtId="3" fontId="0" fillId="21" borderId="2" xfId="0" applyNumberFormat="1" applyFill="1" applyBorder="1"/>
    <xf numFmtId="0" fontId="0" fillId="0" borderId="5" xfId="0" applyBorder="1"/>
    <xf numFmtId="0" fontId="8" fillId="0" borderId="5" xfId="0" applyFont="1" applyBorder="1"/>
    <xf numFmtId="164" fontId="0" fillId="0" borderId="5" xfId="0" applyNumberFormat="1" applyBorder="1"/>
    <xf numFmtId="14" fontId="3" fillId="7" borderId="7" xfId="0" applyNumberFormat="1" applyFont="1" applyFill="1" applyBorder="1" applyAlignment="1">
      <alignment horizontal="center" vertical="center"/>
    </xf>
    <xf numFmtId="0" fontId="0" fillId="2" borderId="7" xfId="0" applyFill="1" applyBorder="1"/>
    <xf numFmtId="0" fontId="0" fillId="22" borderId="4" xfId="0" applyFill="1" applyBorder="1"/>
    <xf numFmtId="0" fontId="0" fillId="22" borderId="7" xfId="0" applyFill="1" applyBorder="1"/>
    <xf numFmtId="3" fontId="0" fillId="21" borderId="4" xfId="0" applyNumberFormat="1" applyFill="1" applyBorder="1"/>
    <xf numFmtId="0" fontId="0" fillId="21" borderId="4" xfId="0" applyFill="1" applyBorder="1"/>
    <xf numFmtId="0" fontId="0" fillId="0" borderId="7" xfId="0" applyBorder="1"/>
    <xf numFmtId="0" fontId="0" fillId="17" borderId="4" xfId="0" applyFill="1" applyBorder="1"/>
    <xf numFmtId="0" fontId="0" fillId="12" borderId="4" xfId="0" applyFill="1" applyBorder="1"/>
    <xf numFmtId="0" fontId="8" fillId="0" borderId="7" xfId="0" applyFont="1" applyBorder="1"/>
    <xf numFmtId="164" fontId="0" fillId="0" borderId="7" xfId="0" applyNumberFormat="1" applyBorder="1"/>
    <xf numFmtId="0" fontId="8" fillId="10" borderId="0" xfId="0" applyFont="1" applyFill="1"/>
    <xf numFmtId="0" fontId="8" fillId="9" borderId="0" xfId="0" applyFont="1" applyFill="1"/>
    <xf numFmtId="10" fontId="0" fillId="0" borderId="0" xfId="0" applyNumberFormat="1"/>
    <xf numFmtId="0" fontId="0" fillId="24" borderId="0" xfId="0" applyFill="1" applyAlignment="1">
      <alignment horizontal="center"/>
    </xf>
    <xf numFmtId="0" fontId="15" fillId="13" borderId="0" xfId="0" applyFont="1" applyFill="1" applyAlignment="1">
      <alignment horizontal="center"/>
    </xf>
    <xf numFmtId="0" fontId="0" fillId="18" borderId="0" xfId="0" applyFill="1"/>
    <xf numFmtId="0" fontId="25" fillId="0" borderId="0" xfId="0" applyFont="1"/>
    <xf numFmtId="0" fontId="25" fillId="24" borderId="0" xfId="0" applyFont="1" applyFill="1" applyAlignment="1">
      <alignment horizontal="center"/>
    </xf>
    <xf numFmtId="0" fontId="25" fillId="15" borderId="0" xfId="0" applyFont="1" applyFill="1" applyAlignment="1">
      <alignment horizontal="center"/>
    </xf>
    <xf numFmtId="164" fontId="25" fillId="0" borderId="0" xfId="1" applyNumberFormat="1" applyFont="1"/>
    <xf numFmtId="0" fontId="25" fillId="15" borderId="0" xfId="0" applyFont="1" applyFill="1"/>
    <xf numFmtId="0" fontId="25" fillId="0" borderId="0" xfId="0" applyFont="1" applyAlignment="1">
      <alignment horizontal="center"/>
    </xf>
    <xf numFmtId="3" fontId="25" fillId="0" borderId="0" xfId="0" applyNumberFormat="1" applyFont="1" applyAlignment="1">
      <alignment vertical="top"/>
    </xf>
    <xf numFmtId="164" fontId="25" fillId="0" borderId="0" xfId="0" applyNumberFormat="1" applyFont="1"/>
    <xf numFmtId="0" fontId="25" fillId="3" borderId="0" xfId="0" applyFont="1" applyFill="1"/>
    <xf numFmtId="0" fontId="15" fillId="13" borderId="0" xfId="0" applyFont="1" applyFill="1"/>
    <xf numFmtId="0" fontId="26" fillId="0" borderId="0" xfId="0" applyFont="1"/>
    <xf numFmtId="0" fontId="26" fillId="24" borderId="0" xfId="0" applyFont="1" applyFill="1" applyAlignment="1">
      <alignment horizontal="center"/>
    </xf>
    <xf numFmtId="0" fontId="26" fillId="0" borderId="0" xfId="0" applyFont="1" applyAlignment="1">
      <alignment horizontal="center"/>
    </xf>
    <xf numFmtId="164" fontId="26" fillId="0" borderId="0" xfId="1" applyNumberFormat="1" applyFont="1"/>
    <xf numFmtId="0" fontId="26" fillId="14" borderId="0" xfId="0" applyFont="1" applyFill="1"/>
    <xf numFmtId="0" fontId="26" fillId="3" borderId="0" xfId="0" applyFont="1" applyFill="1"/>
    <xf numFmtId="164" fontId="26" fillId="0" borderId="0" xfId="1" applyNumberFormat="1" applyFont="1" applyFill="1"/>
    <xf numFmtId="0" fontId="26" fillId="8" borderId="0" xfId="0" applyFont="1" applyFill="1"/>
    <xf numFmtId="0" fontId="15" fillId="25" borderId="0" xfId="0" applyFont="1" applyFill="1" applyAlignment="1">
      <alignment horizontal="center"/>
    </xf>
    <xf numFmtId="0" fontId="27" fillId="15" borderId="0" xfId="0" applyFont="1" applyFill="1"/>
    <xf numFmtId="0" fontId="0" fillId="26" borderId="0" xfId="0" applyFill="1"/>
    <xf numFmtId="0" fontId="11" fillId="26" borderId="0" xfId="0" applyFont="1" applyFill="1"/>
    <xf numFmtId="0" fontId="26" fillId="10" borderId="0" xfId="0" applyFont="1" applyFill="1"/>
    <xf numFmtId="3" fontId="0" fillId="12" borderId="3" xfId="0" applyNumberFormat="1" applyFill="1" applyBorder="1"/>
    <xf numFmtId="0" fontId="11" fillId="6" borderId="0" xfId="0" applyFont="1" applyFill="1"/>
  </cellXfs>
  <cellStyles count="4">
    <cellStyle name="Comma" xfId="1" builtinId="3"/>
    <cellStyle name="Normal" xfId="0" builtinId="0"/>
    <cellStyle name="Normal 2" xfId="2" xr:uid="{C37EF79B-AF66-4AFE-83A2-BEB705D8EBE4}"/>
    <cellStyle name="Percent" xfId="3" builtinId="5"/>
  </cellStyles>
  <dxfs count="0"/>
  <tableStyles count="1" defaultTableStyle="TableStyleMedium2" defaultPivotStyle="PivotStyleLight16">
    <tableStyle name="Invisible" pivot="0" table="0" count="0" xr9:uid="{324CCCB4-8309-453C-8E0F-4B7D4AA52902}"/>
  </tableStyles>
  <colors>
    <mruColors>
      <color rgb="FFF686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Y2023%20SCDC\kpi%20weekly\05%20SCDC%20Productivity%20Weekly\Combine%20TP%20All.xlsx" TargetMode="External"/><Relationship Id="rId1" Type="http://schemas.openxmlformats.org/officeDocument/2006/relationships/externalLinkPath" Target="file:///C:\Y2023%20SCDC\kpi%20weekly\05%20SCDC%20Productivity%20Weekly\Combine%20TP%20A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Append1"/>
    </sheetNames>
    <sheetDataSet>
      <sheetData sheetId="0" refreshError="1"/>
      <sheetData sheetId="1">
        <row r="1">
          <cell r="A1" t="str">
            <v>Code</v>
          </cell>
          <cell r="B1" t="str" vm="1">
            <v>All</v>
          </cell>
        </row>
        <row r="2">
          <cell r="D2">
            <v>6536521</v>
          </cell>
        </row>
        <row r="3">
          <cell r="A3" t="str">
            <v>Sum of Total</v>
          </cell>
          <cell r="D3">
            <v>6434228</v>
          </cell>
        </row>
        <row r="4">
          <cell r="A4" t="str">
            <v>Date</v>
          </cell>
          <cell r="B4" t="str">
            <v>Total</v>
          </cell>
          <cell r="D4">
            <v>102293</v>
          </cell>
        </row>
        <row r="5">
          <cell r="A5">
            <v>45724</v>
          </cell>
          <cell r="B5">
            <v>7</v>
          </cell>
        </row>
        <row r="6">
          <cell r="A6">
            <v>45726</v>
          </cell>
          <cell r="B6">
            <v>55</v>
          </cell>
        </row>
        <row r="7">
          <cell r="A7">
            <v>45727</v>
          </cell>
          <cell r="B7">
            <v>3</v>
          </cell>
        </row>
        <row r="8">
          <cell r="A8">
            <v>45728</v>
          </cell>
          <cell r="B8">
            <v>63</v>
          </cell>
        </row>
        <row r="9">
          <cell r="A9">
            <v>45729</v>
          </cell>
          <cell r="B9">
            <v>198</v>
          </cell>
        </row>
        <row r="10">
          <cell r="A10">
            <v>45730</v>
          </cell>
          <cell r="B10">
            <v>1018</v>
          </cell>
        </row>
        <row r="11">
          <cell r="A11">
            <v>46082</v>
          </cell>
          <cell r="B11">
            <v>3088</v>
          </cell>
        </row>
        <row r="12">
          <cell r="A12">
            <v>46083</v>
          </cell>
          <cell r="B12">
            <v>579984</v>
          </cell>
        </row>
        <row r="13">
          <cell r="A13">
            <v>46084</v>
          </cell>
          <cell r="B13">
            <v>317420</v>
          </cell>
        </row>
        <row r="14">
          <cell r="A14">
            <v>46085</v>
          </cell>
          <cell r="B14">
            <v>374664</v>
          </cell>
        </row>
        <row r="15">
          <cell r="A15">
            <v>46086</v>
          </cell>
          <cell r="B15">
            <v>308542</v>
          </cell>
        </row>
        <row r="16">
          <cell r="A16">
            <v>46087</v>
          </cell>
          <cell r="B16">
            <v>454651</v>
          </cell>
        </row>
        <row r="17">
          <cell r="A17">
            <v>46088</v>
          </cell>
          <cell r="B17">
            <v>11048</v>
          </cell>
        </row>
        <row r="18">
          <cell r="A18">
            <v>46090</v>
          </cell>
          <cell r="B18">
            <v>679352</v>
          </cell>
        </row>
        <row r="19">
          <cell r="A19">
            <v>46091</v>
          </cell>
          <cell r="B19">
            <v>396347</v>
          </cell>
        </row>
        <row r="20">
          <cell r="A20">
            <v>46092</v>
          </cell>
          <cell r="B20">
            <v>386129</v>
          </cell>
        </row>
        <row r="21">
          <cell r="A21">
            <v>46093</v>
          </cell>
          <cell r="B21">
            <v>263911</v>
          </cell>
        </row>
        <row r="22">
          <cell r="A22">
            <v>46094</v>
          </cell>
          <cell r="B22">
            <v>363226</v>
          </cell>
        </row>
        <row r="23">
          <cell r="A23">
            <v>46095</v>
          </cell>
          <cell r="B23">
            <v>197620</v>
          </cell>
        </row>
        <row r="24">
          <cell r="A24">
            <v>46096</v>
          </cell>
          <cell r="B24">
            <v>28320</v>
          </cell>
        </row>
        <row r="25">
          <cell r="A25">
            <v>46097</v>
          </cell>
          <cell r="B25">
            <v>482190</v>
          </cell>
        </row>
        <row r="26">
          <cell r="A26">
            <v>46098</v>
          </cell>
          <cell r="B26">
            <v>315199</v>
          </cell>
        </row>
        <row r="27">
          <cell r="A27">
            <v>46099</v>
          </cell>
          <cell r="B27">
            <v>458774</v>
          </cell>
        </row>
        <row r="28">
          <cell r="A28">
            <v>46100</v>
          </cell>
          <cell r="B28">
            <v>252650</v>
          </cell>
        </row>
        <row r="29">
          <cell r="A29">
            <v>46101</v>
          </cell>
          <cell r="B29">
            <v>375984</v>
          </cell>
        </row>
        <row r="30">
          <cell r="A30">
            <v>46102</v>
          </cell>
          <cell r="B30">
            <v>279209</v>
          </cell>
        </row>
        <row r="31">
          <cell r="A31">
            <v>46103</v>
          </cell>
          <cell r="B31">
            <v>6869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96486-A5E5-4DAF-AD7A-7A08FE5FEC23}">
  <sheetPr>
    <tabColor theme="9" tint="-0.249977111117893"/>
  </sheetPr>
  <dimension ref="A1:AKW68"/>
  <sheetViews>
    <sheetView showGridLines="0" tabSelected="1" topLeftCell="B1" zoomScale="80" zoomScaleNormal="80" workbookViewId="0">
      <pane xSplit="9" ySplit="1" topLeftCell="AJX16" activePane="bottomRight" state="frozen"/>
      <selection pane="topRight" activeCell="K1" sqref="K1"/>
      <selection pane="bottomLeft" activeCell="B2" sqref="B2"/>
      <selection pane="bottomRight" activeCell="AKF33" sqref="AKF33"/>
    </sheetView>
  </sheetViews>
  <sheetFormatPr defaultRowHeight="14.5"/>
  <cols>
    <col min="1" max="1" width="2" bestFit="1" customWidth="1"/>
    <col min="2" max="2" width="9.08984375" style="1" bestFit="1" customWidth="1"/>
    <col min="3" max="3" width="6.7265625" bestFit="1" customWidth="1"/>
    <col min="4" max="4" width="7.36328125" bestFit="1" customWidth="1"/>
    <col min="5" max="5" width="18" style="1" bestFit="1" customWidth="1"/>
    <col min="6" max="6" width="12.08984375" bestFit="1" customWidth="1"/>
    <col min="7" max="7" width="10.36328125" bestFit="1" customWidth="1"/>
    <col min="8" max="8" width="22.90625" bestFit="1" customWidth="1"/>
    <col min="9" max="9" width="8.36328125" bestFit="1" customWidth="1"/>
    <col min="10" max="10" width="4.36328125" bestFit="1" customWidth="1"/>
    <col min="11" max="711" width="10.08984375" bestFit="1" customWidth="1"/>
    <col min="712" max="737" width="9.36328125" bestFit="1" customWidth="1"/>
    <col min="741" max="767" width="9.36328125" bestFit="1" customWidth="1"/>
    <col min="768" max="771" width="10.08984375" bestFit="1" customWidth="1"/>
    <col min="772" max="772" width="12" customWidth="1"/>
    <col min="773" max="774" width="9.08984375" bestFit="1" customWidth="1"/>
    <col min="775" max="803" width="9.453125" bestFit="1" customWidth="1"/>
    <col min="804" max="804" width="9.90625" bestFit="1" customWidth="1"/>
    <col min="805" max="809" width="9.453125" bestFit="1" customWidth="1"/>
    <col min="820" max="824" width="9.36328125" bestFit="1" customWidth="1"/>
    <col min="825" max="869" width="9.90625" bestFit="1" customWidth="1"/>
    <col min="870" max="870" width="8.453125" bestFit="1" customWidth="1"/>
    <col min="871" max="880" width="9.36328125" bestFit="1" customWidth="1"/>
    <col min="881" max="920" width="9.90625" bestFit="1" customWidth="1"/>
    <col min="923" max="923" width="9.90625" bestFit="1" customWidth="1"/>
    <col min="927" max="928" width="9.90625" bestFit="1" customWidth="1"/>
    <col min="931" max="931" width="9.90625" bestFit="1" customWidth="1"/>
    <col min="933" max="961" width="9.90625" bestFit="1" customWidth="1"/>
  </cols>
  <sheetData>
    <row r="1" spans="1:985" s="53" customFormat="1" ht="26.25" customHeight="1">
      <c r="B1" s="54"/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55">
        <v>45231</v>
      </c>
      <c r="L1" s="55">
        <f t="shared" ref="L1:Q1" si="0">K1+1</f>
        <v>45232</v>
      </c>
      <c r="M1" s="55">
        <f t="shared" si="0"/>
        <v>45233</v>
      </c>
      <c r="N1" s="55">
        <f t="shared" si="0"/>
        <v>45234</v>
      </c>
      <c r="O1" s="55">
        <f t="shared" si="0"/>
        <v>45235</v>
      </c>
      <c r="P1" s="55">
        <f t="shared" si="0"/>
        <v>45236</v>
      </c>
      <c r="Q1" s="55">
        <f t="shared" si="0"/>
        <v>45237</v>
      </c>
      <c r="R1" s="55">
        <f t="shared" ref="R1" si="1">Q1+1</f>
        <v>45238</v>
      </c>
      <c r="S1" s="55">
        <f t="shared" ref="S1" si="2">R1+1</f>
        <v>45239</v>
      </c>
      <c r="T1" s="55">
        <f t="shared" ref="T1" si="3">S1+1</f>
        <v>45240</v>
      </c>
      <c r="U1" s="55">
        <f t="shared" ref="U1" si="4">T1+1</f>
        <v>45241</v>
      </c>
      <c r="V1" s="55">
        <f t="shared" ref="V1" si="5">U1+1</f>
        <v>45242</v>
      </c>
      <c r="W1" s="55">
        <f t="shared" ref="W1" si="6">V1+1</f>
        <v>45243</v>
      </c>
      <c r="X1" s="55">
        <f t="shared" ref="X1" si="7">W1+1</f>
        <v>45244</v>
      </c>
      <c r="Y1" s="55">
        <f t="shared" ref="Y1" si="8">X1+1</f>
        <v>45245</v>
      </c>
      <c r="Z1" s="55">
        <f t="shared" ref="Z1" si="9">Y1+1</f>
        <v>45246</v>
      </c>
      <c r="AA1" s="55">
        <f t="shared" ref="AA1" si="10">Z1+1</f>
        <v>45247</v>
      </c>
      <c r="AB1" s="55">
        <f t="shared" ref="AB1" si="11">AA1+1</f>
        <v>45248</v>
      </c>
      <c r="AC1" s="55">
        <f t="shared" ref="AC1" si="12">AB1+1</f>
        <v>45249</v>
      </c>
      <c r="AD1" s="55">
        <f t="shared" ref="AD1" si="13">AC1+1</f>
        <v>45250</v>
      </c>
      <c r="AE1" s="55">
        <f t="shared" ref="AE1" si="14">AD1+1</f>
        <v>45251</v>
      </c>
      <c r="AF1" s="55">
        <f t="shared" ref="AF1" si="15">AE1+1</f>
        <v>45252</v>
      </c>
      <c r="AG1" s="55">
        <f t="shared" ref="AG1" si="16">AF1+1</f>
        <v>45253</v>
      </c>
      <c r="AH1" s="55">
        <f t="shared" ref="AH1" si="17">AG1+1</f>
        <v>45254</v>
      </c>
      <c r="AI1" s="55">
        <f t="shared" ref="AI1" si="18">AH1+1</f>
        <v>45255</v>
      </c>
      <c r="AJ1" s="55">
        <f t="shared" ref="AJ1" si="19">AI1+1</f>
        <v>45256</v>
      </c>
      <c r="AK1" s="55">
        <f t="shared" ref="AK1" si="20">AJ1+1</f>
        <v>45257</v>
      </c>
      <c r="AL1" s="55">
        <f t="shared" ref="AL1" si="21">AK1+1</f>
        <v>45258</v>
      </c>
      <c r="AM1" s="55">
        <f t="shared" ref="AM1" si="22">AL1+1</f>
        <v>45259</v>
      </c>
      <c r="AN1" s="55">
        <f t="shared" ref="AN1" si="23">AM1+1</f>
        <v>45260</v>
      </c>
      <c r="AO1" s="56">
        <f t="shared" ref="AO1" si="24">AN1+1</f>
        <v>45261</v>
      </c>
      <c r="AP1" s="55">
        <f t="shared" ref="AP1" si="25">AO1+1</f>
        <v>45262</v>
      </c>
      <c r="AQ1" s="55">
        <f t="shared" ref="AQ1" si="26">AP1+1</f>
        <v>45263</v>
      </c>
      <c r="AR1" s="55">
        <f t="shared" ref="AR1" si="27">AQ1+1</f>
        <v>45264</v>
      </c>
      <c r="AS1" s="55">
        <f t="shared" ref="AS1" si="28">AR1+1</f>
        <v>45265</v>
      </c>
      <c r="AT1" s="55">
        <f t="shared" ref="AT1" si="29">AS1+1</f>
        <v>45266</v>
      </c>
      <c r="AU1" s="55">
        <f t="shared" ref="AU1" si="30">AT1+1</f>
        <v>45267</v>
      </c>
      <c r="AV1" s="55">
        <f t="shared" ref="AV1" si="31">AU1+1</f>
        <v>45268</v>
      </c>
      <c r="AW1" s="55">
        <f t="shared" ref="AW1" si="32">AV1+1</f>
        <v>45269</v>
      </c>
      <c r="AX1" s="55">
        <f t="shared" ref="AX1" si="33">AW1+1</f>
        <v>45270</v>
      </c>
      <c r="AY1" s="55">
        <f t="shared" ref="AY1" si="34">AX1+1</f>
        <v>45271</v>
      </c>
      <c r="AZ1" s="55">
        <f t="shared" ref="AZ1" si="35">AY1+1</f>
        <v>45272</v>
      </c>
      <c r="BA1" s="55">
        <f t="shared" ref="BA1" si="36">AZ1+1</f>
        <v>45273</v>
      </c>
      <c r="BB1" s="55">
        <f t="shared" ref="BB1" si="37">BA1+1</f>
        <v>45274</v>
      </c>
      <c r="BC1" s="55">
        <f t="shared" ref="BC1" si="38">BB1+1</f>
        <v>45275</v>
      </c>
      <c r="BD1" s="55">
        <f t="shared" ref="BD1" si="39">BC1+1</f>
        <v>45276</v>
      </c>
      <c r="BE1" s="55">
        <f t="shared" ref="BE1" si="40">BD1+1</f>
        <v>45277</v>
      </c>
      <c r="BF1" s="55">
        <f t="shared" ref="BF1" si="41">BE1+1</f>
        <v>45278</v>
      </c>
      <c r="BG1" s="55">
        <f t="shared" ref="BG1" si="42">BF1+1</f>
        <v>45279</v>
      </c>
      <c r="BH1" s="55">
        <f t="shared" ref="BH1" si="43">BG1+1</f>
        <v>45280</v>
      </c>
      <c r="BI1" s="55">
        <f t="shared" ref="BI1" si="44">BH1+1</f>
        <v>45281</v>
      </c>
      <c r="BJ1" s="55">
        <f t="shared" ref="BJ1" si="45">BI1+1</f>
        <v>45282</v>
      </c>
      <c r="BK1" s="55">
        <f t="shared" ref="BK1" si="46">BJ1+1</f>
        <v>45283</v>
      </c>
      <c r="BL1" s="55">
        <f t="shared" ref="BL1" si="47">BK1+1</f>
        <v>45284</v>
      </c>
      <c r="BM1" s="55">
        <f t="shared" ref="BM1" si="48">BL1+1</f>
        <v>45285</v>
      </c>
      <c r="BN1" s="55">
        <f t="shared" ref="BN1" si="49">BM1+1</f>
        <v>45286</v>
      </c>
      <c r="BO1" s="55">
        <f t="shared" ref="BO1" si="50">BN1+1</f>
        <v>45287</v>
      </c>
      <c r="BP1" s="55">
        <f t="shared" ref="BP1" si="51">BO1+1</f>
        <v>45288</v>
      </c>
      <c r="BQ1" s="55">
        <f t="shared" ref="BQ1" si="52">BP1+1</f>
        <v>45289</v>
      </c>
      <c r="BR1" s="55">
        <f t="shared" ref="BR1" si="53">BQ1+1</f>
        <v>45290</v>
      </c>
      <c r="BS1" s="55">
        <f t="shared" ref="BS1" si="54">BR1+1</f>
        <v>45291</v>
      </c>
      <c r="BT1" s="56">
        <f t="shared" ref="BT1" si="55">BS1+1</f>
        <v>45292</v>
      </c>
      <c r="BU1" s="55">
        <f t="shared" ref="BU1" si="56">BT1+1</f>
        <v>45293</v>
      </c>
      <c r="BV1" s="55">
        <f t="shared" ref="BV1" si="57">BU1+1</f>
        <v>45294</v>
      </c>
      <c r="BW1" s="55">
        <f t="shared" ref="BW1" si="58">BV1+1</f>
        <v>45295</v>
      </c>
      <c r="BX1" s="55">
        <f t="shared" ref="BX1" si="59">BW1+1</f>
        <v>45296</v>
      </c>
      <c r="BY1" s="55">
        <f t="shared" ref="BY1" si="60">BX1+1</f>
        <v>45297</v>
      </c>
      <c r="BZ1" s="55">
        <f t="shared" ref="BZ1" si="61">BY1+1</f>
        <v>45298</v>
      </c>
      <c r="CA1" s="55">
        <f t="shared" ref="CA1" si="62">BZ1+1</f>
        <v>45299</v>
      </c>
      <c r="CB1" s="55">
        <f t="shared" ref="CB1" si="63">CA1+1</f>
        <v>45300</v>
      </c>
      <c r="CC1" s="55">
        <f t="shared" ref="CC1" si="64">CB1+1</f>
        <v>45301</v>
      </c>
      <c r="CD1" s="55">
        <f t="shared" ref="CD1" si="65">CC1+1</f>
        <v>45302</v>
      </c>
      <c r="CE1" s="55">
        <f t="shared" ref="CE1" si="66">CD1+1</f>
        <v>45303</v>
      </c>
      <c r="CF1" s="55">
        <f t="shared" ref="CF1" si="67">CE1+1</f>
        <v>45304</v>
      </c>
      <c r="CG1" s="55">
        <f t="shared" ref="CG1" si="68">CF1+1</f>
        <v>45305</v>
      </c>
      <c r="CH1" s="55">
        <f t="shared" ref="CH1" si="69">CG1+1</f>
        <v>45306</v>
      </c>
      <c r="CI1" s="55">
        <f t="shared" ref="CI1" si="70">CH1+1</f>
        <v>45307</v>
      </c>
      <c r="CJ1" s="55">
        <f t="shared" ref="CJ1:DG1" si="71">CI1+1</f>
        <v>45308</v>
      </c>
      <c r="CK1" s="55">
        <f t="shared" si="71"/>
        <v>45309</v>
      </c>
      <c r="CL1" s="55">
        <f t="shared" si="71"/>
        <v>45310</v>
      </c>
      <c r="CM1" s="55">
        <f t="shared" si="71"/>
        <v>45311</v>
      </c>
      <c r="CN1" s="55">
        <f t="shared" si="71"/>
        <v>45312</v>
      </c>
      <c r="CO1" s="55">
        <f t="shared" si="71"/>
        <v>45313</v>
      </c>
      <c r="CP1" s="55">
        <f t="shared" si="71"/>
        <v>45314</v>
      </c>
      <c r="CQ1" s="55">
        <f t="shared" si="71"/>
        <v>45315</v>
      </c>
      <c r="CR1" s="55">
        <f t="shared" si="71"/>
        <v>45316</v>
      </c>
      <c r="CS1" s="55">
        <f t="shared" si="71"/>
        <v>45317</v>
      </c>
      <c r="CT1" s="55">
        <f t="shared" si="71"/>
        <v>45318</v>
      </c>
      <c r="CU1" s="55">
        <f t="shared" si="71"/>
        <v>45319</v>
      </c>
      <c r="CV1" s="55">
        <f t="shared" si="71"/>
        <v>45320</v>
      </c>
      <c r="CW1" s="55">
        <f t="shared" si="71"/>
        <v>45321</v>
      </c>
      <c r="CX1" s="56">
        <f t="shared" si="71"/>
        <v>45322</v>
      </c>
      <c r="CY1" s="55">
        <f t="shared" si="71"/>
        <v>45323</v>
      </c>
      <c r="CZ1" s="55">
        <f t="shared" si="71"/>
        <v>45324</v>
      </c>
      <c r="DA1" s="55">
        <f t="shared" si="71"/>
        <v>45325</v>
      </c>
      <c r="DB1" s="55">
        <f t="shared" si="71"/>
        <v>45326</v>
      </c>
      <c r="DC1" s="55">
        <f t="shared" si="71"/>
        <v>45327</v>
      </c>
      <c r="DD1" s="55">
        <f t="shared" si="71"/>
        <v>45328</v>
      </c>
      <c r="DE1" s="55">
        <f t="shared" si="71"/>
        <v>45329</v>
      </c>
      <c r="DF1" s="55">
        <f t="shared" si="71"/>
        <v>45330</v>
      </c>
      <c r="DG1" s="55">
        <f t="shared" si="71"/>
        <v>45331</v>
      </c>
      <c r="DH1" s="55">
        <f t="shared" ref="DH1" si="72">DG1+1</f>
        <v>45332</v>
      </c>
      <c r="DI1" s="55">
        <f t="shared" ref="DI1" si="73">DH1+1</f>
        <v>45333</v>
      </c>
      <c r="DJ1" s="55">
        <f t="shared" ref="DJ1" si="74">DI1+1</f>
        <v>45334</v>
      </c>
      <c r="DK1" s="55">
        <f t="shared" ref="DK1" si="75">DJ1+1</f>
        <v>45335</v>
      </c>
      <c r="DL1" s="55">
        <f t="shared" ref="DL1" si="76">DK1+1</f>
        <v>45336</v>
      </c>
      <c r="DM1" s="55">
        <f t="shared" ref="DM1" si="77">DL1+1</f>
        <v>45337</v>
      </c>
      <c r="DN1" s="55">
        <f t="shared" ref="DN1" si="78">DM1+1</f>
        <v>45338</v>
      </c>
      <c r="DO1" s="55">
        <f t="shared" ref="DO1" si="79">DN1+1</f>
        <v>45339</v>
      </c>
      <c r="DP1" s="55">
        <f t="shared" ref="DP1" si="80">DO1+1</f>
        <v>45340</v>
      </c>
      <c r="DQ1" s="55">
        <f t="shared" ref="DQ1" si="81">DP1+1</f>
        <v>45341</v>
      </c>
      <c r="DR1" s="55">
        <f t="shared" ref="DR1" si="82">DQ1+1</f>
        <v>45342</v>
      </c>
      <c r="DS1" s="55">
        <f t="shared" ref="DS1" si="83">DR1+1</f>
        <v>45343</v>
      </c>
      <c r="DT1" s="55">
        <f t="shared" ref="DT1" si="84">DS1+1</f>
        <v>45344</v>
      </c>
      <c r="DU1" s="55">
        <f t="shared" ref="DU1" si="85">DT1+1</f>
        <v>45345</v>
      </c>
      <c r="DV1" s="55">
        <f t="shared" ref="DV1" si="86">DU1+1</f>
        <v>45346</v>
      </c>
      <c r="DW1" s="55">
        <f t="shared" ref="DW1" si="87">DV1+1</f>
        <v>45347</v>
      </c>
      <c r="DX1" s="55">
        <f t="shared" ref="DX1" si="88">DW1+1</f>
        <v>45348</v>
      </c>
      <c r="DY1" s="55">
        <f t="shared" ref="DY1" si="89">DX1+1</f>
        <v>45349</v>
      </c>
      <c r="DZ1" s="55">
        <f t="shared" ref="DZ1" si="90">DY1+1</f>
        <v>45350</v>
      </c>
      <c r="EA1" s="55">
        <f t="shared" ref="EA1" si="91">DZ1+1</f>
        <v>45351</v>
      </c>
      <c r="EB1" s="55">
        <f t="shared" ref="EB1" si="92">EA1+1</f>
        <v>45352</v>
      </c>
      <c r="EC1" s="55">
        <f t="shared" ref="EC1" si="93">EB1+1</f>
        <v>45353</v>
      </c>
      <c r="ED1" s="55">
        <f t="shared" ref="ED1" si="94">EC1+1</f>
        <v>45354</v>
      </c>
      <c r="EE1" s="55">
        <f t="shared" ref="EE1" si="95">ED1+1</f>
        <v>45355</v>
      </c>
      <c r="EF1" s="55">
        <f t="shared" ref="EF1" si="96">EE1+1</f>
        <v>45356</v>
      </c>
      <c r="EG1" s="55">
        <f t="shared" ref="EG1" si="97">EF1+1</f>
        <v>45357</v>
      </c>
      <c r="EH1" s="55">
        <f t="shared" ref="EH1" si="98">EG1+1</f>
        <v>45358</v>
      </c>
      <c r="EI1" s="55">
        <f t="shared" ref="EI1" si="99">EH1+1</f>
        <v>45359</v>
      </c>
      <c r="EJ1" s="55">
        <f t="shared" ref="EJ1" si="100">EI1+1</f>
        <v>45360</v>
      </c>
      <c r="EK1" s="55">
        <f t="shared" ref="EK1" si="101">EJ1+1</f>
        <v>45361</v>
      </c>
      <c r="EL1" s="55">
        <f t="shared" ref="EL1" si="102">EK1+1</f>
        <v>45362</v>
      </c>
      <c r="EM1" s="55">
        <f t="shared" ref="EM1" si="103">EL1+1</f>
        <v>45363</v>
      </c>
      <c r="EN1" s="55">
        <f t="shared" ref="EN1" si="104">EM1+1</f>
        <v>45364</v>
      </c>
      <c r="EO1" s="55">
        <f t="shared" ref="EO1" si="105">EN1+1</f>
        <v>45365</v>
      </c>
      <c r="EP1" s="55">
        <f t="shared" ref="EP1" si="106">EO1+1</f>
        <v>45366</v>
      </c>
      <c r="EQ1" s="55">
        <f t="shared" ref="EQ1" si="107">EP1+1</f>
        <v>45367</v>
      </c>
      <c r="ER1" s="55">
        <f t="shared" ref="ER1" si="108">EQ1+1</f>
        <v>45368</v>
      </c>
      <c r="ES1" s="55">
        <f t="shared" ref="ES1" si="109">ER1+1</f>
        <v>45369</v>
      </c>
      <c r="ET1" s="55">
        <f t="shared" ref="ET1" si="110">ES1+1</f>
        <v>45370</v>
      </c>
      <c r="EU1" s="55">
        <f t="shared" ref="EU1" si="111">ET1+1</f>
        <v>45371</v>
      </c>
      <c r="EV1" s="55">
        <f t="shared" ref="EV1" si="112">EU1+1</f>
        <v>45372</v>
      </c>
      <c r="EW1" s="55">
        <f t="shared" ref="EW1" si="113">EV1+1</f>
        <v>45373</v>
      </c>
      <c r="EX1" s="55">
        <f t="shared" ref="EX1" si="114">EW1+1</f>
        <v>45374</v>
      </c>
      <c r="EY1" s="55">
        <f t="shared" ref="EY1" si="115">EX1+1</f>
        <v>45375</v>
      </c>
      <c r="EZ1" s="55">
        <f t="shared" ref="EZ1" si="116">EY1+1</f>
        <v>45376</v>
      </c>
      <c r="FA1" s="55">
        <f t="shared" ref="FA1" si="117">EZ1+1</f>
        <v>45377</v>
      </c>
      <c r="FB1" s="55">
        <f t="shared" ref="FB1" si="118">FA1+1</f>
        <v>45378</v>
      </c>
      <c r="FC1" s="55">
        <f t="shared" ref="FC1" si="119">FB1+1</f>
        <v>45379</v>
      </c>
      <c r="FD1" s="55">
        <f t="shared" ref="FD1" si="120">FC1+1</f>
        <v>45380</v>
      </c>
      <c r="FE1" s="55">
        <f t="shared" ref="FE1" si="121">FD1+1</f>
        <v>45381</v>
      </c>
      <c r="FF1" s="55">
        <f t="shared" ref="FF1" si="122">FE1+1</f>
        <v>45382</v>
      </c>
      <c r="FG1" s="55">
        <f t="shared" ref="FG1" si="123">FF1+1</f>
        <v>45383</v>
      </c>
      <c r="FH1" s="55">
        <f t="shared" ref="FH1" si="124">FG1+1</f>
        <v>45384</v>
      </c>
      <c r="FI1" s="55">
        <f t="shared" ref="FI1" si="125">FH1+1</f>
        <v>45385</v>
      </c>
      <c r="FJ1" s="55">
        <f t="shared" ref="FJ1" si="126">FI1+1</f>
        <v>45386</v>
      </c>
      <c r="FK1" s="55">
        <f t="shared" ref="FK1" si="127">FJ1+1</f>
        <v>45387</v>
      </c>
      <c r="FL1" s="55">
        <f t="shared" ref="FL1" si="128">FK1+1</f>
        <v>45388</v>
      </c>
      <c r="FM1" s="55">
        <f t="shared" ref="FM1" si="129">FL1+1</f>
        <v>45389</v>
      </c>
      <c r="FN1" s="55">
        <f t="shared" ref="FN1" si="130">FM1+1</f>
        <v>45390</v>
      </c>
      <c r="FO1" s="55">
        <f t="shared" ref="FO1" si="131">FN1+1</f>
        <v>45391</v>
      </c>
      <c r="FP1" s="55">
        <f t="shared" ref="FP1" si="132">FO1+1</f>
        <v>45392</v>
      </c>
      <c r="FQ1" s="55">
        <f t="shared" ref="FQ1" si="133">FP1+1</f>
        <v>45393</v>
      </c>
      <c r="FR1" s="55">
        <f t="shared" ref="FR1" si="134">FQ1+1</f>
        <v>45394</v>
      </c>
      <c r="FS1" s="55">
        <f t="shared" ref="FS1" si="135">FR1+1</f>
        <v>45395</v>
      </c>
      <c r="FT1" s="55">
        <f t="shared" ref="FT1" si="136">FS1+1</f>
        <v>45396</v>
      </c>
      <c r="FU1" s="55">
        <f t="shared" ref="FU1" si="137">FT1+1</f>
        <v>45397</v>
      </c>
      <c r="FV1" s="55">
        <f t="shared" ref="FV1" si="138">FU1+1</f>
        <v>45398</v>
      </c>
      <c r="FW1" s="55">
        <f t="shared" ref="FW1" si="139">FV1+1</f>
        <v>45399</v>
      </c>
      <c r="FX1" s="55">
        <f t="shared" ref="FX1" si="140">FW1+1</f>
        <v>45400</v>
      </c>
      <c r="FY1" s="55">
        <f t="shared" ref="FY1" si="141">FX1+1</f>
        <v>45401</v>
      </c>
      <c r="FZ1" s="55">
        <f t="shared" ref="FZ1" si="142">FY1+1</f>
        <v>45402</v>
      </c>
      <c r="GA1" s="55">
        <f t="shared" ref="GA1" si="143">FZ1+1</f>
        <v>45403</v>
      </c>
      <c r="GB1" s="55">
        <f t="shared" ref="GB1" si="144">GA1+1</f>
        <v>45404</v>
      </c>
      <c r="GC1" s="55">
        <f t="shared" ref="GC1" si="145">GB1+1</f>
        <v>45405</v>
      </c>
      <c r="GD1" s="55">
        <f t="shared" ref="GD1" si="146">GC1+1</f>
        <v>45406</v>
      </c>
      <c r="GE1" s="55">
        <f t="shared" ref="GE1:HJ1" si="147">GD1+1</f>
        <v>45407</v>
      </c>
      <c r="GF1" s="55">
        <f t="shared" si="147"/>
        <v>45408</v>
      </c>
      <c r="GG1" s="55">
        <f t="shared" si="147"/>
        <v>45409</v>
      </c>
      <c r="GH1" s="55">
        <f t="shared" si="147"/>
        <v>45410</v>
      </c>
      <c r="GI1" s="55">
        <f t="shared" si="147"/>
        <v>45411</v>
      </c>
      <c r="GJ1" s="55">
        <f t="shared" si="147"/>
        <v>45412</v>
      </c>
      <c r="GK1" s="55">
        <f t="shared" si="147"/>
        <v>45413</v>
      </c>
      <c r="GL1" s="55">
        <f t="shared" si="147"/>
        <v>45414</v>
      </c>
      <c r="GM1" s="55">
        <f t="shared" si="147"/>
        <v>45415</v>
      </c>
      <c r="GN1" s="55">
        <f t="shared" si="147"/>
        <v>45416</v>
      </c>
      <c r="GO1" s="55">
        <f t="shared" si="147"/>
        <v>45417</v>
      </c>
      <c r="GP1" s="55">
        <f t="shared" si="147"/>
        <v>45418</v>
      </c>
      <c r="GQ1" s="55">
        <f t="shared" si="147"/>
        <v>45419</v>
      </c>
      <c r="GR1" s="55">
        <f t="shared" si="147"/>
        <v>45420</v>
      </c>
      <c r="GS1" s="55">
        <f t="shared" si="147"/>
        <v>45421</v>
      </c>
      <c r="GT1" s="55">
        <f t="shared" si="147"/>
        <v>45422</v>
      </c>
      <c r="GU1" s="55">
        <f t="shared" si="147"/>
        <v>45423</v>
      </c>
      <c r="GV1" s="55">
        <f t="shared" si="147"/>
        <v>45424</v>
      </c>
      <c r="GW1" s="55">
        <f t="shared" si="147"/>
        <v>45425</v>
      </c>
      <c r="GX1" s="55">
        <f t="shared" si="147"/>
        <v>45426</v>
      </c>
      <c r="GY1" s="55">
        <f t="shared" si="147"/>
        <v>45427</v>
      </c>
      <c r="GZ1" s="55">
        <f t="shared" si="147"/>
        <v>45428</v>
      </c>
      <c r="HA1" s="55">
        <f t="shared" si="147"/>
        <v>45429</v>
      </c>
      <c r="HB1" s="55">
        <f t="shared" si="147"/>
        <v>45430</v>
      </c>
      <c r="HC1" s="55">
        <f t="shared" si="147"/>
        <v>45431</v>
      </c>
      <c r="HD1" s="55">
        <f t="shared" si="147"/>
        <v>45432</v>
      </c>
      <c r="HE1" s="55">
        <f t="shared" si="147"/>
        <v>45433</v>
      </c>
      <c r="HF1" s="55">
        <f t="shared" si="147"/>
        <v>45434</v>
      </c>
      <c r="HG1" s="55">
        <f t="shared" si="147"/>
        <v>45435</v>
      </c>
      <c r="HH1" s="55">
        <f t="shared" si="147"/>
        <v>45436</v>
      </c>
      <c r="HI1" s="55">
        <f t="shared" si="147"/>
        <v>45437</v>
      </c>
      <c r="HJ1" s="55">
        <f t="shared" si="147"/>
        <v>45438</v>
      </c>
      <c r="HK1" s="55">
        <f t="shared" ref="HK1:HU1" si="148">HJ1+1</f>
        <v>45439</v>
      </c>
      <c r="HL1" s="55">
        <f t="shared" si="148"/>
        <v>45440</v>
      </c>
      <c r="HM1" s="55">
        <f t="shared" si="148"/>
        <v>45441</v>
      </c>
      <c r="HN1" s="55">
        <f t="shared" si="148"/>
        <v>45442</v>
      </c>
      <c r="HO1" s="55">
        <f t="shared" si="148"/>
        <v>45443</v>
      </c>
      <c r="HP1" s="55">
        <f t="shared" si="148"/>
        <v>45444</v>
      </c>
      <c r="HQ1" s="55">
        <f t="shared" si="148"/>
        <v>45445</v>
      </c>
      <c r="HR1" s="55">
        <f t="shared" si="148"/>
        <v>45446</v>
      </c>
      <c r="HS1" s="55">
        <f t="shared" si="148"/>
        <v>45447</v>
      </c>
      <c r="HT1" s="55">
        <f t="shared" si="148"/>
        <v>45448</v>
      </c>
      <c r="HU1" s="55">
        <f t="shared" si="148"/>
        <v>45449</v>
      </c>
      <c r="HV1" s="55">
        <f>HU1+1</f>
        <v>45450</v>
      </c>
      <c r="HW1" s="55">
        <f t="shared" ref="HW1:IK1" si="149">HV1+1</f>
        <v>45451</v>
      </c>
      <c r="HX1" s="55">
        <f t="shared" si="149"/>
        <v>45452</v>
      </c>
      <c r="HY1" s="55">
        <f t="shared" si="149"/>
        <v>45453</v>
      </c>
      <c r="HZ1" s="55">
        <f t="shared" si="149"/>
        <v>45454</v>
      </c>
      <c r="IA1" s="55">
        <f t="shared" si="149"/>
        <v>45455</v>
      </c>
      <c r="IB1" s="55">
        <f t="shared" si="149"/>
        <v>45456</v>
      </c>
      <c r="IC1" s="55">
        <f t="shared" si="149"/>
        <v>45457</v>
      </c>
      <c r="ID1" s="55">
        <f t="shared" si="149"/>
        <v>45458</v>
      </c>
      <c r="IE1" s="55">
        <f t="shared" si="149"/>
        <v>45459</v>
      </c>
      <c r="IF1" s="55">
        <f t="shared" si="149"/>
        <v>45460</v>
      </c>
      <c r="IG1" s="55">
        <f t="shared" si="149"/>
        <v>45461</v>
      </c>
      <c r="IH1" s="55">
        <f t="shared" si="149"/>
        <v>45462</v>
      </c>
      <c r="II1" s="55">
        <f t="shared" si="149"/>
        <v>45463</v>
      </c>
      <c r="IJ1" s="55">
        <f t="shared" si="149"/>
        <v>45464</v>
      </c>
      <c r="IK1" s="55">
        <f t="shared" si="149"/>
        <v>45465</v>
      </c>
      <c r="IL1" s="55">
        <f t="shared" ref="IL1:JQ1" si="150">IK1+1</f>
        <v>45466</v>
      </c>
      <c r="IM1" s="55">
        <f t="shared" si="150"/>
        <v>45467</v>
      </c>
      <c r="IN1" s="55">
        <f t="shared" si="150"/>
        <v>45468</v>
      </c>
      <c r="IO1" s="55">
        <f t="shared" si="150"/>
        <v>45469</v>
      </c>
      <c r="IP1" s="55">
        <f t="shared" si="150"/>
        <v>45470</v>
      </c>
      <c r="IQ1" s="55">
        <f t="shared" si="150"/>
        <v>45471</v>
      </c>
      <c r="IR1" s="55">
        <f t="shared" si="150"/>
        <v>45472</v>
      </c>
      <c r="IS1" s="55">
        <f t="shared" si="150"/>
        <v>45473</v>
      </c>
      <c r="IT1" s="55">
        <f t="shared" si="150"/>
        <v>45474</v>
      </c>
      <c r="IU1" s="55">
        <f t="shared" si="150"/>
        <v>45475</v>
      </c>
      <c r="IV1" s="55">
        <f t="shared" si="150"/>
        <v>45476</v>
      </c>
      <c r="IW1" s="55">
        <f t="shared" si="150"/>
        <v>45477</v>
      </c>
      <c r="IX1" s="55">
        <f t="shared" si="150"/>
        <v>45478</v>
      </c>
      <c r="IY1" s="55">
        <f t="shared" si="150"/>
        <v>45479</v>
      </c>
      <c r="IZ1" s="55">
        <f t="shared" si="150"/>
        <v>45480</v>
      </c>
      <c r="JA1" s="55">
        <f t="shared" si="150"/>
        <v>45481</v>
      </c>
      <c r="JB1" s="55">
        <f t="shared" si="150"/>
        <v>45482</v>
      </c>
      <c r="JC1" s="55">
        <f t="shared" si="150"/>
        <v>45483</v>
      </c>
      <c r="JD1" s="55">
        <f t="shared" si="150"/>
        <v>45484</v>
      </c>
      <c r="JE1" s="55">
        <f t="shared" si="150"/>
        <v>45485</v>
      </c>
      <c r="JF1" s="55">
        <f t="shared" si="150"/>
        <v>45486</v>
      </c>
      <c r="JG1" s="55">
        <f t="shared" si="150"/>
        <v>45487</v>
      </c>
      <c r="JH1" s="55">
        <f t="shared" si="150"/>
        <v>45488</v>
      </c>
      <c r="JI1" s="55">
        <f t="shared" si="150"/>
        <v>45489</v>
      </c>
      <c r="JJ1" s="55">
        <f t="shared" si="150"/>
        <v>45490</v>
      </c>
      <c r="JK1" s="55">
        <f t="shared" si="150"/>
        <v>45491</v>
      </c>
      <c r="JL1" s="55">
        <f t="shared" si="150"/>
        <v>45492</v>
      </c>
      <c r="JM1" s="55">
        <f t="shared" si="150"/>
        <v>45493</v>
      </c>
      <c r="JN1" s="55">
        <f t="shared" si="150"/>
        <v>45494</v>
      </c>
      <c r="JO1" s="55">
        <f t="shared" si="150"/>
        <v>45495</v>
      </c>
      <c r="JP1" s="55">
        <f t="shared" si="150"/>
        <v>45496</v>
      </c>
      <c r="JQ1" s="55">
        <f t="shared" si="150"/>
        <v>45497</v>
      </c>
      <c r="JR1" s="55">
        <f t="shared" ref="JR1:KW1" si="151">JQ1+1</f>
        <v>45498</v>
      </c>
      <c r="JS1" s="55">
        <f t="shared" si="151"/>
        <v>45499</v>
      </c>
      <c r="JT1" s="55">
        <f t="shared" si="151"/>
        <v>45500</v>
      </c>
      <c r="JU1" s="55">
        <f t="shared" si="151"/>
        <v>45501</v>
      </c>
      <c r="JV1" s="55">
        <f t="shared" si="151"/>
        <v>45502</v>
      </c>
      <c r="JW1" s="55">
        <f t="shared" si="151"/>
        <v>45503</v>
      </c>
      <c r="JX1" s="55">
        <f t="shared" si="151"/>
        <v>45504</v>
      </c>
      <c r="JY1" s="55">
        <f t="shared" si="151"/>
        <v>45505</v>
      </c>
      <c r="JZ1" s="55">
        <f t="shared" si="151"/>
        <v>45506</v>
      </c>
      <c r="KA1" s="55">
        <f t="shared" si="151"/>
        <v>45507</v>
      </c>
      <c r="KB1" s="55">
        <f t="shared" si="151"/>
        <v>45508</v>
      </c>
      <c r="KC1" s="55">
        <f t="shared" si="151"/>
        <v>45509</v>
      </c>
      <c r="KD1" s="55">
        <f t="shared" si="151"/>
        <v>45510</v>
      </c>
      <c r="KE1" s="55">
        <f t="shared" si="151"/>
        <v>45511</v>
      </c>
      <c r="KF1" s="55">
        <f t="shared" si="151"/>
        <v>45512</v>
      </c>
      <c r="KG1" s="55">
        <f t="shared" si="151"/>
        <v>45513</v>
      </c>
      <c r="KH1" s="55">
        <f t="shared" si="151"/>
        <v>45514</v>
      </c>
      <c r="KI1" s="55">
        <f t="shared" si="151"/>
        <v>45515</v>
      </c>
      <c r="KJ1" s="55">
        <f t="shared" si="151"/>
        <v>45516</v>
      </c>
      <c r="KK1" s="55">
        <f t="shared" si="151"/>
        <v>45517</v>
      </c>
      <c r="KL1" s="55">
        <f t="shared" si="151"/>
        <v>45518</v>
      </c>
      <c r="KM1" s="55">
        <f t="shared" si="151"/>
        <v>45519</v>
      </c>
      <c r="KN1" s="55">
        <f t="shared" si="151"/>
        <v>45520</v>
      </c>
      <c r="KO1" s="55">
        <f t="shared" si="151"/>
        <v>45521</v>
      </c>
      <c r="KP1" s="55">
        <f t="shared" si="151"/>
        <v>45522</v>
      </c>
      <c r="KQ1" s="55">
        <f t="shared" si="151"/>
        <v>45523</v>
      </c>
      <c r="KR1" s="55">
        <f t="shared" si="151"/>
        <v>45524</v>
      </c>
      <c r="KS1" s="55">
        <f t="shared" si="151"/>
        <v>45525</v>
      </c>
      <c r="KT1" s="55">
        <f t="shared" si="151"/>
        <v>45526</v>
      </c>
      <c r="KU1" s="55">
        <f t="shared" si="151"/>
        <v>45527</v>
      </c>
      <c r="KV1" s="55">
        <f t="shared" si="151"/>
        <v>45528</v>
      </c>
      <c r="KW1" s="55">
        <f t="shared" si="151"/>
        <v>45529</v>
      </c>
      <c r="KX1" s="55">
        <f t="shared" ref="KX1:MC1" si="152">KW1+1</f>
        <v>45530</v>
      </c>
      <c r="KY1" s="55">
        <f t="shared" si="152"/>
        <v>45531</v>
      </c>
      <c r="KZ1" s="55">
        <f t="shared" si="152"/>
        <v>45532</v>
      </c>
      <c r="LA1" s="55">
        <f t="shared" si="152"/>
        <v>45533</v>
      </c>
      <c r="LB1" s="55">
        <f t="shared" si="152"/>
        <v>45534</v>
      </c>
      <c r="LC1" s="55">
        <f t="shared" si="152"/>
        <v>45535</v>
      </c>
      <c r="LD1" s="55">
        <f t="shared" si="152"/>
        <v>45536</v>
      </c>
      <c r="LE1" s="55">
        <f t="shared" si="152"/>
        <v>45537</v>
      </c>
      <c r="LF1" s="55">
        <f t="shared" si="152"/>
        <v>45538</v>
      </c>
      <c r="LG1" s="55">
        <f t="shared" si="152"/>
        <v>45539</v>
      </c>
      <c r="LH1" s="55">
        <f t="shared" si="152"/>
        <v>45540</v>
      </c>
      <c r="LI1" s="55">
        <f t="shared" si="152"/>
        <v>45541</v>
      </c>
      <c r="LJ1" s="55">
        <f t="shared" si="152"/>
        <v>45542</v>
      </c>
      <c r="LK1" s="55">
        <f t="shared" si="152"/>
        <v>45543</v>
      </c>
      <c r="LL1" s="55">
        <f t="shared" si="152"/>
        <v>45544</v>
      </c>
      <c r="LM1" s="55">
        <f t="shared" si="152"/>
        <v>45545</v>
      </c>
      <c r="LN1" s="55">
        <f t="shared" si="152"/>
        <v>45546</v>
      </c>
      <c r="LO1" s="55">
        <f t="shared" si="152"/>
        <v>45547</v>
      </c>
      <c r="LP1" s="55">
        <f t="shared" si="152"/>
        <v>45548</v>
      </c>
      <c r="LQ1" s="55">
        <f t="shared" si="152"/>
        <v>45549</v>
      </c>
      <c r="LR1" s="55">
        <f t="shared" si="152"/>
        <v>45550</v>
      </c>
      <c r="LS1" s="55">
        <f t="shared" si="152"/>
        <v>45551</v>
      </c>
      <c r="LT1" s="55">
        <f t="shared" si="152"/>
        <v>45552</v>
      </c>
      <c r="LU1" s="55">
        <f t="shared" si="152"/>
        <v>45553</v>
      </c>
      <c r="LV1" s="55">
        <f t="shared" si="152"/>
        <v>45554</v>
      </c>
      <c r="LW1" s="55">
        <f t="shared" si="152"/>
        <v>45555</v>
      </c>
      <c r="LX1" s="55">
        <f t="shared" si="152"/>
        <v>45556</v>
      </c>
      <c r="LY1" s="55">
        <f t="shared" si="152"/>
        <v>45557</v>
      </c>
      <c r="LZ1" s="55">
        <f t="shared" si="152"/>
        <v>45558</v>
      </c>
      <c r="MA1" s="55">
        <f t="shared" si="152"/>
        <v>45559</v>
      </c>
      <c r="MB1" s="55">
        <f t="shared" si="152"/>
        <v>45560</v>
      </c>
      <c r="MC1" s="55">
        <f t="shared" si="152"/>
        <v>45561</v>
      </c>
      <c r="MD1" s="55">
        <f t="shared" ref="MD1:NK1" si="153">MC1+1</f>
        <v>45562</v>
      </c>
      <c r="ME1" s="55">
        <f t="shared" si="153"/>
        <v>45563</v>
      </c>
      <c r="MF1" s="55">
        <f t="shared" si="153"/>
        <v>45564</v>
      </c>
      <c r="MG1" s="55">
        <f t="shared" si="153"/>
        <v>45565</v>
      </c>
      <c r="MH1" s="55">
        <f t="shared" si="153"/>
        <v>45566</v>
      </c>
      <c r="MI1" s="55">
        <f t="shared" si="153"/>
        <v>45567</v>
      </c>
      <c r="MJ1" s="55">
        <f t="shared" si="153"/>
        <v>45568</v>
      </c>
      <c r="MK1" s="55">
        <f t="shared" si="153"/>
        <v>45569</v>
      </c>
      <c r="ML1" s="55">
        <f t="shared" si="153"/>
        <v>45570</v>
      </c>
      <c r="MM1" s="55">
        <f t="shared" si="153"/>
        <v>45571</v>
      </c>
      <c r="MN1" s="55">
        <f t="shared" si="153"/>
        <v>45572</v>
      </c>
      <c r="MO1" s="55">
        <f t="shared" si="153"/>
        <v>45573</v>
      </c>
      <c r="MP1" s="55">
        <f t="shared" si="153"/>
        <v>45574</v>
      </c>
      <c r="MQ1" s="55">
        <f t="shared" si="153"/>
        <v>45575</v>
      </c>
      <c r="MR1" s="55">
        <f t="shared" si="153"/>
        <v>45576</v>
      </c>
      <c r="MS1" s="55">
        <f t="shared" si="153"/>
        <v>45577</v>
      </c>
      <c r="MT1" s="55">
        <f t="shared" si="153"/>
        <v>45578</v>
      </c>
      <c r="MU1" s="55">
        <f t="shared" si="153"/>
        <v>45579</v>
      </c>
      <c r="MV1" s="55">
        <f t="shared" si="153"/>
        <v>45580</v>
      </c>
      <c r="MW1" s="55">
        <f t="shared" si="153"/>
        <v>45581</v>
      </c>
      <c r="MX1" s="55">
        <f t="shared" si="153"/>
        <v>45582</v>
      </c>
      <c r="MY1" s="55">
        <f t="shared" si="153"/>
        <v>45583</v>
      </c>
      <c r="MZ1" s="55">
        <f t="shared" si="153"/>
        <v>45584</v>
      </c>
      <c r="NA1" s="55">
        <f t="shared" si="153"/>
        <v>45585</v>
      </c>
      <c r="NB1" s="55">
        <f t="shared" si="153"/>
        <v>45586</v>
      </c>
      <c r="NC1" s="55">
        <f t="shared" si="153"/>
        <v>45587</v>
      </c>
      <c r="ND1" s="55">
        <f t="shared" si="153"/>
        <v>45588</v>
      </c>
      <c r="NE1" s="55">
        <f t="shared" si="153"/>
        <v>45589</v>
      </c>
      <c r="NF1" s="55">
        <f t="shared" si="153"/>
        <v>45590</v>
      </c>
      <c r="NG1" s="55">
        <f t="shared" si="153"/>
        <v>45591</v>
      </c>
      <c r="NH1" s="55">
        <f t="shared" si="153"/>
        <v>45592</v>
      </c>
      <c r="NI1" s="55">
        <f t="shared" si="153"/>
        <v>45593</v>
      </c>
      <c r="NJ1" s="55">
        <f t="shared" si="153"/>
        <v>45594</v>
      </c>
      <c r="NK1" s="55">
        <f t="shared" si="153"/>
        <v>45595</v>
      </c>
      <c r="NL1" s="55">
        <f t="shared" ref="NL1" si="154">NK1+1</f>
        <v>45596</v>
      </c>
      <c r="NM1" s="55">
        <f t="shared" ref="NM1" si="155">NL1+1</f>
        <v>45597</v>
      </c>
      <c r="NN1" s="55">
        <f t="shared" ref="NN1" si="156">NM1+1</f>
        <v>45598</v>
      </c>
      <c r="NO1" s="55">
        <f t="shared" ref="NO1" si="157">NN1+1</f>
        <v>45599</v>
      </c>
      <c r="NP1" s="55">
        <f t="shared" ref="NP1" si="158">NO1+1</f>
        <v>45600</v>
      </c>
      <c r="NQ1" s="55">
        <f t="shared" ref="NQ1" si="159">NP1+1</f>
        <v>45601</v>
      </c>
      <c r="NR1" s="55">
        <f t="shared" ref="NR1" si="160">NQ1+1</f>
        <v>45602</v>
      </c>
      <c r="NS1" s="55">
        <f t="shared" ref="NS1" si="161">NR1+1</f>
        <v>45603</v>
      </c>
      <c r="NT1" s="55">
        <f t="shared" ref="NT1" si="162">NS1+1</f>
        <v>45604</v>
      </c>
      <c r="NU1" s="55">
        <f t="shared" ref="NU1" si="163">NT1+1</f>
        <v>45605</v>
      </c>
      <c r="NV1" s="55">
        <f t="shared" ref="NV1" si="164">NU1+1</f>
        <v>45606</v>
      </c>
      <c r="NW1" s="55">
        <f t="shared" ref="NW1" si="165">NV1+1</f>
        <v>45607</v>
      </c>
      <c r="NX1" s="55">
        <f t="shared" ref="NX1" si="166">NW1+1</f>
        <v>45608</v>
      </c>
      <c r="NY1" s="55">
        <f t="shared" ref="NY1" si="167">NX1+1</f>
        <v>45609</v>
      </c>
      <c r="NZ1" s="55">
        <f t="shared" ref="NZ1" si="168">NY1+1</f>
        <v>45610</v>
      </c>
      <c r="OA1" s="55">
        <f t="shared" ref="OA1" si="169">NZ1+1</f>
        <v>45611</v>
      </c>
      <c r="OB1" s="55">
        <f t="shared" ref="OB1" si="170">OA1+1</f>
        <v>45612</v>
      </c>
      <c r="OC1" s="55">
        <f t="shared" ref="OC1" si="171">OB1+1</f>
        <v>45613</v>
      </c>
      <c r="OD1" s="55">
        <f t="shared" ref="OD1" si="172">OC1+1</f>
        <v>45614</v>
      </c>
      <c r="OE1" s="71">
        <f t="shared" ref="OE1" si="173">OD1+1</f>
        <v>45615</v>
      </c>
      <c r="OF1" s="71">
        <f t="shared" ref="OF1" si="174">OE1+1</f>
        <v>45616</v>
      </c>
      <c r="OG1" s="55">
        <f t="shared" ref="OG1" si="175">OF1+1</f>
        <v>45617</v>
      </c>
      <c r="OH1" s="55">
        <f t="shared" ref="OH1" si="176">OG1+1</f>
        <v>45618</v>
      </c>
      <c r="OI1" s="55">
        <f t="shared" ref="OI1" si="177">OH1+1</f>
        <v>45619</v>
      </c>
      <c r="OJ1" s="55">
        <f t="shared" ref="OJ1" si="178">OI1+1</f>
        <v>45620</v>
      </c>
      <c r="OK1" s="55">
        <f t="shared" ref="OK1" si="179">OJ1+1</f>
        <v>45621</v>
      </c>
      <c r="OL1" s="55">
        <f t="shared" ref="OL1" si="180">OK1+1</f>
        <v>45622</v>
      </c>
      <c r="OM1" s="55">
        <f t="shared" ref="OM1" si="181">OL1+1</f>
        <v>45623</v>
      </c>
      <c r="ON1" s="55">
        <f t="shared" ref="ON1" si="182">OM1+1</f>
        <v>45624</v>
      </c>
      <c r="OO1" s="55">
        <f t="shared" ref="OO1" si="183">ON1+1</f>
        <v>45625</v>
      </c>
      <c r="OP1" s="55">
        <f t="shared" ref="OP1" si="184">OO1+1</f>
        <v>45626</v>
      </c>
      <c r="OQ1" s="55">
        <f t="shared" ref="OQ1" si="185">OP1+1</f>
        <v>45627</v>
      </c>
      <c r="OR1" s="55">
        <f t="shared" ref="OR1" si="186">OQ1+1</f>
        <v>45628</v>
      </c>
      <c r="OS1" s="55">
        <f t="shared" ref="OS1" si="187">OR1+1</f>
        <v>45629</v>
      </c>
      <c r="OT1" s="55">
        <f t="shared" ref="OT1" si="188">OS1+1</f>
        <v>45630</v>
      </c>
      <c r="OU1" s="55">
        <f t="shared" ref="OU1" si="189">OT1+1</f>
        <v>45631</v>
      </c>
      <c r="OV1" s="55">
        <f t="shared" ref="OV1" si="190">OU1+1</f>
        <v>45632</v>
      </c>
      <c r="OW1" s="55">
        <f t="shared" ref="OW1" si="191">OV1+1</f>
        <v>45633</v>
      </c>
      <c r="OX1" s="55">
        <f t="shared" ref="OX1" si="192">OW1+1</f>
        <v>45634</v>
      </c>
      <c r="OY1" s="55">
        <f t="shared" ref="OY1" si="193">OX1+1</f>
        <v>45635</v>
      </c>
      <c r="OZ1" s="55">
        <f t="shared" ref="OZ1" si="194">OY1+1</f>
        <v>45636</v>
      </c>
      <c r="PA1" s="55">
        <f t="shared" ref="PA1" si="195">OZ1+1</f>
        <v>45637</v>
      </c>
      <c r="PB1" s="55">
        <f t="shared" ref="PB1" si="196">PA1+1</f>
        <v>45638</v>
      </c>
      <c r="PC1" s="55">
        <f t="shared" ref="PC1" si="197">PB1+1</f>
        <v>45639</v>
      </c>
      <c r="PD1" s="55">
        <f t="shared" ref="PD1" si="198">PC1+1</f>
        <v>45640</v>
      </c>
      <c r="PE1" s="55">
        <f t="shared" ref="PE1" si="199">PD1+1</f>
        <v>45641</v>
      </c>
      <c r="PF1" s="55">
        <f t="shared" ref="PF1" si="200">PE1+1</f>
        <v>45642</v>
      </c>
      <c r="PG1" s="55">
        <f t="shared" ref="PG1" si="201">PF1+1</f>
        <v>45643</v>
      </c>
      <c r="PH1" s="70">
        <f t="shared" ref="PH1:QM1" si="202">PG1+1</f>
        <v>45644</v>
      </c>
      <c r="PI1" s="70">
        <f t="shared" si="202"/>
        <v>45645</v>
      </c>
      <c r="PJ1" s="70">
        <f t="shared" si="202"/>
        <v>45646</v>
      </c>
      <c r="PK1" s="70">
        <f t="shared" si="202"/>
        <v>45647</v>
      </c>
      <c r="PL1" s="70">
        <f t="shared" si="202"/>
        <v>45648</v>
      </c>
      <c r="PM1" s="70">
        <f t="shared" si="202"/>
        <v>45649</v>
      </c>
      <c r="PN1" s="70">
        <f t="shared" si="202"/>
        <v>45650</v>
      </c>
      <c r="PO1" s="70">
        <f t="shared" si="202"/>
        <v>45651</v>
      </c>
      <c r="PP1" s="70">
        <f t="shared" si="202"/>
        <v>45652</v>
      </c>
      <c r="PQ1" s="70">
        <f t="shared" si="202"/>
        <v>45653</v>
      </c>
      <c r="PR1" s="70">
        <f t="shared" si="202"/>
        <v>45654</v>
      </c>
      <c r="PS1" s="70">
        <f t="shared" si="202"/>
        <v>45655</v>
      </c>
      <c r="PT1" s="70">
        <f t="shared" si="202"/>
        <v>45656</v>
      </c>
      <c r="PU1" s="70">
        <f t="shared" si="202"/>
        <v>45657</v>
      </c>
      <c r="PV1" s="75">
        <f t="shared" si="202"/>
        <v>45658</v>
      </c>
      <c r="PW1" s="70">
        <f t="shared" si="202"/>
        <v>45659</v>
      </c>
      <c r="PX1" s="70">
        <f t="shared" si="202"/>
        <v>45660</v>
      </c>
      <c r="PY1" s="70">
        <f t="shared" si="202"/>
        <v>45661</v>
      </c>
      <c r="PZ1" s="70">
        <f t="shared" si="202"/>
        <v>45662</v>
      </c>
      <c r="QA1" s="70">
        <f t="shared" si="202"/>
        <v>45663</v>
      </c>
      <c r="QB1" s="70">
        <f t="shared" si="202"/>
        <v>45664</v>
      </c>
      <c r="QC1" s="70">
        <f t="shared" si="202"/>
        <v>45665</v>
      </c>
      <c r="QD1" s="70">
        <f t="shared" si="202"/>
        <v>45666</v>
      </c>
      <c r="QE1" s="70">
        <f t="shared" si="202"/>
        <v>45667</v>
      </c>
      <c r="QF1" s="70">
        <f t="shared" si="202"/>
        <v>45668</v>
      </c>
      <c r="QG1" s="70">
        <f t="shared" si="202"/>
        <v>45669</v>
      </c>
      <c r="QH1" s="70">
        <f t="shared" si="202"/>
        <v>45670</v>
      </c>
      <c r="QI1" s="70">
        <f t="shared" si="202"/>
        <v>45671</v>
      </c>
      <c r="QJ1" s="70">
        <f t="shared" si="202"/>
        <v>45672</v>
      </c>
      <c r="QK1" s="70">
        <f t="shared" si="202"/>
        <v>45673</v>
      </c>
      <c r="QL1" s="70">
        <f t="shared" si="202"/>
        <v>45674</v>
      </c>
      <c r="QM1" s="70">
        <f t="shared" si="202"/>
        <v>45675</v>
      </c>
      <c r="QN1" s="70">
        <f t="shared" ref="QN1:RW1" si="203">QM1+1</f>
        <v>45676</v>
      </c>
      <c r="QO1" s="70">
        <f t="shared" si="203"/>
        <v>45677</v>
      </c>
      <c r="QP1" s="70">
        <f t="shared" si="203"/>
        <v>45678</v>
      </c>
      <c r="QQ1" s="70">
        <f t="shared" si="203"/>
        <v>45679</v>
      </c>
      <c r="QR1" s="70">
        <f t="shared" si="203"/>
        <v>45680</v>
      </c>
      <c r="QS1" s="70">
        <f t="shared" si="203"/>
        <v>45681</v>
      </c>
      <c r="QT1" s="70">
        <f t="shared" si="203"/>
        <v>45682</v>
      </c>
      <c r="QU1" s="70">
        <f t="shared" si="203"/>
        <v>45683</v>
      </c>
      <c r="QV1" s="70">
        <f t="shared" si="203"/>
        <v>45684</v>
      </c>
      <c r="QW1" s="70">
        <f t="shared" si="203"/>
        <v>45685</v>
      </c>
      <c r="QX1" s="70">
        <f t="shared" si="203"/>
        <v>45686</v>
      </c>
      <c r="QY1" s="70">
        <f t="shared" si="203"/>
        <v>45687</v>
      </c>
      <c r="QZ1" s="70">
        <f t="shared" si="203"/>
        <v>45688</v>
      </c>
      <c r="RA1" s="76">
        <f t="shared" si="203"/>
        <v>45689</v>
      </c>
      <c r="RB1" s="70">
        <f t="shared" si="203"/>
        <v>45690</v>
      </c>
      <c r="RC1" s="70">
        <f t="shared" si="203"/>
        <v>45691</v>
      </c>
      <c r="RD1" s="70">
        <f t="shared" si="203"/>
        <v>45692</v>
      </c>
      <c r="RE1" s="70">
        <f t="shared" si="203"/>
        <v>45693</v>
      </c>
      <c r="RF1" s="70">
        <f t="shared" si="203"/>
        <v>45694</v>
      </c>
      <c r="RG1" s="70">
        <f t="shared" si="203"/>
        <v>45695</v>
      </c>
      <c r="RH1" s="70">
        <f t="shared" si="203"/>
        <v>45696</v>
      </c>
      <c r="RI1" s="70">
        <f t="shared" si="203"/>
        <v>45697</v>
      </c>
      <c r="RJ1" s="70">
        <f t="shared" si="203"/>
        <v>45698</v>
      </c>
      <c r="RK1" s="70">
        <f t="shared" si="203"/>
        <v>45699</v>
      </c>
      <c r="RL1" s="70">
        <f t="shared" si="203"/>
        <v>45700</v>
      </c>
      <c r="RM1" s="70">
        <f t="shared" si="203"/>
        <v>45701</v>
      </c>
      <c r="RN1" s="70">
        <f t="shared" si="203"/>
        <v>45702</v>
      </c>
      <c r="RO1" s="70">
        <f t="shared" si="203"/>
        <v>45703</v>
      </c>
      <c r="RP1" s="70">
        <f t="shared" si="203"/>
        <v>45704</v>
      </c>
      <c r="RQ1" s="70">
        <f t="shared" si="203"/>
        <v>45705</v>
      </c>
      <c r="RR1" s="70">
        <f t="shared" si="203"/>
        <v>45706</v>
      </c>
      <c r="RS1" s="70">
        <f t="shared" si="203"/>
        <v>45707</v>
      </c>
      <c r="RT1" s="70">
        <f t="shared" si="203"/>
        <v>45708</v>
      </c>
      <c r="RU1" s="70">
        <f t="shared" si="203"/>
        <v>45709</v>
      </c>
      <c r="RV1" s="70">
        <f t="shared" si="203"/>
        <v>45710</v>
      </c>
      <c r="RW1" s="70">
        <f t="shared" si="203"/>
        <v>45711</v>
      </c>
      <c r="RX1" s="70">
        <f t="shared" ref="RX1" si="204">RW1+1</f>
        <v>45712</v>
      </c>
      <c r="RY1" s="70">
        <f t="shared" ref="RY1" si="205">RX1+1</f>
        <v>45713</v>
      </c>
      <c r="RZ1" s="70">
        <f t="shared" ref="RZ1" si="206">RY1+1</f>
        <v>45714</v>
      </c>
      <c r="SA1" s="70">
        <f t="shared" ref="SA1" si="207">RZ1+1</f>
        <v>45715</v>
      </c>
      <c r="SB1" s="70">
        <f t="shared" ref="SB1" si="208">SA1+1</f>
        <v>45716</v>
      </c>
      <c r="SC1" s="70">
        <f t="shared" ref="SC1" si="209">SB1+1</f>
        <v>45717</v>
      </c>
      <c r="SD1" s="70">
        <f t="shared" ref="SD1" si="210">SC1+1</f>
        <v>45718</v>
      </c>
      <c r="SE1" s="70">
        <f t="shared" ref="SE1" si="211">SD1+1</f>
        <v>45719</v>
      </c>
      <c r="SF1" s="70">
        <f t="shared" ref="SF1" si="212">SE1+1</f>
        <v>45720</v>
      </c>
      <c r="SG1" s="70">
        <f t="shared" ref="SG1" si="213">SF1+1</f>
        <v>45721</v>
      </c>
      <c r="SH1" s="70">
        <f t="shared" ref="SH1" si="214">SG1+1</f>
        <v>45722</v>
      </c>
      <c r="SI1" s="70">
        <f t="shared" ref="SI1" si="215">SH1+1</f>
        <v>45723</v>
      </c>
      <c r="SJ1" s="70">
        <f t="shared" ref="SJ1" si="216">SI1+1</f>
        <v>45724</v>
      </c>
      <c r="SK1" s="70">
        <f t="shared" ref="SK1" si="217">SJ1+1</f>
        <v>45725</v>
      </c>
      <c r="SL1" s="70">
        <f t="shared" ref="SL1" si="218">SK1+1</f>
        <v>45726</v>
      </c>
      <c r="SM1" s="70">
        <f t="shared" ref="SM1" si="219">SL1+1</f>
        <v>45727</v>
      </c>
      <c r="SN1" s="70">
        <f t="shared" ref="SN1" si="220">SM1+1</f>
        <v>45728</v>
      </c>
      <c r="SO1" s="70">
        <f t="shared" ref="SO1" si="221">SN1+1</f>
        <v>45729</v>
      </c>
      <c r="SP1" s="70">
        <f t="shared" ref="SP1" si="222">SO1+1</f>
        <v>45730</v>
      </c>
      <c r="SQ1" s="70">
        <f t="shared" ref="SQ1" si="223">SP1+1</f>
        <v>45731</v>
      </c>
      <c r="SR1" s="70">
        <f t="shared" ref="SR1" si="224">SQ1+1</f>
        <v>45732</v>
      </c>
      <c r="SS1" s="70">
        <f t="shared" ref="SS1" si="225">SR1+1</f>
        <v>45733</v>
      </c>
      <c r="ST1" s="70">
        <f t="shared" ref="ST1" si="226">SS1+1</f>
        <v>45734</v>
      </c>
      <c r="SU1" s="70">
        <f t="shared" ref="SU1" si="227">ST1+1</f>
        <v>45735</v>
      </c>
      <c r="SV1" s="70">
        <f t="shared" ref="SV1" si="228">SU1+1</f>
        <v>45736</v>
      </c>
      <c r="SW1" s="70">
        <f t="shared" ref="SW1" si="229">SV1+1</f>
        <v>45737</v>
      </c>
      <c r="SX1" s="70">
        <f t="shared" ref="SX1" si="230">SW1+1</f>
        <v>45738</v>
      </c>
      <c r="SY1" s="70">
        <f t="shared" ref="SY1" si="231">SX1+1</f>
        <v>45739</v>
      </c>
      <c r="SZ1" s="70">
        <f t="shared" ref="SZ1" si="232">SY1+1</f>
        <v>45740</v>
      </c>
      <c r="TA1" s="70">
        <f t="shared" ref="TA1" si="233">SZ1+1</f>
        <v>45741</v>
      </c>
      <c r="TB1" s="70">
        <f t="shared" ref="TB1" si="234">TA1+1</f>
        <v>45742</v>
      </c>
      <c r="TC1" s="70">
        <f t="shared" ref="TC1" si="235">TB1+1</f>
        <v>45743</v>
      </c>
      <c r="TD1" s="70">
        <f t="shared" ref="TD1" si="236">TC1+1</f>
        <v>45744</v>
      </c>
      <c r="TE1" s="70">
        <f t="shared" ref="TE1" si="237">TD1+1</f>
        <v>45745</v>
      </c>
      <c r="TF1" s="70">
        <f t="shared" ref="TF1" si="238">TE1+1</f>
        <v>45746</v>
      </c>
      <c r="TG1" s="70">
        <f t="shared" ref="TG1" si="239">TF1+1</f>
        <v>45747</v>
      </c>
      <c r="TH1" s="70">
        <f t="shared" ref="TH1" si="240">TG1+1</f>
        <v>45748</v>
      </c>
      <c r="TI1" s="70">
        <f t="shared" ref="TI1" si="241">TH1+1</f>
        <v>45749</v>
      </c>
      <c r="TJ1" s="70">
        <f t="shared" ref="TJ1" si="242">TI1+1</f>
        <v>45750</v>
      </c>
      <c r="TK1" s="70">
        <f t="shared" ref="TK1" si="243">TJ1+1</f>
        <v>45751</v>
      </c>
      <c r="TL1" s="70">
        <f t="shared" ref="TL1" si="244">TK1+1</f>
        <v>45752</v>
      </c>
      <c r="TM1" s="70">
        <f t="shared" ref="TM1" si="245">TL1+1</f>
        <v>45753</v>
      </c>
      <c r="TN1" s="70">
        <f t="shared" ref="TN1" si="246">TM1+1</f>
        <v>45754</v>
      </c>
      <c r="TO1" s="70">
        <f t="shared" ref="TO1" si="247">TN1+1</f>
        <v>45755</v>
      </c>
      <c r="TP1" s="70">
        <f t="shared" ref="TP1" si="248">TO1+1</f>
        <v>45756</v>
      </c>
      <c r="TQ1" s="70">
        <f t="shared" ref="TQ1" si="249">TP1+1</f>
        <v>45757</v>
      </c>
      <c r="TR1" s="70">
        <f t="shared" ref="TR1" si="250">TQ1+1</f>
        <v>45758</v>
      </c>
      <c r="TS1" s="70">
        <f t="shared" ref="TS1" si="251">TR1+1</f>
        <v>45759</v>
      </c>
      <c r="TT1" s="70">
        <f t="shared" ref="TT1" si="252">TS1+1</f>
        <v>45760</v>
      </c>
      <c r="TU1" s="70">
        <f t="shared" ref="TU1" si="253">TT1+1</f>
        <v>45761</v>
      </c>
      <c r="TV1" s="70">
        <f t="shared" ref="TV1" si="254">TU1+1</f>
        <v>45762</v>
      </c>
      <c r="TW1" s="70">
        <f t="shared" ref="TW1" si="255">TV1+1</f>
        <v>45763</v>
      </c>
      <c r="TX1" s="70">
        <f t="shared" ref="TX1" si="256">TW1+1</f>
        <v>45764</v>
      </c>
      <c r="TY1" s="70">
        <f t="shared" ref="TY1" si="257">TX1+1</f>
        <v>45765</v>
      </c>
      <c r="TZ1" s="70">
        <f t="shared" ref="TZ1" si="258">TY1+1</f>
        <v>45766</v>
      </c>
      <c r="UA1" s="70">
        <f t="shared" ref="UA1" si="259">TZ1+1</f>
        <v>45767</v>
      </c>
      <c r="UB1" s="70">
        <f t="shared" ref="UB1" si="260">UA1+1</f>
        <v>45768</v>
      </c>
      <c r="UC1" s="70">
        <f t="shared" ref="UC1" si="261">UB1+1</f>
        <v>45769</v>
      </c>
      <c r="UD1" s="70">
        <f t="shared" ref="UD1" si="262">UC1+1</f>
        <v>45770</v>
      </c>
      <c r="UE1" s="70">
        <f t="shared" ref="UE1" si="263">UD1+1</f>
        <v>45771</v>
      </c>
      <c r="UF1" s="70">
        <f t="shared" ref="UF1" si="264">UE1+1</f>
        <v>45772</v>
      </c>
      <c r="UG1" s="70">
        <f t="shared" ref="UG1" si="265">UF1+1</f>
        <v>45773</v>
      </c>
      <c r="UH1" s="70">
        <f t="shared" ref="UH1" si="266">UG1+1</f>
        <v>45774</v>
      </c>
      <c r="UI1" s="70">
        <f t="shared" ref="UI1" si="267">UH1+1</f>
        <v>45775</v>
      </c>
      <c r="UJ1" s="70">
        <f t="shared" ref="UJ1" si="268">UI1+1</f>
        <v>45776</v>
      </c>
      <c r="UK1" s="70">
        <f t="shared" ref="UK1" si="269">UJ1+1</f>
        <v>45777</v>
      </c>
      <c r="UL1" s="70">
        <f t="shared" ref="UL1" si="270">UK1+1</f>
        <v>45778</v>
      </c>
      <c r="UM1" s="70">
        <f t="shared" ref="UM1" si="271">UL1+1</f>
        <v>45779</v>
      </c>
      <c r="UN1" s="70">
        <f t="shared" ref="UN1" si="272">UM1+1</f>
        <v>45780</v>
      </c>
      <c r="UO1" s="70">
        <f t="shared" ref="UO1" si="273">UN1+1</f>
        <v>45781</v>
      </c>
      <c r="UP1" s="70">
        <f t="shared" ref="UP1" si="274">UO1+1</f>
        <v>45782</v>
      </c>
      <c r="UQ1" s="70">
        <f t="shared" ref="UQ1" si="275">UP1+1</f>
        <v>45783</v>
      </c>
      <c r="UR1" s="70">
        <f t="shared" ref="UR1" si="276">UQ1+1</f>
        <v>45784</v>
      </c>
      <c r="US1" s="70">
        <f t="shared" ref="US1" si="277">UR1+1</f>
        <v>45785</v>
      </c>
      <c r="UT1" s="70">
        <f t="shared" ref="UT1" si="278">US1+1</f>
        <v>45786</v>
      </c>
      <c r="UU1" s="70">
        <f t="shared" ref="UU1" si="279">UT1+1</f>
        <v>45787</v>
      </c>
      <c r="UV1" s="70">
        <f t="shared" ref="UV1" si="280">UU1+1</f>
        <v>45788</v>
      </c>
      <c r="UW1" s="70">
        <f t="shared" ref="UW1" si="281">UV1+1</f>
        <v>45789</v>
      </c>
      <c r="UX1" s="70">
        <f t="shared" ref="UX1" si="282">UW1+1</f>
        <v>45790</v>
      </c>
      <c r="UY1" s="70">
        <f t="shared" ref="UY1" si="283">UX1+1</f>
        <v>45791</v>
      </c>
      <c r="UZ1" s="70">
        <f t="shared" ref="UZ1" si="284">UY1+1</f>
        <v>45792</v>
      </c>
      <c r="VA1" s="70">
        <f t="shared" ref="VA1" si="285">UZ1+1</f>
        <v>45793</v>
      </c>
      <c r="VB1" s="70">
        <f t="shared" ref="VB1" si="286">VA1+1</f>
        <v>45794</v>
      </c>
      <c r="VC1" s="70">
        <f t="shared" ref="VC1" si="287">VB1+1</f>
        <v>45795</v>
      </c>
      <c r="VD1" s="70">
        <f t="shared" ref="VD1" si="288">VC1+1</f>
        <v>45796</v>
      </c>
      <c r="VE1" s="70">
        <f t="shared" ref="VE1" si="289">VD1+1</f>
        <v>45797</v>
      </c>
      <c r="VF1" s="70">
        <f t="shared" ref="VF1" si="290">VE1+1</f>
        <v>45798</v>
      </c>
      <c r="VG1" s="70">
        <f t="shared" ref="VG1" si="291">VF1+1</f>
        <v>45799</v>
      </c>
      <c r="VH1" s="70">
        <f t="shared" ref="VH1" si="292">VG1+1</f>
        <v>45800</v>
      </c>
      <c r="VI1" s="70">
        <f t="shared" ref="VI1" si="293">VH1+1</f>
        <v>45801</v>
      </c>
      <c r="VJ1" s="70">
        <f t="shared" ref="VJ1" si="294">VI1+1</f>
        <v>45802</v>
      </c>
      <c r="VK1" s="70">
        <f t="shared" ref="VK1" si="295">VJ1+1</f>
        <v>45803</v>
      </c>
      <c r="VL1" s="70">
        <f t="shared" ref="VL1" si="296">VK1+1</f>
        <v>45804</v>
      </c>
      <c r="VM1" s="70">
        <f t="shared" ref="VM1" si="297">VL1+1</f>
        <v>45805</v>
      </c>
      <c r="VN1" s="70">
        <f t="shared" ref="VN1" si="298">VM1+1</f>
        <v>45806</v>
      </c>
      <c r="VO1" s="70">
        <f t="shared" ref="VO1" si="299">VN1+1</f>
        <v>45807</v>
      </c>
      <c r="VP1" s="70">
        <f t="shared" ref="VP1" si="300">VO1+1</f>
        <v>45808</v>
      </c>
      <c r="VQ1" s="70">
        <f t="shared" ref="VQ1" si="301">VP1+1</f>
        <v>45809</v>
      </c>
      <c r="VR1" s="70">
        <f t="shared" ref="VR1" si="302">VQ1+1</f>
        <v>45810</v>
      </c>
      <c r="VS1" s="70">
        <f t="shared" ref="VS1" si="303">VR1+1</f>
        <v>45811</v>
      </c>
      <c r="VT1" s="70">
        <f t="shared" ref="VT1" si="304">VS1+1</f>
        <v>45812</v>
      </c>
      <c r="VU1" s="70">
        <f t="shared" ref="VU1" si="305">VT1+1</f>
        <v>45813</v>
      </c>
      <c r="VV1" s="70">
        <f t="shared" ref="VV1" si="306">VU1+1</f>
        <v>45814</v>
      </c>
      <c r="VW1" s="70">
        <f t="shared" ref="VW1" si="307">VV1+1</f>
        <v>45815</v>
      </c>
      <c r="VX1" s="70">
        <f t="shared" ref="VX1" si="308">VW1+1</f>
        <v>45816</v>
      </c>
      <c r="VY1" s="70">
        <f t="shared" ref="VY1" si="309">VX1+1</f>
        <v>45817</v>
      </c>
      <c r="VZ1" s="70">
        <f t="shared" ref="VZ1" si="310">VY1+1</f>
        <v>45818</v>
      </c>
      <c r="WA1" s="70">
        <f t="shared" ref="WA1" si="311">VZ1+1</f>
        <v>45819</v>
      </c>
      <c r="WB1" s="70">
        <f t="shared" ref="WB1" si="312">WA1+1</f>
        <v>45820</v>
      </c>
      <c r="WC1" s="70">
        <f t="shared" ref="WC1" si="313">WB1+1</f>
        <v>45821</v>
      </c>
      <c r="WD1" s="70">
        <f t="shared" ref="WD1" si="314">WC1+1</f>
        <v>45822</v>
      </c>
      <c r="WE1" s="70">
        <f t="shared" ref="WE1" si="315">WD1+1</f>
        <v>45823</v>
      </c>
      <c r="WF1" s="70">
        <f t="shared" ref="WF1" si="316">WE1+1</f>
        <v>45824</v>
      </c>
      <c r="WG1" s="70">
        <f t="shared" ref="WG1" si="317">WF1+1</f>
        <v>45825</v>
      </c>
      <c r="WH1" s="70">
        <f t="shared" ref="WH1" si="318">WG1+1</f>
        <v>45826</v>
      </c>
      <c r="WI1" s="70">
        <f t="shared" ref="WI1" si="319">WH1+1</f>
        <v>45827</v>
      </c>
      <c r="WJ1" s="70">
        <f t="shared" ref="WJ1" si="320">WI1+1</f>
        <v>45828</v>
      </c>
      <c r="WK1" s="70">
        <f t="shared" ref="WK1" si="321">WJ1+1</f>
        <v>45829</v>
      </c>
      <c r="WL1" s="70">
        <f t="shared" ref="WL1" si="322">WK1+1</f>
        <v>45830</v>
      </c>
      <c r="WM1" s="70">
        <f t="shared" ref="WM1" si="323">WL1+1</f>
        <v>45831</v>
      </c>
      <c r="WN1" s="70">
        <f t="shared" ref="WN1" si="324">WM1+1</f>
        <v>45832</v>
      </c>
      <c r="WO1" s="70">
        <f t="shared" ref="WO1" si="325">WN1+1</f>
        <v>45833</v>
      </c>
      <c r="WP1" s="70">
        <f t="shared" ref="WP1" si="326">WO1+1</f>
        <v>45834</v>
      </c>
      <c r="WQ1" s="70">
        <f t="shared" ref="WQ1" si="327">WP1+1</f>
        <v>45835</v>
      </c>
      <c r="WR1" s="70">
        <f t="shared" ref="WR1" si="328">WQ1+1</f>
        <v>45836</v>
      </c>
      <c r="WS1" s="70">
        <f t="shared" ref="WS1" si="329">WR1+1</f>
        <v>45837</v>
      </c>
      <c r="WT1" s="70">
        <f t="shared" ref="WT1" si="330">WS1+1</f>
        <v>45838</v>
      </c>
      <c r="WU1" s="70">
        <f t="shared" ref="WU1" si="331">WT1+1</f>
        <v>45839</v>
      </c>
      <c r="WV1" s="70">
        <f t="shared" ref="WV1" si="332">WU1+1</f>
        <v>45840</v>
      </c>
      <c r="WW1" s="70">
        <f t="shared" ref="WW1" si="333">WV1+1</f>
        <v>45841</v>
      </c>
      <c r="WX1" s="70">
        <f t="shared" ref="WX1" si="334">WW1+1</f>
        <v>45842</v>
      </c>
      <c r="WY1" s="70">
        <f t="shared" ref="WY1" si="335">WX1+1</f>
        <v>45843</v>
      </c>
      <c r="WZ1" s="70">
        <f t="shared" ref="WZ1" si="336">WY1+1</f>
        <v>45844</v>
      </c>
      <c r="XA1" s="70">
        <f t="shared" ref="XA1" si="337">WZ1+1</f>
        <v>45845</v>
      </c>
      <c r="XB1" s="70">
        <f t="shared" ref="XB1" si="338">XA1+1</f>
        <v>45846</v>
      </c>
      <c r="XC1" s="70">
        <f t="shared" ref="XC1" si="339">XB1+1</f>
        <v>45847</v>
      </c>
      <c r="XD1" s="70">
        <f t="shared" ref="XD1" si="340">XC1+1</f>
        <v>45848</v>
      </c>
      <c r="XE1" s="70">
        <f t="shared" ref="XE1" si="341">XD1+1</f>
        <v>45849</v>
      </c>
      <c r="XF1" s="70">
        <f t="shared" ref="XF1" si="342">XE1+1</f>
        <v>45850</v>
      </c>
      <c r="XG1" s="70">
        <f t="shared" ref="XG1" si="343">XF1+1</f>
        <v>45851</v>
      </c>
      <c r="XH1" s="70">
        <f t="shared" ref="XH1" si="344">XG1+1</f>
        <v>45852</v>
      </c>
      <c r="XI1" s="70">
        <f t="shared" ref="XI1" si="345">XH1+1</f>
        <v>45853</v>
      </c>
      <c r="XJ1" s="70">
        <f t="shared" ref="XJ1" si="346">XI1+1</f>
        <v>45854</v>
      </c>
      <c r="XK1" s="70">
        <f t="shared" ref="XK1" si="347">XJ1+1</f>
        <v>45855</v>
      </c>
      <c r="XL1" s="70">
        <f t="shared" ref="XL1" si="348">XK1+1</f>
        <v>45856</v>
      </c>
      <c r="XM1" s="70">
        <f t="shared" ref="XM1" si="349">XL1+1</f>
        <v>45857</v>
      </c>
      <c r="XN1" s="70">
        <f t="shared" ref="XN1" si="350">XM1+1</f>
        <v>45858</v>
      </c>
      <c r="XO1" s="70">
        <f t="shared" ref="XO1" si="351">XN1+1</f>
        <v>45859</v>
      </c>
      <c r="XP1" s="70">
        <f t="shared" ref="XP1" si="352">XO1+1</f>
        <v>45860</v>
      </c>
      <c r="XQ1" s="70">
        <f t="shared" ref="XQ1" si="353">XP1+1</f>
        <v>45861</v>
      </c>
      <c r="XR1" s="70">
        <f t="shared" ref="XR1" si="354">XQ1+1</f>
        <v>45862</v>
      </c>
      <c r="XS1" s="70">
        <f t="shared" ref="XS1" si="355">XR1+1</f>
        <v>45863</v>
      </c>
      <c r="XT1" s="70">
        <f t="shared" ref="XT1" si="356">XS1+1</f>
        <v>45864</v>
      </c>
      <c r="XU1" s="70">
        <f t="shared" ref="XU1" si="357">XT1+1</f>
        <v>45865</v>
      </c>
      <c r="XV1" s="70">
        <f t="shared" ref="XV1" si="358">XU1+1</f>
        <v>45866</v>
      </c>
      <c r="XW1" s="70">
        <f t="shared" ref="XW1" si="359">XV1+1</f>
        <v>45867</v>
      </c>
      <c r="XX1" s="70">
        <f t="shared" ref="XX1" si="360">XW1+1</f>
        <v>45868</v>
      </c>
      <c r="XY1" s="70">
        <f t="shared" ref="XY1" si="361">XX1+1</f>
        <v>45869</v>
      </c>
      <c r="XZ1" s="70">
        <f t="shared" ref="XZ1" si="362">XY1+1</f>
        <v>45870</v>
      </c>
      <c r="YA1" s="70">
        <f t="shared" ref="YA1" si="363">XZ1+1</f>
        <v>45871</v>
      </c>
      <c r="YB1" s="70">
        <f t="shared" ref="YB1" si="364">YA1+1</f>
        <v>45872</v>
      </c>
      <c r="YC1" s="70">
        <f t="shared" ref="YC1" si="365">YB1+1</f>
        <v>45873</v>
      </c>
      <c r="YD1" s="70">
        <f t="shared" ref="YD1" si="366">YC1+1</f>
        <v>45874</v>
      </c>
      <c r="YE1" s="70">
        <f t="shared" ref="YE1" si="367">YD1+1</f>
        <v>45875</v>
      </c>
      <c r="YF1" s="70">
        <f t="shared" ref="YF1" si="368">YE1+1</f>
        <v>45876</v>
      </c>
      <c r="YG1" s="70">
        <f t="shared" ref="YG1" si="369">YF1+1</f>
        <v>45877</v>
      </c>
      <c r="YH1" s="70">
        <f t="shared" ref="YH1" si="370">YG1+1</f>
        <v>45878</v>
      </c>
      <c r="YI1" s="70">
        <f t="shared" ref="YI1" si="371">YH1+1</f>
        <v>45879</v>
      </c>
      <c r="YJ1" s="70">
        <f t="shared" ref="YJ1" si="372">YI1+1</f>
        <v>45880</v>
      </c>
      <c r="YK1" s="70">
        <f t="shared" ref="YK1" si="373">YJ1+1</f>
        <v>45881</v>
      </c>
      <c r="YL1" s="70">
        <f t="shared" ref="YL1" si="374">YK1+1</f>
        <v>45882</v>
      </c>
      <c r="YM1" s="70">
        <f t="shared" ref="YM1" si="375">YL1+1</f>
        <v>45883</v>
      </c>
      <c r="YN1" s="70">
        <f t="shared" ref="YN1" si="376">YM1+1</f>
        <v>45884</v>
      </c>
      <c r="YO1" s="70">
        <f t="shared" ref="YO1" si="377">YN1+1</f>
        <v>45885</v>
      </c>
      <c r="YP1" s="70">
        <f t="shared" ref="YP1" si="378">YO1+1</f>
        <v>45886</v>
      </c>
      <c r="YQ1" s="70">
        <f t="shared" ref="YQ1" si="379">YP1+1</f>
        <v>45887</v>
      </c>
      <c r="YR1" s="70">
        <f t="shared" ref="YR1" si="380">YQ1+1</f>
        <v>45888</v>
      </c>
      <c r="YS1" s="70">
        <f t="shared" ref="YS1" si="381">YR1+1</f>
        <v>45889</v>
      </c>
      <c r="YT1" s="70">
        <f t="shared" ref="YT1" si="382">YS1+1</f>
        <v>45890</v>
      </c>
      <c r="YU1" s="70">
        <f t="shared" ref="YU1" si="383">YT1+1</f>
        <v>45891</v>
      </c>
      <c r="YV1" s="70">
        <f t="shared" ref="YV1" si="384">YU1+1</f>
        <v>45892</v>
      </c>
      <c r="YW1" s="70">
        <f t="shared" ref="YW1" si="385">YV1+1</f>
        <v>45893</v>
      </c>
      <c r="YX1" s="70">
        <f t="shared" ref="YX1" si="386">YW1+1</f>
        <v>45894</v>
      </c>
      <c r="YY1" s="70">
        <f t="shared" ref="YY1" si="387">YX1+1</f>
        <v>45895</v>
      </c>
      <c r="YZ1" s="70">
        <f t="shared" ref="YZ1" si="388">YY1+1</f>
        <v>45896</v>
      </c>
      <c r="ZA1" s="70">
        <f t="shared" ref="ZA1" si="389">YZ1+1</f>
        <v>45897</v>
      </c>
      <c r="ZB1" s="70">
        <f t="shared" ref="ZB1" si="390">ZA1+1</f>
        <v>45898</v>
      </c>
      <c r="ZC1" s="70">
        <f t="shared" ref="ZC1" si="391">ZB1+1</f>
        <v>45899</v>
      </c>
      <c r="ZD1" s="70">
        <f t="shared" ref="ZD1" si="392">ZC1+1</f>
        <v>45900</v>
      </c>
      <c r="ZE1" s="70">
        <f t="shared" ref="ZE1" si="393">ZD1+1</f>
        <v>45901</v>
      </c>
      <c r="ZF1" s="70">
        <f t="shared" ref="ZF1" si="394">ZE1+1</f>
        <v>45902</v>
      </c>
      <c r="ZG1" s="70">
        <f t="shared" ref="ZG1" si="395">ZF1+1</f>
        <v>45903</v>
      </c>
      <c r="ZH1" s="70">
        <f t="shared" ref="ZH1" si="396">ZG1+1</f>
        <v>45904</v>
      </c>
      <c r="ZI1" s="70">
        <f t="shared" ref="ZI1" si="397">ZH1+1</f>
        <v>45905</v>
      </c>
      <c r="ZJ1" s="70">
        <f t="shared" ref="ZJ1" si="398">ZI1+1</f>
        <v>45906</v>
      </c>
      <c r="ZK1" s="70">
        <f t="shared" ref="ZK1" si="399">ZJ1+1</f>
        <v>45907</v>
      </c>
      <c r="ZL1" s="70">
        <f t="shared" ref="ZL1" si="400">ZK1+1</f>
        <v>45908</v>
      </c>
      <c r="ZM1" s="70">
        <f t="shared" ref="ZM1" si="401">ZL1+1</f>
        <v>45909</v>
      </c>
      <c r="ZN1" s="70">
        <f t="shared" ref="ZN1" si="402">ZM1+1</f>
        <v>45910</v>
      </c>
      <c r="ZO1" s="70">
        <f t="shared" ref="ZO1" si="403">ZN1+1</f>
        <v>45911</v>
      </c>
      <c r="ZP1" s="70">
        <f t="shared" ref="ZP1" si="404">ZO1+1</f>
        <v>45912</v>
      </c>
      <c r="ZQ1" s="70">
        <f t="shared" ref="ZQ1" si="405">ZP1+1</f>
        <v>45913</v>
      </c>
      <c r="ZR1" s="70">
        <f t="shared" ref="ZR1" si="406">ZQ1+1</f>
        <v>45914</v>
      </c>
      <c r="ZS1" s="70">
        <f t="shared" ref="ZS1" si="407">ZR1+1</f>
        <v>45915</v>
      </c>
      <c r="ZT1" s="70">
        <f t="shared" ref="ZT1" si="408">ZS1+1</f>
        <v>45916</v>
      </c>
      <c r="ZU1" s="70">
        <f t="shared" ref="ZU1" si="409">ZT1+1</f>
        <v>45917</v>
      </c>
      <c r="ZV1" s="70">
        <f t="shared" ref="ZV1" si="410">ZU1+1</f>
        <v>45918</v>
      </c>
      <c r="ZW1" s="70">
        <f t="shared" ref="ZW1" si="411">ZV1+1</f>
        <v>45919</v>
      </c>
      <c r="ZX1" s="70">
        <f t="shared" ref="ZX1" si="412">ZW1+1</f>
        <v>45920</v>
      </c>
      <c r="ZY1" s="70">
        <f t="shared" ref="ZY1" si="413">ZX1+1</f>
        <v>45921</v>
      </c>
      <c r="ZZ1" s="70">
        <f t="shared" ref="ZZ1" si="414">ZY1+1</f>
        <v>45922</v>
      </c>
      <c r="AAA1" s="70">
        <f t="shared" ref="AAA1" si="415">ZZ1+1</f>
        <v>45923</v>
      </c>
      <c r="AAB1" s="70">
        <f t="shared" ref="AAB1" si="416">AAA1+1</f>
        <v>45924</v>
      </c>
      <c r="AAC1" s="70">
        <f t="shared" ref="AAC1" si="417">AAB1+1</f>
        <v>45925</v>
      </c>
      <c r="AAD1" s="70">
        <f t="shared" ref="AAD1" si="418">AAC1+1</f>
        <v>45926</v>
      </c>
      <c r="AAE1" s="70">
        <f t="shared" ref="AAE1" si="419">AAD1+1</f>
        <v>45927</v>
      </c>
      <c r="AAF1" s="70">
        <f t="shared" ref="AAF1" si="420">AAE1+1</f>
        <v>45928</v>
      </c>
      <c r="AAG1" s="70">
        <f t="shared" ref="AAG1" si="421">AAF1+1</f>
        <v>45929</v>
      </c>
      <c r="AAH1" s="70">
        <f t="shared" ref="AAH1" si="422">AAG1+1</f>
        <v>45930</v>
      </c>
      <c r="AAI1" s="70">
        <f t="shared" ref="AAI1" si="423">AAH1+1</f>
        <v>45931</v>
      </c>
      <c r="AAJ1" s="70">
        <f t="shared" ref="AAJ1:ABO1" si="424">AAI1+1</f>
        <v>45932</v>
      </c>
      <c r="AAK1" s="70">
        <f t="shared" si="424"/>
        <v>45933</v>
      </c>
      <c r="AAL1" s="70">
        <f t="shared" si="424"/>
        <v>45934</v>
      </c>
      <c r="AAM1" s="70">
        <f t="shared" si="424"/>
        <v>45935</v>
      </c>
      <c r="AAN1" s="70">
        <f t="shared" si="424"/>
        <v>45936</v>
      </c>
      <c r="AAO1" s="70">
        <f t="shared" si="424"/>
        <v>45937</v>
      </c>
      <c r="AAP1" s="70">
        <f t="shared" si="424"/>
        <v>45938</v>
      </c>
      <c r="AAQ1" s="70">
        <f t="shared" si="424"/>
        <v>45939</v>
      </c>
      <c r="AAR1" s="70">
        <f t="shared" si="424"/>
        <v>45940</v>
      </c>
      <c r="AAS1" s="70">
        <f t="shared" si="424"/>
        <v>45941</v>
      </c>
      <c r="AAT1" s="70">
        <f t="shared" si="424"/>
        <v>45942</v>
      </c>
      <c r="AAU1" s="70">
        <f t="shared" si="424"/>
        <v>45943</v>
      </c>
      <c r="AAV1" s="70">
        <f t="shared" si="424"/>
        <v>45944</v>
      </c>
      <c r="AAW1" s="70">
        <f t="shared" si="424"/>
        <v>45945</v>
      </c>
      <c r="AAX1" s="70">
        <f t="shared" si="424"/>
        <v>45946</v>
      </c>
      <c r="AAY1" s="70">
        <f t="shared" si="424"/>
        <v>45947</v>
      </c>
      <c r="AAZ1" s="70">
        <f t="shared" si="424"/>
        <v>45948</v>
      </c>
      <c r="ABA1" s="70">
        <f t="shared" si="424"/>
        <v>45949</v>
      </c>
      <c r="ABB1" s="70">
        <f t="shared" si="424"/>
        <v>45950</v>
      </c>
      <c r="ABC1" s="70">
        <f t="shared" si="424"/>
        <v>45951</v>
      </c>
      <c r="ABD1" s="70">
        <f t="shared" si="424"/>
        <v>45952</v>
      </c>
      <c r="ABE1" s="70">
        <f t="shared" si="424"/>
        <v>45953</v>
      </c>
      <c r="ABF1" s="70">
        <f t="shared" si="424"/>
        <v>45954</v>
      </c>
      <c r="ABG1" s="70">
        <f t="shared" si="424"/>
        <v>45955</v>
      </c>
      <c r="ABH1" s="70">
        <f t="shared" si="424"/>
        <v>45956</v>
      </c>
      <c r="ABI1" s="70">
        <f t="shared" si="424"/>
        <v>45957</v>
      </c>
      <c r="ABJ1" s="70">
        <f t="shared" si="424"/>
        <v>45958</v>
      </c>
      <c r="ABK1" s="70">
        <f t="shared" si="424"/>
        <v>45959</v>
      </c>
      <c r="ABL1" s="70">
        <f t="shared" si="424"/>
        <v>45960</v>
      </c>
      <c r="ABM1" s="70">
        <f t="shared" si="424"/>
        <v>45961</v>
      </c>
      <c r="ABN1" s="70">
        <f t="shared" si="424"/>
        <v>45962</v>
      </c>
      <c r="ABO1" s="70">
        <f t="shared" si="424"/>
        <v>45963</v>
      </c>
      <c r="ABP1" s="70">
        <f t="shared" ref="ABP1:ACT1" si="425">ABO1+1</f>
        <v>45964</v>
      </c>
      <c r="ABQ1" s="70">
        <f t="shared" si="425"/>
        <v>45965</v>
      </c>
      <c r="ABR1" s="70">
        <f t="shared" si="425"/>
        <v>45966</v>
      </c>
      <c r="ABS1" s="70">
        <f t="shared" si="425"/>
        <v>45967</v>
      </c>
      <c r="ABT1" s="70">
        <f t="shared" si="425"/>
        <v>45968</v>
      </c>
      <c r="ABU1" s="70">
        <f t="shared" si="425"/>
        <v>45969</v>
      </c>
      <c r="ABV1" s="70">
        <f t="shared" si="425"/>
        <v>45970</v>
      </c>
      <c r="ABW1" s="70">
        <f t="shared" si="425"/>
        <v>45971</v>
      </c>
      <c r="ABX1" s="70">
        <f t="shared" si="425"/>
        <v>45972</v>
      </c>
      <c r="ABY1" s="70">
        <f t="shared" si="425"/>
        <v>45973</v>
      </c>
      <c r="ABZ1" s="70">
        <f t="shared" si="425"/>
        <v>45974</v>
      </c>
      <c r="ACA1" s="70">
        <f t="shared" si="425"/>
        <v>45975</v>
      </c>
      <c r="ACB1" s="70">
        <f t="shared" si="425"/>
        <v>45976</v>
      </c>
      <c r="ACC1" s="70">
        <f t="shared" si="425"/>
        <v>45977</v>
      </c>
      <c r="ACD1" s="70">
        <f t="shared" si="425"/>
        <v>45978</v>
      </c>
      <c r="ACE1" s="70">
        <f t="shared" si="425"/>
        <v>45979</v>
      </c>
      <c r="ACF1" s="70">
        <f t="shared" si="425"/>
        <v>45980</v>
      </c>
      <c r="ACG1" s="70">
        <f t="shared" si="425"/>
        <v>45981</v>
      </c>
      <c r="ACH1" s="70">
        <f t="shared" si="425"/>
        <v>45982</v>
      </c>
      <c r="ACI1" s="70">
        <f t="shared" si="425"/>
        <v>45983</v>
      </c>
      <c r="ACJ1" s="70">
        <f t="shared" si="425"/>
        <v>45984</v>
      </c>
      <c r="ACK1" s="70">
        <f t="shared" si="425"/>
        <v>45985</v>
      </c>
      <c r="ACL1" s="70">
        <f t="shared" si="425"/>
        <v>45986</v>
      </c>
      <c r="ACM1" s="70">
        <f t="shared" si="425"/>
        <v>45987</v>
      </c>
      <c r="ACN1" s="70">
        <f t="shared" si="425"/>
        <v>45988</v>
      </c>
      <c r="ACO1" s="70">
        <f t="shared" si="425"/>
        <v>45989</v>
      </c>
      <c r="ACP1" s="70">
        <f t="shared" si="425"/>
        <v>45990</v>
      </c>
      <c r="ACQ1" s="70">
        <f t="shared" si="425"/>
        <v>45991</v>
      </c>
      <c r="ACR1" s="70">
        <f t="shared" si="425"/>
        <v>45992</v>
      </c>
      <c r="ACS1" s="70">
        <f t="shared" si="425"/>
        <v>45993</v>
      </c>
      <c r="ACT1" s="70">
        <f t="shared" si="425"/>
        <v>45994</v>
      </c>
      <c r="ACU1" s="70">
        <f t="shared" ref="ACU1:AEC1" si="426">ACT1+1</f>
        <v>45995</v>
      </c>
      <c r="ACV1" s="70">
        <f t="shared" si="426"/>
        <v>45996</v>
      </c>
      <c r="ACW1" s="70">
        <f t="shared" si="426"/>
        <v>45997</v>
      </c>
      <c r="ACX1" s="70">
        <f t="shared" si="426"/>
        <v>45998</v>
      </c>
      <c r="ACY1" s="70">
        <f t="shared" si="426"/>
        <v>45999</v>
      </c>
      <c r="ACZ1" s="70">
        <f t="shared" si="426"/>
        <v>46000</v>
      </c>
      <c r="ADA1" s="70">
        <f t="shared" si="426"/>
        <v>46001</v>
      </c>
      <c r="ADB1" s="70">
        <f t="shared" si="426"/>
        <v>46002</v>
      </c>
      <c r="ADC1" s="70">
        <f t="shared" si="426"/>
        <v>46003</v>
      </c>
      <c r="ADD1" s="70">
        <f t="shared" si="426"/>
        <v>46004</v>
      </c>
      <c r="ADE1" s="70">
        <f t="shared" si="426"/>
        <v>46005</v>
      </c>
      <c r="ADF1" s="70">
        <f t="shared" si="426"/>
        <v>46006</v>
      </c>
      <c r="ADG1" s="70">
        <f t="shared" si="426"/>
        <v>46007</v>
      </c>
      <c r="ADH1" s="70">
        <f t="shared" si="426"/>
        <v>46008</v>
      </c>
      <c r="ADI1" s="70">
        <f t="shared" si="426"/>
        <v>46009</v>
      </c>
      <c r="ADJ1" s="70">
        <f t="shared" si="426"/>
        <v>46010</v>
      </c>
      <c r="ADK1" s="70">
        <f t="shared" si="426"/>
        <v>46011</v>
      </c>
      <c r="ADL1" s="70">
        <f t="shared" si="426"/>
        <v>46012</v>
      </c>
      <c r="ADM1" s="70">
        <f t="shared" si="426"/>
        <v>46013</v>
      </c>
      <c r="ADN1" s="70">
        <f t="shared" si="426"/>
        <v>46014</v>
      </c>
      <c r="ADO1" s="70">
        <f t="shared" si="426"/>
        <v>46015</v>
      </c>
      <c r="ADP1" s="70">
        <f t="shared" si="426"/>
        <v>46016</v>
      </c>
      <c r="ADQ1" s="70">
        <f t="shared" si="426"/>
        <v>46017</v>
      </c>
      <c r="ADR1" s="70">
        <f t="shared" si="426"/>
        <v>46018</v>
      </c>
      <c r="ADS1" s="70">
        <f t="shared" si="426"/>
        <v>46019</v>
      </c>
      <c r="ADT1" s="70">
        <f t="shared" si="426"/>
        <v>46020</v>
      </c>
      <c r="ADU1" s="70">
        <f t="shared" si="426"/>
        <v>46021</v>
      </c>
      <c r="ADV1" s="70">
        <f t="shared" si="426"/>
        <v>46022</v>
      </c>
      <c r="ADW1" s="70">
        <f t="shared" si="426"/>
        <v>46023</v>
      </c>
      <c r="ADX1" s="70">
        <f t="shared" si="426"/>
        <v>46024</v>
      </c>
      <c r="ADY1" s="70">
        <f t="shared" si="426"/>
        <v>46025</v>
      </c>
      <c r="ADZ1" s="70">
        <f t="shared" si="426"/>
        <v>46026</v>
      </c>
      <c r="AEA1" s="70">
        <f t="shared" si="426"/>
        <v>46027</v>
      </c>
      <c r="AEB1" s="70">
        <f t="shared" si="426"/>
        <v>46028</v>
      </c>
      <c r="AEC1" s="70">
        <f t="shared" si="426"/>
        <v>46029</v>
      </c>
      <c r="AED1" s="70">
        <f t="shared" ref="AED1:AFI1" si="427">AEC1+1</f>
        <v>46030</v>
      </c>
      <c r="AEE1" s="70">
        <f t="shared" si="427"/>
        <v>46031</v>
      </c>
      <c r="AEF1" s="70">
        <f t="shared" si="427"/>
        <v>46032</v>
      </c>
      <c r="AEG1" s="70">
        <f t="shared" si="427"/>
        <v>46033</v>
      </c>
      <c r="AEH1" s="70">
        <f t="shared" si="427"/>
        <v>46034</v>
      </c>
      <c r="AEI1" s="70">
        <f t="shared" si="427"/>
        <v>46035</v>
      </c>
      <c r="AEJ1" s="70">
        <f t="shared" si="427"/>
        <v>46036</v>
      </c>
      <c r="AEK1" s="70">
        <f t="shared" si="427"/>
        <v>46037</v>
      </c>
      <c r="AEL1" s="70">
        <f t="shared" si="427"/>
        <v>46038</v>
      </c>
      <c r="AEM1" s="70">
        <f t="shared" si="427"/>
        <v>46039</v>
      </c>
      <c r="AEN1" s="70">
        <f t="shared" si="427"/>
        <v>46040</v>
      </c>
      <c r="AEO1" s="70">
        <f t="shared" si="427"/>
        <v>46041</v>
      </c>
      <c r="AEP1" s="70">
        <f t="shared" si="427"/>
        <v>46042</v>
      </c>
      <c r="AEQ1" s="70">
        <f t="shared" si="427"/>
        <v>46043</v>
      </c>
      <c r="AER1" s="70">
        <f t="shared" si="427"/>
        <v>46044</v>
      </c>
      <c r="AES1" s="70">
        <f t="shared" si="427"/>
        <v>46045</v>
      </c>
      <c r="AET1" s="70">
        <f t="shared" si="427"/>
        <v>46046</v>
      </c>
      <c r="AEU1" s="70">
        <f t="shared" si="427"/>
        <v>46047</v>
      </c>
      <c r="AEV1" s="70">
        <f t="shared" si="427"/>
        <v>46048</v>
      </c>
      <c r="AEW1" s="70">
        <f t="shared" si="427"/>
        <v>46049</v>
      </c>
      <c r="AEX1" s="70">
        <f t="shared" si="427"/>
        <v>46050</v>
      </c>
      <c r="AEY1" s="70">
        <f t="shared" si="427"/>
        <v>46051</v>
      </c>
      <c r="AEZ1" s="70">
        <f t="shared" si="427"/>
        <v>46052</v>
      </c>
      <c r="AFA1" s="70">
        <f t="shared" si="427"/>
        <v>46053</v>
      </c>
      <c r="AFB1" s="70">
        <f t="shared" si="427"/>
        <v>46054</v>
      </c>
      <c r="AFC1" s="70">
        <f t="shared" si="427"/>
        <v>46055</v>
      </c>
      <c r="AFD1" s="70">
        <f t="shared" si="427"/>
        <v>46056</v>
      </c>
      <c r="AFE1" s="70">
        <f t="shared" si="427"/>
        <v>46057</v>
      </c>
      <c r="AFF1" s="70">
        <f t="shared" si="427"/>
        <v>46058</v>
      </c>
      <c r="AFG1" s="70">
        <f t="shared" si="427"/>
        <v>46059</v>
      </c>
      <c r="AFH1" s="70">
        <f t="shared" si="427"/>
        <v>46060</v>
      </c>
      <c r="AFI1" s="70">
        <f t="shared" si="427"/>
        <v>46061</v>
      </c>
      <c r="AFJ1" s="70">
        <f t="shared" ref="AFJ1:AGO1" si="428">AFI1+1</f>
        <v>46062</v>
      </c>
      <c r="AFK1" s="70">
        <f t="shared" si="428"/>
        <v>46063</v>
      </c>
      <c r="AFL1" s="70">
        <f t="shared" si="428"/>
        <v>46064</v>
      </c>
      <c r="AFM1" s="70">
        <f t="shared" si="428"/>
        <v>46065</v>
      </c>
      <c r="AFN1" s="70">
        <f t="shared" si="428"/>
        <v>46066</v>
      </c>
      <c r="AFO1" s="70">
        <f t="shared" si="428"/>
        <v>46067</v>
      </c>
      <c r="AFP1" s="70">
        <f t="shared" si="428"/>
        <v>46068</v>
      </c>
      <c r="AFQ1" s="70">
        <f t="shared" si="428"/>
        <v>46069</v>
      </c>
      <c r="AFR1" s="70">
        <f t="shared" si="428"/>
        <v>46070</v>
      </c>
      <c r="AFS1" s="70">
        <f t="shared" si="428"/>
        <v>46071</v>
      </c>
      <c r="AFT1" s="70">
        <f t="shared" si="428"/>
        <v>46072</v>
      </c>
      <c r="AFU1" s="70">
        <f t="shared" si="428"/>
        <v>46073</v>
      </c>
      <c r="AFV1" s="70">
        <f t="shared" si="428"/>
        <v>46074</v>
      </c>
      <c r="AFW1" s="70">
        <f t="shared" si="428"/>
        <v>46075</v>
      </c>
      <c r="AFX1" s="70">
        <f t="shared" si="428"/>
        <v>46076</v>
      </c>
      <c r="AFY1" s="70">
        <f t="shared" si="428"/>
        <v>46077</v>
      </c>
      <c r="AFZ1" s="70">
        <f t="shared" si="428"/>
        <v>46078</v>
      </c>
      <c r="AGA1" s="70">
        <f t="shared" si="428"/>
        <v>46079</v>
      </c>
      <c r="AGB1" s="70">
        <f t="shared" si="428"/>
        <v>46080</v>
      </c>
      <c r="AGC1" s="70">
        <f t="shared" si="428"/>
        <v>46081</v>
      </c>
      <c r="AGD1" s="76">
        <f t="shared" si="428"/>
        <v>46082</v>
      </c>
      <c r="AGE1" s="70">
        <f t="shared" si="428"/>
        <v>46083</v>
      </c>
      <c r="AGF1" s="70">
        <f t="shared" si="428"/>
        <v>46084</v>
      </c>
      <c r="AGG1" s="70">
        <f t="shared" si="428"/>
        <v>46085</v>
      </c>
      <c r="AGH1" s="70">
        <f t="shared" si="428"/>
        <v>46086</v>
      </c>
      <c r="AGI1" s="70">
        <f t="shared" si="428"/>
        <v>46087</v>
      </c>
      <c r="AGJ1" s="70">
        <f t="shared" si="428"/>
        <v>46088</v>
      </c>
      <c r="AGK1" s="70">
        <f t="shared" si="428"/>
        <v>46089</v>
      </c>
      <c r="AGL1" s="70">
        <f t="shared" si="428"/>
        <v>46090</v>
      </c>
      <c r="AGM1" s="70">
        <f t="shared" si="428"/>
        <v>46091</v>
      </c>
      <c r="AGN1" s="70">
        <f t="shared" si="428"/>
        <v>46092</v>
      </c>
      <c r="AGO1" s="70">
        <f t="shared" si="428"/>
        <v>46093</v>
      </c>
      <c r="AGP1" s="70">
        <f t="shared" ref="AGP1:AGW1" si="429">AGO1+1</f>
        <v>46094</v>
      </c>
      <c r="AGQ1" s="70">
        <f t="shared" si="429"/>
        <v>46095</v>
      </c>
      <c r="AGR1" s="70">
        <f t="shared" si="429"/>
        <v>46096</v>
      </c>
      <c r="AGS1" s="70">
        <f t="shared" si="429"/>
        <v>46097</v>
      </c>
      <c r="AGT1" s="70">
        <f t="shared" si="429"/>
        <v>46098</v>
      </c>
      <c r="AGU1" s="70">
        <f t="shared" si="429"/>
        <v>46099</v>
      </c>
      <c r="AGV1" s="70">
        <f t="shared" si="429"/>
        <v>46100</v>
      </c>
      <c r="AGW1" s="70">
        <f t="shared" si="429"/>
        <v>46101</v>
      </c>
      <c r="AGX1" s="70">
        <f>AGW1+1</f>
        <v>46102</v>
      </c>
      <c r="AGY1" s="70">
        <f>AGX1+1</f>
        <v>46103</v>
      </c>
      <c r="AGZ1" s="70">
        <f>AGY1+1</f>
        <v>46104</v>
      </c>
      <c r="AHA1" s="70">
        <f>AGZ1+1</f>
        <v>46105</v>
      </c>
      <c r="AHB1" s="70">
        <f t="shared" ref="AHB1:AHP1" si="430">AHA1+1</f>
        <v>46106</v>
      </c>
      <c r="AHC1" s="70">
        <f t="shared" si="430"/>
        <v>46107</v>
      </c>
      <c r="AHD1" s="70">
        <f t="shared" si="430"/>
        <v>46108</v>
      </c>
      <c r="AHE1" s="70">
        <f t="shared" si="430"/>
        <v>46109</v>
      </c>
      <c r="AHF1" s="70">
        <f t="shared" si="430"/>
        <v>46110</v>
      </c>
      <c r="AHG1" s="70">
        <f t="shared" si="430"/>
        <v>46111</v>
      </c>
      <c r="AHH1" s="70">
        <f t="shared" si="430"/>
        <v>46112</v>
      </c>
      <c r="AHI1" s="70">
        <f t="shared" si="430"/>
        <v>46113</v>
      </c>
      <c r="AHJ1" s="70">
        <f t="shared" si="430"/>
        <v>46114</v>
      </c>
      <c r="AHK1" s="70">
        <f t="shared" si="430"/>
        <v>46115</v>
      </c>
      <c r="AHL1" s="70">
        <f t="shared" si="430"/>
        <v>46116</v>
      </c>
      <c r="AHM1" s="70">
        <f t="shared" si="430"/>
        <v>46117</v>
      </c>
      <c r="AHN1" s="70">
        <f t="shared" si="430"/>
        <v>46118</v>
      </c>
      <c r="AHO1" s="70">
        <f t="shared" si="430"/>
        <v>46119</v>
      </c>
      <c r="AHP1" s="70">
        <f t="shared" si="430"/>
        <v>46120</v>
      </c>
      <c r="AHQ1" s="70">
        <f t="shared" ref="AHQ1" si="431">AHP1+1</f>
        <v>46121</v>
      </c>
      <c r="AHR1" s="70">
        <f t="shared" ref="AHR1" si="432">AHQ1+1</f>
        <v>46122</v>
      </c>
      <c r="AHS1" s="70">
        <f t="shared" ref="AHS1" si="433">AHR1+1</f>
        <v>46123</v>
      </c>
      <c r="AHT1" s="70">
        <f t="shared" ref="AHT1" si="434">AHS1+1</f>
        <v>46124</v>
      </c>
      <c r="AHU1" s="70">
        <f t="shared" ref="AHU1" si="435">AHT1+1</f>
        <v>46125</v>
      </c>
      <c r="AHV1" s="70">
        <f t="shared" ref="AHV1" si="436">AHU1+1</f>
        <v>46126</v>
      </c>
      <c r="AHW1" s="70">
        <f t="shared" ref="AHW1" si="437">AHV1+1</f>
        <v>46127</v>
      </c>
      <c r="AHX1" s="70">
        <f t="shared" ref="AHX1" si="438">AHW1+1</f>
        <v>46128</v>
      </c>
      <c r="AHY1" s="70">
        <f t="shared" ref="AHY1" si="439">AHX1+1</f>
        <v>46129</v>
      </c>
      <c r="AHZ1" s="70">
        <f t="shared" ref="AHZ1" si="440">AHY1+1</f>
        <v>46130</v>
      </c>
      <c r="AIA1" s="70">
        <f t="shared" ref="AIA1" si="441">AHZ1+1</f>
        <v>46131</v>
      </c>
      <c r="AIB1" s="70">
        <f t="shared" ref="AIB1" si="442">AIA1+1</f>
        <v>46132</v>
      </c>
      <c r="AIC1" s="70">
        <f t="shared" ref="AIC1" si="443">AIB1+1</f>
        <v>46133</v>
      </c>
      <c r="AID1" s="70">
        <f t="shared" ref="AID1" si="444">AIC1+1</f>
        <v>46134</v>
      </c>
      <c r="AIE1" s="70">
        <f t="shared" ref="AIE1" si="445">AID1+1</f>
        <v>46135</v>
      </c>
      <c r="AIF1" s="70">
        <f t="shared" ref="AIF1" si="446">AIE1+1</f>
        <v>46136</v>
      </c>
      <c r="AIG1" s="70">
        <f t="shared" ref="AIG1" si="447">AIF1+1</f>
        <v>46137</v>
      </c>
      <c r="AIH1" s="70">
        <f t="shared" ref="AIH1:AJC1" si="448">AIG1+1</f>
        <v>46138</v>
      </c>
      <c r="AII1" s="70">
        <f t="shared" si="448"/>
        <v>46139</v>
      </c>
      <c r="AIJ1" s="70">
        <f t="shared" si="448"/>
        <v>46140</v>
      </c>
      <c r="AIK1" s="70">
        <f t="shared" si="448"/>
        <v>46141</v>
      </c>
      <c r="AIL1" s="70">
        <f t="shared" si="448"/>
        <v>46142</v>
      </c>
      <c r="AIM1" s="70">
        <f t="shared" si="448"/>
        <v>46143</v>
      </c>
      <c r="AIN1" s="70">
        <f t="shared" si="448"/>
        <v>46144</v>
      </c>
      <c r="AIO1" s="70">
        <f t="shared" si="448"/>
        <v>46145</v>
      </c>
      <c r="AIP1" s="70">
        <f t="shared" si="448"/>
        <v>46146</v>
      </c>
      <c r="AIQ1" s="70">
        <f t="shared" si="448"/>
        <v>46147</v>
      </c>
      <c r="AIR1" s="70">
        <f t="shared" si="448"/>
        <v>46148</v>
      </c>
      <c r="AIS1" s="70">
        <f t="shared" si="448"/>
        <v>46149</v>
      </c>
      <c r="AIT1" s="70">
        <f t="shared" si="448"/>
        <v>46150</v>
      </c>
      <c r="AIU1" s="70">
        <f t="shared" si="448"/>
        <v>46151</v>
      </c>
      <c r="AIV1" s="70">
        <f t="shared" si="448"/>
        <v>46152</v>
      </c>
      <c r="AIW1" s="70">
        <f t="shared" si="448"/>
        <v>46153</v>
      </c>
      <c r="AIX1" s="70">
        <f t="shared" si="448"/>
        <v>46154</v>
      </c>
      <c r="AIY1" s="70">
        <f t="shared" si="448"/>
        <v>46155</v>
      </c>
      <c r="AIZ1" s="70">
        <f t="shared" si="448"/>
        <v>46156</v>
      </c>
      <c r="AJA1" s="70">
        <f t="shared" si="448"/>
        <v>46157</v>
      </c>
      <c r="AJB1" s="70">
        <f t="shared" si="448"/>
        <v>46158</v>
      </c>
      <c r="AJC1" s="70">
        <f t="shared" si="448"/>
        <v>46159</v>
      </c>
      <c r="AJD1" s="70">
        <f t="shared" ref="AJD1" si="449">AJC1+1</f>
        <v>46160</v>
      </c>
      <c r="AJE1" s="70">
        <f t="shared" ref="AJE1" si="450">AJD1+1</f>
        <v>46161</v>
      </c>
      <c r="AJF1" s="70">
        <f t="shared" ref="AJF1" si="451">AJE1+1</f>
        <v>46162</v>
      </c>
      <c r="AJG1" s="70">
        <f t="shared" ref="AJG1" si="452">AJF1+1</f>
        <v>46163</v>
      </c>
      <c r="AJH1" s="70">
        <f t="shared" ref="AJH1" si="453">AJG1+1</f>
        <v>46164</v>
      </c>
      <c r="AJI1" s="70">
        <f t="shared" ref="AJI1" si="454">AJH1+1</f>
        <v>46165</v>
      </c>
      <c r="AJJ1" s="70">
        <f t="shared" ref="AJJ1" si="455">AJI1+1</f>
        <v>46166</v>
      </c>
      <c r="AJK1" s="70">
        <f t="shared" ref="AJK1" si="456">AJJ1+1</f>
        <v>46167</v>
      </c>
      <c r="AJL1" s="70">
        <f t="shared" ref="AJL1" si="457">AJK1+1</f>
        <v>46168</v>
      </c>
      <c r="AJM1" s="70">
        <f t="shared" ref="AJM1" si="458">AJL1+1</f>
        <v>46169</v>
      </c>
      <c r="AJN1" s="70">
        <f t="shared" ref="AJN1" si="459">AJM1+1</f>
        <v>46170</v>
      </c>
      <c r="AJO1" s="70">
        <f t="shared" ref="AJO1" si="460">AJN1+1</f>
        <v>46171</v>
      </c>
      <c r="AJP1" s="70">
        <f t="shared" ref="AJP1" si="461">AJO1+1</f>
        <v>46172</v>
      </c>
      <c r="AJQ1" s="70">
        <f t="shared" ref="AJQ1" si="462">AJP1+1</f>
        <v>46173</v>
      </c>
      <c r="AJR1" s="70">
        <f t="shared" ref="AJR1" si="463">AJQ1+1</f>
        <v>46174</v>
      </c>
      <c r="AJS1" s="70">
        <f t="shared" ref="AJS1" si="464">AJR1+1</f>
        <v>46175</v>
      </c>
      <c r="AJT1" s="70">
        <f t="shared" ref="AJT1" si="465">AJS1+1</f>
        <v>46176</v>
      </c>
      <c r="AJU1" s="70">
        <f t="shared" ref="AJU1" si="466">AJT1+1</f>
        <v>46177</v>
      </c>
      <c r="AJV1" s="70">
        <f t="shared" ref="AJV1" si="467">AJU1+1</f>
        <v>46178</v>
      </c>
      <c r="AJW1" s="70">
        <f t="shared" ref="AJW1" si="468">AJV1+1</f>
        <v>46179</v>
      </c>
      <c r="AJX1" s="70">
        <f t="shared" ref="AJX1" si="469">AJW1+1</f>
        <v>46180</v>
      </c>
      <c r="AJY1" s="70">
        <f t="shared" ref="AJY1" si="470">AJX1+1</f>
        <v>46181</v>
      </c>
      <c r="AJZ1" s="70">
        <f t="shared" ref="AJZ1" si="471">AJY1+1</f>
        <v>46182</v>
      </c>
      <c r="AKA1" s="70">
        <f t="shared" ref="AKA1" si="472">AJZ1+1</f>
        <v>46183</v>
      </c>
      <c r="AKB1" s="70">
        <f t="shared" ref="AKB1" si="473">AKA1+1</f>
        <v>46184</v>
      </c>
      <c r="AKC1" s="70">
        <f t="shared" ref="AKC1" si="474">AKB1+1</f>
        <v>46185</v>
      </c>
      <c r="AKD1" s="70">
        <f t="shared" ref="AKD1" si="475">AKC1+1</f>
        <v>46186</v>
      </c>
      <c r="AKE1" s="70">
        <f t="shared" ref="AKE1" si="476">AKD1+1</f>
        <v>46187</v>
      </c>
      <c r="AKF1" s="70">
        <f t="shared" ref="AKF1" si="477">AKE1+1</f>
        <v>46188</v>
      </c>
      <c r="AKG1" s="70">
        <f t="shared" ref="AKG1" si="478">AKF1+1</f>
        <v>46189</v>
      </c>
      <c r="AKH1" s="70">
        <f t="shared" ref="AKH1" si="479">AKG1+1</f>
        <v>46190</v>
      </c>
      <c r="AKI1" s="70">
        <f t="shared" ref="AKI1" si="480">AKH1+1</f>
        <v>46191</v>
      </c>
      <c r="AKJ1" s="70">
        <f t="shared" ref="AKJ1" si="481">AKI1+1</f>
        <v>46192</v>
      </c>
      <c r="AKK1" s="70">
        <f t="shared" ref="AKK1" si="482">AKJ1+1</f>
        <v>46193</v>
      </c>
      <c r="AKL1" s="70">
        <f t="shared" ref="AKL1" si="483">AKK1+1</f>
        <v>46194</v>
      </c>
      <c r="AKM1" s="70">
        <f t="shared" ref="AKM1" si="484">AKL1+1</f>
        <v>46195</v>
      </c>
      <c r="AKN1" s="70">
        <f t="shared" ref="AKN1" si="485">AKM1+1</f>
        <v>46196</v>
      </c>
      <c r="AKO1" s="70">
        <f t="shared" ref="AKO1" si="486">AKN1+1</f>
        <v>46197</v>
      </c>
      <c r="AKP1" s="70">
        <f t="shared" ref="AKP1" si="487">AKO1+1</f>
        <v>46198</v>
      </c>
      <c r="AKQ1" s="70">
        <f t="shared" ref="AKQ1" si="488">AKP1+1</f>
        <v>46199</v>
      </c>
      <c r="AKR1" s="70">
        <f t="shared" ref="AKR1" si="489">AKQ1+1</f>
        <v>46200</v>
      </c>
      <c r="AKS1" s="70">
        <f t="shared" ref="AKS1" si="490">AKR1+1</f>
        <v>46201</v>
      </c>
      <c r="AKT1" s="70">
        <f t="shared" ref="AKT1" si="491">AKS1+1</f>
        <v>46202</v>
      </c>
      <c r="AKU1" s="70">
        <f t="shared" ref="AKU1" si="492">AKT1+1</f>
        <v>46203</v>
      </c>
      <c r="AKV1" s="70">
        <f t="shared" ref="AKV1" si="493">AKU1+1</f>
        <v>46204</v>
      </c>
      <c r="AKW1" s="70">
        <f t="shared" ref="AKW1" si="494">AKV1+1</f>
        <v>46205</v>
      </c>
    </row>
    <row r="2" spans="1:985" s="5" customFormat="1">
      <c r="B2" s="7"/>
      <c r="C2" s="63">
        <v>82210</v>
      </c>
      <c r="D2" s="6" t="s">
        <v>8</v>
      </c>
      <c r="E2" s="6" t="s">
        <v>9</v>
      </c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</row>
    <row r="3" spans="1:985">
      <c r="A3">
        <v>1</v>
      </c>
      <c r="B3" s="132" t="s">
        <v>10</v>
      </c>
      <c r="C3" s="1">
        <v>82210</v>
      </c>
      <c r="D3" s="1" t="s">
        <v>8</v>
      </c>
      <c r="E3" s="3" t="s">
        <v>9</v>
      </c>
      <c r="F3" s="52" t="s">
        <v>11</v>
      </c>
      <c r="G3" s="48" t="s">
        <v>12</v>
      </c>
      <c r="H3" s="1" t="s">
        <v>13</v>
      </c>
      <c r="I3" s="1" t="s">
        <v>14</v>
      </c>
      <c r="J3" s="1" t="s">
        <v>15</v>
      </c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>
        <v>3418</v>
      </c>
      <c r="AE3" s="23">
        <v>8782</v>
      </c>
      <c r="AF3" s="23">
        <v>7048</v>
      </c>
      <c r="AG3" s="23">
        <v>6462</v>
      </c>
      <c r="AH3" s="23">
        <v>7327</v>
      </c>
      <c r="AI3" s="23">
        <v>5831</v>
      </c>
      <c r="AJ3" s="23">
        <v>1650</v>
      </c>
      <c r="AK3" s="23">
        <v>4692</v>
      </c>
      <c r="AL3" s="23">
        <v>5406</v>
      </c>
      <c r="AM3" s="23">
        <v>6987</v>
      </c>
      <c r="AN3" s="23">
        <v>5552</v>
      </c>
      <c r="AO3" s="23">
        <v>7186</v>
      </c>
      <c r="AP3" s="23">
        <v>4270</v>
      </c>
      <c r="AQ3" s="23">
        <v>1993</v>
      </c>
      <c r="AR3" s="23">
        <v>5123</v>
      </c>
      <c r="AS3" s="23">
        <v>1745</v>
      </c>
      <c r="AT3" s="23">
        <v>4301</v>
      </c>
      <c r="AU3" s="23">
        <v>6021</v>
      </c>
      <c r="AV3" s="23">
        <v>5135</v>
      </c>
      <c r="AW3" s="23">
        <v>8768</v>
      </c>
      <c r="AX3" s="23">
        <v>2136</v>
      </c>
      <c r="AY3" s="23">
        <v>5530</v>
      </c>
      <c r="AZ3" s="23">
        <v>6301</v>
      </c>
      <c r="BA3" s="23">
        <v>6190</v>
      </c>
      <c r="BB3" s="23">
        <v>4602</v>
      </c>
      <c r="BC3" s="23">
        <v>8600</v>
      </c>
      <c r="BD3" s="23">
        <v>5897</v>
      </c>
      <c r="BE3" s="23">
        <v>6404</v>
      </c>
      <c r="BF3" s="23">
        <v>3928</v>
      </c>
      <c r="BG3" s="23">
        <v>13296</v>
      </c>
      <c r="BH3" s="23">
        <v>7596</v>
      </c>
      <c r="BI3" s="23">
        <v>8773</v>
      </c>
      <c r="BJ3" s="23">
        <v>10983</v>
      </c>
      <c r="BK3" s="23">
        <v>11546</v>
      </c>
      <c r="BL3" s="23">
        <v>3211</v>
      </c>
      <c r="BM3" s="23">
        <v>4746</v>
      </c>
      <c r="BN3" s="23">
        <v>7865</v>
      </c>
      <c r="BO3" s="23">
        <v>6032</v>
      </c>
      <c r="BP3" s="23">
        <v>9274</v>
      </c>
      <c r="BQ3" s="23">
        <v>3278</v>
      </c>
      <c r="BR3" s="23">
        <v>49</v>
      </c>
      <c r="BS3" s="23"/>
      <c r="BT3" s="23"/>
      <c r="BU3" s="23"/>
      <c r="BV3" s="23">
        <v>2619</v>
      </c>
      <c r="BW3" s="23">
        <v>2312</v>
      </c>
      <c r="BX3" s="23">
        <v>2995</v>
      </c>
      <c r="BY3" s="23">
        <v>3804</v>
      </c>
      <c r="BZ3" s="23">
        <v>2858</v>
      </c>
      <c r="CA3" s="23">
        <v>4542</v>
      </c>
      <c r="CB3" s="23">
        <v>6296</v>
      </c>
      <c r="CC3" s="23">
        <v>5100</v>
      </c>
      <c r="CD3">
        <v>7888</v>
      </c>
      <c r="CE3">
        <v>11133</v>
      </c>
      <c r="CF3">
        <v>6978</v>
      </c>
      <c r="CG3">
        <v>4756</v>
      </c>
      <c r="CH3">
        <v>2335</v>
      </c>
      <c r="CI3">
        <v>9546</v>
      </c>
      <c r="CJ3">
        <v>6091</v>
      </c>
      <c r="CK3">
        <v>6031</v>
      </c>
      <c r="CL3">
        <v>10017</v>
      </c>
      <c r="CM3">
        <v>7149</v>
      </c>
      <c r="CN3">
        <v>1604</v>
      </c>
      <c r="CO3">
        <v>5146</v>
      </c>
      <c r="CP3">
        <v>10860</v>
      </c>
      <c r="CQ3">
        <v>8372</v>
      </c>
      <c r="CR3">
        <v>9338</v>
      </c>
      <c r="CS3">
        <v>10833</v>
      </c>
      <c r="CT3">
        <v>6541</v>
      </c>
      <c r="CU3">
        <v>2555</v>
      </c>
      <c r="CV3">
        <v>4198</v>
      </c>
      <c r="CW3">
        <v>7426</v>
      </c>
      <c r="CX3">
        <v>6538</v>
      </c>
      <c r="CY3">
        <v>6023</v>
      </c>
      <c r="CZ3">
        <v>6106</v>
      </c>
      <c r="DA3">
        <v>4972</v>
      </c>
      <c r="DB3">
        <v>2379</v>
      </c>
      <c r="DC3">
        <v>3907</v>
      </c>
      <c r="DD3">
        <v>7374</v>
      </c>
      <c r="DE3">
        <v>3812</v>
      </c>
      <c r="DF3">
        <v>8084</v>
      </c>
      <c r="DG3">
        <v>6482</v>
      </c>
      <c r="DH3">
        <v>5169</v>
      </c>
      <c r="DI3">
        <v>2488</v>
      </c>
      <c r="DJ3">
        <v>3412</v>
      </c>
      <c r="DK3">
        <v>5621</v>
      </c>
      <c r="DL3">
        <v>6319</v>
      </c>
      <c r="DM3">
        <v>5466</v>
      </c>
      <c r="DN3">
        <v>9822</v>
      </c>
      <c r="DO3">
        <v>6665</v>
      </c>
      <c r="DP3">
        <v>2858</v>
      </c>
      <c r="DQ3">
        <v>3746</v>
      </c>
      <c r="DR3">
        <v>9049</v>
      </c>
      <c r="DS3">
        <v>5569</v>
      </c>
      <c r="DT3">
        <v>7646</v>
      </c>
      <c r="DU3">
        <v>9078</v>
      </c>
      <c r="DV3">
        <v>7303</v>
      </c>
      <c r="DW3">
        <v>1999</v>
      </c>
      <c r="DX3">
        <v>4259</v>
      </c>
      <c r="DY3">
        <v>7568</v>
      </c>
      <c r="DZ3">
        <v>6905</v>
      </c>
      <c r="EA3">
        <v>6035</v>
      </c>
      <c r="EB3">
        <v>6407</v>
      </c>
      <c r="EC3">
        <v>4340</v>
      </c>
      <c r="ED3">
        <v>1556</v>
      </c>
      <c r="EE3">
        <v>3633</v>
      </c>
      <c r="EF3">
        <v>6828</v>
      </c>
      <c r="EG3">
        <v>5024</v>
      </c>
      <c r="EH3">
        <v>8323</v>
      </c>
      <c r="EI3">
        <v>5451</v>
      </c>
      <c r="EJ3">
        <v>7433</v>
      </c>
      <c r="EK3">
        <v>3015</v>
      </c>
      <c r="EL3">
        <v>2923</v>
      </c>
      <c r="EM3">
        <v>7844</v>
      </c>
      <c r="EN3">
        <v>5161</v>
      </c>
      <c r="EO3">
        <v>6812</v>
      </c>
      <c r="EP3">
        <v>9016</v>
      </c>
      <c r="EQ3">
        <v>8229</v>
      </c>
      <c r="ER3">
        <v>1834</v>
      </c>
      <c r="ES3">
        <v>5027</v>
      </c>
      <c r="ET3">
        <v>8724</v>
      </c>
      <c r="EU3">
        <v>6301</v>
      </c>
      <c r="EV3">
        <v>7678</v>
      </c>
      <c r="EW3">
        <v>10424</v>
      </c>
      <c r="EX3">
        <v>8528</v>
      </c>
      <c r="EY3">
        <v>1912</v>
      </c>
      <c r="EZ3">
        <v>3829</v>
      </c>
      <c r="FA3">
        <v>7980</v>
      </c>
      <c r="FB3">
        <v>6618</v>
      </c>
      <c r="FC3">
        <v>7053</v>
      </c>
      <c r="FD3">
        <v>6906</v>
      </c>
      <c r="FE3">
        <v>5923</v>
      </c>
      <c r="FF3">
        <v>2445</v>
      </c>
      <c r="FG3">
        <v>3989</v>
      </c>
      <c r="FH3">
        <v>6946</v>
      </c>
      <c r="FI3">
        <v>5211</v>
      </c>
      <c r="FJ3">
        <v>5106</v>
      </c>
      <c r="FK3">
        <v>6552</v>
      </c>
      <c r="FL3">
        <v>4587</v>
      </c>
      <c r="FN3">
        <v>4062</v>
      </c>
      <c r="FO3">
        <v>11184</v>
      </c>
      <c r="FP3">
        <v>6630</v>
      </c>
      <c r="FQ3">
        <v>11833</v>
      </c>
      <c r="FR3">
        <v>6074</v>
      </c>
      <c r="FS3">
        <v>265</v>
      </c>
      <c r="FV3">
        <v>2259</v>
      </c>
      <c r="FW3">
        <v>5534</v>
      </c>
      <c r="FX3">
        <v>4005</v>
      </c>
      <c r="FY3">
        <v>3909</v>
      </c>
      <c r="FZ3">
        <v>4024</v>
      </c>
      <c r="GA3">
        <v>3132</v>
      </c>
      <c r="GB3">
        <v>4242</v>
      </c>
      <c r="GC3">
        <v>6469</v>
      </c>
      <c r="GD3">
        <v>6400</v>
      </c>
      <c r="GE3">
        <v>7299</v>
      </c>
      <c r="GF3">
        <v>9389</v>
      </c>
      <c r="GG3">
        <v>7276</v>
      </c>
      <c r="GH3">
        <v>1939</v>
      </c>
      <c r="GI3">
        <v>3509</v>
      </c>
      <c r="GJ3">
        <v>7527</v>
      </c>
      <c r="GK3">
        <v>6983</v>
      </c>
      <c r="GL3">
        <v>2564</v>
      </c>
      <c r="GM3">
        <v>6409</v>
      </c>
      <c r="GN3">
        <v>3170</v>
      </c>
      <c r="GP3">
        <v>1422</v>
      </c>
      <c r="GQ3">
        <v>10655</v>
      </c>
      <c r="GR3">
        <v>4217</v>
      </c>
      <c r="GS3">
        <v>8002</v>
      </c>
      <c r="GT3">
        <v>6669</v>
      </c>
      <c r="GU3">
        <v>5906</v>
      </c>
      <c r="GV3">
        <v>1942</v>
      </c>
      <c r="GW3">
        <v>3772</v>
      </c>
      <c r="GX3">
        <v>5349</v>
      </c>
      <c r="GY3">
        <v>4377</v>
      </c>
      <c r="GZ3">
        <v>4620</v>
      </c>
      <c r="HA3">
        <v>6425</v>
      </c>
      <c r="HB3">
        <v>5469</v>
      </c>
      <c r="HC3">
        <v>1518</v>
      </c>
      <c r="HD3">
        <v>2768</v>
      </c>
      <c r="HE3">
        <v>7036</v>
      </c>
      <c r="HF3">
        <v>4269</v>
      </c>
      <c r="HG3">
        <v>1951</v>
      </c>
      <c r="HH3">
        <v>7472</v>
      </c>
      <c r="HI3">
        <v>7068</v>
      </c>
      <c r="HJ3">
        <v>2141</v>
      </c>
      <c r="HK3">
        <v>1955</v>
      </c>
      <c r="HL3">
        <v>8025</v>
      </c>
      <c r="HM3">
        <v>4585</v>
      </c>
      <c r="HN3">
        <v>4042</v>
      </c>
      <c r="HO3">
        <v>5487</v>
      </c>
      <c r="HP3">
        <v>3964</v>
      </c>
      <c r="HQ3">
        <v>43</v>
      </c>
      <c r="HS3">
        <v>4924</v>
      </c>
      <c r="HT3">
        <v>4591</v>
      </c>
      <c r="HU3">
        <v>6194</v>
      </c>
      <c r="HV3">
        <v>5934</v>
      </c>
      <c r="HW3">
        <v>5621</v>
      </c>
      <c r="HY3">
        <v>4632</v>
      </c>
      <c r="HZ3">
        <v>5375</v>
      </c>
      <c r="IA3">
        <v>8863</v>
      </c>
      <c r="IB3">
        <v>6892</v>
      </c>
      <c r="IC3">
        <v>6783</v>
      </c>
      <c r="ID3">
        <v>6224</v>
      </c>
      <c r="IF3">
        <v>4068</v>
      </c>
      <c r="IG3">
        <v>7573</v>
      </c>
      <c r="IH3">
        <v>5810</v>
      </c>
      <c r="II3">
        <v>5763</v>
      </c>
      <c r="IJ3">
        <v>5153</v>
      </c>
      <c r="IK3">
        <v>3767</v>
      </c>
      <c r="IM3">
        <v>3711</v>
      </c>
      <c r="IN3">
        <v>6284</v>
      </c>
      <c r="IO3">
        <v>4673</v>
      </c>
      <c r="IP3">
        <v>6421</v>
      </c>
      <c r="IQ3">
        <v>5896</v>
      </c>
      <c r="IR3">
        <v>4911</v>
      </c>
      <c r="IS3">
        <v>51</v>
      </c>
      <c r="IT3">
        <v>4736</v>
      </c>
      <c r="IU3">
        <v>5029</v>
      </c>
      <c r="IV3">
        <v>3035</v>
      </c>
      <c r="IW3">
        <v>5910</v>
      </c>
      <c r="IX3">
        <v>5733</v>
      </c>
      <c r="IY3">
        <v>4035</v>
      </c>
      <c r="IZ3">
        <v>0</v>
      </c>
      <c r="JA3">
        <v>3918</v>
      </c>
      <c r="JB3">
        <v>5072</v>
      </c>
      <c r="JC3">
        <v>4646</v>
      </c>
      <c r="JD3">
        <v>5852</v>
      </c>
      <c r="JE3">
        <v>7226</v>
      </c>
      <c r="JF3">
        <v>5032</v>
      </c>
      <c r="JG3">
        <v>1661</v>
      </c>
      <c r="JH3">
        <v>3447</v>
      </c>
      <c r="JI3">
        <v>4497</v>
      </c>
      <c r="JJ3">
        <v>4762</v>
      </c>
      <c r="JK3">
        <v>6732</v>
      </c>
      <c r="JL3">
        <v>6581</v>
      </c>
      <c r="JM3">
        <v>5026</v>
      </c>
      <c r="JN3">
        <v>63</v>
      </c>
      <c r="JO3">
        <v>3572</v>
      </c>
      <c r="JP3">
        <v>4679</v>
      </c>
      <c r="JQ3">
        <v>7591</v>
      </c>
      <c r="JR3">
        <v>6674</v>
      </c>
      <c r="JS3">
        <v>8821</v>
      </c>
      <c r="JT3">
        <v>7529</v>
      </c>
      <c r="JU3">
        <v>6</v>
      </c>
      <c r="JV3">
        <v>0</v>
      </c>
      <c r="JW3">
        <v>6667</v>
      </c>
      <c r="JX3">
        <v>5128</v>
      </c>
      <c r="JY3">
        <v>4995</v>
      </c>
      <c r="JZ3">
        <v>3983</v>
      </c>
      <c r="KA3">
        <v>4039</v>
      </c>
      <c r="KB3">
        <v>118</v>
      </c>
      <c r="KC3">
        <v>2923</v>
      </c>
      <c r="KD3">
        <v>6168</v>
      </c>
      <c r="KE3">
        <v>5615</v>
      </c>
      <c r="KF3">
        <v>7332</v>
      </c>
      <c r="KG3">
        <v>8547</v>
      </c>
      <c r="KH3">
        <v>6600</v>
      </c>
      <c r="KI3">
        <v>89</v>
      </c>
      <c r="KJ3">
        <v>0</v>
      </c>
      <c r="KK3">
        <v>8022</v>
      </c>
      <c r="KL3">
        <v>7833</v>
      </c>
      <c r="KM3">
        <v>6525</v>
      </c>
      <c r="KN3">
        <v>9973</v>
      </c>
      <c r="KO3">
        <v>4900</v>
      </c>
      <c r="KP3">
        <v>0</v>
      </c>
      <c r="KQ3">
        <v>5150</v>
      </c>
      <c r="KR3">
        <v>6783</v>
      </c>
      <c r="KS3">
        <v>4776</v>
      </c>
      <c r="KT3">
        <v>6409</v>
      </c>
      <c r="KU3">
        <v>8183</v>
      </c>
      <c r="KV3">
        <v>4757</v>
      </c>
      <c r="KW3">
        <v>152</v>
      </c>
      <c r="KX3">
        <v>5586</v>
      </c>
      <c r="KY3">
        <v>6297</v>
      </c>
      <c r="KZ3">
        <v>7469</v>
      </c>
      <c r="LA3">
        <v>6081</v>
      </c>
      <c r="LB3">
        <v>8408</v>
      </c>
      <c r="LC3">
        <v>3630</v>
      </c>
      <c r="LD3">
        <v>0</v>
      </c>
      <c r="LE3">
        <v>4145</v>
      </c>
      <c r="LF3">
        <v>5158</v>
      </c>
      <c r="LG3">
        <v>4490</v>
      </c>
      <c r="LH3">
        <v>7349</v>
      </c>
      <c r="LI3">
        <v>6177</v>
      </c>
      <c r="LJ3">
        <v>5984</v>
      </c>
      <c r="LK3">
        <v>0</v>
      </c>
      <c r="LL3">
        <v>3353</v>
      </c>
      <c r="LM3">
        <v>6323</v>
      </c>
      <c r="LN3">
        <v>5060</v>
      </c>
      <c r="LO3">
        <v>6222</v>
      </c>
      <c r="LP3">
        <v>7538</v>
      </c>
      <c r="LQ3">
        <v>4742</v>
      </c>
      <c r="LR3">
        <v>187</v>
      </c>
      <c r="LS3" s="50">
        <v>4715</v>
      </c>
      <c r="LT3">
        <v>6663</v>
      </c>
      <c r="LU3">
        <v>5365</v>
      </c>
      <c r="LV3">
        <v>6006</v>
      </c>
      <c r="LW3">
        <v>8081</v>
      </c>
      <c r="LX3">
        <v>5051</v>
      </c>
      <c r="LY3">
        <v>81</v>
      </c>
      <c r="LZ3">
        <v>6129</v>
      </c>
      <c r="MA3">
        <v>5027</v>
      </c>
      <c r="MB3">
        <v>4809</v>
      </c>
      <c r="MC3">
        <v>7692</v>
      </c>
      <c r="MD3">
        <v>12854</v>
      </c>
      <c r="ME3">
        <v>4855</v>
      </c>
      <c r="MF3">
        <v>0</v>
      </c>
      <c r="MG3">
        <v>4304</v>
      </c>
      <c r="MH3">
        <v>5348</v>
      </c>
      <c r="MI3">
        <v>4304</v>
      </c>
      <c r="MJ3">
        <v>6068</v>
      </c>
      <c r="MK3">
        <v>7197</v>
      </c>
      <c r="ML3">
        <v>5028</v>
      </c>
      <c r="MM3">
        <v>12</v>
      </c>
      <c r="MN3" s="57">
        <v>4287</v>
      </c>
      <c r="MO3" s="57">
        <v>5452</v>
      </c>
      <c r="MP3" s="57">
        <v>5972</v>
      </c>
      <c r="MQ3" s="57">
        <v>8548</v>
      </c>
      <c r="MR3" s="57">
        <v>6593</v>
      </c>
      <c r="MS3" s="57">
        <v>5437</v>
      </c>
      <c r="MT3" s="58">
        <v>4028</v>
      </c>
      <c r="MU3" s="57">
        <v>0</v>
      </c>
      <c r="MV3">
        <v>6349</v>
      </c>
      <c r="MW3">
        <v>5665</v>
      </c>
      <c r="MX3">
        <v>7001</v>
      </c>
      <c r="MY3">
        <v>8875</v>
      </c>
      <c r="MZ3">
        <v>6565</v>
      </c>
      <c r="NA3">
        <v>220</v>
      </c>
      <c r="NB3" s="67">
        <v>4609</v>
      </c>
      <c r="NC3" s="67">
        <v>6087</v>
      </c>
      <c r="ND3" s="67">
        <v>237</v>
      </c>
      <c r="NE3" s="67">
        <v>5680</v>
      </c>
      <c r="NF3" s="67">
        <v>6691</v>
      </c>
      <c r="NG3" s="67">
        <v>7545</v>
      </c>
      <c r="NH3" s="67">
        <v>86</v>
      </c>
      <c r="NI3" s="67">
        <v>7977</v>
      </c>
      <c r="NJ3" s="67">
        <v>6529</v>
      </c>
      <c r="NK3" s="57">
        <v>7394</v>
      </c>
      <c r="NL3" s="57">
        <v>7076</v>
      </c>
      <c r="NM3" s="57">
        <v>6540</v>
      </c>
      <c r="NN3" s="57">
        <v>4626</v>
      </c>
      <c r="NO3" s="57">
        <v>271</v>
      </c>
      <c r="NP3" s="67">
        <v>5000</v>
      </c>
      <c r="NQ3" s="67">
        <v>6420</v>
      </c>
      <c r="NR3" s="67">
        <v>5622</v>
      </c>
      <c r="NS3" s="67">
        <v>7529</v>
      </c>
      <c r="NT3" s="67">
        <v>7817</v>
      </c>
      <c r="NU3" s="67">
        <v>5618</v>
      </c>
      <c r="NV3" s="67">
        <v>4</v>
      </c>
      <c r="NW3" s="67">
        <v>7517</v>
      </c>
      <c r="NX3" s="67">
        <v>7222</v>
      </c>
      <c r="NY3" s="67">
        <v>6020</v>
      </c>
      <c r="NZ3" s="67">
        <v>9037</v>
      </c>
      <c r="OA3" s="67">
        <v>8479</v>
      </c>
      <c r="OB3" s="67">
        <v>5290</v>
      </c>
      <c r="OC3" s="67">
        <v>151</v>
      </c>
      <c r="OD3">
        <v>4388</v>
      </c>
      <c r="OE3">
        <v>6767</v>
      </c>
      <c r="OF3">
        <v>7169</v>
      </c>
      <c r="OG3">
        <v>7119</v>
      </c>
      <c r="OH3">
        <v>5760</v>
      </c>
      <c r="OI3">
        <v>4545</v>
      </c>
      <c r="OJ3">
        <v>48</v>
      </c>
      <c r="OK3" s="67">
        <v>5272</v>
      </c>
      <c r="OL3" s="67">
        <v>9039</v>
      </c>
      <c r="OM3" s="67">
        <v>5564</v>
      </c>
      <c r="ON3" s="67">
        <v>7915</v>
      </c>
      <c r="OO3" s="67">
        <v>9042</v>
      </c>
      <c r="OP3" s="67">
        <v>6172</v>
      </c>
      <c r="OQ3" s="67">
        <v>0</v>
      </c>
      <c r="OR3" s="67">
        <v>5445</v>
      </c>
      <c r="OS3" s="67">
        <v>9502</v>
      </c>
      <c r="OT3" s="67">
        <v>6222</v>
      </c>
      <c r="OU3" s="67">
        <v>123</v>
      </c>
      <c r="OV3" s="67">
        <v>9020</v>
      </c>
      <c r="OW3" s="67">
        <v>6344</v>
      </c>
      <c r="OX3" s="67">
        <v>41</v>
      </c>
      <c r="OY3" s="67">
        <v>7135</v>
      </c>
      <c r="OZ3" s="67">
        <v>6106</v>
      </c>
      <c r="PA3" s="67">
        <v>7451</v>
      </c>
      <c r="PB3" s="67">
        <v>10433</v>
      </c>
      <c r="PC3" s="67">
        <v>7804</v>
      </c>
      <c r="PD3" s="67">
        <v>9098</v>
      </c>
      <c r="PE3" s="67">
        <v>125</v>
      </c>
      <c r="PF3" s="67">
        <v>6415</v>
      </c>
      <c r="PG3" s="67">
        <v>7257</v>
      </c>
      <c r="PH3" s="67">
        <v>7841</v>
      </c>
      <c r="PI3" s="67">
        <v>10757</v>
      </c>
      <c r="PJ3" s="67">
        <v>11000</v>
      </c>
      <c r="PK3" s="67">
        <v>8113</v>
      </c>
      <c r="PL3" s="67">
        <v>69</v>
      </c>
      <c r="PM3">
        <v>9759</v>
      </c>
      <c r="PN3">
        <v>10781</v>
      </c>
      <c r="PO3">
        <v>10751</v>
      </c>
      <c r="PP3">
        <v>10594</v>
      </c>
      <c r="PQ3">
        <v>6991</v>
      </c>
      <c r="PR3">
        <v>3554</v>
      </c>
      <c r="PS3">
        <v>40</v>
      </c>
      <c r="PT3">
        <v>566</v>
      </c>
      <c r="PV3">
        <v>0</v>
      </c>
      <c r="PW3" s="74">
        <v>806</v>
      </c>
      <c r="PX3" s="74">
        <v>3703</v>
      </c>
      <c r="PY3" s="74">
        <v>1831</v>
      </c>
      <c r="PZ3" s="74">
        <v>0</v>
      </c>
      <c r="QA3" s="74">
        <v>2300</v>
      </c>
      <c r="QB3" s="74">
        <v>3501</v>
      </c>
      <c r="QC3" s="74">
        <v>4425</v>
      </c>
      <c r="QD3" s="74">
        <v>8279</v>
      </c>
      <c r="QE3" s="74">
        <v>7559</v>
      </c>
      <c r="QF3" s="74">
        <v>6267</v>
      </c>
      <c r="QG3" s="74">
        <v>42</v>
      </c>
      <c r="QH3">
        <v>7035</v>
      </c>
      <c r="QI3">
        <v>7247</v>
      </c>
      <c r="QJ3">
        <v>7440</v>
      </c>
      <c r="QK3">
        <v>7411</v>
      </c>
      <c r="QL3">
        <v>8608</v>
      </c>
      <c r="QM3">
        <v>8221</v>
      </c>
      <c r="QN3">
        <v>6</v>
      </c>
      <c r="QO3">
        <v>5412</v>
      </c>
      <c r="QP3">
        <v>7355</v>
      </c>
      <c r="QQ3">
        <v>8785</v>
      </c>
      <c r="QR3">
        <v>9202</v>
      </c>
      <c r="QS3">
        <v>9034</v>
      </c>
      <c r="QT3">
        <v>6698</v>
      </c>
      <c r="QU3">
        <v>24</v>
      </c>
      <c r="QV3">
        <v>5714</v>
      </c>
      <c r="QW3">
        <v>6831</v>
      </c>
      <c r="QX3">
        <v>6284</v>
      </c>
      <c r="QY3">
        <v>7936</v>
      </c>
      <c r="QZ3">
        <v>6486</v>
      </c>
      <c r="RA3">
        <v>5357</v>
      </c>
      <c r="RB3">
        <v>0</v>
      </c>
      <c r="RC3">
        <v>7699</v>
      </c>
      <c r="RD3">
        <v>5442</v>
      </c>
      <c r="RE3">
        <v>8162</v>
      </c>
      <c r="RF3">
        <v>9446</v>
      </c>
      <c r="RG3">
        <v>11354</v>
      </c>
      <c r="RH3">
        <v>0</v>
      </c>
      <c r="RI3">
        <v>0</v>
      </c>
      <c r="RJ3">
        <v>9776</v>
      </c>
      <c r="RK3">
        <v>11041</v>
      </c>
      <c r="RL3">
        <v>7426</v>
      </c>
      <c r="RM3">
        <v>8845</v>
      </c>
      <c r="RN3">
        <v>8862</v>
      </c>
      <c r="RO3">
        <v>8151</v>
      </c>
      <c r="RP3">
        <v>0</v>
      </c>
      <c r="RQ3">
        <v>6608</v>
      </c>
      <c r="RR3">
        <v>9019</v>
      </c>
      <c r="RS3">
        <v>9593</v>
      </c>
      <c r="RT3">
        <v>10384</v>
      </c>
      <c r="RU3">
        <v>11281</v>
      </c>
      <c r="RV3">
        <v>7676</v>
      </c>
      <c r="RW3">
        <v>0</v>
      </c>
      <c r="RX3">
        <v>7344</v>
      </c>
      <c r="RY3">
        <v>9326</v>
      </c>
      <c r="RZ3">
        <v>8449</v>
      </c>
      <c r="SA3">
        <v>9855</v>
      </c>
      <c r="SB3">
        <v>8275</v>
      </c>
      <c r="SC3">
        <v>5370</v>
      </c>
      <c r="SD3">
        <v>24</v>
      </c>
      <c r="SE3">
        <v>6728</v>
      </c>
      <c r="SF3">
        <v>5908</v>
      </c>
      <c r="SG3">
        <v>6881</v>
      </c>
      <c r="SH3">
        <v>8831</v>
      </c>
      <c r="SI3">
        <v>8984</v>
      </c>
      <c r="SJ3">
        <v>5050</v>
      </c>
      <c r="SK3">
        <v>0</v>
      </c>
      <c r="SL3">
        <v>7547</v>
      </c>
      <c r="SM3">
        <v>7668</v>
      </c>
      <c r="SN3">
        <v>7788</v>
      </c>
      <c r="SO3">
        <v>9967</v>
      </c>
      <c r="SP3">
        <v>10195</v>
      </c>
      <c r="SQ3">
        <v>6931</v>
      </c>
      <c r="SR3">
        <v>5</v>
      </c>
      <c r="SS3">
        <v>7126</v>
      </c>
      <c r="ST3">
        <v>6960</v>
      </c>
      <c r="SU3">
        <v>8671</v>
      </c>
      <c r="SV3">
        <v>10771</v>
      </c>
      <c r="SW3">
        <v>11017</v>
      </c>
      <c r="SX3">
        <v>7119</v>
      </c>
      <c r="SY3">
        <v>0</v>
      </c>
      <c r="SZ3">
        <v>7518</v>
      </c>
      <c r="TA3">
        <v>8793</v>
      </c>
      <c r="TB3">
        <v>7666</v>
      </c>
      <c r="TC3">
        <v>10023</v>
      </c>
      <c r="TD3">
        <v>7426</v>
      </c>
      <c r="TE3">
        <v>3976</v>
      </c>
      <c r="TF3">
        <v>0</v>
      </c>
      <c r="TG3">
        <v>5570</v>
      </c>
      <c r="TH3">
        <v>4977</v>
      </c>
      <c r="TI3">
        <v>7360</v>
      </c>
      <c r="TJ3">
        <v>7815</v>
      </c>
      <c r="TK3">
        <v>7841</v>
      </c>
      <c r="TL3">
        <v>6070</v>
      </c>
      <c r="TM3">
        <v>0</v>
      </c>
      <c r="TN3">
        <v>0</v>
      </c>
      <c r="TO3">
        <v>9388</v>
      </c>
      <c r="TP3">
        <v>3942</v>
      </c>
      <c r="TQ3">
        <v>12091</v>
      </c>
      <c r="TR3">
        <v>1735</v>
      </c>
      <c r="TS3">
        <v>3854</v>
      </c>
      <c r="TT3">
        <v>0</v>
      </c>
      <c r="TU3">
        <v>0</v>
      </c>
      <c r="TV3">
        <v>0</v>
      </c>
      <c r="TW3">
        <v>4878</v>
      </c>
      <c r="TX3">
        <v>4414</v>
      </c>
      <c r="TY3">
        <v>7638</v>
      </c>
      <c r="TZ3">
        <v>7354</v>
      </c>
      <c r="UA3">
        <v>90</v>
      </c>
      <c r="UB3">
        <v>8937</v>
      </c>
      <c r="UC3">
        <v>7773</v>
      </c>
      <c r="UD3">
        <v>9777</v>
      </c>
      <c r="UE3">
        <v>9681</v>
      </c>
      <c r="UF3">
        <v>9689</v>
      </c>
      <c r="UG3">
        <v>6488</v>
      </c>
      <c r="UH3">
        <v>16</v>
      </c>
      <c r="UI3">
        <v>3918</v>
      </c>
      <c r="UJ3">
        <v>6889</v>
      </c>
      <c r="UK3">
        <v>11209</v>
      </c>
      <c r="UL3">
        <v>48</v>
      </c>
      <c r="UM3">
        <v>9185</v>
      </c>
      <c r="UN3">
        <v>5508</v>
      </c>
      <c r="UO3">
        <v>151</v>
      </c>
      <c r="UP3">
        <v>0</v>
      </c>
      <c r="UQ3">
        <v>7518</v>
      </c>
      <c r="UR3">
        <v>8850</v>
      </c>
      <c r="US3">
        <v>10075</v>
      </c>
      <c r="UT3">
        <v>10589</v>
      </c>
      <c r="UU3">
        <v>9168</v>
      </c>
      <c r="UV3">
        <v>0</v>
      </c>
      <c r="UW3">
        <v>0</v>
      </c>
      <c r="UX3">
        <v>7232</v>
      </c>
      <c r="UY3">
        <v>8496</v>
      </c>
      <c r="UZ3">
        <v>9187</v>
      </c>
      <c r="VA3">
        <v>8845</v>
      </c>
      <c r="VB3">
        <v>6425</v>
      </c>
      <c r="VC3">
        <v>9</v>
      </c>
      <c r="VD3">
        <v>7847</v>
      </c>
      <c r="VE3">
        <v>8500</v>
      </c>
      <c r="VF3">
        <v>8492</v>
      </c>
      <c r="VG3">
        <v>9707</v>
      </c>
      <c r="VH3">
        <v>9483</v>
      </c>
      <c r="VI3">
        <v>7136</v>
      </c>
      <c r="VJ3">
        <v>48</v>
      </c>
      <c r="VK3">
        <v>7868</v>
      </c>
      <c r="VL3">
        <v>2220</v>
      </c>
      <c r="VM3">
        <v>8473</v>
      </c>
      <c r="VN3">
        <v>10844</v>
      </c>
      <c r="VO3">
        <v>2865</v>
      </c>
      <c r="VP3">
        <v>5813</v>
      </c>
      <c r="VQ3">
        <v>96</v>
      </c>
      <c r="VR3">
        <v>6278</v>
      </c>
      <c r="VS3">
        <v>27</v>
      </c>
      <c r="VT3">
        <v>6611</v>
      </c>
      <c r="VU3">
        <v>8244</v>
      </c>
      <c r="VV3">
        <v>10236</v>
      </c>
      <c r="VW3">
        <v>5771</v>
      </c>
      <c r="VX3">
        <v>5</v>
      </c>
      <c r="VY3">
        <v>7340</v>
      </c>
      <c r="VZ3">
        <v>5962</v>
      </c>
      <c r="WA3">
        <v>7859</v>
      </c>
      <c r="WB3">
        <v>2665</v>
      </c>
      <c r="WC3">
        <v>8629</v>
      </c>
      <c r="WD3">
        <v>7735</v>
      </c>
      <c r="WE3">
        <v>0</v>
      </c>
      <c r="WF3">
        <v>4280</v>
      </c>
      <c r="WG3">
        <v>1144</v>
      </c>
      <c r="WH3">
        <v>9075</v>
      </c>
      <c r="WI3">
        <v>9381</v>
      </c>
      <c r="WJ3">
        <v>7369</v>
      </c>
      <c r="WK3">
        <v>5315</v>
      </c>
      <c r="WL3">
        <v>0</v>
      </c>
      <c r="WM3">
        <v>7787</v>
      </c>
      <c r="WN3">
        <v>7638</v>
      </c>
      <c r="WO3">
        <v>8430</v>
      </c>
      <c r="WP3">
        <v>11086</v>
      </c>
      <c r="WQ3">
        <v>9223</v>
      </c>
      <c r="WR3">
        <v>4485</v>
      </c>
      <c r="WS3">
        <v>0</v>
      </c>
      <c r="WT3">
        <v>5869</v>
      </c>
      <c r="WU3">
        <v>6096</v>
      </c>
      <c r="WV3">
        <v>6555</v>
      </c>
      <c r="WW3">
        <v>8418</v>
      </c>
      <c r="WX3">
        <v>9325</v>
      </c>
      <c r="WY3">
        <v>6829</v>
      </c>
      <c r="WZ3">
        <v>2</v>
      </c>
      <c r="XA3">
        <v>6247</v>
      </c>
      <c r="XB3">
        <v>6382</v>
      </c>
      <c r="XC3">
        <v>9025</v>
      </c>
      <c r="XD3">
        <v>7880</v>
      </c>
      <c r="XE3">
        <v>8269</v>
      </c>
      <c r="XF3">
        <v>5703</v>
      </c>
      <c r="XG3">
        <v>0</v>
      </c>
      <c r="XH3">
        <v>8100</v>
      </c>
      <c r="XI3">
        <v>6742</v>
      </c>
      <c r="XJ3">
        <v>9629</v>
      </c>
      <c r="XK3">
        <v>10679</v>
      </c>
      <c r="XL3">
        <v>10547</v>
      </c>
      <c r="XM3">
        <v>7291</v>
      </c>
      <c r="XN3">
        <v>34</v>
      </c>
      <c r="XO3">
        <v>5855</v>
      </c>
      <c r="XP3">
        <v>6485</v>
      </c>
      <c r="XQ3">
        <v>8942</v>
      </c>
      <c r="XR3">
        <v>9455</v>
      </c>
      <c r="XS3">
        <v>11355</v>
      </c>
      <c r="XT3">
        <v>7278</v>
      </c>
      <c r="XU3">
        <v>0</v>
      </c>
      <c r="XV3">
        <v>0</v>
      </c>
      <c r="XW3">
        <v>8413</v>
      </c>
      <c r="XX3">
        <v>9698</v>
      </c>
      <c r="XY3">
        <v>14426</v>
      </c>
      <c r="XZ3">
        <v>6389</v>
      </c>
      <c r="YA3">
        <v>6036</v>
      </c>
      <c r="YB3">
        <v>40</v>
      </c>
      <c r="YC3">
        <v>5775</v>
      </c>
      <c r="YD3">
        <v>7019</v>
      </c>
      <c r="YE3">
        <v>9284</v>
      </c>
      <c r="YF3">
        <v>10915</v>
      </c>
      <c r="YG3">
        <v>9530</v>
      </c>
      <c r="YH3">
        <v>7896</v>
      </c>
      <c r="YI3">
        <v>0</v>
      </c>
      <c r="YJ3">
        <v>8326</v>
      </c>
      <c r="YK3">
        <v>74</v>
      </c>
      <c r="YL3">
        <v>9235</v>
      </c>
      <c r="YM3">
        <v>11321</v>
      </c>
      <c r="YN3">
        <v>8225</v>
      </c>
      <c r="YO3">
        <v>8216</v>
      </c>
      <c r="YP3">
        <v>24</v>
      </c>
      <c r="YQ3">
        <v>11814</v>
      </c>
      <c r="YR3">
        <v>8953</v>
      </c>
      <c r="YS3">
        <v>9533</v>
      </c>
      <c r="YT3">
        <v>11288</v>
      </c>
      <c r="YU3">
        <v>10320</v>
      </c>
      <c r="YV3">
        <v>8672</v>
      </c>
      <c r="YW3">
        <v>69</v>
      </c>
      <c r="YX3">
        <v>9501</v>
      </c>
      <c r="YY3">
        <v>15430</v>
      </c>
      <c r="YZ3">
        <v>11468</v>
      </c>
      <c r="ZA3">
        <v>11834</v>
      </c>
      <c r="ZB3">
        <v>11488</v>
      </c>
      <c r="ZC3">
        <v>5989</v>
      </c>
      <c r="ZD3">
        <v>28</v>
      </c>
      <c r="ZE3">
        <v>1735</v>
      </c>
      <c r="ZF3">
        <v>4589</v>
      </c>
      <c r="ZG3">
        <v>755</v>
      </c>
      <c r="ZH3">
        <v>12819</v>
      </c>
      <c r="ZI3">
        <v>6071</v>
      </c>
      <c r="ZJ3">
        <v>5574</v>
      </c>
      <c r="ZK3">
        <v>70</v>
      </c>
      <c r="ZL3">
        <v>4016</v>
      </c>
      <c r="ZM3">
        <v>5968</v>
      </c>
      <c r="ZN3">
        <v>5944</v>
      </c>
      <c r="ZO3">
        <v>8571</v>
      </c>
      <c r="ZP3">
        <v>8909</v>
      </c>
      <c r="ZQ3">
        <v>7825</v>
      </c>
      <c r="ZR3">
        <v>0</v>
      </c>
      <c r="ZS3">
        <v>4898</v>
      </c>
      <c r="ZT3">
        <v>8652</v>
      </c>
      <c r="ZU3">
        <v>7954</v>
      </c>
      <c r="ZV3">
        <v>8327</v>
      </c>
      <c r="ZW3">
        <v>6344</v>
      </c>
      <c r="ZX3">
        <v>5631</v>
      </c>
      <c r="ZY3">
        <v>0</v>
      </c>
      <c r="ZZ3">
        <v>5029</v>
      </c>
      <c r="AAA3">
        <v>6055</v>
      </c>
      <c r="AAB3">
        <v>5772</v>
      </c>
      <c r="AAC3">
        <v>7702</v>
      </c>
      <c r="AAD3">
        <v>6847</v>
      </c>
      <c r="AAE3">
        <v>5337</v>
      </c>
      <c r="AAF3">
        <v>56</v>
      </c>
      <c r="AAG3">
        <v>6244</v>
      </c>
      <c r="AAH3">
        <v>7199</v>
      </c>
      <c r="AAI3">
        <v>4609</v>
      </c>
      <c r="AAJ3">
        <v>5293</v>
      </c>
      <c r="AAK3">
        <v>5447</v>
      </c>
      <c r="AAL3">
        <v>4489</v>
      </c>
      <c r="AAM3">
        <v>0</v>
      </c>
      <c r="AAN3">
        <v>3040</v>
      </c>
      <c r="AAO3">
        <v>4828</v>
      </c>
      <c r="AAP3">
        <v>5809</v>
      </c>
      <c r="AAQ3">
        <v>6070</v>
      </c>
      <c r="AAR3">
        <v>7038</v>
      </c>
      <c r="AAS3">
        <v>5944</v>
      </c>
      <c r="AAT3">
        <v>0</v>
      </c>
      <c r="AAU3">
        <v>0</v>
      </c>
      <c r="AAV3">
        <v>4704</v>
      </c>
      <c r="AAW3">
        <v>5804</v>
      </c>
      <c r="AAX3">
        <v>6056</v>
      </c>
      <c r="AAY3">
        <v>7116</v>
      </c>
      <c r="AAZ3">
        <v>6550</v>
      </c>
      <c r="ABA3">
        <v>79</v>
      </c>
      <c r="ABB3">
        <v>5778</v>
      </c>
      <c r="ABC3">
        <v>6721</v>
      </c>
      <c r="ABD3">
        <v>6519</v>
      </c>
      <c r="ABE3">
        <v>40</v>
      </c>
      <c r="ABF3">
        <v>8777</v>
      </c>
      <c r="ABG3">
        <v>6402</v>
      </c>
      <c r="ABH3">
        <v>40</v>
      </c>
      <c r="ABI3">
        <v>5347</v>
      </c>
      <c r="ABJ3">
        <v>5789</v>
      </c>
      <c r="ABK3">
        <v>6488</v>
      </c>
      <c r="ABL3">
        <v>5562</v>
      </c>
      <c r="ABM3">
        <v>5132</v>
      </c>
      <c r="ABN3">
        <v>4956</v>
      </c>
      <c r="ABO3">
        <v>7</v>
      </c>
      <c r="ABP3">
        <v>5007</v>
      </c>
      <c r="ABQ3">
        <v>5290</v>
      </c>
      <c r="ABR3">
        <v>5894</v>
      </c>
      <c r="ABS3">
        <v>7377</v>
      </c>
      <c r="ABT3">
        <v>7006</v>
      </c>
      <c r="ABU3">
        <v>6876</v>
      </c>
      <c r="ABV3">
        <v>14</v>
      </c>
      <c r="ABW3">
        <v>5077</v>
      </c>
      <c r="ABX3">
        <v>6661</v>
      </c>
      <c r="ABY3">
        <v>6422</v>
      </c>
      <c r="ABZ3">
        <v>6608</v>
      </c>
      <c r="ACA3">
        <v>8818</v>
      </c>
      <c r="ACB3">
        <v>4896</v>
      </c>
      <c r="ACC3">
        <v>63</v>
      </c>
      <c r="ACD3">
        <v>4953</v>
      </c>
      <c r="ACE3">
        <v>5165</v>
      </c>
      <c r="ACF3">
        <v>6404</v>
      </c>
      <c r="ACG3">
        <v>7700</v>
      </c>
      <c r="ACH3">
        <v>6190</v>
      </c>
      <c r="ACI3">
        <v>4315</v>
      </c>
      <c r="ACJ3">
        <v>14</v>
      </c>
      <c r="ACK3">
        <v>4313</v>
      </c>
      <c r="ACL3">
        <v>6082</v>
      </c>
      <c r="ACM3">
        <v>11792</v>
      </c>
      <c r="ACN3">
        <v>5200</v>
      </c>
      <c r="ACO3">
        <v>6216</v>
      </c>
      <c r="ACP3">
        <v>5490</v>
      </c>
      <c r="ACQ3">
        <v>41</v>
      </c>
      <c r="ACR3">
        <v>4737</v>
      </c>
      <c r="ACS3">
        <v>4356</v>
      </c>
      <c r="ACT3">
        <v>4203</v>
      </c>
      <c r="ACU3">
        <v>8183</v>
      </c>
      <c r="ACV3">
        <v>0</v>
      </c>
      <c r="ACW3">
        <v>4829</v>
      </c>
      <c r="ACX3">
        <v>61</v>
      </c>
      <c r="ACY3">
        <v>5198</v>
      </c>
      <c r="ACZ3">
        <v>5456</v>
      </c>
      <c r="ADA3">
        <v>6520</v>
      </c>
      <c r="ADB3">
        <v>8874</v>
      </c>
      <c r="ADC3">
        <v>8208</v>
      </c>
      <c r="ADD3">
        <v>8198</v>
      </c>
      <c r="ADE3">
        <v>13</v>
      </c>
      <c r="ADF3">
        <v>6672</v>
      </c>
      <c r="ADG3">
        <v>8870</v>
      </c>
      <c r="ADH3">
        <v>9021</v>
      </c>
      <c r="ADI3">
        <v>8802</v>
      </c>
      <c r="ADJ3">
        <v>8277</v>
      </c>
      <c r="ADK3">
        <v>6852</v>
      </c>
      <c r="ADL3">
        <v>8</v>
      </c>
      <c r="ADM3">
        <v>7564</v>
      </c>
      <c r="ADN3">
        <v>6816</v>
      </c>
      <c r="ADO3">
        <v>7735</v>
      </c>
      <c r="ADP3">
        <v>10492</v>
      </c>
      <c r="ADQ3">
        <v>8302</v>
      </c>
      <c r="ADR3">
        <v>3882</v>
      </c>
      <c r="ADS3">
        <v>0</v>
      </c>
      <c r="ADT3">
        <v>2826</v>
      </c>
      <c r="ADU3">
        <v>1060</v>
      </c>
      <c r="ADV3">
        <v>0</v>
      </c>
      <c r="ADW3">
        <v>0</v>
      </c>
      <c r="ADX3">
        <v>419</v>
      </c>
      <c r="ADY3">
        <v>603</v>
      </c>
      <c r="ADZ3">
        <v>0</v>
      </c>
      <c r="AEA3">
        <v>1555</v>
      </c>
      <c r="AEB3">
        <v>2742</v>
      </c>
      <c r="AEC3">
        <v>3960</v>
      </c>
      <c r="AED3">
        <v>4499</v>
      </c>
      <c r="AEE3">
        <v>5272</v>
      </c>
      <c r="AEF3">
        <v>7568</v>
      </c>
      <c r="AEG3">
        <v>38</v>
      </c>
      <c r="AEH3">
        <v>5011</v>
      </c>
      <c r="AEI3">
        <v>7551</v>
      </c>
      <c r="AEJ3">
        <v>7087</v>
      </c>
      <c r="AEK3">
        <v>7786</v>
      </c>
      <c r="AEL3">
        <v>9231</v>
      </c>
      <c r="AEM3">
        <v>5987</v>
      </c>
      <c r="AEN3">
        <v>24</v>
      </c>
      <c r="AEO3">
        <v>6225</v>
      </c>
      <c r="AEP3">
        <v>5916</v>
      </c>
      <c r="AEQ3">
        <v>6562</v>
      </c>
      <c r="AER3">
        <v>8658</v>
      </c>
      <c r="AES3">
        <v>7543</v>
      </c>
      <c r="AET3">
        <v>6017</v>
      </c>
      <c r="AEU3">
        <v>25</v>
      </c>
      <c r="AEV3">
        <v>7108</v>
      </c>
      <c r="AEW3">
        <v>6622</v>
      </c>
      <c r="AEX3">
        <v>7356</v>
      </c>
      <c r="AEY3">
        <v>7546</v>
      </c>
      <c r="AEZ3">
        <v>7980</v>
      </c>
      <c r="AFA3">
        <v>5266</v>
      </c>
      <c r="AFB3">
        <v>16</v>
      </c>
      <c r="AFC3">
        <v>3922</v>
      </c>
      <c r="AFD3">
        <v>0</v>
      </c>
      <c r="AFE3">
        <v>0</v>
      </c>
      <c r="AFF3">
        <v>7095</v>
      </c>
      <c r="AFG3">
        <v>5139</v>
      </c>
      <c r="AFH3">
        <v>6102</v>
      </c>
      <c r="AFI3">
        <v>0</v>
      </c>
      <c r="AFJ3">
        <v>3864</v>
      </c>
      <c r="AFK3">
        <v>6083</v>
      </c>
      <c r="AFL3">
        <v>6145</v>
      </c>
      <c r="AFM3">
        <v>7304</v>
      </c>
      <c r="AFN3">
        <v>7793</v>
      </c>
      <c r="AFO3">
        <v>5438</v>
      </c>
      <c r="AFP3">
        <v>3</v>
      </c>
      <c r="AFQ3">
        <v>5788</v>
      </c>
      <c r="AFR3">
        <v>5703</v>
      </c>
      <c r="AFS3">
        <v>5248</v>
      </c>
      <c r="AFT3">
        <v>6073</v>
      </c>
      <c r="AFU3">
        <v>7059</v>
      </c>
      <c r="AFV3">
        <v>5048</v>
      </c>
      <c r="AFW3">
        <v>16</v>
      </c>
      <c r="AFX3">
        <v>4117</v>
      </c>
      <c r="AFY3">
        <v>6215</v>
      </c>
      <c r="AFZ3">
        <v>5743</v>
      </c>
      <c r="AGA3">
        <v>7183</v>
      </c>
      <c r="AGB3">
        <v>6968</v>
      </c>
      <c r="AGC3">
        <v>5710</v>
      </c>
      <c r="AGD3">
        <v>0</v>
      </c>
      <c r="AGE3">
        <v>5811</v>
      </c>
      <c r="AGF3">
        <v>3214</v>
      </c>
      <c r="AGG3">
        <v>7278</v>
      </c>
      <c r="AGH3">
        <v>5792</v>
      </c>
      <c r="AGI3">
        <v>7766</v>
      </c>
      <c r="AGJ3">
        <v>0</v>
      </c>
      <c r="AGK3">
        <v>0</v>
      </c>
      <c r="AGL3">
        <v>6043</v>
      </c>
      <c r="AGM3">
        <v>6992</v>
      </c>
      <c r="AGN3">
        <v>7825</v>
      </c>
      <c r="AGO3">
        <v>7747</v>
      </c>
      <c r="AGP3">
        <v>7899</v>
      </c>
      <c r="AGQ3">
        <v>5565</v>
      </c>
      <c r="AGR3">
        <v>1908</v>
      </c>
      <c r="AGS3">
        <v>4121</v>
      </c>
      <c r="AGT3">
        <v>6111</v>
      </c>
      <c r="AGU3">
        <v>6017</v>
      </c>
      <c r="AGV3">
        <v>7543</v>
      </c>
      <c r="AGW3">
        <v>8515</v>
      </c>
      <c r="AGX3">
        <v>6533</v>
      </c>
      <c r="AGY3">
        <v>6</v>
      </c>
      <c r="AGZ3">
        <v>5181</v>
      </c>
      <c r="AHA3">
        <v>5600</v>
      </c>
      <c r="AHB3">
        <v>6455</v>
      </c>
      <c r="AHC3">
        <v>8119</v>
      </c>
      <c r="AHD3">
        <v>5428</v>
      </c>
      <c r="AHE3">
        <v>4309</v>
      </c>
      <c r="AHI3">
        <v>5074</v>
      </c>
      <c r="AHJ3">
        <v>6489</v>
      </c>
      <c r="AHK3">
        <v>9304</v>
      </c>
      <c r="AHL3">
        <v>8042</v>
      </c>
      <c r="AHM3">
        <v>0</v>
      </c>
      <c r="AHN3">
        <v>0</v>
      </c>
      <c r="AHO3">
        <v>6094</v>
      </c>
      <c r="AHP3">
        <v>7879</v>
      </c>
      <c r="AHQ3">
        <v>8079</v>
      </c>
      <c r="AHR3">
        <v>10014</v>
      </c>
      <c r="AHS3">
        <v>5814</v>
      </c>
      <c r="AHT3">
        <v>0</v>
      </c>
      <c r="AHU3">
        <v>0</v>
      </c>
      <c r="AHV3">
        <v>0</v>
      </c>
      <c r="AHW3">
        <v>1641</v>
      </c>
      <c r="AHX3">
        <v>2881</v>
      </c>
      <c r="AHY3">
        <v>4966</v>
      </c>
      <c r="AHZ3">
        <v>4820</v>
      </c>
      <c r="AIA3">
        <v>4</v>
      </c>
      <c r="AIB3">
        <v>5500</v>
      </c>
      <c r="AIC3">
        <v>6657</v>
      </c>
      <c r="AID3">
        <v>5595</v>
      </c>
      <c r="AIE3">
        <v>8029</v>
      </c>
      <c r="AIF3">
        <v>7494</v>
      </c>
      <c r="AIG3">
        <v>6582</v>
      </c>
      <c r="AIH3">
        <v>0</v>
      </c>
      <c r="AII3">
        <v>5467</v>
      </c>
      <c r="AIJ3">
        <v>6222</v>
      </c>
      <c r="AIK3">
        <v>7336</v>
      </c>
      <c r="AIL3">
        <v>7410</v>
      </c>
      <c r="AIM3">
        <v>0</v>
      </c>
      <c r="AIN3">
        <v>5234</v>
      </c>
      <c r="AIO3">
        <v>32</v>
      </c>
      <c r="AIP3">
        <v>0</v>
      </c>
      <c r="AIQ3">
        <v>5925</v>
      </c>
      <c r="AIR3">
        <v>9172</v>
      </c>
      <c r="AIS3">
        <v>6889</v>
      </c>
      <c r="AIT3">
        <v>7301</v>
      </c>
      <c r="AIU3">
        <v>10589</v>
      </c>
      <c r="AIV3">
        <v>0</v>
      </c>
      <c r="AIW3">
        <v>4035</v>
      </c>
      <c r="AIX3">
        <v>6047</v>
      </c>
      <c r="AIY3">
        <v>5847</v>
      </c>
      <c r="AIZ3">
        <v>7133</v>
      </c>
      <c r="AJA3">
        <v>6581</v>
      </c>
      <c r="AJB3">
        <v>6077</v>
      </c>
      <c r="AJC3">
        <v>0</v>
      </c>
      <c r="AJD3">
        <v>5169</v>
      </c>
      <c r="AJE3">
        <v>7571</v>
      </c>
      <c r="AJF3">
        <v>5942</v>
      </c>
      <c r="AJG3">
        <v>6373</v>
      </c>
      <c r="AJH3">
        <v>5802</v>
      </c>
      <c r="AJI3">
        <v>5537</v>
      </c>
      <c r="AJJ3">
        <v>0</v>
      </c>
      <c r="AJK3">
        <v>3546</v>
      </c>
      <c r="AJL3">
        <v>6647</v>
      </c>
      <c r="AJM3">
        <v>6236</v>
      </c>
      <c r="AJN3">
        <v>7095</v>
      </c>
      <c r="AJO3">
        <v>8568</v>
      </c>
      <c r="AJP3">
        <v>3865</v>
      </c>
      <c r="AJQ3">
        <v>0</v>
      </c>
      <c r="AJR3">
        <v>0</v>
      </c>
      <c r="AJS3">
        <v>6278</v>
      </c>
      <c r="AJT3">
        <v>27</v>
      </c>
      <c r="AJU3">
        <v>5083</v>
      </c>
      <c r="AJV3">
        <v>5323</v>
      </c>
      <c r="AJW3">
        <v>7839</v>
      </c>
      <c r="AJX3">
        <v>0</v>
      </c>
      <c r="AJY3">
        <v>4828</v>
      </c>
      <c r="AJZ3">
        <v>5863</v>
      </c>
      <c r="AKA3">
        <v>5757</v>
      </c>
      <c r="AKB3">
        <v>6883</v>
      </c>
      <c r="AKC3">
        <v>6420</v>
      </c>
      <c r="AKD3">
        <v>5979</v>
      </c>
      <c r="AKE3">
        <v>0</v>
      </c>
      <c r="AKF3">
        <v>3978</v>
      </c>
    </row>
    <row r="4" spans="1:985">
      <c r="A4">
        <v>2</v>
      </c>
      <c r="B4" s="132" t="s">
        <v>16</v>
      </c>
      <c r="C4" s="1">
        <v>82210</v>
      </c>
      <c r="D4" s="1" t="s">
        <v>8</v>
      </c>
      <c r="E4" s="3" t="s">
        <v>9</v>
      </c>
      <c r="F4" s="52" t="s">
        <v>17</v>
      </c>
      <c r="G4" s="48" t="s">
        <v>12</v>
      </c>
      <c r="H4" s="1" t="s">
        <v>18</v>
      </c>
      <c r="I4" s="1" t="s">
        <v>14</v>
      </c>
      <c r="J4" s="1" t="s">
        <v>15</v>
      </c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>
        <v>2561</v>
      </c>
      <c r="AE4" s="23">
        <v>6264</v>
      </c>
      <c r="AF4" s="23">
        <v>4509</v>
      </c>
      <c r="AG4" s="23">
        <v>4771</v>
      </c>
      <c r="AH4" s="23">
        <v>6433</v>
      </c>
      <c r="AI4" s="23">
        <v>3691</v>
      </c>
      <c r="AJ4" s="23">
        <v>2830</v>
      </c>
      <c r="AK4" s="23">
        <v>2274</v>
      </c>
      <c r="AL4" s="23">
        <v>4709</v>
      </c>
      <c r="AM4" s="23">
        <v>3977</v>
      </c>
      <c r="AN4" s="23">
        <v>4134</v>
      </c>
      <c r="AO4" s="23">
        <v>5419</v>
      </c>
      <c r="AP4" s="23">
        <v>3272</v>
      </c>
      <c r="AQ4" s="23">
        <v>2990</v>
      </c>
      <c r="AR4" s="23">
        <v>1839</v>
      </c>
      <c r="AS4" s="23">
        <v>3711</v>
      </c>
      <c r="AT4" s="23">
        <v>2296</v>
      </c>
      <c r="AU4" s="23">
        <v>3284</v>
      </c>
      <c r="AV4" s="23">
        <v>4529</v>
      </c>
      <c r="AW4" s="23">
        <v>6547</v>
      </c>
      <c r="AX4" s="23">
        <v>3929</v>
      </c>
      <c r="AY4" s="23">
        <v>2235</v>
      </c>
      <c r="AZ4" s="23">
        <v>6486</v>
      </c>
      <c r="BA4" s="23">
        <v>5128</v>
      </c>
      <c r="BB4" s="23">
        <v>5611</v>
      </c>
      <c r="BC4" s="23">
        <v>7350</v>
      </c>
      <c r="BD4" s="23">
        <v>6805</v>
      </c>
      <c r="BE4" s="23">
        <v>5604</v>
      </c>
      <c r="BF4" s="23">
        <v>523</v>
      </c>
      <c r="BG4" s="23">
        <v>9190</v>
      </c>
      <c r="BH4" s="23">
        <v>6484</v>
      </c>
      <c r="BI4" s="23">
        <v>5882</v>
      </c>
      <c r="BJ4" s="23">
        <v>7636</v>
      </c>
      <c r="BK4" s="23">
        <v>8742</v>
      </c>
      <c r="BL4" s="23">
        <v>4377</v>
      </c>
      <c r="BM4" s="23">
        <v>2895</v>
      </c>
      <c r="BN4" s="23">
        <v>7228</v>
      </c>
      <c r="BO4" s="23">
        <v>4972</v>
      </c>
      <c r="BP4" s="23">
        <v>8479</v>
      </c>
      <c r="BQ4" s="23">
        <v>4878</v>
      </c>
      <c r="BR4" s="23"/>
      <c r="BS4" s="23"/>
      <c r="BT4" s="23"/>
      <c r="BU4" s="23"/>
      <c r="BV4" s="23">
        <v>490</v>
      </c>
      <c r="BW4" s="23">
        <v>480</v>
      </c>
      <c r="BX4" s="23">
        <v>1731</v>
      </c>
      <c r="BY4" s="23">
        <v>1776</v>
      </c>
      <c r="BZ4" s="23">
        <v>1729</v>
      </c>
      <c r="CA4" s="23">
        <v>2230</v>
      </c>
      <c r="CB4" s="23">
        <v>6039</v>
      </c>
      <c r="CC4" s="23">
        <v>3808</v>
      </c>
      <c r="CD4">
        <v>5402</v>
      </c>
      <c r="CE4">
        <v>5149</v>
      </c>
      <c r="CF4">
        <v>4953</v>
      </c>
      <c r="CG4">
        <v>4799</v>
      </c>
      <c r="CH4">
        <v>1418</v>
      </c>
      <c r="CI4">
        <v>4350</v>
      </c>
      <c r="CJ4">
        <v>4322</v>
      </c>
      <c r="CK4">
        <v>3216</v>
      </c>
      <c r="CL4">
        <v>6958</v>
      </c>
      <c r="CM4">
        <v>6739</v>
      </c>
      <c r="CN4">
        <v>251</v>
      </c>
      <c r="CO4">
        <v>469</v>
      </c>
      <c r="CP4">
        <v>6087</v>
      </c>
      <c r="CQ4">
        <v>6497</v>
      </c>
      <c r="CR4">
        <v>4036</v>
      </c>
      <c r="CS4">
        <v>7388</v>
      </c>
      <c r="CT4">
        <v>4208</v>
      </c>
      <c r="CU4">
        <v>3413</v>
      </c>
      <c r="CV4">
        <v>2026</v>
      </c>
      <c r="CW4">
        <v>4655</v>
      </c>
      <c r="CX4">
        <v>3788</v>
      </c>
      <c r="CY4">
        <v>4342</v>
      </c>
      <c r="CZ4">
        <v>3899</v>
      </c>
      <c r="DA4">
        <v>3260</v>
      </c>
      <c r="DB4">
        <v>2678</v>
      </c>
      <c r="DC4">
        <v>1560</v>
      </c>
      <c r="DD4">
        <v>5443</v>
      </c>
      <c r="DE4">
        <v>2646</v>
      </c>
      <c r="DF4">
        <v>5563</v>
      </c>
      <c r="DG4">
        <v>5335</v>
      </c>
      <c r="DH4">
        <v>3926</v>
      </c>
      <c r="DI4">
        <v>2604</v>
      </c>
      <c r="DJ4">
        <v>1570</v>
      </c>
      <c r="DK4">
        <v>4655</v>
      </c>
      <c r="DL4">
        <v>3537</v>
      </c>
      <c r="DM4">
        <v>3836</v>
      </c>
      <c r="DN4">
        <v>4681</v>
      </c>
      <c r="DO4">
        <v>3411</v>
      </c>
      <c r="DP4">
        <v>3530</v>
      </c>
      <c r="DQ4">
        <v>1797</v>
      </c>
      <c r="DR4">
        <v>5210</v>
      </c>
      <c r="DS4">
        <v>4131</v>
      </c>
      <c r="DT4">
        <v>5029</v>
      </c>
      <c r="DU4">
        <v>5578</v>
      </c>
      <c r="DV4">
        <v>5975</v>
      </c>
      <c r="DW4">
        <v>2618</v>
      </c>
      <c r="DX4">
        <v>2327</v>
      </c>
      <c r="DY4">
        <v>5837</v>
      </c>
      <c r="DZ4">
        <v>5541</v>
      </c>
      <c r="EA4">
        <v>4562</v>
      </c>
      <c r="EB4">
        <v>5053</v>
      </c>
      <c r="EC4">
        <v>2583</v>
      </c>
      <c r="ED4">
        <v>1562</v>
      </c>
      <c r="EE4">
        <v>1931</v>
      </c>
      <c r="EF4">
        <v>3105</v>
      </c>
      <c r="EG4">
        <v>3935</v>
      </c>
      <c r="EH4">
        <v>4634</v>
      </c>
      <c r="EI4">
        <v>6145</v>
      </c>
      <c r="EJ4">
        <v>4837</v>
      </c>
      <c r="EK4">
        <v>4290</v>
      </c>
      <c r="EL4">
        <v>991</v>
      </c>
      <c r="EM4">
        <v>6642</v>
      </c>
      <c r="EN4">
        <v>5059</v>
      </c>
      <c r="EO4">
        <v>5776</v>
      </c>
      <c r="EP4">
        <v>5854</v>
      </c>
      <c r="EQ4">
        <v>5049</v>
      </c>
      <c r="ER4">
        <v>2825</v>
      </c>
      <c r="ES4">
        <v>1641</v>
      </c>
      <c r="ET4">
        <v>5250</v>
      </c>
      <c r="EU4">
        <v>4111</v>
      </c>
      <c r="EV4">
        <v>5111</v>
      </c>
      <c r="EW4">
        <v>8256</v>
      </c>
      <c r="EX4">
        <v>4151</v>
      </c>
      <c r="EY4">
        <v>3255</v>
      </c>
      <c r="EZ4">
        <v>2661</v>
      </c>
      <c r="FA4">
        <v>5735</v>
      </c>
      <c r="FB4">
        <v>5213</v>
      </c>
      <c r="FC4">
        <v>5150</v>
      </c>
      <c r="FD4">
        <v>5517</v>
      </c>
      <c r="FE4">
        <v>3552</v>
      </c>
      <c r="FF4">
        <v>4026</v>
      </c>
      <c r="FG4">
        <v>2346</v>
      </c>
      <c r="FH4">
        <v>8852</v>
      </c>
      <c r="FI4">
        <v>4494</v>
      </c>
      <c r="FJ4">
        <v>3397</v>
      </c>
      <c r="FK4">
        <v>4378</v>
      </c>
      <c r="FL4">
        <v>5674</v>
      </c>
      <c r="FN4">
        <v>520</v>
      </c>
      <c r="FO4">
        <v>8417</v>
      </c>
      <c r="FP4">
        <v>5378</v>
      </c>
      <c r="FQ4">
        <v>8358</v>
      </c>
      <c r="FR4">
        <v>7342</v>
      </c>
      <c r="FS4">
        <v>7</v>
      </c>
      <c r="FV4">
        <v>654</v>
      </c>
      <c r="FW4">
        <v>3386</v>
      </c>
      <c r="FX4">
        <v>3931</v>
      </c>
      <c r="FY4">
        <v>2480</v>
      </c>
      <c r="FZ4">
        <v>1875</v>
      </c>
      <c r="GA4">
        <v>3723</v>
      </c>
      <c r="GB4">
        <v>669</v>
      </c>
      <c r="GC4">
        <v>4871</v>
      </c>
      <c r="GD4">
        <v>4966</v>
      </c>
      <c r="GE4">
        <v>4238</v>
      </c>
      <c r="GF4">
        <v>6162</v>
      </c>
      <c r="GG4">
        <v>6011</v>
      </c>
      <c r="GH4">
        <v>2353</v>
      </c>
      <c r="GI4">
        <v>1305</v>
      </c>
      <c r="GJ4">
        <v>3833</v>
      </c>
      <c r="GK4">
        <v>5512</v>
      </c>
      <c r="GL4">
        <v>1240</v>
      </c>
      <c r="GM4">
        <v>3763</v>
      </c>
      <c r="GN4">
        <v>4352</v>
      </c>
      <c r="GP4">
        <v>207</v>
      </c>
      <c r="GQ4">
        <v>6563</v>
      </c>
      <c r="GR4">
        <v>4247</v>
      </c>
      <c r="GS4">
        <v>5756</v>
      </c>
      <c r="GT4">
        <v>4551</v>
      </c>
      <c r="GU4">
        <v>4016</v>
      </c>
      <c r="GV4">
        <v>2281</v>
      </c>
      <c r="GW4">
        <v>1445</v>
      </c>
      <c r="GX4">
        <v>4745</v>
      </c>
      <c r="GY4">
        <v>3868</v>
      </c>
      <c r="GZ4">
        <v>3745</v>
      </c>
      <c r="HA4">
        <v>4864</v>
      </c>
      <c r="HB4">
        <v>4699</v>
      </c>
      <c r="HC4">
        <v>1661</v>
      </c>
      <c r="HD4">
        <v>829</v>
      </c>
      <c r="HE4">
        <v>3366</v>
      </c>
      <c r="HF4">
        <v>4545</v>
      </c>
      <c r="HG4">
        <v>863</v>
      </c>
      <c r="HH4">
        <v>4175</v>
      </c>
      <c r="HI4">
        <v>3295</v>
      </c>
      <c r="HJ4">
        <v>3362</v>
      </c>
      <c r="HK4">
        <v>795</v>
      </c>
      <c r="HL4">
        <v>4747</v>
      </c>
      <c r="HM4">
        <v>3425</v>
      </c>
      <c r="HN4">
        <v>3095</v>
      </c>
      <c r="HO4">
        <v>6102</v>
      </c>
      <c r="HP4">
        <v>5013</v>
      </c>
      <c r="HQ4">
        <v>51</v>
      </c>
      <c r="HS4">
        <v>2386</v>
      </c>
      <c r="HT4">
        <v>3008</v>
      </c>
      <c r="HU4">
        <v>3204</v>
      </c>
      <c r="HV4">
        <v>5430</v>
      </c>
      <c r="HW4">
        <v>6343</v>
      </c>
      <c r="HX4">
        <v>17</v>
      </c>
      <c r="HY4">
        <v>4602</v>
      </c>
      <c r="HZ4">
        <v>4098</v>
      </c>
      <c r="IA4">
        <v>5255</v>
      </c>
      <c r="IB4">
        <v>7031</v>
      </c>
      <c r="IC4">
        <v>6488</v>
      </c>
      <c r="ID4">
        <v>5159</v>
      </c>
      <c r="IF4">
        <v>4538</v>
      </c>
      <c r="IG4">
        <v>4987</v>
      </c>
      <c r="IH4">
        <v>3645</v>
      </c>
      <c r="II4">
        <v>4862</v>
      </c>
      <c r="IJ4">
        <v>5881</v>
      </c>
      <c r="IK4">
        <v>3500</v>
      </c>
      <c r="IM4">
        <v>4107</v>
      </c>
      <c r="IN4">
        <v>3803</v>
      </c>
      <c r="IO4">
        <v>5046</v>
      </c>
      <c r="IP4">
        <v>5499</v>
      </c>
      <c r="IQ4">
        <v>4710</v>
      </c>
      <c r="IR4">
        <v>4603</v>
      </c>
      <c r="IT4">
        <v>5650</v>
      </c>
      <c r="IU4">
        <v>6595</v>
      </c>
      <c r="IV4">
        <v>6260</v>
      </c>
      <c r="IW4">
        <v>6023</v>
      </c>
      <c r="IX4">
        <v>5559</v>
      </c>
      <c r="IY4">
        <v>3816</v>
      </c>
      <c r="IZ4">
        <v>238</v>
      </c>
      <c r="JA4">
        <v>4175</v>
      </c>
      <c r="JB4">
        <v>4094</v>
      </c>
      <c r="JC4">
        <v>5063</v>
      </c>
      <c r="JD4">
        <v>4726</v>
      </c>
      <c r="JE4">
        <v>5661</v>
      </c>
      <c r="JF4">
        <v>5020</v>
      </c>
      <c r="JG4">
        <v>2007</v>
      </c>
      <c r="JH4">
        <v>3159</v>
      </c>
      <c r="JI4">
        <v>4107</v>
      </c>
      <c r="JJ4">
        <v>4132</v>
      </c>
      <c r="JK4">
        <v>6905</v>
      </c>
      <c r="JL4">
        <v>7455</v>
      </c>
      <c r="JM4">
        <v>5313</v>
      </c>
      <c r="JN4">
        <v>53</v>
      </c>
      <c r="JO4">
        <v>4540</v>
      </c>
      <c r="JP4">
        <v>4657</v>
      </c>
      <c r="JQ4">
        <v>5236</v>
      </c>
      <c r="JR4">
        <v>5754</v>
      </c>
      <c r="JS4">
        <v>6306</v>
      </c>
      <c r="JT4">
        <v>5214</v>
      </c>
      <c r="JU4">
        <v>53</v>
      </c>
      <c r="JV4">
        <v>0</v>
      </c>
      <c r="JW4">
        <v>6456</v>
      </c>
      <c r="JX4">
        <v>5156</v>
      </c>
      <c r="JY4">
        <v>3632</v>
      </c>
      <c r="JZ4">
        <v>3659</v>
      </c>
      <c r="KA4">
        <v>3388</v>
      </c>
      <c r="KB4">
        <v>41</v>
      </c>
      <c r="KC4">
        <v>4912</v>
      </c>
      <c r="KD4">
        <v>3371</v>
      </c>
      <c r="KE4">
        <v>4628</v>
      </c>
      <c r="KF4">
        <v>5538</v>
      </c>
      <c r="KG4">
        <v>6325</v>
      </c>
      <c r="KH4">
        <v>5808</v>
      </c>
      <c r="KI4">
        <v>45</v>
      </c>
      <c r="KJ4">
        <v>0</v>
      </c>
      <c r="KK4">
        <v>5072</v>
      </c>
      <c r="KL4">
        <v>5911</v>
      </c>
      <c r="KM4">
        <v>5727</v>
      </c>
      <c r="KN4">
        <v>4535</v>
      </c>
      <c r="KO4">
        <v>4452</v>
      </c>
      <c r="KP4">
        <v>0</v>
      </c>
      <c r="KQ4">
        <v>3109</v>
      </c>
      <c r="KR4">
        <v>4596</v>
      </c>
      <c r="KS4">
        <v>4669</v>
      </c>
      <c r="KT4">
        <v>7582</v>
      </c>
      <c r="KU4">
        <v>5373</v>
      </c>
      <c r="KV4">
        <v>4543</v>
      </c>
      <c r="KW4">
        <v>78</v>
      </c>
      <c r="KX4">
        <v>6222</v>
      </c>
      <c r="KY4">
        <v>3738</v>
      </c>
      <c r="KZ4">
        <v>5833</v>
      </c>
      <c r="LA4">
        <v>4417</v>
      </c>
      <c r="LB4">
        <v>5066</v>
      </c>
      <c r="LC4">
        <v>3131</v>
      </c>
      <c r="LD4">
        <v>54</v>
      </c>
      <c r="LE4">
        <v>3236</v>
      </c>
      <c r="LF4">
        <v>4883</v>
      </c>
      <c r="LG4">
        <v>5827</v>
      </c>
      <c r="LH4">
        <v>4227</v>
      </c>
      <c r="LI4">
        <v>4708</v>
      </c>
      <c r="LJ4">
        <v>5154</v>
      </c>
      <c r="LK4">
        <v>47</v>
      </c>
      <c r="LL4">
        <v>2552</v>
      </c>
      <c r="LM4">
        <v>4895</v>
      </c>
      <c r="LN4">
        <v>4987</v>
      </c>
      <c r="LO4">
        <v>4789</v>
      </c>
      <c r="LP4">
        <v>5773</v>
      </c>
      <c r="LQ4">
        <v>3842</v>
      </c>
      <c r="LR4">
        <v>12</v>
      </c>
      <c r="LS4" s="50">
        <v>3188</v>
      </c>
      <c r="LT4">
        <v>4623</v>
      </c>
      <c r="LU4">
        <v>3806</v>
      </c>
      <c r="LV4">
        <v>5673</v>
      </c>
      <c r="LW4">
        <v>4886</v>
      </c>
      <c r="LX4">
        <v>4548</v>
      </c>
      <c r="LY4">
        <v>94</v>
      </c>
      <c r="LZ4">
        <v>7195</v>
      </c>
      <c r="MA4">
        <v>4343</v>
      </c>
      <c r="MB4">
        <v>5284</v>
      </c>
      <c r="MC4">
        <v>8083</v>
      </c>
      <c r="MD4">
        <v>7674</v>
      </c>
      <c r="ME4">
        <v>6310</v>
      </c>
      <c r="MF4">
        <v>0</v>
      </c>
      <c r="MG4">
        <v>4052</v>
      </c>
      <c r="MH4">
        <v>4177</v>
      </c>
      <c r="MI4">
        <v>3761</v>
      </c>
      <c r="MJ4">
        <v>4966</v>
      </c>
      <c r="MK4">
        <v>7332</v>
      </c>
      <c r="ML4">
        <v>3922</v>
      </c>
      <c r="MM4">
        <v>7</v>
      </c>
      <c r="MN4" s="57">
        <v>3201</v>
      </c>
      <c r="MO4" s="57">
        <v>4089</v>
      </c>
      <c r="MP4" s="57">
        <v>6164</v>
      </c>
      <c r="MQ4" s="57">
        <v>6399</v>
      </c>
      <c r="MR4" s="57">
        <v>4710</v>
      </c>
      <c r="MS4" s="57">
        <v>4817</v>
      </c>
      <c r="MT4" s="58">
        <v>5560</v>
      </c>
      <c r="MU4" s="57">
        <v>0</v>
      </c>
      <c r="MV4">
        <v>5853</v>
      </c>
      <c r="MW4">
        <v>4984</v>
      </c>
      <c r="MX4">
        <v>6722</v>
      </c>
      <c r="MY4">
        <v>5819</v>
      </c>
      <c r="MZ4">
        <v>6663</v>
      </c>
      <c r="NA4">
        <v>77</v>
      </c>
      <c r="NB4" s="67">
        <v>7106</v>
      </c>
      <c r="NC4" s="67">
        <v>5583</v>
      </c>
      <c r="ND4" s="67">
        <v>82</v>
      </c>
      <c r="NE4" s="67">
        <v>5157</v>
      </c>
      <c r="NF4" s="67">
        <v>7117</v>
      </c>
      <c r="NG4" s="67">
        <v>6322</v>
      </c>
      <c r="NH4" s="67">
        <v>63</v>
      </c>
      <c r="NI4" s="67">
        <v>6193</v>
      </c>
      <c r="NJ4" s="67">
        <v>4700</v>
      </c>
      <c r="NK4" s="57">
        <v>6514</v>
      </c>
      <c r="NL4" s="57">
        <v>5085</v>
      </c>
      <c r="NM4" s="57">
        <v>5780</v>
      </c>
      <c r="NN4" s="57">
        <v>6666</v>
      </c>
      <c r="NO4" s="57">
        <v>9</v>
      </c>
      <c r="NP4" s="67">
        <v>4245</v>
      </c>
      <c r="NQ4" s="67">
        <v>5683</v>
      </c>
      <c r="NR4" s="67">
        <v>4032</v>
      </c>
      <c r="NS4" s="67">
        <v>5924</v>
      </c>
      <c r="NT4" s="67">
        <v>7551</v>
      </c>
      <c r="NU4" s="67">
        <v>4502</v>
      </c>
      <c r="NV4" s="67">
        <v>19</v>
      </c>
      <c r="NW4" s="67">
        <v>5284</v>
      </c>
      <c r="NX4" s="67">
        <v>7794</v>
      </c>
      <c r="NY4" s="67">
        <v>4905</v>
      </c>
      <c r="NZ4" s="67">
        <v>8314</v>
      </c>
      <c r="OA4" s="67">
        <v>7037</v>
      </c>
      <c r="OB4" s="67">
        <v>7268</v>
      </c>
      <c r="OC4" s="67">
        <v>43</v>
      </c>
      <c r="OD4">
        <v>7305</v>
      </c>
      <c r="OE4">
        <v>4540</v>
      </c>
      <c r="OF4">
        <v>6028</v>
      </c>
      <c r="OG4">
        <v>5640</v>
      </c>
      <c r="OH4">
        <v>4206</v>
      </c>
      <c r="OI4">
        <v>4623</v>
      </c>
      <c r="OJ4">
        <v>0</v>
      </c>
      <c r="OK4" s="67">
        <v>7129</v>
      </c>
      <c r="OL4" s="67">
        <v>5738</v>
      </c>
      <c r="OM4" s="67">
        <v>4738</v>
      </c>
      <c r="ON4" s="67">
        <v>4817</v>
      </c>
      <c r="OO4" s="67">
        <v>3915</v>
      </c>
      <c r="OP4" s="67">
        <v>8024</v>
      </c>
      <c r="OQ4" s="67">
        <v>456</v>
      </c>
      <c r="OR4" s="67">
        <v>3727</v>
      </c>
      <c r="OS4" s="67">
        <v>5544</v>
      </c>
      <c r="OT4" s="67">
        <v>5645</v>
      </c>
      <c r="OU4" s="67">
        <v>0</v>
      </c>
      <c r="OV4" s="67">
        <v>8347</v>
      </c>
      <c r="OW4" s="67">
        <v>5297</v>
      </c>
      <c r="OX4" s="67">
        <v>71</v>
      </c>
      <c r="OY4" s="67">
        <v>6278</v>
      </c>
      <c r="OZ4" s="67">
        <v>4439</v>
      </c>
      <c r="PA4" s="67">
        <v>5901</v>
      </c>
      <c r="PB4" s="67">
        <v>6113</v>
      </c>
      <c r="PC4" s="67">
        <v>7250</v>
      </c>
      <c r="PD4" s="67">
        <v>8166</v>
      </c>
      <c r="PE4" s="67">
        <v>69</v>
      </c>
      <c r="PF4" s="67">
        <v>6511</v>
      </c>
      <c r="PG4" s="67">
        <v>6478</v>
      </c>
      <c r="PH4" s="67">
        <v>6301</v>
      </c>
      <c r="PI4" s="67">
        <v>5793</v>
      </c>
      <c r="PJ4" s="67">
        <v>6311</v>
      </c>
      <c r="PK4" s="67">
        <v>8566</v>
      </c>
      <c r="PL4" s="67">
        <v>0</v>
      </c>
      <c r="PM4">
        <v>7068</v>
      </c>
      <c r="PN4">
        <v>7992</v>
      </c>
      <c r="PO4">
        <v>7474</v>
      </c>
      <c r="PP4">
        <v>7478</v>
      </c>
      <c r="PQ4">
        <v>4751</v>
      </c>
      <c r="PR4">
        <v>3696</v>
      </c>
      <c r="PS4">
        <v>40</v>
      </c>
      <c r="PT4">
        <v>701</v>
      </c>
      <c r="PV4">
        <v>0</v>
      </c>
      <c r="PW4" s="74">
        <v>454</v>
      </c>
      <c r="PX4" s="74">
        <v>3270</v>
      </c>
      <c r="PY4" s="74">
        <v>1236</v>
      </c>
      <c r="PZ4" s="74">
        <v>0</v>
      </c>
      <c r="QA4" s="74">
        <v>2252</v>
      </c>
      <c r="QB4" s="74">
        <v>2581</v>
      </c>
      <c r="QC4" s="74">
        <v>4892</v>
      </c>
      <c r="QD4" s="74">
        <v>6293</v>
      </c>
      <c r="QE4" s="74">
        <v>5140</v>
      </c>
      <c r="QF4" s="74">
        <v>5073</v>
      </c>
      <c r="QG4" s="74">
        <v>58</v>
      </c>
      <c r="QH4">
        <v>6343</v>
      </c>
      <c r="QI4">
        <v>6168</v>
      </c>
      <c r="QJ4">
        <v>6535</v>
      </c>
      <c r="QK4">
        <v>4705</v>
      </c>
      <c r="QL4">
        <v>5147</v>
      </c>
      <c r="QM4">
        <v>8084</v>
      </c>
      <c r="QN4">
        <v>0</v>
      </c>
      <c r="QO4">
        <v>5570</v>
      </c>
      <c r="QP4">
        <v>4855</v>
      </c>
      <c r="QQ4">
        <v>6873</v>
      </c>
      <c r="QR4">
        <v>6860</v>
      </c>
      <c r="QS4">
        <v>6916</v>
      </c>
      <c r="QT4">
        <v>5322</v>
      </c>
      <c r="QU4">
        <v>1</v>
      </c>
      <c r="QV4">
        <v>5176</v>
      </c>
      <c r="QW4">
        <v>5862</v>
      </c>
      <c r="QX4">
        <v>3700</v>
      </c>
      <c r="QY4">
        <v>4758</v>
      </c>
      <c r="QZ4">
        <v>4984</v>
      </c>
      <c r="RA4">
        <v>3666</v>
      </c>
      <c r="RB4">
        <v>148</v>
      </c>
      <c r="RC4">
        <v>5263</v>
      </c>
      <c r="RD4">
        <v>3176</v>
      </c>
      <c r="RE4">
        <v>4798</v>
      </c>
      <c r="RF4">
        <v>5107</v>
      </c>
      <c r="RG4">
        <v>4982</v>
      </c>
      <c r="RH4">
        <v>0</v>
      </c>
      <c r="RI4">
        <v>0</v>
      </c>
      <c r="RJ4">
        <v>6892</v>
      </c>
      <c r="RK4">
        <v>5161</v>
      </c>
      <c r="RL4">
        <v>4593</v>
      </c>
      <c r="RM4">
        <v>4317</v>
      </c>
      <c r="RN4">
        <v>6035</v>
      </c>
      <c r="RO4">
        <v>4694</v>
      </c>
      <c r="RP4">
        <v>261</v>
      </c>
      <c r="RQ4">
        <v>5667</v>
      </c>
      <c r="RR4">
        <v>5681</v>
      </c>
      <c r="RS4">
        <v>5976</v>
      </c>
      <c r="RT4">
        <v>5829</v>
      </c>
      <c r="RU4">
        <v>4961</v>
      </c>
      <c r="RV4">
        <v>4762</v>
      </c>
      <c r="RW4">
        <v>60</v>
      </c>
      <c r="RX4">
        <v>5434</v>
      </c>
      <c r="RY4">
        <v>4864</v>
      </c>
      <c r="RZ4">
        <v>4586</v>
      </c>
      <c r="SA4">
        <v>5115</v>
      </c>
      <c r="SB4">
        <v>5457</v>
      </c>
      <c r="SC4">
        <v>4930</v>
      </c>
      <c r="SD4">
        <v>0</v>
      </c>
      <c r="SE4">
        <v>3104</v>
      </c>
      <c r="SF4">
        <v>4690</v>
      </c>
      <c r="SG4">
        <v>4913</v>
      </c>
      <c r="SH4">
        <v>4925</v>
      </c>
      <c r="SI4">
        <v>5704</v>
      </c>
      <c r="SJ4">
        <v>4699</v>
      </c>
      <c r="SK4">
        <v>0</v>
      </c>
      <c r="SL4">
        <v>5355</v>
      </c>
      <c r="SM4">
        <v>4402</v>
      </c>
      <c r="SN4">
        <v>6103</v>
      </c>
      <c r="SO4">
        <v>6060</v>
      </c>
      <c r="SP4">
        <v>4696</v>
      </c>
      <c r="SQ4">
        <v>4510</v>
      </c>
      <c r="SR4">
        <v>0</v>
      </c>
      <c r="SS4">
        <v>3919</v>
      </c>
      <c r="ST4">
        <v>5771</v>
      </c>
      <c r="SU4">
        <v>5511</v>
      </c>
      <c r="SV4">
        <v>7859</v>
      </c>
      <c r="SW4">
        <v>5147</v>
      </c>
      <c r="SX4">
        <v>4758</v>
      </c>
      <c r="SY4">
        <v>98</v>
      </c>
      <c r="SZ4">
        <v>3701</v>
      </c>
      <c r="TA4">
        <v>6580</v>
      </c>
      <c r="TB4">
        <v>4656</v>
      </c>
      <c r="TC4">
        <v>5255</v>
      </c>
      <c r="TD4">
        <v>4089</v>
      </c>
      <c r="TE4">
        <v>3916</v>
      </c>
      <c r="TF4">
        <v>0</v>
      </c>
      <c r="TG4">
        <v>1367</v>
      </c>
      <c r="TH4">
        <v>2950</v>
      </c>
      <c r="TI4">
        <v>4803</v>
      </c>
      <c r="TJ4">
        <v>7996</v>
      </c>
      <c r="TK4">
        <v>5152</v>
      </c>
      <c r="TL4">
        <v>4048</v>
      </c>
      <c r="TM4">
        <v>0</v>
      </c>
      <c r="TN4">
        <v>0</v>
      </c>
      <c r="TO4">
        <v>6107</v>
      </c>
      <c r="TP4">
        <v>67</v>
      </c>
      <c r="TQ4">
        <v>5502</v>
      </c>
      <c r="TR4">
        <v>27</v>
      </c>
      <c r="TS4">
        <v>14</v>
      </c>
      <c r="TT4">
        <v>0</v>
      </c>
      <c r="TU4">
        <v>0</v>
      </c>
      <c r="TV4">
        <v>0</v>
      </c>
      <c r="TW4">
        <v>621</v>
      </c>
      <c r="TX4">
        <v>1344</v>
      </c>
      <c r="TY4">
        <v>3473</v>
      </c>
      <c r="TZ4">
        <v>4242</v>
      </c>
      <c r="UA4">
        <v>1</v>
      </c>
      <c r="UB4">
        <v>3520</v>
      </c>
      <c r="UC4">
        <v>4800</v>
      </c>
      <c r="UD4">
        <v>5010</v>
      </c>
      <c r="UE4">
        <v>5400</v>
      </c>
      <c r="UF4">
        <v>4387</v>
      </c>
      <c r="UG4">
        <v>4846</v>
      </c>
      <c r="UH4">
        <v>7</v>
      </c>
      <c r="UI4">
        <v>27</v>
      </c>
      <c r="UJ4">
        <v>4503</v>
      </c>
      <c r="UK4">
        <v>4546</v>
      </c>
      <c r="UL4">
        <v>86</v>
      </c>
      <c r="UM4">
        <v>5230</v>
      </c>
      <c r="UN4">
        <v>3035</v>
      </c>
      <c r="UO4">
        <v>0</v>
      </c>
      <c r="UP4">
        <v>0</v>
      </c>
      <c r="UQ4">
        <v>3631</v>
      </c>
      <c r="UR4">
        <v>5554</v>
      </c>
      <c r="US4">
        <v>4713</v>
      </c>
      <c r="UT4">
        <v>4772</v>
      </c>
      <c r="UU4">
        <v>4492</v>
      </c>
      <c r="UV4">
        <v>77</v>
      </c>
      <c r="UW4">
        <v>0</v>
      </c>
      <c r="UX4">
        <v>2891</v>
      </c>
      <c r="UY4">
        <v>5539</v>
      </c>
      <c r="UZ4">
        <v>5157</v>
      </c>
      <c r="VA4">
        <v>4522</v>
      </c>
      <c r="VB4">
        <v>5261</v>
      </c>
      <c r="VC4">
        <v>60</v>
      </c>
      <c r="VD4">
        <v>3480</v>
      </c>
      <c r="VE4">
        <v>3545</v>
      </c>
      <c r="VF4">
        <v>3247</v>
      </c>
      <c r="VG4">
        <v>3645</v>
      </c>
      <c r="VH4">
        <v>4950</v>
      </c>
      <c r="VI4">
        <v>3956</v>
      </c>
      <c r="VJ4">
        <v>0</v>
      </c>
      <c r="VK4">
        <v>4593</v>
      </c>
      <c r="VL4">
        <v>39</v>
      </c>
      <c r="VM4">
        <v>5521</v>
      </c>
      <c r="VN4">
        <v>5228</v>
      </c>
      <c r="VO4">
        <v>72</v>
      </c>
      <c r="VP4">
        <v>4161</v>
      </c>
      <c r="VQ4">
        <v>0</v>
      </c>
      <c r="VR4">
        <v>3728</v>
      </c>
      <c r="VS4">
        <v>0</v>
      </c>
      <c r="VT4">
        <v>2844</v>
      </c>
      <c r="VU4">
        <v>5497</v>
      </c>
      <c r="VV4">
        <v>3535</v>
      </c>
      <c r="VW4">
        <v>4295</v>
      </c>
      <c r="VX4">
        <v>2</v>
      </c>
      <c r="VY4">
        <v>3585</v>
      </c>
      <c r="VZ4">
        <v>3508</v>
      </c>
      <c r="WA4">
        <v>4540</v>
      </c>
      <c r="WB4">
        <v>27</v>
      </c>
      <c r="WC4">
        <v>4973</v>
      </c>
      <c r="WD4">
        <v>4916</v>
      </c>
      <c r="WE4">
        <v>0</v>
      </c>
      <c r="WF4">
        <v>28</v>
      </c>
      <c r="WG4">
        <v>48</v>
      </c>
      <c r="WH4">
        <v>4119</v>
      </c>
      <c r="WI4">
        <v>4454</v>
      </c>
      <c r="WJ4">
        <v>3751</v>
      </c>
      <c r="WK4">
        <v>3131</v>
      </c>
      <c r="WL4">
        <v>0</v>
      </c>
      <c r="WM4">
        <v>3218</v>
      </c>
      <c r="WN4">
        <v>3023</v>
      </c>
      <c r="WO4">
        <v>3794</v>
      </c>
      <c r="WP4">
        <v>6088</v>
      </c>
      <c r="WQ4">
        <v>5260</v>
      </c>
      <c r="WR4">
        <v>2575</v>
      </c>
      <c r="WS4">
        <v>0</v>
      </c>
      <c r="WT4">
        <v>2856</v>
      </c>
      <c r="WU4">
        <v>2866</v>
      </c>
      <c r="WV4">
        <v>3011</v>
      </c>
      <c r="WW4">
        <v>5380</v>
      </c>
      <c r="WX4">
        <v>3759</v>
      </c>
      <c r="WY4">
        <v>1946</v>
      </c>
      <c r="WZ4">
        <v>2</v>
      </c>
      <c r="XA4">
        <v>3272</v>
      </c>
      <c r="XB4">
        <v>4160</v>
      </c>
      <c r="XC4">
        <v>5604</v>
      </c>
      <c r="XD4">
        <v>4709</v>
      </c>
      <c r="XE4">
        <v>3858</v>
      </c>
      <c r="XF4">
        <v>3477</v>
      </c>
      <c r="XG4">
        <v>89</v>
      </c>
      <c r="XH4">
        <v>5237</v>
      </c>
      <c r="XI4">
        <v>3245</v>
      </c>
      <c r="XJ4">
        <v>3436</v>
      </c>
      <c r="XK4">
        <v>4170</v>
      </c>
      <c r="XL4">
        <v>4306</v>
      </c>
      <c r="XM4">
        <v>4001</v>
      </c>
      <c r="XN4">
        <v>1</v>
      </c>
      <c r="XO4">
        <v>5584</v>
      </c>
      <c r="XP4">
        <v>4205</v>
      </c>
      <c r="XQ4">
        <v>5467</v>
      </c>
      <c r="XR4">
        <v>5452</v>
      </c>
      <c r="XS4">
        <v>4513</v>
      </c>
      <c r="XT4">
        <v>3811</v>
      </c>
      <c r="XU4">
        <v>0</v>
      </c>
      <c r="XV4">
        <v>0</v>
      </c>
      <c r="XW4">
        <v>3873</v>
      </c>
      <c r="XX4">
        <v>3780</v>
      </c>
      <c r="XY4">
        <v>5414</v>
      </c>
      <c r="XZ4">
        <v>4081</v>
      </c>
      <c r="YA4">
        <v>3965</v>
      </c>
      <c r="YB4">
        <v>0</v>
      </c>
      <c r="YC4">
        <v>2773</v>
      </c>
      <c r="YD4">
        <v>3491</v>
      </c>
      <c r="YE4">
        <v>7161</v>
      </c>
      <c r="YF4">
        <v>4491</v>
      </c>
      <c r="YG4">
        <v>4114</v>
      </c>
      <c r="YH4">
        <v>6401</v>
      </c>
      <c r="YI4">
        <v>0</v>
      </c>
      <c r="YJ4">
        <v>4342</v>
      </c>
      <c r="YK4">
        <v>0</v>
      </c>
      <c r="YL4">
        <v>5134</v>
      </c>
      <c r="YM4">
        <v>5894</v>
      </c>
      <c r="YN4">
        <v>3503</v>
      </c>
      <c r="YO4">
        <v>5885</v>
      </c>
      <c r="YP4">
        <v>57</v>
      </c>
      <c r="YQ4">
        <v>3339</v>
      </c>
      <c r="YR4">
        <v>4745</v>
      </c>
      <c r="YS4">
        <v>5103</v>
      </c>
      <c r="YT4">
        <v>6618</v>
      </c>
      <c r="YU4">
        <v>4546</v>
      </c>
      <c r="YV4">
        <v>5530</v>
      </c>
      <c r="YW4">
        <v>0</v>
      </c>
      <c r="YX4">
        <v>7016</v>
      </c>
      <c r="YY4">
        <v>5066</v>
      </c>
      <c r="YZ4">
        <v>5942</v>
      </c>
      <c r="ZA4">
        <v>6255</v>
      </c>
      <c r="ZB4">
        <v>4387</v>
      </c>
      <c r="ZC4">
        <v>2872</v>
      </c>
      <c r="ZD4">
        <v>9</v>
      </c>
      <c r="ZE4">
        <v>57</v>
      </c>
      <c r="ZF4">
        <v>3933</v>
      </c>
      <c r="ZG4">
        <v>59</v>
      </c>
      <c r="ZH4">
        <v>8679</v>
      </c>
      <c r="ZI4">
        <v>5181</v>
      </c>
      <c r="ZJ4">
        <v>5190</v>
      </c>
      <c r="ZK4">
        <v>0</v>
      </c>
      <c r="ZL4">
        <v>3607</v>
      </c>
      <c r="ZM4">
        <v>3955</v>
      </c>
      <c r="ZN4">
        <v>3981</v>
      </c>
      <c r="ZO4">
        <v>4726</v>
      </c>
      <c r="ZP4">
        <v>4567</v>
      </c>
      <c r="ZQ4">
        <v>4383</v>
      </c>
      <c r="ZR4">
        <v>1</v>
      </c>
      <c r="ZS4">
        <v>4171</v>
      </c>
      <c r="ZT4">
        <v>4068</v>
      </c>
      <c r="ZU4">
        <v>4470</v>
      </c>
      <c r="ZV4">
        <v>4336</v>
      </c>
      <c r="ZW4">
        <v>4320</v>
      </c>
      <c r="ZX4">
        <v>4901</v>
      </c>
      <c r="ZY4">
        <v>0</v>
      </c>
      <c r="ZZ4">
        <v>2960</v>
      </c>
      <c r="AAA4">
        <v>3354</v>
      </c>
      <c r="AAB4">
        <v>3759</v>
      </c>
      <c r="AAC4">
        <v>6060</v>
      </c>
      <c r="AAD4">
        <v>4443</v>
      </c>
      <c r="AAE4">
        <v>3420</v>
      </c>
      <c r="AAF4">
        <v>35</v>
      </c>
      <c r="AAG4">
        <v>5161</v>
      </c>
      <c r="AAH4">
        <v>4988</v>
      </c>
      <c r="AAI4">
        <v>4063</v>
      </c>
      <c r="AAJ4">
        <v>4420</v>
      </c>
      <c r="AAK4">
        <v>5222</v>
      </c>
      <c r="AAL4">
        <v>3326</v>
      </c>
      <c r="AAM4">
        <v>0</v>
      </c>
      <c r="AAN4">
        <v>2432</v>
      </c>
      <c r="AAO4">
        <v>4329</v>
      </c>
      <c r="AAP4">
        <v>3858</v>
      </c>
      <c r="AAQ4">
        <v>3173</v>
      </c>
      <c r="AAR4">
        <v>4869</v>
      </c>
      <c r="AAS4">
        <v>5572</v>
      </c>
      <c r="AAT4">
        <v>0</v>
      </c>
      <c r="AAU4">
        <v>0</v>
      </c>
      <c r="AAV4">
        <v>6458</v>
      </c>
      <c r="AAW4">
        <v>5021</v>
      </c>
      <c r="AAX4">
        <v>4441</v>
      </c>
      <c r="AAY4">
        <v>5877</v>
      </c>
      <c r="AAZ4">
        <v>6735</v>
      </c>
      <c r="ABA4">
        <v>0</v>
      </c>
      <c r="ABB4">
        <v>4767</v>
      </c>
      <c r="ABC4">
        <v>4961</v>
      </c>
      <c r="ABD4">
        <v>4672</v>
      </c>
      <c r="ABE4">
        <v>0</v>
      </c>
      <c r="ABF4">
        <v>5393</v>
      </c>
      <c r="ABG4">
        <v>5515</v>
      </c>
      <c r="ABH4">
        <v>66</v>
      </c>
      <c r="ABI4">
        <v>3345</v>
      </c>
      <c r="ABJ4">
        <v>4165</v>
      </c>
      <c r="ABK4">
        <v>4010</v>
      </c>
      <c r="ABL4">
        <v>2966</v>
      </c>
      <c r="ABM4">
        <v>4812</v>
      </c>
      <c r="ABN4">
        <v>3253</v>
      </c>
      <c r="ABO4">
        <v>0</v>
      </c>
      <c r="ABP4">
        <v>5480</v>
      </c>
      <c r="ABQ4">
        <v>2990</v>
      </c>
      <c r="ABR4">
        <v>5613</v>
      </c>
      <c r="ABS4">
        <v>4168</v>
      </c>
      <c r="ABT4">
        <v>6264</v>
      </c>
      <c r="ABU4">
        <v>3126</v>
      </c>
      <c r="ABV4">
        <v>26</v>
      </c>
      <c r="ABW4">
        <v>4317</v>
      </c>
      <c r="ABX4">
        <v>5312</v>
      </c>
      <c r="ABY4">
        <v>3265</v>
      </c>
      <c r="ABZ4">
        <v>5220</v>
      </c>
      <c r="ACA4">
        <v>7043</v>
      </c>
      <c r="ACB4">
        <v>4657</v>
      </c>
      <c r="ACC4">
        <v>63</v>
      </c>
      <c r="ACD4">
        <v>4506</v>
      </c>
      <c r="ACE4">
        <v>5002</v>
      </c>
      <c r="ACF4">
        <v>5985</v>
      </c>
      <c r="ACG4">
        <v>7340</v>
      </c>
      <c r="ACH4">
        <v>5778</v>
      </c>
      <c r="ACI4">
        <v>4063</v>
      </c>
      <c r="ACJ4">
        <v>25</v>
      </c>
      <c r="ACK4">
        <v>3451</v>
      </c>
      <c r="ACL4">
        <v>5409</v>
      </c>
      <c r="ACM4">
        <v>7427</v>
      </c>
      <c r="ACN4">
        <v>4569</v>
      </c>
      <c r="ACO4">
        <v>3973</v>
      </c>
      <c r="ACP4">
        <v>3991</v>
      </c>
      <c r="ACQ4">
        <v>0</v>
      </c>
      <c r="ACR4">
        <v>4500</v>
      </c>
      <c r="ACS4">
        <v>2830</v>
      </c>
      <c r="ACT4">
        <v>3140</v>
      </c>
      <c r="ACU4">
        <v>5907</v>
      </c>
      <c r="ACV4">
        <v>0</v>
      </c>
      <c r="ACW4">
        <v>6067</v>
      </c>
      <c r="ACX4">
        <v>22</v>
      </c>
      <c r="ACY4">
        <v>6060</v>
      </c>
      <c r="ACZ4">
        <v>3013</v>
      </c>
      <c r="ADA4">
        <v>3543</v>
      </c>
      <c r="ADB4">
        <v>4870</v>
      </c>
      <c r="ADC4">
        <v>5912</v>
      </c>
      <c r="ADD4">
        <v>7031</v>
      </c>
      <c r="ADE4">
        <v>50</v>
      </c>
      <c r="ADF4">
        <v>6106</v>
      </c>
      <c r="ADG4">
        <v>3855</v>
      </c>
      <c r="ADH4">
        <v>6939</v>
      </c>
      <c r="ADI4">
        <v>5041</v>
      </c>
      <c r="ADJ4">
        <v>6423</v>
      </c>
      <c r="ADK4">
        <v>3857</v>
      </c>
      <c r="ADL4">
        <v>46</v>
      </c>
      <c r="ADM4">
        <v>4159</v>
      </c>
      <c r="ADN4">
        <v>5539</v>
      </c>
      <c r="ADO4">
        <v>5371</v>
      </c>
      <c r="ADP4">
        <v>4752</v>
      </c>
      <c r="ADQ4">
        <v>5437</v>
      </c>
      <c r="ADR4">
        <v>2092</v>
      </c>
      <c r="ADS4">
        <v>0</v>
      </c>
      <c r="ADT4">
        <v>2300</v>
      </c>
      <c r="ADU4">
        <v>1095</v>
      </c>
      <c r="ADV4">
        <v>0</v>
      </c>
      <c r="ADW4">
        <v>0</v>
      </c>
      <c r="ADX4">
        <v>290</v>
      </c>
      <c r="ADY4">
        <v>312</v>
      </c>
      <c r="ADZ4">
        <v>0</v>
      </c>
      <c r="AEA4">
        <v>671</v>
      </c>
      <c r="AEB4">
        <v>1843</v>
      </c>
      <c r="AEC4">
        <v>2914</v>
      </c>
      <c r="AED4">
        <v>2708</v>
      </c>
      <c r="AEE4">
        <v>3265</v>
      </c>
      <c r="AEF4">
        <v>4523</v>
      </c>
      <c r="AEG4">
        <v>0</v>
      </c>
      <c r="AEH4">
        <v>4635</v>
      </c>
      <c r="AEI4">
        <v>4553</v>
      </c>
      <c r="AEJ4">
        <v>3758</v>
      </c>
      <c r="AEK4">
        <v>5167</v>
      </c>
      <c r="AEL4">
        <v>4838</v>
      </c>
      <c r="AEM4">
        <v>4292</v>
      </c>
      <c r="AEN4">
        <v>40</v>
      </c>
      <c r="AEO4">
        <v>6243</v>
      </c>
      <c r="AEP4">
        <v>5873</v>
      </c>
      <c r="AEQ4">
        <v>6084</v>
      </c>
      <c r="AER4">
        <v>5398</v>
      </c>
      <c r="AES4">
        <v>4030</v>
      </c>
      <c r="AET4">
        <v>5747</v>
      </c>
      <c r="AEU4">
        <v>0</v>
      </c>
      <c r="AEV4">
        <v>4527</v>
      </c>
      <c r="AEW4">
        <v>4617</v>
      </c>
      <c r="AEX4">
        <v>5341</v>
      </c>
      <c r="AEY4">
        <v>4097</v>
      </c>
      <c r="AEZ4">
        <v>3363</v>
      </c>
      <c r="AFA4">
        <v>4463</v>
      </c>
      <c r="AFB4">
        <v>0</v>
      </c>
      <c r="AFC4">
        <v>3103</v>
      </c>
      <c r="AFD4">
        <v>0</v>
      </c>
      <c r="AFE4">
        <v>0</v>
      </c>
      <c r="AFF4">
        <v>4119</v>
      </c>
      <c r="AFG4">
        <v>5738</v>
      </c>
      <c r="AFH4">
        <v>3772</v>
      </c>
      <c r="AFI4">
        <v>39</v>
      </c>
      <c r="AFJ4">
        <v>3248</v>
      </c>
      <c r="AFK4">
        <v>4150</v>
      </c>
      <c r="AFL4">
        <v>4665</v>
      </c>
      <c r="AFM4">
        <v>3537</v>
      </c>
      <c r="AFN4">
        <v>4081</v>
      </c>
      <c r="AFO4">
        <v>4582</v>
      </c>
      <c r="AFP4">
        <v>0</v>
      </c>
      <c r="AFQ4">
        <v>3433</v>
      </c>
      <c r="AFR4">
        <v>3642</v>
      </c>
      <c r="AFS4">
        <v>3159</v>
      </c>
      <c r="AFT4">
        <v>4931</v>
      </c>
      <c r="AFU4">
        <v>4489</v>
      </c>
      <c r="AFV4">
        <v>2953</v>
      </c>
      <c r="AFW4">
        <v>0</v>
      </c>
      <c r="AFX4">
        <v>4384</v>
      </c>
      <c r="AFY4">
        <v>4415</v>
      </c>
      <c r="AFZ4">
        <v>6815</v>
      </c>
      <c r="AGA4">
        <v>3531</v>
      </c>
      <c r="AGB4">
        <v>3455</v>
      </c>
      <c r="AGC4">
        <v>3113</v>
      </c>
      <c r="AGD4">
        <v>61</v>
      </c>
      <c r="AGE4">
        <v>4430</v>
      </c>
      <c r="AGF4">
        <v>2403</v>
      </c>
      <c r="AGG4">
        <v>4288</v>
      </c>
      <c r="AGH4">
        <v>4010</v>
      </c>
      <c r="AGI4">
        <v>6501</v>
      </c>
      <c r="AGJ4">
        <v>5</v>
      </c>
      <c r="AGK4">
        <v>0</v>
      </c>
      <c r="AGL4">
        <v>5067</v>
      </c>
      <c r="AGM4">
        <v>4514</v>
      </c>
      <c r="AGN4">
        <v>6764</v>
      </c>
      <c r="AGO4">
        <v>3966</v>
      </c>
      <c r="AGP4">
        <v>4571</v>
      </c>
      <c r="AGQ4">
        <v>5297</v>
      </c>
      <c r="AGR4">
        <v>670</v>
      </c>
      <c r="AGS4">
        <v>3924</v>
      </c>
      <c r="AGT4">
        <v>4946</v>
      </c>
      <c r="AGU4">
        <v>4747</v>
      </c>
      <c r="AGV4">
        <v>5748</v>
      </c>
      <c r="AGW4">
        <v>4141</v>
      </c>
      <c r="AGX4">
        <v>3714</v>
      </c>
      <c r="AGY4">
        <v>0</v>
      </c>
      <c r="AGZ4">
        <v>4247</v>
      </c>
      <c r="AHA4">
        <v>4429</v>
      </c>
      <c r="AHB4">
        <v>4427</v>
      </c>
      <c r="AHC4">
        <v>5713</v>
      </c>
      <c r="AHD4">
        <v>2967</v>
      </c>
      <c r="AHE4">
        <v>3766</v>
      </c>
      <c r="AHI4">
        <v>4694</v>
      </c>
      <c r="AHJ4">
        <v>7704</v>
      </c>
      <c r="AHK4">
        <v>5155</v>
      </c>
      <c r="AHL4">
        <v>6323</v>
      </c>
      <c r="AHM4">
        <v>0</v>
      </c>
      <c r="AHN4">
        <v>0</v>
      </c>
      <c r="AHO4">
        <v>5700</v>
      </c>
      <c r="AHP4">
        <v>7760</v>
      </c>
      <c r="AHQ4">
        <v>5295</v>
      </c>
      <c r="AHR4">
        <v>6396</v>
      </c>
      <c r="AHS4">
        <v>3629</v>
      </c>
      <c r="AHT4">
        <v>0</v>
      </c>
      <c r="AHU4">
        <v>0</v>
      </c>
      <c r="AHV4">
        <v>0</v>
      </c>
      <c r="AHW4">
        <v>311</v>
      </c>
      <c r="AHX4">
        <v>1167</v>
      </c>
      <c r="AHY4">
        <v>4471</v>
      </c>
      <c r="AHZ4">
        <v>3096</v>
      </c>
      <c r="AIA4">
        <v>0</v>
      </c>
      <c r="AIB4">
        <v>3050</v>
      </c>
      <c r="AIC4">
        <v>3782</v>
      </c>
      <c r="AID4">
        <v>4229</v>
      </c>
      <c r="AIE4">
        <v>4809</v>
      </c>
      <c r="AIF4">
        <v>3676</v>
      </c>
      <c r="AIG4">
        <v>4506</v>
      </c>
      <c r="AIH4">
        <v>0</v>
      </c>
      <c r="AII4">
        <v>5220</v>
      </c>
      <c r="AIJ4">
        <v>3692</v>
      </c>
      <c r="AIK4">
        <v>5295</v>
      </c>
      <c r="AIL4">
        <v>4374</v>
      </c>
      <c r="AIM4">
        <v>6</v>
      </c>
      <c r="AIN4">
        <v>3603</v>
      </c>
      <c r="AIO4">
        <v>16</v>
      </c>
      <c r="AIP4">
        <v>0</v>
      </c>
      <c r="AIQ4">
        <v>4688</v>
      </c>
      <c r="AIR4">
        <v>5338</v>
      </c>
      <c r="AIS4">
        <v>5350</v>
      </c>
      <c r="AIT4">
        <v>5383</v>
      </c>
      <c r="AIU4">
        <v>4881</v>
      </c>
      <c r="AIV4">
        <v>0</v>
      </c>
      <c r="AIW4">
        <v>4775</v>
      </c>
      <c r="AIX4">
        <v>3369</v>
      </c>
      <c r="AIY4">
        <v>4587</v>
      </c>
      <c r="AIZ4">
        <v>4603</v>
      </c>
      <c r="AJA4">
        <v>5296</v>
      </c>
      <c r="AJB4">
        <v>5124</v>
      </c>
      <c r="AJC4">
        <v>0</v>
      </c>
      <c r="AJD4">
        <v>4226</v>
      </c>
      <c r="AJE4">
        <v>3592</v>
      </c>
      <c r="AJF4">
        <v>4961</v>
      </c>
      <c r="AJG4">
        <v>3742</v>
      </c>
      <c r="AJH4">
        <v>3651</v>
      </c>
      <c r="AJI4">
        <v>3811</v>
      </c>
      <c r="AJJ4">
        <v>0</v>
      </c>
      <c r="AJK4">
        <v>3446</v>
      </c>
      <c r="AJL4">
        <v>3489</v>
      </c>
      <c r="AJM4">
        <v>4649</v>
      </c>
      <c r="AJN4">
        <v>4693</v>
      </c>
      <c r="AJO4">
        <v>3791</v>
      </c>
      <c r="AJP4">
        <v>2571</v>
      </c>
      <c r="AJQ4">
        <v>0</v>
      </c>
      <c r="AJR4">
        <v>0</v>
      </c>
      <c r="AJS4">
        <v>5693</v>
      </c>
      <c r="AJT4">
        <v>0</v>
      </c>
      <c r="AJU4">
        <v>3856</v>
      </c>
      <c r="AJV4">
        <v>4250</v>
      </c>
      <c r="AJW4">
        <v>4219</v>
      </c>
      <c r="AJX4">
        <v>0</v>
      </c>
      <c r="AJY4">
        <v>3379</v>
      </c>
      <c r="AJZ4">
        <v>3146</v>
      </c>
      <c r="AKA4">
        <v>3633</v>
      </c>
      <c r="AKB4">
        <v>3302</v>
      </c>
      <c r="AKC4">
        <v>4271</v>
      </c>
      <c r="AKD4">
        <v>5830</v>
      </c>
      <c r="AKE4">
        <v>0</v>
      </c>
      <c r="AKF4">
        <v>2838</v>
      </c>
    </row>
    <row r="5" spans="1:985" ht="15" customHeight="1">
      <c r="A5">
        <v>3</v>
      </c>
      <c r="B5" s="132" t="s">
        <v>19</v>
      </c>
      <c r="C5" s="1">
        <v>82210</v>
      </c>
      <c r="D5" s="1" t="s">
        <v>8</v>
      </c>
      <c r="E5" s="3" t="s">
        <v>9</v>
      </c>
      <c r="F5" s="153" t="s">
        <v>20</v>
      </c>
      <c r="G5" s="1" t="s">
        <v>12</v>
      </c>
      <c r="H5" s="1" t="s">
        <v>21</v>
      </c>
      <c r="I5" s="1" t="s">
        <v>22</v>
      </c>
      <c r="J5" s="1" t="s">
        <v>15</v>
      </c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>
        <v>52</v>
      </c>
      <c r="AB5" s="23">
        <v>48</v>
      </c>
      <c r="AD5" s="23">
        <v>176</v>
      </c>
      <c r="AE5" s="23">
        <v>167</v>
      </c>
      <c r="AF5" s="23">
        <v>147</v>
      </c>
      <c r="AG5" s="23">
        <v>42</v>
      </c>
      <c r="AH5" s="23">
        <v>286</v>
      </c>
      <c r="AI5" s="23">
        <v>157</v>
      </c>
      <c r="AK5" s="23">
        <v>111</v>
      </c>
      <c r="AL5" s="23">
        <v>127</v>
      </c>
      <c r="AM5" s="23">
        <v>61</v>
      </c>
      <c r="AN5" s="23">
        <v>214</v>
      </c>
      <c r="AO5" s="23">
        <v>50</v>
      </c>
      <c r="AP5" s="23">
        <v>150</v>
      </c>
      <c r="AR5" s="23">
        <v>122</v>
      </c>
      <c r="AT5" s="23">
        <v>208</v>
      </c>
      <c r="AU5" s="23">
        <v>223</v>
      </c>
      <c r="AV5" s="23">
        <v>158</v>
      </c>
      <c r="AW5" s="23">
        <v>109</v>
      </c>
      <c r="AY5" s="23">
        <v>226</v>
      </c>
      <c r="AZ5" s="23">
        <v>267</v>
      </c>
      <c r="BA5" s="23">
        <v>190</v>
      </c>
      <c r="BB5" s="23">
        <v>116</v>
      </c>
      <c r="BC5" s="23">
        <v>174</v>
      </c>
      <c r="BD5" s="23">
        <v>99</v>
      </c>
      <c r="BF5" s="23">
        <v>208</v>
      </c>
      <c r="BG5" s="23">
        <v>35</v>
      </c>
      <c r="BH5" s="23">
        <v>101</v>
      </c>
      <c r="BI5" s="23">
        <v>264</v>
      </c>
      <c r="BJ5" s="23">
        <v>166</v>
      </c>
      <c r="BK5" s="23">
        <v>47</v>
      </c>
      <c r="BL5" s="23"/>
      <c r="BM5" s="23">
        <v>397</v>
      </c>
      <c r="BN5" s="23">
        <v>268</v>
      </c>
      <c r="BO5" s="23">
        <v>334</v>
      </c>
      <c r="BP5" s="23">
        <v>168</v>
      </c>
      <c r="BQ5" s="23">
        <v>6</v>
      </c>
      <c r="BR5" s="23"/>
      <c r="BS5" s="23"/>
      <c r="BT5" s="23"/>
      <c r="BU5" s="23"/>
      <c r="BV5" s="23">
        <v>1</v>
      </c>
      <c r="BW5" s="23">
        <v>55</v>
      </c>
      <c r="BX5" s="23">
        <v>101</v>
      </c>
      <c r="BY5" s="23">
        <v>105</v>
      </c>
      <c r="BZ5" s="23"/>
      <c r="CA5">
        <v>394</v>
      </c>
      <c r="CB5">
        <v>129</v>
      </c>
      <c r="CC5">
        <v>269</v>
      </c>
      <c r="CD5">
        <v>274</v>
      </c>
      <c r="CE5">
        <v>245</v>
      </c>
      <c r="CF5">
        <v>152</v>
      </c>
      <c r="CH5">
        <v>167</v>
      </c>
      <c r="CI5">
        <v>346</v>
      </c>
      <c r="CJ5">
        <v>253</v>
      </c>
      <c r="CK5">
        <v>136</v>
      </c>
      <c r="CL5">
        <v>140</v>
      </c>
      <c r="CO5">
        <v>216</v>
      </c>
      <c r="CP5">
        <v>627</v>
      </c>
      <c r="CQ5">
        <v>302</v>
      </c>
      <c r="CR5">
        <v>222</v>
      </c>
      <c r="CS5">
        <v>190</v>
      </c>
      <c r="CT5">
        <v>192</v>
      </c>
      <c r="CV5">
        <v>109</v>
      </c>
      <c r="CW5">
        <v>177</v>
      </c>
      <c r="CX5">
        <v>106</v>
      </c>
      <c r="CY5">
        <v>254</v>
      </c>
      <c r="CZ5">
        <v>244</v>
      </c>
      <c r="DA5">
        <v>122</v>
      </c>
      <c r="DC5">
        <v>227</v>
      </c>
      <c r="DD5">
        <v>84</v>
      </c>
      <c r="DE5">
        <v>107</v>
      </c>
      <c r="DF5">
        <v>122</v>
      </c>
      <c r="DG5">
        <v>162</v>
      </c>
      <c r="DJ5">
        <v>375</v>
      </c>
      <c r="DK5">
        <v>173</v>
      </c>
      <c r="DL5">
        <v>178</v>
      </c>
      <c r="DM5">
        <v>183</v>
      </c>
      <c r="DN5">
        <v>168</v>
      </c>
      <c r="DO5">
        <v>75</v>
      </c>
      <c r="DQ5">
        <v>461</v>
      </c>
      <c r="DR5">
        <v>310</v>
      </c>
      <c r="DS5">
        <v>196</v>
      </c>
      <c r="DT5">
        <v>405</v>
      </c>
      <c r="DU5">
        <v>256</v>
      </c>
      <c r="DV5">
        <v>95</v>
      </c>
      <c r="DX5">
        <v>328</v>
      </c>
      <c r="DY5">
        <v>129</v>
      </c>
      <c r="DZ5">
        <v>183</v>
      </c>
      <c r="EA5">
        <v>199</v>
      </c>
      <c r="EB5">
        <v>134</v>
      </c>
      <c r="EC5">
        <v>30</v>
      </c>
      <c r="EE5">
        <v>525</v>
      </c>
      <c r="EF5">
        <v>317</v>
      </c>
      <c r="EG5">
        <v>307</v>
      </c>
      <c r="EH5">
        <v>202</v>
      </c>
      <c r="EI5">
        <v>370</v>
      </c>
      <c r="EJ5">
        <v>4</v>
      </c>
      <c r="EL5">
        <v>327</v>
      </c>
      <c r="EM5">
        <v>345</v>
      </c>
      <c r="EN5">
        <v>258</v>
      </c>
      <c r="EO5">
        <v>208</v>
      </c>
      <c r="EP5">
        <v>315</v>
      </c>
      <c r="EQ5">
        <v>29</v>
      </c>
      <c r="ES5">
        <v>190</v>
      </c>
      <c r="ET5">
        <v>219</v>
      </c>
      <c r="EU5">
        <v>234</v>
      </c>
      <c r="EV5">
        <v>205</v>
      </c>
      <c r="EW5">
        <v>228</v>
      </c>
      <c r="EX5">
        <v>137</v>
      </c>
      <c r="EZ5">
        <v>468</v>
      </c>
      <c r="FA5">
        <v>387</v>
      </c>
      <c r="FB5">
        <v>564</v>
      </c>
      <c r="FC5">
        <v>393</v>
      </c>
      <c r="FD5">
        <v>346</v>
      </c>
      <c r="FE5">
        <v>172</v>
      </c>
      <c r="FG5">
        <v>333</v>
      </c>
      <c r="FH5">
        <v>441</v>
      </c>
      <c r="FI5">
        <v>504</v>
      </c>
      <c r="FJ5">
        <v>296</v>
      </c>
      <c r="FK5">
        <v>14</v>
      </c>
      <c r="FO5">
        <v>578</v>
      </c>
      <c r="FP5">
        <v>217</v>
      </c>
      <c r="FQ5">
        <v>284</v>
      </c>
      <c r="FR5">
        <v>319</v>
      </c>
      <c r="FV5">
        <v>178</v>
      </c>
      <c r="FW5">
        <v>220</v>
      </c>
      <c r="FX5">
        <v>347</v>
      </c>
      <c r="FY5">
        <v>224</v>
      </c>
      <c r="FZ5">
        <v>50</v>
      </c>
      <c r="GB5">
        <v>36</v>
      </c>
      <c r="GC5">
        <v>705</v>
      </c>
      <c r="GD5">
        <v>734</v>
      </c>
      <c r="GE5">
        <v>523</v>
      </c>
      <c r="GF5">
        <v>465</v>
      </c>
      <c r="GG5">
        <v>87</v>
      </c>
      <c r="GI5">
        <v>835</v>
      </c>
      <c r="GJ5">
        <v>652</v>
      </c>
      <c r="GL5">
        <v>243</v>
      </c>
      <c r="GM5">
        <v>184</v>
      </c>
      <c r="GP5">
        <v>30</v>
      </c>
      <c r="GQ5">
        <v>521</v>
      </c>
      <c r="GR5">
        <v>325</v>
      </c>
      <c r="GS5">
        <v>560</v>
      </c>
      <c r="GT5">
        <v>583</v>
      </c>
      <c r="GU5">
        <v>54</v>
      </c>
      <c r="GW5">
        <v>516</v>
      </c>
      <c r="GX5">
        <v>646</v>
      </c>
      <c r="GY5">
        <v>468</v>
      </c>
      <c r="GZ5">
        <v>40</v>
      </c>
      <c r="HA5">
        <v>193</v>
      </c>
      <c r="HB5">
        <v>358</v>
      </c>
      <c r="HD5">
        <v>428</v>
      </c>
      <c r="HE5">
        <v>538</v>
      </c>
      <c r="HG5">
        <v>345</v>
      </c>
      <c r="HH5">
        <v>261</v>
      </c>
      <c r="HI5">
        <v>4</v>
      </c>
      <c r="HK5">
        <v>706</v>
      </c>
      <c r="HL5">
        <v>333</v>
      </c>
      <c r="HM5">
        <v>586</v>
      </c>
      <c r="HN5">
        <v>175</v>
      </c>
      <c r="HO5">
        <v>49</v>
      </c>
      <c r="HS5">
        <v>95</v>
      </c>
      <c r="HT5">
        <v>30</v>
      </c>
      <c r="HU5">
        <v>230</v>
      </c>
      <c r="HV5">
        <v>193</v>
      </c>
      <c r="HW5">
        <v>515</v>
      </c>
      <c r="HY5">
        <v>15</v>
      </c>
      <c r="HZ5">
        <v>479</v>
      </c>
      <c r="IA5">
        <v>222</v>
      </c>
      <c r="IB5">
        <v>231</v>
      </c>
      <c r="IC5">
        <v>271</v>
      </c>
      <c r="ID5">
        <v>30</v>
      </c>
      <c r="IF5">
        <v>240</v>
      </c>
      <c r="IG5">
        <v>114</v>
      </c>
      <c r="IH5">
        <v>527</v>
      </c>
      <c r="II5">
        <v>637</v>
      </c>
      <c r="IJ5">
        <v>974</v>
      </c>
      <c r="IK5">
        <v>756</v>
      </c>
      <c r="IM5">
        <v>517</v>
      </c>
      <c r="IN5">
        <v>382</v>
      </c>
      <c r="IO5">
        <v>443</v>
      </c>
      <c r="IP5">
        <v>414</v>
      </c>
      <c r="IQ5">
        <v>683</v>
      </c>
      <c r="IR5">
        <v>1254</v>
      </c>
      <c r="IT5">
        <v>290</v>
      </c>
      <c r="IU5">
        <v>667</v>
      </c>
      <c r="IV5">
        <v>250</v>
      </c>
      <c r="IW5">
        <v>550</v>
      </c>
      <c r="IX5">
        <v>676</v>
      </c>
      <c r="IY5">
        <v>480</v>
      </c>
      <c r="IZ5">
        <v>0</v>
      </c>
      <c r="JA5">
        <v>1033</v>
      </c>
      <c r="JB5">
        <v>483</v>
      </c>
      <c r="JC5">
        <v>531</v>
      </c>
      <c r="JD5">
        <v>373</v>
      </c>
      <c r="JE5">
        <v>424</v>
      </c>
      <c r="JF5">
        <v>74</v>
      </c>
      <c r="JG5">
        <v>0</v>
      </c>
      <c r="JH5">
        <v>843</v>
      </c>
      <c r="JI5">
        <v>411</v>
      </c>
      <c r="JJ5">
        <v>492</v>
      </c>
      <c r="JK5">
        <v>1214</v>
      </c>
      <c r="JL5">
        <v>799</v>
      </c>
      <c r="JM5">
        <v>74</v>
      </c>
      <c r="JN5">
        <v>0</v>
      </c>
      <c r="JO5">
        <v>1106</v>
      </c>
      <c r="JP5">
        <v>290</v>
      </c>
      <c r="JQ5">
        <v>642</v>
      </c>
      <c r="JR5">
        <v>563</v>
      </c>
      <c r="JS5">
        <v>884</v>
      </c>
      <c r="JT5">
        <v>1253</v>
      </c>
      <c r="JU5">
        <v>0</v>
      </c>
      <c r="JV5">
        <v>0</v>
      </c>
      <c r="JW5">
        <v>948</v>
      </c>
      <c r="JX5">
        <v>1266</v>
      </c>
      <c r="JY5">
        <v>128</v>
      </c>
      <c r="JZ5">
        <v>16</v>
      </c>
      <c r="KA5">
        <v>55</v>
      </c>
      <c r="KB5">
        <v>0</v>
      </c>
      <c r="KC5">
        <v>307</v>
      </c>
      <c r="KD5">
        <v>403</v>
      </c>
      <c r="KE5">
        <v>796</v>
      </c>
      <c r="KF5">
        <v>560</v>
      </c>
      <c r="KG5">
        <v>511</v>
      </c>
      <c r="KH5">
        <v>763</v>
      </c>
      <c r="KI5">
        <v>0</v>
      </c>
      <c r="KJ5">
        <v>0</v>
      </c>
      <c r="KK5">
        <v>0</v>
      </c>
      <c r="KL5">
        <v>2699</v>
      </c>
      <c r="KM5">
        <v>1337</v>
      </c>
      <c r="KN5">
        <v>502</v>
      </c>
      <c r="KO5">
        <v>238</v>
      </c>
      <c r="KP5">
        <v>0</v>
      </c>
      <c r="KQ5">
        <v>1427</v>
      </c>
      <c r="KR5">
        <v>897</v>
      </c>
      <c r="KS5">
        <v>1087</v>
      </c>
      <c r="KT5">
        <v>492</v>
      </c>
      <c r="KU5">
        <v>384</v>
      </c>
      <c r="KV5">
        <v>595</v>
      </c>
      <c r="KW5">
        <v>0</v>
      </c>
      <c r="KX5">
        <v>1973</v>
      </c>
      <c r="KY5">
        <v>1283</v>
      </c>
      <c r="KZ5">
        <v>1740</v>
      </c>
      <c r="LA5">
        <v>1184</v>
      </c>
      <c r="LB5">
        <v>817</v>
      </c>
      <c r="LC5">
        <v>577</v>
      </c>
      <c r="LD5">
        <v>0</v>
      </c>
      <c r="LE5">
        <v>1378</v>
      </c>
      <c r="LF5">
        <v>534</v>
      </c>
      <c r="LG5">
        <v>802</v>
      </c>
      <c r="LH5">
        <v>965</v>
      </c>
      <c r="LI5">
        <v>673</v>
      </c>
      <c r="LJ5">
        <v>0</v>
      </c>
      <c r="LK5">
        <v>0</v>
      </c>
      <c r="LL5">
        <v>390</v>
      </c>
      <c r="LM5">
        <v>196</v>
      </c>
      <c r="LN5">
        <v>1769</v>
      </c>
      <c r="LO5">
        <v>1621</v>
      </c>
      <c r="LP5">
        <v>0</v>
      </c>
      <c r="LQ5">
        <v>360</v>
      </c>
      <c r="LR5">
        <v>0</v>
      </c>
      <c r="LS5">
        <v>1023</v>
      </c>
      <c r="LT5">
        <v>680</v>
      </c>
      <c r="LU5">
        <v>360</v>
      </c>
      <c r="LV5" s="49">
        <v>0</v>
      </c>
      <c r="LW5">
        <v>800</v>
      </c>
      <c r="LX5">
        <v>0</v>
      </c>
      <c r="LY5">
        <v>0</v>
      </c>
      <c r="LZ5">
        <v>2146</v>
      </c>
      <c r="MA5">
        <v>1525</v>
      </c>
      <c r="MB5">
        <v>1081</v>
      </c>
      <c r="MC5">
        <v>403</v>
      </c>
      <c r="MD5">
        <v>2236</v>
      </c>
      <c r="ME5">
        <v>1963</v>
      </c>
      <c r="MF5">
        <v>0</v>
      </c>
      <c r="MG5">
        <v>796</v>
      </c>
      <c r="MH5">
        <v>331</v>
      </c>
      <c r="MI5">
        <v>129</v>
      </c>
      <c r="MJ5">
        <v>258</v>
      </c>
      <c r="MK5">
        <v>499</v>
      </c>
      <c r="ML5">
        <v>0</v>
      </c>
      <c r="MM5">
        <v>0</v>
      </c>
      <c r="MN5">
        <v>329</v>
      </c>
      <c r="MO5">
        <v>844</v>
      </c>
      <c r="MP5">
        <v>0</v>
      </c>
      <c r="MQ5">
        <v>494</v>
      </c>
      <c r="MR5">
        <v>0</v>
      </c>
      <c r="MS5">
        <v>245</v>
      </c>
      <c r="MT5">
        <v>0</v>
      </c>
      <c r="MU5">
        <v>0</v>
      </c>
      <c r="MV5">
        <v>418</v>
      </c>
      <c r="MW5">
        <v>641</v>
      </c>
      <c r="MX5">
        <v>280</v>
      </c>
      <c r="MY5">
        <v>1267</v>
      </c>
      <c r="MZ5">
        <v>996</v>
      </c>
      <c r="NA5">
        <v>230</v>
      </c>
      <c r="NB5">
        <v>1252</v>
      </c>
      <c r="NC5">
        <v>357</v>
      </c>
      <c r="ND5">
        <v>0</v>
      </c>
      <c r="NE5">
        <v>206</v>
      </c>
      <c r="NF5">
        <v>903</v>
      </c>
      <c r="NG5">
        <v>0</v>
      </c>
      <c r="NH5">
        <v>0</v>
      </c>
      <c r="NI5">
        <v>703</v>
      </c>
      <c r="NJ5">
        <v>754</v>
      </c>
      <c r="NK5">
        <v>0</v>
      </c>
      <c r="NL5">
        <v>0</v>
      </c>
      <c r="NM5">
        <v>0</v>
      </c>
      <c r="NN5">
        <v>0</v>
      </c>
      <c r="NO5">
        <v>0</v>
      </c>
      <c r="NP5">
        <v>362</v>
      </c>
      <c r="NQ5">
        <v>649</v>
      </c>
      <c r="NR5">
        <v>1629</v>
      </c>
      <c r="NS5">
        <v>567</v>
      </c>
      <c r="NT5">
        <v>1113</v>
      </c>
      <c r="NU5">
        <v>0</v>
      </c>
      <c r="NV5">
        <v>0</v>
      </c>
      <c r="NW5">
        <v>665</v>
      </c>
      <c r="NX5">
        <v>389</v>
      </c>
      <c r="NY5">
        <v>718</v>
      </c>
      <c r="NZ5">
        <v>439</v>
      </c>
      <c r="OA5">
        <v>1148</v>
      </c>
      <c r="OB5">
        <v>0</v>
      </c>
      <c r="OC5">
        <v>0</v>
      </c>
      <c r="OD5">
        <v>82</v>
      </c>
      <c r="OE5">
        <v>1238</v>
      </c>
      <c r="OF5">
        <v>1378</v>
      </c>
      <c r="OG5">
        <v>906</v>
      </c>
      <c r="OH5">
        <v>0</v>
      </c>
      <c r="OI5">
        <v>0</v>
      </c>
      <c r="OJ5">
        <v>0</v>
      </c>
      <c r="OK5">
        <v>1777</v>
      </c>
      <c r="OL5">
        <v>1110</v>
      </c>
      <c r="OM5">
        <v>2174</v>
      </c>
      <c r="ON5">
        <v>306</v>
      </c>
      <c r="OO5">
        <v>0</v>
      </c>
      <c r="OP5">
        <v>753</v>
      </c>
      <c r="OQ5">
        <v>0</v>
      </c>
      <c r="OR5">
        <v>622</v>
      </c>
      <c r="OS5">
        <v>417</v>
      </c>
      <c r="OT5">
        <v>715</v>
      </c>
      <c r="OU5">
        <v>0</v>
      </c>
      <c r="OV5">
        <v>0</v>
      </c>
      <c r="OW5">
        <v>0</v>
      </c>
      <c r="OX5">
        <v>0</v>
      </c>
      <c r="OY5">
        <v>1401</v>
      </c>
      <c r="OZ5">
        <v>963</v>
      </c>
      <c r="PA5">
        <v>649</v>
      </c>
      <c r="PB5">
        <v>922</v>
      </c>
      <c r="PC5">
        <v>1694</v>
      </c>
      <c r="PD5">
        <v>0</v>
      </c>
      <c r="PE5">
        <v>0</v>
      </c>
      <c r="PF5">
        <v>327</v>
      </c>
      <c r="PG5">
        <v>2055</v>
      </c>
      <c r="PH5">
        <v>1464</v>
      </c>
      <c r="PI5">
        <v>0</v>
      </c>
      <c r="PJ5">
        <v>983</v>
      </c>
      <c r="PK5">
        <v>0</v>
      </c>
      <c r="PL5">
        <v>0</v>
      </c>
      <c r="PM5">
        <v>1773</v>
      </c>
      <c r="PN5">
        <v>1200</v>
      </c>
      <c r="PO5">
        <v>1721</v>
      </c>
      <c r="PP5">
        <v>2927</v>
      </c>
      <c r="PQ5">
        <v>737</v>
      </c>
      <c r="PR5">
        <v>10</v>
      </c>
      <c r="PS5">
        <v>0</v>
      </c>
      <c r="PT5">
        <v>0</v>
      </c>
      <c r="PV5">
        <v>0</v>
      </c>
      <c r="PW5">
        <v>0</v>
      </c>
      <c r="PX5" s="74">
        <v>345</v>
      </c>
      <c r="PY5" s="74">
        <v>112</v>
      </c>
      <c r="PZ5">
        <v>0</v>
      </c>
      <c r="QA5" s="74">
        <v>908</v>
      </c>
      <c r="QB5" s="74">
        <v>1042</v>
      </c>
      <c r="QC5">
        <v>664</v>
      </c>
      <c r="QD5">
        <v>331</v>
      </c>
      <c r="QE5">
        <v>0</v>
      </c>
      <c r="QF5">
        <v>0</v>
      </c>
      <c r="QG5">
        <v>0</v>
      </c>
      <c r="QH5">
        <v>1160</v>
      </c>
      <c r="QI5">
        <v>1311</v>
      </c>
      <c r="QJ5">
        <v>1619</v>
      </c>
      <c r="QK5">
        <v>1955</v>
      </c>
      <c r="QL5">
        <v>1199</v>
      </c>
      <c r="QM5">
        <v>0</v>
      </c>
      <c r="QN5">
        <v>0</v>
      </c>
      <c r="QO5">
        <v>977</v>
      </c>
      <c r="QP5">
        <v>1343</v>
      </c>
      <c r="QQ5">
        <v>1568</v>
      </c>
      <c r="QR5">
        <v>514</v>
      </c>
      <c r="QS5">
        <v>544</v>
      </c>
      <c r="QT5">
        <v>0</v>
      </c>
      <c r="QU5">
        <v>0</v>
      </c>
      <c r="QV5">
        <v>0</v>
      </c>
      <c r="QW5">
        <v>0</v>
      </c>
      <c r="QX5">
        <v>0</v>
      </c>
      <c r="QY5">
        <v>3010</v>
      </c>
      <c r="QZ5">
        <v>2496</v>
      </c>
      <c r="RA5">
        <v>1903</v>
      </c>
      <c r="RB5">
        <v>0</v>
      </c>
      <c r="RC5">
        <v>1528</v>
      </c>
      <c r="RD5">
        <v>1182</v>
      </c>
      <c r="RE5">
        <v>708</v>
      </c>
      <c r="RF5">
        <v>2745</v>
      </c>
      <c r="RG5">
        <v>2551</v>
      </c>
      <c r="RH5">
        <v>0</v>
      </c>
      <c r="RI5">
        <v>0</v>
      </c>
      <c r="RJ5">
        <v>360</v>
      </c>
      <c r="RK5">
        <v>1323</v>
      </c>
      <c r="RL5">
        <v>1572</v>
      </c>
      <c r="RM5">
        <v>2359</v>
      </c>
      <c r="RN5">
        <v>791</v>
      </c>
      <c r="RO5">
        <v>320</v>
      </c>
      <c r="RP5">
        <v>0</v>
      </c>
      <c r="RQ5">
        <v>3124</v>
      </c>
      <c r="RR5">
        <v>2161</v>
      </c>
      <c r="RS5">
        <v>1031</v>
      </c>
      <c r="RT5">
        <v>2447</v>
      </c>
      <c r="RU5">
        <v>2619</v>
      </c>
      <c r="RV5">
        <v>3259</v>
      </c>
      <c r="RW5">
        <v>0</v>
      </c>
      <c r="RX5">
        <v>3039</v>
      </c>
      <c r="RY5">
        <v>3139</v>
      </c>
      <c r="RZ5">
        <v>1617</v>
      </c>
      <c r="SA5">
        <v>2636</v>
      </c>
      <c r="SB5">
        <v>3490</v>
      </c>
      <c r="SC5">
        <v>0</v>
      </c>
      <c r="SD5">
        <v>0</v>
      </c>
      <c r="SE5">
        <v>249</v>
      </c>
      <c r="SF5">
        <v>1184</v>
      </c>
      <c r="SG5">
        <v>1251</v>
      </c>
      <c r="SH5">
        <v>1331</v>
      </c>
      <c r="SI5">
        <v>896</v>
      </c>
      <c r="SJ5">
        <v>0</v>
      </c>
      <c r="SK5">
        <v>0</v>
      </c>
      <c r="SL5">
        <v>1089</v>
      </c>
      <c r="SM5">
        <v>1483</v>
      </c>
      <c r="SN5">
        <v>2136</v>
      </c>
      <c r="SO5">
        <v>1276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1728</v>
      </c>
      <c r="SW5">
        <v>840</v>
      </c>
      <c r="SX5">
        <v>0</v>
      </c>
      <c r="SY5">
        <v>0</v>
      </c>
      <c r="SZ5">
        <v>1969</v>
      </c>
      <c r="TA5">
        <v>1940</v>
      </c>
      <c r="TB5">
        <v>1150</v>
      </c>
      <c r="TC5">
        <v>1373</v>
      </c>
      <c r="TD5">
        <v>947</v>
      </c>
      <c r="TE5">
        <v>1489</v>
      </c>
      <c r="TF5">
        <v>0</v>
      </c>
      <c r="TG5">
        <v>531</v>
      </c>
      <c r="TH5">
        <v>24</v>
      </c>
      <c r="TI5">
        <v>731</v>
      </c>
      <c r="TJ5">
        <v>797</v>
      </c>
      <c r="TK5">
        <v>362</v>
      </c>
      <c r="TL5">
        <v>53</v>
      </c>
      <c r="TM5">
        <v>0</v>
      </c>
      <c r="TN5">
        <v>0</v>
      </c>
      <c r="TO5">
        <v>331</v>
      </c>
      <c r="TP5">
        <v>1954</v>
      </c>
      <c r="TQ5">
        <v>2055</v>
      </c>
      <c r="TR5">
        <v>1651</v>
      </c>
      <c r="TS5">
        <v>0</v>
      </c>
      <c r="TT5">
        <v>0</v>
      </c>
      <c r="TU5">
        <v>0</v>
      </c>
      <c r="TV5">
        <v>0</v>
      </c>
      <c r="TW5">
        <v>956</v>
      </c>
      <c r="TX5">
        <v>1294</v>
      </c>
      <c r="TY5">
        <v>618</v>
      </c>
      <c r="TZ5">
        <v>13</v>
      </c>
      <c r="UA5">
        <v>0</v>
      </c>
      <c r="UB5">
        <v>2768</v>
      </c>
      <c r="UC5">
        <v>1597</v>
      </c>
      <c r="UD5">
        <v>1418</v>
      </c>
      <c r="UE5">
        <v>2362</v>
      </c>
      <c r="UF5">
        <v>1988</v>
      </c>
      <c r="UG5">
        <v>1460</v>
      </c>
      <c r="UH5">
        <v>0</v>
      </c>
      <c r="UI5">
        <v>1145</v>
      </c>
      <c r="UJ5">
        <v>358</v>
      </c>
      <c r="UK5">
        <v>359</v>
      </c>
      <c r="UL5">
        <v>0</v>
      </c>
      <c r="UM5">
        <v>388</v>
      </c>
      <c r="UN5">
        <v>42</v>
      </c>
      <c r="UO5">
        <v>0</v>
      </c>
      <c r="UP5">
        <v>0</v>
      </c>
      <c r="UQ5">
        <v>528</v>
      </c>
      <c r="UR5">
        <v>1048</v>
      </c>
      <c r="US5">
        <v>542</v>
      </c>
      <c r="UT5">
        <v>931</v>
      </c>
      <c r="UU5">
        <v>0</v>
      </c>
      <c r="UV5">
        <v>0</v>
      </c>
      <c r="UW5">
        <v>0</v>
      </c>
      <c r="UX5">
        <v>1057</v>
      </c>
      <c r="UY5">
        <v>2250</v>
      </c>
      <c r="UZ5">
        <v>1298</v>
      </c>
      <c r="VA5">
        <v>0</v>
      </c>
      <c r="VB5">
        <v>437</v>
      </c>
      <c r="VC5">
        <v>0</v>
      </c>
      <c r="VD5">
        <v>1020</v>
      </c>
      <c r="VE5">
        <v>454</v>
      </c>
      <c r="VF5">
        <v>869</v>
      </c>
      <c r="VG5">
        <v>229</v>
      </c>
      <c r="VH5">
        <v>526</v>
      </c>
      <c r="VI5">
        <v>0</v>
      </c>
      <c r="VJ5">
        <v>0</v>
      </c>
      <c r="VK5">
        <v>287</v>
      </c>
      <c r="VL5">
        <v>415</v>
      </c>
      <c r="VM5">
        <v>426</v>
      </c>
      <c r="VN5">
        <v>613</v>
      </c>
      <c r="VO5">
        <v>609</v>
      </c>
      <c r="VP5">
        <v>525</v>
      </c>
      <c r="VQ5">
        <v>0</v>
      </c>
      <c r="VR5">
        <v>0</v>
      </c>
      <c r="VS5">
        <v>0</v>
      </c>
      <c r="VT5">
        <v>0</v>
      </c>
      <c r="VU5">
        <v>35</v>
      </c>
      <c r="VV5">
        <v>2429</v>
      </c>
      <c r="VW5">
        <v>84</v>
      </c>
      <c r="VX5">
        <v>0</v>
      </c>
      <c r="VY5">
        <v>2015</v>
      </c>
      <c r="VZ5">
        <v>876</v>
      </c>
      <c r="WA5">
        <v>851</v>
      </c>
      <c r="WB5">
        <v>286</v>
      </c>
      <c r="WC5">
        <v>459</v>
      </c>
      <c r="WD5">
        <v>392</v>
      </c>
      <c r="WE5">
        <v>0</v>
      </c>
      <c r="WF5">
        <v>832</v>
      </c>
      <c r="WG5">
        <v>238</v>
      </c>
      <c r="WH5">
        <v>617</v>
      </c>
      <c r="WI5">
        <v>1109</v>
      </c>
      <c r="WJ5">
        <v>609</v>
      </c>
      <c r="WK5">
        <v>0</v>
      </c>
      <c r="WL5">
        <v>0</v>
      </c>
      <c r="WM5">
        <v>985</v>
      </c>
      <c r="WN5">
        <v>867</v>
      </c>
      <c r="WO5">
        <v>2068</v>
      </c>
      <c r="WP5">
        <v>556</v>
      </c>
      <c r="WQ5">
        <v>414</v>
      </c>
      <c r="WR5">
        <v>0</v>
      </c>
      <c r="WS5">
        <v>0</v>
      </c>
      <c r="WT5">
        <v>1121</v>
      </c>
      <c r="WU5">
        <v>519</v>
      </c>
      <c r="WV5">
        <v>314</v>
      </c>
      <c r="WW5">
        <v>241</v>
      </c>
      <c r="WX5">
        <v>897</v>
      </c>
      <c r="WY5">
        <v>209</v>
      </c>
      <c r="WZ5">
        <v>0</v>
      </c>
      <c r="XA5">
        <v>857</v>
      </c>
      <c r="XB5">
        <v>244</v>
      </c>
      <c r="XC5">
        <v>1516</v>
      </c>
      <c r="XD5">
        <v>1016</v>
      </c>
      <c r="XE5">
        <v>130</v>
      </c>
      <c r="XF5">
        <v>126</v>
      </c>
      <c r="XG5">
        <v>0</v>
      </c>
      <c r="XH5">
        <v>1502</v>
      </c>
      <c r="XI5">
        <v>839</v>
      </c>
      <c r="XJ5">
        <v>0</v>
      </c>
      <c r="XK5">
        <v>1017</v>
      </c>
      <c r="XL5">
        <v>496</v>
      </c>
      <c r="XM5">
        <v>821</v>
      </c>
      <c r="XN5">
        <v>0</v>
      </c>
      <c r="XO5">
        <v>616</v>
      </c>
      <c r="XP5">
        <v>749</v>
      </c>
      <c r="XQ5">
        <v>816</v>
      </c>
      <c r="XR5">
        <v>853</v>
      </c>
      <c r="XS5">
        <v>1350</v>
      </c>
      <c r="XT5">
        <v>717</v>
      </c>
      <c r="XU5">
        <v>0</v>
      </c>
      <c r="XV5">
        <v>0</v>
      </c>
      <c r="XW5">
        <v>1252</v>
      </c>
      <c r="XX5">
        <v>2052</v>
      </c>
      <c r="XY5">
        <v>721</v>
      </c>
      <c r="XZ5">
        <v>639</v>
      </c>
      <c r="YA5">
        <v>687</v>
      </c>
      <c r="YB5">
        <v>0</v>
      </c>
      <c r="YC5">
        <v>99</v>
      </c>
      <c r="YD5">
        <v>197</v>
      </c>
      <c r="YE5">
        <v>429</v>
      </c>
      <c r="YF5">
        <v>418</v>
      </c>
      <c r="YG5">
        <v>300</v>
      </c>
      <c r="YH5">
        <v>1070</v>
      </c>
      <c r="YI5">
        <v>0</v>
      </c>
      <c r="YJ5">
        <v>1097</v>
      </c>
      <c r="YK5">
        <v>0</v>
      </c>
      <c r="YL5">
        <v>943</v>
      </c>
      <c r="YM5">
        <v>506</v>
      </c>
      <c r="YN5">
        <v>154</v>
      </c>
      <c r="YO5">
        <v>196</v>
      </c>
      <c r="YP5">
        <v>0</v>
      </c>
      <c r="YQ5">
        <v>495</v>
      </c>
      <c r="YR5">
        <v>487</v>
      </c>
      <c r="YS5">
        <v>0</v>
      </c>
      <c r="YT5">
        <v>625</v>
      </c>
      <c r="YU5">
        <v>743</v>
      </c>
      <c r="YV5">
        <v>0</v>
      </c>
      <c r="YW5">
        <v>0</v>
      </c>
      <c r="YX5">
        <v>0</v>
      </c>
      <c r="YY5">
        <v>1835</v>
      </c>
      <c r="YZ5">
        <v>1268</v>
      </c>
      <c r="ZA5">
        <v>489</v>
      </c>
      <c r="ZB5">
        <v>389</v>
      </c>
      <c r="ZC5">
        <v>720</v>
      </c>
      <c r="ZD5">
        <v>0</v>
      </c>
      <c r="ZE5">
        <v>701</v>
      </c>
      <c r="ZF5">
        <v>606</v>
      </c>
      <c r="ZG5">
        <v>1237</v>
      </c>
      <c r="ZH5">
        <v>950</v>
      </c>
      <c r="ZI5">
        <v>241</v>
      </c>
      <c r="ZJ5">
        <v>286</v>
      </c>
      <c r="ZK5">
        <v>0</v>
      </c>
      <c r="ZL5">
        <v>0</v>
      </c>
      <c r="ZM5">
        <v>787</v>
      </c>
      <c r="ZN5">
        <v>331</v>
      </c>
      <c r="ZO5">
        <v>867</v>
      </c>
      <c r="ZP5">
        <v>765</v>
      </c>
      <c r="ZQ5">
        <v>1970</v>
      </c>
      <c r="ZR5">
        <v>0</v>
      </c>
      <c r="ZS5">
        <v>1077</v>
      </c>
      <c r="ZT5">
        <v>737</v>
      </c>
      <c r="ZU5">
        <v>0</v>
      </c>
      <c r="ZV5">
        <v>1223</v>
      </c>
      <c r="ZW5">
        <v>551</v>
      </c>
      <c r="ZX5">
        <v>0</v>
      </c>
      <c r="ZY5">
        <v>0</v>
      </c>
      <c r="ZZ5">
        <v>1731</v>
      </c>
      <c r="AAA5">
        <v>305</v>
      </c>
      <c r="AAB5">
        <v>1040</v>
      </c>
      <c r="AAC5">
        <v>1096</v>
      </c>
      <c r="AAD5">
        <v>1498</v>
      </c>
      <c r="AAE5">
        <v>353</v>
      </c>
      <c r="AAF5">
        <v>0</v>
      </c>
      <c r="AAG5">
        <v>930</v>
      </c>
      <c r="AAH5">
        <v>455</v>
      </c>
      <c r="AAI5">
        <v>556</v>
      </c>
      <c r="AAJ5">
        <v>701</v>
      </c>
      <c r="AAK5">
        <v>668</v>
      </c>
      <c r="AAL5">
        <v>642</v>
      </c>
      <c r="AAM5">
        <v>0</v>
      </c>
      <c r="AAN5">
        <v>1131</v>
      </c>
      <c r="AAO5">
        <v>607</v>
      </c>
      <c r="AAP5">
        <v>880</v>
      </c>
      <c r="AAQ5">
        <v>611</v>
      </c>
      <c r="AAR5">
        <v>690</v>
      </c>
      <c r="AAS5">
        <v>292</v>
      </c>
      <c r="AAT5">
        <v>0</v>
      </c>
      <c r="AAU5">
        <v>0</v>
      </c>
      <c r="AAV5">
        <v>1225</v>
      </c>
      <c r="AAW5">
        <v>0</v>
      </c>
      <c r="AAX5">
        <v>604</v>
      </c>
      <c r="AAY5">
        <v>367</v>
      </c>
      <c r="AAZ5">
        <v>225</v>
      </c>
      <c r="ABA5">
        <v>0</v>
      </c>
      <c r="ABB5">
        <v>1467</v>
      </c>
      <c r="ABC5">
        <v>753</v>
      </c>
      <c r="ABD5">
        <v>1021</v>
      </c>
      <c r="ABE5">
        <v>0</v>
      </c>
      <c r="ABF5">
        <v>520</v>
      </c>
      <c r="ABG5">
        <v>446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 s="18">
        <v>867</v>
      </c>
      <c r="ABO5" s="18">
        <v>0</v>
      </c>
      <c r="ABP5" s="18">
        <v>0</v>
      </c>
      <c r="ABQ5" s="18">
        <v>0</v>
      </c>
      <c r="ABR5" s="18">
        <v>0</v>
      </c>
      <c r="ABS5" s="18">
        <v>0</v>
      </c>
      <c r="ABT5" s="18">
        <v>26</v>
      </c>
      <c r="ABU5" s="18">
        <v>0</v>
      </c>
      <c r="ABV5" s="18">
        <v>0</v>
      </c>
      <c r="ABW5" s="18">
        <v>0</v>
      </c>
      <c r="ABX5" s="18">
        <v>1920</v>
      </c>
      <c r="ABY5" s="18">
        <v>3457</v>
      </c>
      <c r="ABZ5" s="18">
        <v>1553</v>
      </c>
      <c r="ACA5" s="18">
        <v>656</v>
      </c>
      <c r="ACB5">
        <v>0</v>
      </c>
      <c r="ACC5">
        <v>0</v>
      </c>
      <c r="ACD5">
        <v>965</v>
      </c>
      <c r="ACE5">
        <v>392</v>
      </c>
      <c r="ACF5">
        <v>0</v>
      </c>
      <c r="ACG5">
        <v>671</v>
      </c>
      <c r="ACH5">
        <v>606</v>
      </c>
      <c r="ACI5">
        <v>872</v>
      </c>
      <c r="ACJ5">
        <v>0</v>
      </c>
      <c r="ACK5">
        <v>1600</v>
      </c>
      <c r="ACL5">
        <v>643</v>
      </c>
      <c r="ACM5">
        <v>425</v>
      </c>
      <c r="ACN5">
        <v>562</v>
      </c>
      <c r="ACO5">
        <v>790</v>
      </c>
      <c r="ACP5">
        <v>557</v>
      </c>
      <c r="ACQ5">
        <v>0</v>
      </c>
      <c r="ACR5">
        <v>1084</v>
      </c>
      <c r="ACS5">
        <v>768</v>
      </c>
      <c r="ACT5">
        <v>553</v>
      </c>
      <c r="ACU5">
        <v>788</v>
      </c>
      <c r="ACV5">
        <v>0</v>
      </c>
      <c r="ACW5">
        <v>223</v>
      </c>
      <c r="ACX5">
        <v>0</v>
      </c>
      <c r="ACY5">
        <v>969</v>
      </c>
      <c r="ACZ5">
        <v>923</v>
      </c>
      <c r="ADA5">
        <v>1540</v>
      </c>
      <c r="ADB5">
        <v>851</v>
      </c>
      <c r="ADC5">
        <v>1346</v>
      </c>
      <c r="ADD5">
        <v>870</v>
      </c>
      <c r="ADE5">
        <v>0</v>
      </c>
      <c r="ADF5">
        <v>2614</v>
      </c>
      <c r="ADG5">
        <v>1325</v>
      </c>
      <c r="ADH5">
        <v>2174</v>
      </c>
      <c r="ADI5">
        <v>1484</v>
      </c>
      <c r="ADJ5">
        <v>600</v>
      </c>
      <c r="ADK5">
        <v>133</v>
      </c>
      <c r="ADL5">
        <v>0</v>
      </c>
      <c r="ADM5">
        <v>1301</v>
      </c>
      <c r="ADN5">
        <v>899</v>
      </c>
      <c r="ADO5">
        <v>0</v>
      </c>
      <c r="ADP5">
        <v>667</v>
      </c>
      <c r="ADQ5">
        <v>158</v>
      </c>
      <c r="ADR5">
        <v>21</v>
      </c>
      <c r="ADS5">
        <v>0</v>
      </c>
      <c r="ADT5">
        <v>104</v>
      </c>
      <c r="ADU5">
        <v>59</v>
      </c>
      <c r="ADV5">
        <v>0</v>
      </c>
      <c r="ADW5">
        <v>0</v>
      </c>
      <c r="ADX5">
        <v>0</v>
      </c>
      <c r="ADY5">
        <v>115</v>
      </c>
      <c r="ADZ5">
        <v>0</v>
      </c>
      <c r="AEA5">
        <v>77</v>
      </c>
      <c r="AEB5">
        <v>623</v>
      </c>
      <c r="AEC5">
        <v>573</v>
      </c>
      <c r="AED5">
        <v>212</v>
      </c>
      <c r="AEE5">
        <v>1523</v>
      </c>
      <c r="AEF5">
        <v>0</v>
      </c>
      <c r="AEG5">
        <v>0</v>
      </c>
      <c r="AEH5">
        <v>632</v>
      </c>
      <c r="AEI5">
        <v>1060</v>
      </c>
      <c r="AEJ5">
        <v>1523</v>
      </c>
      <c r="AEK5">
        <v>2356</v>
      </c>
      <c r="AEL5">
        <v>401</v>
      </c>
      <c r="AEM5">
        <v>944</v>
      </c>
      <c r="AEN5">
        <v>0</v>
      </c>
      <c r="AEO5">
        <v>1733</v>
      </c>
      <c r="AEP5">
        <v>549</v>
      </c>
      <c r="AEQ5">
        <v>0</v>
      </c>
      <c r="AER5">
        <v>1357</v>
      </c>
      <c r="AES5">
        <v>356</v>
      </c>
      <c r="AET5">
        <v>598</v>
      </c>
      <c r="AEU5">
        <v>0</v>
      </c>
      <c r="AEV5">
        <v>2890</v>
      </c>
      <c r="AEW5">
        <v>1028</v>
      </c>
      <c r="AEX5">
        <v>848</v>
      </c>
      <c r="AEY5">
        <v>503</v>
      </c>
      <c r="AEZ5">
        <v>463</v>
      </c>
      <c r="AFA5">
        <v>832</v>
      </c>
      <c r="AFB5">
        <v>0</v>
      </c>
      <c r="AFC5">
        <v>614</v>
      </c>
      <c r="AFD5">
        <v>339</v>
      </c>
      <c r="AFE5">
        <v>1544</v>
      </c>
      <c r="AFF5">
        <v>1487</v>
      </c>
      <c r="AFG5">
        <v>1202</v>
      </c>
      <c r="AFH5">
        <v>653</v>
      </c>
      <c r="AFI5">
        <v>0</v>
      </c>
      <c r="AFJ5">
        <v>1174</v>
      </c>
      <c r="AFK5">
        <v>454</v>
      </c>
      <c r="AFL5">
        <v>584</v>
      </c>
      <c r="AFM5">
        <v>739</v>
      </c>
      <c r="AFN5">
        <v>717</v>
      </c>
      <c r="AFO5">
        <v>775</v>
      </c>
      <c r="AFP5">
        <v>0</v>
      </c>
      <c r="AFQ5">
        <v>738</v>
      </c>
      <c r="AFR5">
        <v>843</v>
      </c>
      <c r="AFS5">
        <v>0</v>
      </c>
      <c r="AFT5">
        <v>605</v>
      </c>
      <c r="AFU5">
        <v>1298</v>
      </c>
      <c r="AFV5">
        <v>0</v>
      </c>
      <c r="AFW5">
        <v>0</v>
      </c>
      <c r="AFX5">
        <v>2720</v>
      </c>
      <c r="AFY5">
        <v>287</v>
      </c>
      <c r="AFZ5">
        <v>654</v>
      </c>
      <c r="AGA5">
        <v>415</v>
      </c>
      <c r="AGB5">
        <v>477</v>
      </c>
      <c r="AGC5">
        <v>864</v>
      </c>
      <c r="AGD5" s="144">
        <v>0</v>
      </c>
      <c r="AGE5" s="144">
        <v>1016</v>
      </c>
      <c r="AGF5" s="144">
        <v>489</v>
      </c>
      <c r="AGG5" s="144">
        <v>803</v>
      </c>
      <c r="AGH5" s="144">
        <v>629</v>
      </c>
      <c r="AGI5" s="144">
        <v>904</v>
      </c>
      <c r="AGJ5" s="144">
        <v>0</v>
      </c>
      <c r="AGK5" s="144">
        <v>0</v>
      </c>
      <c r="AGL5" s="144">
        <v>1195</v>
      </c>
      <c r="AGM5" s="144">
        <v>1239</v>
      </c>
      <c r="AGN5" s="144">
        <v>1423</v>
      </c>
      <c r="AGO5" s="144">
        <v>1127</v>
      </c>
      <c r="AGP5" s="144">
        <v>1267</v>
      </c>
      <c r="AGQ5">
        <v>504</v>
      </c>
      <c r="AGR5">
        <v>0</v>
      </c>
      <c r="AGS5">
        <v>531</v>
      </c>
      <c r="AGT5">
        <v>791</v>
      </c>
      <c r="AGU5">
        <v>1142</v>
      </c>
      <c r="AGV5">
        <v>994</v>
      </c>
      <c r="AGW5">
        <v>911</v>
      </c>
      <c r="AGX5">
        <v>648</v>
      </c>
      <c r="AGY5">
        <v>0</v>
      </c>
      <c r="AGZ5">
        <v>662</v>
      </c>
      <c r="AHA5">
        <v>857</v>
      </c>
      <c r="AHB5">
        <v>1009</v>
      </c>
      <c r="AHC5">
        <v>1058</v>
      </c>
      <c r="AHD5">
        <v>902</v>
      </c>
      <c r="AHE5">
        <v>690</v>
      </c>
      <c r="AHI5">
        <v>899</v>
      </c>
      <c r="AHJ5">
        <v>1218</v>
      </c>
      <c r="AHK5">
        <v>1322</v>
      </c>
      <c r="AHL5">
        <v>989</v>
      </c>
      <c r="AHM5">
        <v>0</v>
      </c>
      <c r="AHN5">
        <v>0</v>
      </c>
      <c r="AHO5">
        <v>1251</v>
      </c>
      <c r="AHP5">
        <v>1176</v>
      </c>
      <c r="AHQ5">
        <v>904</v>
      </c>
      <c r="AHR5">
        <v>1507</v>
      </c>
      <c r="AHS5">
        <v>1454</v>
      </c>
      <c r="AHT5">
        <v>0</v>
      </c>
      <c r="AHU5">
        <v>0</v>
      </c>
      <c r="AHV5">
        <v>0</v>
      </c>
      <c r="AHW5">
        <v>452</v>
      </c>
      <c r="AHX5">
        <v>909</v>
      </c>
      <c r="AHY5">
        <v>470</v>
      </c>
      <c r="AHZ5">
        <v>571</v>
      </c>
      <c r="AIA5">
        <v>0</v>
      </c>
      <c r="AIB5">
        <v>58</v>
      </c>
      <c r="AIC5">
        <v>291</v>
      </c>
      <c r="AID5">
        <v>72</v>
      </c>
      <c r="AIE5">
        <v>129</v>
      </c>
      <c r="AIF5">
        <v>176</v>
      </c>
      <c r="AIG5">
        <v>16</v>
      </c>
      <c r="AIH5">
        <v>0</v>
      </c>
      <c r="AII5">
        <v>148</v>
      </c>
      <c r="AIJ5">
        <v>324</v>
      </c>
      <c r="AIK5">
        <v>313</v>
      </c>
      <c r="AIL5">
        <v>136</v>
      </c>
      <c r="AIM5">
        <v>0</v>
      </c>
      <c r="AIN5">
        <v>874</v>
      </c>
      <c r="AIO5">
        <v>0</v>
      </c>
      <c r="AIP5">
        <v>0</v>
      </c>
      <c r="AIQ5">
        <v>2339</v>
      </c>
      <c r="AIR5">
        <v>701</v>
      </c>
      <c r="AIS5">
        <v>930</v>
      </c>
      <c r="AIT5">
        <v>1455</v>
      </c>
      <c r="AIU5">
        <v>921</v>
      </c>
      <c r="AIV5">
        <v>0</v>
      </c>
      <c r="AIW5">
        <v>571</v>
      </c>
      <c r="AIX5">
        <v>834</v>
      </c>
      <c r="AIY5">
        <v>1117</v>
      </c>
      <c r="AIZ5">
        <v>796</v>
      </c>
      <c r="AJA5">
        <v>1063</v>
      </c>
      <c r="AJB5">
        <v>933</v>
      </c>
      <c r="AJC5">
        <v>0</v>
      </c>
      <c r="AJD5">
        <v>521</v>
      </c>
      <c r="AJE5">
        <v>707</v>
      </c>
      <c r="AJF5">
        <v>846</v>
      </c>
      <c r="AJG5">
        <v>1058</v>
      </c>
      <c r="AJH5">
        <v>827</v>
      </c>
      <c r="AJI5">
        <v>654</v>
      </c>
      <c r="AJJ5">
        <v>0</v>
      </c>
      <c r="AJK5">
        <v>770</v>
      </c>
      <c r="AJL5">
        <v>498</v>
      </c>
      <c r="AJM5">
        <v>544</v>
      </c>
      <c r="AJN5">
        <v>720</v>
      </c>
      <c r="AJO5">
        <v>964</v>
      </c>
      <c r="AJP5">
        <v>800</v>
      </c>
      <c r="AJQ5">
        <v>0</v>
      </c>
      <c r="AJR5">
        <v>0</v>
      </c>
      <c r="AJS5">
        <v>1346</v>
      </c>
      <c r="AJT5">
        <v>0</v>
      </c>
      <c r="AJU5">
        <v>503</v>
      </c>
      <c r="AJV5">
        <v>1473</v>
      </c>
      <c r="AJW5">
        <v>712</v>
      </c>
      <c r="AJX5">
        <v>0</v>
      </c>
      <c r="AJY5">
        <v>974</v>
      </c>
      <c r="AJZ5">
        <v>823</v>
      </c>
      <c r="AKA5">
        <v>1453</v>
      </c>
      <c r="AKB5">
        <v>797</v>
      </c>
      <c r="AKC5">
        <v>586</v>
      </c>
      <c r="AKD5">
        <v>520</v>
      </c>
      <c r="AKE5">
        <v>0</v>
      </c>
      <c r="AKF5">
        <v>84</v>
      </c>
    </row>
    <row r="6" spans="1:985">
      <c r="A6" s="40">
        <v>4</v>
      </c>
      <c r="B6" s="132" t="s">
        <v>23</v>
      </c>
      <c r="C6" s="86">
        <v>82210</v>
      </c>
      <c r="D6" s="86" t="s">
        <v>8</v>
      </c>
      <c r="E6" s="86" t="s">
        <v>9</v>
      </c>
      <c r="F6" s="86" t="s">
        <v>24</v>
      </c>
      <c r="G6" s="86" t="s">
        <v>12</v>
      </c>
      <c r="H6" s="86" t="s">
        <v>21</v>
      </c>
      <c r="I6" s="52" t="s">
        <v>22</v>
      </c>
      <c r="J6" s="52" t="s">
        <v>15</v>
      </c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>
        <v>28</v>
      </c>
      <c r="AB6" s="65"/>
      <c r="AC6" s="40"/>
      <c r="AD6" s="65">
        <v>29</v>
      </c>
      <c r="AE6" s="65">
        <v>29</v>
      </c>
      <c r="AF6" s="65">
        <v>27</v>
      </c>
      <c r="AG6" s="65">
        <v>26</v>
      </c>
      <c r="AH6" s="65">
        <v>27</v>
      </c>
      <c r="AI6" s="65"/>
      <c r="AJ6" s="40"/>
      <c r="AK6" s="65"/>
      <c r="AL6" s="65">
        <v>37</v>
      </c>
      <c r="AM6" s="65">
        <v>33</v>
      </c>
      <c r="AN6" s="65">
        <v>36</v>
      </c>
      <c r="AO6" s="65">
        <v>28</v>
      </c>
      <c r="AP6" s="65">
        <v>29</v>
      </c>
      <c r="AQ6" s="40"/>
      <c r="AR6" s="65">
        <v>64</v>
      </c>
      <c r="AS6" s="40"/>
      <c r="AT6" s="65">
        <v>1</v>
      </c>
      <c r="AU6" s="65">
        <v>43</v>
      </c>
      <c r="AV6" s="65">
        <v>47</v>
      </c>
      <c r="AW6" s="65"/>
      <c r="AX6" s="40"/>
      <c r="AY6" s="65">
        <v>32</v>
      </c>
      <c r="AZ6" s="65"/>
      <c r="BA6" s="65"/>
      <c r="BB6" s="65"/>
      <c r="BC6" s="65"/>
      <c r="BD6" s="65"/>
      <c r="BE6" s="40"/>
      <c r="BF6" s="65"/>
      <c r="BG6" s="65"/>
      <c r="BH6" s="65"/>
      <c r="BI6" s="65">
        <v>44</v>
      </c>
      <c r="BJ6" s="65">
        <v>41</v>
      </c>
      <c r="BK6" s="65"/>
      <c r="BL6" s="65"/>
      <c r="BM6" s="65">
        <v>40</v>
      </c>
      <c r="BN6" s="65">
        <v>36</v>
      </c>
      <c r="BO6" s="65">
        <v>21</v>
      </c>
      <c r="BP6" s="65">
        <v>37</v>
      </c>
      <c r="BQ6" s="65"/>
      <c r="BR6" s="65"/>
      <c r="BS6" s="65"/>
      <c r="BT6" s="65"/>
      <c r="BU6" s="65"/>
      <c r="BV6" s="65"/>
      <c r="BW6" s="65">
        <v>32</v>
      </c>
      <c r="BX6" s="65">
        <v>19</v>
      </c>
      <c r="BY6" s="65"/>
      <c r="BZ6" s="65"/>
      <c r="CA6" s="40">
        <v>21</v>
      </c>
      <c r="CB6" s="40">
        <v>60</v>
      </c>
      <c r="CC6" s="40">
        <v>28</v>
      </c>
      <c r="CD6" s="40">
        <v>45</v>
      </c>
      <c r="CE6" s="40">
        <v>49</v>
      </c>
      <c r="CF6" s="40"/>
      <c r="CG6" s="40"/>
      <c r="CH6" s="40">
        <v>46</v>
      </c>
      <c r="CI6" s="40">
        <v>67</v>
      </c>
      <c r="CJ6" s="40">
        <v>70</v>
      </c>
      <c r="CK6" s="40">
        <v>61</v>
      </c>
      <c r="CL6" s="40">
        <v>53</v>
      </c>
      <c r="CM6" s="40"/>
      <c r="CN6" s="40"/>
      <c r="CO6" s="40">
        <v>44</v>
      </c>
      <c r="CP6" s="40">
        <v>76</v>
      </c>
      <c r="CQ6" s="40">
        <v>84</v>
      </c>
      <c r="CR6" s="40">
        <v>35</v>
      </c>
      <c r="CS6" s="40">
        <v>34</v>
      </c>
      <c r="CT6" s="40"/>
      <c r="CU6" s="40"/>
      <c r="CV6" s="40">
        <v>46</v>
      </c>
      <c r="CW6" s="40">
        <v>68</v>
      </c>
      <c r="CX6" s="40">
        <v>25</v>
      </c>
      <c r="CY6" s="40"/>
      <c r="CZ6" s="40">
        <v>24</v>
      </c>
      <c r="DA6" s="40"/>
      <c r="DB6" s="40"/>
      <c r="DC6" s="40"/>
      <c r="DD6" s="40">
        <v>29</v>
      </c>
      <c r="DE6" s="40">
        <v>38</v>
      </c>
      <c r="DF6" s="40">
        <v>73</v>
      </c>
      <c r="DG6" s="40">
        <v>61</v>
      </c>
      <c r="DH6" s="40"/>
      <c r="DI6" s="40"/>
      <c r="DJ6" s="40">
        <v>81</v>
      </c>
      <c r="DK6" s="40"/>
      <c r="DL6" s="40">
        <v>103</v>
      </c>
      <c r="DM6" s="40">
        <v>37</v>
      </c>
      <c r="DN6" s="40">
        <v>39</v>
      </c>
      <c r="DO6" s="40"/>
      <c r="DP6" s="40"/>
      <c r="DQ6" s="40">
        <v>44</v>
      </c>
      <c r="DR6" s="40">
        <v>54</v>
      </c>
      <c r="DS6" s="40">
        <v>25</v>
      </c>
      <c r="DT6" s="40">
        <v>31</v>
      </c>
      <c r="DU6" s="40">
        <v>23</v>
      </c>
      <c r="DV6" s="40"/>
      <c r="DW6" s="40"/>
      <c r="DX6" s="40">
        <v>23</v>
      </c>
      <c r="DY6" s="40"/>
      <c r="DZ6" s="40">
        <v>65</v>
      </c>
      <c r="EA6" s="40">
        <v>36</v>
      </c>
      <c r="EB6" s="40">
        <v>20</v>
      </c>
      <c r="EC6" s="40"/>
      <c r="ED6" s="40"/>
      <c r="EE6" s="40">
        <v>22</v>
      </c>
      <c r="EF6" s="40"/>
      <c r="EG6" s="40">
        <v>77</v>
      </c>
      <c r="EH6" s="40">
        <v>34</v>
      </c>
      <c r="EI6" s="40">
        <v>40</v>
      </c>
      <c r="EJ6" s="40"/>
      <c r="EK6" s="40"/>
      <c r="EL6" s="40">
        <v>23</v>
      </c>
      <c r="EM6" s="40">
        <v>28</v>
      </c>
      <c r="EN6" s="40">
        <v>32</v>
      </c>
      <c r="EO6" s="40">
        <v>30</v>
      </c>
      <c r="EP6" s="40">
        <v>25</v>
      </c>
      <c r="EQ6" s="40"/>
      <c r="ER6" s="40"/>
      <c r="ES6" s="40">
        <v>18</v>
      </c>
      <c r="ET6" s="40">
        <v>28</v>
      </c>
      <c r="EU6" s="40">
        <v>13</v>
      </c>
      <c r="EV6" s="40">
        <v>16</v>
      </c>
      <c r="EW6" s="40">
        <v>12</v>
      </c>
      <c r="EX6" s="40"/>
      <c r="EY6" s="40"/>
      <c r="EZ6" s="40"/>
      <c r="FA6" s="40">
        <v>61</v>
      </c>
      <c r="FB6" s="40">
        <v>28</v>
      </c>
      <c r="FC6" s="40">
        <v>24</v>
      </c>
      <c r="FD6" s="40">
        <v>22</v>
      </c>
      <c r="FE6" s="40"/>
      <c r="FF6" s="40"/>
      <c r="FG6" s="40">
        <v>17</v>
      </c>
      <c r="FH6" s="40">
        <v>30</v>
      </c>
      <c r="FI6" s="40">
        <v>21</v>
      </c>
      <c r="FJ6" s="40">
        <v>31</v>
      </c>
      <c r="FK6" s="40">
        <v>19</v>
      </c>
      <c r="FL6" s="40"/>
      <c r="FM6" s="40"/>
      <c r="FN6" s="40"/>
      <c r="FO6" s="40">
        <v>10</v>
      </c>
      <c r="FP6" s="40">
        <v>28</v>
      </c>
      <c r="FQ6" s="40">
        <v>19</v>
      </c>
      <c r="FR6" s="40">
        <v>35</v>
      </c>
      <c r="FS6" s="40"/>
      <c r="FT6" s="40"/>
      <c r="FU6" s="40"/>
      <c r="FV6" s="40">
        <v>3</v>
      </c>
      <c r="FW6" s="40">
        <v>34</v>
      </c>
      <c r="FX6" s="40">
        <v>22</v>
      </c>
      <c r="FY6" s="40">
        <v>20</v>
      </c>
      <c r="FZ6" s="40"/>
      <c r="GA6" s="40"/>
      <c r="GB6" s="40"/>
      <c r="GC6" s="40">
        <v>45</v>
      </c>
      <c r="GD6" s="40">
        <v>23</v>
      </c>
      <c r="GE6" s="40">
        <v>21</v>
      </c>
      <c r="GF6" s="40">
        <v>36</v>
      </c>
      <c r="GG6" s="40"/>
      <c r="GH6" s="40"/>
      <c r="GI6" s="40">
        <v>28</v>
      </c>
      <c r="GJ6" s="40">
        <v>48</v>
      </c>
      <c r="GK6" s="40"/>
      <c r="GL6" s="40">
        <v>18</v>
      </c>
      <c r="GM6" s="40">
        <v>37</v>
      </c>
      <c r="GN6" s="40"/>
      <c r="GO6" s="40"/>
      <c r="GP6" s="40"/>
      <c r="GQ6" s="40">
        <v>35</v>
      </c>
      <c r="GR6" s="40">
        <v>25</v>
      </c>
      <c r="GS6" s="40">
        <v>30</v>
      </c>
      <c r="GT6" s="40">
        <v>14</v>
      </c>
      <c r="GU6" s="40"/>
      <c r="GV6" s="40"/>
      <c r="GW6" s="40">
        <v>24</v>
      </c>
      <c r="GX6" s="40">
        <v>15</v>
      </c>
      <c r="GY6" s="40">
        <v>28</v>
      </c>
      <c r="GZ6" s="40">
        <v>24</v>
      </c>
      <c r="HA6" s="40">
        <v>12</v>
      </c>
      <c r="HB6" s="40"/>
      <c r="HC6" s="40"/>
      <c r="HD6" s="40"/>
      <c r="HE6" s="40">
        <v>30</v>
      </c>
      <c r="HF6" s="40"/>
      <c r="HG6" s="40">
        <v>22</v>
      </c>
      <c r="HH6" s="40">
        <v>16</v>
      </c>
      <c r="HI6" s="40"/>
      <c r="HJ6" s="40"/>
      <c r="HK6" s="40">
        <v>33</v>
      </c>
      <c r="HL6" s="40">
        <v>25</v>
      </c>
      <c r="HM6" s="40"/>
      <c r="HN6" s="40">
        <v>38</v>
      </c>
      <c r="HO6" s="40">
        <v>25</v>
      </c>
      <c r="HP6" s="40"/>
      <c r="HQ6" s="40"/>
      <c r="HR6" s="40"/>
      <c r="HS6" s="40">
        <v>19</v>
      </c>
      <c r="HT6" s="40"/>
      <c r="HU6" s="40">
        <v>26</v>
      </c>
      <c r="HV6" s="40">
        <v>48</v>
      </c>
      <c r="HW6" s="40"/>
      <c r="HX6" s="40"/>
      <c r="HY6" s="40">
        <v>29</v>
      </c>
      <c r="HZ6" s="40">
        <v>44</v>
      </c>
      <c r="IA6" s="40">
        <v>26</v>
      </c>
      <c r="IB6" s="40">
        <v>30</v>
      </c>
      <c r="IC6" s="40">
        <v>23</v>
      </c>
      <c r="ID6" s="40"/>
      <c r="IE6" s="40"/>
      <c r="IF6" s="40">
        <v>33</v>
      </c>
      <c r="IG6" s="40">
        <v>36</v>
      </c>
      <c r="IH6" s="40">
        <v>40</v>
      </c>
      <c r="II6" s="40">
        <v>45</v>
      </c>
      <c r="IJ6" s="40">
        <v>79</v>
      </c>
      <c r="IK6" s="40">
        <v>341</v>
      </c>
      <c r="IL6" s="40"/>
      <c r="IM6" s="40">
        <v>82</v>
      </c>
      <c r="IN6" s="40">
        <v>85</v>
      </c>
      <c r="IO6" s="40">
        <v>30</v>
      </c>
      <c r="IP6" s="40">
        <v>51</v>
      </c>
      <c r="IQ6" s="40"/>
      <c r="IR6" s="40"/>
      <c r="IS6" s="40"/>
      <c r="IT6" s="40"/>
      <c r="IU6" s="40"/>
      <c r="IV6" s="40">
        <v>41</v>
      </c>
      <c r="IW6" s="40">
        <v>44</v>
      </c>
      <c r="IX6" s="40"/>
      <c r="IY6" s="40"/>
      <c r="IZ6" s="40"/>
      <c r="JA6" s="40"/>
      <c r="JB6" s="40"/>
      <c r="JC6" s="40">
        <v>51</v>
      </c>
      <c r="JD6" s="40">
        <v>72</v>
      </c>
      <c r="JE6" s="40"/>
      <c r="JF6" s="40"/>
      <c r="JG6" s="40"/>
      <c r="JH6" s="40"/>
      <c r="JI6" s="40"/>
      <c r="JJ6" s="40">
        <v>19</v>
      </c>
      <c r="JK6" s="40">
        <v>33</v>
      </c>
      <c r="JL6" s="40"/>
      <c r="JM6" s="40"/>
      <c r="JN6" s="40"/>
      <c r="JO6" s="40"/>
      <c r="JP6" s="40"/>
      <c r="JQ6" s="40">
        <v>13</v>
      </c>
      <c r="JR6" s="40">
        <v>7</v>
      </c>
      <c r="JS6" s="40"/>
      <c r="JT6" s="40"/>
      <c r="JU6" s="40"/>
      <c r="JV6" s="40"/>
      <c r="JW6" s="40"/>
      <c r="JX6" s="40">
        <v>2</v>
      </c>
      <c r="JY6" s="40">
        <v>18</v>
      </c>
      <c r="JZ6" s="40">
        <v>0</v>
      </c>
      <c r="KA6" s="40">
        <v>0</v>
      </c>
      <c r="KB6" s="40">
        <v>0</v>
      </c>
      <c r="KC6" s="40">
        <v>0</v>
      </c>
      <c r="KD6" s="40">
        <v>0</v>
      </c>
      <c r="KE6" s="40">
        <v>0</v>
      </c>
      <c r="KF6" s="40">
        <v>0</v>
      </c>
      <c r="KG6" s="40">
        <v>0</v>
      </c>
      <c r="KH6" s="40">
        <v>0</v>
      </c>
      <c r="KI6" s="40">
        <v>0</v>
      </c>
      <c r="KJ6" s="40">
        <v>0</v>
      </c>
      <c r="KK6" s="40">
        <v>0</v>
      </c>
      <c r="KL6" s="40">
        <v>29</v>
      </c>
      <c r="KM6" s="40">
        <v>59</v>
      </c>
      <c r="KN6" s="40">
        <v>101</v>
      </c>
      <c r="KO6" s="40">
        <v>0</v>
      </c>
      <c r="KP6" s="40">
        <v>0</v>
      </c>
      <c r="KQ6" s="40">
        <v>0</v>
      </c>
      <c r="KR6" s="40">
        <v>0</v>
      </c>
      <c r="KS6" s="40">
        <v>0</v>
      </c>
      <c r="KT6" s="40">
        <v>0</v>
      </c>
      <c r="KU6" s="40">
        <v>0</v>
      </c>
      <c r="KV6" s="40">
        <v>0</v>
      </c>
      <c r="KW6" s="40">
        <v>0</v>
      </c>
      <c r="KX6" s="40">
        <v>0</v>
      </c>
      <c r="KY6" s="40">
        <v>0</v>
      </c>
      <c r="KZ6" s="40">
        <v>0</v>
      </c>
      <c r="LA6" s="40">
        <v>0</v>
      </c>
      <c r="LB6" s="40">
        <v>0</v>
      </c>
      <c r="LC6" s="40">
        <v>0</v>
      </c>
      <c r="LD6" s="40">
        <v>0</v>
      </c>
      <c r="LE6" s="40">
        <v>0</v>
      </c>
      <c r="LF6" s="40">
        <v>0</v>
      </c>
      <c r="LG6" s="40">
        <v>0</v>
      </c>
      <c r="LH6" s="40">
        <v>0</v>
      </c>
      <c r="LI6" s="40">
        <v>0</v>
      </c>
      <c r="LJ6" s="40">
        <v>0</v>
      </c>
      <c r="LK6" s="40">
        <v>0</v>
      </c>
      <c r="LL6" s="40">
        <v>0</v>
      </c>
      <c r="LM6" s="40">
        <v>0</v>
      </c>
      <c r="LN6" s="40">
        <v>0</v>
      </c>
      <c r="LO6" s="40">
        <v>0</v>
      </c>
      <c r="LP6" s="40">
        <v>0</v>
      </c>
      <c r="LQ6" s="40">
        <v>0</v>
      </c>
      <c r="LR6" s="40">
        <v>0</v>
      </c>
      <c r="LS6" s="40">
        <v>0</v>
      </c>
      <c r="LT6" s="40">
        <v>0</v>
      </c>
      <c r="LU6" s="40">
        <v>0</v>
      </c>
      <c r="LV6" s="40">
        <v>0</v>
      </c>
      <c r="LW6" s="40">
        <v>0</v>
      </c>
      <c r="LX6" s="40">
        <v>0</v>
      </c>
      <c r="LY6" s="40">
        <v>0</v>
      </c>
      <c r="LZ6" s="40">
        <v>0</v>
      </c>
      <c r="MA6" s="40">
        <v>0</v>
      </c>
      <c r="MB6" s="40">
        <v>0</v>
      </c>
      <c r="MC6" s="40">
        <v>0</v>
      </c>
      <c r="MD6" s="40">
        <v>0</v>
      </c>
      <c r="ME6" s="40">
        <v>0</v>
      </c>
      <c r="MF6" s="40">
        <v>0</v>
      </c>
      <c r="MG6" s="40">
        <v>0</v>
      </c>
      <c r="MH6" s="40">
        <v>0</v>
      </c>
      <c r="MI6" s="40">
        <v>0</v>
      </c>
      <c r="MJ6" s="40">
        <v>0</v>
      </c>
      <c r="MK6" s="40">
        <v>0</v>
      </c>
      <c r="ML6" s="40">
        <v>0</v>
      </c>
      <c r="MM6" s="40">
        <v>0</v>
      </c>
      <c r="MN6" s="40">
        <v>0</v>
      </c>
      <c r="MO6" s="40">
        <v>0</v>
      </c>
      <c r="MP6" s="40">
        <v>0</v>
      </c>
      <c r="MQ6" s="40">
        <v>0</v>
      </c>
      <c r="MR6" s="40">
        <v>0</v>
      </c>
      <c r="MS6" s="40">
        <v>0</v>
      </c>
      <c r="MT6" s="40">
        <v>0</v>
      </c>
      <c r="MU6" s="40">
        <v>0</v>
      </c>
      <c r="MV6" s="40">
        <v>0</v>
      </c>
      <c r="MW6" s="40">
        <v>0</v>
      </c>
      <c r="MX6" s="40">
        <v>0</v>
      </c>
      <c r="MY6" s="40">
        <v>0</v>
      </c>
      <c r="MZ6" s="40">
        <v>0</v>
      </c>
      <c r="NA6" s="40">
        <v>0</v>
      </c>
      <c r="NB6" s="40">
        <v>0</v>
      </c>
      <c r="NC6" s="40">
        <v>0</v>
      </c>
      <c r="ND6" s="40">
        <v>0</v>
      </c>
      <c r="NE6" s="40">
        <v>0</v>
      </c>
      <c r="NF6" s="40">
        <v>0</v>
      </c>
      <c r="NG6" s="40">
        <v>0</v>
      </c>
      <c r="NH6" s="40">
        <v>0</v>
      </c>
      <c r="NI6" s="40">
        <v>0</v>
      </c>
      <c r="NJ6" s="40">
        <v>0</v>
      </c>
      <c r="NK6" s="40">
        <v>0</v>
      </c>
      <c r="NL6" s="40">
        <v>0</v>
      </c>
      <c r="NM6" s="69">
        <f t="shared" ref="NM6:OC6" si="495">SUM(NM20+NM22)</f>
        <v>1260</v>
      </c>
      <c r="NN6" s="69">
        <f t="shared" si="495"/>
        <v>1496</v>
      </c>
      <c r="NO6" s="69">
        <f t="shared" si="495"/>
        <v>0</v>
      </c>
      <c r="NP6" s="69">
        <f t="shared" si="495"/>
        <v>726</v>
      </c>
      <c r="NQ6" s="69">
        <f t="shared" si="495"/>
        <v>1992</v>
      </c>
      <c r="NR6" s="69">
        <f t="shared" si="495"/>
        <v>1384</v>
      </c>
      <c r="NS6" s="69">
        <f t="shared" si="495"/>
        <v>1744</v>
      </c>
      <c r="NT6" s="69">
        <f t="shared" si="495"/>
        <v>1297</v>
      </c>
      <c r="NU6" s="69">
        <f t="shared" si="495"/>
        <v>1371</v>
      </c>
      <c r="NV6" s="69">
        <f t="shared" si="495"/>
        <v>0</v>
      </c>
      <c r="NW6" s="69">
        <f t="shared" si="495"/>
        <v>1837</v>
      </c>
      <c r="NX6" s="69">
        <f t="shared" si="495"/>
        <v>1513</v>
      </c>
      <c r="NY6" s="69">
        <f t="shared" si="495"/>
        <v>1286</v>
      </c>
      <c r="NZ6" s="69">
        <f t="shared" si="495"/>
        <v>2175</v>
      </c>
      <c r="OA6" s="69">
        <f>SUM(OA20+OA22)</f>
        <v>1090</v>
      </c>
      <c r="OB6" s="69">
        <f t="shared" si="495"/>
        <v>586</v>
      </c>
      <c r="OC6" s="69">
        <f t="shared" si="495"/>
        <v>0</v>
      </c>
      <c r="OD6" s="69">
        <f t="shared" ref="OD6:OJ6" si="496">SUM(OD20+OD22)</f>
        <v>938</v>
      </c>
      <c r="OE6" s="69">
        <f t="shared" si="496"/>
        <v>1766</v>
      </c>
      <c r="OF6" s="69">
        <f t="shared" si="496"/>
        <v>1308</v>
      </c>
      <c r="OG6" s="69">
        <f t="shared" si="496"/>
        <v>1425</v>
      </c>
      <c r="OH6" s="69">
        <f t="shared" si="496"/>
        <v>1658</v>
      </c>
      <c r="OI6" s="69">
        <f>SUM(OI20+OI22)</f>
        <v>712</v>
      </c>
      <c r="OJ6" s="69">
        <f t="shared" si="496"/>
        <v>0</v>
      </c>
      <c r="OK6" s="69">
        <f t="shared" ref="OK6:OP6" si="497">SUM(OK20+OK22)</f>
        <v>1144</v>
      </c>
      <c r="OL6" s="69">
        <f t="shared" si="497"/>
        <v>1333</v>
      </c>
      <c r="OM6" s="69">
        <f t="shared" si="497"/>
        <v>1396</v>
      </c>
      <c r="ON6" s="69">
        <f t="shared" si="497"/>
        <v>1517</v>
      </c>
      <c r="OO6" s="69">
        <f t="shared" si="497"/>
        <v>1033</v>
      </c>
      <c r="OP6" s="69">
        <f t="shared" si="497"/>
        <v>736</v>
      </c>
      <c r="OQ6" s="69">
        <f t="shared" ref="OQ6:PE6" si="498">SUM(OQ20+OQ22)</f>
        <v>0</v>
      </c>
      <c r="OR6" s="69">
        <f t="shared" si="498"/>
        <v>1301</v>
      </c>
      <c r="OS6" s="69">
        <f t="shared" si="498"/>
        <v>1848</v>
      </c>
      <c r="OT6" s="69">
        <f t="shared" si="498"/>
        <v>1708</v>
      </c>
      <c r="OU6" s="69">
        <f t="shared" si="498"/>
        <v>0</v>
      </c>
      <c r="OV6" s="69">
        <f t="shared" si="498"/>
        <v>1253</v>
      </c>
      <c r="OW6" s="69">
        <f t="shared" si="498"/>
        <v>1540</v>
      </c>
      <c r="OX6" s="69">
        <f t="shared" si="498"/>
        <v>0</v>
      </c>
      <c r="OY6" s="69">
        <f t="shared" si="498"/>
        <v>1362</v>
      </c>
      <c r="OZ6" s="69">
        <f t="shared" si="498"/>
        <v>2345</v>
      </c>
      <c r="PA6" s="69">
        <f t="shared" si="498"/>
        <v>1037</v>
      </c>
      <c r="PB6" s="69">
        <f t="shared" si="498"/>
        <v>1117</v>
      </c>
      <c r="PC6" s="69">
        <f t="shared" si="498"/>
        <v>1534</v>
      </c>
      <c r="PD6" s="69">
        <f t="shared" si="498"/>
        <v>719</v>
      </c>
      <c r="PE6" s="69">
        <f t="shared" si="498"/>
        <v>0</v>
      </c>
      <c r="PF6" s="69">
        <f t="shared" ref="PF6:PT6" si="499">SUM(PF20+PF22)</f>
        <v>909</v>
      </c>
      <c r="PG6" s="69">
        <f t="shared" si="499"/>
        <v>1136</v>
      </c>
      <c r="PH6" s="69">
        <f t="shared" si="499"/>
        <v>1189</v>
      </c>
      <c r="PI6" s="69">
        <f t="shared" si="499"/>
        <v>923</v>
      </c>
      <c r="PJ6" s="69">
        <f t="shared" si="499"/>
        <v>913</v>
      </c>
      <c r="PK6" s="69">
        <f t="shared" si="499"/>
        <v>756</v>
      </c>
      <c r="PL6" s="69">
        <f t="shared" si="499"/>
        <v>0</v>
      </c>
      <c r="PM6" s="69">
        <f t="shared" si="499"/>
        <v>976</v>
      </c>
      <c r="PN6" s="69">
        <f t="shared" si="499"/>
        <v>1087</v>
      </c>
      <c r="PO6" s="69">
        <f t="shared" si="499"/>
        <v>2461</v>
      </c>
      <c r="PP6" s="69">
        <f t="shared" si="499"/>
        <v>694</v>
      </c>
      <c r="PQ6" s="69">
        <f t="shared" si="499"/>
        <v>532</v>
      </c>
      <c r="PR6" s="69">
        <f t="shared" si="499"/>
        <v>293</v>
      </c>
      <c r="PS6" s="69">
        <f t="shared" si="499"/>
        <v>0</v>
      </c>
      <c r="PT6" s="69">
        <f t="shared" si="499"/>
        <v>0</v>
      </c>
      <c r="PU6" s="69"/>
      <c r="PV6" s="69">
        <f t="shared" ref="PV6:QE6" si="500">SUM(PV20+PV22)</f>
        <v>0</v>
      </c>
      <c r="PW6" s="69">
        <f t="shared" si="500"/>
        <v>630</v>
      </c>
      <c r="PX6" s="69">
        <f t="shared" si="500"/>
        <v>186</v>
      </c>
      <c r="PY6" s="69">
        <f t="shared" si="500"/>
        <v>205</v>
      </c>
      <c r="PZ6" s="69">
        <f t="shared" si="500"/>
        <v>0</v>
      </c>
      <c r="QA6" s="69">
        <f t="shared" si="500"/>
        <v>1908</v>
      </c>
      <c r="QB6" s="69">
        <f t="shared" si="500"/>
        <v>1477</v>
      </c>
      <c r="QC6" s="69">
        <f t="shared" si="500"/>
        <v>1891</v>
      </c>
      <c r="QD6" s="69">
        <f t="shared" si="500"/>
        <v>2463</v>
      </c>
      <c r="QE6" s="69">
        <f t="shared" si="500"/>
        <v>1336</v>
      </c>
      <c r="QF6" s="69">
        <f>SUM(QF20+QF22)</f>
        <v>803</v>
      </c>
      <c r="QG6" s="69">
        <f>SUM(QG20+QG22)</f>
        <v>0</v>
      </c>
      <c r="QH6" s="69">
        <f t="shared" ref="QH6:QM6" si="501">SUM(QH20+QH22)</f>
        <v>2581</v>
      </c>
      <c r="QI6" s="69">
        <f t="shared" si="501"/>
        <v>1371</v>
      </c>
      <c r="QJ6" s="69">
        <f t="shared" si="501"/>
        <v>1799</v>
      </c>
      <c r="QK6" s="69">
        <f t="shared" si="501"/>
        <v>855</v>
      </c>
      <c r="QL6" s="69">
        <f t="shared" si="501"/>
        <v>1494</v>
      </c>
      <c r="QM6" s="69">
        <f t="shared" si="501"/>
        <v>923</v>
      </c>
      <c r="QN6" s="69">
        <f>SUM(QN20+QN22)</f>
        <v>0</v>
      </c>
      <c r="QO6" s="69">
        <f t="shared" ref="QO6:QU6" si="502">SUM(QO20+QO22)</f>
        <v>1591</v>
      </c>
      <c r="QP6" s="69">
        <f t="shared" si="502"/>
        <v>1873</v>
      </c>
      <c r="QQ6" s="69">
        <f t="shared" si="502"/>
        <v>975</v>
      </c>
      <c r="QR6" s="69">
        <f t="shared" si="502"/>
        <v>2430</v>
      </c>
      <c r="QS6" s="69">
        <f t="shared" si="502"/>
        <v>1573</v>
      </c>
      <c r="QT6" s="69">
        <f t="shared" si="502"/>
        <v>922</v>
      </c>
      <c r="QU6" s="69">
        <f t="shared" si="502"/>
        <v>0</v>
      </c>
      <c r="QV6" s="69">
        <f>SUM(QV20+QV22)</f>
        <v>1062</v>
      </c>
      <c r="QW6" s="69">
        <f>SUM(QW20+QW22)</f>
        <v>1699</v>
      </c>
      <c r="QX6" s="69">
        <f>SUM(QX20+QX22)</f>
        <v>1099</v>
      </c>
      <c r="QY6" s="69">
        <f>SUM(QY20+QY22)</f>
        <v>1587</v>
      </c>
      <c r="QZ6" s="69">
        <f>SUM(QZ20+QZ22)</f>
        <v>996</v>
      </c>
      <c r="RA6" s="69">
        <f t="shared" ref="RA6:RJ6" si="503">SUM(RA20+RA22)</f>
        <v>289</v>
      </c>
      <c r="RB6" s="69">
        <f t="shared" si="503"/>
        <v>0</v>
      </c>
      <c r="RC6" s="69">
        <f t="shared" si="503"/>
        <v>1019</v>
      </c>
      <c r="RD6" s="69">
        <f t="shared" si="503"/>
        <v>1710</v>
      </c>
      <c r="RE6" s="69">
        <f t="shared" si="503"/>
        <v>1640</v>
      </c>
      <c r="RF6" s="69">
        <f t="shared" si="503"/>
        <v>2020</v>
      </c>
      <c r="RG6" s="69">
        <f t="shared" si="503"/>
        <v>1438</v>
      </c>
      <c r="RH6" s="69">
        <f t="shared" si="503"/>
        <v>0</v>
      </c>
      <c r="RI6" s="69">
        <f t="shared" si="503"/>
        <v>0</v>
      </c>
      <c r="RJ6" s="69">
        <f t="shared" si="503"/>
        <v>1376</v>
      </c>
      <c r="RK6" s="69">
        <f t="shared" ref="RK6:RO6" si="504">SUM(RK20+RK22)</f>
        <v>2370</v>
      </c>
      <c r="RL6" s="69">
        <f t="shared" si="504"/>
        <v>635</v>
      </c>
      <c r="RM6" s="69">
        <f t="shared" si="504"/>
        <v>1343</v>
      </c>
      <c r="RN6" s="69">
        <f t="shared" si="504"/>
        <v>2833</v>
      </c>
      <c r="RO6" s="69">
        <f t="shared" si="504"/>
        <v>1370</v>
      </c>
      <c r="RP6" s="69">
        <f t="shared" ref="RP6:SB6" si="505">SUM(RP20+RP22)</f>
        <v>0</v>
      </c>
      <c r="RQ6" s="69">
        <f t="shared" si="505"/>
        <v>2674</v>
      </c>
      <c r="RR6" s="69">
        <f t="shared" si="505"/>
        <v>1887</v>
      </c>
      <c r="RS6" s="69">
        <f t="shared" si="505"/>
        <v>2883</v>
      </c>
      <c r="RT6" s="69">
        <f t="shared" si="505"/>
        <v>1227</v>
      </c>
      <c r="RU6" s="69">
        <f t="shared" si="505"/>
        <v>1718</v>
      </c>
      <c r="RV6" s="69">
        <f t="shared" si="505"/>
        <v>1404</v>
      </c>
      <c r="RW6" s="69">
        <f t="shared" si="505"/>
        <v>0</v>
      </c>
      <c r="RX6" s="69">
        <f t="shared" si="505"/>
        <v>1527</v>
      </c>
      <c r="RY6" s="69">
        <f t="shared" si="505"/>
        <v>1844</v>
      </c>
      <c r="RZ6" s="69">
        <f t="shared" si="505"/>
        <v>1745</v>
      </c>
      <c r="SA6" s="69">
        <f t="shared" si="505"/>
        <v>2360</v>
      </c>
      <c r="SB6" s="69">
        <f t="shared" si="505"/>
        <v>1668</v>
      </c>
      <c r="SC6" s="69">
        <f t="shared" ref="SC6:SI6" si="506">SUM(SC20+SC22)</f>
        <v>1369</v>
      </c>
      <c r="SD6" s="69">
        <f t="shared" si="506"/>
        <v>0</v>
      </c>
      <c r="SE6" s="69">
        <f t="shared" si="506"/>
        <v>1614</v>
      </c>
      <c r="SF6" s="69">
        <f t="shared" si="506"/>
        <v>1458</v>
      </c>
      <c r="SG6" s="69">
        <f t="shared" si="506"/>
        <v>1255</v>
      </c>
      <c r="SH6" s="69">
        <f t="shared" si="506"/>
        <v>2118</v>
      </c>
      <c r="SI6" s="69">
        <f t="shared" si="506"/>
        <v>1937</v>
      </c>
      <c r="SJ6" s="69">
        <f t="shared" ref="SJ6:SQ6" si="507">SUM(SJ19+SJ22)</f>
        <v>1024</v>
      </c>
      <c r="SK6" s="69">
        <f t="shared" si="507"/>
        <v>0</v>
      </c>
      <c r="SL6" s="69">
        <f t="shared" si="507"/>
        <v>2528</v>
      </c>
      <c r="SM6" s="69">
        <f t="shared" si="507"/>
        <v>1928</v>
      </c>
      <c r="SN6" s="69">
        <f t="shared" si="507"/>
        <v>1631</v>
      </c>
      <c r="SO6" s="69">
        <f t="shared" si="507"/>
        <v>1674</v>
      </c>
      <c r="SP6" s="69">
        <f t="shared" si="507"/>
        <v>2095</v>
      </c>
      <c r="SQ6" s="69">
        <f t="shared" si="507"/>
        <v>1238</v>
      </c>
      <c r="SR6" s="69">
        <f t="shared" ref="SR6:SX6" si="508">SUM(SR19+SR22)</f>
        <v>0</v>
      </c>
      <c r="SS6" s="69">
        <f t="shared" si="508"/>
        <v>1748</v>
      </c>
      <c r="ST6" s="69">
        <f t="shared" si="508"/>
        <v>1812</v>
      </c>
      <c r="SU6" s="69">
        <f t="shared" si="508"/>
        <v>1636</v>
      </c>
      <c r="SV6" s="69">
        <f t="shared" si="508"/>
        <v>1650</v>
      </c>
      <c r="SW6" s="69">
        <f t="shared" si="508"/>
        <v>2373</v>
      </c>
      <c r="SX6" s="69">
        <f t="shared" si="508"/>
        <v>1840</v>
      </c>
      <c r="SY6" s="69">
        <f t="shared" ref="SY6:TX6" si="509">SUM(SY19+SY22)</f>
        <v>0</v>
      </c>
      <c r="SZ6" s="69">
        <f t="shared" si="509"/>
        <v>1323</v>
      </c>
      <c r="TA6" s="69">
        <f t="shared" si="509"/>
        <v>1758</v>
      </c>
      <c r="TB6" s="69">
        <f t="shared" si="509"/>
        <v>1251</v>
      </c>
      <c r="TC6" s="69">
        <f t="shared" si="509"/>
        <v>1164</v>
      </c>
      <c r="TD6" s="69">
        <f t="shared" si="509"/>
        <v>891</v>
      </c>
      <c r="TE6" s="69">
        <f t="shared" si="509"/>
        <v>536</v>
      </c>
      <c r="TF6" s="69">
        <f t="shared" si="509"/>
        <v>0</v>
      </c>
      <c r="TG6" s="69">
        <f t="shared" si="509"/>
        <v>1044</v>
      </c>
      <c r="TH6" s="69">
        <f t="shared" si="509"/>
        <v>1078</v>
      </c>
      <c r="TI6" s="69">
        <f t="shared" si="509"/>
        <v>1226</v>
      </c>
      <c r="TJ6" s="69">
        <f t="shared" si="509"/>
        <v>1019</v>
      </c>
      <c r="TK6" s="69">
        <f t="shared" si="509"/>
        <v>1599</v>
      </c>
      <c r="TL6" s="69">
        <f t="shared" si="509"/>
        <v>824</v>
      </c>
      <c r="TM6" s="69">
        <f t="shared" si="509"/>
        <v>0</v>
      </c>
      <c r="TN6" s="69">
        <f t="shared" si="509"/>
        <v>0</v>
      </c>
      <c r="TO6" s="69">
        <f t="shared" si="509"/>
        <v>2071</v>
      </c>
      <c r="TP6" s="69">
        <f t="shared" si="509"/>
        <v>1789</v>
      </c>
      <c r="TQ6" s="69">
        <f t="shared" si="509"/>
        <v>1776</v>
      </c>
      <c r="TR6" s="69">
        <f t="shared" si="509"/>
        <v>1550</v>
      </c>
      <c r="TS6" s="69">
        <f t="shared" si="509"/>
        <v>731</v>
      </c>
      <c r="TT6" s="69">
        <f t="shared" si="509"/>
        <v>0</v>
      </c>
      <c r="TU6" s="69">
        <f t="shared" si="509"/>
        <v>0</v>
      </c>
      <c r="TV6" s="69">
        <f t="shared" si="509"/>
        <v>0</v>
      </c>
      <c r="TW6" s="69">
        <f t="shared" si="509"/>
        <v>541</v>
      </c>
      <c r="TX6" s="69">
        <f t="shared" si="509"/>
        <v>1654</v>
      </c>
      <c r="TY6" s="69">
        <f>SUM(TY19+TY22)</f>
        <v>1384</v>
      </c>
      <c r="TZ6" s="69">
        <f>SUM(TZ19+TZ22)</f>
        <v>1432</v>
      </c>
      <c r="UA6" s="69">
        <f t="shared" ref="UA6:VP6" si="510">SUM(UA19+UA22)</f>
        <v>0</v>
      </c>
      <c r="UB6" s="69">
        <f t="shared" si="510"/>
        <v>1356</v>
      </c>
      <c r="UC6" s="69">
        <f t="shared" si="510"/>
        <v>1569</v>
      </c>
      <c r="UD6" s="69">
        <f t="shared" si="510"/>
        <v>1319</v>
      </c>
      <c r="UE6" s="69">
        <f t="shared" si="510"/>
        <v>2360</v>
      </c>
      <c r="UF6" s="69">
        <f t="shared" si="510"/>
        <v>1786</v>
      </c>
      <c r="UG6" s="69">
        <f t="shared" si="510"/>
        <v>1575</v>
      </c>
      <c r="UH6" s="69">
        <f t="shared" si="510"/>
        <v>0</v>
      </c>
      <c r="UI6" s="69">
        <f t="shared" si="510"/>
        <v>1851</v>
      </c>
      <c r="UJ6" s="69">
        <f t="shared" si="510"/>
        <v>1889</v>
      </c>
      <c r="UK6" s="69">
        <f t="shared" si="510"/>
        <v>997</v>
      </c>
      <c r="UL6" s="69">
        <f t="shared" si="510"/>
        <v>0</v>
      </c>
      <c r="UM6" s="69">
        <f t="shared" si="510"/>
        <v>1413</v>
      </c>
      <c r="UN6" s="69">
        <f t="shared" si="510"/>
        <v>716</v>
      </c>
      <c r="UO6" s="69">
        <f t="shared" si="510"/>
        <v>0</v>
      </c>
      <c r="UP6" s="69">
        <f t="shared" si="510"/>
        <v>0</v>
      </c>
      <c r="UQ6" s="69">
        <f t="shared" si="510"/>
        <v>1790</v>
      </c>
      <c r="UR6" s="69">
        <f t="shared" si="510"/>
        <v>1849</v>
      </c>
      <c r="US6" s="69">
        <f t="shared" si="510"/>
        <v>1979</v>
      </c>
      <c r="UT6" s="69">
        <f t="shared" si="510"/>
        <v>1038</v>
      </c>
      <c r="UU6" s="69">
        <f t="shared" si="510"/>
        <v>1780</v>
      </c>
      <c r="UV6" s="69">
        <f t="shared" si="510"/>
        <v>0</v>
      </c>
      <c r="UW6" s="69">
        <f t="shared" si="510"/>
        <v>0</v>
      </c>
      <c r="UX6" s="69">
        <f t="shared" si="510"/>
        <v>2006</v>
      </c>
      <c r="UY6" s="69">
        <f t="shared" si="510"/>
        <v>1316</v>
      </c>
      <c r="UZ6" s="69">
        <f t="shared" si="510"/>
        <v>1606</v>
      </c>
      <c r="VA6" s="69">
        <f t="shared" si="510"/>
        <v>2057</v>
      </c>
      <c r="VB6" s="69">
        <f t="shared" si="510"/>
        <v>1460</v>
      </c>
      <c r="VC6" s="69">
        <f t="shared" si="510"/>
        <v>0</v>
      </c>
      <c r="VD6" s="69">
        <f t="shared" si="510"/>
        <v>1829</v>
      </c>
      <c r="VE6" s="69">
        <f t="shared" si="510"/>
        <v>1136</v>
      </c>
      <c r="VF6" s="69">
        <f t="shared" si="510"/>
        <v>1536</v>
      </c>
      <c r="VG6" s="69">
        <f t="shared" si="510"/>
        <v>2023</v>
      </c>
      <c r="VH6" s="69">
        <f t="shared" si="510"/>
        <v>2475</v>
      </c>
      <c r="VI6" s="69">
        <f t="shared" si="510"/>
        <v>1287</v>
      </c>
      <c r="VJ6" s="69">
        <f t="shared" si="510"/>
        <v>301</v>
      </c>
      <c r="VK6" s="69">
        <f t="shared" si="510"/>
        <v>2482</v>
      </c>
      <c r="VL6" s="69">
        <f t="shared" si="510"/>
        <v>1061</v>
      </c>
      <c r="VM6" s="69">
        <f t="shared" si="510"/>
        <v>2009</v>
      </c>
      <c r="VN6" s="69">
        <f t="shared" si="510"/>
        <v>1856</v>
      </c>
      <c r="VO6" s="69">
        <f t="shared" si="510"/>
        <v>1927</v>
      </c>
      <c r="VP6" s="69">
        <f t="shared" si="510"/>
        <v>594</v>
      </c>
      <c r="VQ6" s="69">
        <f t="shared" ref="VQ6:WC6" si="511">SUM(VQ19+VQ22)</f>
        <v>0</v>
      </c>
      <c r="VR6" s="69">
        <f t="shared" si="511"/>
        <v>991</v>
      </c>
      <c r="VS6" s="69">
        <f t="shared" si="511"/>
        <v>0</v>
      </c>
      <c r="VT6" s="69">
        <f t="shared" si="511"/>
        <v>934</v>
      </c>
      <c r="VU6" s="69">
        <f t="shared" si="511"/>
        <v>2132</v>
      </c>
      <c r="VV6" s="69">
        <f t="shared" si="511"/>
        <v>1406</v>
      </c>
      <c r="VW6" s="69">
        <f t="shared" si="511"/>
        <v>1442</v>
      </c>
      <c r="VX6" s="69">
        <f t="shared" si="511"/>
        <v>0</v>
      </c>
      <c r="VY6" s="69">
        <f t="shared" si="511"/>
        <v>1983</v>
      </c>
      <c r="VZ6" s="69">
        <f t="shared" si="511"/>
        <v>1945</v>
      </c>
      <c r="WA6" s="69">
        <f t="shared" si="511"/>
        <v>1688</v>
      </c>
      <c r="WB6" s="69">
        <f t="shared" si="511"/>
        <v>2200</v>
      </c>
      <c r="WC6" s="69">
        <f t="shared" si="511"/>
        <v>1552</v>
      </c>
      <c r="WD6" s="69">
        <f t="shared" ref="WD6:WK6" si="512">SUM(WD19+WD22)</f>
        <v>934</v>
      </c>
      <c r="WE6" s="69">
        <f t="shared" si="512"/>
        <v>0</v>
      </c>
      <c r="WF6" s="69">
        <f t="shared" si="512"/>
        <v>1874</v>
      </c>
      <c r="WG6" s="69">
        <f t="shared" si="512"/>
        <v>880</v>
      </c>
      <c r="WH6" s="69">
        <f t="shared" si="512"/>
        <v>1644</v>
      </c>
      <c r="WI6" s="69">
        <f t="shared" si="512"/>
        <v>1321</v>
      </c>
      <c r="WJ6" s="69">
        <f t="shared" si="512"/>
        <v>1476</v>
      </c>
      <c r="WK6" s="69">
        <f t="shared" si="512"/>
        <v>1159</v>
      </c>
      <c r="WL6" s="69">
        <f t="shared" ref="WL6:WT6" si="513">SUM(WL19+WL22)</f>
        <v>0</v>
      </c>
      <c r="WM6" s="69">
        <f t="shared" si="513"/>
        <v>1501</v>
      </c>
      <c r="WN6" s="69">
        <f t="shared" si="513"/>
        <v>1180</v>
      </c>
      <c r="WO6" s="69">
        <f t="shared" si="513"/>
        <v>1105</v>
      </c>
      <c r="WP6" s="69">
        <f t="shared" si="513"/>
        <v>1995</v>
      </c>
      <c r="WQ6" s="69">
        <f t="shared" si="513"/>
        <v>783</v>
      </c>
      <c r="WR6" s="69">
        <f t="shared" si="513"/>
        <v>834</v>
      </c>
      <c r="WS6" s="69">
        <f t="shared" si="513"/>
        <v>0</v>
      </c>
      <c r="WT6" s="69">
        <f t="shared" si="513"/>
        <v>487</v>
      </c>
      <c r="WU6" s="69">
        <f t="shared" ref="WU6:XF6" si="514">SUM(WU19+WU22)</f>
        <v>699</v>
      </c>
      <c r="WV6" s="69">
        <f t="shared" si="514"/>
        <v>1007</v>
      </c>
      <c r="WW6" s="69">
        <f t="shared" si="514"/>
        <v>1491</v>
      </c>
      <c r="WX6" s="69">
        <f t="shared" si="514"/>
        <v>1937</v>
      </c>
      <c r="WY6" s="69">
        <f t="shared" si="514"/>
        <v>1473</v>
      </c>
      <c r="WZ6" s="69">
        <f t="shared" si="514"/>
        <v>0</v>
      </c>
      <c r="XA6" s="69">
        <f t="shared" si="514"/>
        <v>2389</v>
      </c>
      <c r="XB6" s="69">
        <f t="shared" si="514"/>
        <v>1738</v>
      </c>
      <c r="XC6" s="69">
        <f t="shared" si="514"/>
        <v>2619</v>
      </c>
      <c r="XD6" s="69">
        <f t="shared" si="514"/>
        <v>1571</v>
      </c>
      <c r="XE6" s="69">
        <f t="shared" si="514"/>
        <v>1998</v>
      </c>
      <c r="XF6" s="69">
        <f t="shared" si="514"/>
        <v>1419</v>
      </c>
      <c r="XG6" s="69">
        <f t="shared" ref="XG6:XY6" si="515">SUM(XG19+XG22)</f>
        <v>0</v>
      </c>
      <c r="XH6" s="69">
        <f t="shared" si="515"/>
        <v>2089</v>
      </c>
      <c r="XI6" s="69">
        <f t="shared" si="515"/>
        <v>1994</v>
      </c>
      <c r="XJ6" s="69">
        <f t="shared" si="515"/>
        <v>2430</v>
      </c>
      <c r="XK6" s="69">
        <f t="shared" si="515"/>
        <v>1772</v>
      </c>
      <c r="XL6" s="69">
        <f t="shared" si="515"/>
        <v>1595</v>
      </c>
      <c r="XM6" s="69">
        <f t="shared" si="515"/>
        <v>857</v>
      </c>
      <c r="XN6" s="69">
        <f t="shared" si="515"/>
        <v>0</v>
      </c>
      <c r="XO6" s="69">
        <f t="shared" si="515"/>
        <v>1659</v>
      </c>
      <c r="XP6" s="69">
        <f t="shared" si="515"/>
        <v>1426</v>
      </c>
      <c r="XQ6" s="69">
        <f t="shared" si="515"/>
        <v>1598</v>
      </c>
      <c r="XR6" s="69">
        <f t="shared" si="515"/>
        <v>1647</v>
      </c>
      <c r="XS6" s="69">
        <f t="shared" si="515"/>
        <v>2045</v>
      </c>
      <c r="XT6" s="69">
        <f t="shared" si="515"/>
        <v>946</v>
      </c>
      <c r="XU6" s="69">
        <f t="shared" si="515"/>
        <v>0</v>
      </c>
      <c r="XV6" s="69">
        <f t="shared" si="515"/>
        <v>0</v>
      </c>
      <c r="XW6" s="69">
        <f t="shared" si="515"/>
        <v>1055</v>
      </c>
      <c r="XX6" s="69">
        <f t="shared" si="515"/>
        <v>1046</v>
      </c>
      <c r="XY6" s="69">
        <f t="shared" si="515"/>
        <v>613</v>
      </c>
      <c r="XZ6" s="69">
        <f t="shared" ref="XZ6:YR6" si="516">SUM(XZ19+XZ22)</f>
        <v>1180</v>
      </c>
      <c r="YA6" s="69">
        <f t="shared" si="516"/>
        <v>529</v>
      </c>
      <c r="YB6" s="69">
        <f t="shared" si="516"/>
        <v>0</v>
      </c>
      <c r="YC6" s="69">
        <f t="shared" si="516"/>
        <v>1926</v>
      </c>
      <c r="YD6" s="69">
        <f t="shared" si="516"/>
        <v>1648</v>
      </c>
      <c r="YE6" s="69">
        <f t="shared" si="516"/>
        <v>2446</v>
      </c>
      <c r="YF6" s="69">
        <f t="shared" si="516"/>
        <v>1506</v>
      </c>
      <c r="YG6" s="69">
        <f t="shared" si="516"/>
        <v>1904</v>
      </c>
      <c r="YH6" s="69">
        <f t="shared" si="516"/>
        <v>1893</v>
      </c>
      <c r="YI6" s="69">
        <f t="shared" si="516"/>
        <v>0</v>
      </c>
      <c r="YJ6" s="69">
        <f t="shared" si="516"/>
        <v>1315</v>
      </c>
      <c r="YK6" s="69">
        <f t="shared" si="516"/>
        <v>0</v>
      </c>
      <c r="YL6" s="69">
        <f t="shared" si="516"/>
        <v>1717</v>
      </c>
      <c r="YM6" s="69">
        <f t="shared" si="516"/>
        <v>2042</v>
      </c>
      <c r="YN6" s="69">
        <f t="shared" si="516"/>
        <v>1929</v>
      </c>
      <c r="YO6" s="69">
        <f t="shared" si="516"/>
        <v>1585</v>
      </c>
      <c r="YP6" s="69">
        <f t="shared" si="516"/>
        <v>0</v>
      </c>
      <c r="YQ6" s="69">
        <f t="shared" si="516"/>
        <v>1431</v>
      </c>
      <c r="YR6" s="69">
        <f t="shared" si="516"/>
        <v>1448</v>
      </c>
      <c r="YS6" s="69">
        <f t="shared" ref="YS6:ZW6" si="517">SUM(YS19+YS22)</f>
        <v>2020</v>
      </c>
      <c r="YT6" s="69">
        <f t="shared" si="517"/>
        <v>2274</v>
      </c>
      <c r="YU6" s="69">
        <f t="shared" si="517"/>
        <v>1756</v>
      </c>
      <c r="YV6" s="69">
        <f t="shared" si="517"/>
        <v>887</v>
      </c>
      <c r="YW6" s="69">
        <f t="shared" si="517"/>
        <v>0</v>
      </c>
      <c r="YX6" s="69">
        <f t="shared" si="517"/>
        <v>1426</v>
      </c>
      <c r="YY6" s="69">
        <f t="shared" si="517"/>
        <v>1250</v>
      </c>
      <c r="YZ6" s="69">
        <f t="shared" si="517"/>
        <v>1078</v>
      </c>
      <c r="ZA6" s="69">
        <f t="shared" si="517"/>
        <v>1460</v>
      </c>
      <c r="ZB6" s="69">
        <f t="shared" si="517"/>
        <v>766</v>
      </c>
      <c r="ZC6" s="69">
        <f t="shared" si="517"/>
        <v>593</v>
      </c>
      <c r="ZD6" s="69">
        <f t="shared" si="517"/>
        <v>0</v>
      </c>
      <c r="ZE6" s="69">
        <f t="shared" si="517"/>
        <v>980</v>
      </c>
      <c r="ZF6" s="69">
        <f t="shared" si="517"/>
        <v>1874</v>
      </c>
      <c r="ZG6" s="69">
        <f t="shared" si="517"/>
        <v>1640</v>
      </c>
      <c r="ZH6" s="69">
        <f t="shared" si="517"/>
        <v>1521</v>
      </c>
      <c r="ZI6" s="69">
        <f t="shared" si="517"/>
        <v>1468</v>
      </c>
      <c r="ZJ6" s="69">
        <f t="shared" si="517"/>
        <v>958</v>
      </c>
      <c r="ZK6" s="69">
        <f t="shared" si="517"/>
        <v>0</v>
      </c>
      <c r="ZL6" s="69">
        <f t="shared" si="517"/>
        <v>2097</v>
      </c>
      <c r="ZM6" s="69">
        <f t="shared" si="517"/>
        <v>1557</v>
      </c>
      <c r="ZN6" s="69">
        <f t="shared" si="517"/>
        <v>1386</v>
      </c>
      <c r="ZO6" s="69">
        <f t="shared" si="517"/>
        <v>252</v>
      </c>
      <c r="ZP6" s="69">
        <f t="shared" si="517"/>
        <v>1969</v>
      </c>
      <c r="ZQ6" s="69">
        <f t="shared" si="517"/>
        <v>946</v>
      </c>
      <c r="ZR6" s="69">
        <f t="shared" si="517"/>
        <v>0</v>
      </c>
      <c r="ZS6" s="69">
        <f t="shared" si="517"/>
        <v>2360</v>
      </c>
      <c r="ZT6" s="69">
        <f t="shared" si="517"/>
        <v>1292</v>
      </c>
      <c r="ZU6" s="69">
        <f t="shared" si="517"/>
        <v>1974</v>
      </c>
      <c r="ZV6" s="69">
        <f t="shared" si="517"/>
        <v>1326</v>
      </c>
      <c r="ZW6" s="69">
        <f t="shared" si="517"/>
        <v>475</v>
      </c>
      <c r="ZX6" s="69">
        <f t="shared" ref="ZX6:AAY6" si="518">SUM(ZX19+ZX22)</f>
        <v>921</v>
      </c>
      <c r="ZY6" s="69">
        <f t="shared" si="518"/>
        <v>0</v>
      </c>
      <c r="ZZ6" s="69">
        <f t="shared" si="518"/>
        <v>1496</v>
      </c>
      <c r="AAA6" s="69">
        <f t="shared" si="518"/>
        <v>1446</v>
      </c>
      <c r="AAB6" s="69">
        <f t="shared" si="518"/>
        <v>1289</v>
      </c>
      <c r="AAC6" s="69">
        <f t="shared" si="518"/>
        <v>192</v>
      </c>
      <c r="AAD6" s="69">
        <f t="shared" si="518"/>
        <v>1418</v>
      </c>
      <c r="AAE6" s="69">
        <f t="shared" si="518"/>
        <v>1844</v>
      </c>
      <c r="AAF6" s="69">
        <f t="shared" si="518"/>
        <v>0</v>
      </c>
      <c r="AAG6" s="69">
        <f t="shared" si="518"/>
        <v>1537</v>
      </c>
      <c r="AAH6" s="69">
        <f t="shared" si="518"/>
        <v>1123</v>
      </c>
      <c r="AAI6" s="69">
        <f t="shared" si="518"/>
        <v>1575</v>
      </c>
      <c r="AAJ6" s="69">
        <f t="shared" si="518"/>
        <v>140</v>
      </c>
      <c r="AAK6" s="69">
        <f t="shared" si="518"/>
        <v>1589</v>
      </c>
      <c r="AAL6" s="69">
        <f t="shared" si="518"/>
        <v>1716</v>
      </c>
      <c r="AAM6" s="69">
        <f t="shared" si="518"/>
        <v>0</v>
      </c>
      <c r="AAN6" s="69">
        <f t="shared" si="518"/>
        <v>1442</v>
      </c>
      <c r="AAO6" s="69">
        <f t="shared" si="518"/>
        <v>1576</v>
      </c>
      <c r="AAP6" s="69">
        <f t="shared" si="518"/>
        <v>2003</v>
      </c>
      <c r="AAQ6" s="69">
        <f t="shared" si="518"/>
        <v>1068</v>
      </c>
      <c r="AAR6" s="69">
        <f t="shared" si="518"/>
        <v>1665</v>
      </c>
      <c r="AAS6" s="69">
        <f t="shared" si="518"/>
        <v>522</v>
      </c>
      <c r="AAT6" s="69">
        <f t="shared" si="518"/>
        <v>0</v>
      </c>
      <c r="AAU6" s="69">
        <f t="shared" si="518"/>
        <v>0</v>
      </c>
      <c r="AAV6" s="69">
        <f t="shared" si="518"/>
        <v>2800</v>
      </c>
      <c r="AAW6" s="69">
        <f t="shared" si="518"/>
        <v>1800</v>
      </c>
      <c r="AAX6" s="69">
        <f t="shared" si="518"/>
        <v>2379</v>
      </c>
      <c r="AAY6" s="69">
        <f t="shared" si="518"/>
        <v>1455</v>
      </c>
      <c r="AAZ6" s="69">
        <f t="shared" ref="AAZ6:ABF6" si="519">SUM(AAZ19+AAZ22)</f>
        <v>453</v>
      </c>
      <c r="ABA6" s="69">
        <f t="shared" si="519"/>
        <v>0</v>
      </c>
      <c r="ABB6" s="69">
        <f t="shared" si="519"/>
        <v>2251</v>
      </c>
      <c r="ABC6" s="69">
        <f t="shared" si="519"/>
        <v>372</v>
      </c>
      <c r="ABD6" s="69">
        <f t="shared" si="519"/>
        <v>1610</v>
      </c>
      <c r="ABE6" s="69">
        <f t="shared" si="519"/>
        <v>0</v>
      </c>
      <c r="ABF6" s="69">
        <f t="shared" si="519"/>
        <v>1140</v>
      </c>
      <c r="ABG6" s="69">
        <f t="shared" ref="ABG6:ACB6" si="520">SUM(ABG19+ABG22)</f>
        <v>1332</v>
      </c>
      <c r="ABH6" s="69">
        <f t="shared" si="520"/>
        <v>0</v>
      </c>
      <c r="ABI6" s="69">
        <f t="shared" si="520"/>
        <v>974</v>
      </c>
      <c r="ABJ6" s="69">
        <f t="shared" si="520"/>
        <v>197</v>
      </c>
      <c r="ABK6" s="69">
        <f t="shared" si="520"/>
        <v>1159</v>
      </c>
      <c r="ABL6" s="69">
        <f t="shared" si="520"/>
        <v>825</v>
      </c>
      <c r="ABM6" s="69">
        <f t="shared" si="520"/>
        <v>964</v>
      </c>
      <c r="ABN6" s="69">
        <f t="shared" si="520"/>
        <v>1232</v>
      </c>
      <c r="ABO6" s="69">
        <f t="shared" si="520"/>
        <v>0</v>
      </c>
      <c r="ABP6" s="69">
        <f t="shared" si="520"/>
        <v>1048</v>
      </c>
      <c r="ABQ6" s="69">
        <f t="shared" si="520"/>
        <v>434</v>
      </c>
      <c r="ABR6" s="69">
        <f t="shared" si="520"/>
        <v>1030</v>
      </c>
      <c r="ABS6" s="69">
        <f t="shared" si="520"/>
        <v>1358</v>
      </c>
      <c r="ABT6" s="69">
        <f t="shared" si="520"/>
        <v>1746</v>
      </c>
      <c r="ABU6" s="69">
        <f t="shared" si="520"/>
        <v>1450</v>
      </c>
      <c r="ABV6" s="69">
        <f t="shared" si="520"/>
        <v>0</v>
      </c>
      <c r="ABW6" s="69">
        <f t="shared" si="520"/>
        <v>3269</v>
      </c>
      <c r="ABX6" s="69">
        <f t="shared" si="520"/>
        <v>519</v>
      </c>
      <c r="ABY6" s="69">
        <f t="shared" si="520"/>
        <v>1735</v>
      </c>
      <c r="ABZ6" s="69">
        <f t="shared" si="520"/>
        <v>2506</v>
      </c>
      <c r="ACA6" s="69">
        <f t="shared" si="520"/>
        <v>1706</v>
      </c>
      <c r="ACB6" s="69">
        <f t="shared" si="520"/>
        <v>1426</v>
      </c>
      <c r="ACC6" s="69">
        <f t="shared" ref="ACC6:ACQ6" si="521">SUM(ACC19+ACC22)</f>
        <v>0</v>
      </c>
      <c r="ACD6" s="69">
        <f t="shared" si="521"/>
        <v>1460</v>
      </c>
      <c r="ACE6" s="69">
        <f t="shared" si="521"/>
        <v>1483</v>
      </c>
      <c r="ACF6" s="69">
        <f t="shared" si="521"/>
        <v>1254</v>
      </c>
      <c r="ACG6" s="69">
        <f t="shared" si="521"/>
        <v>1158</v>
      </c>
      <c r="ACH6" s="69">
        <f t="shared" si="521"/>
        <v>1298</v>
      </c>
      <c r="ACI6" s="69">
        <f t="shared" si="521"/>
        <v>788</v>
      </c>
      <c r="ACJ6" s="69">
        <f t="shared" si="521"/>
        <v>0</v>
      </c>
      <c r="ACK6" s="69">
        <f t="shared" si="521"/>
        <v>1551</v>
      </c>
      <c r="ACL6" s="69">
        <f t="shared" si="521"/>
        <v>1532</v>
      </c>
      <c r="ACM6" s="69">
        <f t="shared" si="521"/>
        <v>851</v>
      </c>
      <c r="ACN6" s="69">
        <f t="shared" si="521"/>
        <v>804</v>
      </c>
      <c r="ACO6" s="69">
        <f t="shared" si="521"/>
        <v>830</v>
      </c>
      <c r="ACP6" s="69">
        <f t="shared" si="521"/>
        <v>807</v>
      </c>
      <c r="ACQ6" s="69">
        <f t="shared" si="521"/>
        <v>0</v>
      </c>
      <c r="ACR6" s="69">
        <f t="shared" ref="ACR6:ADB6" si="522">SUM(ACR19+ACR22)</f>
        <v>818</v>
      </c>
      <c r="ACS6" s="69">
        <f t="shared" si="522"/>
        <v>189</v>
      </c>
      <c r="ACT6" s="69">
        <f t="shared" si="522"/>
        <v>995</v>
      </c>
      <c r="ACU6" s="69">
        <f t="shared" si="522"/>
        <v>1709</v>
      </c>
      <c r="ACV6" s="69">
        <f t="shared" si="522"/>
        <v>0</v>
      </c>
      <c r="ACW6" s="69">
        <f t="shared" si="522"/>
        <v>1644</v>
      </c>
      <c r="ACX6" s="69">
        <f t="shared" si="522"/>
        <v>0</v>
      </c>
      <c r="ACY6" s="69">
        <f t="shared" si="522"/>
        <v>617</v>
      </c>
      <c r="ACZ6" s="69">
        <f t="shared" si="522"/>
        <v>1573</v>
      </c>
      <c r="ADA6" s="69">
        <f t="shared" si="522"/>
        <v>1377</v>
      </c>
      <c r="ADB6" s="69">
        <f t="shared" si="522"/>
        <v>1219</v>
      </c>
      <c r="ADC6" s="69">
        <f t="shared" ref="ADC6:ADR6" si="523">SUM(ADC19+ADC22)</f>
        <v>186</v>
      </c>
      <c r="ADD6" s="69">
        <f t="shared" si="523"/>
        <v>1249</v>
      </c>
      <c r="ADE6" s="69">
        <f t="shared" si="523"/>
        <v>0</v>
      </c>
      <c r="ADF6" s="69">
        <f t="shared" si="523"/>
        <v>224</v>
      </c>
      <c r="ADG6" s="69">
        <f t="shared" si="523"/>
        <v>1147</v>
      </c>
      <c r="ADH6" s="69">
        <f t="shared" si="523"/>
        <v>958</v>
      </c>
      <c r="ADI6" s="69">
        <f t="shared" si="523"/>
        <v>76</v>
      </c>
      <c r="ADJ6" s="69">
        <f t="shared" si="523"/>
        <v>1073</v>
      </c>
      <c r="ADK6" s="69">
        <f t="shared" si="523"/>
        <v>728</v>
      </c>
      <c r="ADL6" s="69">
        <f t="shared" si="523"/>
        <v>0</v>
      </c>
      <c r="ADM6" s="69">
        <f t="shared" si="523"/>
        <v>837</v>
      </c>
      <c r="ADN6" s="69">
        <f t="shared" si="523"/>
        <v>889</v>
      </c>
      <c r="ADO6" s="69">
        <f t="shared" si="523"/>
        <v>134</v>
      </c>
      <c r="ADP6" s="69">
        <f t="shared" si="523"/>
        <v>868</v>
      </c>
      <c r="ADQ6" s="69">
        <f t="shared" si="523"/>
        <v>694</v>
      </c>
      <c r="ADR6" s="69">
        <f t="shared" si="523"/>
        <v>648</v>
      </c>
      <c r="ADS6" s="69">
        <f t="shared" ref="ADS6:AEF6" si="524">SUM(ADS19+ADS22)</f>
        <v>0</v>
      </c>
      <c r="ADT6" s="69">
        <f t="shared" si="524"/>
        <v>348</v>
      </c>
      <c r="ADU6" s="69">
        <f t="shared" si="524"/>
        <v>63</v>
      </c>
      <c r="ADV6" s="69">
        <f t="shared" si="524"/>
        <v>0</v>
      </c>
      <c r="ADW6" s="69">
        <f t="shared" si="524"/>
        <v>0</v>
      </c>
      <c r="ADX6" s="69">
        <f t="shared" si="524"/>
        <v>0</v>
      </c>
      <c r="ADY6" s="69">
        <f t="shared" si="524"/>
        <v>10</v>
      </c>
      <c r="ADZ6" s="69">
        <f t="shared" si="524"/>
        <v>0</v>
      </c>
      <c r="AEA6" s="69">
        <f t="shared" si="524"/>
        <v>422</v>
      </c>
      <c r="AEB6" s="69">
        <f t="shared" si="524"/>
        <v>436</v>
      </c>
      <c r="AEC6" s="69">
        <f t="shared" si="524"/>
        <v>323</v>
      </c>
      <c r="AED6" s="69">
        <f t="shared" si="524"/>
        <v>1900</v>
      </c>
      <c r="AEE6" s="69">
        <f t="shared" si="524"/>
        <v>1985</v>
      </c>
      <c r="AEF6" s="69">
        <f t="shared" si="524"/>
        <v>997</v>
      </c>
      <c r="AEG6" s="69">
        <f t="shared" ref="AEG6:AGR6" si="525">SUM(AEG19+AEG22)</f>
        <v>0</v>
      </c>
      <c r="AEH6" s="69">
        <f t="shared" si="525"/>
        <v>2234</v>
      </c>
      <c r="AEI6" s="69">
        <f t="shared" si="525"/>
        <v>951</v>
      </c>
      <c r="AEJ6" s="69">
        <f t="shared" si="525"/>
        <v>1416</v>
      </c>
      <c r="AEK6" s="69">
        <f t="shared" si="525"/>
        <v>3010</v>
      </c>
      <c r="AEL6" s="69">
        <f t="shared" si="525"/>
        <v>269</v>
      </c>
      <c r="AEM6" s="69">
        <f t="shared" si="525"/>
        <v>2748</v>
      </c>
      <c r="AEN6" s="69">
        <f t="shared" si="525"/>
        <v>0</v>
      </c>
      <c r="AEO6" s="69">
        <f t="shared" si="525"/>
        <v>2075</v>
      </c>
      <c r="AEP6" s="69">
        <f t="shared" si="525"/>
        <v>1753</v>
      </c>
      <c r="AEQ6" s="69">
        <f t="shared" si="525"/>
        <v>2068</v>
      </c>
      <c r="AER6" s="69">
        <f t="shared" si="525"/>
        <v>1887</v>
      </c>
      <c r="AES6" s="69">
        <f t="shared" si="525"/>
        <v>1940</v>
      </c>
      <c r="AET6" s="69">
        <f t="shared" si="525"/>
        <v>379</v>
      </c>
      <c r="AEU6" s="69">
        <f t="shared" si="525"/>
        <v>0</v>
      </c>
      <c r="AEV6" s="69">
        <f t="shared" si="525"/>
        <v>2487</v>
      </c>
      <c r="AEW6" s="69">
        <f t="shared" si="525"/>
        <v>1175</v>
      </c>
      <c r="AEX6" s="69">
        <f t="shared" si="525"/>
        <v>1879</v>
      </c>
      <c r="AEY6" s="69">
        <f t="shared" si="525"/>
        <v>1110</v>
      </c>
      <c r="AEZ6" s="69">
        <f t="shared" si="525"/>
        <v>1024</v>
      </c>
      <c r="AFA6" s="69">
        <f t="shared" si="525"/>
        <v>194</v>
      </c>
      <c r="AFB6" s="69">
        <f t="shared" si="525"/>
        <v>0</v>
      </c>
      <c r="AFC6" s="69">
        <f t="shared" si="525"/>
        <v>868</v>
      </c>
      <c r="AFD6" s="69">
        <f t="shared" si="525"/>
        <v>1099</v>
      </c>
      <c r="AFE6" s="69">
        <f t="shared" si="525"/>
        <v>1472</v>
      </c>
      <c r="AFF6" s="69">
        <f t="shared" si="525"/>
        <v>2552</v>
      </c>
      <c r="AFG6" s="69">
        <f t="shared" si="525"/>
        <v>957</v>
      </c>
      <c r="AFH6" s="69">
        <f t="shared" si="525"/>
        <v>1966</v>
      </c>
      <c r="AFI6" s="69">
        <f t="shared" si="525"/>
        <v>0</v>
      </c>
      <c r="AFJ6" s="69">
        <f t="shared" si="525"/>
        <v>2332</v>
      </c>
      <c r="AFK6" s="69">
        <f t="shared" si="525"/>
        <v>2699</v>
      </c>
      <c r="AFL6" s="69">
        <f t="shared" si="525"/>
        <v>2346</v>
      </c>
      <c r="AFM6" s="69">
        <f t="shared" si="525"/>
        <v>506</v>
      </c>
      <c r="AFN6" s="69">
        <f t="shared" si="525"/>
        <v>1944</v>
      </c>
      <c r="AFO6" s="69">
        <f t="shared" si="525"/>
        <v>1641</v>
      </c>
      <c r="AFP6" s="69">
        <f t="shared" si="525"/>
        <v>0</v>
      </c>
      <c r="AFQ6" s="69">
        <f t="shared" si="525"/>
        <v>1497</v>
      </c>
      <c r="AFR6" s="69">
        <f t="shared" si="525"/>
        <v>1695</v>
      </c>
      <c r="AFS6" s="69">
        <f t="shared" si="525"/>
        <v>142</v>
      </c>
      <c r="AFT6" s="69">
        <f t="shared" si="525"/>
        <v>1554</v>
      </c>
      <c r="AFU6" s="69">
        <f t="shared" si="525"/>
        <v>1769</v>
      </c>
      <c r="AFV6" s="69">
        <f t="shared" si="525"/>
        <v>1189</v>
      </c>
      <c r="AFW6" s="69">
        <f t="shared" si="525"/>
        <v>0</v>
      </c>
      <c r="AFX6" s="69">
        <f t="shared" si="525"/>
        <v>1615</v>
      </c>
      <c r="AFY6" s="69">
        <f t="shared" si="525"/>
        <v>316</v>
      </c>
      <c r="AFZ6" s="69">
        <f t="shared" si="525"/>
        <v>1274</v>
      </c>
      <c r="AGA6" s="69">
        <f t="shared" si="525"/>
        <v>1470</v>
      </c>
      <c r="AGB6" s="69">
        <f t="shared" si="525"/>
        <v>1510</v>
      </c>
      <c r="AGC6" s="69">
        <f>SUM(AGC19+AGC22)</f>
        <v>106</v>
      </c>
      <c r="AGD6" s="69">
        <f t="shared" si="525"/>
        <v>0</v>
      </c>
      <c r="AGE6" s="69">
        <f t="shared" si="525"/>
        <v>835</v>
      </c>
      <c r="AGF6" s="69">
        <f t="shared" si="525"/>
        <v>1027</v>
      </c>
      <c r="AGG6" s="69">
        <f t="shared" si="525"/>
        <v>1488</v>
      </c>
      <c r="AGH6" s="69">
        <f t="shared" si="525"/>
        <v>392</v>
      </c>
      <c r="AGI6" s="69">
        <f t="shared" si="525"/>
        <v>1999</v>
      </c>
      <c r="AGJ6" s="69">
        <f t="shared" si="525"/>
        <v>0</v>
      </c>
      <c r="AGK6" s="69">
        <f t="shared" si="525"/>
        <v>0</v>
      </c>
      <c r="AGL6" s="69">
        <f t="shared" si="525"/>
        <v>1704</v>
      </c>
      <c r="AGM6" s="69">
        <f t="shared" si="525"/>
        <v>1979</v>
      </c>
      <c r="AGN6" s="69">
        <f t="shared" si="525"/>
        <v>2343</v>
      </c>
      <c r="AGO6" s="69">
        <f t="shared" si="525"/>
        <v>311</v>
      </c>
      <c r="AGP6" s="69">
        <f t="shared" si="525"/>
        <v>1916</v>
      </c>
      <c r="AGQ6" s="69">
        <f t="shared" si="525"/>
        <v>1484</v>
      </c>
      <c r="AGR6" s="69">
        <f t="shared" si="525"/>
        <v>0</v>
      </c>
      <c r="AGS6" s="69">
        <f t="shared" ref="AGS6:AGV6" si="526">SUM(AGS19+AGS22)</f>
        <v>1744</v>
      </c>
      <c r="AGT6" s="69">
        <f t="shared" si="526"/>
        <v>268</v>
      </c>
      <c r="AGU6" s="69">
        <f t="shared" si="526"/>
        <v>1214</v>
      </c>
      <c r="AGV6" s="69">
        <f t="shared" si="526"/>
        <v>2147</v>
      </c>
      <c r="AGW6" s="69">
        <f>SUM(AGW19+AGW22)</f>
        <v>3084</v>
      </c>
      <c r="AGX6" s="69">
        <f>SUM(AGX19+AGX22)</f>
        <v>1318</v>
      </c>
      <c r="AGY6" s="69">
        <f t="shared" ref="AGY6:AHS6" si="527">SUM(AGY19+AGY22)</f>
        <v>0</v>
      </c>
      <c r="AGZ6" s="69">
        <f t="shared" si="527"/>
        <v>1021</v>
      </c>
      <c r="AHA6" s="69">
        <f t="shared" si="527"/>
        <v>1402</v>
      </c>
      <c r="AHB6" s="69">
        <f t="shared" si="527"/>
        <v>663</v>
      </c>
      <c r="AHC6" s="69">
        <f t="shared" si="527"/>
        <v>763</v>
      </c>
      <c r="AHD6" s="69">
        <f t="shared" si="527"/>
        <v>1197</v>
      </c>
      <c r="AHE6" s="69">
        <f t="shared" si="527"/>
        <v>41</v>
      </c>
      <c r="AHF6" s="69">
        <f t="shared" si="527"/>
        <v>0</v>
      </c>
      <c r="AHG6" s="69">
        <f t="shared" si="527"/>
        <v>1143</v>
      </c>
      <c r="AHH6" s="69">
        <f t="shared" si="527"/>
        <v>0</v>
      </c>
      <c r="AHI6" s="69">
        <f t="shared" si="527"/>
        <v>1944</v>
      </c>
      <c r="AHJ6" s="69">
        <f t="shared" si="527"/>
        <v>1282</v>
      </c>
      <c r="AHK6" s="69">
        <f t="shared" si="527"/>
        <v>474</v>
      </c>
      <c r="AHL6" s="69">
        <f t="shared" si="527"/>
        <v>1395</v>
      </c>
      <c r="AHM6" s="69">
        <f t="shared" si="527"/>
        <v>0</v>
      </c>
      <c r="AHN6" s="69">
        <f t="shared" si="527"/>
        <v>0</v>
      </c>
      <c r="AHO6" s="69">
        <f t="shared" si="527"/>
        <v>1446</v>
      </c>
      <c r="AHP6" s="69">
        <f t="shared" si="527"/>
        <v>2189</v>
      </c>
      <c r="AHQ6" s="69">
        <f t="shared" si="527"/>
        <v>1576</v>
      </c>
      <c r="AHR6" s="69">
        <f t="shared" si="527"/>
        <v>1789</v>
      </c>
      <c r="AHS6" s="69">
        <f t="shared" si="527"/>
        <v>953</v>
      </c>
      <c r="AHT6" s="69">
        <f t="shared" ref="AHT6:AHZ6" si="528">SUM(AHT19+AHT22)</f>
        <v>0</v>
      </c>
      <c r="AHU6" s="69">
        <f t="shared" si="528"/>
        <v>0</v>
      </c>
      <c r="AHV6" s="69">
        <f t="shared" si="528"/>
        <v>0</v>
      </c>
      <c r="AHW6" s="69">
        <f t="shared" si="528"/>
        <v>684</v>
      </c>
      <c r="AHX6" s="69">
        <f t="shared" si="528"/>
        <v>113</v>
      </c>
      <c r="AHY6" s="69">
        <f t="shared" si="528"/>
        <v>1392</v>
      </c>
      <c r="AHZ6" s="69">
        <f t="shared" si="528"/>
        <v>992</v>
      </c>
      <c r="AIA6" s="69">
        <f t="shared" ref="AIA6:AII6" si="529">SUM(AIA19+AIA22)</f>
        <v>0</v>
      </c>
      <c r="AIB6" s="69">
        <f t="shared" si="529"/>
        <v>850</v>
      </c>
      <c r="AIC6" s="69">
        <f t="shared" si="529"/>
        <v>1778</v>
      </c>
      <c r="AID6" s="69">
        <f t="shared" si="529"/>
        <v>1017</v>
      </c>
      <c r="AIE6" s="69">
        <f t="shared" si="529"/>
        <v>2048</v>
      </c>
      <c r="AIF6" s="69">
        <f t="shared" si="529"/>
        <v>3373</v>
      </c>
      <c r="AIG6" s="69">
        <f t="shared" si="529"/>
        <v>1473</v>
      </c>
      <c r="AIH6" s="69">
        <f t="shared" si="529"/>
        <v>0</v>
      </c>
      <c r="AII6" s="69">
        <f t="shared" si="529"/>
        <v>1383</v>
      </c>
      <c r="AIJ6" s="69">
        <f>SUM(AIJ19+AIJ22)</f>
        <v>1821</v>
      </c>
      <c r="AIK6" s="69">
        <f>SUM(AIK19+AIK22)</f>
        <v>1755</v>
      </c>
      <c r="AIL6" s="69">
        <f>SUM(AIL19+AIL22)</f>
        <v>1470</v>
      </c>
      <c r="AIM6" s="69">
        <f t="shared" ref="AIM6:AIU6" si="530">SUM(AIM19+AIM22)</f>
        <v>0</v>
      </c>
      <c r="AIN6" s="69">
        <f t="shared" si="530"/>
        <v>761</v>
      </c>
      <c r="AIO6" s="69">
        <f t="shared" si="530"/>
        <v>0</v>
      </c>
      <c r="AIP6" s="69">
        <f t="shared" si="530"/>
        <v>0</v>
      </c>
      <c r="AIQ6" s="69">
        <f t="shared" si="530"/>
        <v>1702</v>
      </c>
      <c r="AIR6" s="69">
        <f t="shared" si="530"/>
        <v>865</v>
      </c>
      <c r="AIS6" s="69">
        <f t="shared" si="530"/>
        <v>1903</v>
      </c>
      <c r="AIT6" s="69">
        <f t="shared" si="530"/>
        <v>2004</v>
      </c>
      <c r="AIU6" s="69">
        <f t="shared" si="530"/>
        <v>1163</v>
      </c>
      <c r="AIV6" s="69">
        <f t="shared" ref="AIV6:AJB6" si="531">SUM(AIV19+AIV22)</f>
        <v>0</v>
      </c>
      <c r="AIW6" s="69">
        <f t="shared" si="531"/>
        <v>1992</v>
      </c>
      <c r="AIX6" s="69">
        <f t="shared" si="531"/>
        <v>2265</v>
      </c>
      <c r="AIY6" s="69">
        <f t="shared" si="531"/>
        <v>2123</v>
      </c>
      <c r="AIZ6" s="69">
        <f t="shared" si="531"/>
        <v>1507</v>
      </c>
      <c r="AJA6" s="69">
        <f t="shared" si="531"/>
        <v>2098</v>
      </c>
      <c r="AJB6" s="69">
        <f t="shared" si="531"/>
        <v>1141</v>
      </c>
      <c r="AJC6" s="69">
        <f t="shared" ref="AJC6:AKA6" si="532">SUM(AJC19+AJC22)</f>
        <v>0</v>
      </c>
      <c r="AJD6" s="69">
        <f t="shared" si="532"/>
        <v>1713</v>
      </c>
      <c r="AJE6" s="69">
        <f t="shared" si="532"/>
        <v>1407</v>
      </c>
      <c r="AJF6" s="69">
        <f t="shared" si="532"/>
        <v>1681</v>
      </c>
      <c r="AJG6" s="69">
        <f t="shared" si="532"/>
        <v>2152</v>
      </c>
      <c r="AJH6" s="69">
        <f t="shared" si="532"/>
        <v>2043</v>
      </c>
      <c r="AJI6" s="69">
        <f t="shared" si="532"/>
        <v>1386</v>
      </c>
      <c r="AJJ6" s="69">
        <f t="shared" si="532"/>
        <v>0</v>
      </c>
      <c r="AJK6" s="69">
        <f t="shared" si="532"/>
        <v>2165</v>
      </c>
      <c r="AJL6" s="69">
        <f t="shared" si="532"/>
        <v>1368</v>
      </c>
      <c r="AJM6" s="69">
        <f t="shared" si="532"/>
        <v>1617</v>
      </c>
      <c r="AJN6" s="69">
        <f t="shared" si="532"/>
        <v>1256</v>
      </c>
      <c r="AJO6" s="69">
        <f t="shared" si="532"/>
        <v>1059</v>
      </c>
      <c r="AJP6" s="69">
        <f t="shared" si="532"/>
        <v>781</v>
      </c>
      <c r="AJQ6" s="69">
        <f t="shared" si="532"/>
        <v>0</v>
      </c>
      <c r="AJR6" s="69">
        <f t="shared" si="532"/>
        <v>0</v>
      </c>
      <c r="AJS6" s="69">
        <f t="shared" si="532"/>
        <v>730</v>
      </c>
      <c r="AJT6" s="69">
        <f t="shared" si="532"/>
        <v>0</v>
      </c>
      <c r="AJU6" s="69">
        <f t="shared" si="532"/>
        <v>1305</v>
      </c>
      <c r="AJV6" s="69">
        <f t="shared" si="532"/>
        <v>1506</v>
      </c>
      <c r="AJW6" s="69">
        <f t="shared" si="532"/>
        <v>1313</v>
      </c>
      <c r="AJX6" s="69">
        <f t="shared" si="532"/>
        <v>0</v>
      </c>
      <c r="AJY6" s="69">
        <f t="shared" si="532"/>
        <v>1671</v>
      </c>
      <c r="AJZ6" s="69">
        <f t="shared" si="532"/>
        <v>1602</v>
      </c>
      <c r="AKA6" s="69">
        <f t="shared" si="532"/>
        <v>1424</v>
      </c>
      <c r="AKB6" s="69">
        <f>SUM(AKB19+AKB22)</f>
        <v>1943</v>
      </c>
      <c r="AKC6" s="69">
        <f>SUM(AKC19+AKC22)</f>
        <v>1625</v>
      </c>
      <c r="AKD6" s="69">
        <f>SUM(AKD19+AKD22)</f>
        <v>1661</v>
      </c>
      <c r="AKE6" s="69">
        <f>SUM(AKE19+AKE22)</f>
        <v>0</v>
      </c>
      <c r="AKF6" s="69">
        <f>SUM(AKF19+AKF22)</f>
        <v>1168</v>
      </c>
    </row>
    <row r="7" spans="1:985">
      <c r="A7">
        <v>5</v>
      </c>
      <c r="B7" s="132" t="s">
        <v>25</v>
      </c>
      <c r="C7" s="1">
        <v>82210</v>
      </c>
      <c r="D7" s="1" t="s">
        <v>8</v>
      </c>
      <c r="E7" s="3" t="s">
        <v>9</v>
      </c>
      <c r="F7" s="133" t="s">
        <v>26</v>
      </c>
      <c r="G7" s="1" t="s">
        <v>12</v>
      </c>
      <c r="H7" s="1" t="s">
        <v>21</v>
      </c>
      <c r="I7" s="1" t="s">
        <v>22</v>
      </c>
      <c r="J7" s="1" t="s">
        <v>15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>
        <v>198</v>
      </c>
      <c r="AB7" s="23">
        <v>369</v>
      </c>
      <c r="AD7" s="23">
        <v>213</v>
      </c>
      <c r="AE7" s="23">
        <v>369</v>
      </c>
      <c r="AF7" s="23">
        <v>551</v>
      </c>
      <c r="AG7" s="23">
        <v>424</v>
      </c>
      <c r="AH7" s="23">
        <v>459</v>
      </c>
      <c r="AI7" s="23">
        <v>506</v>
      </c>
      <c r="AK7" s="23">
        <v>384</v>
      </c>
      <c r="AL7" s="23">
        <v>245</v>
      </c>
      <c r="AM7" s="23">
        <v>594</v>
      </c>
      <c r="AN7" s="23">
        <v>623</v>
      </c>
      <c r="AO7" s="23">
        <v>482</v>
      </c>
      <c r="AP7" s="23">
        <v>422</v>
      </c>
      <c r="AR7" s="23">
        <v>268</v>
      </c>
      <c r="AT7" s="23">
        <v>1072</v>
      </c>
      <c r="AU7" s="23">
        <v>451</v>
      </c>
      <c r="AV7" s="23">
        <v>436</v>
      </c>
      <c r="AW7" s="23">
        <v>332</v>
      </c>
      <c r="AY7" s="23">
        <v>429</v>
      </c>
      <c r="AZ7" s="23"/>
      <c r="BA7" s="23">
        <v>982</v>
      </c>
      <c r="BB7" s="23">
        <v>357</v>
      </c>
      <c r="BC7" s="23">
        <v>338</v>
      </c>
      <c r="BD7" s="23">
        <v>610</v>
      </c>
      <c r="BF7" s="23">
        <v>579</v>
      </c>
      <c r="BG7" s="23">
        <v>367</v>
      </c>
      <c r="BH7" s="23">
        <v>791</v>
      </c>
      <c r="BI7" s="23">
        <v>559</v>
      </c>
      <c r="BJ7" s="23">
        <v>448</v>
      </c>
      <c r="BK7" s="23">
        <v>278</v>
      </c>
      <c r="BL7" s="23"/>
      <c r="BM7" s="23">
        <v>174</v>
      </c>
      <c r="BN7" s="23">
        <v>617</v>
      </c>
      <c r="BO7" s="23">
        <v>561</v>
      </c>
      <c r="BP7" s="23">
        <v>663</v>
      </c>
      <c r="BQ7" s="23">
        <v>475</v>
      </c>
      <c r="BR7" s="23"/>
      <c r="BS7" s="23"/>
      <c r="BT7" s="23"/>
      <c r="BU7" s="23"/>
      <c r="BV7" s="23">
        <v>354</v>
      </c>
      <c r="BW7" s="23">
        <v>485</v>
      </c>
      <c r="BX7" s="23">
        <v>334</v>
      </c>
      <c r="BY7" s="23">
        <v>728</v>
      </c>
      <c r="BZ7" s="23"/>
      <c r="CA7">
        <v>509</v>
      </c>
      <c r="CB7">
        <v>208</v>
      </c>
      <c r="CC7">
        <v>1205</v>
      </c>
      <c r="CD7">
        <v>535</v>
      </c>
      <c r="CE7">
        <v>437</v>
      </c>
      <c r="CF7">
        <v>297</v>
      </c>
      <c r="CH7">
        <v>908</v>
      </c>
      <c r="CJ7">
        <v>813</v>
      </c>
      <c r="CK7">
        <v>508</v>
      </c>
      <c r="CL7">
        <v>6</v>
      </c>
      <c r="CO7">
        <v>746</v>
      </c>
      <c r="CP7">
        <v>113</v>
      </c>
      <c r="CQ7">
        <v>1163</v>
      </c>
      <c r="CR7">
        <v>833</v>
      </c>
      <c r="CS7">
        <v>556</v>
      </c>
      <c r="CT7">
        <v>776</v>
      </c>
      <c r="CV7">
        <v>613</v>
      </c>
      <c r="CW7">
        <v>630</v>
      </c>
      <c r="CX7">
        <v>420</v>
      </c>
      <c r="CY7">
        <v>225</v>
      </c>
      <c r="CZ7">
        <v>501</v>
      </c>
      <c r="DA7">
        <v>504</v>
      </c>
      <c r="DC7">
        <v>574</v>
      </c>
      <c r="DD7">
        <v>599</v>
      </c>
      <c r="DE7">
        <v>728</v>
      </c>
      <c r="DF7">
        <v>412</v>
      </c>
      <c r="DG7">
        <v>517</v>
      </c>
      <c r="DH7">
        <v>838</v>
      </c>
      <c r="DJ7">
        <v>710</v>
      </c>
      <c r="DK7">
        <v>107</v>
      </c>
      <c r="DL7">
        <v>1103</v>
      </c>
      <c r="DM7">
        <v>474</v>
      </c>
      <c r="DN7">
        <v>442</v>
      </c>
      <c r="DO7">
        <v>351</v>
      </c>
      <c r="DQ7">
        <v>734</v>
      </c>
      <c r="DS7">
        <v>1231</v>
      </c>
      <c r="DT7">
        <v>548</v>
      </c>
      <c r="DU7">
        <v>460</v>
      </c>
      <c r="DV7">
        <v>726</v>
      </c>
      <c r="DX7">
        <v>564</v>
      </c>
      <c r="DY7">
        <v>387</v>
      </c>
      <c r="DZ7">
        <v>806</v>
      </c>
      <c r="EA7">
        <v>453</v>
      </c>
      <c r="EB7">
        <v>302</v>
      </c>
      <c r="EC7">
        <v>483</v>
      </c>
      <c r="EE7">
        <v>433</v>
      </c>
      <c r="EG7">
        <v>805</v>
      </c>
      <c r="EH7">
        <v>514</v>
      </c>
      <c r="EI7">
        <v>707</v>
      </c>
      <c r="EJ7">
        <v>724</v>
      </c>
      <c r="EL7">
        <v>312</v>
      </c>
      <c r="EM7">
        <v>429</v>
      </c>
      <c r="EN7">
        <v>918</v>
      </c>
      <c r="EO7">
        <v>576</v>
      </c>
      <c r="EP7">
        <v>662</v>
      </c>
      <c r="EQ7">
        <v>518</v>
      </c>
      <c r="ES7">
        <v>629</v>
      </c>
      <c r="ET7">
        <v>591</v>
      </c>
      <c r="EU7">
        <v>725</v>
      </c>
      <c r="EV7">
        <v>616</v>
      </c>
      <c r="EW7">
        <v>628</v>
      </c>
      <c r="EX7">
        <v>502</v>
      </c>
      <c r="FA7">
        <v>954</v>
      </c>
      <c r="FB7">
        <v>564</v>
      </c>
      <c r="FC7">
        <v>526</v>
      </c>
      <c r="FD7">
        <v>686</v>
      </c>
      <c r="FE7">
        <v>805</v>
      </c>
      <c r="FG7">
        <v>807</v>
      </c>
      <c r="FI7">
        <v>1147</v>
      </c>
      <c r="FJ7">
        <v>465</v>
      </c>
      <c r="FK7">
        <v>478</v>
      </c>
      <c r="FO7">
        <v>60</v>
      </c>
      <c r="FP7">
        <v>1147</v>
      </c>
      <c r="FQ7">
        <v>1202</v>
      </c>
      <c r="FR7">
        <v>527</v>
      </c>
      <c r="FV7">
        <v>1025</v>
      </c>
      <c r="FW7">
        <v>789</v>
      </c>
      <c r="FX7">
        <v>556</v>
      </c>
      <c r="FY7">
        <v>725</v>
      </c>
      <c r="FZ7">
        <v>615</v>
      </c>
      <c r="GB7">
        <v>981</v>
      </c>
      <c r="GC7">
        <v>69</v>
      </c>
      <c r="GD7">
        <v>1167</v>
      </c>
      <c r="GE7">
        <v>614</v>
      </c>
      <c r="GF7">
        <v>471</v>
      </c>
      <c r="GG7">
        <v>508</v>
      </c>
      <c r="GI7">
        <v>349</v>
      </c>
      <c r="GJ7">
        <v>748</v>
      </c>
      <c r="GL7">
        <v>73</v>
      </c>
      <c r="GM7">
        <v>1543</v>
      </c>
      <c r="GP7">
        <v>600</v>
      </c>
      <c r="GQ7">
        <v>624</v>
      </c>
      <c r="GR7">
        <v>473</v>
      </c>
      <c r="GS7">
        <v>436</v>
      </c>
      <c r="GT7">
        <v>458</v>
      </c>
      <c r="GU7">
        <v>574</v>
      </c>
      <c r="GW7">
        <v>231</v>
      </c>
      <c r="GY7">
        <v>1267</v>
      </c>
      <c r="GZ7">
        <v>1076</v>
      </c>
      <c r="HA7">
        <v>576</v>
      </c>
      <c r="HB7">
        <v>406</v>
      </c>
      <c r="HD7">
        <v>122</v>
      </c>
      <c r="HE7">
        <v>826</v>
      </c>
      <c r="HG7">
        <v>446</v>
      </c>
      <c r="HH7">
        <v>637</v>
      </c>
      <c r="HI7">
        <v>562</v>
      </c>
      <c r="HK7">
        <v>687</v>
      </c>
      <c r="HM7">
        <v>1017</v>
      </c>
      <c r="HN7">
        <v>634</v>
      </c>
      <c r="HO7">
        <v>860</v>
      </c>
      <c r="HP7">
        <v>423</v>
      </c>
      <c r="HS7">
        <v>873</v>
      </c>
      <c r="HT7">
        <v>600</v>
      </c>
      <c r="HU7">
        <v>548</v>
      </c>
      <c r="HV7">
        <v>139</v>
      </c>
      <c r="HW7">
        <v>1129</v>
      </c>
      <c r="HY7">
        <v>487</v>
      </c>
      <c r="HZ7">
        <v>309</v>
      </c>
      <c r="IA7">
        <v>1173</v>
      </c>
      <c r="IB7">
        <v>666</v>
      </c>
      <c r="IC7">
        <v>640</v>
      </c>
      <c r="ID7">
        <v>737</v>
      </c>
      <c r="IF7">
        <v>518</v>
      </c>
      <c r="IG7">
        <v>1259</v>
      </c>
      <c r="IH7">
        <v>139</v>
      </c>
      <c r="II7">
        <v>1042</v>
      </c>
      <c r="IJ7">
        <v>535</v>
      </c>
      <c r="IK7">
        <v>341</v>
      </c>
      <c r="IM7">
        <v>2018</v>
      </c>
      <c r="IN7">
        <v>655</v>
      </c>
      <c r="IO7">
        <v>610</v>
      </c>
      <c r="IP7">
        <v>697</v>
      </c>
      <c r="IQ7">
        <v>839</v>
      </c>
      <c r="IR7">
        <v>926</v>
      </c>
      <c r="IT7">
        <v>605</v>
      </c>
      <c r="IU7">
        <v>850</v>
      </c>
      <c r="IV7">
        <v>955</v>
      </c>
      <c r="IW7">
        <v>1170</v>
      </c>
      <c r="IX7">
        <v>518</v>
      </c>
      <c r="IY7">
        <v>663</v>
      </c>
      <c r="JA7">
        <v>1036</v>
      </c>
      <c r="JB7">
        <v>1162</v>
      </c>
      <c r="JC7">
        <v>1646</v>
      </c>
      <c r="JD7">
        <v>853</v>
      </c>
      <c r="JE7">
        <v>744</v>
      </c>
      <c r="JF7">
        <v>848</v>
      </c>
      <c r="JG7">
        <v>0</v>
      </c>
      <c r="JH7">
        <v>772</v>
      </c>
      <c r="JI7">
        <v>1323</v>
      </c>
      <c r="JJ7">
        <v>2575</v>
      </c>
      <c r="JK7">
        <v>1306</v>
      </c>
      <c r="JL7">
        <v>1745</v>
      </c>
      <c r="JM7">
        <v>1104</v>
      </c>
      <c r="JN7">
        <v>0</v>
      </c>
      <c r="JO7">
        <v>702</v>
      </c>
      <c r="JP7">
        <v>1746</v>
      </c>
      <c r="JQ7">
        <v>1366</v>
      </c>
      <c r="JR7">
        <v>1180</v>
      </c>
      <c r="JS7">
        <v>1077</v>
      </c>
      <c r="JT7">
        <v>1008</v>
      </c>
      <c r="JU7">
        <v>0</v>
      </c>
      <c r="JV7">
        <v>0</v>
      </c>
      <c r="JW7">
        <v>203</v>
      </c>
      <c r="JX7">
        <v>1940</v>
      </c>
      <c r="JY7">
        <v>506</v>
      </c>
      <c r="JZ7">
        <v>1037</v>
      </c>
      <c r="KA7">
        <v>1045</v>
      </c>
      <c r="KB7">
        <v>0</v>
      </c>
      <c r="KC7">
        <v>734</v>
      </c>
      <c r="KD7">
        <v>259</v>
      </c>
      <c r="KE7">
        <v>2027</v>
      </c>
      <c r="KF7">
        <v>1474</v>
      </c>
      <c r="KG7">
        <v>479</v>
      </c>
      <c r="KH7">
        <v>168</v>
      </c>
      <c r="KI7">
        <v>0</v>
      </c>
      <c r="KJ7">
        <v>0</v>
      </c>
      <c r="KK7">
        <v>639</v>
      </c>
      <c r="KL7">
        <v>1258</v>
      </c>
      <c r="KM7">
        <v>1771</v>
      </c>
      <c r="KN7">
        <v>1935</v>
      </c>
      <c r="KO7">
        <v>735</v>
      </c>
      <c r="KP7">
        <v>0</v>
      </c>
      <c r="KQ7">
        <v>1170</v>
      </c>
      <c r="KR7">
        <v>446</v>
      </c>
      <c r="KS7">
        <v>877</v>
      </c>
      <c r="KT7">
        <v>1187</v>
      </c>
      <c r="KU7">
        <v>1240</v>
      </c>
      <c r="KV7">
        <v>0</v>
      </c>
      <c r="KW7">
        <v>0</v>
      </c>
      <c r="KX7">
        <v>2343</v>
      </c>
      <c r="KY7">
        <v>8</v>
      </c>
      <c r="KZ7">
        <v>2163</v>
      </c>
      <c r="LA7">
        <v>1068</v>
      </c>
      <c r="LB7">
        <v>1428</v>
      </c>
      <c r="LC7">
        <v>1942</v>
      </c>
      <c r="LD7">
        <v>0</v>
      </c>
      <c r="LF7">
        <v>1320</v>
      </c>
      <c r="LG7">
        <v>590</v>
      </c>
      <c r="LH7">
        <v>2357</v>
      </c>
      <c r="LI7">
        <v>1338</v>
      </c>
      <c r="LJ7">
        <v>651</v>
      </c>
      <c r="LK7">
        <v>0</v>
      </c>
      <c r="LL7">
        <v>1175</v>
      </c>
      <c r="LM7">
        <v>1044</v>
      </c>
      <c r="LN7">
        <v>1290</v>
      </c>
      <c r="LO7">
        <v>1754</v>
      </c>
      <c r="LP7">
        <v>1112</v>
      </c>
      <c r="LQ7">
        <v>716</v>
      </c>
      <c r="LR7">
        <v>0</v>
      </c>
      <c r="LS7">
        <v>640</v>
      </c>
      <c r="LT7">
        <v>841</v>
      </c>
      <c r="LU7">
        <v>735</v>
      </c>
      <c r="LV7" s="49">
        <v>765</v>
      </c>
      <c r="LW7">
        <v>1256</v>
      </c>
      <c r="LX7">
        <v>434</v>
      </c>
      <c r="LY7">
        <v>1456</v>
      </c>
      <c r="LZ7">
        <v>1402</v>
      </c>
      <c r="MA7">
        <v>1860</v>
      </c>
      <c r="MB7">
        <v>1260</v>
      </c>
      <c r="MC7">
        <v>454</v>
      </c>
      <c r="MD7">
        <v>0</v>
      </c>
      <c r="ME7">
        <v>0</v>
      </c>
      <c r="MF7">
        <v>0</v>
      </c>
      <c r="MG7">
        <v>0</v>
      </c>
      <c r="MH7">
        <v>154</v>
      </c>
      <c r="MI7">
        <v>691</v>
      </c>
      <c r="MJ7">
        <v>1375</v>
      </c>
      <c r="MK7">
        <v>451</v>
      </c>
      <c r="ML7">
        <v>834</v>
      </c>
      <c r="MM7">
        <v>0</v>
      </c>
      <c r="MN7">
        <v>930</v>
      </c>
      <c r="MO7">
        <v>1659</v>
      </c>
      <c r="MP7">
        <v>912</v>
      </c>
      <c r="MQ7">
        <v>661</v>
      </c>
      <c r="MR7">
        <v>507</v>
      </c>
      <c r="MS7">
        <v>696</v>
      </c>
      <c r="MT7">
        <v>0</v>
      </c>
      <c r="MU7">
        <v>0</v>
      </c>
      <c r="MV7">
        <v>223</v>
      </c>
      <c r="MW7">
        <v>2417</v>
      </c>
      <c r="MX7">
        <v>1405</v>
      </c>
      <c r="MY7">
        <v>1511</v>
      </c>
      <c r="MZ7">
        <v>629</v>
      </c>
      <c r="NA7">
        <v>0</v>
      </c>
      <c r="NB7">
        <v>1895</v>
      </c>
      <c r="NC7">
        <v>1468</v>
      </c>
      <c r="ND7">
        <v>0</v>
      </c>
      <c r="NE7">
        <v>2162</v>
      </c>
      <c r="NF7">
        <v>1457</v>
      </c>
      <c r="NG7">
        <v>659</v>
      </c>
      <c r="NH7">
        <v>0</v>
      </c>
      <c r="NI7">
        <v>2542</v>
      </c>
      <c r="NJ7">
        <v>2121</v>
      </c>
      <c r="NK7">
        <v>0</v>
      </c>
      <c r="NL7">
        <v>0</v>
      </c>
      <c r="NM7">
        <v>850</v>
      </c>
      <c r="NN7">
        <v>850</v>
      </c>
      <c r="NO7">
        <v>0</v>
      </c>
      <c r="NP7">
        <v>0</v>
      </c>
      <c r="NQ7">
        <v>4</v>
      </c>
      <c r="NR7">
        <v>1411</v>
      </c>
      <c r="NS7">
        <v>0</v>
      </c>
      <c r="NT7">
        <v>1482</v>
      </c>
      <c r="NU7">
        <v>551</v>
      </c>
      <c r="NV7">
        <v>0</v>
      </c>
      <c r="NW7">
        <v>1290</v>
      </c>
      <c r="NX7">
        <v>1066</v>
      </c>
      <c r="NY7">
        <v>984</v>
      </c>
      <c r="NZ7">
        <v>0</v>
      </c>
      <c r="OA7">
        <v>1122</v>
      </c>
      <c r="OB7">
        <v>553</v>
      </c>
      <c r="OC7">
        <v>0</v>
      </c>
      <c r="OD7">
        <v>862</v>
      </c>
      <c r="OE7">
        <v>1326</v>
      </c>
      <c r="OF7">
        <v>1803</v>
      </c>
      <c r="OG7">
        <v>1385</v>
      </c>
      <c r="OH7">
        <v>314</v>
      </c>
      <c r="OI7">
        <v>538</v>
      </c>
      <c r="OJ7">
        <v>0</v>
      </c>
      <c r="OK7">
        <v>2045</v>
      </c>
      <c r="OL7">
        <v>1377</v>
      </c>
      <c r="OM7">
        <v>1306</v>
      </c>
      <c r="ON7">
        <v>2898</v>
      </c>
      <c r="OO7">
        <v>3887</v>
      </c>
      <c r="OP7">
        <v>1298</v>
      </c>
      <c r="OQ7">
        <v>0</v>
      </c>
      <c r="OR7">
        <v>870</v>
      </c>
      <c r="OS7">
        <v>522</v>
      </c>
      <c r="OT7">
        <v>1185</v>
      </c>
      <c r="OU7">
        <v>0</v>
      </c>
      <c r="OV7">
        <v>445</v>
      </c>
      <c r="OW7">
        <v>331</v>
      </c>
      <c r="OX7">
        <v>0</v>
      </c>
      <c r="OY7">
        <v>1584</v>
      </c>
      <c r="OZ7">
        <v>1188</v>
      </c>
      <c r="PA7">
        <v>1417</v>
      </c>
      <c r="PB7">
        <v>140</v>
      </c>
      <c r="PC7">
        <v>0</v>
      </c>
      <c r="PD7">
        <v>82</v>
      </c>
      <c r="PE7">
        <v>0</v>
      </c>
      <c r="PF7">
        <v>0</v>
      </c>
      <c r="PG7">
        <v>0</v>
      </c>
      <c r="PH7">
        <v>1315</v>
      </c>
      <c r="PI7">
        <v>243</v>
      </c>
      <c r="PJ7">
        <v>0</v>
      </c>
      <c r="PK7">
        <v>761</v>
      </c>
      <c r="PL7">
        <v>0</v>
      </c>
      <c r="PM7">
        <v>1359</v>
      </c>
      <c r="PN7">
        <v>2127</v>
      </c>
      <c r="PO7">
        <v>1779</v>
      </c>
      <c r="PP7">
        <v>3440</v>
      </c>
      <c r="PQ7">
        <v>4000</v>
      </c>
      <c r="PR7">
        <v>1273</v>
      </c>
      <c r="PS7">
        <v>6844</v>
      </c>
      <c r="PT7">
        <v>0</v>
      </c>
      <c r="PV7">
        <v>0</v>
      </c>
      <c r="PW7" s="74">
        <v>535</v>
      </c>
      <c r="PX7" s="74">
        <v>1493</v>
      </c>
      <c r="PY7" s="74">
        <v>305</v>
      </c>
      <c r="PZ7" s="74">
        <v>0</v>
      </c>
      <c r="QA7">
        <v>957</v>
      </c>
      <c r="QB7" s="74">
        <v>0</v>
      </c>
      <c r="QC7">
        <v>2</v>
      </c>
      <c r="QD7">
        <v>1399</v>
      </c>
      <c r="QE7">
        <v>383</v>
      </c>
      <c r="QF7">
        <v>539</v>
      </c>
      <c r="QG7">
        <v>0</v>
      </c>
      <c r="QH7">
        <v>1549</v>
      </c>
      <c r="QI7">
        <v>1530</v>
      </c>
      <c r="QJ7">
        <v>0</v>
      </c>
      <c r="QK7">
        <v>1635</v>
      </c>
      <c r="QL7">
        <v>1225</v>
      </c>
      <c r="QM7">
        <v>599</v>
      </c>
      <c r="QN7">
        <v>0</v>
      </c>
      <c r="QO7">
        <v>1434</v>
      </c>
      <c r="QP7">
        <v>1589</v>
      </c>
      <c r="QQ7">
        <v>0</v>
      </c>
      <c r="QR7">
        <v>1595</v>
      </c>
      <c r="QS7">
        <v>1624</v>
      </c>
      <c r="QT7">
        <v>18</v>
      </c>
      <c r="QU7">
        <v>0</v>
      </c>
      <c r="QV7">
        <v>487</v>
      </c>
      <c r="QW7">
        <v>447</v>
      </c>
      <c r="QX7">
        <v>2343</v>
      </c>
      <c r="QY7">
        <v>3224</v>
      </c>
      <c r="QZ7">
        <v>3326</v>
      </c>
      <c r="RA7">
        <v>536</v>
      </c>
      <c r="RB7">
        <v>0</v>
      </c>
      <c r="RC7">
        <v>333</v>
      </c>
      <c r="RD7">
        <v>73</v>
      </c>
      <c r="RE7">
        <v>50</v>
      </c>
      <c r="RF7">
        <v>333</v>
      </c>
      <c r="RG7">
        <v>364</v>
      </c>
      <c r="RH7">
        <v>0</v>
      </c>
      <c r="RI7">
        <v>0</v>
      </c>
      <c r="RJ7">
        <v>82</v>
      </c>
      <c r="RK7">
        <v>386</v>
      </c>
      <c r="RL7">
        <v>0</v>
      </c>
      <c r="RM7">
        <v>498</v>
      </c>
      <c r="RN7">
        <v>0</v>
      </c>
      <c r="RO7">
        <v>130</v>
      </c>
      <c r="RP7">
        <v>0</v>
      </c>
      <c r="RQ7">
        <v>366</v>
      </c>
      <c r="RR7">
        <v>598</v>
      </c>
      <c r="RS7">
        <v>42</v>
      </c>
      <c r="RT7">
        <v>377</v>
      </c>
      <c r="RU7">
        <v>439</v>
      </c>
      <c r="RV7">
        <v>382</v>
      </c>
      <c r="RW7">
        <v>0</v>
      </c>
      <c r="RX7">
        <v>481</v>
      </c>
      <c r="RY7">
        <v>502</v>
      </c>
      <c r="RZ7">
        <v>40</v>
      </c>
      <c r="SA7">
        <v>269</v>
      </c>
      <c r="SB7">
        <v>415</v>
      </c>
      <c r="SC7">
        <v>1265</v>
      </c>
      <c r="SD7">
        <v>0</v>
      </c>
      <c r="SE7">
        <v>989</v>
      </c>
      <c r="SF7">
        <v>1387</v>
      </c>
      <c r="SG7">
        <v>1219</v>
      </c>
      <c r="SH7">
        <v>1322</v>
      </c>
      <c r="SI7">
        <v>1532</v>
      </c>
      <c r="SJ7">
        <v>2183</v>
      </c>
      <c r="SK7">
        <v>0</v>
      </c>
      <c r="SL7">
        <v>961</v>
      </c>
      <c r="SM7">
        <v>1234</v>
      </c>
      <c r="SN7">
        <v>1682</v>
      </c>
      <c r="SO7">
        <v>1458</v>
      </c>
      <c r="SP7">
        <v>1418</v>
      </c>
      <c r="SQ7">
        <v>1447</v>
      </c>
      <c r="SR7">
        <v>0</v>
      </c>
      <c r="SS7">
        <v>1210</v>
      </c>
      <c r="ST7">
        <v>1188</v>
      </c>
      <c r="SU7">
        <v>1186</v>
      </c>
      <c r="SV7">
        <v>1183</v>
      </c>
      <c r="SW7">
        <v>1466</v>
      </c>
      <c r="SX7">
        <v>1472</v>
      </c>
      <c r="SY7">
        <v>0</v>
      </c>
      <c r="SZ7">
        <v>1717</v>
      </c>
      <c r="TA7">
        <v>1253</v>
      </c>
      <c r="TB7">
        <v>1697</v>
      </c>
      <c r="TC7">
        <v>1215</v>
      </c>
      <c r="TD7">
        <v>1757</v>
      </c>
      <c r="TE7">
        <v>2406</v>
      </c>
      <c r="TF7">
        <v>0</v>
      </c>
      <c r="TG7">
        <v>843</v>
      </c>
      <c r="TH7">
        <v>2531</v>
      </c>
      <c r="TI7">
        <v>1671</v>
      </c>
      <c r="TJ7">
        <v>1519</v>
      </c>
      <c r="TK7">
        <v>1495</v>
      </c>
      <c r="TL7">
        <v>2013</v>
      </c>
      <c r="TM7">
        <v>0</v>
      </c>
      <c r="TN7">
        <v>0</v>
      </c>
      <c r="TO7">
        <v>2408</v>
      </c>
      <c r="TP7">
        <v>1756</v>
      </c>
      <c r="TQ7">
        <v>1477</v>
      </c>
      <c r="TR7">
        <v>1975</v>
      </c>
      <c r="TS7">
        <v>1956</v>
      </c>
      <c r="TT7">
        <v>0</v>
      </c>
      <c r="TU7">
        <v>0</v>
      </c>
      <c r="TV7">
        <v>0</v>
      </c>
      <c r="TW7">
        <v>1498</v>
      </c>
      <c r="TX7">
        <v>2063</v>
      </c>
      <c r="TY7">
        <v>1445</v>
      </c>
      <c r="TZ7">
        <v>2476</v>
      </c>
      <c r="UA7">
        <v>0</v>
      </c>
      <c r="UB7">
        <v>2365</v>
      </c>
      <c r="UC7">
        <v>2290</v>
      </c>
      <c r="UD7">
        <v>2166</v>
      </c>
      <c r="UE7">
        <v>2312</v>
      </c>
      <c r="UF7">
        <v>1858</v>
      </c>
      <c r="UG7">
        <v>1576</v>
      </c>
      <c r="UH7">
        <v>0</v>
      </c>
      <c r="UI7">
        <v>1067</v>
      </c>
      <c r="UJ7">
        <v>2885</v>
      </c>
      <c r="UK7">
        <v>2086</v>
      </c>
      <c r="UL7">
        <v>0</v>
      </c>
      <c r="UM7">
        <v>1508</v>
      </c>
      <c r="UN7">
        <v>3216</v>
      </c>
      <c r="UO7">
        <v>0</v>
      </c>
      <c r="UP7">
        <v>0</v>
      </c>
      <c r="UQ7">
        <v>3453</v>
      </c>
      <c r="UR7">
        <v>3012</v>
      </c>
      <c r="US7">
        <v>2743</v>
      </c>
      <c r="UT7">
        <v>1336</v>
      </c>
      <c r="UU7">
        <v>2914</v>
      </c>
      <c r="UV7">
        <v>0</v>
      </c>
      <c r="UW7">
        <v>0</v>
      </c>
      <c r="UX7">
        <v>955</v>
      </c>
      <c r="UY7">
        <v>1945</v>
      </c>
      <c r="UZ7">
        <v>2778</v>
      </c>
      <c r="VA7">
        <v>2646</v>
      </c>
      <c r="VB7">
        <v>1894</v>
      </c>
      <c r="VC7">
        <v>0</v>
      </c>
      <c r="VD7">
        <v>3536</v>
      </c>
      <c r="VE7">
        <v>3228</v>
      </c>
      <c r="VF7">
        <v>2204</v>
      </c>
      <c r="VG7">
        <v>1835</v>
      </c>
      <c r="VH7">
        <v>2504</v>
      </c>
      <c r="VI7">
        <v>2476</v>
      </c>
      <c r="VJ7">
        <v>0</v>
      </c>
      <c r="VK7">
        <v>3388</v>
      </c>
      <c r="VL7">
        <v>2097</v>
      </c>
      <c r="VM7">
        <v>2351</v>
      </c>
      <c r="VN7">
        <v>2459</v>
      </c>
      <c r="VO7">
        <v>1931</v>
      </c>
      <c r="VP7">
        <v>2766</v>
      </c>
      <c r="VQ7">
        <v>0</v>
      </c>
      <c r="VR7">
        <v>2137</v>
      </c>
      <c r="VS7">
        <v>0</v>
      </c>
      <c r="VT7">
        <v>2361</v>
      </c>
      <c r="VU7">
        <v>2293</v>
      </c>
      <c r="VV7">
        <v>1381</v>
      </c>
      <c r="VW7">
        <v>2143</v>
      </c>
      <c r="VX7">
        <v>0</v>
      </c>
      <c r="VY7">
        <v>2128</v>
      </c>
      <c r="VZ7">
        <v>2052</v>
      </c>
      <c r="WA7">
        <v>2390</v>
      </c>
      <c r="WB7">
        <v>2524</v>
      </c>
      <c r="WC7">
        <v>2458</v>
      </c>
      <c r="WD7">
        <v>2397</v>
      </c>
      <c r="WE7">
        <v>0</v>
      </c>
      <c r="WF7">
        <v>2030</v>
      </c>
      <c r="WG7">
        <v>1755</v>
      </c>
      <c r="WH7">
        <v>1822</v>
      </c>
      <c r="WI7">
        <v>2850</v>
      </c>
      <c r="WJ7">
        <v>2101</v>
      </c>
      <c r="WK7">
        <v>2330</v>
      </c>
      <c r="WL7">
        <v>0</v>
      </c>
      <c r="WM7">
        <v>2060</v>
      </c>
      <c r="WN7">
        <v>1550</v>
      </c>
      <c r="WO7">
        <v>2590</v>
      </c>
      <c r="WP7">
        <v>2218</v>
      </c>
      <c r="WQ7">
        <v>2322</v>
      </c>
      <c r="WR7">
        <v>2194</v>
      </c>
      <c r="WS7">
        <v>0</v>
      </c>
      <c r="WT7">
        <v>1791</v>
      </c>
      <c r="WU7">
        <v>1624</v>
      </c>
      <c r="WV7">
        <v>1674</v>
      </c>
      <c r="WW7">
        <v>2385</v>
      </c>
      <c r="WX7">
        <v>1907</v>
      </c>
      <c r="WY7">
        <v>2045</v>
      </c>
      <c r="WZ7">
        <v>0</v>
      </c>
      <c r="XA7">
        <v>2258</v>
      </c>
      <c r="XB7">
        <v>1877</v>
      </c>
      <c r="XC7">
        <v>2092</v>
      </c>
      <c r="XD7">
        <v>2433</v>
      </c>
      <c r="XE7">
        <v>2147</v>
      </c>
      <c r="XF7">
        <v>2074</v>
      </c>
      <c r="XG7">
        <v>0</v>
      </c>
      <c r="XH7">
        <v>1617</v>
      </c>
      <c r="XI7">
        <v>2330</v>
      </c>
      <c r="XJ7">
        <v>1829</v>
      </c>
      <c r="XK7">
        <v>1956</v>
      </c>
      <c r="XL7">
        <v>1994</v>
      </c>
      <c r="XM7">
        <v>2015</v>
      </c>
      <c r="XN7">
        <v>0</v>
      </c>
      <c r="XO7">
        <v>1729</v>
      </c>
      <c r="XP7">
        <v>2921</v>
      </c>
      <c r="XQ7">
        <v>1805</v>
      </c>
      <c r="XR7">
        <v>2528</v>
      </c>
      <c r="XS7">
        <v>1286</v>
      </c>
      <c r="XT7">
        <v>2323</v>
      </c>
      <c r="XU7">
        <v>0</v>
      </c>
      <c r="XV7">
        <v>0</v>
      </c>
      <c r="XW7">
        <v>3017</v>
      </c>
      <c r="XX7">
        <v>3488</v>
      </c>
      <c r="XY7">
        <v>3402</v>
      </c>
      <c r="XZ7">
        <v>1607</v>
      </c>
      <c r="YA7">
        <v>2538</v>
      </c>
      <c r="YB7">
        <v>0</v>
      </c>
      <c r="YC7">
        <v>1979</v>
      </c>
      <c r="YD7">
        <v>2191</v>
      </c>
      <c r="YE7">
        <v>1885</v>
      </c>
      <c r="YF7">
        <v>2449</v>
      </c>
      <c r="YG7">
        <v>3177</v>
      </c>
      <c r="YH7">
        <v>2543</v>
      </c>
      <c r="YI7">
        <v>0</v>
      </c>
      <c r="YJ7">
        <v>2217</v>
      </c>
      <c r="YK7">
        <v>0</v>
      </c>
      <c r="YL7">
        <v>4073</v>
      </c>
      <c r="YM7">
        <v>3798</v>
      </c>
      <c r="YN7">
        <v>2573</v>
      </c>
      <c r="YO7">
        <v>3000</v>
      </c>
      <c r="YP7">
        <v>0</v>
      </c>
      <c r="YQ7">
        <v>2566</v>
      </c>
      <c r="YR7">
        <v>2785</v>
      </c>
      <c r="YS7">
        <v>3503</v>
      </c>
      <c r="YT7">
        <v>2164</v>
      </c>
      <c r="YU7">
        <v>2388</v>
      </c>
      <c r="YV7">
        <v>3653</v>
      </c>
      <c r="YW7">
        <v>0</v>
      </c>
      <c r="YX7">
        <v>3889</v>
      </c>
      <c r="YY7">
        <v>2580</v>
      </c>
      <c r="YZ7">
        <v>2716</v>
      </c>
      <c r="ZA7">
        <v>2331</v>
      </c>
      <c r="ZB7">
        <v>2191</v>
      </c>
      <c r="ZC7">
        <v>3259</v>
      </c>
      <c r="ZD7">
        <v>0</v>
      </c>
      <c r="ZE7">
        <v>2053</v>
      </c>
      <c r="ZF7">
        <v>2632</v>
      </c>
      <c r="ZG7">
        <v>3048</v>
      </c>
      <c r="ZH7">
        <v>2129</v>
      </c>
      <c r="ZI7">
        <v>1774</v>
      </c>
      <c r="ZJ7">
        <v>3317</v>
      </c>
      <c r="ZK7">
        <v>0</v>
      </c>
      <c r="ZL7">
        <v>2465</v>
      </c>
      <c r="ZM7">
        <v>2569</v>
      </c>
      <c r="ZN7">
        <v>2931</v>
      </c>
      <c r="ZO7">
        <v>1633</v>
      </c>
      <c r="ZP7">
        <v>3224</v>
      </c>
      <c r="ZQ7">
        <v>2402</v>
      </c>
      <c r="ZR7">
        <v>0</v>
      </c>
      <c r="ZS7">
        <v>2132</v>
      </c>
      <c r="ZT7">
        <v>3471</v>
      </c>
      <c r="ZU7">
        <v>2734</v>
      </c>
      <c r="ZV7">
        <v>2846</v>
      </c>
      <c r="ZW7">
        <v>2517</v>
      </c>
      <c r="ZX7">
        <v>2580</v>
      </c>
      <c r="ZY7">
        <v>0</v>
      </c>
      <c r="ZZ7">
        <v>2907</v>
      </c>
      <c r="AAA7">
        <v>2601</v>
      </c>
      <c r="AAB7">
        <v>3404</v>
      </c>
      <c r="AAC7">
        <v>2787</v>
      </c>
      <c r="AAD7">
        <v>1995</v>
      </c>
      <c r="AAE7">
        <v>3314</v>
      </c>
      <c r="AAF7">
        <v>0</v>
      </c>
      <c r="AAG7">
        <v>1873</v>
      </c>
      <c r="AAH7">
        <v>3225</v>
      </c>
      <c r="AAI7">
        <v>2842</v>
      </c>
      <c r="AAJ7">
        <v>2277</v>
      </c>
      <c r="AAK7">
        <v>2400</v>
      </c>
      <c r="AAL7">
        <v>2498</v>
      </c>
      <c r="AAM7">
        <v>0</v>
      </c>
      <c r="AAN7">
        <v>2298</v>
      </c>
      <c r="AAO7">
        <v>2873</v>
      </c>
      <c r="AAP7">
        <v>2208</v>
      </c>
      <c r="AAQ7">
        <v>2523</v>
      </c>
      <c r="AAR7">
        <v>2388</v>
      </c>
      <c r="AAS7">
        <v>1594</v>
      </c>
      <c r="AAT7">
        <v>0</v>
      </c>
      <c r="AAU7">
        <v>0</v>
      </c>
      <c r="AAV7">
        <v>1601</v>
      </c>
      <c r="AAW7">
        <v>2907</v>
      </c>
      <c r="AAX7">
        <v>1525</v>
      </c>
      <c r="AAY7">
        <v>3329</v>
      </c>
      <c r="AAZ7">
        <v>2505</v>
      </c>
      <c r="ABA7">
        <v>0</v>
      </c>
      <c r="ABB7">
        <v>2252</v>
      </c>
      <c r="ABC7">
        <v>2679</v>
      </c>
      <c r="ABD7">
        <v>2613</v>
      </c>
      <c r="ABE7">
        <v>0</v>
      </c>
      <c r="ABF7">
        <v>2667</v>
      </c>
      <c r="ABG7">
        <v>2702</v>
      </c>
      <c r="ABH7">
        <v>0</v>
      </c>
      <c r="ABI7">
        <v>2182</v>
      </c>
      <c r="ABJ7">
        <v>1925</v>
      </c>
      <c r="ABK7">
        <v>2176</v>
      </c>
      <c r="ABL7">
        <v>2526</v>
      </c>
      <c r="ABM7">
        <v>2170</v>
      </c>
      <c r="ABN7">
        <v>2490</v>
      </c>
      <c r="ABO7">
        <v>0</v>
      </c>
      <c r="ABP7">
        <v>2606</v>
      </c>
      <c r="ABQ7">
        <v>2738</v>
      </c>
      <c r="ABR7">
        <v>2543</v>
      </c>
      <c r="ABS7">
        <v>2910</v>
      </c>
      <c r="ABT7">
        <v>2352</v>
      </c>
      <c r="ABU7">
        <v>1492</v>
      </c>
      <c r="ABV7">
        <v>0</v>
      </c>
      <c r="ABW7">
        <v>1695</v>
      </c>
      <c r="ABX7">
        <v>1159</v>
      </c>
      <c r="ABY7">
        <v>1963</v>
      </c>
      <c r="ABZ7">
        <v>2700</v>
      </c>
      <c r="ACA7">
        <v>2482</v>
      </c>
      <c r="ACB7">
        <v>2402</v>
      </c>
      <c r="ACC7">
        <v>0</v>
      </c>
      <c r="ACD7">
        <v>2301</v>
      </c>
      <c r="ACE7">
        <v>1952</v>
      </c>
      <c r="ACF7">
        <v>2292</v>
      </c>
      <c r="ACG7">
        <v>2648</v>
      </c>
      <c r="ACH7">
        <v>2510</v>
      </c>
      <c r="ACI7">
        <v>2648</v>
      </c>
      <c r="ACJ7">
        <v>0</v>
      </c>
      <c r="ACK7">
        <v>1945</v>
      </c>
      <c r="ACL7">
        <v>1675</v>
      </c>
      <c r="ACM7">
        <v>1979</v>
      </c>
      <c r="ACN7">
        <v>2597</v>
      </c>
      <c r="ACO7">
        <v>2063</v>
      </c>
      <c r="ACP7">
        <v>2386</v>
      </c>
      <c r="ACQ7">
        <v>0</v>
      </c>
      <c r="ACR7">
        <v>1577</v>
      </c>
      <c r="ACS7">
        <v>1011</v>
      </c>
      <c r="ACT7">
        <v>1404</v>
      </c>
      <c r="ACU7">
        <v>2579</v>
      </c>
      <c r="ACV7">
        <v>0</v>
      </c>
      <c r="ACW7">
        <v>2709</v>
      </c>
      <c r="ACX7">
        <v>0</v>
      </c>
      <c r="ACY7">
        <v>2341</v>
      </c>
      <c r="ACZ7">
        <v>3027</v>
      </c>
      <c r="ADA7">
        <v>3056</v>
      </c>
      <c r="ADB7">
        <v>2403</v>
      </c>
      <c r="ADC7">
        <v>2781</v>
      </c>
      <c r="ADD7">
        <v>2921</v>
      </c>
      <c r="ADE7">
        <v>0</v>
      </c>
      <c r="ADF7">
        <v>2425</v>
      </c>
      <c r="ADG7">
        <v>2908</v>
      </c>
      <c r="ADH7">
        <v>2162</v>
      </c>
      <c r="ADI7">
        <v>2476</v>
      </c>
      <c r="ADJ7">
        <v>2545</v>
      </c>
      <c r="ADK7">
        <v>2436</v>
      </c>
      <c r="ADL7">
        <v>0</v>
      </c>
      <c r="ADM7">
        <v>2676</v>
      </c>
      <c r="ADN7">
        <v>2788</v>
      </c>
      <c r="ADO7">
        <v>2014</v>
      </c>
      <c r="ADP7">
        <v>2696</v>
      </c>
      <c r="ADQ7">
        <v>2493</v>
      </c>
      <c r="ADR7">
        <v>2360</v>
      </c>
      <c r="ADS7">
        <v>0</v>
      </c>
      <c r="ADT7">
        <v>3088</v>
      </c>
      <c r="ADU7">
        <v>2781</v>
      </c>
      <c r="ADV7">
        <v>0</v>
      </c>
      <c r="ADW7">
        <v>0</v>
      </c>
      <c r="ADX7">
        <v>2097</v>
      </c>
      <c r="ADY7">
        <v>1934</v>
      </c>
      <c r="ADZ7">
        <v>0</v>
      </c>
      <c r="AEA7">
        <v>4083</v>
      </c>
      <c r="AEB7">
        <v>2958</v>
      </c>
      <c r="AEC7">
        <v>2880</v>
      </c>
      <c r="AED7">
        <v>2583</v>
      </c>
      <c r="AEE7">
        <v>3120</v>
      </c>
      <c r="AEF7">
        <v>2716</v>
      </c>
      <c r="AEG7">
        <v>0</v>
      </c>
      <c r="AEH7">
        <v>3820</v>
      </c>
      <c r="AEI7">
        <v>3229</v>
      </c>
      <c r="AEJ7">
        <v>3118</v>
      </c>
      <c r="AEK7">
        <v>1780</v>
      </c>
      <c r="AEL7">
        <v>2679</v>
      </c>
      <c r="AEM7">
        <v>3339</v>
      </c>
      <c r="AEN7">
        <v>0</v>
      </c>
      <c r="AEO7">
        <v>1801</v>
      </c>
      <c r="AEP7">
        <v>3281</v>
      </c>
      <c r="AEQ7">
        <v>2330</v>
      </c>
      <c r="AER7">
        <v>2333</v>
      </c>
      <c r="AES7">
        <v>2914</v>
      </c>
      <c r="AET7">
        <v>3646</v>
      </c>
      <c r="AEU7">
        <v>0</v>
      </c>
      <c r="AEV7">
        <v>4088</v>
      </c>
      <c r="AEW7">
        <v>7212</v>
      </c>
      <c r="AEX7">
        <v>3072</v>
      </c>
      <c r="AEY7">
        <v>4686</v>
      </c>
      <c r="AEZ7">
        <v>8256</v>
      </c>
      <c r="AFA7">
        <v>4962</v>
      </c>
      <c r="AFB7">
        <v>0</v>
      </c>
      <c r="AFC7">
        <v>3969</v>
      </c>
      <c r="AFD7">
        <v>0</v>
      </c>
      <c r="AFE7">
        <v>0</v>
      </c>
      <c r="AFF7">
        <v>2438</v>
      </c>
      <c r="AFG7">
        <v>2814</v>
      </c>
      <c r="AFH7">
        <v>2861</v>
      </c>
      <c r="AFI7">
        <v>0</v>
      </c>
      <c r="AFJ7">
        <v>1907</v>
      </c>
      <c r="AFK7">
        <v>3969</v>
      </c>
      <c r="AFL7">
        <v>2826</v>
      </c>
      <c r="AFM7">
        <v>2727</v>
      </c>
      <c r="AFN7">
        <v>2732</v>
      </c>
      <c r="AFO7">
        <v>2351</v>
      </c>
      <c r="AFP7">
        <v>0</v>
      </c>
      <c r="AFQ7">
        <v>2881</v>
      </c>
      <c r="AFR7">
        <v>2693</v>
      </c>
      <c r="AFS7">
        <v>2964</v>
      </c>
      <c r="AFT7">
        <v>1911</v>
      </c>
      <c r="AFU7">
        <v>1930</v>
      </c>
      <c r="AFV7">
        <v>2622</v>
      </c>
      <c r="AFW7">
        <v>0</v>
      </c>
      <c r="AFX7">
        <v>2145</v>
      </c>
      <c r="AFY7">
        <v>1503</v>
      </c>
      <c r="AFZ7">
        <v>2512</v>
      </c>
      <c r="AGA7">
        <v>2244</v>
      </c>
      <c r="AGB7">
        <v>2507</v>
      </c>
      <c r="AGC7">
        <v>2767</v>
      </c>
      <c r="AGD7">
        <v>0</v>
      </c>
      <c r="AGE7">
        <v>1771</v>
      </c>
      <c r="AGF7">
        <v>2116</v>
      </c>
      <c r="AGG7">
        <v>1738</v>
      </c>
      <c r="AGH7">
        <v>1764</v>
      </c>
      <c r="AGI7">
        <v>1874</v>
      </c>
      <c r="AGJ7">
        <v>0</v>
      </c>
      <c r="AGK7">
        <v>0</v>
      </c>
      <c r="AGL7">
        <v>2982</v>
      </c>
      <c r="AGM7">
        <v>2474</v>
      </c>
      <c r="AGN7">
        <v>2625</v>
      </c>
      <c r="AGO7">
        <v>2633</v>
      </c>
      <c r="AGP7">
        <v>3018</v>
      </c>
      <c r="AGQ7">
        <v>2976</v>
      </c>
      <c r="AGR7">
        <v>0</v>
      </c>
      <c r="AGS7">
        <v>3369</v>
      </c>
      <c r="AGT7">
        <v>2371</v>
      </c>
      <c r="AGU7">
        <v>3115</v>
      </c>
      <c r="AGV7">
        <v>3065</v>
      </c>
      <c r="AGW7">
        <v>3839</v>
      </c>
      <c r="AGX7">
        <v>2779</v>
      </c>
      <c r="AGY7">
        <v>0</v>
      </c>
      <c r="AGZ7">
        <v>4366</v>
      </c>
      <c r="AHA7">
        <v>2783</v>
      </c>
      <c r="AHB7">
        <v>2536</v>
      </c>
      <c r="AHC7">
        <v>2424</v>
      </c>
      <c r="AHD7">
        <v>2467</v>
      </c>
      <c r="AHE7">
        <v>2566</v>
      </c>
      <c r="AHI7">
        <v>2601</v>
      </c>
      <c r="AHJ7">
        <v>2701</v>
      </c>
      <c r="AHK7">
        <v>1550</v>
      </c>
      <c r="AHL7">
        <v>3996</v>
      </c>
      <c r="AHM7">
        <v>0</v>
      </c>
      <c r="AHN7">
        <v>0</v>
      </c>
      <c r="AHO7">
        <v>2852</v>
      </c>
      <c r="AHP7">
        <v>2972</v>
      </c>
      <c r="AHQ7">
        <v>2687</v>
      </c>
      <c r="AHR7">
        <v>2546</v>
      </c>
      <c r="AHS7">
        <v>3216</v>
      </c>
      <c r="AHT7">
        <v>0</v>
      </c>
      <c r="AHU7">
        <v>0</v>
      </c>
      <c r="AHV7">
        <v>0</v>
      </c>
      <c r="AHW7">
        <v>2913</v>
      </c>
      <c r="AHX7">
        <v>2689</v>
      </c>
      <c r="AHY7">
        <v>2294</v>
      </c>
      <c r="AHZ7">
        <v>2238</v>
      </c>
      <c r="AIA7">
        <v>0</v>
      </c>
      <c r="AIB7">
        <v>3227</v>
      </c>
      <c r="AIC7">
        <v>1695</v>
      </c>
      <c r="AID7">
        <v>2790</v>
      </c>
      <c r="AIE7">
        <v>2194</v>
      </c>
      <c r="AIF7">
        <v>2779</v>
      </c>
      <c r="AIG7">
        <v>2996</v>
      </c>
      <c r="AIH7">
        <v>0</v>
      </c>
      <c r="AII7">
        <v>2526</v>
      </c>
      <c r="AIJ7">
        <v>3060</v>
      </c>
      <c r="AIK7">
        <v>2059</v>
      </c>
      <c r="AIL7">
        <v>2523</v>
      </c>
      <c r="AIM7">
        <v>0</v>
      </c>
      <c r="AIN7">
        <v>1843</v>
      </c>
      <c r="AIO7">
        <v>0</v>
      </c>
      <c r="AIP7">
        <v>0</v>
      </c>
      <c r="AIQ7">
        <v>3182</v>
      </c>
      <c r="AIR7">
        <v>3545</v>
      </c>
      <c r="AIS7">
        <v>2222</v>
      </c>
      <c r="AIT7">
        <v>2870</v>
      </c>
      <c r="AIU7">
        <v>3522</v>
      </c>
      <c r="AIV7">
        <v>0</v>
      </c>
      <c r="AIW7">
        <v>3541</v>
      </c>
      <c r="AIX7">
        <v>3276</v>
      </c>
      <c r="AIY7">
        <v>3635</v>
      </c>
      <c r="AIZ7">
        <v>2258</v>
      </c>
      <c r="AJA7">
        <v>2689</v>
      </c>
      <c r="AJB7">
        <v>3111</v>
      </c>
      <c r="AJC7">
        <v>0</v>
      </c>
      <c r="AJD7">
        <v>2651</v>
      </c>
      <c r="AJE7">
        <v>3365</v>
      </c>
      <c r="AJF7">
        <v>2778</v>
      </c>
      <c r="AJG7">
        <v>2614</v>
      </c>
      <c r="AJH7">
        <v>2321</v>
      </c>
      <c r="AJI7">
        <v>3082</v>
      </c>
      <c r="AJJ7">
        <v>0</v>
      </c>
      <c r="AJK7">
        <v>2171</v>
      </c>
      <c r="AJL7">
        <v>1125</v>
      </c>
      <c r="AJM7">
        <v>3103</v>
      </c>
      <c r="AJN7">
        <v>2141</v>
      </c>
      <c r="AJO7">
        <v>2360</v>
      </c>
      <c r="AJP7">
        <v>77</v>
      </c>
      <c r="AJQ7">
        <v>0</v>
      </c>
      <c r="AJR7">
        <v>0</v>
      </c>
      <c r="AJS7">
        <v>0</v>
      </c>
      <c r="AJT7">
        <v>0</v>
      </c>
      <c r="AJU7">
        <v>2412</v>
      </c>
      <c r="AJV7">
        <v>2661</v>
      </c>
      <c r="AJW7">
        <v>2812</v>
      </c>
      <c r="AJX7">
        <v>0</v>
      </c>
      <c r="AJY7">
        <v>3055</v>
      </c>
      <c r="AJZ7">
        <v>2258</v>
      </c>
      <c r="AKA7">
        <v>1916</v>
      </c>
      <c r="AKB7">
        <v>2803</v>
      </c>
      <c r="AKC7">
        <v>1894</v>
      </c>
      <c r="AKD7">
        <v>2321</v>
      </c>
      <c r="AKE7">
        <v>0</v>
      </c>
      <c r="AKF7">
        <v>4171</v>
      </c>
    </row>
    <row r="8" spans="1:985" s="145" customFormat="1">
      <c r="A8" s="145">
        <v>6</v>
      </c>
      <c r="B8" s="146" t="s">
        <v>27</v>
      </c>
      <c r="C8" s="147">
        <v>82210</v>
      </c>
      <c r="D8" s="147" t="s">
        <v>8</v>
      </c>
      <c r="E8" s="147" t="s">
        <v>9</v>
      </c>
      <c r="F8" s="147" t="s">
        <v>28</v>
      </c>
      <c r="G8" s="147" t="s">
        <v>12</v>
      </c>
      <c r="H8" s="147" t="s">
        <v>29</v>
      </c>
      <c r="I8" s="147" t="s">
        <v>14</v>
      </c>
      <c r="J8" s="147" t="s">
        <v>15</v>
      </c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  <c r="AA8" s="148"/>
      <c r="AB8" s="148"/>
      <c r="AD8" s="148">
        <v>2280</v>
      </c>
      <c r="AE8" s="148">
        <v>5057</v>
      </c>
      <c r="AF8" s="148">
        <v>3895</v>
      </c>
      <c r="AG8" s="148">
        <v>5313</v>
      </c>
      <c r="AH8" s="148">
        <v>5864</v>
      </c>
      <c r="AI8" s="148">
        <v>4518</v>
      </c>
      <c r="AJ8" s="145">
        <v>1216</v>
      </c>
      <c r="AK8" s="148">
        <v>2233</v>
      </c>
      <c r="AL8" s="148">
        <v>4767</v>
      </c>
      <c r="AM8" s="148">
        <v>4259</v>
      </c>
      <c r="AN8" s="148">
        <v>4261</v>
      </c>
      <c r="AO8" s="148">
        <v>8023</v>
      </c>
      <c r="AP8" s="148">
        <v>3774</v>
      </c>
      <c r="AQ8" s="145">
        <v>1715</v>
      </c>
      <c r="AR8" s="148">
        <v>2440</v>
      </c>
      <c r="AS8" s="145">
        <v>2639</v>
      </c>
      <c r="AT8" s="148">
        <v>3162</v>
      </c>
      <c r="AU8" s="148">
        <v>6822</v>
      </c>
      <c r="AV8" s="148">
        <v>6205</v>
      </c>
      <c r="AW8" s="148">
        <v>5940</v>
      </c>
      <c r="AX8" s="145">
        <v>1777</v>
      </c>
      <c r="AY8" s="148">
        <v>4389</v>
      </c>
      <c r="AZ8" s="148">
        <v>5979</v>
      </c>
      <c r="BA8" s="148">
        <v>4020</v>
      </c>
      <c r="BB8" s="148">
        <v>5682</v>
      </c>
      <c r="BC8" s="148">
        <v>8523</v>
      </c>
      <c r="BD8" s="148">
        <v>6049</v>
      </c>
      <c r="BE8" s="145">
        <v>3753</v>
      </c>
      <c r="BF8" s="148">
        <v>2005</v>
      </c>
      <c r="BG8" s="148">
        <v>12296</v>
      </c>
      <c r="BH8" s="148">
        <v>4306</v>
      </c>
      <c r="BI8" s="148">
        <v>5506</v>
      </c>
      <c r="BJ8" s="148">
        <v>5737</v>
      </c>
      <c r="BK8" s="148">
        <v>5451</v>
      </c>
      <c r="BL8" s="148">
        <v>1942</v>
      </c>
      <c r="BM8" s="148">
        <v>4624</v>
      </c>
      <c r="BN8" s="148">
        <v>8073</v>
      </c>
      <c r="BO8" s="148">
        <v>4060</v>
      </c>
      <c r="BP8" s="148">
        <v>7271</v>
      </c>
      <c r="BQ8" s="148">
        <v>5500</v>
      </c>
      <c r="BR8" s="148">
        <v>417</v>
      </c>
      <c r="BS8" s="148"/>
      <c r="BT8" s="148"/>
      <c r="BU8" s="148"/>
      <c r="BV8" s="148">
        <v>3421</v>
      </c>
      <c r="BW8" s="148">
        <v>3729</v>
      </c>
      <c r="BX8" s="148">
        <v>4467</v>
      </c>
      <c r="BY8" s="148">
        <v>3677</v>
      </c>
      <c r="BZ8" s="148">
        <v>1077</v>
      </c>
      <c r="CA8" s="145">
        <v>3036</v>
      </c>
      <c r="CB8" s="145">
        <v>5086</v>
      </c>
      <c r="CC8" s="145">
        <v>3269</v>
      </c>
      <c r="CD8" s="145">
        <v>5316</v>
      </c>
      <c r="CE8" s="145">
        <v>5620</v>
      </c>
      <c r="CF8" s="145">
        <v>4525</v>
      </c>
      <c r="CG8" s="145">
        <v>3594</v>
      </c>
      <c r="CH8" s="145">
        <v>3481</v>
      </c>
      <c r="CI8" s="145">
        <v>8987</v>
      </c>
      <c r="CJ8" s="145">
        <v>6273</v>
      </c>
      <c r="CK8" s="145">
        <v>5641</v>
      </c>
      <c r="CL8" s="145">
        <v>7205</v>
      </c>
      <c r="CM8" s="145">
        <v>4482</v>
      </c>
      <c r="CN8" s="145">
        <v>383</v>
      </c>
      <c r="CO8" s="145">
        <v>1075</v>
      </c>
      <c r="CP8" s="145">
        <v>5949</v>
      </c>
      <c r="CQ8" s="145">
        <v>2697</v>
      </c>
      <c r="CR8" s="145">
        <v>4712</v>
      </c>
      <c r="CS8" s="145">
        <v>5550</v>
      </c>
      <c r="CT8" s="145">
        <v>3928</v>
      </c>
      <c r="CU8" s="145">
        <v>1439</v>
      </c>
      <c r="CV8" s="145">
        <v>3279</v>
      </c>
      <c r="CW8" s="145">
        <v>4298</v>
      </c>
      <c r="CX8" s="145">
        <v>2471</v>
      </c>
      <c r="CY8" s="145">
        <v>4249</v>
      </c>
      <c r="CZ8" s="145">
        <v>4822</v>
      </c>
      <c r="DA8" s="145">
        <v>2413</v>
      </c>
      <c r="DB8" s="145">
        <v>795</v>
      </c>
      <c r="DC8" s="145">
        <v>2150</v>
      </c>
      <c r="DD8" s="145">
        <v>4643</v>
      </c>
      <c r="DE8" s="145">
        <v>2855</v>
      </c>
      <c r="DF8" s="145">
        <v>7293</v>
      </c>
      <c r="DG8" s="145">
        <v>4749</v>
      </c>
      <c r="DH8" s="145">
        <v>3643</v>
      </c>
      <c r="DI8" s="145">
        <v>1230</v>
      </c>
      <c r="DJ8" s="145">
        <v>2479</v>
      </c>
      <c r="DK8" s="145">
        <v>4515</v>
      </c>
      <c r="DL8" s="145">
        <v>3884</v>
      </c>
      <c r="DM8" s="145">
        <v>3654</v>
      </c>
      <c r="DN8" s="145">
        <v>4977</v>
      </c>
      <c r="DO8" s="145">
        <v>3473</v>
      </c>
      <c r="DP8" s="145">
        <v>1148</v>
      </c>
      <c r="DQ8" s="145">
        <v>2139</v>
      </c>
      <c r="DR8" s="145">
        <v>4996</v>
      </c>
      <c r="DS8" s="145">
        <v>3619</v>
      </c>
      <c r="DT8" s="145">
        <v>3786</v>
      </c>
      <c r="DU8" s="145">
        <v>4001</v>
      </c>
      <c r="DV8" s="145">
        <v>3128</v>
      </c>
      <c r="DW8" s="145">
        <v>975</v>
      </c>
      <c r="DX8" s="145">
        <v>2970</v>
      </c>
      <c r="DY8" s="145">
        <v>4281</v>
      </c>
      <c r="DZ8" s="145">
        <v>3383</v>
      </c>
      <c r="EA8" s="145">
        <v>5247</v>
      </c>
      <c r="EB8" s="145">
        <v>4400</v>
      </c>
      <c r="EC8" s="145">
        <v>2416</v>
      </c>
      <c r="ED8" s="145">
        <v>776</v>
      </c>
      <c r="EE8" s="145">
        <v>1863</v>
      </c>
      <c r="EF8" s="145">
        <v>3235</v>
      </c>
      <c r="EG8" s="145">
        <v>2439</v>
      </c>
      <c r="EH8" s="145">
        <v>4720</v>
      </c>
      <c r="EI8" s="145">
        <v>3925</v>
      </c>
      <c r="EJ8" s="145">
        <v>4173</v>
      </c>
      <c r="EK8" s="145">
        <v>1735</v>
      </c>
      <c r="EL8" s="145">
        <v>1303</v>
      </c>
      <c r="EM8" s="145">
        <v>4211</v>
      </c>
      <c r="EN8" s="145">
        <v>2215</v>
      </c>
      <c r="EO8" s="145">
        <v>4373</v>
      </c>
      <c r="EP8" s="145">
        <v>6219</v>
      </c>
      <c r="EQ8" s="145">
        <v>5038</v>
      </c>
      <c r="ER8" s="145">
        <v>834</v>
      </c>
      <c r="ES8" s="145">
        <v>1730</v>
      </c>
      <c r="ET8" s="145">
        <v>4507</v>
      </c>
      <c r="EU8" s="145">
        <v>2684</v>
      </c>
      <c r="EV8" s="145">
        <v>4345</v>
      </c>
      <c r="EW8" s="145">
        <v>5786</v>
      </c>
      <c r="EX8" s="145">
        <v>3040</v>
      </c>
      <c r="EY8" s="145">
        <v>990</v>
      </c>
      <c r="EZ8" s="145">
        <v>1898</v>
      </c>
      <c r="FA8" s="145">
        <v>5779</v>
      </c>
      <c r="FB8" s="145">
        <v>2674</v>
      </c>
      <c r="FC8" s="145">
        <v>4572</v>
      </c>
      <c r="FD8" s="145">
        <v>4565</v>
      </c>
      <c r="FE8" s="145">
        <v>2098</v>
      </c>
      <c r="FF8" s="145">
        <v>602</v>
      </c>
      <c r="FG8" s="145">
        <v>1980</v>
      </c>
      <c r="FH8" s="145">
        <v>3891</v>
      </c>
      <c r="FI8" s="145">
        <v>3203</v>
      </c>
      <c r="FJ8" s="145">
        <v>3485</v>
      </c>
      <c r="FK8" s="145">
        <v>4607</v>
      </c>
      <c r="FL8" s="145">
        <v>3664</v>
      </c>
      <c r="FN8" s="145">
        <v>1755</v>
      </c>
      <c r="FO8" s="145">
        <v>6911</v>
      </c>
      <c r="FP8" s="145">
        <v>3472</v>
      </c>
      <c r="FQ8" s="145">
        <v>7211</v>
      </c>
      <c r="FR8" s="145">
        <v>5216</v>
      </c>
      <c r="FS8" s="145">
        <v>124</v>
      </c>
      <c r="FV8" s="145">
        <v>1752</v>
      </c>
      <c r="FW8" s="145">
        <v>5410</v>
      </c>
      <c r="FX8" s="145">
        <v>5525</v>
      </c>
      <c r="FY8" s="145">
        <v>3830</v>
      </c>
      <c r="FZ8" s="145">
        <v>3973</v>
      </c>
      <c r="GA8" s="145">
        <v>2494</v>
      </c>
      <c r="GB8" s="145">
        <v>1477</v>
      </c>
      <c r="GC8" s="145">
        <v>4707</v>
      </c>
      <c r="GD8" s="145">
        <v>4604</v>
      </c>
      <c r="GE8" s="145">
        <v>5909</v>
      </c>
      <c r="GF8" s="145">
        <v>5816</v>
      </c>
      <c r="GG8" s="145">
        <v>3909</v>
      </c>
      <c r="GH8" s="145">
        <v>1118</v>
      </c>
      <c r="GI8" s="145">
        <v>2477</v>
      </c>
      <c r="GJ8" s="145">
        <v>3456</v>
      </c>
      <c r="GK8" s="145">
        <v>4041</v>
      </c>
      <c r="GL8" s="145">
        <v>2409</v>
      </c>
      <c r="GM8" s="145">
        <v>5706</v>
      </c>
      <c r="GN8" s="145">
        <v>2924</v>
      </c>
      <c r="GP8" s="145">
        <v>762</v>
      </c>
      <c r="GQ8" s="145">
        <v>7130</v>
      </c>
      <c r="GR8" s="145">
        <v>3058</v>
      </c>
      <c r="GS8" s="145">
        <v>6371</v>
      </c>
      <c r="GT8" s="145">
        <v>5457</v>
      </c>
      <c r="GU8" s="145">
        <v>4619</v>
      </c>
      <c r="GV8" s="145">
        <v>1426</v>
      </c>
      <c r="GW8" s="145">
        <v>2650</v>
      </c>
      <c r="GX8" s="145">
        <v>3120</v>
      </c>
      <c r="GY8" s="145">
        <v>1875</v>
      </c>
      <c r="GZ8" s="145">
        <v>2811</v>
      </c>
      <c r="HA8" s="145">
        <v>2662</v>
      </c>
      <c r="HB8" s="145">
        <v>2035</v>
      </c>
      <c r="HC8" s="145">
        <v>233</v>
      </c>
      <c r="HD8" s="145">
        <v>653</v>
      </c>
      <c r="HE8" s="145">
        <v>3253</v>
      </c>
      <c r="HF8" s="145">
        <v>2969</v>
      </c>
      <c r="HG8" s="145">
        <v>956</v>
      </c>
      <c r="HH8" s="145">
        <v>3119</v>
      </c>
      <c r="HI8" s="145">
        <v>2416</v>
      </c>
      <c r="HJ8" s="145">
        <v>304</v>
      </c>
      <c r="HK8" s="145">
        <v>393</v>
      </c>
      <c r="HL8" s="145">
        <v>2090</v>
      </c>
      <c r="HM8" s="145">
        <v>1603</v>
      </c>
      <c r="HN8" s="145">
        <v>847</v>
      </c>
      <c r="HO8" s="145">
        <v>934</v>
      </c>
      <c r="HP8" s="145">
        <v>4616</v>
      </c>
      <c r="HQ8" s="145">
        <v>1845</v>
      </c>
      <c r="HS8" s="145">
        <v>2654</v>
      </c>
      <c r="HT8" s="145">
        <v>7402</v>
      </c>
      <c r="HU8" s="145">
        <v>6214</v>
      </c>
      <c r="HV8" s="145">
        <v>4078</v>
      </c>
      <c r="HW8" s="145">
        <v>3287</v>
      </c>
      <c r="HX8" s="145">
        <v>936</v>
      </c>
      <c r="HY8" s="145">
        <v>2104</v>
      </c>
      <c r="HZ8" s="145">
        <v>3349</v>
      </c>
      <c r="IA8" s="145">
        <v>3838</v>
      </c>
      <c r="IB8" s="145">
        <v>4104</v>
      </c>
      <c r="IC8" s="145">
        <v>6045</v>
      </c>
      <c r="ID8" s="145">
        <v>3367</v>
      </c>
      <c r="IE8" s="145">
        <v>827</v>
      </c>
      <c r="IF8" s="145">
        <v>2270</v>
      </c>
      <c r="IG8" s="145">
        <v>3336</v>
      </c>
      <c r="IH8" s="145">
        <v>3148</v>
      </c>
      <c r="II8" s="145">
        <v>4024</v>
      </c>
      <c r="IJ8" s="145">
        <v>5947</v>
      </c>
      <c r="IK8" s="145">
        <v>4494</v>
      </c>
      <c r="IL8" s="145">
        <v>1119</v>
      </c>
      <c r="IM8" s="145">
        <v>3221</v>
      </c>
      <c r="IN8" s="145">
        <v>3971</v>
      </c>
      <c r="IO8" s="145">
        <v>1762</v>
      </c>
      <c r="IP8" s="145">
        <v>2455</v>
      </c>
      <c r="IQ8" s="145">
        <v>3362</v>
      </c>
      <c r="IR8" s="145">
        <v>2386</v>
      </c>
      <c r="IS8" s="145">
        <v>527</v>
      </c>
      <c r="IT8" s="145">
        <v>3139</v>
      </c>
      <c r="IU8" s="145">
        <v>5936</v>
      </c>
      <c r="IV8" s="145">
        <v>4276</v>
      </c>
      <c r="IW8" s="145">
        <v>4270</v>
      </c>
      <c r="IX8" s="145">
        <v>5801</v>
      </c>
      <c r="IY8" s="145">
        <v>4246</v>
      </c>
      <c r="IZ8" s="145">
        <v>656</v>
      </c>
      <c r="JA8" s="145">
        <v>3235</v>
      </c>
      <c r="JB8" s="145">
        <v>5361</v>
      </c>
      <c r="JC8" s="145">
        <v>3651</v>
      </c>
      <c r="JD8" s="145">
        <v>4922</v>
      </c>
      <c r="JE8" s="145">
        <v>5888</v>
      </c>
      <c r="JF8" s="145">
        <v>4022</v>
      </c>
      <c r="JG8" s="145">
        <v>1157</v>
      </c>
      <c r="JH8" s="145">
        <v>2286</v>
      </c>
      <c r="JI8" s="145">
        <v>3620</v>
      </c>
      <c r="JJ8" s="145">
        <v>2880</v>
      </c>
      <c r="JK8" s="145">
        <v>3022</v>
      </c>
      <c r="JL8" s="145">
        <v>5985</v>
      </c>
      <c r="JM8" s="145">
        <v>3326</v>
      </c>
      <c r="JN8" s="145">
        <v>1132</v>
      </c>
      <c r="JO8" s="145">
        <v>2901</v>
      </c>
      <c r="JP8" s="145">
        <v>4618</v>
      </c>
      <c r="JQ8" s="145">
        <v>4742</v>
      </c>
      <c r="JR8" s="145">
        <v>4384</v>
      </c>
      <c r="JS8" s="145">
        <v>6267</v>
      </c>
      <c r="JT8" s="145">
        <v>3187</v>
      </c>
      <c r="JU8" s="145">
        <v>5622</v>
      </c>
      <c r="JV8" s="145">
        <v>0</v>
      </c>
      <c r="JW8" s="145">
        <v>1493</v>
      </c>
      <c r="JX8" s="145">
        <v>4422</v>
      </c>
      <c r="JY8" s="145">
        <v>6405</v>
      </c>
      <c r="JZ8" s="145">
        <v>5805</v>
      </c>
      <c r="KA8" s="145">
        <v>3878</v>
      </c>
      <c r="KB8" s="145">
        <v>332</v>
      </c>
      <c r="KC8" s="145">
        <v>2576</v>
      </c>
      <c r="KD8" s="145">
        <v>2607</v>
      </c>
      <c r="KE8" s="145">
        <v>3937</v>
      </c>
      <c r="KF8" s="145">
        <v>4804</v>
      </c>
      <c r="KG8" s="145">
        <v>4233</v>
      </c>
      <c r="KH8" s="145">
        <v>3635</v>
      </c>
      <c r="KI8" s="145">
        <v>1887</v>
      </c>
      <c r="KJ8" s="145">
        <v>0</v>
      </c>
      <c r="KK8" s="145">
        <v>1166</v>
      </c>
      <c r="KL8" s="145">
        <v>4868</v>
      </c>
      <c r="KM8" s="145">
        <v>5480</v>
      </c>
      <c r="KN8" s="145">
        <v>5663</v>
      </c>
      <c r="KO8" s="145">
        <v>3478</v>
      </c>
      <c r="KP8" s="145">
        <v>759</v>
      </c>
      <c r="KQ8" s="145">
        <v>2426</v>
      </c>
      <c r="KR8" s="145">
        <v>3245</v>
      </c>
      <c r="KS8" s="145">
        <v>2191</v>
      </c>
      <c r="KT8" s="145">
        <v>4959</v>
      </c>
      <c r="KU8" s="145">
        <v>4788</v>
      </c>
      <c r="KV8" s="145">
        <v>2698</v>
      </c>
      <c r="KW8" s="145">
        <v>1492</v>
      </c>
      <c r="KX8" s="145">
        <v>2262</v>
      </c>
      <c r="KY8" s="145">
        <v>3300</v>
      </c>
      <c r="KZ8" s="145">
        <v>3183</v>
      </c>
      <c r="LA8" s="145">
        <v>4677</v>
      </c>
      <c r="LB8" s="145">
        <v>4114</v>
      </c>
      <c r="LC8" s="145">
        <v>3625</v>
      </c>
      <c r="LD8" s="145">
        <v>924</v>
      </c>
      <c r="LE8" s="145">
        <v>1966</v>
      </c>
      <c r="LF8" s="145">
        <v>5297</v>
      </c>
      <c r="LG8" s="145">
        <v>2629</v>
      </c>
      <c r="LH8" s="145">
        <v>4343</v>
      </c>
      <c r="LI8" s="145">
        <v>5690</v>
      </c>
      <c r="LJ8" s="145">
        <v>5974</v>
      </c>
      <c r="LK8" s="145">
        <v>1926</v>
      </c>
      <c r="LL8" s="145">
        <v>3137</v>
      </c>
      <c r="LM8" s="149">
        <v>5925</v>
      </c>
      <c r="LN8" s="145">
        <v>4147</v>
      </c>
      <c r="LO8" s="145">
        <v>4322</v>
      </c>
      <c r="LP8" s="145">
        <v>5503</v>
      </c>
      <c r="LQ8" s="145">
        <v>2891</v>
      </c>
      <c r="LR8" s="145">
        <v>1254</v>
      </c>
      <c r="LS8" s="150">
        <v>2440</v>
      </c>
      <c r="LT8" s="145">
        <v>3241</v>
      </c>
      <c r="LU8" s="145">
        <v>3425</v>
      </c>
      <c r="LV8" s="145">
        <v>4042</v>
      </c>
      <c r="LW8" s="145">
        <v>5447</v>
      </c>
      <c r="LX8" s="145">
        <v>4256</v>
      </c>
      <c r="LY8" s="145">
        <v>1323</v>
      </c>
      <c r="LZ8" s="145">
        <v>1517</v>
      </c>
      <c r="MA8" s="145">
        <v>5990</v>
      </c>
      <c r="MB8" s="145">
        <v>5094</v>
      </c>
      <c r="MC8" s="145">
        <v>4870</v>
      </c>
      <c r="MD8" s="145">
        <v>6544</v>
      </c>
      <c r="ME8" s="145">
        <v>5964</v>
      </c>
      <c r="MF8" s="145">
        <v>1582</v>
      </c>
      <c r="MG8" s="145">
        <v>2893</v>
      </c>
      <c r="MH8" s="145">
        <v>2535</v>
      </c>
      <c r="MI8" s="145">
        <v>1601</v>
      </c>
      <c r="MJ8" s="145">
        <v>2615</v>
      </c>
      <c r="MK8" s="145">
        <v>2496</v>
      </c>
      <c r="ML8" s="145">
        <v>2763</v>
      </c>
      <c r="MM8" s="145">
        <v>687</v>
      </c>
      <c r="MN8" s="145">
        <v>3037</v>
      </c>
      <c r="MO8" s="145">
        <v>5190</v>
      </c>
      <c r="MP8" s="145">
        <v>3830</v>
      </c>
      <c r="MQ8" s="145">
        <v>4882</v>
      </c>
      <c r="MR8" s="145">
        <v>6800</v>
      </c>
      <c r="MS8" s="145">
        <v>4229</v>
      </c>
      <c r="MT8" s="145">
        <v>2000</v>
      </c>
      <c r="MU8" s="145">
        <v>0</v>
      </c>
      <c r="MV8" s="145">
        <v>1432</v>
      </c>
      <c r="MW8" s="145">
        <v>7013</v>
      </c>
      <c r="MX8" s="145">
        <v>5659</v>
      </c>
      <c r="MY8" s="145">
        <v>5057</v>
      </c>
      <c r="MZ8" s="145">
        <v>4585</v>
      </c>
      <c r="NA8" s="145">
        <v>1509</v>
      </c>
      <c r="NB8" s="145">
        <v>3134</v>
      </c>
      <c r="NC8" s="145">
        <v>2532</v>
      </c>
      <c r="ND8" s="145">
        <v>3871</v>
      </c>
      <c r="NE8" s="145">
        <v>2445</v>
      </c>
      <c r="NF8" s="145">
        <v>6979</v>
      </c>
      <c r="NG8" s="145">
        <v>4779</v>
      </c>
      <c r="NH8" s="145">
        <v>2425</v>
      </c>
      <c r="NI8" s="145">
        <v>3425</v>
      </c>
      <c r="NJ8" s="145">
        <v>4877</v>
      </c>
      <c r="NK8" s="145">
        <v>2871</v>
      </c>
      <c r="NL8" s="145">
        <v>6224</v>
      </c>
      <c r="NM8" s="145">
        <v>6127</v>
      </c>
      <c r="NN8" s="145">
        <v>5494</v>
      </c>
      <c r="NO8" s="145">
        <v>874</v>
      </c>
      <c r="NP8" s="145">
        <v>3889</v>
      </c>
      <c r="NQ8" s="145">
        <v>5398</v>
      </c>
      <c r="NR8" s="145">
        <v>4870</v>
      </c>
      <c r="NS8" s="145">
        <v>6070</v>
      </c>
      <c r="NT8" s="145">
        <v>6513</v>
      </c>
      <c r="NU8" s="145">
        <v>5134</v>
      </c>
      <c r="NV8" s="145">
        <v>1738</v>
      </c>
      <c r="NW8" s="145">
        <v>2730</v>
      </c>
      <c r="NX8" s="145">
        <v>5073</v>
      </c>
      <c r="NY8" s="145">
        <v>5595</v>
      </c>
      <c r="NZ8" s="145">
        <v>4929</v>
      </c>
      <c r="OA8" s="145">
        <v>5578</v>
      </c>
      <c r="OB8" s="145">
        <v>4500</v>
      </c>
      <c r="OC8" s="145">
        <v>742</v>
      </c>
      <c r="OD8" s="145">
        <v>616</v>
      </c>
      <c r="OE8" s="145">
        <v>2777</v>
      </c>
      <c r="OF8" s="145">
        <v>485</v>
      </c>
      <c r="OG8" s="145">
        <v>2867</v>
      </c>
      <c r="OH8" s="145">
        <v>2778</v>
      </c>
      <c r="OI8" s="145">
        <v>1539</v>
      </c>
      <c r="OJ8" s="145">
        <v>205</v>
      </c>
      <c r="OK8" s="145">
        <v>3200</v>
      </c>
      <c r="OL8" s="145">
        <v>4688</v>
      </c>
      <c r="OM8" s="145">
        <v>4699</v>
      </c>
      <c r="ON8" s="145">
        <v>5364</v>
      </c>
      <c r="OO8" s="145">
        <v>6369</v>
      </c>
      <c r="OP8" s="145">
        <v>4088</v>
      </c>
      <c r="OQ8" s="145">
        <v>588</v>
      </c>
      <c r="OR8" s="145">
        <v>3482</v>
      </c>
      <c r="OS8" s="145">
        <v>4172</v>
      </c>
      <c r="OT8" s="145">
        <v>2888</v>
      </c>
      <c r="OU8" s="145">
        <v>6441</v>
      </c>
      <c r="OV8" s="145">
        <v>1870</v>
      </c>
      <c r="OW8" s="145">
        <v>6523</v>
      </c>
      <c r="OX8" s="145">
        <v>1612</v>
      </c>
      <c r="OY8" s="145">
        <v>3008</v>
      </c>
      <c r="OZ8" s="145">
        <v>6185</v>
      </c>
      <c r="PA8" s="145">
        <v>3938</v>
      </c>
      <c r="PB8" s="145">
        <v>6122</v>
      </c>
      <c r="PC8" s="145">
        <v>8130</v>
      </c>
      <c r="PD8" s="145">
        <v>2979</v>
      </c>
      <c r="PE8" s="145">
        <v>1433</v>
      </c>
      <c r="PF8" s="145">
        <v>2952</v>
      </c>
      <c r="PG8" s="145">
        <v>7733</v>
      </c>
      <c r="PH8" s="145">
        <v>3113</v>
      </c>
      <c r="PI8" s="145">
        <v>7581</v>
      </c>
      <c r="PJ8" s="145">
        <v>6183</v>
      </c>
      <c r="PK8" s="145">
        <v>5945</v>
      </c>
      <c r="PL8" s="145">
        <v>2071</v>
      </c>
      <c r="PM8" s="145">
        <v>1653</v>
      </c>
      <c r="PN8" s="145">
        <v>5639</v>
      </c>
      <c r="PO8" s="145">
        <v>6678</v>
      </c>
      <c r="PP8" s="145">
        <v>5701</v>
      </c>
      <c r="PQ8" s="145">
        <v>6276</v>
      </c>
      <c r="PR8" s="145">
        <v>2990</v>
      </c>
      <c r="PS8" s="145">
        <v>1043</v>
      </c>
      <c r="PT8" s="145">
        <v>126</v>
      </c>
      <c r="PV8" s="145">
        <v>0</v>
      </c>
      <c r="PW8" s="145">
        <v>1980</v>
      </c>
      <c r="PX8" s="145">
        <v>3880</v>
      </c>
      <c r="PY8" s="145">
        <v>3013</v>
      </c>
      <c r="PZ8" s="145">
        <v>483</v>
      </c>
      <c r="QA8" s="145">
        <v>2654</v>
      </c>
      <c r="QB8" s="145">
        <v>4860</v>
      </c>
      <c r="QC8" s="145">
        <v>4155</v>
      </c>
      <c r="QD8" s="145">
        <v>6034</v>
      </c>
      <c r="QE8" s="145">
        <v>6635</v>
      </c>
      <c r="QF8" s="145">
        <v>6062</v>
      </c>
      <c r="QG8" s="145">
        <v>1613</v>
      </c>
      <c r="QH8" s="145">
        <v>2306</v>
      </c>
      <c r="QI8" s="145">
        <v>7641</v>
      </c>
      <c r="QJ8" s="145">
        <v>3303</v>
      </c>
      <c r="QK8" s="145">
        <v>5381</v>
      </c>
      <c r="QL8" s="145">
        <v>4203</v>
      </c>
      <c r="QM8" s="145">
        <v>5154</v>
      </c>
      <c r="QN8" s="145">
        <v>1141</v>
      </c>
      <c r="QO8" s="145">
        <v>1417</v>
      </c>
      <c r="QP8" s="145">
        <v>4939</v>
      </c>
      <c r="QQ8" s="145">
        <v>3766</v>
      </c>
      <c r="QR8" s="145">
        <v>5418</v>
      </c>
      <c r="QS8" s="145">
        <v>5409</v>
      </c>
      <c r="QT8" s="145">
        <v>2500</v>
      </c>
      <c r="QU8" s="145">
        <v>1658</v>
      </c>
      <c r="QV8" s="145">
        <v>1801</v>
      </c>
      <c r="QW8" s="145">
        <v>4552</v>
      </c>
      <c r="QX8" s="145">
        <v>4553</v>
      </c>
      <c r="QY8" s="145">
        <v>4140</v>
      </c>
      <c r="QZ8" s="145">
        <v>4704</v>
      </c>
      <c r="RA8" s="145">
        <v>2235</v>
      </c>
      <c r="RB8" s="145">
        <v>1214</v>
      </c>
      <c r="RC8" s="145">
        <v>1804</v>
      </c>
      <c r="RD8" s="145">
        <v>5426</v>
      </c>
      <c r="RE8" s="145">
        <v>2506</v>
      </c>
      <c r="RF8" s="145">
        <v>5888</v>
      </c>
      <c r="RG8" s="145">
        <v>4813</v>
      </c>
      <c r="RH8" s="145">
        <v>2968</v>
      </c>
      <c r="RI8" s="145">
        <v>0</v>
      </c>
      <c r="RJ8" s="145">
        <v>1274</v>
      </c>
      <c r="RK8" s="145">
        <v>4947</v>
      </c>
      <c r="RL8" s="145">
        <v>4641</v>
      </c>
      <c r="RM8" s="145">
        <v>5780</v>
      </c>
      <c r="RN8" s="145">
        <v>3799</v>
      </c>
      <c r="RO8" s="145">
        <v>3552</v>
      </c>
      <c r="RP8" s="145">
        <v>780</v>
      </c>
      <c r="RQ8" s="145">
        <v>2071</v>
      </c>
      <c r="RR8" s="145">
        <v>4222</v>
      </c>
      <c r="RS8" s="145">
        <v>2158</v>
      </c>
      <c r="RT8" s="145">
        <v>4710</v>
      </c>
      <c r="RU8" s="145">
        <v>4723</v>
      </c>
      <c r="RV8" s="145">
        <v>3623</v>
      </c>
      <c r="RW8" s="145">
        <v>1322</v>
      </c>
      <c r="RX8" s="145">
        <v>2736</v>
      </c>
      <c r="RY8" s="145">
        <v>4981</v>
      </c>
      <c r="RZ8" s="145">
        <v>3592</v>
      </c>
      <c r="SA8" s="145">
        <v>5984</v>
      </c>
      <c r="SB8" s="145">
        <v>3749</v>
      </c>
      <c r="SC8" s="145">
        <v>3385</v>
      </c>
      <c r="SD8" s="145">
        <v>839</v>
      </c>
      <c r="SE8" s="145">
        <v>1387</v>
      </c>
      <c r="SF8" s="145">
        <v>4799</v>
      </c>
      <c r="SG8" s="145">
        <v>1782</v>
      </c>
      <c r="SH8" s="145">
        <v>4309</v>
      </c>
      <c r="SI8" s="145">
        <v>4173</v>
      </c>
      <c r="SJ8" s="145">
        <v>3397</v>
      </c>
      <c r="SK8" s="145">
        <v>679</v>
      </c>
      <c r="SL8" s="145">
        <v>2102</v>
      </c>
      <c r="SM8" s="145">
        <v>4860</v>
      </c>
      <c r="SN8" s="145">
        <v>1971</v>
      </c>
      <c r="SO8" s="145">
        <v>4582</v>
      </c>
      <c r="SP8" s="145">
        <v>5939</v>
      </c>
      <c r="SQ8" s="145">
        <v>3784</v>
      </c>
      <c r="SR8" s="145">
        <v>752</v>
      </c>
      <c r="SS8" s="145">
        <v>1871</v>
      </c>
      <c r="ST8" s="145">
        <v>3500</v>
      </c>
      <c r="SU8" s="145">
        <v>2677</v>
      </c>
      <c r="SV8" s="145">
        <v>6692</v>
      </c>
      <c r="SW8" s="145">
        <v>5503</v>
      </c>
      <c r="SX8" s="145">
        <v>5103</v>
      </c>
      <c r="SY8" s="145">
        <v>1843</v>
      </c>
      <c r="SZ8" s="145">
        <v>2628</v>
      </c>
      <c r="TA8" s="145">
        <v>3842</v>
      </c>
      <c r="TB8" s="145">
        <v>3163</v>
      </c>
      <c r="TC8" s="145">
        <v>5078</v>
      </c>
      <c r="TD8" s="145">
        <v>4435</v>
      </c>
      <c r="TE8" s="145">
        <v>3988</v>
      </c>
      <c r="TF8" s="145">
        <v>961</v>
      </c>
      <c r="TG8" s="145">
        <v>1445</v>
      </c>
      <c r="TH8" s="145">
        <v>4027</v>
      </c>
      <c r="TI8" s="145">
        <v>2522</v>
      </c>
      <c r="TJ8" s="145">
        <v>5336</v>
      </c>
      <c r="TK8" s="145">
        <v>4245</v>
      </c>
      <c r="TL8" s="145">
        <v>3120</v>
      </c>
      <c r="TM8" s="145">
        <v>2706</v>
      </c>
      <c r="TN8" s="145">
        <v>0</v>
      </c>
      <c r="TO8" s="145">
        <v>1499</v>
      </c>
      <c r="TP8" s="145">
        <v>5571</v>
      </c>
      <c r="TQ8" s="145">
        <v>6485</v>
      </c>
      <c r="TR8" s="145">
        <v>7178</v>
      </c>
      <c r="TS8" s="145">
        <v>5335</v>
      </c>
      <c r="TT8" s="145">
        <v>1398</v>
      </c>
      <c r="TU8" s="145">
        <v>0</v>
      </c>
      <c r="TV8" s="145">
        <v>0</v>
      </c>
      <c r="TW8" s="145">
        <v>4171</v>
      </c>
      <c r="TX8" s="145">
        <v>8166</v>
      </c>
      <c r="TY8" s="145">
        <v>5149</v>
      </c>
      <c r="TZ8" s="145">
        <v>4176</v>
      </c>
      <c r="UA8" s="145">
        <v>0</v>
      </c>
      <c r="UB8" s="145">
        <v>1349</v>
      </c>
      <c r="UC8" s="145">
        <v>1851</v>
      </c>
      <c r="UD8" s="145">
        <v>5920</v>
      </c>
      <c r="UE8" s="145">
        <v>3136</v>
      </c>
      <c r="UF8" s="145">
        <v>4921</v>
      </c>
      <c r="UG8" s="145">
        <v>3936</v>
      </c>
      <c r="UH8" s="145">
        <v>4067</v>
      </c>
      <c r="UI8" s="145">
        <v>1125</v>
      </c>
      <c r="UJ8" s="145">
        <v>2095</v>
      </c>
      <c r="UK8" s="145">
        <v>5633</v>
      </c>
      <c r="UL8" s="145">
        <v>1867</v>
      </c>
      <c r="UM8" s="145">
        <v>340</v>
      </c>
      <c r="UN8" s="145">
        <v>1163</v>
      </c>
      <c r="UO8" s="145">
        <v>991</v>
      </c>
      <c r="UP8" s="145">
        <v>0</v>
      </c>
      <c r="UQ8" s="145">
        <v>339</v>
      </c>
      <c r="UR8" s="145">
        <v>680</v>
      </c>
      <c r="US8" s="145">
        <v>993</v>
      </c>
      <c r="UT8" s="145">
        <v>1040</v>
      </c>
      <c r="UU8" s="145">
        <v>509</v>
      </c>
      <c r="UV8" s="145">
        <v>1820</v>
      </c>
      <c r="UW8" s="145">
        <v>0</v>
      </c>
      <c r="UX8" s="145">
        <v>1848</v>
      </c>
      <c r="UY8" s="145">
        <v>4299</v>
      </c>
      <c r="UZ8" s="145">
        <v>7449</v>
      </c>
      <c r="VA8" s="145">
        <v>5102</v>
      </c>
      <c r="VB8" s="145">
        <v>4796</v>
      </c>
      <c r="VC8" s="145">
        <v>1213</v>
      </c>
      <c r="VD8" s="145">
        <v>1757</v>
      </c>
      <c r="VE8" s="145">
        <v>6142</v>
      </c>
      <c r="VF8" s="145">
        <v>3411</v>
      </c>
      <c r="VG8" s="145">
        <v>5998</v>
      </c>
      <c r="VH8" s="145">
        <v>9473</v>
      </c>
      <c r="VI8" s="145">
        <v>5627</v>
      </c>
      <c r="VJ8" s="145">
        <v>1517</v>
      </c>
      <c r="VK8" s="145">
        <v>2388</v>
      </c>
      <c r="VL8" s="145">
        <v>5710</v>
      </c>
      <c r="VM8" s="145">
        <v>2465</v>
      </c>
      <c r="VN8" s="145">
        <v>5598</v>
      </c>
      <c r="VO8" s="145">
        <v>5701</v>
      </c>
      <c r="VP8" s="145">
        <v>2852</v>
      </c>
      <c r="VQ8" s="145">
        <v>1076</v>
      </c>
      <c r="VR8" s="145">
        <v>1351</v>
      </c>
      <c r="VS8" s="145">
        <v>2887</v>
      </c>
      <c r="VT8" s="145">
        <v>1794</v>
      </c>
      <c r="VU8" s="145">
        <v>3422</v>
      </c>
      <c r="VV8" s="145">
        <v>5553</v>
      </c>
      <c r="VW8" s="145">
        <v>6245</v>
      </c>
      <c r="VX8" s="145">
        <v>1797</v>
      </c>
      <c r="VY8" s="145">
        <v>2571</v>
      </c>
      <c r="VZ8" s="145">
        <v>6193</v>
      </c>
      <c r="WA8" s="145">
        <v>1671</v>
      </c>
      <c r="WB8" s="145">
        <v>3329</v>
      </c>
      <c r="WC8" s="145">
        <v>4057</v>
      </c>
      <c r="WD8" s="145">
        <v>3909</v>
      </c>
      <c r="WE8" s="145">
        <v>1245</v>
      </c>
      <c r="WF8" s="145">
        <v>2202</v>
      </c>
      <c r="WG8" s="145">
        <v>6724</v>
      </c>
      <c r="WH8" s="145">
        <v>2734</v>
      </c>
      <c r="WI8" s="145">
        <v>4235</v>
      </c>
      <c r="WJ8" s="145">
        <v>5305</v>
      </c>
      <c r="WK8" s="145">
        <v>3877</v>
      </c>
      <c r="WL8" s="145">
        <v>887</v>
      </c>
      <c r="WM8" s="145">
        <v>1877</v>
      </c>
      <c r="WN8" s="145">
        <v>5169</v>
      </c>
      <c r="WO8" s="145">
        <v>2604</v>
      </c>
      <c r="WP8" s="145">
        <v>4537</v>
      </c>
      <c r="WQ8" s="145">
        <v>6086</v>
      </c>
      <c r="WR8" s="145">
        <v>4977</v>
      </c>
      <c r="WS8" s="145">
        <v>1370</v>
      </c>
      <c r="WT8" s="145">
        <v>2264</v>
      </c>
      <c r="WU8" s="145">
        <v>3312</v>
      </c>
      <c r="WV8" s="145">
        <v>3619</v>
      </c>
      <c r="WW8" s="145">
        <v>4281</v>
      </c>
      <c r="WX8" s="145">
        <v>5157</v>
      </c>
      <c r="WY8" s="145">
        <v>4553</v>
      </c>
      <c r="WZ8" s="145">
        <v>1423</v>
      </c>
      <c r="XA8" s="145">
        <v>1836</v>
      </c>
      <c r="XB8" s="145">
        <v>5115</v>
      </c>
      <c r="XC8" s="145">
        <v>2106</v>
      </c>
      <c r="XD8" s="145">
        <v>5357</v>
      </c>
      <c r="XE8" s="145">
        <v>6459</v>
      </c>
      <c r="XF8" s="145">
        <v>3972</v>
      </c>
      <c r="XG8" s="145">
        <v>901</v>
      </c>
      <c r="XH8" s="145">
        <v>1836</v>
      </c>
      <c r="XI8" s="145">
        <v>5195</v>
      </c>
      <c r="XJ8" s="145">
        <v>2619</v>
      </c>
      <c r="XK8" s="145">
        <v>6136</v>
      </c>
      <c r="XL8" s="145">
        <v>5597</v>
      </c>
      <c r="XM8" s="145">
        <v>5465</v>
      </c>
      <c r="XN8" s="145">
        <v>1238</v>
      </c>
      <c r="XO8" s="145">
        <v>1529</v>
      </c>
      <c r="XP8" s="145">
        <v>3867</v>
      </c>
      <c r="XQ8" s="145">
        <v>1801</v>
      </c>
      <c r="XR8" s="145">
        <v>4119</v>
      </c>
      <c r="XS8" s="145">
        <v>6228</v>
      </c>
      <c r="XT8" s="145">
        <v>5142</v>
      </c>
      <c r="XU8" s="145">
        <v>1592</v>
      </c>
      <c r="XV8" s="145">
        <v>0</v>
      </c>
      <c r="XW8" s="145">
        <v>1336</v>
      </c>
      <c r="XX8" s="145">
        <v>4752</v>
      </c>
      <c r="XY8" s="145">
        <v>4995</v>
      </c>
      <c r="XZ8" s="145">
        <v>4353</v>
      </c>
      <c r="YA8" s="145">
        <v>4655</v>
      </c>
      <c r="YB8" s="145">
        <v>255</v>
      </c>
      <c r="YC8" s="145">
        <v>1141</v>
      </c>
      <c r="YD8" s="145">
        <v>4693</v>
      </c>
      <c r="YE8" s="145">
        <v>2609</v>
      </c>
      <c r="YF8" s="145">
        <v>6055</v>
      </c>
      <c r="YG8" s="145">
        <v>5277</v>
      </c>
      <c r="YH8" s="145">
        <v>3522</v>
      </c>
      <c r="YI8" s="145">
        <v>1801</v>
      </c>
      <c r="YJ8" s="145">
        <v>2939</v>
      </c>
      <c r="YK8" s="145">
        <v>3374</v>
      </c>
      <c r="YL8" s="145">
        <v>1316</v>
      </c>
      <c r="YM8" s="145">
        <v>4756</v>
      </c>
      <c r="YN8" s="145">
        <v>5637</v>
      </c>
      <c r="YO8" s="145">
        <v>4565</v>
      </c>
      <c r="YP8" s="145">
        <v>631</v>
      </c>
      <c r="YQ8" s="145">
        <v>1379</v>
      </c>
      <c r="YR8" s="145">
        <v>5931</v>
      </c>
      <c r="YS8" s="145">
        <v>2430</v>
      </c>
      <c r="YT8" s="145">
        <v>5976</v>
      </c>
      <c r="YU8" s="145">
        <v>5566</v>
      </c>
      <c r="YV8" s="145">
        <v>4181</v>
      </c>
      <c r="YW8" s="145">
        <v>1518</v>
      </c>
      <c r="YX8" s="145">
        <v>1639</v>
      </c>
      <c r="YY8" s="145">
        <v>4377</v>
      </c>
      <c r="YZ8" s="145">
        <v>3406</v>
      </c>
      <c r="ZA8" s="145">
        <v>7315</v>
      </c>
      <c r="ZB8" s="145">
        <v>5502</v>
      </c>
      <c r="ZC8" s="145">
        <v>6245</v>
      </c>
      <c r="ZD8" s="145">
        <v>453</v>
      </c>
      <c r="ZE8" s="145">
        <v>1872</v>
      </c>
      <c r="ZF8" s="145">
        <v>6708</v>
      </c>
      <c r="ZG8" s="145">
        <v>2600</v>
      </c>
      <c r="ZH8" s="145">
        <v>5014</v>
      </c>
      <c r="ZI8" s="145">
        <v>6274</v>
      </c>
      <c r="ZJ8" s="145">
        <v>2727</v>
      </c>
      <c r="ZK8" s="145">
        <v>693</v>
      </c>
      <c r="ZL8" s="145">
        <v>1418</v>
      </c>
      <c r="ZM8" s="145">
        <v>11836</v>
      </c>
      <c r="ZN8" s="145">
        <v>3418</v>
      </c>
      <c r="ZO8" s="145">
        <v>5024</v>
      </c>
      <c r="ZP8" s="145">
        <v>5135</v>
      </c>
      <c r="ZQ8" s="145">
        <v>4803</v>
      </c>
      <c r="ZR8" s="145">
        <v>869</v>
      </c>
      <c r="ZS8" s="145">
        <v>1631</v>
      </c>
      <c r="ZT8" s="145">
        <v>4727</v>
      </c>
      <c r="ZU8" s="145">
        <v>2060</v>
      </c>
      <c r="ZV8" s="145">
        <v>5084</v>
      </c>
      <c r="ZW8" s="145">
        <v>5396</v>
      </c>
      <c r="ZX8" s="145">
        <v>5035</v>
      </c>
      <c r="ZY8" s="145">
        <v>1136</v>
      </c>
      <c r="ZZ8" s="145">
        <v>1688</v>
      </c>
      <c r="AAA8" s="145">
        <v>4558</v>
      </c>
      <c r="AAB8" s="145">
        <v>2283</v>
      </c>
      <c r="AAC8" s="145">
        <v>4210</v>
      </c>
      <c r="AAD8" s="145">
        <v>5086</v>
      </c>
      <c r="AAE8" s="145">
        <v>5768</v>
      </c>
      <c r="AAF8" s="145">
        <v>884</v>
      </c>
      <c r="AAG8" s="145">
        <v>1239</v>
      </c>
      <c r="AAH8" s="145">
        <v>5343</v>
      </c>
      <c r="AAI8" s="145">
        <v>3228</v>
      </c>
      <c r="AAJ8" s="145">
        <v>5744</v>
      </c>
      <c r="AAK8" s="145">
        <v>7919</v>
      </c>
      <c r="AAL8" s="145">
        <v>5294</v>
      </c>
      <c r="AAM8" s="145">
        <v>1498</v>
      </c>
      <c r="AAN8" s="145">
        <v>1879</v>
      </c>
      <c r="AAO8" s="145">
        <v>7205</v>
      </c>
      <c r="AAP8" s="145">
        <v>2627</v>
      </c>
      <c r="AAQ8" s="145">
        <v>3665</v>
      </c>
      <c r="AAR8" s="145">
        <v>4182</v>
      </c>
      <c r="AAS8" s="145">
        <v>5707</v>
      </c>
      <c r="AAT8" s="145">
        <v>2362</v>
      </c>
      <c r="AAU8" s="145">
        <v>0</v>
      </c>
      <c r="AAV8" s="145">
        <v>1057</v>
      </c>
      <c r="AAW8" s="145">
        <v>4311</v>
      </c>
      <c r="AAX8" s="145">
        <v>6437</v>
      </c>
      <c r="AAY8" s="145">
        <v>5867</v>
      </c>
      <c r="AAZ8" s="145">
        <v>6234</v>
      </c>
      <c r="ABA8" s="145">
        <v>1902</v>
      </c>
      <c r="ABB8" s="145">
        <v>1916</v>
      </c>
      <c r="ABC8" s="145">
        <v>4926</v>
      </c>
      <c r="ABD8" s="145">
        <v>3066</v>
      </c>
      <c r="ABE8" s="145">
        <v>7332</v>
      </c>
      <c r="ABF8" s="145">
        <v>3432</v>
      </c>
      <c r="ABG8" s="145">
        <v>7068</v>
      </c>
      <c r="ABH8" s="145">
        <v>2926</v>
      </c>
      <c r="ABI8" s="145">
        <v>2298</v>
      </c>
      <c r="ABJ8" s="145">
        <v>5692</v>
      </c>
      <c r="ABK8" s="145">
        <v>3727</v>
      </c>
      <c r="ABL8" s="145">
        <v>6456</v>
      </c>
      <c r="ABM8" s="145">
        <v>7534</v>
      </c>
      <c r="ABN8" s="145">
        <v>6780</v>
      </c>
      <c r="ABO8" s="145">
        <v>3233</v>
      </c>
      <c r="ABP8" s="145">
        <v>2595</v>
      </c>
      <c r="ABQ8" s="145">
        <v>6377</v>
      </c>
      <c r="ABR8" s="145">
        <v>2425</v>
      </c>
      <c r="ABS8" s="145">
        <v>6951</v>
      </c>
      <c r="ABT8" s="145">
        <v>7577</v>
      </c>
      <c r="ABU8" s="145">
        <v>5665</v>
      </c>
      <c r="ABV8" s="145">
        <v>3524</v>
      </c>
      <c r="ABW8" s="145">
        <v>2196</v>
      </c>
      <c r="ABX8" s="145">
        <v>6253</v>
      </c>
      <c r="ABY8" s="145">
        <v>2941</v>
      </c>
      <c r="ABZ8" s="145">
        <v>6632</v>
      </c>
      <c r="ACA8" s="145">
        <v>8811</v>
      </c>
      <c r="ACB8" s="145">
        <v>5435</v>
      </c>
      <c r="ACC8" s="145">
        <v>1132</v>
      </c>
      <c r="ACD8" s="145">
        <v>1851</v>
      </c>
      <c r="ACE8" s="145">
        <v>6621</v>
      </c>
      <c r="ACF8" s="145">
        <v>3309</v>
      </c>
      <c r="ACG8" s="145">
        <v>6011</v>
      </c>
      <c r="ACH8" s="145">
        <v>6339</v>
      </c>
      <c r="ACI8" s="145">
        <v>5115</v>
      </c>
      <c r="ACJ8" s="145">
        <v>393</v>
      </c>
      <c r="ACK8" s="145">
        <v>2055</v>
      </c>
      <c r="ACL8" s="145">
        <v>6717</v>
      </c>
      <c r="ACM8" s="145">
        <v>3506</v>
      </c>
      <c r="ACN8" s="145">
        <v>6667</v>
      </c>
      <c r="ACO8" s="145">
        <v>6220</v>
      </c>
      <c r="ACP8" s="145">
        <v>5265</v>
      </c>
      <c r="ACQ8" s="145">
        <v>1440</v>
      </c>
      <c r="ACR8" s="145">
        <v>2881</v>
      </c>
      <c r="ACS8" s="145">
        <v>4057</v>
      </c>
      <c r="ACT8" s="145">
        <v>3055</v>
      </c>
      <c r="ACU8" s="145">
        <v>2834</v>
      </c>
      <c r="ACV8" s="145">
        <v>2999</v>
      </c>
      <c r="ACW8" s="145">
        <v>829</v>
      </c>
      <c r="ACX8" s="145">
        <v>2021</v>
      </c>
      <c r="ACY8" s="145">
        <v>1253</v>
      </c>
      <c r="ACZ8" s="145">
        <v>4521</v>
      </c>
      <c r="ADA8" s="145">
        <v>2026</v>
      </c>
      <c r="ADB8" s="145">
        <v>2303</v>
      </c>
      <c r="ADC8" s="145">
        <v>2847</v>
      </c>
      <c r="ADD8" s="145">
        <v>2138</v>
      </c>
      <c r="ADE8" s="145">
        <v>1494</v>
      </c>
      <c r="ADF8" s="145">
        <v>2290</v>
      </c>
      <c r="ADG8" s="145">
        <v>3322</v>
      </c>
      <c r="ADH8" s="145">
        <v>2147</v>
      </c>
      <c r="ADI8" s="145">
        <v>3148</v>
      </c>
      <c r="ADJ8" s="145">
        <v>2958</v>
      </c>
      <c r="ADK8" s="145">
        <v>3830</v>
      </c>
      <c r="ADL8" s="145">
        <v>2459</v>
      </c>
      <c r="ADM8" s="145">
        <v>1111</v>
      </c>
      <c r="ADN8" s="145">
        <v>5861</v>
      </c>
      <c r="ADO8" s="145">
        <v>4277</v>
      </c>
      <c r="ADP8" s="145">
        <v>3461</v>
      </c>
      <c r="ADQ8" s="145">
        <v>3206</v>
      </c>
      <c r="ADR8" s="145">
        <v>3966</v>
      </c>
      <c r="ADS8" s="145">
        <v>2032</v>
      </c>
      <c r="ADT8" s="145">
        <v>447</v>
      </c>
      <c r="ADU8" s="145">
        <v>993</v>
      </c>
      <c r="ADV8" s="145">
        <v>0</v>
      </c>
      <c r="ADW8" s="145">
        <v>0</v>
      </c>
      <c r="ADX8" s="145">
        <v>728</v>
      </c>
      <c r="ADY8" s="145">
        <v>987</v>
      </c>
      <c r="ADZ8" s="145">
        <v>122</v>
      </c>
      <c r="AEA8" s="145">
        <v>2866</v>
      </c>
      <c r="AEB8" s="145">
        <v>2459</v>
      </c>
      <c r="AEC8" s="145">
        <v>2153</v>
      </c>
      <c r="AED8" s="145">
        <v>5777</v>
      </c>
      <c r="AEE8" s="145">
        <v>2947</v>
      </c>
      <c r="AEF8" s="145">
        <v>2572</v>
      </c>
      <c r="AEG8" s="145">
        <v>1387</v>
      </c>
      <c r="AEH8" s="145">
        <v>1453</v>
      </c>
      <c r="AEI8" s="145">
        <v>3118</v>
      </c>
      <c r="AEJ8" s="145">
        <v>2644</v>
      </c>
      <c r="AEK8" s="145">
        <v>2760</v>
      </c>
      <c r="AEL8" s="145">
        <v>2959</v>
      </c>
      <c r="AEM8" s="145">
        <v>1892</v>
      </c>
      <c r="AEN8" s="145">
        <v>2023</v>
      </c>
      <c r="AEO8" s="145">
        <v>772</v>
      </c>
      <c r="AEP8" s="145">
        <v>2841</v>
      </c>
      <c r="AEQ8" s="145">
        <v>2167</v>
      </c>
      <c r="AER8" s="145">
        <v>998</v>
      </c>
      <c r="AES8" s="145">
        <v>476</v>
      </c>
      <c r="AET8" s="145">
        <v>895</v>
      </c>
      <c r="AEU8" s="145">
        <v>3762</v>
      </c>
      <c r="AEV8" s="145">
        <v>14432</v>
      </c>
      <c r="AEW8" s="145">
        <v>5770</v>
      </c>
      <c r="AEX8" s="145">
        <v>3646</v>
      </c>
      <c r="AEY8" s="145">
        <v>3589</v>
      </c>
      <c r="AEZ8" s="145">
        <v>0</v>
      </c>
      <c r="AFA8" s="145">
        <v>19384</v>
      </c>
      <c r="AFB8" s="145">
        <v>0</v>
      </c>
      <c r="AFC8" s="145">
        <v>3476</v>
      </c>
      <c r="AFD8" s="145">
        <v>4904</v>
      </c>
      <c r="AFE8" s="145">
        <v>0</v>
      </c>
      <c r="AFF8" s="145">
        <v>4658</v>
      </c>
      <c r="AFG8" s="145">
        <v>4840</v>
      </c>
      <c r="AFH8" s="145">
        <v>5494</v>
      </c>
      <c r="AFI8" s="145">
        <v>1512</v>
      </c>
      <c r="AFJ8" s="145">
        <v>3290</v>
      </c>
      <c r="AFK8" s="145">
        <v>4066</v>
      </c>
      <c r="AFL8" s="145">
        <v>3044</v>
      </c>
      <c r="AFM8" s="145">
        <v>5608</v>
      </c>
      <c r="AFN8" s="145">
        <v>4204</v>
      </c>
      <c r="AFO8" s="145">
        <v>3860</v>
      </c>
      <c r="AFP8" s="145">
        <v>890</v>
      </c>
      <c r="AFQ8" s="145">
        <v>1131</v>
      </c>
      <c r="AFR8" s="145">
        <v>1422</v>
      </c>
      <c r="AFS8" s="145">
        <v>2265</v>
      </c>
      <c r="AFT8" s="145">
        <v>2159</v>
      </c>
      <c r="AFU8" s="145">
        <v>2537</v>
      </c>
      <c r="AFV8" s="145">
        <v>1191</v>
      </c>
      <c r="AFW8" s="145">
        <v>398</v>
      </c>
      <c r="AFX8" s="145">
        <v>1066</v>
      </c>
      <c r="AFY8" s="145">
        <v>2135</v>
      </c>
      <c r="AFZ8" s="145">
        <v>1512</v>
      </c>
      <c r="AGA8" s="145">
        <v>3435</v>
      </c>
      <c r="AGB8" s="145">
        <v>2986</v>
      </c>
      <c r="AGC8" s="145">
        <v>2772</v>
      </c>
      <c r="AGD8" s="145">
        <v>1281</v>
      </c>
      <c r="AGE8" s="145">
        <v>3117</v>
      </c>
      <c r="AGF8" s="145">
        <v>3497</v>
      </c>
      <c r="AGG8" s="145">
        <v>3384</v>
      </c>
      <c r="AGH8" s="145">
        <v>9067</v>
      </c>
      <c r="AGI8" s="145">
        <v>4007</v>
      </c>
      <c r="AGJ8" s="145">
        <v>3412</v>
      </c>
      <c r="AGK8" s="145">
        <v>0</v>
      </c>
      <c r="AGL8" s="145">
        <v>3364</v>
      </c>
      <c r="AGM8" s="145">
        <v>3492</v>
      </c>
      <c r="AGN8" s="145">
        <v>4945</v>
      </c>
      <c r="AGO8" s="145">
        <v>4403</v>
      </c>
      <c r="AGP8" s="145">
        <v>4936</v>
      </c>
      <c r="AGQ8" s="145">
        <v>3642</v>
      </c>
      <c r="AGR8" s="145">
        <v>2014</v>
      </c>
      <c r="AGS8" s="145">
        <v>3519</v>
      </c>
      <c r="AGT8" s="145">
        <v>4992</v>
      </c>
      <c r="AGU8" s="145">
        <v>4385</v>
      </c>
      <c r="AGV8" s="145">
        <v>4799</v>
      </c>
      <c r="AGW8" s="145">
        <v>4103</v>
      </c>
      <c r="AGX8" s="145">
        <v>3346</v>
      </c>
      <c r="AGY8" s="145">
        <v>830</v>
      </c>
      <c r="AGZ8" s="145">
        <v>3800</v>
      </c>
      <c r="AHA8" s="145">
        <v>3150</v>
      </c>
      <c r="AHB8" s="145">
        <v>4083</v>
      </c>
      <c r="AHC8" s="145">
        <v>5516</v>
      </c>
      <c r="AHI8" s="145">
        <v>3858</v>
      </c>
      <c r="AHJ8" s="145">
        <v>5438</v>
      </c>
      <c r="AHK8" s="145">
        <v>5694</v>
      </c>
      <c r="AHL8" s="145">
        <v>3946</v>
      </c>
      <c r="AHM8" s="145">
        <v>1645</v>
      </c>
      <c r="AHN8" s="145">
        <v>0</v>
      </c>
      <c r="AHO8" s="145">
        <v>3884</v>
      </c>
      <c r="AHP8" s="145">
        <v>4483</v>
      </c>
      <c r="AHQ8" s="145">
        <v>6532</v>
      </c>
      <c r="AHR8" s="145">
        <v>5754</v>
      </c>
      <c r="AHS8" s="145">
        <v>6016</v>
      </c>
      <c r="AHT8" s="145">
        <v>418</v>
      </c>
      <c r="AHU8" s="145">
        <v>0</v>
      </c>
      <c r="AHV8" s="145">
        <v>0</v>
      </c>
      <c r="AHW8" s="145">
        <v>2700</v>
      </c>
      <c r="AHX8" s="145">
        <v>4043</v>
      </c>
      <c r="AHY8" s="145">
        <v>5354</v>
      </c>
      <c r="AHZ8" s="145">
        <v>2342</v>
      </c>
      <c r="AIA8" s="145">
        <v>1168</v>
      </c>
      <c r="AIB8" s="145">
        <v>2645</v>
      </c>
      <c r="AIC8" s="145">
        <v>4440</v>
      </c>
      <c r="AID8" s="145">
        <v>3744</v>
      </c>
      <c r="AIE8" s="145">
        <v>6246</v>
      </c>
      <c r="AIF8" s="145">
        <v>4888</v>
      </c>
      <c r="AIG8" s="145">
        <v>3517</v>
      </c>
      <c r="AIH8" s="145">
        <v>2143</v>
      </c>
      <c r="AII8" s="145">
        <v>3783</v>
      </c>
      <c r="AIJ8" s="145">
        <v>4352</v>
      </c>
      <c r="AIK8" s="145">
        <v>4233</v>
      </c>
      <c r="AIL8" s="145">
        <v>2728</v>
      </c>
      <c r="AIM8" s="145">
        <v>1433</v>
      </c>
      <c r="AIN8" s="145">
        <v>2282</v>
      </c>
      <c r="AIO8" s="145">
        <v>983</v>
      </c>
      <c r="AIP8" s="145">
        <v>0</v>
      </c>
      <c r="AIQ8" s="145">
        <v>2770</v>
      </c>
      <c r="AIR8" s="145">
        <v>4138</v>
      </c>
      <c r="AIS8" s="145">
        <v>5165</v>
      </c>
      <c r="AIT8" s="145">
        <v>4080</v>
      </c>
      <c r="AIU8" s="145">
        <v>5022</v>
      </c>
      <c r="AIV8" s="145">
        <v>1232</v>
      </c>
      <c r="AIW8" s="145">
        <v>2288</v>
      </c>
      <c r="AIX8" s="145">
        <v>3492</v>
      </c>
      <c r="AIY8" s="145">
        <v>4253</v>
      </c>
      <c r="AIZ8" s="145">
        <v>5197</v>
      </c>
      <c r="AJA8" s="145">
        <v>4809</v>
      </c>
      <c r="AJB8" s="145">
        <v>3926</v>
      </c>
      <c r="AJC8" s="145">
        <v>1897</v>
      </c>
      <c r="AJD8" s="145">
        <v>2264</v>
      </c>
      <c r="AJE8" s="145">
        <v>4103</v>
      </c>
      <c r="AJF8" s="145">
        <v>4198</v>
      </c>
      <c r="AJG8" s="145">
        <v>5450</v>
      </c>
      <c r="AJH8" s="145">
        <v>5477</v>
      </c>
      <c r="AJI8" s="145">
        <v>2782</v>
      </c>
      <c r="AJJ8" s="145">
        <v>869</v>
      </c>
      <c r="AJK8" s="145">
        <v>2191</v>
      </c>
      <c r="AJL8" s="145">
        <v>2344</v>
      </c>
      <c r="AJM8" s="145">
        <v>3336</v>
      </c>
      <c r="AJN8" s="145">
        <v>4849</v>
      </c>
      <c r="AJO8" s="145">
        <v>5080</v>
      </c>
      <c r="AJP8" s="145">
        <v>2903</v>
      </c>
      <c r="AJQ8" s="145">
        <v>0</v>
      </c>
      <c r="AJR8" s="145">
        <v>0</v>
      </c>
      <c r="AJS8" s="145">
        <v>5763</v>
      </c>
      <c r="AJT8" s="145">
        <v>1351</v>
      </c>
      <c r="AJU8" s="145">
        <v>3252</v>
      </c>
      <c r="AJV8" s="145">
        <v>5778</v>
      </c>
      <c r="AJW8" s="145">
        <v>2724</v>
      </c>
      <c r="AJX8" s="145">
        <v>1011</v>
      </c>
      <c r="AJY8" s="145">
        <v>4044</v>
      </c>
      <c r="AJZ8" s="145">
        <v>4720</v>
      </c>
      <c r="AKA8" s="145">
        <v>4485</v>
      </c>
      <c r="AKB8" s="145">
        <v>4997</v>
      </c>
      <c r="AKC8" s="145">
        <v>3501</v>
      </c>
      <c r="AKD8" s="145">
        <v>3383</v>
      </c>
      <c r="AKE8" s="145">
        <v>1295</v>
      </c>
      <c r="AKF8" s="145">
        <v>2860</v>
      </c>
    </row>
    <row r="9" spans="1:985" s="145" customFormat="1">
      <c r="B9" s="146" t="s">
        <v>30</v>
      </c>
      <c r="C9" s="147">
        <v>82210</v>
      </c>
      <c r="D9" s="147" t="s">
        <v>8</v>
      </c>
      <c r="E9" s="147" t="s">
        <v>9</v>
      </c>
      <c r="F9" s="147" t="s">
        <v>28</v>
      </c>
      <c r="G9" s="147" t="s">
        <v>12</v>
      </c>
      <c r="H9" s="147" t="s">
        <v>31</v>
      </c>
      <c r="I9" s="147" t="s">
        <v>14</v>
      </c>
      <c r="J9" s="147" t="s">
        <v>15</v>
      </c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8"/>
      <c r="Z9" s="148"/>
      <c r="AA9" s="148"/>
      <c r="AB9" s="148"/>
      <c r="AC9" s="148"/>
      <c r="AD9" s="148"/>
      <c r="AE9" s="148"/>
      <c r="AF9" s="148"/>
      <c r="AG9" s="148"/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/>
      <c r="AX9" s="148"/>
      <c r="AY9" s="148"/>
      <c r="AZ9" s="148"/>
      <c r="BA9" s="148"/>
      <c r="BB9" s="148"/>
      <c r="BC9" s="148"/>
      <c r="BD9" s="148"/>
      <c r="BE9" s="148"/>
      <c r="BF9" s="148"/>
      <c r="BG9" s="148"/>
      <c r="BH9" s="148"/>
      <c r="BI9" s="148"/>
      <c r="BJ9" s="148"/>
      <c r="BK9" s="148"/>
      <c r="BL9" s="148"/>
      <c r="BM9" s="148"/>
      <c r="BN9" s="148"/>
      <c r="BO9" s="148"/>
      <c r="BP9" s="148"/>
      <c r="BQ9" s="148"/>
      <c r="BR9" s="148"/>
      <c r="BS9" s="148"/>
      <c r="BT9" s="151">
        <v>0</v>
      </c>
      <c r="BU9" s="151">
        <v>0</v>
      </c>
      <c r="BV9" s="151">
        <v>0</v>
      </c>
      <c r="BW9" s="151">
        <v>311</v>
      </c>
      <c r="BX9" s="151">
        <v>1183</v>
      </c>
      <c r="BY9" s="151">
        <v>884</v>
      </c>
      <c r="BZ9" s="151">
        <v>892</v>
      </c>
      <c r="CA9" s="151">
        <v>1348</v>
      </c>
      <c r="CB9" s="151">
        <v>1760</v>
      </c>
      <c r="CC9" s="151">
        <v>1806</v>
      </c>
      <c r="CD9" s="145">
        <v>1225</v>
      </c>
      <c r="CE9" s="145">
        <v>2161</v>
      </c>
      <c r="CF9" s="145">
        <v>1085</v>
      </c>
      <c r="CG9" s="145">
        <v>1183</v>
      </c>
      <c r="CH9" s="145">
        <v>1237</v>
      </c>
      <c r="CI9" s="145">
        <v>2370</v>
      </c>
      <c r="CJ9" s="145">
        <v>2567</v>
      </c>
      <c r="CK9" s="145">
        <v>1655</v>
      </c>
      <c r="CL9" s="145">
        <v>3737</v>
      </c>
      <c r="CM9" s="145">
        <v>985</v>
      </c>
      <c r="CN9" s="145">
        <v>0</v>
      </c>
      <c r="CO9" s="145">
        <v>1974</v>
      </c>
      <c r="CP9" s="145">
        <v>2220</v>
      </c>
      <c r="CQ9" s="145">
        <v>2473</v>
      </c>
      <c r="CR9" s="145">
        <v>1713</v>
      </c>
      <c r="CS9" s="145">
        <v>2081</v>
      </c>
      <c r="CT9" s="145">
        <v>1153</v>
      </c>
      <c r="CU9" s="145">
        <v>616</v>
      </c>
      <c r="CV9" s="145">
        <v>1469</v>
      </c>
      <c r="CW9" s="145">
        <v>1285</v>
      </c>
      <c r="CX9" s="145">
        <v>2027</v>
      </c>
      <c r="CY9" s="145">
        <v>1298</v>
      </c>
      <c r="CZ9" s="145">
        <v>1506</v>
      </c>
      <c r="DA9" s="145">
        <v>698</v>
      </c>
      <c r="DB9" s="145">
        <v>472</v>
      </c>
      <c r="DC9" s="145">
        <v>1271</v>
      </c>
      <c r="DD9" s="145">
        <v>1649</v>
      </c>
      <c r="DE9" s="145">
        <v>1612</v>
      </c>
      <c r="DF9" s="145">
        <v>1894</v>
      </c>
      <c r="DG9" s="145">
        <v>2023</v>
      </c>
      <c r="DH9" s="145">
        <v>1363</v>
      </c>
      <c r="DI9" s="145">
        <v>741</v>
      </c>
      <c r="DJ9" s="145">
        <v>1279</v>
      </c>
      <c r="DK9" s="145">
        <v>1798</v>
      </c>
      <c r="DL9" s="145">
        <v>1608</v>
      </c>
      <c r="DM9" s="145">
        <v>1358</v>
      </c>
      <c r="DN9" s="145">
        <v>1429</v>
      </c>
      <c r="DO9" s="145">
        <v>1332</v>
      </c>
      <c r="DP9" s="145">
        <v>535</v>
      </c>
      <c r="DQ9" s="145">
        <v>971</v>
      </c>
      <c r="DR9" s="145">
        <v>1499</v>
      </c>
      <c r="DS9" s="145">
        <v>1484</v>
      </c>
      <c r="DT9" s="145">
        <v>1260</v>
      </c>
      <c r="DU9" s="145">
        <v>1546</v>
      </c>
      <c r="DV9" s="145">
        <v>1566</v>
      </c>
      <c r="DW9" s="145">
        <v>638</v>
      </c>
      <c r="DX9" s="145">
        <v>1877</v>
      </c>
      <c r="DY9" s="145">
        <v>2568</v>
      </c>
      <c r="DZ9" s="145">
        <v>1888</v>
      </c>
      <c r="EA9" s="145">
        <v>1914</v>
      </c>
      <c r="EB9" s="145">
        <v>1058</v>
      </c>
      <c r="EC9" s="145">
        <v>627</v>
      </c>
      <c r="ED9" s="145">
        <v>254</v>
      </c>
      <c r="EE9" s="145">
        <v>437</v>
      </c>
      <c r="EF9" s="145">
        <v>667</v>
      </c>
      <c r="EG9" s="145">
        <v>470</v>
      </c>
      <c r="EH9" s="145">
        <v>524</v>
      </c>
      <c r="EI9" s="145">
        <v>657</v>
      </c>
      <c r="EJ9" s="145">
        <v>997</v>
      </c>
      <c r="EK9" s="145">
        <v>0</v>
      </c>
      <c r="EL9" s="145">
        <v>651</v>
      </c>
      <c r="EM9" s="145">
        <v>1271</v>
      </c>
      <c r="EN9" s="145">
        <v>1148</v>
      </c>
      <c r="EO9" s="145">
        <v>1050</v>
      </c>
      <c r="EP9" s="145">
        <v>673</v>
      </c>
      <c r="EQ9" s="145">
        <v>586</v>
      </c>
      <c r="ER9" s="145">
        <v>222</v>
      </c>
      <c r="ES9" s="145">
        <v>276</v>
      </c>
      <c r="ET9" s="145">
        <v>503</v>
      </c>
      <c r="EU9" s="145">
        <v>557</v>
      </c>
      <c r="EV9" s="145">
        <v>573</v>
      </c>
      <c r="EW9" s="145">
        <v>570</v>
      </c>
      <c r="EX9" s="145">
        <v>967</v>
      </c>
      <c r="EY9" s="145">
        <v>288</v>
      </c>
      <c r="EZ9" s="145">
        <v>629</v>
      </c>
      <c r="FA9" s="145">
        <v>776</v>
      </c>
      <c r="FB9" s="145">
        <v>1000</v>
      </c>
      <c r="FC9" s="145">
        <v>823</v>
      </c>
      <c r="FD9" s="145">
        <v>780</v>
      </c>
      <c r="FE9" s="145">
        <v>408</v>
      </c>
      <c r="FF9" s="145">
        <v>223</v>
      </c>
      <c r="FG9" s="145">
        <v>735</v>
      </c>
      <c r="FH9" s="145">
        <v>1155</v>
      </c>
      <c r="FI9" s="145">
        <v>1526</v>
      </c>
      <c r="FJ9" s="145">
        <v>1794</v>
      </c>
      <c r="FK9" s="145">
        <v>1357</v>
      </c>
      <c r="FL9" s="145">
        <v>1060</v>
      </c>
      <c r="FM9" s="145">
        <v>0</v>
      </c>
      <c r="FN9" s="145">
        <v>686</v>
      </c>
      <c r="FO9" s="145">
        <v>1819</v>
      </c>
      <c r="FP9" s="145">
        <v>1445</v>
      </c>
      <c r="FQ9" s="145">
        <v>2102</v>
      </c>
      <c r="FR9" s="145">
        <v>1382</v>
      </c>
      <c r="FS9" s="145">
        <v>0</v>
      </c>
      <c r="FT9" s="145">
        <v>0</v>
      </c>
      <c r="FU9" s="145">
        <v>0</v>
      </c>
      <c r="FV9" s="145">
        <v>887</v>
      </c>
      <c r="FW9" s="145">
        <v>2352</v>
      </c>
      <c r="FX9" s="145">
        <v>2308</v>
      </c>
      <c r="FY9" s="145">
        <v>2186</v>
      </c>
      <c r="FZ9" s="145">
        <v>1960</v>
      </c>
      <c r="GA9" s="145">
        <v>1056</v>
      </c>
      <c r="GB9" s="145">
        <v>1058</v>
      </c>
      <c r="GC9" s="145">
        <v>2773</v>
      </c>
      <c r="GD9" s="145">
        <v>2244</v>
      </c>
      <c r="GE9" s="145">
        <v>1819</v>
      </c>
      <c r="GF9" s="145">
        <v>1776</v>
      </c>
      <c r="GG9" s="145">
        <v>1189</v>
      </c>
      <c r="GH9" s="145">
        <v>512</v>
      </c>
      <c r="GI9" s="145">
        <v>509</v>
      </c>
      <c r="GJ9" s="145">
        <v>947</v>
      </c>
      <c r="GK9" s="145">
        <v>1175</v>
      </c>
      <c r="GL9" s="145">
        <v>724</v>
      </c>
      <c r="GM9" s="145">
        <v>1412</v>
      </c>
      <c r="GN9" s="145">
        <v>1187</v>
      </c>
      <c r="GO9" s="145">
        <v>0</v>
      </c>
      <c r="GP9" s="145">
        <v>950</v>
      </c>
      <c r="GQ9" s="145">
        <v>1430</v>
      </c>
      <c r="GR9" s="145">
        <v>985</v>
      </c>
      <c r="GS9" s="145">
        <v>1144</v>
      </c>
      <c r="GT9" s="145">
        <v>539</v>
      </c>
      <c r="GU9" s="145">
        <v>639</v>
      </c>
      <c r="GV9" s="145">
        <v>338</v>
      </c>
      <c r="GW9" s="145">
        <v>347</v>
      </c>
      <c r="GX9" s="145">
        <v>371</v>
      </c>
      <c r="GY9" s="145">
        <v>255</v>
      </c>
      <c r="GZ9" s="145">
        <v>56</v>
      </c>
      <c r="HA9" s="145">
        <v>76</v>
      </c>
      <c r="HB9" s="145">
        <v>342</v>
      </c>
      <c r="HC9" s="145">
        <v>24</v>
      </c>
      <c r="HD9" s="145">
        <v>172</v>
      </c>
      <c r="HE9" s="145">
        <v>673</v>
      </c>
      <c r="HF9" s="145">
        <v>1610</v>
      </c>
      <c r="HG9" s="145">
        <v>718</v>
      </c>
      <c r="HH9" s="145">
        <v>1903</v>
      </c>
      <c r="HI9" s="145">
        <v>2269</v>
      </c>
      <c r="HJ9" s="145">
        <v>1253</v>
      </c>
      <c r="HK9" s="145">
        <v>1351</v>
      </c>
      <c r="HL9" s="145">
        <v>2804</v>
      </c>
      <c r="HM9" s="145">
        <v>3657</v>
      </c>
      <c r="HN9" s="145">
        <v>2325</v>
      </c>
      <c r="HO9" s="145">
        <v>2749</v>
      </c>
      <c r="HP9" s="145">
        <v>1209</v>
      </c>
      <c r="HQ9" s="145">
        <v>638</v>
      </c>
      <c r="HR9" s="145">
        <v>186</v>
      </c>
      <c r="HS9" s="145">
        <v>651</v>
      </c>
      <c r="HT9" s="145">
        <v>1719</v>
      </c>
      <c r="HU9" s="145">
        <v>2448</v>
      </c>
      <c r="HV9" s="145">
        <v>1226</v>
      </c>
      <c r="HW9" s="145">
        <v>1282</v>
      </c>
      <c r="HX9" s="145">
        <v>539</v>
      </c>
      <c r="HY9" s="145">
        <v>1087</v>
      </c>
      <c r="HZ9" s="145">
        <v>1611</v>
      </c>
      <c r="IA9" s="145">
        <v>2125</v>
      </c>
      <c r="IB9" s="145">
        <v>1812</v>
      </c>
      <c r="IC9" s="145">
        <v>1564</v>
      </c>
      <c r="ID9" s="145">
        <v>743</v>
      </c>
      <c r="IE9" s="145">
        <v>393</v>
      </c>
      <c r="IF9" s="145">
        <v>1039</v>
      </c>
      <c r="IG9" s="145">
        <v>1263</v>
      </c>
      <c r="IH9" s="145">
        <v>1962</v>
      </c>
      <c r="II9" s="145">
        <v>1597</v>
      </c>
      <c r="IJ9" s="145">
        <v>1730</v>
      </c>
      <c r="IK9" s="145">
        <v>1429</v>
      </c>
      <c r="IL9" s="145">
        <v>400</v>
      </c>
      <c r="IM9" s="145">
        <v>622</v>
      </c>
      <c r="IN9" s="145">
        <v>822</v>
      </c>
      <c r="IO9" s="145">
        <v>1359</v>
      </c>
      <c r="IP9" s="145">
        <v>924</v>
      </c>
      <c r="IQ9" s="145">
        <v>1634</v>
      </c>
      <c r="IR9" s="145">
        <v>1857</v>
      </c>
      <c r="IS9" s="145">
        <v>744</v>
      </c>
      <c r="IT9" s="145">
        <v>1450</v>
      </c>
      <c r="IU9" s="145">
        <v>1751</v>
      </c>
      <c r="IV9" s="145">
        <v>1656</v>
      </c>
      <c r="IW9" s="145">
        <v>1209</v>
      </c>
      <c r="IX9" s="145">
        <v>2053</v>
      </c>
      <c r="IY9" s="145">
        <v>1126</v>
      </c>
      <c r="IZ9" s="145">
        <v>302</v>
      </c>
      <c r="JA9" s="145">
        <v>883</v>
      </c>
      <c r="JB9" s="145">
        <v>1322</v>
      </c>
      <c r="JC9" s="145">
        <v>1281</v>
      </c>
      <c r="JD9" s="145">
        <v>1626</v>
      </c>
      <c r="JE9" s="145">
        <v>1220</v>
      </c>
      <c r="JF9" s="145">
        <v>1317</v>
      </c>
      <c r="JG9" s="145">
        <v>452</v>
      </c>
      <c r="JH9" s="145">
        <v>1002</v>
      </c>
      <c r="JI9" s="145">
        <v>1589</v>
      </c>
      <c r="JJ9" s="145">
        <v>1976</v>
      </c>
      <c r="JK9" s="145">
        <v>1354</v>
      </c>
      <c r="JL9" s="145">
        <v>1513</v>
      </c>
      <c r="JM9" s="145">
        <v>1897</v>
      </c>
      <c r="JN9" s="145">
        <v>567</v>
      </c>
      <c r="JO9" s="145">
        <v>1556</v>
      </c>
      <c r="JP9" s="145">
        <v>2812</v>
      </c>
      <c r="JQ9" s="145">
        <v>1593</v>
      </c>
      <c r="JR9" s="145">
        <v>1654</v>
      </c>
      <c r="JS9" s="145">
        <v>2687</v>
      </c>
      <c r="JT9" s="145">
        <v>2282</v>
      </c>
      <c r="JU9" s="145">
        <v>2123</v>
      </c>
      <c r="JV9" s="145">
        <v>0</v>
      </c>
      <c r="JW9" s="145">
        <v>920</v>
      </c>
      <c r="JX9" s="145">
        <v>1561</v>
      </c>
      <c r="JY9" s="145">
        <v>3510</v>
      </c>
      <c r="JZ9" s="145">
        <v>2321</v>
      </c>
      <c r="KA9" s="145">
        <v>1898</v>
      </c>
      <c r="KB9" s="145">
        <v>358</v>
      </c>
      <c r="KC9" s="145">
        <v>1280</v>
      </c>
      <c r="KD9" s="145">
        <v>952</v>
      </c>
      <c r="KE9" s="145">
        <v>1738</v>
      </c>
      <c r="KF9" s="145">
        <v>1556</v>
      </c>
      <c r="KG9" s="145">
        <v>1305</v>
      </c>
      <c r="KH9" s="145">
        <v>1542</v>
      </c>
      <c r="KI9" s="145">
        <v>1585</v>
      </c>
      <c r="KJ9" s="145">
        <v>0</v>
      </c>
      <c r="KK9" s="145">
        <v>952</v>
      </c>
      <c r="KL9" s="145">
        <v>974</v>
      </c>
      <c r="KM9" s="145">
        <v>1932</v>
      </c>
      <c r="KN9" s="145">
        <v>1632</v>
      </c>
      <c r="KO9" s="145">
        <v>1693</v>
      </c>
      <c r="KP9" s="145">
        <v>628</v>
      </c>
      <c r="KQ9" s="145">
        <v>1546</v>
      </c>
      <c r="KR9" s="145">
        <v>1917</v>
      </c>
      <c r="KS9" s="145">
        <v>2082</v>
      </c>
      <c r="KT9" s="145">
        <v>2498</v>
      </c>
      <c r="KU9" s="145">
        <v>2363</v>
      </c>
      <c r="KV9" s="145">
        <v>1249</v>
      </c>
      <c r="KW9" s="145">
        <v>1377</v>
      </c>
      <c r="KX9" s="145">
        <v>1202</v>
      </c>
      <c r="KY9" s="145">
        <v>2039</v>
      </c>
      <c r="KZ9" s="145">
        <v>2154</v>
      </c>
      <c r="LA9" s="145">
        <v>2317</v>
      </c>
      <c r="LB9" s="145">
        <v>2436</v>
      </c>
      <c r="LC9" s="145">
        <v>1991</v>
      </c>
      <c r="LD9" s="145">
        <v>0</v>
      </c>
      <c r="LE9" s="145">
        <v>1236</v>
      </c>
      <c r="LF9" s="145">
        <v>1860</v>
      </c>
      <c r="LG9" s="145">
        <v>1713</v>
      </c>
      <c r="LH9" s="145">
        <v>1699</v>
      </c>
      <c r="LI9" s="145">
        <v>1894</v>
      </c>
      <c r="LJ9" s="145">
        <v>1726</v>
      </c>
      <c r="LK9" s="145">
        <v>723</v>
      </c>
      <c r="LL9" s="145">
        <v>1251</v>
      </c>
      <c r="LM9" s="145">
        <v>1484</v>
      </c>
      <c r="LN9" s="145">
        <v>2139</v>
      </c>
      <c r="LO9" s="145">
        <v>1623</v>
      </c>
      <c r="LP9" s="145">
        <v>1760</v>
      </c>
      <c r="LQ9" s="145">
        <v>1075</v>
      </c>
      <c r="LR9" s="145">
        <v>921</v>
      </c>
      <c r="LS9" s="145">
        <v>1450</v>
      </c>
      <c r="LT9" s="145">
        <v>1788</v>
      </c>
      <c r="LU9" s="145">
        <v>2030</v>
      </c>
      <c r="LV9" s="145">
        <v>1743</v>
      </c>
      <c r="LW9" s="145">
        <v>1902</v>
      </c>
      <c r="LX9" s="145">
        <v>1323</v>
      </c>
      <c r="LY9" s="145">
        <v>832</v>
      </c>
      <c r="LZ9" s="145">
        <v>1142</v>
      </c>
      <c r="MA9" s="145">
        <v>2236</v>
      </c>
      <c r="MB9" s="145">
        <v>1471</v>
      </c>
      <c r="MC9" s="145">
        <v>1734</v>
      </c>
      <c r="MD9" s="145">
        <v>2175</v>
      </c>
      <c r="ME9" s="145">
        <v>1581</v>
      </c>
      <c r="MF9" s="145">
        <v>486</v>
      </c>
      <c r="MG9" s="145">
        <v>933</v>
      </c>
      <c r="MH9" s="145">
        <v>1493</v>
      </c>
      <c r="MI9" s="145">
        <v>1139</v>
      </c>
      <c r="MJ9" s="145">
        <v>1135</v>
      </c>
      <c r="MK9" s="145">
        <v>2363</v>
      </c>
      <c r="ML9" s="145">
        <v>2429</v>
      </c>
      <c r="MM9" s="145">
        <v>410</v>
      </c>
      <c r="MN9" s="145">
        <v>918</v>
      </c>
      <c r="MO9" s="145">
        <v>1536</v>
      </c>
      <c r="MP9" s="145">
        <v>1640</v>
      </c>
      <c r="MQ9" s="145">
        <v>1944</v>
      </c>
      <c r="MR9" s="145">
        <v>1795</v>
      </c>
      <c r="MS9" s="145">
        <v>1463</v>
      </c>
      <c r="MT9" s="145">
        <v>1197</v>
      </c>
      <c r="MU9" s="145">
        <v>0</v>
      </c>
      <c r="MV9" s="145">
        <v>1144</v>
      </c>
      <c r="MW9" s="145">
        <v>1804</v>
      </c>
      <c r="MX9" s="145">
        <v>2265</v>
      </c>
      <c r="MY9" s="145">
        <v>1645</v>
      </c>
      <c r="MZ9" s="145">
        <v>1971</v>
      </c>
      <c r="NA9" s="145">
        <v>889</v>
      </c>
      <c r="NB9" s="145">
        <v>1897</v>
      </c>
      <c r="NC9" s="145">
        <v>1541</v>
      </c>
      <c r="ND9" s="145">
        <v>2809</v>
      </c>
      <c r="NE9" s="145">
        <v>1048</v>
      </c>
      <c r="NF9" s="145">
        <v>2659</v>
      </c>
      <c r="NG9" s="145">
        <v>2644</v>
      </c>
      <c r="NH9" s="145">
        <v>1327</v>
      </c>
      <c r="NI9" s="145">
        <v>2186</v>
      </c>
      <c r="NJ9" s="145">
        <v>3190</v>
      </c>
      <c r="NK9" s="145">
        <v>2122</v>
      </c>
      <c r="NL9" s="145">
        <v>2598</v>
      </c>
      <c r="NM9" s="145">
        <v>2064</v>
      </c>
      <c r="NN9" s="145">
        <v>1467</v>
      </c>
      <c r="NO9" s="145">
        <v>389</v>
      </c>
      <c r="NP9" s="145">
        <v>1204</v>
      </c>
      <c r="NQ9" s="145">
        <v>2353</v>
      </c>
      <c r="NR9" s="145">
        <v>2670</v>
      </c>
      <c r="NS9" s="145">
        <v>2723</v>
      </c>
      <c r="NT9" s="145">
        <v>2071</v>
      </c>
      <c r="NU9" s="145">
        <v>2476</v>
      </c>
      <c r="NV9" s="145">
        <v>1427</v>
      </c>
      <c r="NW9" s="145">
        <v>1738</v>
      </c>
      <c r="NX9" s="145">
        <v>2886</v>
      </c>
      <c r="NY9" s="145">
        <v>2074</v>
      </c>
      <c r="NZ9" s="145">
        <v>1897</v>
      </c>
      <c r="OA9" s="145">
        <v>1797</v>
      </c>
      <c r="OB9" s="145">
        <v>2614</v>
      </c>
      <c r="OC9" s="145">
        <v>623</v>
      </c>
      <c r="OD9" s="145">
        <v>1139</v>
      </c>
      <c r="OE9" s="145">
        <v>1394</v>
      </c>
      <c r="OF9" s="145">
        <v>1071</v>
      </c>
      <c r="OG9" s="145">
        <v>1027</v>
      </c>
      <c r="OH9" s="145">
        <v>867</v>
      </c>
      <c r="OI9" s="145">
        <v>1273</v>
      </c>
      <c r="OJ9" s="145">
        <v>787</v>
      </c>
      <c r="OK9" s="145">
        <v>2055</v>
      </c>
      <c r="OL9" s="145">
        <v>1791</v>
      </c>
      <c r="OM9" s="145">
        <v>2881</v>
      </c>
      <c r="ON9" s="145">
        <v>2176</v>
      </c>
      <c r="OO9" s="145">
        <v>2944</v>
      </c>
      <c r="OP9" s="145">
        <v>2055</v>
      </c>
      <c r="OQ9" s="145">
        <v>537</v>
      </c>
      <c r="OR9" s="145">
        <v>2130</v>
      </c>
      <c r="OS9" s="145">
        <v>1952</v>
      </c>
      <c r="OT9" s="145">
        <v>2019</v>
      </c>
      <c r="OU9" s="145">
        <v>1729</v>
      </c>
      <c r="OV9" s="145">
        <v>639</v>
      </c>
      <c r="OW9" s="145">
        <v>1215</v>
      </c>
      <c r="OX9" s="145">
        <v>881</v>
      </c>
      <c r="OY9" s="145">
        <v>1417</v>
      </c>
      <c r="OZ9" s="145">
        <v>2862</v>
      </c>
      <c r="PA9" s="145">
        <v>2221</v>
      </c>
      <c r="PB9" s="145">
        <v>2900</v>
      </c>
      <c r="PC9" s="145">
        <v>3748</v>
      </c>
      <c r="PD9" s="145">
        <v>1937</v>
      </c>
      <c r="PE9" s="145">
        <v>1340</v>
      </c>
      <c r="PF9" s="145">
        <v>2254</v>
      </c>
      <c r="PG9" s="145">
        <v>2405</v>
      </c>
      <c r="PH9" s="145">
        <v>2234</v>
      </c>
      <c r="PI9" s="145">
        <v>3287</v>
      </c>
      <c r="PJ9" s="145">
        <v>2757</v>
      </c>
      <c r="PK9" s="145">
        <v>3855</v>
      </c>
      <c r="PL9" s="145">
        <v>2000</v>
      </c>
      <c r="PM9" s="145">
        <v>973</v>
      </c>
      <c r="PN9" s="145">
        <v>3604</v>
      </c>
      <c r="PO9" s="145">
        <v>1748</v>
      </c>
      <c r="PP9" s="145">
        <v>2189</v>
      </c>
      <c r="PQ9" s="145">
        <v>1589</v>
      </c>
      <c r="PR9" s="145">
        <v>1327</v>
      </c>
      <c r="PS9" s="145">
        <v>592</v>
      </c>
      <c r="PT9" s="145">
        <v>367</v>
      </c>
      <c r="PV9" s="152">
        <v>0</v>
      </c>
      <c r="PW9" s="145">
        <v>109</v>
      </c>
      <c r="PX9" s="145">
        <v>554</v>
      </c>
      <c r="PY9" s="145">
        <v>298</v>
      </c>
      <c r="PZ9" s="145">
        <v>164</v>
      </c>
      <c r="QA9" s="145">
        <v>1001</v>
      </c>
      <c r="QB9" s="145">
        <v>1470</v>
      </c>
      <c r="QC9" s="145">
        <v>1849</v>
      </c>
      <c r="QD9" s="145">
        <v>1358</v>
      </c>
      <c r="QE9" s="145">
        <v>1599</v>
      </c>
      <c r="QF9" s="145">
        <v>1399</v>
      </c>
      <c r="QG9" s="145">
        <v>686</v>
      </c>
      <c r="QH9" s="145">
        <v>1206</v>
      </c>
      <c r="QI9" s="145">
        <v>2711</v>
      </c>
      <c r="QJ9" s="145">
        <v>2289</v>
      </c>
      <c r="QK9" s="145">
        <v>1945</v>
      </c>
      <c r="QL9" s="145">
        <v>2405</v>
      </c>
      <c r="QM9" s="145">
        <v>2189</v>
      </c>
      <c r="QN9" s="145">
        <v>783</v>
      </c>
      <c r="QO9" s="145">
        <v>1575</v>
      </c>
      <c r="QP9" s="145">
        <v>2253</v>
      </c>
      <c r="QQ9" s="145">
        <v>1869</v>
      </c>
      <c r="QR9" s="145">
        <v>1393</v>
      </c>
      <c r="QS9" s="145">
        <v>1820</v>
      </c>
      <c r="QT9" s="145">
        <v>1691</v>
      </c>
      <c r="QU9" s="145">
        <v>1241</v>
      </c>
      <c r="QV9" s="145">
        <v>1460</v>
      </c>
      <c r="QW9" s="145">
        <v>2469</v>
      </c>
      <c r="QX9" s="145">
        <v>2061</v>
      </c>
      <c r="QY9" s="145">
        <v>1003</v>
      </c>
      <c r="QZ9" s="145">
        <v>1842</v>
      </c>
      <c r="RA9" s="145">
        <v>1849</v>
      </c>
      <c r="RB9" s="145">
        <v>1060</v>
      </c>
      <c r="RC9" s="145">
        <v>938</v>
      </c>
      <c r="RD9" s="145">
        <v>3070</v>
      </c>
      <c r="RE9" s="145">
        <v>1349</v>
      </c>
      <c r="RF9" s="145">
        <v>2143</v>
      </c>
      <c r="RG9" s="145">
        <v>2206</v>
      </c>
      <c r="RH9" s="145">
        <v>1108</v>
      </c>
      <c r="RI9" s="145">
        <v>0</v>
      </c>
      <c r="RJ9" s="145">
        <v>826</v>
      </c>
      <c r="RK9" s="145">
        <v>2205</v>
      </c>
      <c r="RL9" s="145">
        <v>2050</v>
      </c>
      <c r="RM9" s="145">
        <v>1522</v>
      </c>
      <c r="RN9" s="145">
        <v>1151</v>
      </c>
      <c r="RO9" s="145">
        <v>2311</v>
      </c>
      <c r="RP9" s="145">
        <v>873</v>
      </c>
      <c r="RQ9" s="145">
        <v>1397</v>
      </c>
      <c r="RR9" s="145">
        <v>2753</v>
      </c>
      <c r="RS9" s="145">
        <v>2032</v>
      </c>
      <c r="RT9" s="145">
        <v>1441</v>
      </c>
      <c r="RU9" s="145">
        <v>1733</v>
      </c>
      <c r="RV9" s="145">
        <v>2426</v>
      </c>
      <c r="RW9" s="145">
        <v>1650</v>
      </c>
      <c r="RX9" s="145">
        <v>2081</v>
      </c>
      <c r="RY9" s="145">
        <v>2419</v>
      </c>
      <c r="RZ9" s="145">
        <v>1883</v>
      </c>
      <c r="SA9" s="145">
        <v>2287</v>
      </c>
      <c r="SB9" s="145">
        <v>1722</v>
      </c>
      <c r="SC9" s="145">
        <v>2160</v>
      </c>
      <c r="SD9" s="145">
        <v>1310</v>
      </c>
      <c r="SE9" s="145">
        <v>1712</v>
      </c>
      <c r="SF9" s="145">
        <v>4082</v>
      </c>
      <c r="SG9" s="145">
        <v>2626</v>
      </c>
      <c r="SH9" s="145">
        <v>1802</v>
      </c>
      <c r="SI9" s="145">
        <v>2056</v>
      </c>
      <c r="SJ9" s="145">
        <v>1589</v>
      </c>
      <c r="SK9" s="145">
        <v>783</v>
      </c>
      <c r="SL9" s="145">
        <v>546</v>
      </c>
      <c r="SM9" s="145">
        <v>2857</v>
      </c>
      <c r="SN9" s="145">
        <v>1843</v>
      </c>
      <c r="SO9" s="145">
        <v>2403</v>
      </c>
      <c r="SP9" s="145">
        <v>2537</v>
      </c>
      <c r="SQ9" s="145">
        <v>1609</v>
      </c>
      <c r="SR9" s="145">
        <v>853</v>
      </c>
      <c r="SS9" s="145">
        <v>1034</v>
      </c>
      <c r="ST9" s="145">
        <v>2184</v>
      </c>
      <c r="SU9" s="145">
        <v>1900</v>
      </c>
      <c r="SV9" s="145">
        <v>2148</v>
      </c>
      <c r="SW9" s="145">
        <v>1640</v>
      </c>
      <c r="SX9" s="145">
        <v>1821</v>
      </c>
      <c r="SY9" s="145">
        <v>0</v>
      </c>
      <c r="SZ9" s="145">
        <v>2194</v>
      </c>
      <c r="TA9" s="145">
        <v>1845</v>
      </c>
      <c r="TB9" s="145">
        <v>1611</v>
      </c>
      <c r="TC9" s="145">
        <v>1824</v>
      </c>
      <c r="TD9" s="145">
        <v>1811</v>
      </c>
      <c r="TE9" s="145">
        <v>1306</v>
      </c>
      <c r="TF9" s="145">
        <v>672</v>
      </c>
      <c r="TG9" s="145">
        <v>762</v>
      </c>
      <c r="TH9" s="145">
        <v>2121</v>
      </c>
      <c r="TI9" s="145">
        <v>1226</v>
      </c>
      <c r="TJ9" s="145">
        <v>1522</v>
      </c>
      <c r="TK9" s="145">
        <v>1613</v>
      </c>
      <c r="TL9" s="145">
        <v>777</v>
      </c>
      <c r="TM9" s="145">
        <v>1224</v>
      </c>
      <c r="TN9" s="145">
        <v>0</v>
      </c>
      <c r="TO9" s="145">
        <v>977</v>
      </c>
      <c r="TP9" s="145">
        <v>1747</v>
      </c>
      <c r="TQ9" s="145">
        <v>2367</v>
      </c>
      <c r="TR9" s="145">
        <v>1941</v>
      </c>
      <c r="TS9" s="145">
        <v>801</v>
      </c>
      <c r="TT9" s="145">
        <v>20</v>
      </c>
      <c r="TU9" s="145">
        <v>0</v>
      </c>
      <c r="TV9" s="145">
        <v>0</v>
      </c>
      <c r="TW9" s="145">
        <v>584</v>
      </c>
      <c r="TX9" s="145">
        <v>2073</v>
      </c>
      <c r="TY9" s="145">
        <v>1859</v>
      </c>
      <c r="TZ9" s="145">
        <v>962</v>
      </c>
      <c r="UA9" s="145">
        <v>428</v>
      </c>
      <c r="UB9" s="145">
        <v>669</v>
      </c>
      <c r="UC9" s="145">
        <v>2147</v>
      </c>
      <c r="UD9" s="145">
        <v>1767</v>
      </c>
      <c r="UE9" s="145">
        <v>1483</v>
      </c>
      <c r="UF9" s="145">
        <v>1846</v>
      </c>
      <c r="UG9" s="145">
        <v>1955</v>
      </c>
      <c r="UH9" s="145">
        <v>1073</v>
      </c>
      <c r="UI9" s="145">
        <v>2553</v>
      </c>
      <c r="UJ9" s="145">
        <v>3004</v>
      </c>
      <c r="UK9" s="145">
        <v>2209</v>
      </c>
      <c r="UL9" s="145">
        <v>2511</v>
      </c>
      <c r="UM9" s="145">
        <v>719</v>
      </c>
      <c r="UN9" s="145">
        <v>1641</v>
      </c>
      <c r="UO9" s="145">
        <v>1319</v>
      </c>
      <c r="UP9" s="145">
        <v>0</v>
      </c>
      <c r="UQ9" s="145">
        <v>3110</v>
      </c>
      <c r="UR9" s="145">
        <v>1352</v>
      </c>
      <c r="US9" s="145">
        <v>2198</v>
      </c>
      <c r="UT9" s="145">
        <v>1683</v>
      </c>
      <c r="UU9" s="145">
        <v>813</v>
      </c>
      <c r="UV9" s="145">
        <v>1870</v>
      </c>
      <c r="UW9" s="145">
        <v>0</v>
      </c>
      <c r="UX9" s="145">
        <v>1122</v>
      </c>
      <c r="UY9" s="145">
        <v>1876</v>
      </c>
      <c r="UZ9" s="145">
        <v>3069</v>
      </c>
      <c r="VA9" s="145">
        <v>1502</v>
      </c>
      <c r="VB9" s="145">
        <v>1303</v>
      </c>
      <c r="VC9" s="145">
        <v>534</v>
      </c>
      <c r="VD9" s="145">
        <v>487</v>
      </c>
      <c r="VE9" s="145">
        <v>976</v>
      </c>
      <c r="VF9" s="145">
        <v>174</v>
      </c>
      <c r="VG9" s="145">
        <v>465</v>
      </c>
      <c r="VH9" s="145">
        <v>948</v>
      </c>
      <c r="VI9" s="145">
        <v>564</v>
      </c>
      <c r="VJ9" s="145">
        <v>137</v>
      </c>
      <c r="VK9" s="145">
        <v>683</v>
      </c>
      <c r="VL9" s="145">
        <v>1282</v>
      </c>
      <c r="VM9" s="145">
        <v>985</v>
      </c>
      <c r="VN9" s="145">
        <v>1071</v>
      </c>
      <c r="VO9" s="145">
        <v>1763</v>
      </c>
      <c r="VP9" s="145">
        <v>1471</v>
      </c>
      <c r="VQ9" s="145">
        <v>918</v>
      </c>
      <c r="VR9" s="145">
        <v>661</v>
      </c>
      <c r="VS9" s="145">
        <v>2639</v>
      </c>
      <c r="VT9" s="145">
        <v>588</v>
      </c>
      <c r="VU9" s="145">
        <v>862</v>
      </c>
      <c r="VV9" s="145">
        <v>1682</v>
      </c>
      <c r="VW9" s="145">
        <v>1959</v>
      </c>
      <c r="VX9" s="145">
        <v>460</v>
      </c>
      <c r="VY9" s="145">
        <v>897</v>
      </c>
      <c r="VZ9" s="145">
        <v>2635</v>
      </c>
      <c r="WA9" s="145">
        <v>1179</v>
      </c>
      <c r="WB9" s="145">
        <v>1696</v>
      </c>
      <c r="WC9" s="145">
        <v>1521</v>
      </c>
      <c r="WD9" s="145">
        <v>1959</v>
      </c>
      <c r="WE9" s="145">
        <v>580</v>
      </c>
      <c r="WF9" s="145">
        <v>1555</v>
      </c>
      <c r="WG9" s="145">
        <v>2471</v>
      </c>
      <c r="WH9" s="145">
        <v>1502</v>
      </c>
      <c r="WI9" s="145">
        <v>1418</v>
      </c>
      <c r="WJ9" s="145">
        <v>1790</v>
      </c>
      <c r="WK9" s="145">
        <v>1651</v>
      </c>
      <c r="WL9" s="145">
        <v>736</v>
      </c>
      <c r="WM9" s="145">
        <v>876</v>
      </c>
      <c r="WN9" s="145">
        <v>3156</v>
      </c>
      <c r="WO9" s="145">
        <v>2105</v>
      </c>
      <c r="WP9" s="145">
        <v>1808</v>
      </c>
      <c r="WQ9" s="145">
        <v>1836</v>
      </c>
      <c r="WR9" s="145">
        <v>1777</v>
      </c>
      <c r="WS9" s="145">
        <v>872</v>
      </c>
      <c r="WT9" s="145">
        <v>1430</v>
      </c>
      <c r="WU9" s="145">
        <v>1699</v>
      </c>
      <c r="WV9" s="145">
        <v>1182</v>
      </c>
      <c r="WW9" s="145">
        <v>1066</v>
      </c>
      <c r="WX9" s="145">
        <v>1136</v>
      </c>
      <c r="WY9" s="145">
        <v>1016</v>
      </c>
      <c r="WZ9" s="145">
        <v>717</v>
      </c>
      <c r="XA9" s="145">
        <v>1458</v>
      </c>
      <c r="XB9" s="145">
        <v>1994</v>
      </c>
      <c r="XC9" s="145">
        <v>1386</v>
      </c>
      <c r="XD9" s="145">
        <v>1541</v>
      </c>
      <c r="XE9" s="145">
        <v>1540</v>
      </c>
      <c r="XF9" s="145">
        <v>1673</v>
      </c>
      <c r="XG9" s="145">
        <v>681</v>
      </c>
      <c r="XH9" s="145">
        <v>1107</v>
      </c>
      <c r="XI9" s="145">
        <v>2574</v>
      </c>
      <c r="XJ9" s="145">
        <v>1963</v>
      </c>
      <c r="XK9" s="145">
        <v>1777</v>
      </c>
      <c r="XL9" s="145">
        <v>1636</v>
      </c>
      <c r="XM9" s="145">
        <v>1617</v>
      </c>
      <c r="XN9" s="145">
        <v>807</v>
      </c>
      <c r="XO9" s="145">
        <v>879</v>
      </c>
      <c r="XP9" s="145">
        <v>2400</v>
      </c>
      <c r="XQ9" s="145">
        <v>1580</v>
      </c>
      <c r="XR9" s="145">
        <v>1866</v>
      </c>
      <c r="XS9" s="145">
        <v>3154</v>
      </c>
      <c r="XT9" s="145">
        <v>2014</v>
      </c>
      <c r="XU9" s="145">
        <v>438</v>
      </c>
      <c r="XV9" s="145">
        <v>0</v>
      </c>
      <c r="XW9" s="145">
        <v>1308</v>
      </c>
      <c r="XX9" s="145">
        <v>2006</v>
      </c>
      <c r="XY9" s="145">
        <v>2708</v>
      </c>
      <c r="XZ9" s="145">
        <v>1638</v>
      </c>
      <c r="YA9" s="145">
        <v>2016</v>
      </c>
      <c r="YB9" s="145">
        <v>276</v>
      </c>
      <c r="YC9" s="145">
        <v>938</v>
      </c>
      <c r="YD9" s="145">
        <v>2606</v>
      </c>
      <c r="YE9" s="145">
        <v>1348</v>
      </c>
      <c r="YF9" s="145">
        <v>2144</v>
      </c>
      <c r="YG9" s="145">
        <v>1771</v>
      </c>
      <c r="YH9" s="145">
        <v>1211</v>
      </c>
      <c r="YI9" s="145">
        <v>1083</v>
      </c>
      <c r="YJ9" s="145">
        <v>1246</v>
      </c>
      <c r="YK9" s="145">
        <v>1037</v>
      </c>
      <c r="YL9" s="145">
        <v>654</v>
      </c>
      <c r="YM9" s="145">
        <v>1949</v>
      </c>
      <c r="YN9" s="145">
        <v>1619</v>
      </c>
      <c r="YO9" s="145">
        <v>1822</v>
      </c>
      <c r="YP9" s="145">
        <v>562</v>
      </c>
      <c r="YQ9" s="145">
        <v>1243</v>
      </c>
      <c r="YR9" s="145">
        <v>2434</v>
      </c>
      <c r="YS9" s="145">
        <v>1381</v>
      </c>
      <c r="YT9" s="145">
        <v>2144</v>
      </c>
      <c r="YU9" s="145">
        <v>1903</v>
      </c>
      <c r="YV9" s="145">
        <v>2151</v>
      </c>
      <c r="YW9" s="145">
        <v>931</v>
      </c>
      <c r="YX9" s="145">
        <v>992</v>
      </c>
      <c r="YY9" s="145">
        <v>3519</v>
      </c>
      <c r="YZ9" s="145">
        <v>2267</v>
      </c>
      <c r="ZA9" s="145">
        <v>3139</v>
      </c>
      <c r="ZB9" s="145">
        <v>2490</v>
      </c>
      <c r="ZC9" s="145">
        <v>2057</v>
      </c>
      <c r="ZD9" s="145">
        <v>185</v>
      </c>
      <c r="ZE9" s="145">
        <v>480</v>
      </c>
      <c r="ZF9" s="145">
        <v>2411</v>
      </c>
      <c r="ZG9" s="145">
        <v>890</v>
      </c>
      <c r="ZH9" s="145">
        <v>1278</v>
      </c>
      <c r="ZI9" s="145">
        <v>1805</v>
      </c>
      <c r="ZJ9" s="145">
        <v>1331</v>
      </c>
      <c r="ZK9" s="145">
        <v>462</v>
      </c>
      <c r="ZL9" s="145">
        <v>1182</v>
      </c>
      <c r="ZM9" s="145">
        <v>2998</v>
      </c>
      <c r="ZN9" s="145">
        <v>874</v>
      </c>
      <c r="ZO9" s="145">
        <v>1432</v>
      </c>
      <c r="ZP9" s="145">
        <v>1917</v>
      </c>
      <c r="ZQ9" s="145">
        <v>1864</v>
      </c>
      <c r="ZR9" s="145">
        <v>675</v>
      </c>
      <c r="ZS9" s="145">
        <v>769</v>
      </c>
      <c r="ZT9" s="145">
        <v>2118</v>
      </c>
      <c r="ZU9" s="145">
        <v>1031</v>
      </c>
      <c r="ZV9" s="145">
        <v>1579</v>
      </c>
      <c r="ZW9" s="145">
        <v>1366</v>
      </c>
      <c r="ZX9" s="145">
        <v>1609</v>
      </c>
      <c r="ZY9" s="145">
        <v>459</v>
      </c>
      <c r="ZZ9" s="145">
        <v>1025</v>
      </c>
      <c r="AAA9" s="145">
        <v>2141</v>
      </c>
      <c r="AAB9" s="145">
        <v>1127</v>
      </c>
      <c r="AAC9" s="145">
        <v>1735</v>
      </c>
      <c r="AAD9" s="145">
        <v>2181</v>
      </c>
      <c r="AAE9" s="145">
        <v>2083</v>
      </c>
      <c r="AAF9" s="145">
        <v>385</v>
      </c>
      <c r="AAG9" s="145">
        <v>938</v>
      </c>
      <c r="AAH9" s="145">
        <v>3012</v>
      </c>
      <c r="AAI9" s="145">
        <v>1303</v>
      </c>
      <c r="AAJ9" s="145">
        <v>1085</v>
      </c>
      <c r="AAK9" s="145">
        <v>1019</v>
      </c>
      <c r="AAL9" s="145">
        <v>1140</v>
      </c>
      <c r="AAM9" s="145">
        <v>375</v>
      </c>
      <c r="AAN9" s="145">
        <v>463</v>
      </c>
      <c r="AAO9" s="145">
        <v>2447</v>
      </c>
      <c r="AAP9" s="145">
        <v>1322</v>
      </c>
      <c r="AAQ9" s="145">
        <v>1271</v>
      </c>
      <c r="AAR9" s="145">
        <v>1472</v>
      </c>
      <c r="AAS9" s="145">
        <v>2014</v>
      </c>
      <c r="AAT9" s="145">
        <v>1051</v>
      </c>
      <c r="AAU9" s="145">
        <v>0</v>
      </c>
      <c r="AAV9" s="145">
        <v>1153</v>
      </c>
      <c r="AAW9" s="145">
        <v>2814</v>
      </c>
      <c r="AAX9" s="145">
        <v>2800</v>
      </c>
      <c r="AAY9" s="145">
        <v>2155</v>
      </c>
      <c r="AAZ9" s="145">
        <v>1420</v>
      </c>
      <c r="ABA9" s="145">
        <v>445</v>
      </c>
      <c r="ABB9" s="145">
        <v>1044</v>
      </c>
      <c r="ABC9" s="145">
        <v>2257</v>
      </c>
      <c r="ABD9" s="145">
        <v>1426</v>
      </c>
      <c r="ABE9" s="145">
        <v>1533</v>
      </c>
      <c r="ABF9" s="145">
        <v>658</v>
      </c>
      <c r="ABG9" s="145">
        <v>1462</v>
      </c>
      <c r="ABH9" s="145">
        <v>985</v>
      </c>
      <c r="ABI9" s="145">
        <v>734</v>
      </c>
      <c r="ABJ9" s="145">
        <v>2364</v>
      </c>
      <c r="ABK9" s="145">
        <v>1848</v>
      </c>
      <c r="ABL9" s="145">
        <v>2004</v>
      </c>
      <c r="ABM9" s="145">
        <v>1695</v>
      </c>
      <c r="ABN9" s="145">
        <v>1217</v>
      </c>
      <c r="ABO9" s="145">
        <v>614</v>
      </c>
      <c r="ABP9" s="145">
        <v>426</v>
      </c>
      <c r="ABQ9" s="145">
        <v>1656</v>
      </c>
      <c r="ABR9" s="145">
        <v>802</v>
      </c>
      <c r="ABS9" s="145">
        <v>1308</v>
      </c>
      <c r="ABT9" s="145">
        <v>1472</v>
      </c>
      <c r="ABU9" s="145">
        <v>1300</v>
      </c>
      <c r="ABV9" s="145">
        <v>774</v>
      </c>
      <c r="ABW9" s="145">
        <v>1006</v>
      </c>
      <c r="ABX9" s="145">
        <v>2448</v>
      </c>
      <c r="ABY9" s="145">
        <v>929</v>
      </c>
      <c r="ABZ9" s="145">
        <v>1442</v>
      </c>
      <c r="ACA9" s="145">
        <v>1248</v>
      </c>
      <c r="ACB9" s="145">
        <v>1534</v>
      </c>
      <c r="ACC9" s="145">
        <v>1025</v>
      </c>
      <c r="ACD9" s="145">
        <v>708</v>
      </c>
      <c r="ACE9" s="145">
        <v>2739</v>
      </c>
      <c r="ACF9" s="145">
        <v>1085</v>
      </c>
      <c r="ACG9" s="145">
        <v>1255</v>
      </c>
      <c r="ACH9" s="145">
        <v>1854</v>
      </c>
      <c r="ACI9" s="145">
        <v>1814</v>
      </c>
      <c r="ACJ9" s="145">
        <v>595</v>
      </c>
      <c r="ACK9" s="145">
        <v>881</v>
      </c>
      <c r="ACL9" s="145">
        <v>2128</v>
      </c>
      <c r="ACM9" s="145">
        <v>1531</v>
      </c>
      <c r="ACN9" s="145">
        <v>1922</v>
      </c>
      <c r="ACO9" s="145">
        <v>1353</v>
      </c>
      <c r="ACP9" s="145">
        <v>1483</v>
      </c>
      <c r="ACQ9" s="145">
        <v>455</v>
      </c>
      <c r="ACR9" s="145">
        <v>662</v>
      </c>
      <c r="ACS9" s="145">
        <v>1800</v>
      </c>
      <c r="ACT9" s="145">
        <v>967</v>
      </c>
      <c r="ACU9" s="145">
        <v>698</v>
      </c>
      <c r="ACV9" s="145">
        <v>1267</v>
      </c>
      <c r="ACW9" s="145">
        <v>477</v>
      </c>
      <c r="ACX9" s="145">
        <v>357</v>
      </c>
      <c r="ACY9" s="145">
        <v>302</v>
      </c>
      <c r="ACZ9" s="145">
        <v>1898</v>
      </c>
      <c r="ADA9" s="145">
        <v>986</v>
      </c>
      <c r="ADB9" s="145">
        <v>1439</v>
      </c>
      <c r="ADC9" s="145">
        <v>1118</v>
      </c>
      <c r="ADD9" s="145">
        <v>1025</v>
      </c>
      <c r="ADE9" s="145">
        <v>635</v>
      </c>
      <c r="ADF9" s="145">
        <v>487</v>
      </c>
      <c r="ADG9" s="145">
        <v>1943</v>
      </c>
      <c r="ADH9" s="145">
        <v>1138</v>
      </c>
      <c r="ADI9" s="145">
        <v>1501</v>
      </c>
      <c r="ADJ9" s="145">
        <v>1378</v>
      </c>
      <c r="ADK9" s="145">
        <v>1310</v>
      </c>
      <c r="ADL9" s="145">
        <v>930</v>
      </c>
      <c r="ADM9" s="145">
        <v>456</v>
      </c>
      <c r="ADN9" s="145">
        <v>2346</v>
      </c>
      <c r="ADO9" s="145">
        <v>1289</v>
      </c>
      <c r="ADP9" s="145">
        <v>1620</v>
      </c>
      <c r="ADQ9" s="145">
        <v>1510</v>
      </c>
      <c r="ADR9" s="145">
        <v>1513</v>
      </c>
      <c r="ADS9" s="145">
        <v>738</v>
      </c>
      <c r="ADT9" s="145">
        <v>1138</v>
      </c>
      <c r="ADU9" s="145">
        <v>709</v>
      </c>
      <c r="ADV9" s="145">
        <v>0</v>
      </c>
      <c r="ADW9" s="145">
        <v>0</v>
      </c>
      <c r="ADX9" s="145">
        <v>98</v>
      </c>
      <c r="ADY9" s="145">
        <v>615</v>
      </c>
      <c r="ADZ9" s="145">
        <v>54</v>
      </c>
      <c r="AEA9" s="145">
        <v>604</v>
      </c>
      <c r="AEB9" s="145">
        <v>795</v>
      </c>
      <c r="AEC9" s="145">
        <v>974</v>
      </c>
      <c r="AED9" s="145">
        <v>1467</v>
      </c>
      <c r="AEE9" s="145">
        <v>1184</v>
      </c>
      <c r="AEF9" s="145">
        <v>1360</v>
      </c>
      <c r="AEG9" s="145">
        <v>1041</v>
      </c>
      <c r="AEH9" s="145">
        <v>850</v>
      </c>
      <c r="AEI9" s="145">
        <v>2397</v>
      </c>
      <c r="AEJ9" s="145">
        <v>1596</v>
      </c>
      <c r="AEK9" s="145">
        <v>1776</v>
      </c>
      <c r="AEL9" s="145">
        <v>1455</v>
      </c>
      <c r="AEM9" s="145">
        <v>1459</v>
      </c>
      <c r="AEN9" s="145">
        <v>1211</v>
      </c>
      <c r="AEO9" s="145">
        <v>756</v>
      </c>
      <c r="AEP9" s="145">
        <v>2407</v>
      </c>
      <c r="AEQ9" s="145">
        <v>1586</v>
      </c>
      <c r="AER9" s="145">
        <v>1476</v>
      </c>
      <c r="AES9" s="145">
        <v>2081</v>
      </c>
      <c r="AET9" s="145">
        <v>2431</v>
      </c>
      <c r="AEU9" s="145">
        <v>1553</v>
      </c>
      <c r="AEV9" s="145">
        <v>2444</v>
      </c>
      <c r="AEW9" s="145">
        <v>5432</v>
      </c>
      <c r="AEX9" s="145">
        <v>2460</v>
      </c>
      <c r="AEY9" s="145">
        <v>3962</v>
      </c>
      <c r="AEZ9" s="145">
        <v>2512</v>
      </c>
      <c r="AFA9" s="145">
        <v>7100</v>
      </c>
      <c r="AFB9" s="145">
        <v>986</v>
      </c>
      <c r="AFC9" s="145">
        <v>1226</v>
      </c>
      <c r="AFD9" s="145">
        <v>6340</v>
      </c>
      <c r="AFE9" s="145">
        <v>2528</v>
      </c>
      <c r="AFF9" s="145">
        <v>10504</v>
      </c>
      <c r="AFG9" s="145">
        <v>8010</v>
      </c>
      <c r="AFH9" s="145">
        <v>4936</v>
      </c>
      <c r="AFI9" s="145">
        <v>1408</v>
      </c>
      <c r="AFJ9" s="145">
        <v>12670</v>
      </c>
      <c r="AFK9" s="145">
        <v>14567</v>
      </c>
      <c r="AFL9" s="145">
        <v>6476</v>
      </c>
      <c r="AFM9" s="145">
        <v>3822</v>
      </c>
      <c r="AFN9" s="145">
        <v>4204</v>
      </c>
      <c r="AFO9" s="145">
        <v>3860</v>
      </c>
      <c r="AFP9" s="145">
        <v>890</v>
      </c>
      <c r="AFQ9" s="145">
        <v>1131</v>
      </c>
      <c r="AFR9" s="145">
        <v>1422</v>
      </c>
      <c r="AFS9" s="145">
        <v>2265</v>
      </c>
      <c r="AFT9" s="145">
        <v>2159</v>
      </c>
      <c r="AFU9" s="145">
        <v>2537</v>
      </c>
      <c r="AFV9" s="145">
        <v>1191</v>
      </c>
      <c r="AFW9" s="145">
        <v>398</v>
      </c>
      <c r="AFX9" s="145">
        <v>1066</v>
      </c>
      <c r="AFY9" s="145">
        <v>2135</v>
      </c>
      <c r="AFZ9" s="145">
        <v>1512</v>
      </c>
      <c r="AGA9" s="145">
        <v>3435</v>
      </c>
      <c r="AGB9" s="145">
        <v>2986</v>
      </c>
      <c r="AGC9" s="145">
        <v>2772</v>
      </c>
      <c r="AHI9" s="157"/>
      <c r="AHJ9" s="157"/>
      <c r="AHK9" s="157"/>
      <c r="AHL9" s="157"/>
      <c r="AHM9" s="157"/>
      <c r="AHN9" s="157"/>
      <c r="AHO9" s="157"/>
      <c r="AHP9" s="157"/>
      <c r="AHQ9" s="157"/>
      <c r="AHR9" s="157"/>
      <c r="AHS9" s="157"/>
      <c r="AHT9" s="157"/>
      <c r="AHU9" s="157"/>
      <c r="AHV9" s="157"/>
      <c r="AHW9" s="157"/>
      <c r="AHX9" s="157"/>
      <c r="AHY9" s="157"/>
      <c r="AHZ9" s="157"/>
      <c r="AIA9" s="157"/>
      <c r="AIB9" s="157"/>
      <c r="AIC9" s="157"/>
      <c r="AID9" s="157"/>
      <c r="AIE9" s="157"/>
      <c r="AIF9" s="157"/>
      <c r="AIG9" s="157"/>
      <c r="AIH9" s="157"/>
      <c r="AII9" s="157"/>
      <c r="AIJ9" s="157"/>
      <c r="AIK9" s="157"/>
      <c r="AIL9" s="157"/>
      <c r="AIM9" s="145">
        <v>2431</v>
      </c>
      <c r="AIN9" s="145">
        <v>1192</v>
      </c>
      <c r="AIO9" s="145">
        <v>537</v>
      </c>
      <c r="AIP9" s="145">
        <v>0</v>
      </c>
      <c r="AIQ9" s="145">
        <v>1113</v>
      </c>
      <c r="AIR9" s="145">
        <v>1784</v>
      </c>
      <c r="AIS9" s="145">
        <v>2737</v>
      </c>
      <c r="AIT9" s="145">
        <v>1491</v>
      </c>
      <c r="AIU9" s="145">
        <v>1972</v>
      </c>
      <c r="AIV9" s="145">
        <v>450</v>
      </c>
      <c r="AIW9" s="145">
        <v>1885</v>
      </c>
      <c r="AIX9" s="145">
        <v>2777</v>
      </c>
      <c r="AIY9" s="145">
        <v>2029</v>
      </c>
      <c r="AIZ9" s="145">
        <v>2032</v>
      </c>
      <c r="AJA9" s="145">
        <v>1140</v>
      </c>
      <c r="AJB9" s="145">
        <v>810</v>
      </c>
      <c r="AJC9" s="145">
        <v>105</v>
      </c>
      <c r="AJD9" s="145">
        <v>471</v>
      </c>
      <c r="AJE9" s="145">
        <v>62</v>
      </c>
      <c r="AJF9" s="145">
        <v>357</v>
      </c>
      <c r="AJG9" s="145">
        <v>42</v>
      </c>
      <c r="AJH9" s="145">
        <v>495</v>
      </c>
      <c r="AJI9" s="145">
        <v>217</v>
      </c>
      <c r="AJJ9" s="145">
        <v>871</v>
      </c>
      <c r="AJK9" s="145">
        <v>1566</v>
      </c>
      <c r="AJL9" s="145">
        <v>1334</v>
      </c>
      <c r="AJM9" s="145">
        <v>1593</v>
      </c>
      <c r="AJN9" s="145">
        <v>1314</v>
      </c>
      <c r="AJO9" s="145">
        <v>1091</v>
      </c>
      <c r="AJP9" s="145">
        <v>1236</v>
      </c>
      <c r="AJQ9" s="145">
        <v>0</v>
      </c>
      <c r="AJR9" s="145">
        <v>0</v>
      </c>
      <c r="AJS9" s="145">
        <v>511</v>
      </c>
      <c r="AJT9" s="145">
        <v>757</v>
      </c>
      <c r="AJU9" s="145">
        <v>680</v>
      </c>
      <c r="AJV9" s="145">
        <v>1914</v>
      </c>
      <c r="AJW9" s="145">
        <v>1910</v>
      </c>
      <c r="AJX9" s="145">
        <v>696</v>
      </c>
      <c r="AJY9" s="145">
        <v>753</v>
      </c>
      <c r="AJZ9" s="145">
        <v>2525</v>
      </c>
      <c r="AKA9" s="145">
        <v>1861</v>
      </c>
      <c r="AKB9" s="145">
        <v>2612</v>
      </c>
      <c r="AKC9" s="145">
        <v>1801</v>
      </c>
      <c r="AKD9" s="145">
        <v>1853</v>
      </c>
      <c r="AKE9" s="145">
        <v>1194</v>
      </c>
      <c r="AKF9" s="145">
        <v>1017</v>
      </c>
    </row>
    <row r="10" spans="1:985">
      <c r="A10">
        <v>7</v>
      </c>
      <c r="B10" s="132" t="s">
        <v>32</v>
      </c>
      <c r="C10" s="1">
        <v>82210</v>
      </c>
      <c r="D10" s="1" t="s">
        <v>8</v>
      </c>
      <c r="E10" s="3" t="s">
        <v>9</v>
      </c>
      <c r="F10" s="52" t="s">
        <v>11</v>
      </c>
      <c r="G10" s="48" t="s">
        <v>33</v>
      </c>
      <c r="H10" s="1" t="s">
        <v>34</v>
      </c>
      <c r="I10" s="1" t="s">
        <v>14</v>
      </c>
      <c r="J10" s="1" t="s">
        <v>15</v>
      </c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>
        <v>301</v>
      </c>
      <c r="AE10" s="23">
        <v>305</v>
      </c>
      <c r="AF10" s="23">
        <v>440</v>
      </c>
      <c r="AG10" s="23">
        <v>327</v>
      </c>
      <c r="AH10" s="23">
        <v>507</v>
      </c>
      <c r="AI10" s="23">
        <v>354</v>
      </c>
      <c r="AK10" s="23">
        <v>252</v>
      </c>
      <c r="AL10" s="23">
        <v>243</v>
      </c>
      <c r="AM10" s="23">
        <v>513</v>
      </c>
      <c r="AN10" s="23">
        <v>603</v>
      </c>
      <c r="AO10" s="23">
        <v>731</v>
      </c>
      <c r="AP10" s="23">
        <v>732</v>
      </c>
      <c r="AR10" s="23">
        <v>964</v>
      </c>
      <c r="AT10" s="23">
        <v>886</v>
      </c>
      <c r="AU10" s="23">
        <v>754</v>
      </c>
      <c r="AV10" s="23">
        <v>772</v>
      </c>
      <c r="AW10" s="23">
        <v>539</v>
      </c>
      <c r="AY10" s="23">
        <v>1007</v>
      </c>
      <c r="AZ10" s="23">
        <v>1015</v>
      </c>
      <c r="BA10" s="23">
        <v>1180</v>
      </c>
      <c r="BB10" s="23">
        <v>983</v>
      </c>
      <c r="BC10" s="23">
        <v>809</v>
      </c>
      <c r="BD10" s="23">
        <v>1157</v>
      </c>
      <c r="BF10" s="23">
        <v>727</v>
      </c>
      <c r="BG10" s="23">
        <v>801</v>
      </c>
      <c r="BH10" s="23">
        <v>674</v>
      </c>
      <c r="BI10" s="23">
        <v>1048</v>
      </c>
      <c r="BJ10" s="23">
        <v>821</v>
      </c>
      <c r="BK10" s="23">
        <v>662</v>
      </c>
      <c r="BL10" s="23"/>
      <c r="BM10" s="23">
        <v>571</v>
      </c>
      <c r="BN10" s="23">
        <v>1010</v>
      </c>
      <c r="BO10" s="23">
        <v>1362</v>
      </c>
      <c r="BP10" s="23">
        <v>581</v>
      </c>
      <c r="BQ10" s="23">
        <v>22</v>
      </c>
      <c r="BR10" s="23"/>
      <c r="BS10" s="23"/>
      <c r="BT10" s="23"/>
      <c r="BU10" s="23"/>
      <c r="BV10" s="23"/>
      <c r="BW10" s="23">
        <v>286</v>
      </c>
      <c r="BX10" s="23">
        <v>349</v>
      </c>
      <c r="BY10" s="23">
        <v>355</v>
      </c>
      <c r="BZ10" s="23"/>
      <c r="CA10" s="23">
        <v>430</v>
      </c>
      <c r="CB10">
        <v>737</v>
      </c>
      <c r="CC10">
        <v>1087</v>
      </c>
      <c r="CD10">
        <v>1075</v>
      </c>
      <c r="CE10">
        <v>1199</v>
      </c>
      <c r="CF10">
        <v>1182</v>
      </c>
      <c r="CH10">
        <v>901</v>
      </c>
      <c r="CI10">
        <v>1352</v>
      </c>
      <c r="CJ10">
        <v>1743</v>
      </c>
      <c r="CK10">
        <v>1897</v>
      </c>
      <c r="CL10">
        <v>1619</v>
      </c>
      <c r="CO10">
        <v>1314</v>
      </c>
      <c r="CP10">
        <v>1045</v>
      </c>
      <c r="CQ10">
        <v>1349</v>
      </c>
      <c r="CR10">
        <v>848</v>
      </c>
      <c r="CS10">
        <v>1060</v>
      </c>
      <c r="CT10">
        <v>596</v>
      </c>
      <c r="CV10">
        <v>427</v>
      </c>
      <c r="CW10">
        <v>466</v>
      </c>
      <c r="CX10">
        <v>714</v>
      </c>
      <c r="CY10">
        <v>683</v>
      </c>
      <c r="CZ10">
        <v>622</v>
      </c>
      <c r="DA10">
        <v>770</v>
      </c>
      <c r="DC10">
        <v>384</v>
      </c>
      <c r="DD10">
        <v>547</v>
      </c>
      <c r="DE10">
        <v>681</v>
      </c>
      <c r="DF10">
        <v>618</v>
      </c>
      <c r="DG10">
        <v>630</v>
      </c>
      <c r="DH10">
        <v>789</v>
      </c>
      <c r="DJ10">
        <v>544</v>
      </c>
      <c r="DK10">
        <v>721</v>
      </c>
      <c r="DL10">
        <v>953</v>
      </c>
      <c r="DM10">
        <v>1172</v>
      </c>
      <c r="DN10">
        <v>894</v>
      </c>
      <c r="DO10">
        <v>828</v>
      </c>
      <c r="DQ10">
        <v>703</v>
      </c>
      <c r="DR10">
        <v>693</v>
      </c>
      <c r="DS10">
        <v>1159</v>
      </c>
      <c r="DT10">
        <v>1142</v>
      </c>
      <c r="DU10">
        <v>965</v>
      </c>
      <c r="DV10">
        <v>1143</v>
      </c>
      <c r="DX10">
        <v>895</v>
      </c>
      <c r="DY10">
        <v>718</v>
      </c>
      <c r="DZ10">
        <v>991</v>
      </c>
      <c r="EA10">
        <v>832</v>
      </c>
      <c r="EB10">
        <v>830</v>
      </c>
      <c r="EC10">
        <v>430</v>
      </c>
      <c r="EE10">
        <v>398</v>
      </c>
      <c r="EF10">
        <v>361</v>
      </c>
      <c r="EG10">
        <v>700</v>
      </c>
      <c r="EH10">
        <v>454</v>
      </c>
      <c r="EI10">
        <v>610</v>
      </c>
      <c r="EJ10">
        <v>747</v>
      </c>
      <c r="EL10">
        <v>1147</v>
      </c>
      <c r="EM10">
        <v>1558</v>
      </c>
      <c r="EN10">
        <v>2080</v>
      </c>
      <c r="EO10">
        <v>1952</v>
      </c>
      <c r="EP10">
        <v>1954</v>
      </c>
      <c r="EQ10">
        <v>907</v>
      </c>
      <c r="ES10">
        <v>1160</v>
      </c>
      <c r="ET10">
        <v>740</v>
      </c>
      <c r="EU10">
        <v>1401</v>
      </c>
      <c r="EV10">
        <v>839</v>
      </c>
      <c r="EW10">
        <v>1293</v>
      </c>
      <c r="EX10">
        <v>1026</v>
      </c>
      <c r="EZ10">
        <v>1102</v>
      </c>
      <c r="FA10">
        <v>683</v>
      </c>
      <c r="FB10">
        <v>935</v>
      </c>
      <c r="FC10">
        <v>841</v>
      </c>
      <c r="FD10">
        <v>568</v>
      </c>
      <c r="FE10">
        <v>646</v>
      </c>
      <c r="FG10">
        <v>416</v>
      </c>
      <c r="FH10">
        <v>326</v>
      </c>
      <c r="FI10">
        <v>397</v>
      </c>
      <c r="FJ10">
        <v>491</v>
      </c>
      <c r="FK10">
        <v>338</v>
      </c>
      <c r="FN10">
        <v>509</v>
      </c>
      <c r="FO10">
        <v>272</v>
      </c>
      <c r="FP10">
        <v>680</v>
      </c>
      <c r="FQ10">
        <v>804</v>
      </c>
      <c r="FR10">
        <v>784</v>
      </c>
      <c r="FV10">
        <v>551</v>
      </c>
      <c r="FW10">
        <v>273</v>
      </c>
      <c r="FX10">
        <v>729</v>
      </c>
      <c r="FY10">
        <v>649</v>
      </c>
      <c r="FZ10">
        <v>910</v>
      </c>
      <c r="GB10">
        <v>590</v>
      </c>
      <c r="GC10">
        <v>668</v>
      </c>
      <c r="GD10">
        <v>596</v>
      </c>
      <c r="GE10">
        <v>565</v>
      </c>
      <c r="GF10">
        <v>577</v>
      </c>
      <c r="GG10">
        <v>851</v>
      </c>
      <c r="GI10">
        <v>371</v>
      </c>
      <c r="GJ10">
        <v>623</v>
      </c>
      <c r="GL10">
        <v>540</v>
      </c>
      <c r="GM10">
        <v>623</v>
      </c>
      <c r="GP10">
        <v>764</v>
      </c>
      <c r="GQ10">
        <v>336</v>
      </c>
      <c r="GR10">
        <v>715</v>
      </c>
      <c r="GS10">
        <v>602</v>
      </c>
      <c r="GT10">
        <v>653</v>
      </c>
      <c r="GU10">
        <v>706</v>
      </c>
      <c r="GW10">
        <v>318</v>
      </c>
      <c r="GX10">
        <v>778</v>
      </c>
      <c r="GY10">
        <v>811</v>
      </c>
      <c r="GZ10">
        <v>930</v>
      </c>
      <c r="HA10">
        <v>1209</v>
      </c>
      <c r="HB10">
        <v>1083</v>
      </c>
      <c r="HD10">
        <v>935</v>
      </c>
      <c r="HE10">
        <v>1050</v>
      </c>
      <c r="HG10">
        <v>1171</v>
      </c>
      <c r="HH10">
        <v>900</v>
      </c>
      <c r="HI10">
        <v>1093</v>
      </c>
      <c r="HK10">
        <v>1032</v>
      </c>
      <c r="HL10">
        <v>876</v>
      </c>
      <c r="HM10">
        <v>1182</v>
      </c>
      <c r="HN10">
        <v>1026</v>
      </c>
      <c r="HO10">
        <v>1077</v>
      </c>
      <c r="HP10">
        <v>656</v>
      </c>
      <c r="HS10">
        <v>309</v>
      </c>
      <c r="HT10">
        <v>441</v>
      </c>
      <c r="HU10">
        <v>508</v>
      </c>
      <c r="HV10">
        <v>296</v>
      </c>
      <c r="HW10">
        <v>555</v>
      </c>
      <c r="HY10">
        <v>423</v>
      </c>
      <c r="HZ10">
        <v>572</v>
      </c>
      <c r="IA10">
        <v>903</v>
      </c>
      <c r="IB10">
        <v>1042</v>
      </c>
      <c r="IC10">
        <v>857</v>
      </c>
      <c r="ID10">
        <v>868</v>
      </c>
      <c r="IF10">
        <v>371</v>
      </c>
      <c r="IG10">
        <v>621</v>
      </c>
      <c r="IH10">
        <v>700</v>
      </c>
      <c r="II10">
        <v>954</v>
      </c>
      <c r="IJ10">
        <v>1064</v>
      </c>
      <c r="IK10">
        <v>903</v>
      </c>
      <c r="IM10">
        <v>575</v>
      </c>
      <c r="IN10">
        <v>917</v>
      </c>
      <c r="IO10">
        <v>1116</v>
      </c>
      <c r="IP10">
        <v>680</v>
      </c>
      <c r="IQ10">
        <v>621</v>
      </c>
      <c r="IR10">
        <v>527</v>
      </c>
      <c r="IT10">
        <v>650</v>
      </c>
      <c r="IU10">
        <v>368</v>
      </c>
      <c r="IV10">
        <v>412</v>
      </c>
      <c r="IW10">
        <v>366</v>
      </c>
      <c r="IX10">
        <v>339</v>
      </c>
      <c r="IY10">
        <v>607</v>
      </c>
      <c r="IZ10">
        <v>0</v>
      </c>
      <c r="JA10">
        <v>558</v>
      </c>
      <c r="JB10">
        <v>556</v>
      </c>
      <c r="JC10">
        <v>727</v>
      </c>
      <c r="JD10">
        <v>796</v>
      </c>
      <c r="JE10">
        <v>954</v>
      </c>
      <c r="JF10">
        <v>887</v>
      </c>
      <c r="JG10">
        <v>0</v>
      </c>
      <c r="JH10">
        <v>411</v>
      </c>
      <c r="JI10">
        <v>514</v>
      </c>
      <c r="JJ10">
        <v>1132</v>
      </c>
      <c r="JK10">
        <v>1074</v>
      </c>
      <c r="JL10">
        <v>904</v>
      </c>
      <c r="JM10">
        <v>1283</v>
      </c>
      <c r="JN10">
        <v>0</v>
      </c>
      <c r="JO10">
        <v>747</v>
      </c>
      <c r="JP10">
        <v>853</v>
      </c>
      <c r="JQ10">
        <v>747</v>
      </c>
      <c r="JR10">
        <v>723</v>
      </c>
      <c r="JS10">
        <v>1105</v>
      </c>
      <c r="JT10">
        <v>1169</v>
      </c>
      <c r="JU10">
        <v>0</v>
      </c>
      <c r="JV10">
        <v>0</v>
      </c>
      <c r="JW10">
        <v>954</v>
      </c>
      <c r="JX10">
        <v>902</v>
      </c>
      <c r="JY10">
        <v>870</v>
      </c>
      <c r="JZ10">
        <v>562</v>
      </c>
      <c r="KA10">
        <v>564</v>
      </c>
      <c r="KB10">
        <v>0</v>
      </c>
      <c r="KC10">
        <v>367</v>
      </c>
      <c r="KD10">
        <v>483</v>
      </c>
      <c r="KE10">
        <v>460</v>
      </c>
      <c r="KF10">
        <v>510</v>
      </c>
      <c r="KG10">
        <v>763</v>
      </c>
      <c r="KH10">
        <v>938</v>
      </c>
      <c r="KI10">
        <v>0</v>
      </c>
      <c r="KJ10">
        <v>0</v>
      </c>
      <c r="KK10">
        <v>750</v>
      </c>
      <c r="KL10">
        <v>1081</v>
      </c>
      <c r="KM10">
        <v>1133</v>
      </c>
      <c r="KN10">
        <v>1103</v>
      </c>
      <c r="KO10">
        <v>945</v>
      </c>
      <c r="KP10">
        <v>0</v>
      </c>
      <c r="KQ10">
        <v>660</v>
      </c>
      <c r="KR10">
        <v>691</v>
      </c>
      <c r="KS10">
        <v>1167</v>
      </c>
      <c r="KT10">
        <v>998</v>
      </c>
      <c r="KU10">
        <v>1121</v>
      </c>
      <c r="KV10">
        <v>827</v>
      </c>
      <c r="KW10">
        <v>0</v>
      </c>
      <c r="KX10">
        <v>1002</v>
      </c>
      <c r="KY10">
        <v>530</v>
      </c>
      <c r="KZ10">
        <v>1087</v>
      </c>
      <c r="LA10">
        <v>737</v>
      </c>
      <c r="LB10">
        <v>878</v>
      </c>
      <c r="LC10">
        <v>523</v>
      </c>
      <c r="LD10">
        <v>0</v>
      </c>
      <c r="LE10">
        <v>364</v>
      </c>
      <c r="LF10">
        <v>356</v>
      </c>
      <c r="LG10">
        <v>505</v>
      </c>
      <c r="LH10">
        <v>389</v>
      </c>
      <c r="LI10">
        <v>358</v>
      </c>
      <c r="LJ10">
        <v>630</v>
      </c>
      <c r="LK10">
        <v>0</v>
      </c>
      <c r="LL10">
        <v>548</v>
      </c>
      <c r="LM10">
        <v>583</v>
      </c>
      <c r="LN10">
        <v>1060</v>
      </c>
      <c r="LO10">
        <v>861</v>
      </c>
      <c r="LP10">
        <v>1114</v>
      </c>
      <c r="LQ10">
        <v>1109</v>
      </c>
      <c r="LR10">
        <v>0</v>
      </c>
      <c r="LS10" s="50">
        <v>804</v>
      </c>
      <c r="LT10">
        <v>876</v>
      </c>
      <c r="LU10">
        <v>1075</v>
      </c>
      <c r="LV10" s="49">
        <v>1233</v>
      </c>
      <c r="LW10">
        <v>1179</v>
      </c>
      <c r="LX10">
        <v>1041</v>
      </c>
      <c r="LY10">
        <v>0</v>
      </c>
      <c r="LZ10">
        <v>822</v>
      </c>
      <c r="MA10">
        <v>822</v>
      </c>
      <c r="MB10">
        <v>1054</v>
      </c>
      <c r="MC10">
        <v>1143</v>
      </c>
      <c r="MD10">
        <v>1019</v>
      </c>
      <c r="ME10">
        <v>831</v>
      </c>
      <c r="MF10">
        <v>0</v>
      </c>
      <c r="MG10">
        <v>624</v>
      </c>
      <c r="MH10">
        <v>573</v>
      </c>
      <c r="MI10">
        <v>498</v>
      </c>
      <c r="MJ10">
        <v>550</v>
      </c>
      <c r="MK10">
        <v>576</v>
      </c>
      <c r="ML10">
        <v>489</v>
      </c>
      <c r="MM10">
        <v>0</v>
      </c>
      <c r="MN10" s="57">
        <v>426</v>
      </c>
      <c r="MO10" s="57">
        <v>551</v>
      </c>
      <c r="MP10" s="57">
        <v>739</v>
      </c>
      <c r="MQ10" s="57">
        <v>877</v>
      </c>
      <c r="MR10" s="57">
        <v>774</v>
      </c>
      <c r="MS10" s="57">
        <v>1015</v>
      </c>
      <c r="MT10" s="57">
        <v>0</v>
      </c>
      <c r="MU10" s="57">
        <v>0</v>
      </c>
      <c r="MV10">
        <v>969</v>
      </c>
      <c r="MW10">
        <v>873</v>
      </c>
      <c r="MX10">
        <v>1308</v>
      </c>
      <c r="MY10">
        <v>1064</v>
      </c>
      <c r="MZ10">
        <v>1271</v>
      </c>
      <c r="NA10">
        <v>0</v>
      </c>
      <c r="NB10" s="67">
        <v>810</v>
      </c>
      <c r="NC10" s="67">
        <v>487</v>
      </c>
      <c r="ND10">
        <v>0</v>
      </c>
      <c r="NE10" s="67">
        <v>1350</v>
      </c>
      <c r="NF10" s="67">
        <v>713</v>
      </c>
      <c r="NG10" s="67">
        <v>837</v>
      </c>
      <c r="NH10" s="67">
        <v>0</v>
      </c>
      <c r="NI10" s="67">
        <v>603</v>
      </c>
      <c r="NJ10" s="67">
        <v>590</v>
      </c>
      <c r="NK10" s="57">
        <v>780</v>
      </c>
      <c r="NL10" s="57">
        <v>890</v>
      </c>
      <c r="NM10" s="57">
        <v>843</v>
      </c>
      <c r="NN10" s="57">
        <v>639</v>
      </c>
      <c r="NO10">
        <v>0</v>
      </c>
      <c r="NP10" s="67">
        <v>700</v>
      </c>
      <c r="NQ10" s="67">
        <v>594</v>
      </c>
      <c r="NR10" s="67">
        <v>665</v>
      </c>
      <c r="NS10" s="67">
        <v>702</v>
      </c>
      <c r="NT10" s="67">
        <v>942</v>
      </c>
      <c r="NU10" s="67">
        <v>1047</v>
      </c>
      <c r="NV10" s="67">
        <v>0</v>
      </c>
      <c r="NW10" s="67">
        <v>663</v>
      </c>
      <c r="NX10" s="67">
        <v>770</v>
      </c>
      <c r="NY10" s="67">
        <v>1384</v>
      </c>
      <c r="NZ10" s="67">
        <v>1180</v>
      </c>
      <c r="OA10" s="67">
        <v>1344</v>
      </c>
      <c r="OB10" s="67">
        <v>1087</v>
      </c>
      <c r="OC10" s="67">
        <v>78</v>
      </c>
      <c r="OD10">
        <v>849</v>
      </c>
      <c r="OE10">
        <v>887</v>
      </c>
      <c r="OF10">
        <v>1025</v>
      </c>
      <c r="OG10">
        <v>1175</v>
      </c>
      <c r="OH10">
        <v>999</v>
      </c>
      <c r="OI10">
        <v>1126</v>
      </c>
      <c r="OJ10">
        <v>0</v>
      </c>
      <c r="OK10" s="67">
        <v>733</v>
      </c>
      <c r="OL10" s="67">
        <v>830</v>
      </c>
      <c r="OM10" s="67">
        <v>935</v>
      </c>
      <c r="ON10" s="67">
        <v>1105</v>
      </c>
      <c r="OO10" s="67">
        <v>703</v>
      </c>
      <c r="OP10" s="67">
        <v>1249</v>
      </c>
      <c r="OQ10" s="67">
        <v>0</v>
      </c>
      <c r="OR10" s="67">
        <v>496</v>
      </c>
      <c r="OS10" s="67">
        <v>574</v>
      </c>
      <c r="OT10" s="67">
        <v>680</v>
      </c>
      <c r="OU10" s="67">
        <v>0</v>
      </c>
      <c r="OV10" s="67">
        <v>823</v>
      </c>
      <c r="OW10" s="67">
        <v>606</v>
      </c>
      <c r="OX10" s="67">
        <v>0</v>
      </c>
      <c r="OY10" s="67">
        <v>727</v>
      </c>
      <c r="OZ10" s="67">
        <v>556</v>
      </c>
      <c r="PA10" s="67">
        <v>618</v>
      </c>
      <c r="PB10" s="67">
        <v>1009</v>
      </c>
      <c r="PC10" s="67">
        <v>730</v>
      </c>
      <c r="PD10" s="67">
        <v>697</v>
      </c>
      <c r="PE10" s="67">
        <v>0</v>
      </c>
      <c r="PF10">
        <v>978</v>
      </c>
      <c r="PG10">
        <v>1021</v>
      </c>
      <c r="PH10">
        <v>1264</v>
      </c>
      <c r="PI10">
        <v>1001</v>
      </c>
      <c r="PJ10">
        <v>1550</v>
      </c>
      <c r="PK10">
        <v>956</v>
      </c>
      <c r="PL10">
        <v>0</v>
      </c>
      <c r="PM10">
        <v>1045</v>
      </c>
      <c r="PN10">
        <v>889</v>
      </c>
      <c r="PO10">
        <v>1202</v>
      </c>
      <c r="PP10">
        <v>707</v>
      </c>
      <c r="PQ10">
        <v>374</v>
      </c>
      <c r="PR10">
        <v>246</v>
      </c>
      <c r="PS10">
        <v>17</v>
      </c>
      <c r="PT10">
        <v>0</v>
      </c>
      <c r="PV10">
        <v>0</v>
      </c>
      <c r="PW10" s="74">
        <v>73</v>
      </c>
      <c r="PX10" s="74">
        <v>97</v>
      </c>
      <c r="PY10" s="74">
        <v>148</v>
      </c>
      <c r="PZ10" s="74">
        <v>0</v>
      </c>
      <c r="QA10" s="74">
        <v>368</v>
      </c>
      <c r="QB10" s="74">
        <v>382</v>
      </c>
      <c r="QC10" s="74">
        <v>402</v>
      </c>
      <c r="QD10" s="74">
        <v>1339</v>
      </c>
      <c r="QE10" s="74">
        <v>716</v>
      </c>
      <c r="QF10" s="74">
        <v>1023</v>
      </c>
      <c r="QG10" s="74">
        <v>0</v>
      </c>
      <c r="QH10">
        <v>898</v>
      </c>
      <c r="QI10">
        <v>1466</v>
      </c>
      <c r="QJ10">
        <v>1870</v>
      </c>
      <c r="QK10">
        <v>1276</v>
      </c>
      <c r="QL10">
        <v>2347</v>
      </c>
      <c r="QM10">
        <v>2295</v>
      </c>
      <c r="QN10">
        <v>0</v>
      </c>
      <c r="QO10">
        <v>1246</v>
      </c>
      <c r="QP10">
        <v>1167</v>
      </c>
      <c r="QQ10">
        <v>1672</v>
      </c>
      <c r="QR10">
        <v>2156</v>
      </c>
      <c r="QS10">
        <v>2099</v>
      </c>
      <c r="QT10">
        <v>2160</v>
      </c>
      <c r="QU10">
        <v>0</v>
      </c>
      <c r="QV10">
        <v>984</v>
      </c>
      <c r="QW10">
        <v>1088</v>
      </c>
      <c r="QX10">
        <v>1394</v>
      </c>
      <c r="QY10">
        <v>1485</v>
      </c>
      <c r="QZ10">
        <v>1475</v>
      </c>
      <c r="RA10">
        <v>779</v>
      </c>
      <c r="RB10">
        <v>0</v>
      </c>
      <c r="RC10">
        <v>657</v>
      </c>
      <c r="RD10">
        <v>745</v>
      </c>
      <c r="RE10">
        <v>711</v>
      </c>
      <c r="RF10">
        <v>756</v>
      </c>
      <c r="RG10">
        <v>886</v>
      </c>
      <c r="RH10">
        <v>0</v>
      </c>
      <c r="RI10">
        <v>0</v>
      </c>
      <c r="RJ10">
        <v>931</v>
      </c>
      <c r="RK10">
        <v>1131</v>
      </c>
      <c r="RL10">
        <v>1980</v>
      </c>
      <c r="RM10">
        <v>1001</v>
      </c>
      <c r="RN10">
        <v>1701</v>
      </c>
      <c r="RO10">
        <v>1611</v>
      </c>
      <c r="RP10">
        <v>0</v>
      </c>
      <c r="RQ10">
        <v>1293</v>
      </c>
      <c r="RR10">
        <v>1551</v>
      </c>
      <c r="RS10">
        <v>2166</v>
      </c>
      <c r="RT10">
        <v>1376</v>
      </c>
      <c r="RU10">
        <v>2072</v>
      </c>
      <c r="RV10">
        <v>1647</v>
      </c>
      <c r="RW10">
        <v>0</v>
      </c>
      <c r="RX10">
        <v>1017</v>
      </c>
      <c r="RY10">
        <v>1847</v>
      </c>
      <c r="RZ10">
        <v>1772</v>
      </c>
      <c r="SA10">
        <v>1126</v>
      </c>
      <c r="SB10">
        <v>1340</v>
      </c>
      <c r="SC10">
        <v>762</v>
      </c>
      <c r="SD10">
        <v>0</v>
      </c>
      <c r="SE10">
        <v>864</v>
      </c>
      <c r="SF10">
        <v>875</v>
      </c>
      <c r="SG10">
        <v>946</v>
      </c>
      <c r="SH10">
        <v>761</v>
      </c>
      <c r="SI10">
        <v>1202</v>
      </c>
      <c r="SJ10">
        <v>976</v>
      </c>
      <c r="SK10">
        <v>0</v>
      </c>
      <c r="SL10">
        <v>1173</v>
      </c>
      <c r="SM10">
        <v>1570</v>
      </c>
      <c r="SN10">
        <v>1957</v>
      </c>
      <c r="SO10">
        <v>1310</v>
      </c>
      <c r="SP10">
        <v>1520</v>
      </c>
      <c r="SQ10">
        <v>1282</v>
      </c>
      <c r="SR10">
        <v>0</v>
      </c>
      <c r="SS10">
        <v>1039</v>
      </c>
      <c r="ST10">
        <v>982</v>
      </c>
      <c r="SU10">
        <v>1376</v>
      </c>
      <c r="SV10">
        <v>1092</v>
      </c>
      <c r="SW10">
        <v>1390</v>
      </c>
      <c r="SX10">
        <v>1400</v>
      </c>
      <c r="SY10">
        <v>0</v>
      </c>
      <c r="SZ10">
        <v>1097</v>
      </c>
      <c r="TA10">
        <v>1183</v>
      </c>
      <c r="TB10">
        <v>1601</v>
      </c>
      <c r="TC10">
        <v>1211</v>
      </c>
      <c r="TD10">
        <v>1347</v>
      </c>
      <c r="TE10">
        <v>516</v>
      </c>
      <c r="TF10">
        <v>0</v>
      </c>
      <c r="TG10">
        <v>646</v>
      </c>
      <c r="TH10">
        <v>836</v>
      </c>
      <c r="TI10">
        <v>1228</v>
      </c>
      <c r="TJ10">
        <v>613</v>
      </c>
      <c r="TK10">
        <v>764</v>
      </c>
      <c r="TL10">
        <v>588</v>
      </c>
      <c r="TM10">
        <v>0</v>
      </c>
      <c r="TN10">
        <v>0</v>
      </c>
      <c r="TO10">
        <v>637</v>
      </c>
      <c r="TP10">
        <v>455</v>
      </c>
      <c r="TQ10">
        <v>1013</v>
      </c>
      <c r="TR10">
        <v>360</v>
      </c>
      <c r="TS10">
        <v>124</v>
      </c>
      <c r="TT10">
        <v>0</v>
      </c>
      <c r="TU10">
        <v>0</v>
      </c>
      <c r="TV10">
        <v>0</v>
      </c>
      <c r="TW10">
        <v>1003</v>
      </c>
      <c r="TX10">
        <v>1164</v>
      </c>
      <c r="TY10">
        <v>1559</v>
      </c>
      <c r="TZ10">
        <v>1470</v>
      </c>
      <c r="UA10">
        <v>0</v>
      </c>
      <c r="UB10">
        <v>1948</v>
      </c>
      <c r="UC10">
        <v>1524</v>
      </c>
      <c r="UD10">
        <v>1684</v>
      </c>
      <c r="UE10">
        <v>1337</v>
      </c>
      <c r="UF10">
        <v>1257</v>
      </c>
      <c r="UG10">
        <v>1331</v>
      </c>
      <c r="UH10">
        <v>0</v>
      </c>
      <c r="UI10">
        <v>696</v>
      </c>
      <c r="UJ10">
        <v>843</v>
      </c>
      <c r="UK10">
        <v>1363</v>
      </c>
      <c r="UL10">
        <v>0</v>
      </c>
      <c r="UM10">
        <v>3225</v>
      </c>
      <c r="UN10">
        <v>1666</v>
      </c>
      <c r="UO10">
        <v>0</v>
      </c>
      <c r="UP10">
        <v>0</v>
      </c>
      <c r="UQ10">
        <v>2407</v>
      </c>
      <c r="UR10">
        <v>3799</v>
      </c>
      <c r="US10">
        <v>4346</v>
      </c>
      <c r="UT10">
        <v>4137</v>
      </c>
      <c r="UU10">
        <v>3826</v>
      </c>
      <c r="UV10">
        <v>0</v>
      </c>
      <c r="UW10">
        <v>0</v>
      </c>
      <c r="UX10">
        <v>2684</v>
      </c>
      <c r="UY10">
        <v>2872</v>
      </c>
      <c r="UZ10">
        <v>3142</v>
      </c>
      <c r="VA10">
        <v>3224</v>
      </c>
      <c r="VB10">
        <v>2020</v>
      </c>
      <c r="VC10">
        <v>0</v>
      </c>
      <c r="VD10">
        <v>3516</v>
      </c>
      <c r="VE10">
        <v>2045</v>
      </c>
      <c r="VF10">
        <v>3527</v>
      </c>
      <c r="VG10">
        <v>3784</v>
      </c>
      <c r="VH10">
        <v>2904</v>
      </c>
      <c r="VI10">
        <v>1831</v>
      </c>
      <c r="VJ10">
        <v>0</v>
      </c>
      <c r="VK10">
        <v>1287</v>
      </c>
      <c r="VL10">
        <v>519</v>
      </c>
      <c r="VM10">
        <v>1588</v>
      </c>
      <c r="VN10">
        <v>1252</v>
      </c>
      <c r="VO10">
        <v>274</v>
      </c>
      <c r="VP10">
        <v>986</v>
      </c>
      <c r="VQ10">
        <v>0</v>
      </c>
      <c r="VR10">
        <v>903</v>
      </c>
      <c r="VS10">
        <v>0</v>
      </c>
      <c r="VT10">
        <v>775</v>
      </c>
      <c r="VU10">
        <v>998</v>
      </c>
      <c r="VV10">
        <v>1251</v>
      </c>
      <c r="VW10">
        <v>678</v>
      </c>
      <c r="VX10">
        <v>0</v>
      </c>
      <c r="VY10">
        <v>1002</v>
      </c>
      <c r="VZ10">
        <v>885</v>
      </c>
      <c r="WA10">
        <v>1794</v>
      </c>
      <c r="WB10">
        <v>338</v>
      </c>
      <c r="WC10">
        <v>1401</v>
      </c>
      <c r="WD10">
        <v>2053</v>
      </c>
      <c r="WE10">
        <v>0</v>
      </c>
      <c r="WF10">
        <v>337</v>
      </c>
      <c r="WG10">
        <v>174</v>
      </c>
      <c r="WH10">
        <v>2345</v>
      </c>
      <c r="WI10">
        <v>1221</v>
      </c>
      <c r="WJ10">
        <v>1307</v>
      </c>
      <c r="WK10">
        <v>1104</v>
      </c>
      <c r="WL10">
        <v>0</v>
      </c>
      <c r="WM10">
        <v>1050</v>
      </c>
      <c r="WN10">
        <v>1173</v>
      </c>
      <c r="WO10">
        <v>1489</v>
      </c>
      <c r="WP10">
        <v>1574</v>
      </c>
      <c r="WQ10">
        <v>1507</v>
      </c>
      <c r="WR10">
        <v>1117</v>
      </c>
      <c r="WS10">
        <v>0</v>
      </c>
      <c r="WT10">
        <v>1222</v>
      </c>
      <c r="WU10">
        <v>884</v>
      </c>
      <c r="WV10">
        <v>1349</v>
      </c>
      <c r="WW10">
        <v>970</v>
      </c>
      <c r="WX10">
        <v>1280</v>
      </c>
      <c r="WY10">
        <v>709</v>
      </c>
      <c r="WZ10">
        <v>0</v>
      </c>
      <c r="XA10">
        <v>882</v>
      </c>
      <c r="XB10">
        <v>1063</v>
      </c>
      <c r="XC10">
        <v>1246</v>
      </c>
      <c r="XD10">
        <v>1083</v>
      </c>
      <c r="XE10">
        <v>1215</v>
      </c>
      <c r="XF10">
        <v>1211</v>
      </c>
      <c r="XG10">
        <v>0</v>
      </c>
      <c r="XH10">
        <v>1262</v>
      </c>
      <c r="XI10">
        <v>1524</v>
      </c>
      <c r="XJ10">
        <v>1434</v>
      </c>
      <c r="XK10">
        <v>1947</v>
      </c>
      <c r="XL10">
        <v>1596</v>
      </c>
      <c r="XM10">
        <v>1156</v>
      </c>
      <c r="XN10">
        <v>0</v>
      </c>
      <c r="XO10">
        <v>1566</v>
      </c>
      <c r="XP10">
        <v>1288</v>
      </c>
      <c r="XQ10">
        <v>2287</v>
      </c>
      <c r="XR10">
        <v>1825</v>
      </c>
      <c r="XS10">
        <v>1541</v>
      </c>
      <c r="XT10">
        <v>1378</v>
      </c>
      <c r="XU10">
        <v>0</v>
      </c>
      <c r="XV10">
        <v>0</v>
      </c>
      <c r="XW10">
        <v>1490</v>
      </c>
      <c r="XX10">
        <v>1587</v>
      </c>
      <c r="XY10">
        <v>1181</v>
      </c>
      <c r="XZ10">
        <v>1319</v>
      </c>
      <c r="YA10">
        <v>906</v>
      </c>
      <c r="YB10">
        <v>0</v>
      </c>
      <c r="YC10">
        <v>919</v>
      </c>
      <c r="YD10">
        <v>717</v>
      </c>
      <c r="YE10">
        <v>1206</v>
      </c>
      <c r="YF10">
        <v>920</v>
      </c>
      <c r="YG10">
        <v>1176</v>
      </c>
      <c r="YH10">
        <v>1768</v>
      </c>
      <c r="YI10">
        <v>0</v>
      </c>
      <c r="YJ10">
        <v>1246</v>
      </c>
      <c r="YK10">
        <v>0</v>
      </c>
      <c r="YL10">
        <v>1617</v>
      </c>
      <c r="YM10">
        <v>1797</v>
      </c>
      <c r="YN10">
        <v>1617</v>
      </c>
      <c r="YO10">
        <v>1204</v>
      </c>
      <c r="YP10">
        <v>0</v>
      </c>
      <c r="YQ10">
        <v>2183</v>
      </c>
      <c r="YR10">
        <v>1121</v>
      </c>
      <c r="YS10">
        <v>1423</v>
      </c>
      <c r="YT10">
        <v>1364</v>
      </c>
      <c r="YU10">
        <v>1423</v>
      </c>
      <c r="YV10">
        <v>1364</v>
      </c>
      <c r="YW10">
        <v>0</v>
      </c>
      <c r="YX10">
        <v>970</v>
      </c>
      <c r="YY10">
        <v>1234</v>
      </c>
      <c r="YZ10">
        <v>1648</v>
      </c>
      <c r="ZA10">
        <v>1373</v>
      </c>
      <c r="ZB10">
        <v>1211</v>
      </c>
      <c r="ZC10">
        <v>1071</v>
      </c>
      <c r="ZD10">
        <v>0</v>
      </c>
      <c r="ZE10">
        <v>460</v>
      </c>
      <c r="ZF10">
        <v>951</v>
      </c>
      <c r="ZG10">
        <v>568</v>
      </c>
      <c r="ZH10">
        <v>1850</v>
      </c>
      <c r="ZI10">
        <v>1277</v>
      </c>
      <c r="ZJ10">
        <v>1035</v>
      </c>
      <c r="ZK10">
        <v>0</v>
      </c>
      <c r="ZL10">
        <v>985</v>
      </c>
      <c r="ZM10">
        <v>1529</v>
      </c>
      <c r="ZN10">
        <v>1531</v>
      </c>
      <c r="ZO10">
        <v>1400</v>
      </c>
      <c r="ZP10">
        <v>1459</v>
      </c>
      <c r="ZQ10">
        <v>1496</v>
      </c>
      <c r="ZR10">
        <v>0</v>
      </c>
      <c r="ZS10">
        <v>1117</v>
      </c>
      <c r="ZT10">
        <v>1640</v>
      </c>
      <c r="ZU10">
        <v>1304</v>
      </c>
      <c r="ZV10">
        <v>1646</v>
      </c>
      <c r="ZW10">
        <v>1535</v>
      </c>
      <c r="ZX10">
        <v>892</v>
      </c>
      <c r="ZY10">
        <v>0</v>
      </c>
      <c r="ZZ10">
        <v>996</v>
      </c>
      <c r="AAA10">
        <v>964</v>
      </c>
      <c r="AAB10">
        <v>1047</v>
      </c>
      <c r="AAC10">
        <v>866</v>
      </c>
      <c r="AAD10">
        <v>774</v>
      </c>
      <c r="AAE10">
        <v>498</v>
      </c>
      <c r="AAF10">
        <v>0</v>
      </c>
      <c r="AAG10">
        <v>1000</v>
      </c>
      <c r="AAH10">
        <v>880</v>
      </c>
      <c r="AAI10">
        <v>1028</v>
      </c>
      <c r="AAJ10">
        <v>895</v>
      </c>
      <c r="AAK10">
        <v>700</v>
      </c>
      <c r="AAL10">
        <v>517</v>
      </c>
      <c r="AAM10">
        <v>0</v>
      </c>
      <c r="AAN10">
        <v>850</v>
      </c>
      <c r="AAO10">
        <v>559</v>
      </c>
      <c r="AAP10">
        <v>1222</v>
      </c>
      <c r="AAQ10">
        <v>741</v>
      </c>
      <c r="AAR10">
        <v>1105</v>
      </c>
      <c r="AAS10">
        <v>1063</v>
      </c>
      <c r="AAT10">
        <v>0</v>
      </c>
      <c r="AAU10">
        <v>0</v>
      </c>
      <c r="AAV10">
        <v>799</v>
      </c>
      <c r="AAW10">
        <v>1782</v>
      </c>
      <c r="AAX10">
        <v>1411</v>
      </c>
      <c r="AAY10">
        <v>1949</v>
      </c>
      <c r="AAZ10">
        <v>2031</v>
      </c>
      <c r="ABA10">
        <v>0</v>
      </c>
      <c r="ABB10">
        <v>1472</v>
      </c>
      <c r="ABC10">
        <v>1209</v>
      </c>
      <c r="ABD10">
        <v>1349</v>
      </c>
      <c r="ABE10">
        <v>0</v>
      </c>
      <c r="ABF10">
        <v>1712</v>
      </c>
      <c r="ABG10">
        <v>1440</v>
      </c>
      <c r="ABH10">
        <v>0</v>
      </c>
      <c r="ABI10">
        <v>1648</v>
      </c>
      <c r="ABJ10">
        <v>654</v>
      </c>
      <c r="ABK10">
        <v>1460</v>
      </c>
      <c r="ABL10">
        <v>1084</v>
      </c>
      <c r="ABM10">
        <v>778</v>
      </c>
      <c r="ABN10">
        <v>577</v>
      </c>
      <c r="ABO10">
        <v>0</v>
      </c>
      <c r="ABP10">
        <v>1059</v>
      </c>
      <c r="ABQ10">
        <v>589</v>
      </c>
      <c r="ABR10">
        <v>1159</v>
      </c>
      <c r="ABS10">
        <v>1047</v>
      </c>
      <c r="ABT10">
        <v>1141</v>
      </c>
      <c r="ABU10">
        <v>945</v>
      </c>
      <c r="ABV10">
        <v>0</v>
      </c>
      <c r="ABW10">
        <v>1170</v>
      </c>
      <c r="ABX10">
        <v>983</v>
      </c>
      <c r="ABY10">
        <v>1612</v>
      </c>
      <c r="ABZ10">
        <v>1779</v>
      </c>
      <c r="ACA10">
        <v>2086</v>
      </c>
      <c r="ACB10">
        <v>1176</v>
      </c>
      <c r="ACC10">
        <v>0</v>
      </c>
      <c r="ACD10">
        <v>1322</v>
      </c>
      <c r="ACE10">
        <v>1142</v>
      </c>
      <c r="ACF10">
        <v>1196</v>
      </c>
      <c r="ACG10">
        <v>1529</v>
      </c>
      <c r="ACH10">
        <v>1277</v>
      </c>
      <c r="ACI10">
        <v>1238</v>
      </c>
      <c r="ACJ10">
        <v>0</v>
      </c>
      <c r="ACK10">
        <v>1165</v>
      </c>
      <c r="ACL10">
        <v>1056</v>
      </c>
      <c r="ACM10">
        <v>3141</v>
      </c>
      <c r="ACN10">
        <v>1282</v>
      </c>
      <c r="ACO10">
        <v>1387</v>
      </c>
      <c r="ACP10">
        <v>799</v>
      </c>
      <c r="ACQ10">
        <v>0</v>
      </c>
      <c r="ACR10">
        <v>764</v>
      </c>
      <c r="ACS10">
        <v>791</v>
      </c>
      <c r="ACT10">
        <v>890</v>
      </c>
      <c r="ACU10">
        <v>1122</v>
      </c>
      <c r="ACV10">
        <v>0</v>
      </c>
      <c r="ACW10">
        <v>776</v>
      </c>
      <c r="ACX10">
        <v>0</v>
      </c>
      <c r="ACY10">
        <v>1024</v>
      </c>
      <c r="ACZ10">
        <v>612</v>
      </c>
      <c r="ADA10">
        <v>1273</v>
      </c>
      <c r="ADB10">
        <v>1608</v>
      </c>
      <c r="ADC10">
        <v>1492</v>
      </c>
      <c r="ADD10">
        <v>1298</v>
      </c>
      <c r="ADE10">
        <v>0</v>
      </c>
      <c r="ADF10">
        <v>990</v>
      </c>
      <c r="ADG10">
        <v>1394</v>
      </c>
      <c r="ADH10">
        <v>1997</v>
      </c>
      <c r="ADI10">
        <v>1561</v>
      </c>
      <c r="ADJ10">
        <v>1551</v>
      </c>
      <c r="ADK10">
        <v>1280</v>
      </c>
      <c r="ADL10">
        <v>0</v>
      </c>
      <c r="ADM10">
        <v>1273</v>
      </c>
      <c r="ADN10">
        <v>1379</v>
      </c>
      <c r="ADO10">
        <v>1253</v>
      </c>
      <c r="ADP10">
        <v>1113</v>
      </c>
      <c r="ADQ10">
        <v>1030</v>
      </c>
      <c r="ADR10">
        <v>552</v>
      </c>
      <c r="ADS10">
        <v>0</v>
      </c>
      <c r="ADT10">
        <v>255</v>
      </c>
      <c r="ADU10">
        <v>219</v>
      </c>
      <c r="ADV10">
        <v>0</v>
      </c>
      <c r="ADW10">
        <v>0</v>
      </c>
      <c r="ADX10">
        <v>162</v>
      </c>
      <c r="ADY10">
        <v>304</v>
      </c>
      <c r="ADZ10">
        <v>0</v>
      </c>
      <c r="AEA10">
        <v>406</v>
      </c>
      <c r="AEB10">
        <v>365</v>
      </c>
      <c r="AEC10">
        <v>706</v>
      </c>
      <c r="AED10">
        <v>552</v>
      </c>
      <c r="AEE10">
        <v>856</v>
      </c>
      <c r="AEF10">
        <v>1016</v>
      </c>
      <c r="AEG10">
        <v>0</v>
      </c>
      <c r="AEH10">
        <v>1500</v>
      </c>
      <c r="AEI10">
        <v>950</v>
      </c>
      <c r="AEJ10">
        <v>1461</v>
      </c>
      <c r="AEK10">
        <v>1365</v>
      </c>
      <c r="AEL10">
        <v>1578</v>
      </c>
      <c r="AEM10">
        <v>999</v>
      </c>
      <c r="AEN10">
        <v>0</v>
      </c>
      <c r="AEO10">
        <v>1314</v>
      </c>
      <c r="AEP10">
        <v>1018</v>
      </c>
      <c r="AEQ10">
        <v>1836</v>
      </c>
      <c r="AER10">
        <v>1537</v>
      </c>
      <c r="AES10">
        <v>1686</v>
      </c>
      <c r="AET10">
        <v>885</v>
      </c>
      <c r="AEU10">
        <v>0</v>
      </c>
      <c r="AEV10">
        <v>1785</v>
      </c>
      <c r="AEW10">
        <v>1219</v>
      </c>
      <c r="AEX10">
        <v>2443</v>
      </c>
      <c r="AEY10">
        <v>1670</v>
      </c>
      <c r="AEZ10">
        <v>1839</v>
      </c>
      <c r="AFA10">
        <v>754</v>
      </c>
      <c r="AFB10">
        <v>0</v>
      </c>
      <c r="AFC10">
        <v>920</v>
      </c>
      <c r="AFD10">
        <v>0</v>
      </c>
      <c r="AFE10">
        <v>0</v>
      </c>
      <c r="AFF10">
        <v>1008</v>
      </c>
      <c r="AFG10">
        <v>1043</v>
      </c>
      <c r="AFH10">
        <v>746</v>
      </c>
      <c r="AFI10">
        <v>0</v>
      </c>
      <c r="AFJ10">
        <v>1040</v>
      </c>
      <c r="AFK10">
        <v>893</v>
      </c>
      <c r="AFL10">
        <v>1607</v>
      </c>
      <c r="AFM10">
        <v>1515</v>
      </c>
      <c r="AFN10">
        <v>1701</v>
      </c>
      <c r="AFO10">
        <v>1469</v>
      </c>
      <c r="AFP10">
        <v>0</v>
      </c>
      <c r="AFQ10">
        <v>1605</v>
      </c>
      <c r="AFR10">
        <v>1070</v>
      </c>
      <c r="AFS10">
        <v>1306</v>
      </c>
      <c r="AFT10">
        <v>1277</v>
      </c>
      <c r="AFU10">
        <v>1178</v>
      </c>
      <c r="AFV10">
        <v>982</v>
      </c>
      <c r="AFW10">
        <v>0</v>
      </c>
      <c r="AFX10">
        <v>609</v>
      </c>
      <c r="AFY10">
        <v>860</v>
      </c>
      <c r="AFZ10">
        <v>1366</v>
      </c>
      <c r="AGA10">
        <v>1187</v>
      </c>
      <c r="AGB10">
        <v>1498</v>
      </c>
      <c r="AGC10">
        <v>1083</v>
      </c>
      <c r="AGD10">
        <v>0</v>
      </c>
      <c r="AGE10">
        <v>1008</v>
      </c>
      <c r="AGF10">
        <v>1285</v>
      </c>
      <c r="AGG10">
        <v>3248</v>
      </c>
      <c r="AGH10">
        <v>815</v>
      </c>
      <c r="AGI10">
        <v>1550</v>
      </c>
      <c r="AGJ10">
        <v>0</v>
      </c>
      <c r="AGK10">
        <v>0</v>
      </c>
      <c r="AGL10">
        <v>665</v>
      </c>
      <c r="AGM10">
        <v>947</v>
      </c>
      <c r="AGN10">
        <v>1937</v>
      </c>
      <c r="AGO10">
        <v>1652</v>
      </c>
      <c r="AGP10">
        <v>1766</v>
      </c>
      <c r="AGQ10">
        <v>905</v>
      </c>
      <c r="AGR10">
        <v>1908</v>
      </c>
      <c r="AGS10">
        <v>509</v>
      </c>
      <c r="AGT10">
        <v>1638</v>
      </c>
      <c r="AGU10">
        <v>1706</v>
      </c>
      <c r="AGV10">
        <v>1254</v>
      </c>
      <c r="AGW10">
        <v>2445</v>
      </c>
      <c r="AGX10">
        <v>1261</v>
      </c>
      <c r="AGY10">
        <v>0</v>
      </c>
      <c r="AGZ10">
        <v>1085</v>
      </c>
      <c r="AHA10">
        <v>1255</v>
      </c>
      <c r="AHB10">
        <v>1475</v>
      </c>
      <c r="AHC10">
        <v>1553</v>
      </c>
      <c r="AHD10">
        <v>1018</v>
      </c>
      <c r="AHE10">
        <v>864</v>
      </c>
      <c r="AHI10">
        <v>1598</v>
      </c>
      <c r="AHJ10">
        <v>1198</v>
      </c>
      <c r="AHK10">
        <v>766</v>
      </c>
      <c r="AHL10">
        <v>1232</v>
      </c>
      <c r="AHM10">
        <v>0</v>
      </c>
      <c r="AHN10">
        <v>0</v>
      </c>
      <c r="AHO10">
        <v>851</v>
      </c>
      <c r="AHP10">
        <v>1302</v>
      </c>
      <c r="AHQ10">
        <v>1097</v>
      </c>
      <c r="AHR10">
        <v>2255</v>
      </c>
      <c r="AHS10">
        <v>1538</v>
      </c>
      <c r="AHT10">
        <v>0</v>
      </c>
      <c r="AHU10">
        <v>0</v>
      </c>
      <c r="AHV10">
        <v>0</v>
      </c>
      <c r="AHW10">
        <v>1108</v>
      </c>
      <c r="AHX10">
        <v>1077</v>
      </c>
      <c r="AHY10">
        <v>1254</v>
      </c>
      <c r="AHZ10">
        <v>1697</v>
      </c>
      <c r="AIA10">
        <v>0</v>
      </c>
      <c r="AIB10">
        <v>1983</v>
      </c>
      <c r="AIC10">
        <v>2040</v>
      </c>
      <c r="AID10">
        <v>1626</v>
      </c>
      <c r="AIE10">
        <v>1966</v>
      </c>
      <c r="AIF10">
        <v>1889</v>
      </c>
      <c r="AIG10">
        <v>1588</v>
      </c>
      <c r="AIH10">
        <v>0</v>
      </c>
      <c r="AII10">
        <v>1774</v>
      </c>
      <c r="AIJ10">
        <v>1327</v>
      </c>
      <c r="AIK10">
        <v>990</v>
      </c>
      <c r="AIL10">
        <v>1681</v>
      </c>
      <c r="AIM10">
        <v>0</v>
      </c>
      <c r="AIN10">
        <v>996</v>
      </c>
      <c r="AIO10">
        <v>0</v>
      </c>
      <c r="AIP10">
        <v>0</v>
      </c>
      <c r="AIQ10">
        <v>1615</v>
      </c>
      <c r="AIR10">
        <v>968</v>
      </c>
      <c r="AIS10">
        <v>865</v>
      </c>
      <c r="AIT10">
        <v>1713</v>
      </c>
      <c r="AIU10">
        <v>1062</v>
      </c>
      <c r="AIV10">
        <v>0</v>
      </c>
      <c r="AIW10">
        <v>680</v>
      </c>
      <c r="AIX10">
        <v>743</v>
      </c>
      <c r="AIY10">
        <v>1586</v>
      </c>
      <c r="AIZ10">
        <v>1468</v>
      </c>
      <c r="AJA10">
        <v>1775</v>
      </c>
      <c r="AJB10">
        <v>1521</v>
      </c>
      <c r="AJC10">
        <v>0</v>
      </c>
      <c r="AJD10">
        <v>1599</v>
      </c>
      <c r="AJE10">
        <v>1706</v>
      </c>
      <c r="AJF10">
        <v>1501</v>
      </c>
      <c r="AJG10">
        <v>1477</v>
      </c>
      <c r="AJH10">
        <v>1749</v>
      </c>
      <c r="AJI10">
        <v>1046</v>
      </c>
      <c r="AJJ10">
        <v>0</v>
      </c>
      <c r="AJK10">
        <v>931</v>
      </c>
      <c r="AJL10">
        <v>988</v>
      </c>
      <c r="AJM10">
        <v>1136</v>
      </c>
      <c r="AJN10">
        <v>1718</v>
      </c>
      <c r="AJO10">
        <v>4198</v>
      </c>
      <c r="AJP10">
        <v>1216</v>
      </c>
      <c r="AJQ10">
        <v>0</v>
      </c>
      <c r="AJR10">
        <v>0</v>
      </c>
      <c r="AJS10">
        <v>1377</v>
      </c>
      <c r="AJT10">
        <v>0</v>
      </c>
      <c r="AJU10">
        <v>1103</v>
      </c>
      <c r="AJV10">
        <v>918</v>
      </c>
      <c r="AJW10">
        <v>2271</v>
      </c>
      <c r="AJX10">
        <v>0</v>
      </c>
      <c r="AJY10">
        <v>1892</v>
      </c>
      <c r="AJZ10">
        <v>980</v>
      </c>
      <c r="AKA10">
        <v>1259</v>
      </c>
      <c r="AKB10">
        <v>1427</v>
      </c>
      <c r="AKC10">
        <v>1834</v>
      </c>
      <c r="AKD10">
        <v>2280</v>
      </c>
      <c r="AKE10">
        <v>0</v>
      </c>
      <c r="AKF10">
        <v>1170</v>
      </c>
    </row>
    <row r="11" spans="1:985">
      <c r="A11">
        <v>8</v>
      </c>
      <c r="B11" s="132" t="s">
        <v>35</v>
      </c>
      <c r="C11" s="1">
        <v>82210</v>
      </c>
      <c r="D11" s="1" t="s">
        <v>8</v>
      </c>
      <c r="E11" s="3" t="s">
        <v>9</v>
      </c>
      <c r="F11" s="52" t="s">
        <v>17</v>
      </c>
      <c r="G11" s="48" t="s">
        <v>33</v>
      </c>
      <c r="H11" s="1" t="s">
        <v>34</v>
      </c>
      <c r="I11" s="1" t="s">
        <v>14</v>
      </c>
      <c r="J11" s="1" t="s">
        <v>15</v>
      </c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>
        <v>150</v>
      </c>
      <c r="AE11" s="23">
        <v>228</v>
      </c>
      <c r="AF11" s="23">
        <v>221</v>
      </c>
      <c r="AG11" s="23">
        <v>139</v>
      </c>
      <c r="AH11" s="23">
        <v>157</v>
      </c>
      <c r="AI11" s="23">
        <v>168</v>
      </c>
      <c r="AK11" s="23">
        <v>102</v>
      </c>
      <c r="AL11" s="23">
        <v>109</v>
      </c>
      <c r="AM11" s="23">
        <v>134</v>
      </c>
      <c r="AN11" s="23">
        <v>158</v>
      </c>
      <c r="AO11" s="23">
        <v>257</v>
      </c>
      <c r="AP11" s="23">
        <v>482</v>
      </c>
      <c r="AR11" s="23">
        <v>322</v>
      </c>
      <c r="AT11" s="23">
        <v>520</v>
      </c>
      <c r="AU11" s="23">
        <v>410</v>
      </c>
      <c r="AV11" s="23">
        <v>676</v>
      </c>
      <c r="AW11" s="23">
        <v>275</v>
      </c>
      <c r="AY11" s="23">
        <v>385</v>
      </c>
      <c r="AZ11" s="23">
        <v>555</v>
      </c>
      <c r="BA11" s="23">
        <v>705</v>
      </c>
      <c r="BB11" s="23">
        <v>663</v>
      </c>
      <c r="BC11" s="23">
        <v>481</v>
      </c>
      <c r="BD11" s="23">
        <v>553</v>
      </c>
      <c r="BF11" s="23">
        <v>395</v>
      </c>
      <c r="BG11" s="23">
        <v>530</v>
      </c>
      <c r="BH11" s="23">
        <v>523</v>
      </c>
      <c r="BI11" s="23">
        <v>547</v>
      </c>
      <c r="BJ11" s="23">
        <v>337</v>
      </c>
      <c r="BK11" s="23">
        <v>345</v>
      </c>
      <c r="BL11" s="23"/>
      <c r="BM11" s="23">
        <v>336</v>
      </c>
      <c r="BN11" s="23">
        <v>469</v>
      </c>
      <c r="BO11" s="23">
        <v>463</v>
      </c>
      <c r="BP11" s="23">
        <v>264</v>
      </c>
      <c r="BQ11" s="23">
        <v>38</v>
      </c>
      <c r="BR11" s="23"/>
      <c r="BS11" s="23"/>
      <c r="BT11" s="23"/>
      <c r="BU11" s="23"/>
      <c r="BV11" s="23">
        <v>4</v>
      </c>
      <c r="BW11" s="23">
        <v>65</v>
      </c>
      <c r="BX11" s="23">
        <v>38</v>
      </c>
      <c r="BY11" s="23">
        <v>102</v>
      </c>
      <c r="BZ11" s="23"/>
      <c r="CA11" s="23">
        <v>260</v>
      </c>
      <c r="CB11">
        <v>116</v>
      </c>
      <c r="CC11">
        <v>200</v>
      </c>
      <c r="CD11">
        <v>144</v>
      </c>
      <c r="CE11">
        <v>246</v>
      </c>
      <c r="CF11">
        <v>392</v>
      </c>
      <c r="CH11">
        <v>308</v>
      </c>
      <c r="CI11">
        <v>543</v>
      </c>
      <c r="CJ11">
        <v>546</v>
      </c>
      <c r="CK11">
        <v>592</v>
      </c>
      <c r="CL11">
        <v>660</v>
      </c>
      <c r="CO11">
        <v>596</v>
      </c>
      <c r="CP11">
        <v>540</v>
      </c>
      <c r="CQ11">
        <v>405</v>
      </c>
      <c r="CR11">
        <v>398</v>
      </c>
      <c r="CS11">
        <v>333</v>
      </c>
      <c r="CT11">
        <v>288</v>
      </c>
      <c r="CV11">
        <v>286</v>
      </c>
      <c r="CW11">
        <v>280</v>
      </c>
      <c r="CX11">
        <v>354</v>
      </c>
      <c r="CY11">
        <v>258</v>
      </c>
      <c r="CZ11">
        <v>317</v>
      </c>
      <c r="DA11">
        <v>316</v>
      </c>
      <c r="DC11">
        <v>436</v>
      </c>
      <c r="DD11">
        <v>1985</v>
      </c>
      <c r="DE11">
        <v>411</v>
      </c>
      <c r="DF11">
        <v>339</v>
      </c>
      <c r="DG11">
        <v>176</v>
      </c>
      <c r="DH11">
        <v>349</v>
      </c>
      <c r="DJ11">
        <v>206</v>
      </c>
      <c r="DK11">
        <v>259</v>
      </c>
      <c r="DL11">
        <v>277</v>
      </c>
      <c r="DM11">
        <v>382</v>
      </c>
      <c r="DN11">
        <v>382</v>
      </c>
      <c r="DO11">
        <v>271</v>
      </c>
      <c r="DQ11">
        <v>454</v>
      </c>
      <c r="DR11">
        <v>341</v>
      </c>
      <c r="DS11">
        <v>551</v>
      </c>
      <c r="DT11">
        <v>530</v>
      </c>
      <c r="DU11">
        <v>498</v>
      </c>
      <c r="DV11">
        <v>565</v>
      </c>
      <c r="DX11">
        <v>313</v>
      </c>
      <c r="DY11">
        <v>347</v>
      </c>
      <c r="DZ11">
        <v>415</v>
      </c>
      <c r="EA11">
        <v>349</v>
      </c>
      <c r="EB11">
        <v>189</v>
      </c>
      <c r="EC11">
        <v>283</v>
      </c>
      <c r="EE11">
        <v>191</v>
      </c>
      <c r="EF11">
        <v>212</v>
      </c>
      <c r="EG11">
        <v>271</v>
      </c>
      <c r="EH11">
        <v>235</v>
      </c>
      <c r="EI11">
        <v>530</v>
      </c>
      <c r="EJ11">
        <v>470</v>
      </c>
      <c r="EL11">
        <v>511</v>
      </c>
      <c r="EM11">
        <v>393</v>
      </c>
      <c r="EN11">
        <v>505</v>
      </c>
      <c r="EO11">
        <v>506</v>
      </c>
      <c r="EP11">
        <v>414</v>
      </c>
      <c r="EQ11">
        <v>392</v>
      </c>
      <c r="ES11">
        <v>424</v>
      </c>
      <c r="ET11">
        <v>204</v>
      </c>
      <c r="EU11">
        <v>544</v>
      </c>
      <c r="EV11">
        <v>638</v>
      </c>
      <c r="EW11">
        <v>396</v>
      </c>
      <c r="EX11">
        <v>439</v>
      </c>
      <c r="EZ11">
        <v>618</v>
      </c>
      <c r="FA11">
        <v>396</v>
      </c>
      <c r="FB11">
        <v>402</v>
      </c>
      <c r="FC11">
        <v>403</v>
      </c>
      <c r="FD11">
        <v>233</v>
      </c>
      <c r="FE11">
        <v>231</v>
      </c>
      <c r="FG11">
        <v>211</v>
      </c>
      <c r="FH11">
        <v>100</v>
      </c>
      <c r="FI11">
        <v>136</v>
      </c>
      <c r="FJ11">
        <v>117</v>
      </c>
      <c r="FK11">
        <v>90</v>
      </c>
      <c r="FN11">
        <v>203</v>
      </c>
      <c r="FO11">
        <v>97</v>
      </c>
      <c r="FP11">
        <v>175</v>
      </c>
      <c r="FQ11">
        <v>223</v>
      </c>
      <c r="FR11">
        <v>672</v>
      </c>
      <c r="FV11">
        <v>217</v>
      </c>
      <c r="FW11">
        <v>198</v>
      </c>
      <c r="FX11">
        <v>295</v>
      </c>
      <c r="FY11">
        <v>416</v>
      </c>
      <c r="FZ11">
        <v>421</v>
      </c>
      <c r="GB11">
        <v>344</v>
      </c>
      <c r="GC11">
        <v>402</v>
      </c>
      <c r="GD11">
        <v>245</v>
      </c>
      <c r="GE11">
        <v>408</v>
      </c>
      <c r="GF11">
        <v>800</v>
      </c>
      <c r="GG11">
        <v>662</v>
      </c>
      <c r="GI11">
        <v>383</v>
      </c>
      <c r="GJ11">
        <v>478</v>
      </c>
      <c r="GL11">
        <v>470</v>
      </c>
      <c r="GM11">
        <v>534</v>
      </c>
      <c r="GP11">
        <v>365</v>
      </c>
      <c r="GQ11">
        <v>281</v>
      </c>
      <c r="GR11">
        <v>267</v>
      </c>
      <c r="GS11">
        <v>415</v>
      </c>
      <c r="GT11">
        <v>201</v>
      </c>
      <c r="GU11">
        <v>326</v>
      </c>
      <c r="GW11">
        <v>141</v>
      </c>
      <c r="GX11">
        <v>399</v>
      </c>
      <c r="GY11">
        <v>423</v>
      </c>
      <c r="GZ11">
        <v>397</v>
      </c>
      <c r="HA11">
        <v>692</v>
      </c>
      <c r="HB11">
        <v>558</v>
      </c>
      <c r="HD11">
        <v>393</v>
      </c>
      <c r="HE11">
        <v>391</v>
      </c>
      <c r="HG11">
        <v>541</v>
      </c>
      <c r="HH11">
        <v>443</v>
      </c>
      <c r="HI11">
        <v>420</v>
      </c>
      <c r="HK11">
        <v>273</v>
      </c>
      <c r="HL11">
        <v>250</v>
      </c>
      <c r="HM11">
        <v>327</v>
      </c>
      <c r="HN11">
        <v>365</v>
      </c>
      <c r="HO11">
        <v>459</v>
      </c>
      <c r="HP11">
        <v>295</v>
      </c>
      <c r="HS11">
        <v>226</v>
      </c>
      <c r="HT11">
        <v>245</v>
      </c>
      <c r="HU11">
        <v>260</v>
      </c>
      <c r="HV11">
        <v>343</v>
      </c>
      <c r="HW11">
        <v>294</v>
      </c>
      <c r="HY11">
        <v>281</v>
      </c>
      <c r="HZ11">
        <v>391</v>
      </c>
      <c r="IA11">
        <v>440</v>
      </c>
      <c r="IB11">
        <v>517</v>
      </c>
      <c r="IC11">
        <v>248</v>
      </c>
      <c r="ID11">
        <v>419</v>
      </c>
      <c r="IF11">
        <v>269</v>
      </c>
      <c r="IG11">
        <v>1267</v>
      </c>
      <c r="IH11">
        <v>362</v>
      </c>
      <c r="II11">
        <v>510</v>
      </c>
      <c r="IJ11">
        <v>654</v>
      </c>
      <c r="IK11">
        <v>409</v>
      </c>
      <c r="IM11">
        <v>335</v>
      </c>
      <c r="IN11">
        <v>388</v>
      </c>
      <c r="IO11">
        <v>478</v>
      </c>
      <c r="IP11">
        <v>421</v>
      </c>
      <c r="IQ11">
        <v>626</v>
      </c>
      <c r="IR11">
        <v>654</v>
      </c>
      <c r="IT11">
        <v>522</v>
      </c>
      <c r="IU11">
        <v>680</v>
      </c>
      <c r="IV11">
        <v>543</v>
      </c>
      <c r="IW11">
        <v>455</v>
      </c>
      <c r="IX11">
        <v>655</v>
      </c>
      <c r="IY11">
        <v>524</v>
      </c>
      <c r="IZ11">
        <v>0</v>
      </c>
      <c r="JA11">
        <v>567</v>
      </c>
      <c r="JB11">
        <v>473</v>
      </c>
      <c r="JC11">
        <v>572</v>
      </c>
      <c r="JD11">
        <v>708</v>
      </c>
      <c r="JE11">
        <v>711</v>
      </c>
      <c r="JF11">
        <v>780</v>
      </c>
      <c r="JG11">
        <v>0</v>
      </c>
      <c r="JH11">
        <v>488</v>
      </c>
      <c r="JI11">
        <v>902</v>
      </c>
      <c r="JJ11">
        <v>882</v>
      </c>
      <c r="JK11">
        <v>1117</v>
      </c>
      <c r="JL11">
        <v>728</v>
      </c>
      <c r="JM11">
        <v>884</v>
      </c>
      <c r="JN11">
        <v>0</v>
      </c>
      <c r="JO11">
        <v>511</v>
      </c>
      <c r="JP11">
        <v>395</v>
      </c>
      <c r="JQ11">
        <v>385</v>
      </c>
      <c r="JR11">
        <v>367</v>
      </c>
      <c r="JS11">
        <v>451</v>
      </c>
      <c r="JT11">
        <v>431</v>
      </c>
      <c r="JU11">
        <v>0</v>
      </c>
      <c r="JV11">
        <v>0</v>
      </c>
      <c r="JW11">
        <v>407</v>
      </c>
      <c r="JX11">
        <v>223</v>
      </c>
      <c r="JY11">
        <v>293</v>
      </c>
      <c r="JZ11">
        <v>280</v>
      </c>
      <c r="KA11">
        <v>169</v>
      </c>
      <c r="KB11">
        <v>0</v>
      </c>
      <c r="KC11">
        <v>183</v>
      </c>
      <c r="KD11">
        <v>168</v>
      </c>
      <c r="KE11">
        <v>250</v>
      </c>
      <c r="KF11">
        <v>321</v>
      </c>
      <c r="KG11">
        <v>517</v>
      </c>
      <c r="KH11">
        <v>420</v>
      </c>
      <c r="KI11">
        <v>0</v>
      </c>
      <c r="KJ11">
        <v>0</v>
      </c>
      <c r="KK11">
        <v>484</v>
      </c>
      <c r="KL11">
        <v>461</v>
      </c>
      <c r="KM11">
        <v>373</v>
      </c>
      <c r="KN11">
        <v>370</v>
      </c>
      <c r="KO11">
        <v>440</v>
      </c>
      <c r="KP11">
        <v>0</v>
      </c>
      <c r="KQ11">
        <v>291</v>
      </c>
      <c r="KR11">
        <v>418</v>
      </c>
      <c r="KS11">
        <v>368</v>
      </c>
      <c r="KT11">
        <v>489</v>
      </c>
      <c r="KU11">
        <v>327</v>
      </c>
      <c r="KV11">
        <v>437</v>
      </c>
      <c r="KW11">
        <v>0</v>
      </c>
      <c r="KX11">
        <v>887</v>
      </c>
      <c r="KY11">
        <v>380</v>
      </c>
      <c r="KZ11">
        <v>796</v>
      </c>
      <c r="LA11">
        <v>692</v>
      </c>
      <c r="LB11">
        <v>440</v>
      </c>
      <c r="LC11">
        <v>658</v>
      </c>
      <c r="LD11">
        <v>0</v>
      </c>
      <c r="LE11">
        <v>260</v>
      </c>
      <c r="LF11">
        <v>344</v>
      </c>
      <c r="LG11">
        <v>619</v>
      </c>
      <c r="LH11">
        <v>315</v>
      </c>
      <c r="LI11">
        <v>298</v>
      </c>
      <c r="LJ11">
        <v>436</v>
      </c>
      <c r="LK11">
        <v>0</v>
      </c>
      <c r="LL11">
        <v>272</v>
      </c>
      <c r="LM11">
        <v>791</v>
      </c>
      <c r="LN11">
        <v>643</v>
      </c>
      <c r="LO11">
        <v>862</v>
      </c>
      <c r="LP11">
        <v>817</v>
      </c>
      <c r="LQ11">
        <v>693</v>
      </c>
      <c r="LR11">
        <v>0</v>
      </c>
      <c r="LS11" s="50">
        <v>589</v>
      </c>
      <c r="LT11">
        <v>719</v>
      </c>
      <c r="LU11">
        <v>650</v>
      </c>
      <c r="LV11" s="49">
        <v>1067</v>
      </c>
      <c r="LW11">
        <v>659</v>
      </c>
      <c r="LX11">
        <v>374</v>
      </c>
      <c r="LY11">
        <v>0</v>
      </c>
      <c r="LZ11">
        <v>241</v>
      </c>
      <c r="MA11">
        <v>295</v>
      </c>
      <c r="MB11">
        <v>284</v>
      </c>
      <c r="MC11">
        <v>426</v>
      </c>
      <c r="MD11">
        <v>592</v>
      </c>
      <c r="ME11">
        <v>592</v>
      </c>
      <c r="MF11">
        <v>0</v>
      </c>
      <c r="MG11">
        <v>323</v>
      </c>
      <c r="MH11">
        <v>277</v>
      </c>
      <c r="MI11">
        <v>297</v>
      </c>
      <c r="MJ11">
        <v>292</v>
      </c>
      <c r="MK11">
        <v>257</v>
      </c>
      <c r="ML11">
        <v>226</v>
      </c>
      <c r="MM11">
        <v>0</v>
      </c>
      <c r="MN11" s="57">
        <v>160</v>
      </c>
      <c r="MO11" s="57">
        <v>203</v>
      </c>
      <c r="MP11" s="57">
        <v>227</v>
      </c>
      <c r="MQ11" s="57">
        <v>252</v>
      </c>
      <c r="MR11" s="57">
        <v>265</v>
      </c>
      <c r="MS11" s="57">
        <v>487</v>
      </c>
      <c r="MT11" s="57">
        <v>0</v>
      </c>
      <c r="MU11" s="57">
        <v>0</v>
      </c>
      <c r="MV11">
        <v>515</v>
      </c>
      <c r="MW11">
        <v>528</v>
      </c>
      <c r="MX11">
        <v>689</v>
      </c>
      <c r="MY11">
        <v>519</v>
      </c>
      <c r="MZ11">
        <v>573</v>
      </c>
      <c r="NA11">
        <v>0</v>
      </c>
      <c r="NB11" s="67">
        <v>443</v>
      </c>
      <c r="NC11" s="67">
        <v>500</v>
      </c>
      <c r="ND11">
        <v>0</v>
      </c>
      <c r="NE11" s="67">
        <v>615</v>
      </c>
      <c r="NF11" s="67">
        <v>432</v>
      </c>
      <c r="NG11" s="67">
        <v>659</v>
      </c>
      <c r="NH11" s="67">
        <v>0</v>
      </c>
      <c r="NI11" s="67">
        <v>422</v>
      </c>
      <c r="NJ11" s="67">
        <v>542</v>
      </c>
      <c r="NK11" s="57">
        <v>408</v>
      </c>
      <c r="NL11" s="57">
        <v>408</v>
      </c>
      <c r="NM11" s="57">
        <v>326</v>
      </c>
      <c r="NN11" s="57">
        <v>240</v>
      </c>
      <c r="NO11">
        <v>0</v>
      </c>
      <c r="NP11" s="67">
        <v>277</v>
      </c>
      <c r="NQ11" s="67">
        <v>295</v>
      </c>
      <c r="NR11" s="67">
        <v>347</v>
      </c>
      <c r="NS11" s="67">
        <v>410</v>
      </c>
      <c r="NT11" s="67">
        <v>494</v>
      </c>
      <c r="NU11" s="67">
        <v>687</v>
      </c>
      <c r="NV11" s="67">
        <v>0</v>
      </c>
      <c r="NW11" s="67">
        <v>447</v>
      </c>
      <c r="NX11" s="67">
        <v>1242</v>
      </c>
      <c r="NY11" s="67">
        <v>992</v>
      </c>
      <c r="NZ11" s="67">
        <v>1057</v>
      </c>
      <c r="OA11" s="67">
        <v>1150</v>
      </c>
      <c r="OB11" s="67">
        <v>1249</v>
      </c>
      <c r="OC11" s="67">
        <v>30</v>
      </c>
      <c r="OD11">
        <v>700</v>
      </c>
      <c r="OE11">
        <v>447</v>
      </c>
      <c r="OF11">
        <v>569</v>
      </c>
      <c r="OG11">
        <v>675</v>
      </c>
      <c r="OH11">
        <v>345</v>
      </c>
      <c r="OI11">
        <v>541</v>
      </c>
      <c r="OJ11">
        <v>0</v>
      </c>
      <c r="OK11" s="67">
        <v>445</v>
      </c>
      <c r="OL11" s="67">
        <v>380</v>
      </c>
      <c r="OM11" s="67">
        <v>408</v>
      </c>
      <c r="ON11" s="67">
        <v>439</v>
      </c>
      <c r="OO11" s="67">
        <v>304</v>
      </c>
      <c r="OP11" s="67">
        <v>341</v>
      </c>
      <c r="OQ11" s="67">
        <v>0</v>
      </c>
      <c r="OR11" s="67">
        <v>255</v>
      </c>
      <c r="OS11" s="67">
        <v>173</v>
      </c>
      <c r="OT11" s="67">
        <v>289</v>
      </c>
      <c r="OU11" s="67">
        <v>0</v>
      </c>
      <c r="OV11" s="67">
        <v>212</v>
      </c>
      <c r="OW11" s="67">
        <v>135</v>
      </c>
      <c r="OX11" s="67">
        <v>0</v>
      </c>
      <c r="OY11" s="67">
        <v>363</v>
      </c>
      <c r="OZ11" s="67">
        <v>204</v>
      </c>
      <c r="PA11" s="67">
        <v>268</v>
      </c>
      <c r="PB11" s="67">
        <v>423</v>
      </c>
      <c r="PC11" s="67">
        <v>417</v>
      </c>
      <c r="PD11" s="67">
        <v>406</v>
      </c>
      <c r="PE11" s="67">
        <v>0</v>
      </c>
      <c r="PF11">
        <v>399</v>
      </c>
      <c r="PG11">
        <v>474</v>
      </c>
      <c r="PH11">
        <v>436</v>
      </c>
      <c r="PI11">
        <v>479</v>
      </c>
      <c r="PJ11">
        <v>631</v>
      </c>
      <c r="PK11">
        <v>377</v>
      </c>
      <c r="PL11">
        <v>0</v>
      </c>
      <c r="PM11">
        <v>353</v>
      </c>
      <c r="PN11">
        <v>254</v>
      </c>
      <c r="PO11">
        <v>317</v>
      </c>
      <c r="PP11">
        <v>272</v>
      </c>
      <c r="PQ11">
        <v>178</v>
      </c>
      <c r="PR11">
        <v>103</v>
      </c>
      <c r="PS11">
        <v>91</v>
      </c>
      <c r="PT11">
        <v>0</v>
      </c>
      <c r="PV11">
        <v>0</v>
      </c>
      <c r="PW11" s="74">
        <v>6</v>
      </c>
      <c r="PX11" s="74">
        <v>25</v>
      </c>
      <c r="PY11" s="74">
        <v>82</v>
      </c>
      <c r="PZ11" s="74">
        <v>0</v>
      </c>
      <c r="QA11" s="74">
        <v>78</v>
      </c>
      <c r="QB11" s="74">
        <v>117</v>
      </c>
      <c r="QC11" s="74">
        <v>151</v>
      </c>
      <c r="QD11" s="74">
        <v>206</v>
      </c>
      <c r="QE11" s="74">
        <v>491</v>
      </c>
      <c r="QF11" s="74">
        <v>592</v>
      </c>
      <c r="QG11" s="74">
        <v>0</v>
      </c>
      <c r="QH11">
        <v>599</v>
      </c>
      <c r="QI11">
        <v>815</v>
      </c>
      <c r="QJ11">
        <v>1010</v>
      </c>
      <c r="QK11">
        <v>827</v>
      </c>
      <c r="QL11">
        <v>877</v>
      </c>
      <c r="QM11">
        <v>871</v>
      </c>
      <c r="QN11">
        <v>0</v>
      </c>
      <c r="QO11">
        <v>579</v>
      </c>
      <c r="QP11">
        <v>345</v>
      </c>
      <c r="QQ11">
        <v>467</v>
      </c>
      <c r="QR11">
        <v>520</v>
      </c>
      <c r="QS11">
        <v>590</v>
      </c>
      <c r="QT11">
        <v>580</v>
      </c>
      <c r="QU11">
        <v>0</v>
      </c>
      <c r="QV11">
        <v>342</v>
      </c>
      <c r="QW11">
        <v>544</v>
      </c>
      <c r="QX11">
        <v>340</v>
      </c>
      <c r="QY11">
        <v>321</v>
      </c>
      <c r="QZ11">
        <v>417</v>
      </c>
      <c r="RA11">
        <v>179</v>
      </c>
      <c r="RB11">
        <v>0</v>
      </c>
      <c r="RC11">
        <v>297</v>
      </c>
      <c r="RD11">
        <v>259</v>
      </c>
      <c r="RE11">
        <v>291</v>
      </c>
      <c r="RF11">
        <v>608</v>
      </c>
      <c r="RG11">
        <v>622</v>
      </c>
      <c r="RH11">
        <v>0</v>
      </c>
      <c r="RI11">
        <v>0</v>
      </c>
      <c r="RJ11">
        <v>894</v>
      </c>
      <c r="RK11">
        <v>1178</v>
      </c>
      <c r="RL11">
        <v>1182</v>
      </c>
      <c r="RM11">
        <v>651</v>
      </c>
      <c r="RN11">
        <v>1878</v>
      </c>
      <c r="RO11">
        <v>1262</v>
      </c>
      <c r="RP11">
        <v>0</v>
      </c>
      <c r="RQ11">
        <v>808</v>
      </c>
      <c r="RR11">
        <v>980</v>
      </c>
      <c r="RS11">
        <v>1051</v>
      </c>
      <c r="RT11">
        <v>1122</v>
      </c>
      <c r="RU11">
        <v>804</v>
      </c>
      <c r="RV11">
        <v>693</v>
      </c>
      <c r="RW11">
        <v>0</v>
      </c>
      <c r="RX11">
        <v>469</v>
      </c>
      <c r="RY11">
        <v>647</v>
      </c>
      <c r="RZ11">
        <v>523</v>
      </c>
      <c r="SA11">
        <v>495</v>
      </c>
      <c r="SB11">
        <v>413</v>
      </c>
      <c r="SC11">
        <v>328</v>
      </c>
      <c r="SD11">
        <v>0</v>
      </c>
      <c r="SE11">
        <v>336</v>
      </c>
      <c r="SF11">
        <v>250</v>
      </c>
      <c r="SG11">
        <v>154</v>
      </c>
      <c r="SH11">
        <v>216</v>
      </c>
      <c r="SI11">
        <v>287</v>
      </c>
      <c r="SJ11">
        <v>316</v>
      </c>
      <c r="SK11">
        <v>0</v>
      </c>
      <c r="SL11">
        <v>420</v>
      </c>
      <c r="SM11">
        <v>520</v>
      </c>
      <c r="SN11">
        <v>687</v>
      </c>
      <c r="SO11">
        <v>588</v>
      </c>
      <c r="SP11">
        <v>622</v>
      </c>
      <c r="SQ11">
        <v>762</v>
      </c>
      <c r="SR11">
        <v>0</v>
      </c>
      <c r="SS11">
        <v>441</v>
      </c>
      <c r="ST11">
        <v>452</v>
      </c>
      <c r="SU11">
        <v>439</v>
      </c>
      <c r="SV11">
        <v>322</v>
      </c>
      <c r="SW11">
        <v>496</v>
      </c>
      <c r="SX11">
        <v>444</v>
      </c>
      <c r="SY11">
        <v>0</v>
      </c>
      <c r="SZ11">
        <v>314</v>
      </c>
      <c r="TA11">
        <v>335</v>
      </c>
      <c r="TB11">
        <v>305</v>
      </c>
      <c r="TC11">
        <v>215</v>
      </c>
      <c r="TD11">
        <v>271</v>
      </c>
      <c r="TE11">
        <v>251</v>
      </c>
      <c r="TF11">
        <v>0</v>
      </c>
      <c r="TG11">
        <v>156</v>
      </c>
      <c r="TH11">
        <v>230</v>
      </c>
      <c r="TI11">
        <v>303</v>
      </c>
      <c r="TJ11">
        <v>156</v>
      </c>
      <c r="TK11">
        <v>217</v>
      </c>
      <c r="TL11">
        <v>129</v>
      </c>
      <c r="TM11">
        <v>0</v>
      </c>
      <c r="TN11">
        <v>0</v>
      </c>
      <c r="TO11">
        <v>144</v>
      </c>
      <c r="TP11">
        <v>31</v>
      </c>
      <c r="TQ11">
        <v>278</v>
      </c>
      <c r="TR11">
        <v>21</v>
      </c>
      <c r="TS11">
        <v>10</v>
      </c>
      <c r="TT11">
        <v>0</v>
      </c>
      <c r="TU11">
        <v>0</v>
      </c>
      <c r="TV11">
        <v>0</v>
      </c>
      <c r="TW11">
        <v>370</v>
      </c>
      <c r="TX11">
        <v>259</v>
      </c>
      <c r="TY11">
        <v>570</v>
      </c>
      <c r="TZ11">
        <v>760</v>
      </c>
      <c r="UA11">
        <v>0</v>
      </c>
      <c r="UB11">
        <v>636</v>
      </c>
      <c r="UC11">
        <v>722</v>
      </c>
      <c r="UD11">
        <v>664</v>
      </c>
      <c r="UE11">
        <v>288</v>
      </c>
      <c r="UF11">
        <v>610</v>
      </c>
      <c r="UG11">
        <v>639</v>
      </c>
      <c r="UH11">
        <v>0</v>
      </c>
      <c r="UI11">
        <v>13</v>
      </c>
      <c r="UJ11">
        <v>472</v>
      </c>
      <c r="UK11">
        <v>504</v>
      </c>
      <c r="UL11">
        <v>0</v>
      </c>
      <c r="UM11">
        <v>326</v>
      </c>
      <c r="UN11">
        <v>402</v>
      </c>
      <c r="UO11">
        <v>0</v>
      </c>
      <c r="UP11">
        <v>0</v>
      </c>
      <c r="UQ11">
        <v>388</v>
      </c>
      <c r="UR11">
        <v>369</v>
      </c>
      <c r="US11">
        <v>329</v>
      </c>
      <c r="UT11">
        <v>342</v>
      </c>
      <c r="UU11">
        <v>572</v>
      </c>
      <c r="UV11">
        <v>0</v>
      </c>
      <c r="UW11">
        <v>0</v>
      </c>
      <c r="UX11">
        <v>339</v>
      </c>
      <c r="UY11">
        <v>647</v>
      </c>
      <c r="UZ11">
        <v>504</v>
      </c>
      <c r="VA11">
        <v>938</v>
      </c>
      <c r="VB11">
        <v>738</v>
      </c>
      <c r="VC11">
        <v>0</v>
      </c>
      <c r="VD11">
        <v>573</v>
      </c>
      <c r="VE11">
        <v>419</v>
      </c>
      <c r="VF11">
        <v>512</v>
      </c>
      <c r="VG11">
        <v>452</v>
      </c>
      <c r="VH11">
        <v>673</v>
      </c>
      <c r="VI11">
        <v>368</v>
      </c>
      <c r="VJ11">
        <v>0</v>
      </c>
      <c r="VK11">
        <v>343</v>
      </c>
      <c r="VL11">
        <v>27</v>
      </c>
      <c r="VM11">
        <v>450</v>
      </c>
      <c r="VN11">
        <v>369</v>
      </c>
      <c r="VO11">
        <v>19</v>
      </c>
      <c r="VP11">
        <v>319</v>
      </c>
      <c r="VQ11">
        <v>0</v>
      </c>
      <c r="VR11">
        <v>258</v>
      </c>
      <c r="VS11">
        <v>0</v>
      </c>
      <c r="VT11">
        <v>199</v>
      </c>
      <c r="VU11">
        <v>350</v>
      </c>
      <c r="VV11">
        <v>308</v>
      </c>
      <c r="VW11">
        <v>172</v>
      </c>
      <c r="VX11">
        <v>0</v>
      </c>
      <c r="VY11">
        <v>236</v>
      </c>
      <c r="VZ11">
        <v>278</v>
      </c>
      <c r="WA11">
        <v>436</v>
      </c>
      <c r="WB11">
        <v>24</v>
      </c>
      <c r="WC11">
        <v>696</v>
      </c>
      <c r="WD11">
        <v>953</v>
      </c>
      <c r="WE11">
        <v>0</v>
      </c>
      <c r="WF11">
        <v>20</v>
      </c>
      <c r="WG11">
        <v>34</v>
      </c>
      <c r="WH11">
        <v>614</v>
      </c>
      <c r="WI11">
        <v>479</v>
      </c>
      <c r="WJ11">
        <v>551</v>
      </c>
      <c r="WK11">
        <v>557</v>
      </c>
      <c r="WL11">
        <v>0</v>
      </c>
      <c r="WM11">
        <v>428</v>
      </c>
      <c r="WN11">
        <v>333</v>
      </c>
      <c r="WO11">
        <v>473</v>
      </c>
      <c r="WP11">
        <v>462</v>
      </c>
      <c r="WQ11">
        <v>668</v>
      </c>
      <c r="WR11">
        <v>397</v>
      </c>
      <c r="WS11">
        <v>0</v>
      </c>
      <c r="WT11">
        <v>218</v>
      </c>
      <c r="WU11">
        <v>172</v>
      </c>
      <c r="WV11">
        <v>226</v>
      </c>
      <c r="WW11">
        <v>243</v>
      </c>
      <c r="WX11">
        <v>307</v>
      </c>
      <c r="WY11">
        <v>176</v>
      </c>
      <c r="WZ11">
        <v>0</v>
      </c>
      <c r="XA11">
        <v>238</v>
      </c>
      <c r="XB11">
        <v>293</v>
      </c>
      <c r="XC11">
        <v>343</v>
      </c>
      <c r="XD11">
        <v>307</v>
      </c>
      <c r="XE11">
        <v>376</v>
      </c>
      <c r="XF11">
        <v>435</v>
      </c>
      <c r="XG11">
        <v>0</v>
      </c>
      <c r="XH11">
        <v>771</v>
      </c>
      <c r="XI11">
        <v>543</v>
      </c>
      <c r="XJ11">
        <v>336</v>
      </c>
      <c r="XK11">
        <v>708</v>
      </c>
      <c r="XL11">
        <v>948</v>
      </c>
      <c r="XM11">
        <v>907</v>
      </c>
      <c r="XN11">
        <v>0</v>
      </c>
      <c r="XO11">
        <v>1005</v>
      </c>
      <c r="XP11">
        <v>927</v>
      </c>
      <c r="XQ11">
        <v>1009</v>
      </c>
      <c r="XR11">
        <v>812</v>
      </c>
      <c r="XS11">
        <v>638</v>
      </c>
      <c r="XT11">
        <v>593</v>
      </c>
      <c r="XU11">
        <v>0</v>
      </c>
      <c r="XV11">
        <v>0</v>
      </c>
      <c r="XW11">
        <v>595</v>
      </c>
      <c r="XX11">
        <v>569</v>
      </c>
      <c r="XY11">
        <v>348</v>
      </c>
      <c r="XZ11">
        <v>727</v>
      </c>
      <c r="YA11">
        <v>460</v>
      </c>
      <c r="YB11">
        <v>0</v>
      </c>
      <c r="YC11">
        <v>522</v>
      </c>
      <c r="YD11">
        <v>518</v>
      </c>
      <c r="YE11">
        <v>392</v>
      </c>
      <c r="YF11">
        <v>331</v>
      </c>
      <c r="YG11">
        <v>731</v>
      </c>
      <c r="YH11">
        <v>876</v>
      </c>
      <c r="YI11">
        <v>0</v>
      </c>
      <c r="YJ11">
        <v>756</v>
      </c>
      <c r="YK11">
        <v>0</v>
      </c>
      <c r="YL11">
        <v>883</v>
      </c>
      <c r="YM11">
        <v>549</v>
      </c>
      <c r="YN11">
        <v>732</v>
      </c>
      <c r="YO11">
        <v>476</v>
      </c>
      <c r="YP11">
        <v>0</v>
      </c>
      <c r="YQ11">
        <v>532</v>
      </c>
      <c r="YR11">
        <v>644</v>
      </c>
      <c r="YS11">
        <v>307</v>
      </c>
      <c r="YT11">
        <v>618</v>
      </c>
      <c r="YU11">
        <v>611</v>
      </c>
      <c r="YV11">
        <v>957</v>
      </c>
      <c r="YW11">
        <v>0</v>
      </c>
      <c r="YX11">
        <v>458</v>
      </c>
      <c r="YY11">
        <v>598</v>
      </c>
      <c r="YZ11">
        <v>863</v>
      </c>
      <c r="ZA11">
        <v>292</v>
      </c>
      <c r="ZB11">
        <v>487</v>
      </c>
      <c r="ZC11">
        <v>574</v>
      </c>
      <c r="ZD11">
        <v>0</v>
      </c>
      <c r="ZE11">
        <v>53</v>
      </c>
      <c r="ZF11">
        <v>642</v>
      </c>
      <c r="ZG11">
        <v>53</v>
      </c>
      <c r="ZH11">
        <v>786</v>
      </c>
      <c r="ZI11">
        <v>504</v>
      </c>
      <c r="ZJ11">
        <v>569</v>
      </c>
      <c r="ZK11">
        <v>0</v>
      </c>
      <c r="ZL11">
        <v>287</v>
      </c>
      <c r="ZM11">
        <v>444</v>
      </c>
      <c r="ZN11">
        <v>377</v>
      </c>
      <c r="ZO11">
        <v>413</v>
      </c>
      <c r="ZP11">
        <v>720</v>
      </c>
      <c r="ZQ11">
        <v>714</v>
      </c>
      <c r="ZR11">
        <v>0</v>
      </c>
      <c r="ZS11">
        <v>497</v>
      </c>
      <c r="ZT11">
        <v>819</v>
      </c>
      <c r="ZU11">
        <v>696</v>
      </c>
      <c r="ZV11">
        <v>656</v>
      </c>
      <c r="ZW11">
        <v>639</v>
      </c>
      <c r="ZX11">
        <v>356</v>
      </c>
      <c r="ZY11">
        <v>0</v>
      </c>
      <c r="ZZ11">
        <v>400</v>
      </c>
      <c r="AAA11">
        <v>446</v>
      </c>
      <c r="AAB11">
        <v>319</v>
      </c>
      <c r="AAC11">
        <v>277</v>
      </c>
      <c r="AAD11">
        <v>315</v>
      </c>
      <c r="AAE11">
        <v>183</v>
      </c>
      <c r="AAF11">
        <v>0</v>
      </c>
      <c r="AAG11">
        <v>191</v>
      </c>
      <c r="AAH11">
        <v>274</v>
      </c>
      <c r="AAI11">
        <v>239</v>
      </c>
      <c r="AAJ11">
        <v>341</v>
      </c>
      <c r="AAK11">
        <v>288</v>
      </c>
      <c r="AAL11">
        <v>378</v>
      </c>
      <c r="AAM11">
        <v>0</v>
      </c>
      <c r="AAN11">
        <v>274</v>
      </c>
      <c r="AAO11">
        <v>217</v>
      </c>
      <c r="AAP11">
        <v>225</v>
      </c>
      <c r="AAQ11">
        <v>196</v>
      </c>
      <c r="AAR11">
        <v>316</v>
      </c>
      <c r="AAS11">
        <v>324</v>
      </c>
      <c r="AAT11">
        <v>0</v>
      </c>
      <c r="AAU11">
        <v>0</v>
      </c>
      <c r="AAV11">
        <v>373</v>
      </c>
      <c r="AAW11">
        <v>884</v>
      </c>
      <c r="AAX11">
        <v>748</v>
      </c>
      <c r="AAY11">
        <v>829</v>
      </c>
      <c r="AAZ11">
        <v>1106</v>
      </c>
      <c r="ABA11">
        <v>0</v>
      </c>
      <c r="ABB11">
        <v>747</v>
      </c>
      <c r="ABC11">
        <v>663</v>
      </c>
      <c r="ABD11">
        <v>403</v>
      </c>
      <c r="ABE11">
        <v>0</v>
      </c>
      <c r="ABF11">
        <v>933</v>
      </c>
      <c r="ABG11">
        <v>776</v>
      </c>
      <c r="ABH11">
        <v>0</v>
      </c>
      <c r="ABI11">
        <v>316</v>
      </c>
      <c r="ABJ11">
        <v>305</v>
      </c>
      <c r="ABK11">
        <v>446</v>
      </c>
      <c r="ABL11">
        <v>499</v>
      </c>
      <c r="ABM11">
        <v>306</v>
      </c>
      <c r="ABN11">
        <v>446</v>
      </c>
      <c r="ABO11">
        <v>0</v>
      </c>
      <c r="ABP11">
        <v>319</v>
      </c>
      <c r="ABQ11">
        <v>223</v>
      </c>
      <c r="ABR11">
        <v>412</v>
      </c>
      <c r="ABS11">
        <v>369</v>
      </c>
      <c r="ABT11">
        <v>345</v>
      </c>
      <c r="ABU11">
        <v>474</v>
      </c>
      <c r="ABV11">
        <v>0</v>
      </c>
      <c r="ABW11">
        <v>296</v>
      </c>
      <c r="ABX11">
        <v>393</v>
      </c>
      <c r="ABY11">
        <v>438</v>
      </c>
      <c r="ABZ11">
        <v>536</v>
      </c>
      <c r="ACA11">
        <v>661</v>
      </c>
      <c r="ACB11">
        <v>466</v>
      </c>
      <c r="ACC11">
        <v>502</v>
      </c>
      <c r="ACD11">
        <v>361</v>
      </c>
      <c r="ACE11">
        <v>441</v>
      </c>
      <c r="ACF11">
        <v>317</v>
      </c>
      <c r="ACG11">
        <v>506</v>
      </c>
      <c r="ACH11">
        <v>537</v>
      </c>
      <c r="ACI11">
        <v>444</v>
      </c>
      <c r="ACJ11">
        <v>0</v>
      </c>
      <c r="ACK11">
        <v>296</v>
      </c>
      <c r="ACL11">
        <v>418</v>
      </c>
      <c r="ACM11">
        <v>692</v>
      </c>
      <c r="ACN11">
        <v>360</v>
      </c>
      <c r="ACO11">
        <v>407</v>
      </c>
      <c r="ACP11">
        <v>301</v>
      </c>
      <c r="ACQ11">
        <v>0</v>
      </c>
      <c r="ACR11">
        <v>260</v>
      </c>
      <c r="ACS11">
        <v>228</v>
      </c>
      <c r="ACT11">
        <v>282</v>
      </c>
      <c r="ACU11">
        <v>277</v>
      </c>
      <c r="ACV11">
        <v>0</v>
      </c>
      <c r="ACW11">
        <v>363</v>
      </c>
      <c r="ACX11">
        <v>0</v>
      </c>
      <c r="ACY11">
        <v>364</v>
      </c>
      <c r="ACZ11">
        <v>303</v>
      </c>
      <c r="ADA11">
        <v>400</v>
      </c>
      <c r="ADB11">
        <v>275</v>
      </c>
      <c r="ADC11">
        <v>551</v>
      </c>
      <c r="ADD11">
        <v>532</v>
      </c>
      <c r="ADE11">
        <v>0</v>
      </c>
      <c r="ADF11">
        <v>410</v>
      </c>
      <c r="ADG11">
        <v>273</v>
      </c>
      <c r="ADH11">
        <v>371</v>
      </c>
      <c r="ADI11">
        <v>382</v>
      </c>
      <c r="ADJ11">
        <v>415</v>
      </c>
      <c r="ADK11">
        <v>292</v>
      </c>
      <c r="ADL11">
        <v>0</v>
      </c>
      <c r="ADM11">
        <v>332</v>
      </c>
      <c r="ADN11">
        <v>211</v>
      </c>
      <c r="ADO11">
        <v>239</v>
      </c>
      <c r="ADP11">
        <v>205</v>
      </c>
      <c r="ADQ11">
        <v>263</v>
      </c>
      <c r="ADR11">
        <v>187</v>
      </c>
      <c r="ADS11">
        <v>0</v>
      </c>
      <c r="ADT11">
        <v>34</v>
      </c>
      <c r="ADU11">
        <v>50</v>
      </c>
      <c r="ADV11">
        <v>0</v>
      </c>
      <c r="ADW11">
        <v>0</v>
      </c>
      <c r="ADX11">
        <v>33</v>
      </c>
      <c r="ADY11">
        <v>77</v>
      </c>
      <c r="ADZ11">
        <v>0</v>
      </c>
      <c r="AEA11">
        <v>67</v>
      </c>
      <c r="AEB11">
        <v>43</v>
      </c>
      <c r="AEC11">
        <v>50</v>
      </c>
      <c r="AED11">
        <v>96</v>
      </c>
      <c r="AEE11">
        <v>221</v>
      </c>
      <c r="AEF11">
        <v>284</v>
      </c>
      <c r="AEG11">
        <v>0</v>
      </c>
      <c r="AEH11">
        <v>258</v>
      </c>
      <c r="AEI11">
        <v>201</v>
      </c>
      <c r="AEJ11">
        <v>272</v>
      </c>
      <c r="AEK11">
        <v>642</v>
      </c>
      <c r="AEL11">
        <v>453</v>
      </c>
      <c r="AEM11">
        <v>554</v>
      </c>
      <c r="AEN11">
        <v>0</v>
      </c>
      <c r="AEO11">
        <v>604</v>
      </c>
      <c r="AEP11">
        <v>324</v>
      </c>
      <c r="AEQ11">
        <v>570</v>
      </c>
      <c r="AER11">
        <v>512</v>
      </c>
      <c r="AES11">
        <v>410</v>
      </c>
      <c r="AET11">
        <v>449</v>
      </c>
      <c r="AEU11">
        <v>0</v>
      </c>
      <c r="AEV11">
        <v>255</v>
      </c>
      <c r="AEW11">
        <v>487</v>
      </c>
      <c r="AEX11">
        <v>601</v>
      </c>
      <c r="AEY11">
        <v>346</v>
      </c>
      <c r="AEZ11">
        <v>304</v>
      </c>
      <c r="AFA11">
        <v>505</v>
      </c>
      <c r="AFB11">
        <v>0</v>
      </c>
      <c r="AFC11">
        <v>529</v>
      </c>
      <c r="AFD11">
        <v>0</v>
      </c>
      <c r="AFE11">
        <v>0</v>
      </c>
      <c r="AFF11">
        <v>221</v>
      </c>
      <c r="AFG11">
        <v>408</v>
      </c>
      <c r="AFH11">
        <v>370</v>
      </c>
      <c r="AFI11">
        <v>0</v>
      </c>
      <c r="AFJ11">
        <v>318</v>
      </c>
      <c r="AFK11">
        <v>385</v>
      </c>
      <c r="AFL11">
        <v>327</v>
      </c>
      <c r="AFM11">
        <v>534</v>
      </c>
      <c r="AFN11">
        <v>642</v>
      </c>
      <c r="AFO11">
        <v>773</v>
      </c>
      <c r="AFP11">
        <v>0</v>
      </c>
      <c r="AFQ11">
        <v>582</v>
      </c>
      <c r="AFR11">
        <v>547</v>
      </c>
      <c r="AFS11">
        <v>605</v>
      </c>
      <c r="AFT11">
        <v>751</v>
      </c>
      <c r="AFU11">
        <v>693</v>
      </c>
      <c r="AFV11">
        <v>602</v>
      </c>
      <c r="AFW11">
        <v>0</v>
      </c>
      <c r="AFX11">
        <v>406</v>
      </c>
      <c r="AFY11">
        <v>746</v>
      </c>
      <c r="AFZ11">
        <v>556</v>
      </c>
      <c r="AGA11">
        <v>633</v>
      </c>
      <c r="AGB11">
        <v>910</v>
      </c>
      <c r="AGC11">
        <v>689</v>
      </c>
      <c r="AGD11">
        <v>0</v>
      </c>
      <c r="AGE11">
        <v>487</v>
      </c>
      <c r="AGF11">
        <v>753</v>
      </c>
      <c r="AGG11">
        <v>420</v>
      </c>
      <c r="AGH11">
        <v>342</v>
      </c>
      <c r="AGI11">
        <v>896</v>
      </c>
      <c r="AGJ11">
        <v>0</v>
      </c>
      <c r="AGK11">
        <v>0</v>
      </c>
      <c r="AGL11">
        <v>341</v>
      </c>
      <c r="AGM11">
        <v>539</v>
      </c>
      <c r="AGN11">
        <v>705</v>
      </c>
      <c r="AGO11">
        <v>763</v>
      </c>
      <c r="AGP11">
        <v>880</v>
      </c>
      <c r="AGQ11">
        <v>1381</v>
      </c>
      <c r="AGR11">
        <v>670</v>
      </c>
      <c r="AGS11">
        <v>136</v>
      </c>
      <c r="AGT11">
        <v>703</v>
      </c>
      <c r="AGU11">
        <v>654</v>
      </c>
      <c r="AGV11">
        <v>361</v>
      </c>
      <c r="AGW11">
        <v>309</v>
      </c>
      <c r="AGX11">
        <v>481</v>
      </c>
      <c r="AGY11">
        <v>0</v>
      </c>
      <c r="AGZ11">
        <v>440</v>
      </c>
      <c r="AHA11">
        <v>482</v>
      </c>
      <c r="AHB11">
        <v>761</v>
      </c>
      <c r="AHC11">
        <v>437</v>
      </c>
      <c r="AHD11">
        <v>810</v>
      </c>
      <c r="AHE11">
        <v>480</v>
      </c>
      <c r="AHI11">
        <v>451</v>
      </c>
      <c r="AHJ11">
        <v>1350</v>
      </c>
      <c r="AHK11">
        <v>273</v>
      </c>
      <c r="AHL11">
        <v>321</v>
      </c>
      <c r="AHM11">
        <v>0</v>
      </c>
      <c r="AHN11">
        <v>0</v>
      </c>
      <c r="AHO11">
        <v>184</v>
      </c>
      <c r="AHP11">
        <v>532</v>
      </c>
      <c r="AHQ11">
        <v>432</v>
      </c>
      <c r="AHR11">
        <v>753</v>
      </c>
      <c r="AHS11">
        <v>736</v>
      </c>
      <c r="AHT11">
        <v>0</v>
      </c>
      <c r="AHU11">
        <v>0</v>
      </c>
      <c r="AHV11">
        <v>0</v>
      </c>
      <c r="AHW11">
        <v>218</v>
      </c>
      <c r="AHX11">
        <v>248</v>
      </c>
      <c r="AHY11">
        <v>682</v>
      </c>
      <c r="AHZ11">
        <v>1058</v>
      </c>
      <c r="AIA11">
        <v>0</v>
      </c>
      <c r="AIB11">
        <v>605</v>
      </c>
      <c r="AIC11">
        <v>764</v>
      </c>
      <c r="AID11">
        <v>835</v>
      </c>
      <c r="AIE11">
        <v>653</v>
      </c>
      <c r="AIF11">
        <v>853</v>
      </c>
      <c r="AIG11">
        <v>968</v>
      </c>
      <c r="AIH11">
        <v>0</v>
      </c>
      <c r="AII11">
        <v>1145</v>
      </c>
      <c r="AIJ11">
        <v>650</v>
      </c>
      <c r="AIK11">
        <v>556</v>
      </c>
      <c r="AIL11">
        <v>723</v>
      </c>
      <c r="AIM11">
        <v>0</v>
      </c>
      <c r="AIN11">
        <v>384</v>
      </c>
      <c r="AIO11">
        <v>0</v>
      </c>
      <c r="AIP11">
        <v>0</v>
      </c>
      <c r="AIQ11">
        <v>317</v>
      </c>
      <c r="AIR11">
        <v>328</v>
      </c>
      <c r="AIS11">
        <v>422</v>
      </c>
      <c r="AIT11">
        <v>731</v>
      </c>
      <c r="AIU11">
        <v>426</v>
      </c>
      <c r="AIV11">
        <v>0</v>
      </c>
      <c r="AIW11">
        <v>311</v>
      </c>
      <c r="AIX11">
        <v>249</v>
      </c>
      <c r="AIY11">
        <v>792</v>
      </c>
      <c r="AIZ11">
        <v>651</v>
      </c>
      <c r="AJA11">
        <v>1262</v>
      </c>
      <c r="AJB11">
        <v>1117</v>
      </c>
      <c r="AJC11">
        <v>0</v>
      </c>
      <c r="AJD11">
        <v>951</v>
      </c>
      <c r="AJE11">
        <v>543</v>
      </c>
      <c r="AJF11">
        <v>893</v>
      </c>
      <c r="AJG11">
        <v>1119</v>
      </c>
      <c r="AJH11">
        <v>992</v>
      </c>
      <c r="AJI11">
        <v>322</v>
      </c>
      <c r="AJJ11">
        <v>0</v>
      </c>
      <c r="AJK11">
        <v>261</v>
      </c>
      <c r="AJL11">
        <v>373</v>
      </c>
      <c r="AJM11">
        <v>442</v>
      </c>
      <c r="AJN11">
        <v>520</v>
      </c>
      <c r="AJO11">
        <v>620</v>
      </c>
      <c r="AJP11">
        <v>363</v>
      </c>
      <c r="AJQ11">
        <v>0</v>
      </c>
      <c r="AJR11">
        <v>0</v>
      </c>
      <c r="AJS11">
        <v>195</v>
      </c>
      <c r="AJT11">
        <v>0</v>
      </c>
      <c r="AJU11">
        <v>337</v>
      </c>
      <c r="AJV11">
        <v>201</v>
      </c>
      <c r="AJW11">
        <v>534</v>
      </c>
      <c r="AJX11">
        <v>0</v>
      </c>
      <c r="AJY11">
        <v>444</v>
      </c>
      <c r="AJZ11">
        <v>257</v>
      </c>
      <c r="AKA11">
        <v>388</v>
      </c>
      <c r="AKB11">
        <v>292</v>
      </c>
      <c r="AKC11">
        <v>841</v>
      </c>
      <c r="AKD11">
        <v>1652</v>
      </c>
      <c r="AKE11">
        <v>0</v>
      </c>
      <c r="AKF11">
        <v>360</v>
      </c>
    </row>
    <row r="12" spans="1:985" s="31" customFormat="1">
      <c r="B12" s="87" t="s">
        <v>35</v>
      </c>
      <c r="C12" s="87">
        <v>82210</v>
      </c>
      <c r="D12" s="87" t="s">
        <v>8</v>
      </c>
      <c r="E12" s="87" t="s">
        <v>9</v>
      </c>
      <c r="F12" s="87" t="s">
        <v>36</v>
      </c>
      <c r="G12" s="87" t="s">
        <v>12</v>
      </c>
      <c r="H12" s="87" t="s">
        <v>37</v>
      </c>
      <c r="I12" s="87" t="s">
        <v>14</v>
      </c>
      <c r="J12" s="133" t="s">
        <v>15</v>
      </c>
      <c r="K12" s="31">
        <f t="shared" ref="K12:AP12" si="533">IFERROR(K24+K28+K32,"")</f>
        <v>7331</v>
      </c>
      <c r="L12" s="31">
        <f t="shared" si="533"/>
        <v>9068</v>
      </c>
      <c r="M12" s="31">
        <f t="shared" si="533"/>
        <v>7770</v>
      </c>
      <c r="N12" s="31">
        <f t="shared" si="533"/>
        <v>4714</v>
      </c>
      <c r="O12" s="31">
        <f t="shared" si="533"/>
        <v>96</v>
      </c>
      <c r="P12" s="31">
        <f t="shared" si="533"/>
        <v>6415</v>
      </c>
      <c r="Q12" s="31">
        <f t="shared" si="533"/>
        <v>9320</v>
      </c>
      <c r="R12" s="31">
        <f t="shared" si="533"/>
        <v>6780</v>
      </c>
      <c r="S12" s="31">
        <f t="shared" si="533"/>
        <v>9733</v>
      </c>
      <c r="T12" s="31">
        <f t="shared" si="533"/>
        <v>7942</v>
      </c>
      <c r="U12" s="31" t="str">
        <f t="shared" si="533"/>
        <v/>
      </c>
      <c r="V12" s="31" t="str">
        <f t="shared" si="533"/>
        <v/>
      </c>
      <c r="W12" s="31">
        <f t="shared" si="533"/>
        <v>6009</v>
      </c>
      <c r="X12" s="31">
        <f t="shared" si="533"/>
        <v>9277</v>
      </c>
      <c r="Y12" s="31">
        <f t="shared" si="533"/>
        <v>6415</v>
      </c>
      <c r="Z12" s="31">
        <f t="shared" si="533"/>
        <v>6449</v>
      </c>
      <c r="AA12" s="31">
        <f t="shared" si="533"/>
        <v>7253</v>
      </c>
      <c r="AB12" s="31" t="str">
        <f t="shared" si="533"/>
        <v/>
      </c>
      <c r="AC12" s="31" t="str">
        <f t="shared" si="533"/>
        <v/>
      </c>
      <c r="AD12" s="31">
        <f t="shared" si="533"/>
        <v>7884</v>
      </c>
      <c r="AE12" s="31">
        <f t="shared" si="533"/>
        <v>10835</v>
      </c>
      <c r="AF12" s="31">
        <f t="shared" si="533"/>
        <v>6654</v>
      </c>
      <c r="AG12" s="31">
        <f t="shared" si="533"/>
        <v>8410</v>
      </c>
      <c r="AH12" s="31">
        <f t="shared" si="533"/>
        <v>10849</v>
      </c>
      <c r="AI12" s="31" t="str">
        <f t="shared" si="533"/>
        <v/>
      </c>
      <c r="AJ12" s="31" t="str">
        <f t="shared" si="533"/>
        <v/>
      </c>
      <c r="AK12" s="31">
        <f t="shared" si="533"/>
        <v>11605</v>
      </c>
      <c r="AL12" s="31">
        <f t="shared" si="533"/>
        <v>8984</v>
      </c>
      <c r="AM12" s="31">
        <f t="shared" si="533"/>
        <v>10920</v>
      </c>
      <c r="AN12" s="31">
        <f t="shared" si="533"/>
        <v>10649</v>
      </c>
      <c r="AO12" s="31">
        <f t="shared" si="533"/>
        <v>8806</v>
      </c>
      <c r="AP12" s="31" t="str">
        <f t="shared" si="533"/>
        <v/>
      </c>
      <c r="AQ12" s="31" t="str">
        <f t="shared" ref="AQ12:BS12" si="534">IFERROR(AQ24+AQ28+AQ32,"")</f>
        <v/>
      </c>
      <c r="AR12" s="31">
        <f t="shared" si="534"/>
        <v>7875</v>
      </c>
      <c r="AS12" s="31" t="str">
        <f t="shared" si="534"/>
        <v/>
      </c>
      <c r="AT12" s="31">
        <f t="shared" si="534"/>
        <v>10912</v>
      </c>
      <c r="AU12" s="31">
        <f t="shared" si="534"/>
        <v>7319</v>
      </c>
      <c r="AV12" s="31">
        <f t="shared" si="534"/>
        <v>7482</v>
      </c>
      <c r="AW12" s="31" t="str">
        <f t="shared" si="534"/>
        <v/>
      </c>
      <c r="AX12" s="31" t="str">
        <f t="shared" si="534"/>
        <v/>
      </c>
      <c r="AY12" s="31">
        <f t="shared" si="534"/>
        <v>5562</v>
      </c>
      <c r="AZ12" s="31">
        <f t="shared" si="534"/>
        <v>8021</v>
      </c>
      <c r="BA12" s="31">
        <f t="shared" si="534"/>
        <v>10422</v>
      </c>
      <c r="BB12" s="31">
        <f t="shared" si="534"/>
        <v>8635</v>
      </c>
      <c r="BC12" s="31">
        <f t="shared" si="534"/>
        <v>9363</v>
      </c>
      <c r="BD12" s="31">
        <f t="shared" si="534"/>
        <v>4316</v>
      </c>
      <c r="BE12" s="31" t="str">
        <f t="shared" si="534"/>
        <v/>
      </c>
      <c r="BF12" s="31">
        <f t="shared" si="534"/>
        <v>6849</v>
      </c>
      <c r="BG12" s="31">
        <f t="shared" si="534"/>
        <v>9494</v>
      </c>
      <c r="BH12" s="31">
        <f t="shared" si="534"/>
        <v>6976</v>
      </c>
      <c r="BI12" s="31">
        <f t="shared" si="534"/>
        <v>9859</v>
      </c>
      <c r="BJ12" s="31">
        <f t="shared" si="534"/>
        <v>9908</v>
      </c>
      <c r="BK12" s="31">
        <f t="shared" si="534"/>
        <v>5003</v>
      </c>
      <c r="BL12" s="31">
        <f t="shared" si="534"/>
        <v>72</v>
      </c>
      <c r="BM12" s="31">
        <f t="shared" si="534"/>
        <v>9477</v>
      </c>
      <c r="BN12" s="31">
        <f t="shared" si="534"/>
        <v>11315</v>
      </c>
      <c r="BO12" s="31">
        <f t="shared" si="534"/>
        <v>11488</v>
      </c>
      <c r="BP12" s="31">
        <f t="shared" si="534"/>
        <v>9185</v>
      </c>
      <c r="BQ12" s="31">
        <f t="shared" si="534"/>
        <v>1400</v>
      </c>
      <c r="BR12" s="31">
        <f t="shared" si="534"/>
        <v>0</v>
      </c>
      <c r="BS12" s="31">
        <f t="shared" si="534"/>
        <v>0</v>
      </c>
      <c r="BT12" s="44">
        <v>0</v>
      </c>
      <c r="BU12" s="44">
        <v>0</v>
      </c>
      <c r="BV12" s="44">
        <v>0</v>
      </c>
      <c r="BW12" s="44">
        <v>0</v>
      </c>
      <c r="BX12" s="44">
        <v>0</v>
      </c>
      <c r="BY12" s="44">
        <v>0</v>
      </c>
      <c r="BZ12" s="44">
        <v>0</v>
      </c>
      <c r="CA12" s="44">
        <v>0</v>
      </c>
      <c r="CB12" s="44">
        <v>0</v>
      </c>
      <c r="CC12" s="44">
        <v>0</v>
      </c>
      <c r="CD12" s="44">
        <v>0</v>
      </c>
      <c r="CE12" s="44">
        <v>0</v>
      </c>
      <c r="CF12" s="44">
        <v>0</v>
      </c>
      <c r="CG12" s="44">
        <v>0</v>
      </c>
      <c r="CH12" s="44">
        <v>0</v>
      </c>
      <c r="CI12" s="44">
        <v>0</v>
      </c>
      <c r="CJ12" s="44">
        <v>0</v>
      </c>
      <c r="CK12" s="44">
        <v>0</v>
      </c>
      <c r="CL12" s="44">
        <v>0</v>
      </c>
      <c r="CM12" s="44">
        <v>0</v>
      </c>
      <c r="CN12" s="44">
        <v>0</v>
      </c>
      <c r="CO12" s="44">
        <v>0</v>
      </c>
      <c r="CP12" s="44">
        <v>0</v>
      </c>
      <c r="CQ12" s="44">
        <v>0</v>
      </c>
      <c r="CR12" s="44">
        <v>0</v>
      </c>
      <c r="CS12" s="44">
        <v>0</v>
      </c>
      <c r="CT12" s="44">
        <v>0</v>
      </c>
      <c r="CU12" s="44">
        <v>0</v>
      </c>
      <c r="CV12" s="44">
        <v>0</v>
      </c>
      <c r="CW12" s="44">
        <v>0</v>
      </c>
      <c r="CX12" s="44">
        <v>0</v>
      </c>
      <c r="CY12" s="44">
        <v>655.5</v>
      </c>
      <c r="CZ12" s="44">
        <v>513</v>
      </c>
      <c r="DA12" s="44">
        <v>672.5</v>
      </c>
      <c r="DB12" s="44">
        <v>0</v>
      </c>
      <c r="DC12" s="44">
        <v>774.5</v>
      </c>
      <c r="DD12" s="44">
        <v>639</v>
      </c>
      <c r="DE12" s="44">
        <v>737</v>
      </c>
      <c r="DF12" s="44">
        <v>740.5</v>
      </c>
      <c r="DG12" s="44">
        <v>667</v>
      </c>
      <c r="DH12" s="44">
        <v>571</v>
      </c>
      <c r="DI12" s="44">
        <v>0</v>
      </c>
      <c r="DJ12" s="44">
        <v>660</v>
      </c>
      <c r="DK12" s="44">
        <v>555</v>
      </c>
      <c r="DL12" s="44">
        <v>717.5</v>
      </c>
      <c r="DM12" s="44">
        <v>678</v>
      </c>
      <c r="DN12" s="44">
        <v>626</v>
      </c>
      <c r="DO12" s="44">
        <v>697</v>
      </c>
      <c r="DP12" s="44">
        <v>0</v>
      </c>
      <c r="DQ12" s="44">
        <v>703</v>
      </c>
      <c r="DR12" s="44">
        <v>726</v>
      </c>
      <c r="DS12" s="44">
        <v>701</v>
      </c>
      <c r="DT12" s="44">
        <v>796</v>
      </c>
      <c r="DU12" s="44">
        <v>718.5</v>
      </c>
      <c r="DV12" s="44">
        <v>594</v>
      </c>
      <c r="DW12" s="44">
        <v>0</v>
      </c>
      <c r="DX12" s="44">
        <v>790</v>
      </c>
      <c r="DY12" s="44">
        <v>797</v>
      </c>
      <c r="DZ12" s="44">
        <v>936.5</v>
      </c>
      <c r="EA12" s="44">
        <v>748.5</v>
      </c>
      <c r="EB12" s="44">
        <v>532.5</v>
      </c>
      <c r="EC12" s="44">
        <v>550</v>
      </c>
      <c r="ED12" s="44">
        <v>0</v>
      </c>
      <c r="EE12" s="44">
        <v>593</v>
      </c>
      <c r="EF12" s="44">
        <v>635</v>
      </c>
      <c r="EG12" s="44">
        <v>722</v>
      </c>
      <c r="EH12" s="44">
        <v>787</v>
      </c>
      <c r="EI12" s="44">
        <v>766.5</v>
      </c>
      <c r="EJ12" s="44">
        <v>813</v>
      </c>
      <c r="EK12" s="44">
        <v>0</v>
      </c>
      <c r="EL12" s="44">
        <v>775.5</v>
      </c>
      <c r="EM12" s="44">
        <v>723.5</v>
      </c>
      <c r="EN12" s="44">
        <v>858.5</v>
      </c>
      <c r="EO12" s="44">
        <v>784</v>
      </c>
      <c r="EP12" s="44">
        <v>646.5</v>
      </c>
      <c r="EQ12" s="44">
        <v>619.5</v>
      </c>
      <c r="ER12" s="44">
        <v>0</v>
      </c>
      <c r="ES12" s="44">
        <v>750.5</v>
      </c>
      <c r="ET12" s="44">
        <v>726</v>
      </c>
      <c r="EU12" s="44">
        <v>763</v>
      </c>
      <c r="EV12" s="44">
        <v>805.5</v>
      </c>
      <c r="EW12" s="44">
        <v>1135</v>
      </c>
      <c r="EX12" s="44">
        <v>673</v>
      </c>
      <c r="EY12" s="44">
        <v>0</v>
      </c>
      <c r="EZ12" s="44">
        <v>866.5</v>
      </c>
      <c r="FA12" s="44">
        <v>739</v>
      </c>
      <c r="FB12" s="44">
        <v>813</v>
      </c>
      <c r="FC12" s="44">
        <v>746</v>
      </c>
      <c r="FD12" s="44">
        <v>549.5</v>
      </c>
      <c r="FE12" s="44">
        <v>690</v>
      </c>
      <c r="FF12" s="44">
        <v>0</v>
      </c>
      <c r="FG12" s="44">
        <v>785</v>
      </c>
      <c r="FH12" s="44">
        <v>652</v>
      </c>
      <c r="FI12" s="44">
        <v>664</v>
      </c>
      <c r="FJ12" s="44">
        <v>504</v>
      </c>
      <c r="FK12" s="44">
        <v>872.5</v>
      </c>
      <c r="FL12" s="44">
        <v>0</v>
      </c>
      <c r="FM12" s="44">
        <v>0</v>
      </c>
      <c r="FN12" s="44">
        <v>976</v>
      </c>
      <c r="FO12" s="44">
        <v>781.5</v>
      </c>
      <c r="FP12" s="44">
        <v>1068.5</v>
      </c>
      <c r="FQ12" s="44">
        <v>911</v>
      </c>
      <c r="FR12" s="44">
        <v>306</v>
      </c>
      <c r="FS12" s="44">
        <v>0</v>
      </c>
      <c r="FT12" s="44">
        <v>0</v>
      </c>
      <c r="FU12" s="44">
        <v>0</v>
      </c>
      <c r="FV12" s="44">
        <v>506</v>
      </c>
      <c r="FW12" s="44">
        <v>620</v>
      </c>
      <c r="FX12" s="44">
        <v>561</v>
      </c>
      <c r="FY12" s="44">
        <v>491</v>
      </c>
      <c r="FZ12" s="44">
        <v>709</v>
      </c>
      <c r="GA12" s="44">
        <v>0</v>
      </c>
      <c r="GB12" s="44">
        <v>845</v>
      </c>
      <c r="GC12" s="44">
        <v>700</v>
      </c>
      <c r="GD12" s="44">
        <v>804</v>
      </c>
      <c r="GE12" s="44">
        <v>859</v>
      </c>
      <c r="GF12" s="44">
        <v>772</v>
      </c>
      <c r="GG12" s="44">
        <v>710</v>
      </c>
      <c r="GH12" s="44">
        <v>0</v>
      </c>
      <c r="GI12" s="44">
        <v>593</v>
      </c>
      <c r="GJ12" s="44">
        <v>940.5</v>
      </c>
      <c r="GK12" s="44">
        <v>0</v>
      </c>
      <c r="GL12" s="44">
        <v>517</v>
      </c>
      <c r="GM12" s="44">
        <v>582.5</v>
      </c>
      <c r="GN12" s="44">
        <v>0</v>
      </c>
      <c r="GO12" s="44">
        <v>0</v>
      </c>
      <c r="GP12" s="44">
        <v>849</v>
      </c>
      <c r="GQ12" s="44">
        <v>694.5</v>
      </c>
      <c r="GR12" s="44">
        <v>826.5</v>
      </c>
      <c r="GS12" s="44">
        <v>780.5</v>
      </c>
      <c r="GT12" s="44">
        <v>558.5</v>
      </c>
      <c r="GU12" s="44">
        <v>620</v>
      </c>
      <c r="GV12" s="44">
        <v>0</v>
      </c>
      <c r="GW12" s="44">
        <v>687</v>
      </c>
      <c r="GX12" s="44">
        <v>607</v>
      </c>
      <c r="GY12" s="44">
        <v>563.5</v>
      </c>
      <c r="GZ12" s="44">
        <v>763</v>
      </c>
      <c r="HA12" s="44">
        <v>710.5</v>
      </c>
      <c r="HB12" s="44">
        <v>670</v>
      </c>
      <c r="HC12" s="44">
        <v>0</v>
      </c>
      <c r="HD12" s="44">
        <v>614</v>
      </c>
      <c r="HE12" s="44">
        <v>970.5</v>
      </c>
      <c r="HF12" s="44">
        <v>0</v>
      </c>
      <c r="HG12" s="44">
        <v>642</v>
      </c>
      <c r="HH12" s="44">
        <v>837</v>
      </c>
      <c r="HI12" s="44">
        <v>744.5</v>
      </c>
      <c r="HJ12" s="44">
        <v>0</v>
      </c>
      <c r="HK12" s="44">
        <v>780</v>
      </c>
      <c r="HL12" s="44">
        <v>723.5</v>
      </c>
      <c r="HM12" s="44">
        <v>830</v>
      </c>
      <c r="HN12" s="44">
        <v>889.5</v>
      </c>
      <c r="HO12" s="44">
        <v>690.5</v>
      </c>
      <c r="HP12" s="44">
        <v>685</v>
      </c>
      <c r="HQ12" s="44">
        <v>0</v>
      </c>
      <c r="HR12" s="44">
        <v>0</v>
      </c>
      <c r="HS12" s="44">
        <v>578</v>
      </c>
      <c r="HT12" s="44">
        <v>755</v>
      </c>
      <c r="HU12" s="44">
        <v>706</v>
      </c>
      <c r="HV12" s="44">
        <v>557</v>
      </c>
      <c r="HW12" s="44">
        <v>650.5</v>
      </c>
      <c r="HX12" s="44">
        <v>0</v>
      </c>
      <c r="HY12" s="44">
        <v>745.5</v>
      </c>
      <c r="HZ12" s="44">
        <v>713.5</v>
      </c>
      <c r="IA12" s="44">
        <v>793.5</v>
      </c>
      <c r="IB12" s="44">
        <v>805</v>
      </c>
      <c r="IC12" s="44">
        <v>643.5</v>
      </c>
      <c r="ID12" s="44">
        <v>626</v>
      </c>
      <c r="IE12" s="44">
        <v>0</v>
      </c>
      <c r="IF12" s="44">
        <v>603</v>
      </c>
      <c r="IG12" s="44">
        <v>700</v>
      </c>
      <c r="IH12" s="44">
        <v>726.5</v>
      </c>
      <c r="II12" s="44">
        <v>725.5</v>
      </c>
      <c r="IJ12" s="44">
        <v>572</v>
      </c>
      <c r="IK12" s="44">
        <v>575</v>
      </c>
      <c r="IL12" s="44">
        <v>0</v>
      </c>
      <c r="IM12" s="44">
        <v>600</v>
      </c>
      <c r="IN12" s="44">
        <v>663</v>
      </c>
      <c r="IO12" s="44">
        <v>728</v>
      </c>
      <c r="IP12" s="44">
        <v>766</v>
      </c>
      <c r="IQ12" s="44">
        <v>749</v>
      </c>
      <c r="IR12" s="44">
        <v>634</v>
      </c>
      <c r="IS12" s="44">
        <v>0</v>
      </c>
      <c r="IT12" s="44">
        <v>778</v>
      </c>
      <c r="IU12" s="44">
        <v>631.5</v>
      </c>
      <c r="IV12" s="44">
        <v>649</v>
      </c>
      <c r="IW12" s="44">
        <v>731</v>
      </c>
      <c r="IX12" s="44">
        <v>574</v>
      </c>
      <c r="IY12" s="44">
        <v>542.5</v>
      </c>
      <c r="IZ12" s="44">
        <v>0</v>
      </c>
      <c r="JA12" s="44">
        <v>641</v>
      </c>
      <c r="JB12" s="44">
        <v>561</v>
      </c>
      <c r="JC12" s="44">
        <v>705</v>
      </c>
      <c r="JD12" s="44">
        <v>765.5</v>
      </c>
      <c r="JE12" s="44">
        <v>659.5</v>
      </c>
      <c r="JF12" s="44">
        <v>649.5</v>
      </c>
      <c r="JG12" s="44">
        <v>0</v>
      </c>
      <c r="JH12" s="44">
        <v>682</v>
      </c>
      <c r="JI12" s="44">
        <v>603</v>
      </c>
      <c r="JJ12" s="44">
        <v>615</v>
      </c>
      <c r="JK12" s="44">
        <v>799.5</v>
      </c>
      <c r="JL12" s="44">
        <v>683</v>
      </c>
      <c r="JM12" s="44">
        <v>625</v>
      </c>
      <c r="JN12" s="44">
        <v>0</v>
      </c>
      <c r="JO12" s="44">
        <v>706</v>
      </c>
      <c r="JP12" s="44">
        <v>638</v>
      </c>
      <c r="JQ12" s="44">
        <v>875.5</v>
      </c>
      <c r="JR12" s="44">
        <v>767.5</v>
      </c>
      <c r="JS12" s="44">
        <v>589.5</v>
      </c>
      <c r="JT12" s="44">
        <v>929</v>
      </c>
      <c r="JU12" s="44">
        <v>0</v>
      </c>
      <c r="JV12" s="44">
        <v>0</v>
      </c>
      <c r="JW12" s="44">
        <v>778</v>
      </c>
      <c r="JX12" s="44">
        <v>989</v>
      </c>
      <c r="JY12" s="44">
        <v>771</v>
      </c>
      <c r="JZ12" s="44">
        <v>545</v>
      </c>
      <c r="KA12" s="44">
        <v>492</v>
      </c>
      <c r="KB12" s="44" t="s">
        <v>38</v>
      </c>
      <c r="KC12" s="44">
        <v>559</v>
      </c>
      <c r="KD12" s="44">
        <v>638</v>
      </c>
      <c r="KE12" s="44">
        <v>686</v>
      </c>
      <c r="KF12" s="44">
        <v>763</v>
      </c>
      <c r="KG12" s="44">
        <v>589.5</v>
      </c>
      <c r="KH12" s="44">
        <v>865.5</v>
      </c>
      <c r="KI12" s="44">
        <v>0</v>
      </c>
      <c r="KJ12" s="44">
        <v>0</v>
      </c>
      <c r="KK12" s="44">
        <v>721.5</v>
      </c>
      <c r="KL12" s="44">
        <v>954</v>
      </c>
      <c r="KM12" s="44">
        <v>822.5</v>
      </c>
      <c r="KN12" s="44">
        <v>686</v>
      </c>
      <c r="KO12" s="44">
        <v>594</v>
      </c>
      <c r="KP12" s="44">
        <v>0</v>
      </c>
      <c r="KQ12" s="44">
        <v>753</v>
      </c>
      <c r="KR12" s="44">
        <v>689.5</v>
      </c>
      <c r="KS12" s="44">
        <v>741</v>
      </c>
      <c r="KT12" s="44">
        <v>784</v>
      </c>
      <c r="KU12" s="44">
        <v>673.5</v>
      </c>
      <c r="KV12" s="44">
        <v>686</v>
      </c>
      <c r="KW12" s="44">
        <v>0</v>
      </c>
      <c r="KX12" s="44">
        <v>830.5</v>
      </c>
      <c r="KY12" s="44">
        <v>724</v>
      </c>
      <c r="KZ12" s="44">
        <v>801.5</v>
      </c>
      <c r="LA12" s="44">
        <v>831</v>
      </c>
      <c r="LB12" s="44">
        <v>619.5</v>
      </c>
      <c r="LC12" s="45">
        <v>616</v>
      </c>
      <c r="LD12" s="44">
        <v>0</v>
      </c>
      <c r="LE12" s="44">
        <v>142</v>
      </c>
      <c r="LF12" s="44">
        <v>110.5</v>
      </c>
      <c r="LG12" s="44">
        <v>109.5</v>
      </c>
      <c r="LH12" s="44">
        <v>107</v>
      </c>
      <c r="LI12" s="44">
        <v>100</v>
      </c>
      <c r="LJ12" s="44">
        <v>126</v>
      </c>
      <c r="LK12" s="44">
        <v>0</v>
      </c>
      <c r="LL12" s="44">
        <v>113.5</v>
      </c>
      <c r="LM12" s="44">
        <v>138</v>
      </c>
      <c r="LN12" s="44">
        <v>167.5</v>
      </c>
      <c r="LO12" s="44">
        <v>147.5</v>
      </c>
      <c r="LP12" s="44">
        <v>109.5</v>
      </c>
      <c r="LQ12" s="44">
        <v>143.5</v>
      </c>
      <c r="LR12" s="44">
        <v>0</v>
      </c>
      <c r="LS12" s="44">
        <v>173</v>
      </c>
      <c r="LT12" s="44">
        <v>138.5</v>
      </c>
      <c r="LU12" s="44">
        <v>216</v>
      </c>
      <c r="LV12" s="44">
        <v>178.5</v>
      </c>
      <c r="LW12" s="44">
        <v>144</v>
      </c>
      <c r="LX12" s="44">
        <v>182</v>
      </c>
      <c r="LY12" s="44">
        <v>0</v>
      </c>
      <c r="LZ12" s="44">
        <v>225</v>
      </c>
      <c r="MA12" s="44">
        <v>197</v>
      </c>
      <c r="MB12" s="44">
        <v>209.5</v>
      </c>
      <c r="MC12" s="44">
        <v>213</v>
      </c>
      <c r="MD12" s="44">
        <v>121.5</v>
      </c>
      <c r="ME12" s="44">
        <v>128.5</v>
      </c>
      <c r="MF12" s="44">
        <v>0</v>
      </c>
      <c r="MG12" s="44">
        <v>180</v>
      </c>
      <c r="MH12" s="44">
        <v>108.5</v>
      </c>
      <c r="MI12" s="44">
        <v>97.5</v>
      </c>
      <c r="MJ12" s="44">
        <v>101</v>
      </c>
      <c r="MK12" s="44">
        <v>73</v>
      </c>
      <c r="ML12" s="44">
        <v>107</v>
      </c>
      <c r="MM12" s="44">
        <v>0</v>
      </c>
      <c r="MN12" s="44">
        <v>143</v>
      </c>
      <c r="MO12" s="44">
        <v>117</v>
      </c>
      <c r="MP12" s="44">
        <v>145</v>
      </c>
      <c r="MQ12" s="44">
        <v>156</v>
      </c>
      <c r="MR12" s="44">
        <v>82</v>
      </c>
      <c r="MS12" s="44">
        <v>202</v>
      </c>
      <c r="MT12" s="44">
        <v>0</v>
      </c>
      <c r="MU12" s="44">
        <v>0</v>
      </c>
      <c r="MV12" s="44">
        <v>118.5</v>
      </c>
      <c r="MW12" s="44">
        <v>154</v>
      </c>
      <c r="MX12" s="44">
        <v>112.5</v>
      </c>
      <c r="MY12" s="44">
        <v>105</v>
      </c>
      <c r="MZ12" s="44">
        <v>129.5</v>
      </c>
      <c r="NA12" s="44">
        <v>0</v>
      </c>
      <c r="NB12" s="44">
        <v>156.5</v>
      </c>
      <c r="NC12" s="44">
        <v>235</v>
      </c>
      <c r="ND12" s="44">
        <v>0</v>
      </c>
      <c r="NE12" s="44">
        <v>127.5</v>
      </c>
      <c r="NF12" s="44">
        <v>109</v>
      </c>
      <c r="NG12" s="44">
        <v>148.5</v>
      </c>
      <c r="NH12" s="68">
        <v>156</v>
      </c>
      <c r="NI12" s="68">
        <v>134.5</v>
      </c>
      <c r="NJ12" s="68">
        <v>154.5</v>
      </c>
      <c r="NK12" s="68">
        <v>121</v>
      </c>
      <c r="NL12" s="44">
        <v>0</v>
      </c>
      <c r="NM12" s="44">
        <v>77.5</v>
      </c>
      <c r="NN12" s="44">
        <v>97.5</v>
      </c>
      <c r="NO12" s="44">
        <v>0</v>
      </c>
      <c r="NP12" s="44">
        <v>106.5</v>
      </c>
      <c r="NQ12" s="44">
        <v>87</v>
      </c>
      <c r="NR12" s="44">
        <v>130</v>
      </c>
      <c r="NS12" s="44">
        <v>111</v>
      </c>
      <c r="NT12" s="44">
        <v>83</v>
      </c>
      <c r="NU12" s="44">
        <v>140</v>
      </c>
      <c r="NV12" s="44">
        <v>0</v>
      </c>
      <c r="NW12" s="31">
        <v>138</v>
      </c>
      <c r="NX12" s="31">
        <v>115.5</v>
      </c>
      <c r="NY12" s="31">
        <v>112</v>
      </c>
      <c r="NZ12" s="31">
        <v>105</v>
      </c>
      <c r="OA12" s="31">
        <v>84</v>
      </c>
      <c r="OB12" s="31">
        <v>140</v>
      </c>
      <c r="OC12" s="31">
        <v>0</v>
      </c>
      <c r="OD12" s="31">
        <v>142</v>
      </c>
      <c r="OE12" s="31">
        <v>125</v>
      </c>
      <c r="OF12" s="31">
        <v>180</v>
      </c>
      <c r="OG12" s="31">
        <v>150</v>
      </c>
      <c r="OH12" s="31">
        <v>110</v>
      </c>
      <c r="OI12" s="31">
        <v>156</v>
      </c>
      <c r="OJ12" s="31">
        <v>0</v>
      </c>
      <c r="OK12" s="31">
        <v>139.5</v>
      </c>
      <c r="OL12" s="31">
        <v>154</v>
      </c>
      <c r="OM12" s="31">
        <v>192</v>
      </c>
      <c r="ON12" s="31">
        <v>146</v>
      </c>
      <c r="OO12" s="31">
        <v>97.5</v>
      </c>
      <c r="OP12" s="31">
        <v>119.5</v>
      </c>
      <c r="OQ12" s="31">
        <v>0</v>
      </c>
      <c r="OR12" s="31">
        <v>138.5</v>
      </c>
      <c r="OS12" s="31">
        <v>83</v>
      </c>
      <c r="OT12" s="31">
        <v>204</v>
      </c>
      <c r="OU12" s="31">
        <v>0</v>
      </c>
      <c r="OV12" s="31">
        <v>58</v>
      </c>
      <c r="OW12" s="31">
        <v>74.5</v>
      </c>
      <c r="OX12" s="31">
        <v>0</v>
      </c>
      <c r="OY12" s="31">
        <v>125</v>
      </c>
      <c r="OZ12" s="31">
        <v>124</v>
      </c>
      <c r="PA12" s="31">
        <v>137</v>
      </c>
      <c r="PB12" s="31">
        <v>149</v>
      </c>
      <c r="PC12" s="31">
        <v>116.5</v>
      </c>
      <c r="PD12" s="31">
        <v>149</v>
      </c>
      <c r="PE12" s="31">
        <v>0</v>
      </c>
      <c r="PF12" s="31">
        <v>154</v>
      </c>
      <c r="PG12" s="31">
        <v>157</v>
      </c>
      <c r="PH12" s="31">
        <v>200.5</v>
      </c>
      <c r="PI12" s="31">
        <v>186</v>
      </c>
      <c r="PJ12" s="31">
        <v>160.5</v>
      </c>
      <c r="PK12" s="31">
        <v>205</v>
      </c>
      <c r="PL12" s="31">
        <v>0</v>
      </c>
      <c r="PM12" s="31">
        <v>266</v>
      </c>
      <c r="PN12" s="31">
        <v>180.5</v>
      </c>
      <c r="PO12" s="31">
        <v>197.5</v>
      </c>
      <c r="PP12" s="31">
        <v>175.5</v>
      </c>
      <c r="PQ12" s="31">
        <v>132.5</v>
      </c>
      <c r="PR12" s="31">
        <v>225.5</v>
      </c>
      <c r="PS12" s="31">
        <v>0</v>
      </c>
      <c r="PT12" s="31">
        <v>35</v>
      </c>
      <c r="PV12">
        <v>0</v>
      </c>
      <c r="PW12" s="31">
        <v>36.5</v>
      </c>
      <c r="PX12" s="31">
        <v>30.5</v>
      </c>
      <c r="PY12" s="31">
        <v>39</v>
      </c>
      <c r="PZ12" s="31">
        <v>0</v>
      </c>
      <c r="QA12" s="31">
        <v>122.5</v>
      </c>
      <c r="QB12" s="31">
        <v>96</v>
      </c>
      <c r="QC12" s="31">
        <v>182</v>
      </c>
      <c r="QD12" s="31">
        <v>137</v>
      </c>
      <c r="QE12" s="31">
        <v>114</v>
      </c>
      <c r="QF12" s="31">
        <v>120.5</v>
      </c>
      <c r="QG12" s="31">
        <v>0</v>
      </c>
      <c r="QH12" s="31">
        <v>193.5</v>
      </c>
      <c r="QI12" s="31">
        <v>173.5</v>
      </c>
      <c r="QJ12" s="31">
        <v>174</v>
      </c>
      <c r="QK12" s="31">
        <v>166</v>
      </c>
      <c r="QL12" s="31">
        <v>161.5</v>
      </c>
      <c r="QM12" s="31">
        <v>177</v>
      </c>
      <c r="QN12" s="31">
        <v>0</v>
      </c>
      <c r="QO12" s="31">
        <v>209.5</v>
      </c>
      <c r="QP12" s="31">
        <v>156.5</v>
      </c>
      <c r="QQ12" s="31">
        <v>188.5</v>
      </c>
      <c r="QR12" s="31">
        <v>139</v>
      </c>
      <c r="QS12" s="31">
        <v>101</v>
      </c>
      <c r="QT12" s="31">
        <v>165</v>
      </c>
      <c r="QU12">
        <v>0</v>
      </c>
      <c r="QV12" s="31">
        <v>191.5</v>
      </c>
      <c r="QW12" s="31">
        <v>171</v>
      </c>
      <c r="QX12" s="31">
        <v>90</v>
      </c>
      <c r="QY12" s="31">
        <v>108</v>
      </c>
      <c r="QZ12" s="31">
        <v>173.5</v>
      </c>
      <c r="RA12" s="31">
        <v>236</v>
      </c>
      <c r="RB12" s="31">
        <v>0</v>
      </c>
      <c r="RC12" s="31">
        <v>195.5</v>
      </c>
      <c r="RD12" s="31">
        <v>137</v>
      </c>
      <c r="RE12" s="31">
        <v>153</v>
      </c>
      <c r="RF12" s="31">
        <v>137.5</v>
      </c>
      <c r="RG12" s="31">
        <v>124</v>
      </c>
      <c r="RH12" s="31">
        <v>0</v>
      </c>
      <c r="RI12" s="31">
        <v>0</v>
      </c>
      <c r="RJ12" s="31">
        <v>174</v>
      </c>
      <c r="RK12" s="31">
        <v>176</v>
      </c>
      <c r="RL12" s="31">
        <v>157</v>
      </c>
      <c r="RM12" s="31">
        <v>109</v>
      </c>
      <c r="RN12" s="31">
        <v>119.5</v>
      </c>
      <c r="RO12" s="31">
        <v>174</v>
      </c>
      <c r="RP12" s="31">
        <v>0</v>
      </c>
      <c r="RQ12" s="31">
        <v>204</v>
      </c>
      <c r="RR12" s="31">
        <v>166.5</v>
      </c>
      <c r="RS12" s="31">
        <v>204</v>
      </c>
      <c r="RT12" s="31">
        <v>167</v>
      </c>
      <c r="RU12" s="31">
        <v>149.5</v>
      </c>
      <c r="RV12" s="31">
        <v>210</v>
      </c>
      <c r="RW12" s="31">
        <v>0</v>
      </c>
      <c r="RX12" s="31">
        <v>238</v>
      </c>
      <c r="RY12" s="31">
        <v>171</v>
      </c>
      <c r="RZ12" s="31">
        <v>234</v>
      </c>
      <c r="SA12" s="31">
        <v>189</v>
      </c>
      <c r="SB12" s="31">
        <v>138.5</v>
      </c>
      <c r="SC12" s="31">
        <v>185</v>
      </c>
      <c r="SD12" s="31">
        <v>0</v>
      </c>
      <c r="SE12" s="31">
        <v>204</v>
      </c>
      <c r="SF12" s="31">
        <v>172.5</v>
      </c>
      <c r="SG12" s="31">
        <v>151</v>
      </c>
      <c r="SH12" s="31">
        <v>121</v>
      </c>
      <c r="SI12" s="31">
        <v>102</v>
      </c>
      <c r="SJ12" s="31">
        <v>158</v>
      </c>
      <c r="SK12" s="31">
        <v>0</v>
      </c>
      <c r="SL12" s="31">
        <v>206.5</v>
      </c>
      <c r="SM12" s="31">
        <v>149.5</v>
      </c>
      <c r="SN12" s="31">
        <v>220</v>
      </c>
      <c r="SO12" s="31">
        <v>202</v>
      </c>
      <c r="SP12" s="31">
        <v>148.5</v>
      </c>
      <c r="SQ12" s="31">
        <v>153</v>
      </c>
      <c r="SR12" s="31">
        <v>0</v>
      </c>
      <c r="SS12" s="31">
        <v>214</v>
      </c>
      <c r="ST12" s="31">
        <v>161</v>
      </c>
      <c r="SU12" s="31">
        <v>195.5</v>
      </c>
      <c r="SV12" s="31">
        <v>206</v>
      </c>
      <c r="SW12" s="31">
        <v>125</v>
      </c>
      <c r="SX12" s="31">
        <v>165</v>
      </c>
      <c r="SY12" s="31">
        <v>0</v>
      </c>
      <c r="SZ12" s="31">
        <v>176</v>
      </c>
      <c r="TA12" s="31">
        <v>136.5</v>
      </c>
      <c r="TB12" s="31">
        <v>177</v>
      </c>
      <c r="TC12" s="31">
        <v>154</v>
      </c>
      <c r="TD12" s="31">
        <v>92</v>
      </c>
      <c r="TE12" s="31">
        <v>109.5</v>
      </c>
      <c r="TF12" s="31">
        <v>0</v>
      </c>
      <c r="TG12" s="31">
        <v>154</v>
      </c>
      <c r="TH12" s="31">
        <v>113</v>
      </c>
      <c r="TI12" s="31">
        <v>120.5</v>
      </c>
      <c r="TJ12" s="31">
        <v>113</v>
      </c>
      <c r="TK12" s="31">
        <v>96.5</v>
      </c>
      <c r="TL12" s="31">
        <v>201.5</v>
      </c>
      <c r="TM12" s="31">
        <v>0</v>
      </c>
      <c r="TN12" s="31">
        <v>0</v>
      </c>
      <c r="TO12" s="31">
        <v>114</v>
      </c>
      <c r="TP12" s="31">
        <v>182.5</v>
      </c>
      <c r="TQ12" s="31">
        <v>206</v>
      </c>
      <c r="TR12" s="31">
        <v>107</v>
      </c>
      <c r="TS12" s="31">
        <v>23</v>
      </c>
      <c r="TT12" s="31">
        <v>0</v>
      </c>
      <c r="TU12" s="31">
        <v>0</v>
      </c>
      <c r="TV12" s="31">
        <v>0</v>
      </c>
      <c r="TW12" s="31">
        <v>181</v>
      </c>
      <c r="TX12" s="31">
        <v>153</v>
      </c>
      <c r="TY12" s="31">
        <v>67.5</v>
      </c>
      <c r="TZ12" s="31">
        <v>87</v>
      </c>
      <c r="UA12" s="31">
        <v>0</v>
      </c>
      <c r="UB12" s="31">
        <v>148.5</v>
      </c>
      <c r="UC12" s="31">
        <v>174</v>
      </c>
      <c r="UD12" s="31">
        <v>222.5</v>
      </c>
      <c r="UE12" s="31">
        <v>197</v>
      </c>
      <c r="UF12" s="31">
        <v>166.5</v>
      </c>
      <c r="UG12" s="31">
        <v>185.5</v>
      </c>
      <c r="UH12" s="31">
        <v>0</v>
      </c>
      <c r="UI12" s="31">
        <v>264</v>
      </c>
      <c r="UJ12" s="31">
        <v>125</v>
      </c>
      <c r="UK12" s="31">
        <v>326.5</v>
      </c>
      <c r="UL12" s="31">
        <v>0</v>
      </c>
      <c r="UM12" s="31">
        <v>99.5</v>
      </c>
      <c r="UN12" s="31">
        <v>194</v>
      </c>
      <c r="UO12" s="31">
        <v>0</v>
      </c>
      <c r="UP12" s="31">
        <v>0</v>
      </c>
      <c r="UQ12" s="31">
        <v>107.5</v>
      </c>
      <c r="UR12" s="31">
        <v>184.5</v>
      </c>
      <c r="US12" s="31">
        <v>142.5</v>
      </c>
      <c r="UT12" s="31">
        <v>85</v>
      </c>
      <c r="UU12" s="31">
        <v>209</v>
      </c>
      <c r="UV12" s="31">
        <v>0</v>
      </c>
      <c r="UW12" s="31">
        <v>0</v>
      </c>
      <c r="UX12" s="31">
        <v>122.5</v>
      </c>
      <c r="UY12" s="31">
        <v>218</v>
      </c>
      <c r="UZ12" s="31">
        <v>147.5</v>
      </c>
      <c r="VA12" s="31">
        <v>135</v>
      </c>
      <c r="VB12" s="31">
        <v>140.5</v>
      </c>
      <c r="VC12" s="31">
        <v>0</v>
      </c>
      <c r="VD12" s="31">
        <v>168</v>
      </c>
      <c r="VE12" s="31">
        <v>104.5</v>
      </c>
      <c r="VF12" s="31">
        <v>159.5</v>
      </c>
      <c r="VG12" s="31">
        <v>137.5</v>
      </c>
      <c r="VH12" s="31">
        <v>88.5</v>
      </c>
      <c r="VI12" s="31">
        <v>84.5</v>
      </c>
      <c r="VJ12" s="31">
        <v>0</v>
      </c>
      <c r="VK12" s="31">
        <v>169.5</v>
      </c>
      <c r="VL12" s="31">
        <v>156</v>
      </c>
      <c r="VM12" s="31">
        <v>212</v>
      </c>
      <c r="VN12" s="31">
        <v>163.5</v>
      </c>
      <c r="VO12" s="31">
        <v>122.5</v>
      </c>
      <c r="VP12" s="31">
        <v>132</v>
      </c>
      <c r="VQ12" s="78">
        <v>0</v>
      </c>
      <c r="VR12" s="78">
        <v>193</v>
      </c>
      <c r="VS12" s="78">
        <v>0</v>
      </c>
      <c r="VT12" s="78">
        <v>71</v>
      </c>
      <c r="VU12" s="78">
        <v>125</v>
      </c>
      <c r="VV12" s="78">
        <v>86</v>
      </c>
      <c r="VW12" s="78">
        <v>75</v>
      </c>
      <c r="VX12" s="78">
        <v>0</v>
      </c>
      <c r="VY12" s="78">
        <v>157</v>
      </c>
      <c r="VZ12" s="78">
        <v>118</v>
      </c>
      <c r="WA12" s="78">
        <v>146.5</v>
      </c>
      <c r="WB12" s="78">
        <v>152</v>
      </c>
      <c r="WC12" s="78">
        <v>160</v>
      </c>
      <c r="WD12" s="78">
        <v>122</v>
      </c>
      <c r="WE12" s="78">
        <v>0</v>
      </c>
      <c r="WF12" s="78">
        <v>147.5</v>
      </c>
      <c r="WG12" s="78">
        <v>137.5</v>
      </c>
      <c r="WH12" s="78">
        <v>186.5</v>
      </c>
      <c r="WI12" s="78">
        <v>154.5</v>
      </c>
      <c r="WJ12" s="78">
        <v>97.5</v>
      </c>
      <c r="WK12" s="78">
        <v>109</v>
      </c>
      <c r="WL12" s="31">
        <v>0</v>
      </c>
      <c r="WM12" s="31">
        <v>200.5</v>
      </c>
      <c r="WN12" s="31">
        <v>155.5</v>
      </c>
      <c r="WO12" s="31">
        <v>174</v>
      </c>
      <c r="WP12" s="31">
        <v>174.5</v>
      </c>
      <c r="WQ12" s="31">
        <v>136</v>
      </c>
      <c r="WR12" s="31">
        <v>160.5</v>
      </c>
      <c r="WS12" s="31">
        <v>0</v>
      </c>
      <c r="WT12" s="31">
        <v>209.5</v>
      </c>
      <c r="WU12" s="31">
        <v>113</v>
      </c>
      <c r="WV12" s="31">
        <v>133.5</v>
      </c>
      <c r="WW12" s="31">
        <v>110.5</v>
      </c>
      <c r="WX12" s="31">
        <v>109.5</v>
      </c>
      <c r="WY12" s="31">
        <v>110</v>
      </c>
      <c r="WZ12" s="31">
        <v>0</v>
      </c>
      <c r="XA12" s="31">
        <v>200.5</v>
      </c>
      <c r="XB12" s="31">
        <v>177.5</v>
      </c>
      <c r="XC12" s="31">
        <v>209</v>
      </c>
      <c r="XD12" s="31">
        <v>115</v>
      </c>
      <c r="XE12" s="31">
        <v>109</v>
      </c>
      <c r="XF12" s="31">
        <v>108.5</v>
      </c>
      <c r="XG12" s="31">
        <v>0</v>
      </c>
      <c r="XH12" s="31">
        <v>183.5</v>
      </c>
      <c r="XI12" s="31">
        <v>136</v>
      </c>
      <c r="XJ12" s="31">
        <v>184</v>
      </c>
      <c r="XK12" s="31">
        <v>142</v>
      </c>
      <c r="XL12" s="31">
        <v>123</v>
      </c>
      <c r="XM12" s="31">
        <v>150.5</v>
      </c>
      <c r="XN12" s="31">
        <v>0</v>
      </c>
      <c r="XO12" s="31">
        <v>221</v>
      </c>
      <c r="XP12" s="31">
        <v>154</v>
      </c>
      <c r="XQ12" s="31">
        <v>194.5</v>
      </c>
      <c r="XR12" s="31">
        <v>188</v>
      </c>
      <c r="XS12" s="31">
        <v>143.5</v>
      </c>
      <c r="XT12" s="31">
        <v>111</v>
      </c>
      <c r="XU12" s="31">
        <v>0</v>
      </c>
      <c r="XV12" s="31">
        <v>0</v>
      </c>
      <c r="XW12" s="31">
        <v>152.5</v>
      </c>
      <c r="XX12" s="31">
        <v>229</v>
      </c>
      <c r="XY12" s="31">
        <v>151.5</v>
      </c>
      <c r="XZ12" s="31">
        <v>107.5</v>
      </c>
      <c r="YA12" s="31">
        <v>91.5</v>
      </c>
      <c r="YB12" s="31">
        <v>0</v>
      </c>
      <c r="YC12" s="31">
        <v>123</v>
      </c>
      <c r="YD12" s="31">
        <v>125.5</v>
      </c>
      <c r="YE12" s="31">
        <v>194</v>
      </c>
      <c r="YF12" s="31">
        <v>144</v>
      </c>
      <c r="YG12" s="31">
        <v>124.5</v>
      </c>
      <c r="YH12" s="31">
        <v>135.5</v>
      </c>
      <c r="YI12" s="31">
        <v>0</v>
      </c>
      <c r="YJ12" s="31">
        <v>166</v>
      </c>
      <c r="YK12" s="31">
        <v>0</v>
      </c>
      <c r="YL12" s="31">
        <v>113</v>
      </c>
      <c r="YM12" s="31">
        <v>146.5</v>
      </c>
      <c r="YN12" s="31">
        <v>112.5</v>
      </c>
      <c r="YO12" s="31">
        <v>100</v>
      </c>
      <c r="YP12" s="31">
        <v>0</v>
      </c>
      <c r="YQ12" s="31">
        <v>207</v>
      </c>
      <c r="YR12" s="31">
        <v>178.5</v>
      </c>
      <c r="YS12" s="31">
        <v>252</v>
      </c>
      <c r="YT12" s="31">
        <v>216.5</v>
      </c>
      <c r="YU12" s="31">
        <v>173</v>
      </c>
      <c r="YV12" s="31">
        <v>149.5</v>
      </c>
      <c r="YW12" s="31">
        <v>0</v>
      </c>
      <c r="YX12" s="31">
        <v>331.5</v>
      </c>
      <c r="YY12" s="31">
        <v>196.5</v>
      </c>
      <c r="YZ12" s="31">
        <v>257</v>
      </c>
      <c r="ZA12" s="31">
        <v>155.5</v>
      </c>
      <c r="ZB12" s="31">
        <v>102.5</v>
      </c>
      <c r="ZC12" s="31">
        <v>89.5</v>
      </c>
      <c r="ZD12" s="31">
        <v>0</v>
      </c>
      <c r="ZE12" s="31">
        <v>120.5</v>
      </c>
      <c r="ZF12" s="31">
        <v>74</v>
      </c>
      <c r="ZG12" s="31">
        <v>101</v>
      </c>
      <c r="ZH12" s="31">
        <v>100</v>
      </c>
      <c r="ZI12" s="31">
        <v>100.5</v>
      </c>
      <c r="ZJ12" s="31">
        <v>96.5</v>
      </c>
      <c r="ZK12" s="31">
        <v>0</v>
      </c>
      <c r="ZL12" s="31">
        <v>162</v>
      </c>
      <c r="ZM12" s="31">
        <v>126</v>
      </c>
      <c r="ZN12" s="31">
        <v>153</v>
      </c>
      <c r="ZO12" s="31">
        <v>128</v>
      </c>
      <c r="ZP12" s="31">
        <v>119</v>
      </c>
      <c r="ZQ12" s="31">
        <v>99</v>
      </c>
      <c r="ZR12" s="31">
        <v>0</v>
      </c>
      <c r="ZS12" s="31">
        <v>164</v>
      </c>
      <c r="ZT12" s="31">
        <v>122</v>
      </c>
      <c r="ZU12" s="31">
        <v>172.5</v>
      </c>
      <c r="ZV12" s="31">
        <v>127</v>
      </c>
      <c r="ZW12" s="31">
        <v>101.5</v>
      </c>
      <c r="ZX12" s="31">
        <v>116</v>
      </c>
      <c r="ZY12" s="31">
        <v>0</v>
      </c>
      <c r="ZZ12" s="31">
        <v>212</v>
      </c>
      <c r="AAA12" s="31">
        <v>178</v>
      </c>
      <c r="AAB12" s="31">
        <v>263</v>
      </c>
      <c r="AAC12" s="31">
        <v>222.5</v>
      </c>
      <c r="AAD12" s="31">
        <v>140</v>
      </c>
      <c r="AAE12" s="31">
        <v>131.5</v>
      </c>
      <c r="AAF12" s="31">
        <v>0</v>
      </c>
      <c r="AAG12" s="31">
        <v>246</v>
      </c>
      <c r="AAH12" s="31">
        <v>130.5</v>
      </c>
      <c r="AAI12" s="31">
        <v>100</v>
      </c>
      <c r="AAJ12" s="31">
        <v>84.5</v>
      </c>
      <c r="AAK12" s="31">
        <v>93.5</v>
      </c>
      <c r="AAL12" s="31">
        <v>85</v>
      </c>
      <c r="AAM12" s="31">
        <v>0</v>
      </c>
      <c r="AAN12" s="31">
        <v>127</v>
      </c>
      <c r="AAO12" s="31">
        <v>123</v>
      </c>
      <c r="AAP12" s="31">
        <v>190</v>
      </c>
      <c r="AAQ12" s="31">
        <v>193.5</v>
      </c>
      <c r="AAR12" s="31">
        <v>187.5</v>
      </c>
      <c r="AAS12" s="31">
        <v>137</v>
      </c>
      <c r="AAT12" s="31">
        <v>0</v>
      </c>
      <c r="AAU12" s="31">
        <v>0</v>
      </c>
      <c r="AAV12" s="31">
        <v>111.5</v>
      </c>
      <c r="AAW12" s="31">
        <v>220</v>
      </c>
      <c r="AAX12" s="31">
        <v>173.5</v>
      </c>
      <c r="AAY12" s="31">
        <v>107</v>
      </c>
      <c r="AAZ12" s="31">
        <v>92</v>
      </c>
      <c r="ABA12" s="31">
        <v>0</v>
      </c>
      <c r="ABB12" s="31">
        <v>223.5</v>
      </c>
      <c r="ABC12" s="31">
        <v>178.5</v>
      </c>
      <c r="ABD12" s="31">
        <v>289.5</v>
      </c>
      <c r="ABE12" s="31">
        <v>0</v>
      </c>
      <c r="ABF12" s="31">
        <v>125</v>
      </c>
      <c r="ABG12" s="31">
        <v>155</v>
      </c>
      <c r="ABH12" s="31">
        <v>0</v>
      </c>
      <c r="ABI12" s="31">
        <v>268.5</v>
      </c>
      <c r="ABJ12" s="31">
        <v>219</v>
      </c>
      <c r="ABK12" s="31">
        <v>235</v>
      </c>
      <c r="ABL12" s="31">
        <v>155</v>
      </c>
      <c r="ABM12" s="31">
        <v>105</v>
      </c>
      <c r="ABN12" s="31">
        <v>81.5</v>
      </c>
      <c r="ABO12" s="31">
        <v>0</v>
      </c>
      <c r="ABP12" s="31">
        <v>157</v>
      </c>
      <c r="ABQ12" s="31">
        <v>127</v>
      </c>
      <c r="ABR12" s="31">
        <v>128</v>
      </c>
      <c r="ABS12" s="31">
        <v>101</v>
      </c>
      <c r="ABT12" s="31">
        <v>107.5</v>
      </c>
      <c r="ABU12" s="31">
        <v>126.5</v>
      </c>
      <c r="ABV12" s="31">
        <v>0</v>
      </c>
      <c r="ABW12" s="31">
        <v>139.5</v>
      </c>
      <c r="ABX12" s="31">
        <v>119.5</v>
      </c>
      <c r="ABY12" s="31">
        <v>163</v>
      </c>
      <c r="ABZ12" s="31">
        <v>159.5</v>
      </c>
      <c r="ACA12" s="31">
        <v>148.5</v>
      </c>
      <c r="ACB12" s="31">
        <v>137.5</v>
      </c>
      <c r="ACC12" s="31">
        <v>0</v>
      </c>
      <c r="ACD12" s="31">
        <v>208</v>
      </c>
      <c r="ACE12" s="31">
        <v>154</v>
      </c>
      <c r="ACF12" s="31">
        <v>209</v>
      </c>
      <c r="ACG12" s="31">
        <v>165</v>
      </c>
      <c r="ACH12" s="31">
        <v>111</v>
      </c>
      <c r="ACI12" s="31">
        <v>141.5</v>
      </c>
      <c r="ACJ12" s="31">
        <v>0</v>
      </c>
      <c r="ACK12" s="31">
        <v>214</v>
      </c>
      <c r="ACL12" s="31">
        <v>168.5</v>
      </c>
      <c r="ACM12" s="31">
        <v>138</v>
      </c>
      <c r="ACN12" s="31">
        <v>111</v>
      </c>
      <c r="ACO12" s="31">
        <v>83</v>
      </c>
      <c r="ACP12" s="31">
        <v>96</v>
      </c>
      <c r="ACQ12" s="31">
        <v>0</v>
      </c>
      <c r="ACR12" s="31">
        <v>117.5</v>
      </c>
      <c r="ACS12" s="31">
        <v>88.5</v>
      </c>
      <c r="ACT12" s="31">
        <v>72.5</v>
      </c>
      <c r="ACU12" s="31">
        <v>190.5</v>
      </c>
      <c r="ACV12" s="31">
        <v>0</v>
      </c>
      <c r="ACW12" s="31">
        <v>52</v>
      </c>
      <c r="ACX12" s="31">
        <v>0</v>
      </c>
      <c r="ACY12" s="31">
        <v>138.5</v>
      </c>
      <c r="ACZ12" s="31">
        <v>137</v>
      </c>
      <c r="ADA12" s="31">
        <v>168</v>
      </c>
      <c r="ADB12" s="31">
        <v>131</v>
      </c>
      <c r="ADC12" s="31">
        <v>95.5</v>
      </c>
      <c r="ADD12" s="31">
        <v>105</v>
      </c>
      <c r="ADE12" s="31">
        <v>0</v>
      </c>
      <c r="ADF12" s="31">
        <v>207.5</v>
      </c>
      <c r="ADG12" s="31">
        <v>166.5</v>
      </c>
      <c r="ADH12" s="31">
        <v>163.5</v>
      </c>
      <c r="ADI12" s="31">
        <v>156</v>
      </c>
      <c r="ADJ12" s="31">
        <v>123.5</v>
      </c>
      <c r="ADK12" s="31">
        <v>183</v>
      </c>
      <c r="ADL12" s="31">
        <v>0</v>
      </c>
      <c r="ADM12" s="31">
        <v>246</v>
      </c>
      <c r="ADN12" s="31">
        <v>166.5</v>
      </c>
      <c r="ADO12" s="31">
        <v>156.5</v>
      </c>
      <c r="ADP12" s="31">
        <v>140</v>
      </c>
      <c r="ADQ12" s="31">
        <v>101</v>
      </c>
      <c r="ADR12" s="31">
        <v>143</v>
      </c>
      <c r="ADS12" s="31">
        <v>0</v>
      </c>
      <c r="ADT12" s="31">
        <v>100</v>
      </c>
      <c r="ADU12" s="31">
        <v>67</v>
      </c>
      <c r="ADV12" s="31">
        <v>0</v>
      </c>
      <c r="ADW12" s="31">
        <v>0</v>
      </c>
      <c r="ADX12" s="31">
        <v>52.5</v>
      </c>
      <c r="ADY12" s="31">
        <v>69.5</v>
      </c>
      <c r="ADZ12" s="31">
        <v>0</v>
      </c>
      <c r="AEA12" s="31">
        <v>57</v>
      </c>
      <c r="AEB12" s="31">
        <v>55.5</v>
      </c>
      <c r="AEC12" s="31">
        <v>114</v>
      </c>
      <c r="AED12" s="31">
        <v>141</v>
      </c>
      <c r="AEE12" s="31">
        <v>153</v>
      </c>
      <c r="AEF12" s="31">
        <v>136</v>
      </c>
      <c r="AEG12" s="31">
        <v>0</v>
      </c>
      <c r="AEH12" s="31">
        <v>189</v>
      </c>
      <c r="AEI12" s="31">
        <v>183.5</v>
      </c>
      <c r="AEJ12" s="31">
        <v>223.5</v>
      </c>
      <c r="AEK12" s="31">
        <v>161.5</v>
      </c>
      <c r="AEL12" s="31">
        <v>123</v>
      </c>
      <c r="AEM12" s="31">
        <v>150</v>
      </c>
      <c r="AEN12" s="31">
        <v>0</v>
      </c>
      <c r="AEO12" s="31">
        <v>220</v>
      </c>
      <c r="AEP12" s="31">
        <v>171.5</v>
      </c>
      <c r="AEQ12" s="31">
        <v>233</v>
      </c>
      <c r="AER12" s="31">
        <v>215</v>
      </c>
      <c r="AES12" s="31">
        <v>172.5</v>
      </c>
      <c r="AET12" s="31">
        <v>175</v>
      </c>
      <c r="AEU12" s="31">
        <v>0</v>
      </c>
      <c r="AEV12" s="31">
        <v>234.5</v>
      </c>
      <c r="AEW12" s="31">
        <v>138.5</v>
      </c>
      <c r="AEX12" s="31">
        <v>183</v>
      </c>
      <c r="AEY12" s="31">
        <v>117.5</v>
      </c>
      <c r="AEZ12" s="31">
        <v>84</v>
      </c>
      <c r="AFA12" s="31">
        <v>84</v>
      </c>
      <c r="AFB12" s="31">
        <v>0</v>
      </c>
      <c r="AFC12" s="31">
        <v>115.5</v>
      </c>
      <c r="AFD12" s="31">
        <v>95.5</v>
      </c>
      <c r="AFE12" s="31">
        <v>130</v>
      </c>
      <c r="AFF12" s="31">
        <v>116.5</v>
      </c>
      <c r="AFG12" s="31">
        <v>84.5</v>
      </c>
      <c r="AFH12" s="31">
        <v>100</v>
      </c>
      <c r="AFI12" s="31">
        <v>0</v>
      </c>
      <c r="AFJ12" s="31">
        <v>164</v>
      </c>
      <c r="AFK12" s="31">
        <v>152</v>
      </c>
      <c r="AFL12" s="31">
        <v>134.5</v>
      </c>
      <c r="AFM12" s="31">
        <v>118</v>
      </c>
      <c r="AFN12" s="31">
        <v>100</v>
      </c>
      <c r="AFO12" s="31">
        <v>134.5</v>
      </c>
      <c r="AFP12" s="31">
        <v>0</v>
      </c>
      <c r="AFQ12" s="31">
        <v>195</v>
      </c>
      <c r="AFR12" s="31">
        <v>143</v>
      </c>
      <c r="AFS12" s="31">
        <v>167</v>
      </c>
      <c r="AFT12" s="31">
        <v>149</v>
      </c>
      <c r="AFU12" s="31">
        <v>135.5</v>
      </c>
      <c r="AFV12" s="31">
        <v>161</v>
      </c>
      <c r="AFW12" s="31">
        <v>0</v>
      </c>
      <c r="AFX12" s="31">
        <v>216</v>
      </c>
      <c r="AFY12" s="31">
        <v>166.5</v>
      </c>
      <c r="AFZ12" s="31">
        <v>232</v>
      </c>
      <c r="AGA12" s="31">
        <v>174</v>
      </c>
      <c r="AGB12" s="31">
        <v>127.5</v>
      </c>
      <c r="AGC12" s="31">
        <v>115</v>
      </c>
      <c r="AGD12" s="144">
        <v>0</v>
      </c>
      <c r="AGE12" s="144">
        <v>163</v>
      </c>
      <c r="AGF12" s="144">
        <v>94</v>
      </c>
      <c r="AGG12" s="144">
        <v>149.5</v>
      </c>
      <c r="AGH12" s="31">
        <v>153.5</v>
      </c>
      <c r="AGI12" s="31">
        <v>134</v>
      </c>
      <c r="AGJ12" s="31">
        <v>0</v>
      </c>
      <c r="AGK12" s="31">
        <v>0</v>
      </c>
      <c r="AGL12" s="31">
        <v>110</v>
      </c>
      <c r="AGM12" s="31">
        <v>163.5</v>
      </c>
      <c r="AGN12" s="31">
        <v>193</v>
      </c>
      <c r="AGO12" s="31">
        <v>169</v>
      </c>
      <c r="AGP12" s="31">
        <v>134.5</v>
      </c>
      <c r="AGQ12" s="31">
        <v>145</v>
      </c>
      <c r="AGR12" s="31">
        <v>0</v>
      </c>
      <c r="AGS12" s="31">
        <v>215</v>
      </c>
      <c r="AGT12" s="31">
        <v>158.5</v>
      </c>
      <c r="AGU12" s="31">
        <v>185.5</v>
      </c>
      <c r="AGV12" s="31">
        <v>145</v>
      </c>
      <c r="AGW12" s="31">
        <v>119.5</v>
      </c>
      <c r="AGX12" s="31">
        <v>133</v>
      </c>
      <c r="AGY12" s="31">
        <v>0</v>
      </c>
      <c r="AGZ12" s="31">
        <v>217</v>
      </c>
      <c r="AHA12" s="31">
        <v>163.5</v>
      </c>
      <c r="AHB12" s="31">
        <v>199</v>
      </c>
      <c r="AHC12" s="31">
        <v>193</v>
      </c>
      <c r="AHD12" s="31">
        <v>159.5</v>
      </c>
      <c r="AHE12" s="31">
        <v>158.5</v>
      </c>
      <c r="AHF12" s="31">
        <v>0</v>
      </c>
      <c r="AHG12" s="31">
        <v>174</v>
      </c>
      <c r="AHH12" s="31">
        <v>131.5</v>
      </c>
      <c r="AHI12" s="31">
        <v>128.5</v>
      </c>
      <c r="AHJ12" s="31">
        <v>116</v>
      </c>
      <c r="AHK12" s="31">
        <v>94</v>
      </c>
      <c r="AHL12" s="31">
        <v>106</v>
      </c>
      <c r="AHM12" s="31">
        <v>0</v>
      </c>
      <c r="AHN12" s="31">
        <v>0</v>
      </c>
      <c r="AHO12" s="31">
        <v>95</v>
      </c>
      <c r="AHP12" s="31">
        <v>212</v>
      </c>
      <c r="AHQ12" s="31">
        <v>227</v>
      </c>
      <c r="AHR12" s="31">
        <v>200.5</v>
      </c>
      <c r="AHS12" s="31">
        <v>69</v>
      </c>
      <c r="AHT12" s="31">
        <v>0</v>
      </c>
      <c r="AHU12" s="31">
        <v>0</v>
      </c>
      <c r="AHV12" s="31">
        <v>0</v>
      </c>
      <c r="AHW12" s="31">
        <v>157.5</v>
      </c>
      <c r="AHX12" s="31">
        <v>193.5</v>
      </c>
      <c r="AHY12" s="31">
        <v>104.5</v>
      </c>
      <c r="AHZ12" s="31">
        <v>109</v>
      </c>
      <c r="AIA12" s="31">
        <v>0</v>
      </c>
      <c r="AIB12" s="31">
        <v>177</v>
      </c>
      <c r="AIC12" s="31">
        <v>123.5</v>
      </c>
      <c r="AID12" s="31">
        <v>199</v>
      </c>
      <c r="AIE12" s="31">
        <v>210</v>
      </c>
      <c r="AIF12" s="31">
        <v>156</v>
      </c>
      <c r="AIG12" s="31">
        <v>162</v>
      </c>
      <c r="AIH12" s="31">
        <v>0</v>
      </c>
      <c r="AII12" s="31">
        <v>234</v>
      </c>
      <c r="AIJ12" s="31">
        <v>172</v>
      </c>
      <c r="AIK12" s="31">
        <v>173</v>
      </c>
      <c r="AIL12" s="31">
        <v>334.5</v>
      </c>
      <c r="AIM12" s="31">
        <v>0</v>
      </c>
      <c r="AIN12" s="31">
        <v>79</v>
      </c>
      <c r="AIO12" s="31">
        <v>0</v>
      </c>
      <c r="AIP12" s="31">
        <v>0</v>
      </c>
      <c r="AIQ12" s="31">
        <v>95</v>
      </c>
      <c r="AIR12" s="31">
        <v>202</v>
      </c>
      <c r="AIS12" s="31">
        <v>144.5</v>
      </c>
      <c r="AIT12" s="31">
        <v>93.5</v>
      </c>
      <c r="AIU12" s="31">
        <v>101.5</v>
      </c>
      <c r="AIV12" s="31">
        <v>0</v>
      </c>
      <c r="AIW12" s="31">
        <v>174.5</v>
      </c>
      <c r="AIX12" s="31">
        <v>140</v>
      </c>
      <c r="AIY12" s="31">
        <v>160</v>
      </c>
      <c r="AIZ12" s="31">
        <v>157</v>
      </c>
      <c r="AJA12" s="31">
        <v>132.5</v>
      </c>
      <c r="AJB12" s="31">
        <v>95</v>
      </c>
      <c r="AJC12" s="31">
        <v>0</v>
      </c>
      <c r="AJD12" s="31">
        <v>175.5</v>
      </c>
      <c r="AJE12" s="31">
        <v>114</v>
      </c>
      <c r="AJF12" s="31">
        <v>222</v>
      </c>
      <c r="AJG12" s="31">
        <v>171</v>
      </c>
      <c r="AJH12" s="31">
        <v>143</v>
      </c>
      <c r="AJI12" s="31">
        <v>163</v>
      </c>
      <c r="AJJ12" s="31">
        <v>0</v>
      </c>
      <c r="AJK12" s="31">
        <v>284</v>
      </c>
      <c r="AJL12" s="31">
        <v>180</v>
      </c>
      <c r="AJM12" s="31">
        <v>210</v>
      </c>
      <c r="AJN12" s="31">
        <v>140.5</v>
      </c>
      <c r="AJO12" s="31">
        <v>60</v>
      </c>
      <c r="AJP12" s="31">
        <v>239</v>
      </c>
      <c r="AJQ12" s="31">
        <v>0</v>
      </c>
      <c r="AJR12" s="31">
        <v>0</v>
      </c>
      <c r="AJS12" s="31">
        <v>96</v>
      </c>
      <c r="AJT12" s="31">
        <v>0</v>
      </c>
      <c r="AJU12" s="31">
        <v>150</v>
      </c>
      <c r="AJV12" s="31">
        <v>140</v>
      </c>
      <c r="AJW12" s="31">
        <v>122</v>
      </c>
      <c r="AJX12" s="31">
        <v>0</v>
      </c>
      <c r="AJY12" s="31">
        <v>185</v>
      </c>
      <c r="AJZ12" s="31">
        <v>114.5</v>
      </c>
      <c r="AKA12" s="31">
        <v>161.5</v>
      </c>
      <c r="AKB12" s="31">
        <v>141</v>
      </c>
      <c r="AKC12" s="31">
        <v>115</v>
      </c>
      <c r="AKD12" s="31">
        <v>152</v>
      </c>
      <c r="AKE12" s="31">
        <v>0</v>
      </c>
      <c r="AKF12" s="31">
        <v>279</v>
      </c>
    </row>
    <row r="13" spans="1:985" s="5" customFormat="1">
      <c r="B13" s="7"/>
      <c r="C13" s="63">
        <v>82301</v>
      </c>
      <c r="D13" s="6" t="s">
        <v>8</v>
      </c>
      <c r="E13" s="6" t="s">
        <v>39</v>
      </c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</row>
    <row r="14" spans="1:985">
      <c r="A14">
        <v>1</v>
      </c>
      <c r="B14" s="132" t="s">
        <v>40</v>
      </c>
      <c r="C14" s="77">
        <v>82301</v>
      </c>
      <c r="D14" s="1" t="s">
        <v>8</v>
      </c>
      <c r="E14" s="1" t="s">
        <v>41</v>
      </c>
      <c r="F14" s="52" t="s">
        <v>11</v>
      </c>
      <c r="G14" s="1" t="s">
        <v>33</v>
      </c>
      <c r="H14" s="1" t="s">
        <v>42</v>
      </c>
      <c r="I14" s="1" t="s">
        <v>14</v>
      </c>
      <c r="J14" s="1" t="s">
        <v>15</v>
      </c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>
        <v>1137</v>
      </c>
      <c r="AE14" s="23">
        <v>1826</v>
      </c>
      <c r="AF14" s="23">
        <v>1387</v>
      </c>
      <c r="AG14" s="23">
        <v>1818</v>
      </c>
      <c r="AH14" s="23">
        <v>1482</v>
      </c>
      <c r="AI14" s="23">
        <v>816</v>
      </c>
      <c r="AK14" s="23">
        <v>819</v>
      </c>
      <c r="AL14" s="23">
        <v>1138</v>
      </c>
      <c r="AM14" s="23">
        <v>1052</v>
      </c>
      <c r="AN14" s="23">
        <v>1255</v>
      </c>
      <c r="AO14" s="23">
        <v>1188</v>
      </c>
      <c r="AP14" s="23">
        <v>849</v>
      </c>
      <c r="AR14" s="23">
        <v>1064</v>
      </c>
      <c r="AT14" s="23">
        <v>1166</v>
      </c>
      <c r="AU14" s="23">
        <v>1412</v>
      </c>
      <c r="AV14" s="23">
        <v>1690</v>
      </c>
      <c r="AW14" s="23">
        <v>1945</v>
      </c>
      <c r="AY14" s="23">
        <v>1305</v>
      </c>
      <c r="AZ14" s="23">
        <v>1322</v>
      </c>
      <c r="BA14" s="23">
        <v>1149</v>
      </c>
      <c r="BB14" s="23">
        <v>1760</v>
      </c>
      <c r="BC14" s="23">
        <v>1540</v>
      </c>
      <c r="BD14" s="23">
        <v>1704</v>
      </c>
      <c r="BF14" s="23">
        <v>1395</v>
      </c>
      <c r="BG14" s="23">
        <v>1655</v>
      </c>
      <c r="BH14" s="23">
        <v>1471</v>
      </c>
      <c r="BI14" s="23">
        <v>2030</v>
      </c>
      <c r="BJ14" s="23">
        <v>2710</v>
      </c>
      <c r="BK14" s="23">
        <v>1375</v>
      </c>
      <c r="BL14" s="23"/>
      <c r="BM14" s="23">
        <v>1380</v>
      </c>
      <c r="BN14" s="23">
        <v>1635</v>
      </c>
      <c r="BO14" s="23">
        <v>1264</v>
      </c>
      <c r="BP14" s="23">
        <v>760</v>
      </c>
      <c r="BQ14" s="23">
        <v>69</v>
      </c>
      <c r="BR14" s="23"/>
      <c r="BS14" s="23"/>
      <c r="BT14" s="23"/>
      <c r="BU14" s="23">
        <v>49</v>
      </c>
      <c r="BV14" s="23">
        <v>251</v>
      </c>
      <c r="BW14" s="23">
        <v>1101</v>
      </c>
      <c r="BX14" s="23">
        <v>594</v>
      </c>
      <c r="BY14" s="23">
        <v>1189</v>
      </c>
      <c r="BZ14" s="23"/>
      <c r="CA14" s="23">
        <v>1014</v>
      </c>
      <c r="CB14" s="23">
        <v>1148</v>
      </c>
      <c r="CC14" s="23">
        <v>1004</v>
      </c>
      <c r="CD14" s="23">
        <v>1872</v>
      </c>
      <c r="CE14">
        <v>1972</v>
      </c>
      <c r="CF14">
        <v>1315</v>
      </c>
      <c r="CH14">
        <v>850</v>
      </c>
      <c r="CI14">
        <v>1320</v>
      </c>
      <c r="CJ14">
        <v>1272</v>
      </c>
      <c r="CK14">
        <v>2116</v>
      </c>
      <c r="CL14">
        <v>2079</v>
      </c>
      <c r="CO14">
        <v>1837</v>
      </c>
      <c r="CP14">
        <v>1463</v>
      </c>
      <c r="CQ14">
        <v>1795</v>
      </c>
      <c r="CR14">
        <v>1864</v>
      </c>
      <c r="CS14">
        <v>1778</v>
      </c>
      <c r="CT14">
        <v>1250</v>
      </c>
      <c r="CV14">
        <v>880</v>
      </c>
      <c r="CW14">
        <v>1382</v>
      </c>
      <c r="CX14">
        <v>896</v>
      </c>
      <c r="CY14">
        <v>1002</v>
      </c>
      <c r="CZ14">
        <v>1200</v>
      </c>
      <c r="DA14">
        <v>1591</v>
      </c>
      <c r="DC14">
        <v>733</v>
      </c>
      <c r="DD14">
        <v>1333</v>
      </c>
      <c r="DE14">
        <v>959</v>
      </c>
      <c r="DF14">
        <v>2120</v>
      </c>
      <c r="DG14">
        <v>1363</v>
      </c>
      <c r="DH14">
        <v>602</v>
      </c>
      <c r="DJ14">
        <v>1047</v>
      </c>
      <c r="DK14">
        <v>1112</v>
      </c>
      <c r="DL14">
        <v>1097</v>
      </c>
      <c r="DM14">
        <v>1713</v>
      </c>
      <c r="DN14">
        <v>1781</v>
      </c>
      <c r="DO14">
        <v>1404</v>
      </c>
      <c r="DQ14">
        <v>1185</v>
      </c>
      <c r="DR14">
        <v>1483</v>
      </c>
      <c r="DS14">
        <v>966</v>
      </c>
      <c r="DT14">
        <v>2015</v>
      </c>
      <c r="DU14">
        <v>2207</v>
      </c>
      <c r="DV14">
        <v>719</v>
      </c>
      <c r="DX14">
        <v>1128</v>
      </c>
      <c r="DY14">
        <v>1276</v>
      </c>
      <c r="DZ14">
        <v>1304</v>
      </c>
      <c r="EA14">
        <v>1402</v>
      </c>
      <c r="EB14">
        <v>1429</v>
      </c>
      <c r="EC14">
        <v>753</v>
      </c>
      <c r="ED14">
        <v>0</v>
      </c>
      <c r="EE14">
        <v>1222</v>
      </c>
      <c r="EF14">
        <v>1590</v>
      </c>
      <c r="EG14">
        <v>1332</v>
      </c>
      <c r="EH14">
        <v>1825</v>
      </c>
      <c r="EI14">
        <v>1805</v>
      </c>
      <c r="EJ14">
        <v>1179</v>
      </c>
      <c r="EL14">
        <v>1456</v>
      </c>
      <c r="EM14">
        <v>1795</v>
      </c>
      <c r="EN14">
        <v>1526</v>
      </c>
      <c r="EO14">
        <v>1605</v>
      </c>
      <c r="EP14">
        <v>1664</v>
      </c>
      <c r="EQ14">
        <v>1016</v>
      </c>
      <c r="ES14">
        <v>1765</v>
      </c>
      <c r="ET14">
        <v>1649</v>
      </c>
      <c r="EU14">
        <v>1865</v>
      </c>
      <c r="EV14">
        <v>1838</v>
      </c>
      <c r="EW14">
        <v>1840</v>
      </c>
      <c r="EX14">
        <v>1157</v>
      </c>
      <c r="EZ14">
        <v>1037</v>
      </c>
      <c r="FA14">
        <v>1638</v>
      </c>
      <c r="FB14">
        <v>1290</v>
      </c>
      <c r="FC14">
        <v>1665</v>
      </c>
      <c r="FD14">
        <v>1527</v>
      </c>
      <c r="FE14">
        <v>883</v>
      </c>
      <c r="FG14">
        <v>1084</v>
      </c>
      <c r="FH14">
        <v>1694</v>
      </c>
      <c r="FI14">
        <v>1034</v>
      </c>
      <c r="FJ14">
        <v>1719</v>
      </c>
      <c r="FK14">
        <v>1595</v>
      </c>
      <c r="FN14">
        <v>1830</v>
      </c>
      <c r="FO14">
        <v>1968</v>
      </c>
      <c r="FP14">
        <v>2397</v>
      </c>
      <c r="FQ14">
        <v>1781</v>
      </c>
      <c r="FR14">
        <v>1173</v>
      </c>
      <c r="FV14">
        <v>106</v>
      </c>
      <c r="FW14">
        <v>530</v>
      </c>
      <c r="FX14">
        <v>820</v>
      </c>
      <c r="FY14">
        <v>1133</v>
      </c>
      <c r="FZ14">
        <v>1063</v>
      </c>
      <c r="GB14">
        <v>1460</v>
      </c>
      <c r="GC14">
        <v>1229</v>
      </c>
      <c r="GD14">
        <v>1287</v>
      </c>
      <c r="GE14">
        <v>1857</v>
      </c>
      <c r="GF14">
        <v>1776</v>
      </c>
      <c r="GG14">
        <v>961</v>
      </c>
      <c r="GI14">
        <v>894</v>
      </c>
      <c r="GJ14">
        <v>1261</v>
      </c>
      <c r="GL14">
        <v>1013</v>
      </c>
      <c r="GM14">
        <v>2007</v>
      </c>
      <c r="GO14">
        <v>123</v>
      </c>
      <c r="GP14">
        <v>1799</v>
      </c>
      <c r="GQ14">
        <v>1323</v>
      </c>
      <c r="GR14">
        <v>1541</v>
      </c>
      <c r="GS14">
        <v>1607</v>
      </c>
      <c r="GT14">
        <v>1955</v>
      </c>
      <c r="GU14">
        <v>1049</v>
      </c>
      <c r="GW14">
        <v>1137</v>
      </c>
      <c r="GX14">
        <v>1424</v>
      </c>
      <c r="GY14">
        <v>976</v>
      </c>
      <c r="GZ14">
        <v>2000</v>
      </c>
      <c r="HA14">
        <v>2283</v>
      </c>
      <c r="HB14">
        <v>980</v>
      </c>
      <c r="HD14">
        <v>1197</v>
      </c>
      <c r="HE14">
        <v>1467</v>
      </c>
      <c r="HG14">
        <v>1201</v>
      </c>
      <c r="HH14">
        <v>2123</v>
      </c>
      <c r="HI14">
        <v>1290</v>
      </c>
      <c r="HK14">
        <v>1113</v>
      </c>
      <c r="HL14">
        <v>1456</v>
      </c>
      <c r="HM14">
        <v>1080</v>
      </c>
      <c r="HN14">
        <v>1616</v>
      </c>
      <c r="HO14">
        <v>1352</v>
      </c>
      <c r="HP14">
        <v>1947</v>
      </c>
      <c r="HS14">
        <v>2371</v>
      </c>
      <c r="HT14">
        <v>2390</v>
      </c>
      <c r="HU14">
        <v>3586</v>
      </c>
      <c r="HV14">
        <v>4113</v>
      </c>
      <c r="HW14">
        <v>3396</v>
      </c>
      <c r="HY14">
        <v>2101</v>
      </c>
      <c r="HZ14">
        <v>2904</v>
      </c>
      <c r="IA14">
        <v>5976</v>
      </c>
      <c r="IB14">
        <v>3898</v>
      </c>
      <c r="IC14">
        <v>4154</v>
      </c>
      <c r="ID14">
        <v>4034</v>
      </c>
      <c r="IF14">
        <v>2231</v>
      </c>
      <c r="IG14">
        <v>5104</v>
      </c>
      <c r="IH14">
        <v>3645</v>
      </c>
      <c r="II14">
        <v>3625</v>
      </c>
      <c r="IJ14">
        <v>2421</v>
      </c>
      <c r="IK14">
        <v>1724</v>
      </c>
      <c r="IM14">
        <v>1763</v>
      </c>
      <c r="IN14">
        <v>1724</v>
      </c>
      <c r="IO14">
        <v>2357</v>
      </c>
      <c r="IP14">
        <v>4070</v>
      </c>
      <c r="IQ14">
        <v>3873</v>
      </c>
      <c r="IR14">
        <v>2937</v>
      </c>
      <c r="IT14">
        <v>1908</v>
      </c>
      <c r="IU14">
        <v>3558</v>
      </c>
      <c r="IV14">
        <v>1962</v>
      </c>
      <c r="IW14">
        <v>4118</v>
      </c>
      <c r="IX14">
        <v>4011</v>
      </c>
      <c r="IY14">
        <v>2395</v>
      </c>
      <c r="IZ14">
        <v>0</v>
      </c>
      <c r="JA14">
        <v>2023</v>
      </c>
      <c r="JB14">
        <v>2597</v>
      </c>
      <c r="JC14">
        <v>4751</v>
      </c>
      <c r="JD14">
        <v>4421</v>
      </c>
      <c r="JE14">
        <v>5037</v>
      </c>
      <c r="JF14">
        <v>2262</v>
      </c>
      <c r="JG14">
        <v>0</v>
      </c>
      <c r="JH14">
        <v>2839</v>
      </c>
      <c r="JI14">
        <v>2971</v>
      </c>
      <c r="JJ14">
        <v>2039</v>
      </c>
      <c r="JK14">
        <v>3924</v>
      </c>
      <c r="JL14">
        <v>4058</v>
      </c>
      <c r="JM14">
        <v>1915</v>
      </c>
      <c r="JN14">
        <v>0</v>
      </c>
      <c r="JO14">
        <v>1419</v>
      </c>
      <c r="JP14">
        <v>2662</v>
      </c>
      <c r="JQ14">
        <v>5955</v>
      </c>
      <c r="JR14">
        <v>4212</v>
      </c>
      <c r="JS14">
        <v>5857</v>
      </c>
      <c r="JT14">
        <v>4285</v>
      </c>
      <c r="JU14">
        <v>0</v>
      </c>
      <c r="JV14">
        <v>0</v>
      </c>
      <c r="JW14">
        <v>3309</v>
      </c>
      <c r="JX14">
        <v>2999</v>
      </c>
      <c r="JY14">
        <v>3118</v>
      </c>
      <c r="JZ14">
        <v>2485</v>
      </c>
      <c r="KA14">
        <v>2534</v>
      </c>
      <c r="KB14">
        <v>0</v>
      </c>
      <c r="KC14">
        <v>1839</v>
      </c>
      <c r="KD14">
        <v>4197</v>
      </c>
      <c r="KE14">
        <v>2670</v>
      </c>
      <c r="KF14">
        <v>4679</v>
      </c>
      <c r="KG14">
        <v>5952</v>
      </c>
      <c r="KH14">
        <v>3999</v>
      </c>
      <c r="KI14">
        <v>0</v>
      </c>
      <c r="KJ14">
        <v>0</v>
      </c>
      <c r="KK14">
        <v>4691</v>
      </c>
      <c r="KL14">
        <v>5264</v>
      </c>
      <c r="KM14">
        <v>4361</v>
      </c>
      <c r="KN14">
        <v>7075</v>
      </c>
      <c r="KO14">
        <v>2103</v>
      </c>
      <c r="KP14">
        <v>0</v>
      </c>
      <c r="KQ14">
        <v>3819</v>
      </c>
      <c r="KR14">
        <v>5078</v>
      </c>
      <c r="KS14">
        <v>2290</v>
      </c>
      <c r="KT14">
        <v>3863</v>
      </c>
      <c r="KU14">
        <v>4310</v>
      </c>
      <c r="KV14">
        <v>1913</v>
      </c>
      <c r="KW14">
        <v>0</v>
      </c>
      <c r="KX14">
        <v>3355</v>
      </c>
      <c r="KY14">
        <v>4277</v>
      </c>
      <c r="KZ14">
        <v>4417</v>
      </c>
      <c r="LA14">
        <v>3828</v>
      </c>
      <c r="LB14">
        <v>6144</v>
      </c>
      <c r="LC14">
        <v>1569</v>
      </c>
      <c r="LD14">
        <v>0</v>
      </c>
      <c r="LE14">
        <v>2539</v>
      </c>
      <c r="LF14">
        <v>3041</v>
      </c>
      <c r="LG14">
        <v>2231</v>
      </c>
      <c r="LH14">
        <v>5229</v>
      </c>
      <c r="LI14">
        <v>4182</v>
      </c>
      <c r="LJ14">
        <v>2887</v>
      </c>
      <c r="LK14">
        <v>0</v>
      </c>
      <c r="LL14">
        <v>2144</v>
      </c>
      <c r="LM14">
        <v>3695</v>
      </c>
      <c r="LN14">
        <v>2540</v>
      </c>
      <c r="LO14">
        <v>3424</v>
      </c>
      <c r="LP14">
        <v>4591</v>
      </c>
      <c r="LQ14">
        <v>1497</v>
      </c>
      <c r="LR14">
        <v>0</v>
      </c>
      <c r="LS14" s="50">
        <v>3041</v>
      </c>
      <c r="LT14">
        <v>4518</v>
      </c>
      <c r="LU14">
        <v>2809</v>
      </c>
      <c r="LV14" s="1">
        <v>3092</v>
      </c>
      <c r="LW14">
        <v>4313</v>
      </c>
      <c r="LX14">
        <v>2592</v>
      </c>
      <c r="LY14">
        <v>0</v>
      </c>
      <c r="LZ14">
        <v>3441</v>
      </c>
      <c r="MA14">
        <v>3165</v>
      </c>
      <c r="MB14">
        <v>2758</v>
      </c>
      <c r="MC14">
        <v>4949</v>
      </c>
      <c r="MD14">
        <v>10884</v>
      </c>
      <c r="ME14">
        <v>2937</v>
      </c>
      <c r="MF14">
        <v>0</v>
      </c>
      <c r="MG14">
        <v>2362</v>
      </c>
      <c r="MH14">
        <v>3204</v>
      </c>
      <c r="MI14">
        <v>2066</v>
      </c>
      <c r="MJ14">
        <v>3627</v>
      </c>
      <c r="MK14">
        <v>4250</v>
      </c>
      <c r="ML14">
        <v>2839</v>
      </c>
      <c r="MM14">
        <v>12</v>
      </c>
      <c r="MN14" s="57">
        <v>1512</v>
      </c>
      <c r="MO14" s="57">
        <v>693</v>
      </c>
      <c r="MP14" s="57">
        <v>1872</v>
      </c>
      <c r="MQ14" s="57">
        <v>1719</v>
      </c>
      <c r="MR14" s="57">
        <v>1845</v>
      </c>
      <c r="MS14" s="57">
        <v>1883</v>
      </c>
      <c r="MT14" s="57">
        <v>0</v>
      </c>
      <c r="MU14" s="57">
        <v>0</v>
      </c>
      <c r="MV14">
        <v>1702</v>
      </c>
      <c r="MW14">
        <v>1334</v>
      </c>
      <c r="MX14">
        <v>2231</v>
      </c>
      <c r="MY14">
        <v>2289</v>
      </c>
      <c r="MZ14">
        <v>2274</v>
      </c>
      <c r="NA14">
        <v>0</v>
      </c>
      <c r="NB14" s="67">
        <v>1559</v>
      </c>
      <c r="NC14" s="67">
        <v>1837</v>
      </c>
      <c r="ND14" s="67">
        <v>237</v>
      </c>
      <c r="NE14" s="67">
        <v>1322</v>
      </c>
      <c r="NF14" s="67">
        <v>2008</v>
      </c>
      <c r="NG14" s="67">
        <v>3101</v>
      </c>
      <c r="NH14" s="67">
        <v>86</v>
      </c>
      <c r="NI14" s="67">
        <v>3167</v>
      </c>
      <c r="NJ14" s="67">
        <v>2030</v>
      </c>
      <c r="NK14" s="57">
        <v>2866</v>
      </c>
      <c r="NL14" s="57">
        <v>1852</v>
      </c>
      <c r="NM14" s="57">
        <v>1691</v>
      </c>
      <c r="NN14" s="57">
        <v>1260</v>
      </c>
      <c r="NO14" s="57">
        <v>271</v>
      </c>
      <c r="NP14" s="67">
        <v>1205</v>
      </c>
      <c r="NQ14" s="67">
        <v>1556</v>
      </c>
      <c r="NR14" s="67">
        <v>2290</v>
      </c>
      <c r="NS14" s="67">
        <v>2074</v>
      </c>
      <c r="NT14" s="67">
        <v>2514</v>
      </c>
      <c r="NU14" s="67">
        <v>1754</v>
      </c>
      <c r="NV14" s="67">
        <v>4</v>
      </c>
      <c r="NW14" s="67">
        <v>1773</v>
      </c>
      <c r="NX14" s="67">
        <v>1978</v>
      </c>
      <c r="NY14" s="67">
        <v>1646</v>
      </c>
      <c r="NZ14" s="67">
        <v>2352</v>
      </c>
      <c r="OA14" s="67">
        <v>2590</v>
      </c>
      <c r="OB14" s="67">
        <v>2421</v>
      </c>
      <c r="OC14" s="67">
        <v>73</v>
      </c>
      <c r="OD14">
        <v>2405</v>
      </c>
      <c r="OE14">
        <v>3594</v>
      </c>
      <c r="OF14">
        <v>4685</v>
      </c>
      <c r="OG14">
        <v>3947</v>
      </c>
      <c r="OH14">
        <v>2814</v>
      </c>
      <c r="OI14">
        <v>2017</v>
      </c>
      <c r="OJ14">
        <v>0</v>
      </c>
      <c r="OK14" s="67">
        <v>1129</v>
      </c>
      <c r="OL14" s="67">
        <v>2051</v>
      </c>
      <c r="OM14" s="67">
        <v>1642</v>
      </c>
      <c r="ON14" s="67">
        <v>2940</v>
      </c>
      <c r="OO14" s="67">
        <v>3448</v>
      </c>
      <c r="OP14" s="67">
        <v>2672</v>
      </c>
      <c r="OQ14" s="67">
        <v>0</v>
      </c>
      <c r="OR14" s="57">
        <v>2318</v>
      </c>
      <c r="OS14" s="57">
        <v>1792</v>
      </c>
      <c r="OT14" s="57">
        <v>2561</v>
      </c>
      <c r="OU14" s="67">
        <v>123</v>
      </c>
      <c r="OV14" s="57">
        <v>2961</v>
      </c>
      <c r="OW14" s="57">
        <v>3417</v>
      </c>
      <c r="OX14" s="67">
        <v>41</v>
      </c>
      <c r="OY14" s="67">
        <v>4784</v>
      </c>
      <c r="OZ14" s="67">
        <v>3230</v>
      </c>
      <c r="PA14" s="67">
        <v>4388</v>
      </c>
      <c r="PB14" s="67">
        <v>6699</v>
      </c>
      <c r="PC14" s="67">
        <v>4007</v>
      </c>
      <c r="PD14" s="67">
        <v>4969</v>
      </c>
      <c r="PE14" s="67">
        <v>0</v>
      </c>
      <c r="PF14" s="67">
        <v>3825</v>
      </c>
      <c r="PG14" s="67">
        <v>4477</v>
      </c>
      <c r="PH14" s="67">
        <v>5540</v>
      </c>
      <c r="PI14" s="67">
        <v>7758</v>
      </c>
      <c r="PJ14" s="67">
        <v>7390</v>
      </c>
      <c r="PK14" s="67">
        <v>5435</v>
      </c>
      <c r="PL14" s="67">
        <v>0</v>
      </c>
      <c r="PM14">
        <v>5473</v>
      </c>
      <c r="PN14">
        <v>6811</v>
      </c>
      <c r="PO14">
        <v>6248</v>
      </c>
      <c r="PP14">
        <v>5998</v>
      </c>
      <c r="PQ14">
        <v>4722</v>
      </c>
      <c r="PR14">
        <v>626</v>
      </c>
      <c r="PS14">
        <v>0</v>
      </c>
      <c r="PT14">
        <v>194</v>
      </c>
      <c r="PU14">
        <v>0</v>
      </c>
      <c r="PV14">
        <v>0</v>
      </c>
      <c r="PW14" s="74">
        <v>733</v>
      </c>
      <c r="PX14" s="74">
        <v>3547</v>
      </c>
      <c r="PY14" s="74">
        <v>482</v>
      </c>
      <c r="PZ14" s="74">
        <v>0</v>
      </c>
      <c r="QA14" s="74">
        <v>1314</v>
      </c>
      <c r="QB14" s="74">
        <v>2129</v>
      </c>
      <c r="QC14" s="74">
        <v>3190</v>
      </c>
      <c r="QD14" s="74">
        <v>3905</v>
      </c>
      <c r="QE14" s="74">
        <v>5623</v>
      </c>
      <c r="QF14" s="74">
        <v>3251</v>
      </c>
      <c r="QG14" s="74">
        <v>0</v>
      </c>
      <c r="QH14">
        <v>4991</v>
      </c>
      <c r="QI14">
        <v>4082</v>
      </c>
      <c r="QJ14">
        <v>3930</v>
      </c>
      <c r="QK14">
        <v>3690</v>
      </c>
      <c r="QL14">
        <v>4487</v>
      </c>
      <c r="QM14">
        <v>3272</v>
      </c>
      <c r="QN14">
        <v>0</v>
      </c>
      <c r="QO14">
        <v>1902</v>
      </c>
      <c r="QP14">
        <v>3987</v>
      </c>
      <c r="QQ14">
        <v>3999</v>
      </c>
      <c r="QR14">
        <v>4681</v>
      </c>
      <c r="QS14">
        <v>4291</v>
      </c>
      <c r="QT14">
        <v>2970</v>
      </c>
      <c r="QU14">
        <v>0</v>
      </c>
      <c r="QV14">
        <v>3041</v>
      </c>
      <c r="QW14">
        <v>4190</v>
      </c>
      <c r="QX14">
        <v>4090</v>
      </c>
      <c r="QY14">
        <v>3869</v>
      </c>
      <c r="QZ14">
        <v>3118</v>
      </c>
      <c r="RA14">
        <v>2101</v>
      </c>
      <c r="RB14">
        <v>0</v>
      </c>
      <c r="RC14">
        <v>2766</v>
      </c>
      <c r="RD14">
        <v>2861</v>
      </c>
      <c r="RE14">
        <v>3587</v>
      </c>
      <c r="RF14">
        <v>4742</v>
      </c>
      <c r="RG14">
        <v>4110</v>
      </c>
      <c r="RH14">
        <v>0</v>
      </c>
      <c r="RI14">
        <v>0</v>
      </c>
      <c r="RJ14">
        <v>4807</v>
      </c>
      <c r="RK14">
        <v>6139</v>
      </c>
      <c r="RL14">
        <v>987</v>
      </c>
      <c r="RM14">
        <v>4652</v>
      </c>
      <c r="RN14">
        <v>3144</v>
      </c>
      <c r="RO14">
        <v>3717</v>
      </c>
      <c r="RP14">
        <v>0</v>
      </c>
      <c r="RQ14">
        <v>2186</v>
      </c>
      <c r="RR14">
        <v>4147</v>
      </c>
      <c r="RS14">
        <v>3251</v>
      </c>
      <c r="RT14">
        <v>4953</v>
      </c>
      <c r="RU14">
        <v>4591</v>
      </c>
      <c r="RV14">
        <v>3361</v>
      </c>
      <c r="RW14">
        <v>0</v>
      </c>
      <c r="RX14">
        <v>3099</v>
      </c>
      <c r="RY14">
        <v>5486</v>
      </c>
      <c r="RZ14">
        <v>3885</v>
      </c>
      <c r="SA14">
        <v>5558</v>
      </c>
      <c r="SB14">
        <v>3746</v>
      </c>
      <c r="SC14">
        <v>2261</v>
      </c>
      <c r="SD14">
        <v>0</v>
      </c>
      <c r="SE14">
        <v>3352</v>
      </c>
      <c r="SF14">
        <v>3409</v>
      </c>
      <c r="SG14">
        <v>3095</v>
      </c>
      <c r="SH14">
        <v>5522</v>
      </c>
      <c r="SI14">
        <v>4671</v>
      </c>
      <c r="SJ14">
        <v>2606</v>
      </c>
      <c r="SK14">
        <v>0</v>
      </c>
      <c r="SL14">
        <v>3149</v>
      </c>
      <c r="SM14">
        <v>4621</v>
      </c>
      <c r="SN14">
        <v>3522</v>
      </c>
      <c r="SO14">
        <v>4349</v>
      </c>
      <c r="SP14">
        <v>5095</v>
      </c>
      <c r="SQ14">
        <v>2826</v>
      </c>
      <c r="SR14">
        <v>0</v>
      </c>
      <c r="SS14">
        <v>2868</v>
      </c>
      <c r="ST14">
        <v>3530</v>
      </c>
      <c r="SU14">
        <v>3259</v>
      </c>
      <c r="SV14">
        <v>4809</v>
      </c>
      <c r="SW14">
        <v>4572</v>
      </c>
      <c r="SX14">
        <v>2556</v>
      </c>
      <c r="SY14">
        <v>0</v>
      </c>
      <c r="SZ14">
        <v>2776</v>
      </c>
      <c r="TA14">
        <v>4567</v>
      </c>
      <c r="TB14">
        <v>3060</v>
      </c>
      <c r="TC14">
        <v>4305</v>
      </c>
      <c r="TD14">
        <v>3199</v>
      </c>
      <c r="TE14">
        <v>2145</v>
      </c>
      <c r="TF14">
        <v>0</v>
      </c>
      <c r="TG14">
        <v>2202</v>
      </c>
      <c r="TH14">
        <v>3599</v>
      </c>
      <c r="TI14">
        <v>3562</v>
      </c>
      <c r="TJ14">
        <v>4199</v>
      </c>
      <c r="TK14">
        <v>3776</v>
      </c>
      <c r="TL14">
        <v>3761</v>
      </c>
      <c r="TM14">
        <v>0</v>
      </c>
      <c r="TN14">
        <v>0</v>
      </c>
      <c r="TO14">
        <v>4503</v>
      </c>
      <c r="TP14">
        <v>245</v>
      </c>
      <c r="TQ14">
        <v>6281</v>
      </c>
      <c r="TR14">
        <v>646</v>
      </c>
      <c r="TS14">
        <v>200</v>
      </c>
      <c r="TT14">
        <v>0</v>
      </c>
      <c r="TU14">
        <v>0</v>
      </c>
      <c r="TV14">
        <v>0</v>
      </c>
      <c r="TW14">
        <v>567</v>
      </c>
      <c r="TX14">
        <v>997</v>
      </c>
      <c r="TY14">
        <v>2562</v>
      </c>
      <c r="TZ14">
        <v>1907</v>
      </c>
      <c r="UA14">
        <v>0</v>
      </c>
      <c r="UB14">
        <v>3201</v>
      </c>
      <c r="UC14">
        <v>3503</v>
      </c>
      <c r="UD14">
        <v>3094</v>
      </c>
      <c r="UE14">
        <v>4905</v>
      </c>
      <c r="UF14">
        <v>5093</v>
      </c>
      <c r="UG14">
        <v>2815</v>
      </c>
      <c r="UH14">
        <v>0</v>
      </c>
      <c r="UI14">
        <v>224</v>
      </c>
      <c r="UJ14">
        <v>3970</v>
      </c>
      <c r="UK14">
        <v>4355</v>
      </c>
      <c r="UL14">
        <v>0</v>
      </c>
      <c r="UM14">
        <v>4325</v>
      </c>
      <c r="UN14">
        <v>2161</v>
      </c>
      <c r="UO14">
        <v>0</v>
      </c>
      <c r="UP14">
        <v>0</v>
      </c>
      <c r="UQ14">
        <v>3572</v>
      </c>
      <c r="UR14">
        <v>4029</v>
      </c>
      <c r="US14">
        <v>4024</v>
      </c>
      <c r="UT14">
        <v>5027</v>
      </c>
      <c r="UU14">
        <v>3030</v>
      </c>
      <c r="UV14">
        <v>0</v>
      </c>
      <c r="UW14">
        <v>0</v>
      </c>
      <c r="UX14">
        <v>2661</v>
      </c>
      <c r="UY14">
        <v>3879</v>
      </c>
      <c r="UZ14">
        <v>3538</v>
      </c>
      <c r="VA14">
        <v>3929</v>
      </c>
      <c r="VB14">
        <v>2183</v>
      </c>
      <c r="VC14">
        <v>0</v>
      </c>
      <c r="VD14">
        <v>2738</v>
      </c>
      <c r="VE14">
        <v>3400</v>
      </c>
      <c r="VF14">
        <v>3389</v>
      </c>
      <c r="VG14">
        <v>3059</v>
      </c>
      <c r="VH14">
        <v>4845</v>
      </c>
      <c r="VI14">
        <v>2296</v>
      </c>
      <c r="VJ14">
        <v>0</v>
      </c>
      <c r="VK14">
        <v>2777</v>
      </c>
      <c r="VL14">
        <v>238</v>
      </c>
      <c r="VM14">
        <v>3369</v>
      </c>
      <c r="VN14">
        <v>5035</v>
      </c>
      <c r="VO14">
        <v>322</v>
      </c>
      <c r="VP14">
        <v>3023</v>
      </c>
      <c r="VQ14">
        <v>0</v>
      </c>
      <c r="VR14">
        <v>2554</v>
      </c>
      <c r="VS14">
        <v>0</v>
      </c>
      <c r="VT14">
        <v>2158</v>
      </c>
      <c r="VU14">
        <v>4153</v>
      </c>
      <c r="VV14">
        <v>3788</v>
      </c>
      <c r="VW14">
        <v>2973</v>
      </c>
      <c r="VX14">
        <v>0</v>
      </c>
      <c r="VY14">
        <v>2769</v>
      </c>
      <c r="VZ14">
        <v>3222</v>
      </c>
      <c r="WA14">
        <v>3851</v>
      </c>
      <c r="WB14">
        <v>1089</v>
      </c>
      <c r="WC14">
        <v>3759</v>
      </c>
      <c r="WD14">
        <v>2425</v>
      </c>
      <c r="WE14">
        <v>0</v>
      </c>
      <c r="WF14">
        <v>714</v>
      </c>
      <c r="WG14">
        <v>416</v>
      </c>
      <c r="WH14">
        <v>2958</v>
      </c>
      <c r="WI14">
        <v>3950</v>
      </c>
      <c r="WJ14">
        <v>3350</v>
      </c>
      <c r="WK14">
        <v>2172</v>
      </c>
      <c r="WL14">
        <v>0</v>
      </c>
      <c r="WM14">
        <v>2260</v>
      </c>
      <c r="WN14">
        <v>3699</v>
      </c>
      <c r="WO14">
        <v>3206</v>
      </c>
      <c r="WP14">
        <v>4240</v>
      </c>
      <c r="WQ14">
        <v>3300</v>
      </c>
      <c r="WR14">
        <v>2016</v>
      </c>
      <c r="WS14">
        <v>0</v>
      </c>
      <c r="WT14">
        <v>2227</v>
      </c>
      <c r="WU14">
        <v>3632</v>
      </c>
      <c r="WV14">
        <v>2649</v>
      </c>
      <c r="WW14">
        <v>3179</v>
      </c>
      <c r="WX14">
        <v>4458</v>
      </c>
      <c r="WY14">
        <v>3424</v>
      </c>
      <c r="WZ14">
        <v>0</v>
      </c>
      <c r="XA14">
        <v>1734</v>
      </c>
      <c r="XB14">
        <v>3269</v>
      </c>
      <c r="XC14">
        <v>3621</v>
      </c>
      <c r="XD14">
        <v>2856</v>
      </c>
      <c r="XE14">
        <v>3543</v>
      </c>
      <c r="XF14">
        <v>2923</v>
      </c>
      <c r="XG14">
        <v>0</v>
      </c>
      <c r="XH14">
        <v>3252</v>
      </c>
      <c r="XI14">
        <v>3150</v>
      </c>
      <c r="XJ14">
        <v>3411</v>
      </c>
      <c r="XK14">
        <v>3711</v>
      </c>
      <c r="XL14">
        <v>4227</v>
      </c>
      <c r="XM14">
        <v>2772</v>
      </c>
      <c r="XN14">
        <v>0</v>
      </c>
      <c r="XO14">
        <v>2770</v>
      </c>
      <c r="XP14">
        <v>4179</v>
      </c>
      <c r="XQ14">
        <v>3739</v>
      </c>
      <c r="XR14">
        <v>3600</v>
      </c>
      <c r="XS14">
        <v>4651</v>
      </c>
      <c r="XT14">
        <v>2720</v>
      </c>
      <c r="XU14">
        <v>0</v>
      </c>
      <c r="XV14">
        <v>0</v>
      </c>
      <c r="XW14">
        <v>2771</v>
      </c>
      <c r="XX14">
        <v>3783</v>
      </c>
      <c r="XY14">
        <v>7107</v>
      </c>
      <c r="XZ14">
        <v>2376</v>
      </c>
      <c r="YA14">
        <v>2593</v>
      </c>
      <c r="YB14">
        <v>0</v>
      </c>
      <c r="YC14">
        <v>2488</v>
      </c>
      <c r="YD14">
        <v>3665</v>
      </c>
      <c r="YE14">
        <v>3943</v>
      </c>
      <c r="YF14">
        <v>4686</v>
      </c>
      <c r="YG14">
        <v>4437</v>
      </c>
      <c r="YH14">
        <v>3764</v>
      </c>
      <c r="YI14">
        <v>0</v>
      </c>
      <c r="YJ14">
        <v>2645</v>
      </c>
      <c r="YK14">
        <v>0</v>
      </c>
      <c r="YL14">
        <v>3332</v>
      </c>
      <c r="YM14">
        <v>4813</v>
      </c>
      <c r="YN14">
        <v>3210</v>
      </c>
      <c r="YO14">
        <v>4207</v>
      </c>
      <c r="YP14">
        <v>0</v>
      </c>
      <c r="YQ14">
        <v>2663</v>
      </c>
      <c r="YR14">
        <v>4037</v>
      </c>
      <c r="YS14">
        <v>3991</v>
      </c>
      <c r="YT14">
        <v>5004</v>
      </c>
      <c r="YU14">
        <v>5039</v>
      </c>
      <c r="YV14">
        <v>3640</v>
      </c>
      <c r="YW14">
        <v>0</v>
      </c>
      <c r="YX14">
        <v>3974</v>
      </c>
      <c r="YY14">
        <v>9033</v>
      </c>
      <c r="YZ14">
        <v>5345</v>
      </c>
      <c r="ZA14">
        <v>6713</v>
      </c>
      <c r="ZB14">
        <v>3795</v>
      </c>
      <c r="ZC14">
        <v>2721</v>
      </c>
      <c r="ZD14">
        <v>0</v>
      </c>
      <c r="ZE14">
        <v>625</v>
      </c>
      <c r="ZF14">
        <v>2699</v>
      </c>
      <c r="ZG14">
        <v>177</v>
      </c>
      <c r="ZH14">
        <v>7797</v>
      </c>
      <c r="ZI14">
        <v>3176</v>
      </c>
      <c r="ZJ14">
        <v>2940</v>
      </c>
      <c r="ZK14">
        <v>0</v>
      </c>
      <c r="ZL14">
        <v>2621</v>
      </c>
      <c r="ZM14">
        <v>3309</v>
      </c>
      <c r="ZN14">
        <v>3336</v>
      </c>
      <c r="ZO14">
        <v>4692</v>
      </c>
      <c r="ZP14">
        <v>3391</v>
      </c>
      <c r="ZQ14">
        <v>3380</v>
      </c>
      <c r="ZR14">
        <v>0</v>
      </c>
      <c r="ZS14">
        <v>2597</v>
      </c>
      <c r="ZT14">
        <v>2980</v>
      </c>
      <c r="ZU14">
        <v>3591</v>
      </c>
      <c r="ZV14">
        <v>4182</v>
      </c>
      <c r="ZW14">
        <v>3493</v>
      </c>
      <c r="ZX14">
        <v>2582</v>
      </c>
      <c r="ZY14">
        <v>0</v>
      </c>
      <c r="ZZ14">
        <v>1717</v>
      </c>
      <c r="AAA14">
        <v>3539</v>
      </c>
      <c r="AAB14">
        <v>2850</v>
      </c>
      <c r="AAC14">
        <v>4725</v>
      </c>
      <c r="AAD14">
        <v>3278</v>
      </c>
      <c r="AAE14">
        <v>3068</v>
      </c>
      <c r="AAF14">
        <v>0</v>
      </c>
      <c r="AAG14">
        <v>3033</v>
      </c>
      <c r="AAH14">
        <v>4181</v>
      </c>
      <c r="AAI14">
        <v>2580</v>
      </c>
      <c r="AAJ14">
        <v>4902</v>
      </c>
      <c r="AAK14">
        <v>2618</v>
      </c>
      <c r="AAL14">
        <v>2347</v>
      </c>
      <c r="AAM14">
        <v>0</v>
      </c>
      <c r="AAN14">
        <v>2102</v>
      </c>
      <c r="AAO14">
        <v>2459</v>
      </c>
      <c r="AAP14">
        <v>3560</v>
      </c>
      <c r="AAQ14">
        <v>4985</v>
      </c>
      <c r="AAR14">
        <v>4463</v>
      </c>
      <c r="AAS14">
        <v>3866</v>
      </c>
      <c r="AAT14">
        <v>0</v>
      </c>
      <c r="AAU14">
        <v>0</v>
      </c>
      <c r="AAV14">
        <v>1998</v>
      </c>
      <c r="AAW14">
        <v>3016</v>
      </c>
      <c r="AAX14">
        <v>2619</v>
      </c>
      <c r="AAY14">
        <v>3631</v>
      </c>
      <c r="AAZ14">
        <v>2475</v>
      </c>
      <c r="ABA14">
        <v>0</v>
      </c>
      <c r="ABB14">
        <v>2549</v>
      </c>
      <c r="ABC14">
        <v>4176</v>
      </c>
      <c r="ABD14">
        <v>3336</v>
      </c>
      <c r="ABE14">
        <v>0</v>
      </c>
      <c r="ABF14">
        <v>4745</v>
      </c>
      <c r="ABG14">
        <v>3880</v>
      </c>
      <c r="ABH14">
        <v>0</v>
      </c>
      <c r="ABI14">
        <v>2869</v>
      </c>
      <c r="ABJ14">
        <v>3820</v>
      </c>
      <c r="ABK14">
        <v>4532</v>
      </c>
      <c r="ABL14">
        <v>3892</v>
      </c>
      <c r="ABM14">
        <v>3393</v>
      </c>
      <c r="ABN14">
        <v>3082</v>
      </c>
      <c r="ABO14">
        <v>0</v>
      </c>
      <c r="ABP14">
        <v>3065</v>
      </c>
      <c r="ABQ14">
        <v>3515</v>
      </c>
      <c r="ABR14">
        <v>3457</v>
      </c>
      <c r="ABS14">
        <v>4740</v>
      </c>
      <c r="ABT14">
        <v>4639</v>
      </c>
      <c r="ABU14">
        <v>3767</v>
      </c>
      <c r="ABV14">
        <v>0</v>
      </c>
      <c r="ABW14">
        <v>2774</v>
      </c>
      <c r="ABX14">
        <v>4086</v>
      </c>
      <c r="ABY14">
        <v>2974</v>
      </c>
      <c r="ABZ14">
        <v>3459</v>
      </c>
      <c r="ACA14">
        <v>4269</v>
      </c>
      <c r="ACB14">
        <v>2657</v>
      </c>
      <c r="ACC14">
        <v>0</v>
      </c>
      <c r="ACD14">
        <v>2654</v>
      </c>
      <c r="ACE14">
        <v>2756</v>
      </c>
      <c r="ACF14">
        <v>4055</v>
      </c>
      <c r="ACG14">
        <v>5299</v>
      </c>
      <c r="ACH14">
        <v>3563</v>
      </c>
      <c r="ACI14">
        <v>2705</v>
      </c>
      <c r="ACJ14">
        <v>0</v>
      </c>
      <c r="ACK14">
        <v>2233</v>
      </c>
      <c r="ACL14">
        <v>3299</v>
      </c>
      <c r="ACM14">
        <v>5536</v>
      </c>
      <c r="ACN14">
        <v>3288</v>
      </c>
      <c r="ACO14">
        <v>3016</v>
      </c>
      <c r="ACP14">
        <v>3414</v>
      </c>
      <c r="ACQ14">
        <v>0</v>
      </c>
      <c r="ACR14">
        <v>3053</v>
      </c>
      <c r="ACS14">
        <v>3569</v>
      </c>
      <c r="ACT14">
        <v>3509</v>
      </c>
      <c r="ACU14">
        <v>4989</v>
      </c>
      <c r="ACV14">
        <v>0</v>
      </c>
      <c r="ACW14">
        <v>2739</v>
      </c>
      <c r="ACX14">
        <v>0</v>
      </c>
      <c r="ACY14">
        <v>2954</v>
      </c>
      <c r="ACZ14">
        <v>4030</v>
      </c>
      <c r="ADA14">
        <v>3823</v>
      </c>
      <c r="ADB14">
        <v>5555</v>
      </c>
      <c r="ADC14">
        <v>4703</v>
      </c>
      <c r="ADD14">
        <v>6053</v>
      </c>
      <c r="ADE14">
        <v>0</v>
      </c>
      <c r="ADF14">
        <v>3782</v>
      </c>
      <c r="ADG14">
        <v>4350</v>
      </c>
      <c r="ADH14">
        <v>6132</v>
      </c>
      <c r="ADI14">
        <v>4806</v>
      </c>
      <c r="ADJ14">
        <v>5941</v>
      </c>
      <c r="ADK14">
        <v>3288</v>
      </c>
      <c r="ADL14">
        <v>0</v>
      </c>
      <c r="ADM14">
        <v>3482</v>
      </c>
      <c r="ADN14">
        <v>4051</v>
      </c>
      <c r="ADO14">
        <v>4794</v>
      </c>
      <c r="ADP14">
        <v>7348</v>
      </c>
      <c r="ADQ14">
        <v>6442</v>
      </c>
      <c r="ADR14">
        <v>3675</v>
      </c>
      <c r="ADS14">
        <v>0</v>
      </c>
      <c r="ADT14">
        <v>2165</v>
      </c>
      <c r="ADU14">
        <v>810</v>
      </c>
      <c r="ADV14">
        <v>0</v>
      </c>
      <c r="ADW14">
        <v>0</v>
      </c>
      <c r="ADX14">
        <v>272</v>
      </c>
      <c r="ADY14">
        <v>256</v>
      </c>
      <c r="ADZ14">
        <v>0</v>
      </c>
      <c r="AEA14">
        <v>1200</v>
      </c>
      <c r="AEB14">
        <v>1732</v>
      </c>
      <c r="AEC14">
        <v>2030</v>
      </c>
      <c r="AED14">
        <v>3691</v>
      </c>
      <c r="AEE14">
        <v>3578</v>
      </c>
      <c r="AEF14">
        <v>4237</v>
      </c>
      <c r="AEG14">
        <v>0</v>
      </c>
      <c r="AEH14">
        <v>3018</v>
      </c>
      <c r="AEI14">
        <v>4122</v>
      </c>
      <c r="AEJ14">
        <v>3119</v>
      </c>
      <c r="AEK14">
        <v>4653</v>
      </c>
      <c r="AEL14">
        <v>5819</v>
      </c>
      <c r="AEM14">
        <v>3345</v>
      </c>
      <c r="AEN14">
        <v>0</v>
      </c>
      <c r="AEO14">
        <v>3019</v>
      </c>
      <c r="AEP14">
        <v>3411</v>
      </c>
      <c r="AEQ14">
        <v>2628</v>
      </c>
      <c r="AER14">
        <v>4624</v>
      </c>
      <c r="AES14">
        <v>4862</v>
      </c>
      <c r="AET14">
        <v>3874</v>
      </c>
      <c r="AEU14">
        <v>0</v>
      </c>
      <c r="AEV14">
        <v>3413</v>
      </c>
      <c r="AEW14">
        <v>4199</v>
      </c>
      <c r="AEX14">
        <v>4691</v>
      </c>
      <c r="AEY14">
        <v>5546</v>
      </c>
      <c r="AEZ14">
        <v>4407</v>
      </c>
      <c r="AFA14">
        <v>3313</v>
      </c>
      <c r="AFB14">
        <v>0</v>
      </c>
      <c r="AFC14">
        <v>2490</v>
      </c>
      <c r="AFD14">
        <v>0</v>
      </c>
      <c r="AFE14">
        <v>0</v>
      </c>
      <c r="AFF14">
        <v>4311</v>
      </c>
      <c r="AFG14">
        <v>3080</v>
      </c>
      <c r="AFH14">
        <v>4080</v>
      </c>
      <c r="AFI14">
        <v>0</v>
      </c>
      <c r="AFJ14">
        <v>1942</v>
      </c>
      <c r="AFK14">
        <v>3822</v>
      </c>
      <c r="AFL14">
        <v>4037</v>
      </c>
      <c r="AFM14">
        <v>3916</v>
      </c>
      <c r="AFN14">
        <v>3708</v>
      </c>
      <c r="AFO14">
        <v>2965</v>
      </c>
      <c r="AFP14">
        <v>0</v>
      </c>
      <c r="AFQ14">
        <v>2956</v>
      </c>
      <c r="AFR14">
        <v>4213</v>
      </c>
      <c r="AFS14">
        <v>3512</v>
      </c>
      <c r="AFT14">
        <v>3365</v>
      </c>
      <c r="AFU14">
        <v>4171</v>
      </c>
      <c r="AFV14">
        <v>3015</v>
      </c>
      <c r="AFW14">
        <v>0</v>
      </c>
      <c r="AFX14">
        <v>2530</v>
      </c>
      <c r="AFY14">
        <v>4239</v>
      </c>
      <c r="AFZ14">
        <v>3785</v>
      </c>
      <c r="AGA14">
        <v>4319</v>
      </c>
      <c r="AGB14">
        <v>4189</v>
      </c>
      <c r="AGC14">
        <v>3168</v>
      </c>
      <c r="AGD14">
        <v>0</v>
      </c>
      <c r="AGE14">
        <v>3827</v>
      </c>
      <c r="AGF14">
        <v>1624</v>
      </c>
      <c r="AGG14">
        <v>2789</v>
      </c>
      <c r="AGH14">
        <v>3324</v>
      </c>
      <c r="AGI14">
        <v>4934</v>
      </c>
      <c r="AGJ14">
        <v>0</v>
      </c>
      <c r="AGK14">
        <v>0</v>
      </c>
      <c r="AGL14">
        <v>3106</v>
      </c>
      <c r="AGM14">
        <v>4610</v>
      </c>
      <c r="AGN14">
        <v>4140</v>
      </c>
      <c r="AGO14">
        <v>4309</v>
      </c>
      <c r="AGP14">
        <v>4696</v>
      </c>
      <c r="AGQ14">
        <v>3049</v>
      </c>
      <c r="AGR14">
        <v>0</v>
      </c>
      <c r="AGS14">
        <v>2909</v>
      </c>
      <c r="AGT14">
        <v>3531</v>
      </c>
      <c r="AGU14">
        <v>3488</v>
      </c>
      <c r="AGV14">
        <v>4751</v>
      </c>
      <c r="AGW14">
        <v>4389</v>
      </c>
      <c r="AGX14">
        <v>3758</v>
      </c>
      <c r="AGY14">
        <v>0</v>
      </c>
      <c r="AGZ14">
        <v>3206</v>
      </c>
      <c r="AHA14">
        <v>3189</v>
      </c>
      <c r="AHB14">
        <v>3526</v>
      </c>
      <c r="AHC14">
        <v>5049</v>
      </c>
      <c r="AHD14">
        <v>3480</v>
      </c>
      <c r="AHE14">
        <v>2676</v>
      </c>
      <c r="AHI14">
        <v>2414</v>
      </c>
      <c r="AHJ14">
        <v>4294</v>
      </c>
      <c r="AHK14">
        <v>4152</v>
      </c>
      <c r="AHL14">
        <v>4217</v>
      </c>
      <c r="AHM14">
        <v>0</v>
      </c>
      <c r="AHN14">
        <v>0</v>
      </c>
      <c r="AHO14">
        <v>3988</v>
      </c>
      <c r="AHP14">
        <v>4802</v>
      </c>
      <c r="AHQ14">
        <v>5729</v>
      </c>
      <c r="AHR14">
        <v>6098</v>
      </c>
      <c r="AHS14">
        <v>3590</v>
      </c>
      <c r="AHT14">
        <v>0</v>
      </c>
      <c r="AHU14">
        <v>0</v>
      </c>
      <c r="AHV14">
        <v>0</v>
      </c>
      <c r="AHW14">
        <v>533</v>
      </c>
      <c r="AHX14">
        <v>1401</v>
      </c>
      <c r="AHY14">
        <v>2637</v>
      </c>
      <c r="AHZ14">
        <v>2118</v>
      </c>
      <c r="AIA14">
        <v>0</v>
      </c>
      <c r="AIB14">
        <v>2334</v>
      </c>
      <c r="AIC14">
        <v>3322</v>
      </c>
      <c r="AID14">
        <v>3072</v>
      </c>
      <c r="AIE14">
        <v>4515</v>
      </c>
      <c r="AIF14">
        <v>4407</v>
      </c>
      <c r="AIG14">
        <v>3337</v>
      </c>
      <c r="AIH14">
        <v>0</v>
      </c>
      <c r="AII14">
        <v>2828</v>
      </c>
      <c r="AIJ14">
        <v>3664</v>
      </c>
      <c r="AIK14">
        <v>3674</v>
      </c>
      <c r="AIL14">
        <v>4690</v>
      </c>
      <c r="AIM14">
        <v>0</v>
      </c>
      <c r="AIN14">
        <v>3148</v>
      </c>
      <c r="AIO14">
        <v>0</v>
      </c>
      <c r="AIP14">
        <v>0</v>
      </c>
      <c r="AIQ14">
        <v>2893</v>
      </c>
      <c r="AIR14">
        <v>4699</v>
      </c>
      <c r="AIS14">
        <v>4734</v>
      </c>
      <c r="AIT14">
        <v>4148</v>
      </c>
      <c r="AIU14">
        <v>7638</v>
      </c>
      <c r="AIV14">
        <v>0</v>
      </c>
      <c r="AIW14">
        <v>2397</v>
      </c>
      <c r="AIX14">
        <v>3605</v>
      </c>
      <c r="AIY14">
        <v>3176</v>
      </c>
      <c r="AIZ14">
        <v>4323</v>
      </c>
      <c r="AJA14">
        <v>3648</v>
      </c>
      <c r="AJB14">
        <v>2736</v>
      </c>
      <c r="AJC14">
        <v>0</v>
      </c>
      <c r="AJD14">
        <v>2199</v>
      </c>
      <c r="AJE14">
        <v>4359</v>
      </c>
      <c r="AJF14">
        <v>2761</v>
      </c>
      <c r="AJG14">
        <v>3453</v>
      </c>
      <c r="AJH14">
        <v>2974</v>
      </c>
      <c r="AJI14">
        <v>2615</v>
      </c>
      <c r="AJJ14">
        <v>0</v>
      </c>
      <c r="AJK14">
        <v>1587</v>
      </c>
      <c r="AJL14">
        <v>4217</v>
      </c>
      <c r="AJM14">
        <v>3802</v>
      </c>
      <c r="AJN14">
        <v>3175</v>
      </c>
      <c r="AJO14">
        <v>3690</v>
      </c>
      <c r="AJP14">
        <v>2146</v>
      </c>
      <c r="AJQ14">
        <v>0</v>
      </c>
      <c r="AJR14">
        <v>0</v>
      </c>
      <c r="AJS14">
        <v>2875</v>
      </c>
      <c r="AJT14">
        <v>0</v>
      </c>
      <c r="AJU14">
        <v>3375</v>
      </c>
      <c r="AJV14">
        <v>3224</v>
      </c>
      <c r="AJW14">
        <v>4355</v>
      </c>
      <c r="AJX14">
        <v>0</v>
      </c>
      <c r="AJY14">
        <v>1831</v>
      </c>
      <c r="AJZ14">
        <v>3641</v>
      </c>
      <c r="AKA14">
        <v>3452</v>
      </c>
      <c r="AKB14">
        <v>3524</v>
      </c>
      <c r="AKC14">
        <v>3219</v>
      </c>
      <c r="AKD14">
        <v>2828</v>
      </c>
      <c r="AKE14">
        <v>0</v>
      </c>
      <c r="AKF14">
        <v>2109</v>
      </c>
    </row>
    <row r="15" spans="1:985" s="135" customFormat="1">
      <c r="A15" s="135">
        <v>2</v>
      </c>
      <c r="B15" s="136" t="s">
        <v>43</v>
      </c>
      <c r="C15" s="137">
        <v>82301</v>
      </c>
      <c r="D15" s="137" t="s">
        <v>8</v>
      </c>
      <c r="E15" s="137" t="s">
        <v>41</v>
      </c>
      <c r="F15" s="137" t="s">
        <v>11</v>
      </c>
      <c r="G15" s="137" t="s">
        <v>33</v>
      </c>
      <c r="H15" s="137" t="s">
        <v>44</v>
      </c>
      <c r="I15" s="137" t="s">
        <v>45</v>
      </c>
      <c r="J15" s="137" t="s">
        <v>46</v>
      </c>
      <c r="K15" s="138"/>
      <c r="L15" s="138"/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  <c r="AA15" s="138">
        <v>23359</v>
      </c>
      <c r="AB15" s="138">
        <v>12285</v>
      </c>
      <c r="AC15" s="138"/>
      <c r="AD15" s="138">
        <v>10411</v>
      </c>
      <c r="AE15" s="138">
        <v>13798</v>
      </c>
      <c r="AF15" s="138">
        <v>8106</v>
      </c>
      <c r="AG15" s="138">
        <v>19384</v>
      </c>
      <c r="AH15" s="138">
        <v>15080</v>
      </c>
      <c r="AI15" s="138">
        <v>15248</v>
      </c>
      <c r="AJ15" s="138"/>
      <c r="AK15" s="138">
        <v>13521</v>
      </c>
      <c r="AL15" s="138">
        <v>17117</v>
      </c>
      <c r="AM15" s="138">
        <v>9315</v>
      </c>
      <c r="AN15" s="138">
        <v>24263</v>
      </c>
      <c r="AO15" s="138">
        <v>8992</v>
      </c>
      <c r="AP15" s="138">
        <v>7112</v>
      </c>
      <c r="AQ15" s="138"/>
      <c r="AR15" s="138">
        <v>8900</v>
      </c>
      <c r="AS15" s="138"/>
      <c r="AT15" s="138">
        <v>8549</v>
      </c>
      <c r="AU15" s="138">
        <v>21446</v>
      </c>
      <c r="AV15" s="138">
        <v>19097</v>
      </c>
      <c r="AW15" s="138">
        <v>10866</v>
      </c>
      <c r="AX15" s="138"/>
      <c r="AY15" s="138">
        <v>13828</v>
      </c>
      <c r="AZ15" s="138">
        <v>18572</v>
      </c>
      <c r="BA15" s="138">
        <v>10421</v>
      </c>
      <c r="BB15" s="138">
        <v>35568</v>
      </c>
      <c r="BC15" s="138">
        <v>14743</v>
      </c>
      <c r="BD15" s="138">
        <v>9552</v>
      </c>
      <c r="BE15" s="138"/>
      <c r="BF15" s="138">
        <v>12481</v>
      </c>
      <c r="BG15" s="138">
        <v>29086</v>
      </c>
      <c r="BH15" s="138">
        <v>46542</v>
      </c>
      <c r="BI15" s="138">
        <v>35609</v>
      </c>
      <c r="BJ15" s="138">
        <v>27420</v>
      </c>
      <c r="BK15" s="138">
        <v>20653</v>
      </c>
      <c r="BL15" s="138"/>
      <c r="BM15" s="138">
        <v>14104</v>
      </c>
      <c r="BN15" s="138">
        <v>17212</v>
      </c>
      <c r="BO15" s="138">
        <v>25024</v>
      </c>
      <c r="BP15" s="138">
        <v>19443</v>
      </c>
      <c r="BQ15" s="138">
        <v>2978</v>
      </c>
      <c r="BR15" s="138"/>
      <c r="BS15" s="138"/>
      <c r="BT15" s="138"/>
      <c r="BU15" s="138"/>
      <c r="BV15" s="138">
        <v>1155</v>
      </c>
      <c r="BW15" s="138">
        <v>6039</v>
      </c>
      <c r="BX15" s="138">
        <v>21194</v>
      </c>
      <c r="BY15" s="138">
        <v>16523</v>
      </c>
      <c r="BZ15" s="138"/>
      <c r="CA15" s="138">
        <v>10557</v>
      </c>
      <c r="CB15" s="135">
        <v>7264</v>
      </c>
      <c r="CC15" s="135">
        <v>25232</v>
      </c>
      <c r="CD15" s="135">
        <v>33785</v>
      </c>
      <c r="CE15" s="135">
        <v>8856</v>
      </c>
      <c r="CF15" s="135">
        <v>19219</v>
      </c>
      <c r="CG15" s="135">
        <v>1</v>
      </c>
      <c r="CH15" s="135">
        <v>17554</v>
      </c>
      <c r="CI15" s="135">
        <v>22744</v>
      </c>
      <c r="CJ15" s="135">
        <v>13613</v>
      </c>
      <c r="CK15" s="135">
        <v>30938</v>
      </c>
      <c r="CL15" s="135">
        <v>19338</v>
      </c>
      <c r="CM15" s="135">
        <v>189</v>
      </c>
      <c r="CO15" s="135">
        <v>21195</v>
      </c>
      <c r="CP15" s="135">
        <v>11918</v>
      </c>
      <c r="CQ15" s="135">
        <v>17566</v>
      </c>
      <c r="CR15" s="135">
        <v>21492</v>
      </c>
      <c r="CS15" s="135">
        <v>25980</v>
      </c>
      <c r="CT15" s="135">
        <v>14174</v>
      </c>
      <c r="CV15" s="135">
        <v>34349</v>
      </c>
      <c r="CW15" s="135">
        <v>136</v>
      </c>
      <c r="CX15" s="135">
        <v>12885</v>
      </c>
      <c r="CY15" s="135">
        <v>12347</v>
      </c>
      <c r="CZ15" s="135">
        <v>11063</v>
      </c>
      <c r="DA15" s="135">
        <v>7138</v>
      </c>
      <c r="DC15" s="135">
        <v>11747</v>
      </c>
      <c r="DD15" s="135">
        <v>24793</v>
      </c>
      <c r="DE15" s="135">
        <v>5432</v>
      </c>
      <c r="DF15" s="135">
        <v>18611</v>
      </c>
      <c r="DG15" s="135">
        <v>13143</v>
      </c>
      <c r="DH15" s="135">
        <v>8083</v>
      </c>
      <c r="DJ15" s="135">
        <v>30514</v>
      </c>
      <c r="DK15" s="135">
        <v>11661</v>
      </c>
      <c r="DL15" s="135">
        <v>8687</v>
      </c>
      <c r="DM15" s="135">
        <v>14765</v>
      </c>
      <c r="DN15" s="135">
        <v>20146</v>
      </c>
      <c r="DO15" s="135">
        <v>13088</v>
      </c>
      <c r="DQ15" s="135">
        <v>14383</v>
      </c>
      <c r="DR15" s="135">
        <v>31455</v>
      </c>
      <c r="DS15" s="135">
        <v>9447</v>
      </c>
      <c r="DT15" s="135">
        <v>35003</v>
      </c>
      <c r="DU15" s="135">
        <v>20163</v>
      </c>
      <c r="DV15" s="135">
        <v>16150</v>
      </c>
      <c r="DX15" s="135">
        <v>13054</v>
      </c>
      <c r="DY15" s="135">
        <v>10051</v>
      </c>
      <c r="DZ15" s="135">
        <v>23744</v>
      </c>
      <c r="EA15" s="135">
        <v>19722</v>
      </c>
      <c r="EB15" s="135">
        <v>9749</v>
      </c>
      <c r="EC15" s="135">
        <v>9880</v>
      </c>
      <c r="EE15" s="135">
        <v>3638</v>
      </c>
      <c r="EF15" s="135">
        <v>11286</v>
      </c>
      <c r="EG15" s="135">
        <v>9936</v>
      </c>
      <c r="EH15" s="135">
        <v>22978</v>
      </c>
      <c r="EI15" s="135">
        <v>11313</v>
      </c>
      <c r="EJ15" s="135">
        <v>9353</v>
      </c>
      <c r="EL15" s="135">
        <v>8487</v>
      </c>
      <c r="EM15" s="135">
        <v>13355</v>
      </c>
      <c r="EN15" s="135">
        <v>15304</v>
      </c>
      <c r="EO15" s="135">
        <v>36781</v>
      </c>
      <c r="EP15" s="135">
        <v>25952</v>
      </c>
      <c r="EQ15" s="135">
        <v>8718</v>
      </c>
      <c r="ES15" s="135">
        <v>16648</v>
      </c>
      <c r="ET15" s="135">
        <v>19160</v>
      </c>
      <c r="EU15" s="135">
        <v>21622</v>
      </c>
      <c r="EV15" s="135">
        <v>21349</v>
      </c>
      <c r="EW15" s="135">
        <v>13859</v>
      </c>
      <c r="EX15" s="135">
        <v>14831</v>
      </c>
      <c r="EZ15" s="135">
        <v>10056</v>
      </c>
      <c r="FA15" s="135">
        <v>23971</v>
      </c>
      <c r="FB15" s="135">
        <v>11570</v>
      </c>
      <c r="FC15" s="135">
        <v>13103</v>
      </c>
      <c r="FD15" s="135">
        <v>13666</v>
      </c>
      <c r="FE15" s="135">
        <v>16111</v>
      </c>
      <c r="FG15" s="135">
        <v>9641</v>
      </c>
      <c r="FH15" s="135">
        <v>16899</v>
      </c>
      <c r="FI15" s="135">
        <v>9256</v>
      </c>
      <c r="FJ15" s="135">
        <v>48824</v>
      </c>
      <c r="FK15" s="135">
        <v>21484</v>
      </c>
      <c r="FN15" s="135">
        <v>9950</v>
      </c>
      <c r="FO15" s="135">
        <v>19687</v>
      </c>
      <c r="FP15" s="135">
        <v>13525</v>
      </c>
      <c r="FQ15" s="135">
        <v>27571</v>
      </c>
      <c r="FR15" s="135">
        <v>16383</v>
      </c>
      <c r="FV15" s="135">
        <v>6998</v>
      </c>
      <c r="FW15" s="135">
        <v>6720</v>
      </c>
      <c r="FX15" s="135">
        <v>15636</v>
      </c>
      <c r="FY15" s="135">
        <v>6596</v>
      </c>
      <c r="FZ15" s="135">
        <v>59087</v>
      </c>
      <c r="GA15" s="135">
        <v>36860</v>
      </c>
      <c r="GB15" s="135">
        <v>16481</v>
      </c>
      <c r="GC15" s="135">
        <v>17405</v>
      </c>
      <c r="GD15" s="135">
        <v>19284</v>
      </c>
      <c r="GE15" s="135">
        <v>18796</v>
      </c>
      <c r="GF15" s="135">
        <v>18671</v>
      </c>
      <c r="GG15" s="135">
        <v>12927</v>
      </c>
      <c r="GI15" s="135">
        <v>7706</v>
      </c>
      <c r="GJ15" s="135">
        <v>28390</v>
      </c>
      <c r="GL15" s="135">
        <v>19181</v>
      </c>
      <c r="GM15" s="135">
        <v>16648</v>
      </c>
      <c r="GP15" s="135">
        <v>13422</v>
      </c>
      <c r="GQ15" s="135">
        <v>12808</v>
      </c>
      <c r="GR15" s="135">
        <v>28820</v>
      </c>
      <c r="GS15" s="135">
        <v>14997</v>
      </c>
      <c r="GT15" s="135">
        <v>18860</v>
      </c>
      <c r="GU15" s="135">
        <v>12208</v>
      </c>
      <c r="GW15" s="135">
        <v>5481</v>
      </c>
      <c r="GX15" s="135">
        <v>13638</v>
      </c>
      <c r="GY15" s="135">
        <v>8333</v>
      </c>
      <c r="GZ15" s="135">
        <v>20260</v>
      </c>
      <c r="HA15" s="135">
        <v>13361</v>
      </c>
      <c r="HB15" s="135">
        <v>13514</v>
      </c>
      <c r="HD15" s="135">
        <v>14005</v>
      </c>
      <c r="HE15" s="135">
        <v>15337</v>
      </c>
      <c r="HG15" s="135">
        <v>20670</v>
      </c>
      <c r="HH15" s="135">
        <v>13258</v>
      </c>
      <c r="HI15" s="135">
        <v>20206</v>
      </c>
      <c r="HK15" s="135">
        <v>8517</v>
      </c>
      <c r="HL15" s="135">
        <v>18630</v>
      </c>
      <c r="HM15" s="135">
        <v>10830</v>
      </c>
      <c r="HN15" s="135">
        <v>18203</v>
      </c>
      <c r="HO15" s="135">
        <v>14464</v>
      </c>
      <c r="HP15" s="135">
        <v>8880</v>
      </c>
      <c r="HS15" s="135">
        <v>11052</v>
      </c>
      <c r="HT15" s="135">
        <v>15679</v>
      </c>
      <c r="HU15" s="135">
        <v>20408</v>
      </c>
      <c r="HV15" s="135">
        <v>9512</v>
      </c>
      <c r="HW15" s="135">
        <v>10849</v>
      </c>
      <c r="HY15" s="135">
        <v>11285</v>
      </c>
      <c r="HZ15" s="135">
        <v>11648</v>
      </c>
      <c r="IA15" s="135">
        <v>35392</v>
      </c>
      <c r="IB15" s="135">
        <v>37408</v>
      </c>
      <c r="IC15" s="135">
        <v>12942</v>
      </c>
      <c r="ID15" s="135">
        <v>10143</v>
      </c>
      <c r="IF15" s="135">
        <v>9513</v>
      </c>
      <c r="IG15" s="135">
        <v>23502</v>
      </c>
      <c r="IH15" s="135">
        <v>17548</v>
      </c>
      <c r="II15" s="135">
        <v>16412</v>
      </c>
      <c r="IJ15" s="135">
        <v>16372</v>
      </c>
      <c r="IK15" s="135">
        <v>10171</v>
      </c>
      <c r="IM15" s="135">
        <v>8283</v>
      </c>
      <c r="IN15" s="135">
        <v>29877</v>
      </c>
      <c r="IO15" s="135">
        <v>11154</v>
      </c>
      <c r="IP15" s="135">
        <v>17018</v>
      </c>
      <c r="IQ15" s="135">
        <v>18821</v>
      </c>
      <c r="IR15" s="135">
        <v>11827</v>
      </c>
      <c r="IT15" s="135">
        <v>9635</v>
      </c>
      <c r="IU15" s="135">
        <v>13030</v>
      </c>
      <c r="IV15" s="135">
        <v>2915</v>
      </c>
      <c r="IW15" s="135">
        <v>30203</v>
      </c>
      <c r="IX15" s="135">
        <v>10530</v>
      </c>
      <c r="IY15" s="135">
        <v>10671</v>
      </c>
      <c r="JA15" s="135">
        <v>9949</v>
      </c>
      <c r="JB15" s="135">
        <v>13741</v>
      </c>
      <c r="JC15" s="135">
        <v>10798</v>
      </c>
      <c r="JD15" s="135">
        <v>14405</v>
      </c>
      <c r="JE15" s="135">
        <v>21871</v>
      </c>
      <c r="JF15" s="135">
        <v>18499</v>
      </c>
      <c r="JG15" s="135">
        <v>0</v>
      </c>
      <c r="JH15" s="135">
        <v>9901</v>
      </c>
      <c r="JI15" s="135">
        <v>11935</v>
      </c>
      <c r="JJ15" s="135">
        <v>10154</v>
      </c>
      <c r="JK15" s="135">
        <v>32296</v>
      </c>
      <c r="JL15" s="135">
        <v>7523</v>
      </c>
      <c r="JM15" s="135">
        <v>15770</v>
      </c>
      <c r="JN15" s="135">
        <v>0</v>
      </c>
      <c r="JO15" s="135">
        <v>26070</v>
      </c>
      <c r="JP15" s="135">
        <v>10376</v>
      </c>
      <c r="JQ15" s="135">
        <v>11241</v>
      </c>
      <c r="JR15" s="135">
        <v>21158</v>
      </c>
      <c r="JS15" s="135">
        <v>15891</v>
      </c>
      <c r="JT15" s="135">
        <v>12381</v>
      </c>
      <c r="JU15" s="135">
        <v>0</v>
      </c>
      <c r="JV15" s="135">
        <v>0</v>
      </c>
      <c r="JW15" s="135">
        <v>13202</v>
      </c>
      <c r="JX15" s="135">
        <v>12600</v>
      </c>
      <c r="JY15" s="135">
        <v>16516</v>
      </c>
      <c r="JZ15" s="135">
        <v>5418</v>
      </c>
      <c r="KA15" s="135">
        <v>8031</v>
      </c>
      <c r="KB15" s="135">
        <v>0</v>
      </c>
      <c r="KC15" s="135">
        <v>5765</v>
      </c>
      <c r="KD15" s="135">
        <v>14121</v>
      </c>
      <c r="KE15" s="135">
        <v>22022</v>
      </c>
      <c r="KF15" s="135">
        <v>18198</v>
      </c>
      <c r="KG15" s="135">
        <v>8086</v>
      </c>
      <c r="KH15" s="135">
        <v>12170</v>
      </c>
      <c r="KI15" s="135">
        <v>0</v>
      </c>
      <c r="KJ15" s="135">
        <v>0</v>
      </c>
      <c r="KK15" s="135">
        <v>13207</v>
      </c>
      <c r="KL15" s="135">
        <v>12889</v>
      </c>
      <c r="KM15" s="135">
        <v>13993</v>
      </c>
      <c r="KN15" s="135">
        <v>17833</v>
      </c>
      <c r="KO15" s="135">
        <v>19444</v>
      </c>
      <c r="KP15" s="135">
        <v>0</v>
      </c>
      <c r="KQ15" s="135">
        <v>6560</v>
      </c>
      <c r="KR15" s="135">
        <v>16564</v>
      </c>
      <c r="KS15" s="135">
        <v>11295</v>
      </c>
      <c r="KT15" s="135">
        <v>21543</v>
      </c>
      <c r="KU15" s="135">
        <v>15629</v>
      </c>
      <c r="KV15" s="135">
        <v>22678</v>
      </c>
      <c r="KW15" s="135">
        <v>0</v>
      </c>
      <c r="KX15" s="135">
        <v>13599</v>
      </c>
      <c r="KY15" s="135">
        <v>15122</v>
      </c>
      <c r="KZ15" s="135">
        <v>27136</v>
      </c>
      <c r="LA15" s="135">
        <v>16857</v>
      </c>
      <c r="LB15" s="135">
        <v>5842</v>
      </c>
      <c r="LC15" s="135">
        <v>15407</v>
      </c>
      <c r="LD15" s="135">
        <v>0</v>
      </c>
      <c r="LE15" s="135">
        <v>4169</v>
      </c>
      <c r="LF15" s="135">
        <v>9276</v>
      </c>
      <c r="LG15" s="135">
        <v>9251</v>
      </c>
      <c r="LH15" s="135">
        <v>15031</v>
      </c>
      <c r="LI15" s="135">
        <v>7152</v>
      </c>
      <c r="LJ15" s="135">
        <v>13834</v>
      </c>
      <c r="LK15" s="135">
        <v>0</v>
      </c>
      <c r="LL15" s="135">
        <v>14499</v>
      </c>
      <c r="LM15" s="135">
        <v>12866</v>
      </c>
      <c r="LN15" s="135">
        <v>11279</v>
      </c>
      <c r="LO15" s="135">
        <v>30627</v>
      </c>
      <c r="LP15" s="135">
        <v>9531</v>
      </c>
      <c r="LQ15" s="135">
        <v>15393</v>
      </c>
      <c r="LR15" s="135">
        <v>0</v>
      </c>
      <c r="LS15" s="139">
        <v>8877</v>
      </c>
      <c r="LT15" s="135">
        <v>24774</v>
      </c>
      <c r="LU15" s="135">
        <v>6346</v>
      </c>
      <c r="LV15" s="140">
        <v>11719</v>
      </c>
      <c r="LW15" s="135">
        <v>15119</v>
      </c>
      <c r="LX15" s="135">
        <v>10347</v>
      </c>
      <c r="LY15" s="135">
        <v>0</v>
      </c>
      <c r="LZ15" s="135">
        <v>14963</v>
      </c>
      <c r="MA15" s="135">
        <v>30748</v>
      </c>
      <c r="MB15" s="135">
        <v>9778</v>
      </c>
      <c r="MC15" s="135">
        <v>14612</v>
      </c>
      <c r="MD15" s="135">
        <v>8635</v>
      </c>
      <c r="ME15" s="135">
        <v>16211</v>
      </c>
      <c r="MF15" s="135">
        <v>0</v>
      </c>
      <c r="MG15" s="135">
        <v>4494</v>
      </c>
      <c r="MH15" s="135">
        <v>11349</v>
      </c>
      <c r="MI15" s="135">
        <v>5344</v>
      </c>
      <c r="MJ15" s="135">
        <v>12965</v>
      </c>
      <c r="MK15" s="135">
        <v>13562</v>
      </c>
      <c r="ML15" s="135">
        <v>11238</v>
      </c>
      <c r="MM15" s="135">
        <v>0</v>
      </c>
      <c r="MN15" s="135">
        <v>26022</v>
      </c>
      <c r="MO15" s="135">
        <v>8553</v>
      </c>
      <c r="MP15" s="135">
        <v>6448</v>
      </c>
      <c r="MQ15" s="135">
        <v>16136</v>
      </c>
      <c r="MR15" s="135">
        <v>11402</v>
      </c>
      <c r="MS15" s="135">
        <v>9367</v>
      </c>
      <c r="MT15" s="135">
        <v>0</v>
      </c>
      <c r="MU15" s="135">
        <v>0</v>
      </c>
      <c r="MV15" s="135">
        <v>13070</v>
      </c>
      <c r="MW15" s="135">
        <v>16169</v>
      </c>
      <c r="MX15" s="135">
        <v>21608</v>
      </c>
      <c r="MY15" s="135">
        <v>18446</v>
      </c>
      <c r="MZ15" s="135">
        <v>15062</v>
      </c>
      <c r="NA15" s="135">
        <v>0</v>
      </c>
      <c r="NB15" s="135">
        <v>8416</v>
      </c>
      <c r="NC15" s="135">
        <v>12398</v>
      </c>
      <c r="ND15" s="135">
        <v>0</v>
      </c>
      <c r="NE15" s="135">
        <v>23190</v>
      </c>
      <c r="NF15" s="135">
        <v>28093</v>
      </c>
      <c r="NG15" s="135">
        <v>23174</v>
      </c>
      <c r="NH15" s="135">
        <v>0</v>
      </c>
      <c r="NI15" s="135">
        <v>24084</v>
      </c>
      <c r="NJ15" s="135">
        <v>17504</v>
      </c>
      <c r="NK15" s="135">
        <v>20967</v>
      </c>
      <c r="NL15" s="135">
        <v>32871</v>
      </c>
      <c r="NM15" s="135">
        <v>8756</v>
      </c>
      <c r="NN15" s="135">
        <v>8057</v>
      </c>
      <c r="NO15" s="135">
        <v>0</v>
      </c>
      <c r="NP15" s="135">
        <v>15061</v>
      </c>
      <c r="NQ15" s="135">
        <v>25710</v>
      </c>
      <c r="NR15" s="135">
        <v>10024</v>
      </c>
      <c r="NS15" s="135">
        <v>12103</v>
      </c>
      <c r="NT15" s="135">
        <v>8069</v>
      </c>
      <c r="NU15" s="135">
        <v>7961</v>
      </c>
      <c r="NV15" s="141">
        <v>0</v>
      </c>
      <c r="NW15" s="135">
        <v>7188</v>
      </c>
      <c r="NX15" s="135">
        <v>8842</v>
      </c>
      <c r="NY15" s="135">
        <v>8356</v>
      </c>
      <c r="NZ15" s="135">
        <v>13024</v>
      </c>
      <c r="OA15" s="135">
        <v>7606</v>
      </c>
      <c r="OB15" s="135">
        <v>9614</v>
      </c>
      <c r="OC15" s="141">
        <v>0</v>
      </c>
      <c r="OD15" s="135">
        <v>14839</v>
      </c>
      <c r="OE15" s="135">
        <v>15497</v>
      </c>
      <c r="OF15" s="135">
        <v>16070</v>
      </c>
      <c r="OG15" s="135">
        <v>23893</v>
      </c>
      <c r="OH15" s="135">
        <v>36411</v>
      </c>
      <c r="OI15" s="135">
        <v>13762</v>
      </c>
      <c r="OJ15" s="135">
        <v>0</v>
      </c>
      <c r="OK15" s="135">
        <v>1000</v>
      </c>
      <c r="OL15" s="135">
        <v>96</v>
      </c>
      <c r="OM15" s="135">
        <v>212</v>
      </c>
      <c r="ON15" s="135">
        <v>759</v>
      </c>
      <c r="OO15" s="135">
        <v>1638</v>
      </c>
      <c r="OP15" s="141">
        <v>0</v>
      </c>
      <c r="OQ15" s="141">
        <v>0</v>
      </c>
      <c r="OR15" s="135">
        <v>0</v>
      </c>
      <c r="OS15" s="135">
        <v>4581</v>
      </c>
      <c r="OT15" s="135">
        <v>10387</v>
      </c>
      <c r="OU15" s="141">
        <v>0</v>
      </c>
      <c r="OV15" s="135">
        <v>23297</v>
      </c>
      <c r="OW15" s="135">
        <v>13288</v>
      </c>
      <c r="OX15" s="141">
        <v>0</v>
      </c>
      <c r="OY15" s="135">
        <v>12637</v>
      </c>
      <c r="OZ15" s="135">
        <v>15209</v>
      </c>
      <c r="PA15" s="135">
        <v>10171</v>
      </c>
      <c r="PB15" s="135">
        <v>15337</v>
      </c>
      <c r="PC15" s="135">
        <v>20445</v>
      </c>
      <c r="PD15" s="135">
        <v>14205</v>
      </c>
      <c r="PE15" s="135">
        <v>9248</v>
      </c>
      <c r="PF15" s="135">
        <v>9939</v>
      </c>
      <c r="PG15" s="135">
        <v>19351</v>
      </c>
      <c r="PH15" s="135">
        <v>15298</v>
      </c>
      <c r="PI15" s="135">
        <v>39360</v>
      </c>
      <c r="PJ15" s="135">
        <v>18452</v>
      </c>
      <c r="PK15" s="135">
        <v>17652</v>
      </c>
      <c r="PL15" s="135">
        <v>0</v>
      </c>
      <c r="PM15" s="135">
        <v>20800</v>
      </c>
      <c r="PN15" s="135">
        <v>16484</v>
      </c>
      <c r="PO15" s="135">
        <v>20651</v>
      </c>
      <c r="PP15" s="135">
        <v>34540</v>
      </c>
      <c r="PQ15" s="135">
        <v>19896</v>
      </c>
      <c r="PR15" s="135">
        <v>18249</v>
      </c>
      <c r="PS15" s="135">
        <v>6270</v>
      </c>
      <c r="PT15" s="135">
        <v>0</v>
      </c>
      <c r="PU15" s="135">
        <v>0</v>
      </c>
      <c r="PV15" s="135">
        <v>0</v>
      </c>
      <c r="PW15" s="135">
        <v>0</v>
      </c>
      <c r="PX15" s="135">
        <v>2751</v>
      </c>
      <c r="PY15" s="135">
        <v>5146</v>
      </c>
      <c r="PZ15" s="135">
        <v>0</v>
      </c>
      <c r="QA15" s="135">
        <v>15993</v>
      </c>
      <c r="QB15" s="135">
        <v>13768</v>
      </c>
      <c r="QC15" s="135">
        <v>10079</v>
      </c>
      <c r="QD15" s="135">
        <v>28265</v>
      </c>
      <c r="QE15" s="135">
        <v>24214</v>
      </c>
      <c r="QF15" s="135">
        <v>16731</v>
      </c>
      <c r="QG15" s="135">
        <v>0</v>
      </c>
      <c r="QH15" s="135">
        <v>13559</v>
      </c>
      <c r="QI15" s="135">
        <v>18595</v>
      </c>
      <c r="QJ15" s="135">
        <v>11571</v>
      </c>
      <c r="QK15" s="135">
        <v>21745</v>
      </c>
      <c r="QL15" s="135">
        <v>20370</v>
      </c>
      <c r="QM15" s="135">
        <v>13404</v>
      </c>
      <c r="QN15" s="135">
        <v>0</v>
      </c>
      <c r="QO15" s="135">
        <v>16534</v>
      </c>
      <c r="QP15" s="135">
        <v>11766</v>
      </c>
      <c r="QQ15" s="135">
        <v>25253</v>
      </c>
      <c r="QR15" s="135">
        <v>20146</v>
      </c>
      <c r="QS15" s="135">
        <v>17382</v>
      </c>
      <c r="QT15" s="135">
        <v>15075</v>
      </c>
      <c r="QU15" s="135">
        <v>0</v>
      </c>
      <c r="QV15" s="135">
        <v>17851</v>
      </c>
      <c r="QW15" s="135">
        <v>17371</v>
      </c>
      <c r="QX15" s="135">
        <v>7554</v>
      </c>
      <c r="QY15" s="135">
        <v>26002</v>
      </c>
      <c r="QZ15" s="135">
        <v>17880</v>
      </c>
      <c r="RA15" s="135">
        <v>7754</v>
      </c>
      <c r="RB15" s="135">
        <v>0</v>
      </c>
      <c r="RC15" s="135">
        <v>20377</v>
      </c>
      <c r="RD15" s="135">
        <v>10593</v>
      </c>
      <c r="RE15" s="135">
        <v>8378</v>
      </c>
      <c r="RF15" s="135">
        <v>33203</v>
      </c>
      <c r="RG15" s="135">
        <v>30576</v>
      </c>
      <c r="RH15" s="135">
        <v>0</v>
      </c>
      <c r="RI15" s="135">
        <v>0</v>
      </c>
      <c r="RJ15" s="135">
        <v>11364</v>
      </c>
      <c r="RK15" s="135">
        <v>27976</v>
      </c>
      <c r="RL15" s="135">
        <v>10447</v>
      </c>
      <c r="RM15" s="135">
        <v>24635</v>
      </c>
      <c r="RN15" s="135">
        <v>13412</v>
      </c>
      <c r="RO15" s="135">
        <v>10493</v>
      </c>
      <c r="RP15" s="135">
        <v>0</v>
      </c>
      <c r="RQ15" s="135">
        <v>8942</v>
      </c>
      <c r="RR15" s="135">
        <v>16225</v>
      </c>
      <c r="RS15" s="135">
        <v>23988</v>
      </c>
      <c r="RT15" s="135">
        <v>28902</v>
      </c>
      <c r="RU15" s="135">
        <v>16978</v>
      </c>
      <c r="RV15" s="135">
        <v>10394</v>
      </c>
      <c r="RW15" s="135">
        <v>0</v>
      </c>
      <c r="RX15" s="135">
        <v>19832</v>
      </c>
      <c r="RY15" s="135">
        <v>10660</v>
      </c>
      <c r="RZ15" s="135">
        <v>22837</v>
      </c>
      <c r="SA15" s="135">
        <v>23001</v>
      </c>
      <c r="SB15" s="135">
        <v>15300</v>
      </c>
      <c r="SC15" s="135">
        <v>12112</v>
      </c>
      <c r="SD15" s="135">
        <v>0</v>
      </c>
      <c r="SE15" s="135">
        <v>9397</v>
      </c>
      <c r="SF15" s="135">
        <v>9888</v>
      </c>
      <c r="SG15" s="135">
        <v>9082</v>
      </c>
      <c r="SH15" s="135">
        <v>13620</v>
      </c>
      <c r="SI15" s="135">
        <v>36127</v>
      </c>
      <c r="SJ15" s="135">
        <v>9256</v>
      </c>
      <c r="SK15" s="135">
        <v>0</v>
      </c>
      <c r="SL15" s="135">
        <v>9121</v>
      </c>
      <c r="SM15" s="135">
        <v>4121</v>
      </c>
      <c r="SN15" s="135">
        <v>11687</v>
      </c>
      <c r="SO15" s="135">
        <v>13228</v>
      </c>
      <c r="SP15" s="135">
        <v>13109</v>
      </c>
      <c r="SQ15" s="135">
        <v>17982</v>
      </c>
      <c r="SR15" s="135">
        <v>0</v>
      </c>
      <c r="SS15" s="135">
        <v>10043</v>
      </c>
      <c r="ST15" s="135">
        <v>8436</v>
      </c>
      <c r="SU15" s="135">
        <v>10632</v>
      </c>
      <c r="SV15" s="135">
        <v>20649</v>
      </c>
      <c r="SW15" s="135">
        <v>13153</v>
      </c>
      <c r="SX15" s="135">
        <v>18889</v>
      </c>
      <c r="SY15" s="135">
        <v>0</v>
      </c>
      <c r="SZ15" s="135">
        <v>26935</v>
      </c>
      <c r="TA15" s="135">
        <v>19962</v>
      </c>
      <c r="TB15" s="135">
        <v>31761</v>
      </c>
      <c r="TC15" s="135">
        <v>15635</v>
      </c>
      <c r="TD15" s="135">
        <v>19716</v>
      </c>
      <c r="TE15" s="135">
        <v>13386</v>
      </c>
      <c r="TF15" s="135">
        <v>0</v>
      </c>
      <c r="TG15" s="135">
        <v>14606</v>
      </c>
      <c r="TH15" s="135">
        <v>6955</v>
      </c>
      <c r="TI15" s="135">
        <v>10972</v>
      </c>
      <c r="TJ15" s="135">
        <v>10062</v>
      </c>
      <c r="TK15" s="135">
        <v>7518</v>
      </c>
      <c r="TL15" s="135">
        <v>8699</v>
      </c>
      <c r="TM15" s="135">
        <v>0</v>
      </c>
      <c r="TN15" s="135">
        <v>0</v>
      </c>
      <c r="TO15" s="135">
        <v>10237</v>
      </c>
      <c r="TP15" s="135">
        <v>29166</v>
      </c>
      <c r="TQ15" s="135">
        <v>11248</v>
      </c>
      <c r="TR15" s="135">
        <v>19882</v>
      </c>
      <c r="TS15" s="135">
        <v>11468</v>
      </c>
      <c r="TT15" s="135">
        <v>0</v>
      </c>
      <c r="TU15" s="135">
        <v>0</v>
      </c>
      <c r="TV15" s="135">
        <v>0</v>
      </c>
      <c r="TW15" s="135">
        <v>436</v>
      </c>
      <c r="TX15" s="135">
        <v>399</v>
      </c>
      <c r="TY15" s="135">
        <v>11954</v>
      </c>
      <c r="TZ15" s="135">
        <v>10317</v>
      </c>
      <c r="UA15" s="135">
        <v>0</v>
      </c>
      <c r="UB15" s="135">
        <v>12083</v>
      </c>
      <c r="UC15" s="135">
        <v>9562</v>
      </c>
      <c r="UD15" s="135">
        <v>9046</v>
      </c>
      <c r="UE15" s="135">
        <v>25045</v>
      </c>
      <c r="UF15" s="135">
        <v>9231</v>
      </c>
      <c r="UG15" s="135">
        <v>12245</v>
      </c>
      <c r="UH15" s="135">
        <v>0</v>
      </c>
      <c r="UI15" s="135">
        <v>35731</v>
      </c>
      <c r="UJ15" s="135">
        <v>7675</v>
      </c>
      <c r="UK15" s="135">
        <v>12224</v>
      </c>
      <c r="UL15" s="135">
        <v>0</v>
      </c>
      <c r="UM15" s="135">
        <v>17932</v>
      </c>
      <c r="UN15" s="135">
        <v>17358</v>
      </c>
      <c r="UO15" s="135">
        <v>0</v>
      </c>
      <c r="UP15" s="135">
        <v>0</v>
      </c>
      <c r="UQ15" s="135">
        <v>18112</v>
      </c>
      <c r="UR15" s="135">
        <v>7309</v>
      </c>
      <c r="US15" s="135">
        <v>13196</v>
      </c>
      <c r="UT15" s="135">
        <v>15807</v>
      </c>
      <c r="UU15" s="135">
        <v>12157</v>
      </c>
      <c r="UV15" s="135">
        <v>0</v>
      </c>
      <c r="UW15" s="135">
        <v>0</v>
      </c>
      <c r="UX15" s="135">
        <v>25157</v>
      </c>
      <c r="UY15" s="135">
        <v>15182</v>
      </c>
      <c r="UZ15" s="135">
        <v>13920</v>
      </c>
      <c r="VA15" s="135">
        <v>11844</v>
      </c>
      <c r="VB15" s="135">
        <v>8000</v>
      </c>
      <c r="VC15" s="135">
        <v>0</v>
      </c>
      <c r="VD15" s="135">
        <v>12612</v>
      </c>
      <c r="VE15" s="135">
        <v>9432</v>
      </c>
      <c r="VF15" s="135">
        <v>11546</v>
      </c>
      <c r="VG15" s="135">
        <v>14322</v>
      </c>
      <c r="VH15" s="135">
        <v>8844</v>
      </c>
      <c r="VI15" s="135">
        <v>9569</v>
      </c>
      <c r="VJ15" s="135">
        <v>0</v>
      </c>
      <c r="VK15" s="135">
        <v>31049</v>
      </c>
      <c r="VL15" s="135">
        <v>11617</v>
      </c>
      <c r="VM15" s="135">
        <v>18630</v>
      </c>
      <c r="VN15" s="135">
        <v>18769</v>
      </c>
      <c r="VO15" s="135">
        <v>10126</v>
      </c>
      <c r="VP15" s="135">
        <v>10700</v>
      </c>
      <c r="VQ15" s="135">
        <v>0</v>
      </c>
      <c r="VR15" s="135">
        <v>5937</v>
      </c>
      <c r="VS15" s="135">
        <v>0</v>
      </c>
      <c r="VT15" s="135">
        <v>6777</v>
      </c>
      <c r="VU15" s="135">
        <v>13501</v>
      </c>
      <c r="VV15" s="135">
        <v>13803</v>
      </c>
      <c r="VW15" s="135">
        <v>10616</v>
      </c>
      <c r="VX15" s="135">
        <v>0</v>
      </c>
      <c r="VY15" s="135">
        <v>12028</v>
      </c>
      <c r="VZ15" s="135">
        <v>6948</v>
      </c>
      <c r="WA15" s="135">
        <v>7987</v>
      </c>
      <c r="WB15" s="135">
        <v>22496</v>
      </c>
      <c r="WC15" s="135">
        <v>21821</v>
      </c>
      <c r="WD15" s="135">
        <v>10492</v>
      </c>
      <c r="WE15" s="135">
        <v>0</v>
      </c>
      <c r="WF15" s="135">
        <v>14636</v>
      </c>
      <c r="WG15" s="135">
        <v>7592</v>
      </c>
      <c r="WH15" s="135">
        <v>8280</v>
      </c>
      <c r="WI15" s="135">
        <v>14096</v>
      </c>
      <c r="WJ15" s="135">
        <v>7939</v>
      </c>
      <c r="WK15" s="135">
        <v>12684</v>
      </c>
      <c r="WL15" s="135">
        <v>0</v>
      </c>
      <c r="WM15" s="135">
        <v>9753</v>
      </c>
      <c r="WN15" s="135">
        <v>15680</v>
      </c>
      <c r="WO15" s="135">
        <v>8527</v>
      </c>
      <c r="WP15" s="135">
        <v>15719</v>
      </c>
      <c r="WQ15" s="135">
        <v>39044</v>
      </c>
      <c r="WR15" s="135">
        <v>11370</v>
      </c>
      <c r="WS15" s="135">
        <v>0</v>
      </c>
      <c r="WT15" s="135">
        <v>15544</v>
      </c>
      <c r="WU15" s="135">
        <v>4442</v>
      </c>
      <c r="WV15" s="135">
        <v>10764</v>
      </c>
      <c r="WW15" s="135">
        <v>14212</v>
      </c>
      <c r="WX15" s="135">
        <v>11234</v>
      </c>
      <c r="WY15" s="135">
        <v>11303</v>
      </c>
      <c r="WZ15" s="135">
        <v>0</v>
      </c>
      <c r="XA15" s="135">
        <v>11499</v>
      </c>
      <c r="XB15" s="135">
        <v>6075</v>
      </c>
      <c r="XC15" s="135">
        <v>20142</v>
      </c>
      <c r="XD15" s="135">
        <v>9462</v>
      </c>
      <c r="XE15" s="135">
        <v>13000</v>
      </c>
      <c r="XF15" s="135">
        <v>9205</v>
      </c>
      <c r="XG15" s="135">
        <v>0</v>
      </c>
      <c r="XH15" s="135">
        <v>13472</v>
      </c>
      <c r="XI15" s="135">
        <v>4428</v>
      </c>
      <c r="XJ15" s="135">
        <v>15437</v>
      </c>
      <c r="XK15" s="135">
        <v>25004</v>
      </c>
      <c r="XL15" s="135">
        <v>12071</v>
      </c>
      <c r="XM15" s="135">
        <v>15478</v>
      </c>
      <c r="XN15" s="135">
        <v>0</v>
      </c>
      <c r="XO15" s="135">
        <v>10590</v>
      </c>
      <c r="XP15" s="135">
        <v>6983</v>
      </c>
      <c r="XQ15" s="135">
        <v>19415</v>
      </c>
      <c r="XR15" s="135">
        <v>18926</v>
      </c>
      <c r="XS15" s="135">
        <v>14517</v>
      </c>
      <c r="XT15" s="135">
        <v>13541</v>
      </c>
      <c r="XU15" s="135">
        <v>0</v>
      </c>
      <c r="XV15" s="135">
        <v>0</v>
      </c>
      <c r="XW15" s="135">
        <v>16077</v>
      </c>
      <c r="XX15" s="135">
        <v>22005</v>
      </c>
      <c r="XY15" s="135">
        <v>12271</v>
      </c>
      <c r="XZ15" s="135">
        <v>14391</v>
      </c>
      <c r="YA15" s="135">
        <v>9176</v>
      </c>
      <c r="YB15" s="135">
        <v>0</v>
      </c>
      <c r="YC15" s="135">
        <v>6088</v>
      </c>
      <c r="YD15" s="135">
        <v>7667</v>
      </c>
      <c r="YE15" s="135">
        <v>9908</v>
      </c>
      <c r="YF15" s="135">
        <v>21379</v>
      </c>
      <c r="YG15" s="135">
        <v>7576</v>
      </c>
      <c r="YH15" s="135">
        <v>7273</v>
      </c>
      <c r="YI15" s="135">
        <v>0</v>
      </c>
      <c r="YJ15" s="135">
        <v>5634</v>
      </c>
      <c r="YK15" s="135">
        <v>0</v>
      </c>
      <c r="YL15" s="135">
        <v>10927</v>
      </c>
      <c r="YM15" s="135">
        <v>9028</v>
      </c>
      <c r="YN15" s="135">
        <v>17094</v>
      </c>
      <c r="YO15" s="135">
        <v>4872</v>
      </c>
      <c r="YP15" s="135">
        <v>0</v>
      </c>
      <c r="YQ15" s="135">
        <v>22636</v>
      </c>
      <c r="YR15" s="135">
        <v>11698</v>
      </c>
      <c r="YS15" s="135">
        <v>18177</v>
      </c>
      <c r="YT15" s="135">
        <v>19973</v>
      </c>
      <c r="YU15" s="135">
        <v>15580</v>
      </c>
      <c r="YV15" s="135">
        <v>18659</v>
      </c>
      <c r="YW15" s="135">
        <v>0</v>
      </c>
      <c r="YX15" s="135">
        <v>7039</v>
      </c>
      <c r="YY15" s="135">
        <v>16589</v>
      </c>
      <c r="YZ15" s="135">
        <v>18525</v>
      </c>
      <c r="ZA15" s="135">
        <v>24184</v>
      </c>
      <c r="ZB15" s="135">
        <v>19165</v>
      </c>
      <c r="ZC15" s="135">
        <v>10868</v>
      </c>
      <c r="ZD15" s="135">
        <v>0</v>
      </c>
      <c r="ZE15" s="135">
        <v>11031</v>
      </c>
      <c r="ZF15" s="135">
        <v>6839</v>
      </c>
      <c r="ZG15" s="135">
        <v>11407</v>
      </c>
      <c r="ZH15" s="135">
        <v>15345</v>
      </c>
      <c r="ZI15" s="135">
        <v>12265</v>
      </c>
      <c r="ZJ15" s="135">
        <v>8477</v>
      </c>
      <c r="ZK15" s="135">
        <v>0</v>
      </c>
      <c r="ZL15" s="135">
        <v>7645</v>
      </c>
      <c r="ZM15" s="135">
        <v>4329</v>
      </c>
      <c r="ZN15" s="135">
        <v>13406</v>
      </c>
      <c r="ZO15" s="135">
        <v>16748</v>
      </c>
      <c r="ZP15" s="135">
        <v>9743</v>
      </c>
      <c r="ZQ15" s="135">
        <v>10500</v>
      </c>
      <c r="ZR15" s="135">
        <v>0</v>
      </c>
      <c r="ZS15" s="135">
        <v>3527</v>
      </c>
      <c r="ZT15" s="135">
        <v>36454</v>
      </c>
      <c r="ZU15" s="135">
        <v>10363</v>
      </c>
      <c r="ZV15" s="135">
        <v>14415</v>
      </c>
      <c r="ZW15" s="135">
        <v>9614</v>
      </c>
      <c r="ZX15" s="135">
        <v>15000</v>
      </c>
      <c r="ZY15" s="135">
        <v>0</v>
      </c>
      <c r="ZZ15" s="135">
        <v>12246</v>
      </c>
      <c r="AAA15" s="135">
        <v>15607</v>
      </c>
      <c r="AAB15" s="135">
        <v>12913</v>
      </c>
      <c r="AAC15" s="135">
        <v>23233</v>
      </c>
      <c r="AAD15" s="135">
        <v>14261</v>
      </c>
      <c r="AAE15" s="135">
        <v>11895</v>
      </c>
      <c r="AAF15" s="135">
        <v>0</v>
      </c>
      <c r="AAG15" s="135">
        <v>12138</v>
      </c>
      <c r="AAH15" s="135">
        <v>34392</v>
      </c>
      <c r="AAI15" s="135">
        <v>6212</v>
      </c>
      <c r="AAJ15" s="135">
        <v>12003</v>
      </c>
      <c r="AAK15" s="135">
        <v>32008</v>
      </c>
      <c r="AAL15" s="135">
        <v>12051</v>
      </c>
      <c r="AAM15" s="135">
        <v>0</v>
      </c>
      <c r="AAN15" s="135">
        <v>6525</v>
      </c>
      <c r="AAO15" s="135">
        <v>7719</v>
      </c>
      <c r="AAP15" s="135">
        <v>13786</v>
      </c>
      <c r="AAQ15" s="135">
        <v>17109</v>
      </c>
      <c r="AAR15" s="135">
        <v>12237</v>
      </c>
      <c r="AAS15" s="135">
        <v>9831</v>
      </c>
      <c r="AAT15" s="135">
        <v>0</v>
      </c>
      <c r="AAU15" s="135">
        <v>0</v>
      </c>
      <c r="AAV15" s="135">
        <v>11195</v>
      </c>
      <c r="AAW15" s="135">
        <v>8907</v>
      </c>
      <c r="AAX15" s="135">
        <v>14550</v>
      </c>
      <c r="AAY15" s="135">
        <v>23987</v>
      </c>
      <c r="AAZ15" s="135">
        <v>10876</v>
      </c>
      <c r="ABA15" s="135">
        <v>0</v>
      </c>
      <c r="ABB15" s="135">
        <v>12705</v>
      </c>
      <c r="ABC15" s="135">
        <v>27351</v>
      </c>
      <c r="ABD15" s="135">
        <v>31141</v>
      </c>
      <c r="ABE15" s="135">
        <v>0</v>
      </c>
      <c r="ABF15" s="135">
        <v>18718</v>
      </c>
      <c r="ABG15" s="135">
        <v>28823</v>
      </c>
      <c r="ABH15" s="135">
        <v>0</v>
      </c>
      <c r="ABI15" s="135">
        <v>14447</v>
      </c>
      <c r="ABJ15" s="135">
        <v>21167</v>
      </c>
      <c r="ABK15" s="135">
        <v>9464</v>
      </c>
      <c r="ABL15" s="135">
        <v>23980</v>
      </c>
      <c r="ABM15" s="135">
        <v>19655</v>
      </c>
      <c r="ABN15" s="135">
        <v>21001</v>
      </c>
      <c r="ABO15" s="135">
        <v>0</v>
      </c>
      <c r="ABP15" s="135">
        <v>8982</v>
      </c>
      <c r="ABQ15" s="135">
        <v>16449</v>
      </c>
      <c r="ABR15" s="135">
        <v>12918</v>
      </c>
      <c r="ABS15" s="135">
        <v>19253</v>
      </c>
      <c r="ABT15" s="135">
        <v>21795</v>
      </c>
      <c r="ABU15" s="135">
        <v>14360</v>
      </c>
      <c r="ABV15" s="135">
        <v>0</v>
      </c>
      <c r="ABW15" s="135">
        <v>33090</v>
      </c>
      <c r="ABX15" s="135">
        <v>13232</v>
      </c>
      <c r="ABY15" s="135">
        <v>11000</v>
      </c>
      <c r="ABZ15" s="135">
        <v>26622</v>
      </c>
      <c r="ACA15" s="135">
        <v>14691</v>
      </c>
      <c r="ACB15" s="135">
        <v>12356</v>
      </c>
      <c r="ACC15" s="135">
        <v>0</v>
      </c>
      <c r="ACD15" s="135">
        <v>12497</v>
      </c>
      <c r="ACE15" s="135">
        <v>9609</v>
      </c>
      <c r="ACF15" s="135">
        <v>6470</v>
      </c>
      <c r="ACG15" s="135">
        <v>19160</v>
      </c>
      <c r="ACH15" s="135">
        <v>16151</v>
      </c>
      <c r="ACI15" s="135">
        <v>7790</v>
      </c>
      <c r="ACJ15" s="135">
        <v>0</v>
      </c>
      <c r="ACK15" s="135">
        <v>8883</v>
      </c>
      <c r="ACL15" s="135">
        <v>12834</v>
      </c>
      <c r="ACM15" s="135">
        <v>25231</v>
      </c>
      <c r="ACN15" s="135">
        <v>9758</v>
      </c>
      <c r="ACO15" s="135">
        <v>8025</v>
      </c>
      <c r="ACP15" s="135">
        <v>37829</v>
      </c>
      <c r="ACQ15" s="135">
        <v>0</v>
      </c>
      <c r="ACR15" s="135">
        <v>10986</v>
      </c>
      <c r="ACS15" s="135">
        <v>12078</v>
      </c>
      <c r="ACT15" s="135">
        <v>13956</v>
      </c>
      <c r="ACU15" s="135">
        <v>22248</v>
      </c>
      <c r="ACV15" s="135">
        <v>0</v>
      </c>
      <c r="ACW15" s="135">
        <v>17785</v>
      </c>
      <c r="ACX15" s="135">
        <v>0</v>
      </c>
      <c r="ACY15" s="135">
        <v>13763</v>
      </c>
      <c r="ACZ15" s="135">
        <v>8272</v>
      </c>
      <c r="ADA15" s="135">
        <v>21595</v>
      </c>
      <c r="ADB15" s="135">
        <v>18988</v>
      </c>
      <c r="ADC15" s="135">
        <v>28449</v>
      </c>
      <c r="ADD15" s="135">
        <v>10912</v>
      </c>
      <c r="ADE15" s="135">
        <v>0</v>
      </c>
      <c r="ADF15" s="135">
        <v>11769</v>
      </c>
      <c r="ADG15" s="135">
        <v>17904</v>
      </c>
      <c r="ADH15" s="135">
        <v>19246</v>
      </c>
      <c r="ADI15" s="135">
        <v>22920</v>
      </c>
      <c r="ADJ15" s="135">
        <v>14994</v>
      </c>
      <c r="ADK15" s="135">
        <v>46917</v>
      </c>
      <c r="ADL15" s="135">
        <v>0</v>
      </c>
      <c r="ADM15" s="135">
        <v>21179</v>
      </c>
      <c r="ADN15" s="135">
        <v>10991</v>
      </c>
      <c r="ADO15" s="135">
        <v>17344</v>
      </c>
      <c r="ADP15" s="135">
        <v>23427</v>
      </c>
      <c r="ADQ15" s="135">
        <v>24597</v>
      </c>
      <c r="ADR15" s="135">
        <v>32987</v>
      </c>
      <c r="ADS15" s="135">
        <v>0</v>
      </c>
      <c r="ADT15" s="135">
        <v>17661</v>
      </c>
      <c r="ADU15" s="135">
        <v>4409</v>
      </c>
      <c r="ADV15" s="135">
        <v>0</v>
      </c>
      <c r="ADW15" s="135">
        <v>0</v>
      </c>
      <c r="ADX15" s="135">
        <v>0</v>
      </c>
      <c r="ADY15" s="135">
        <v>1163</v>
      </c>
      <c r="ADZ15" s="135">
        <v>0</v>
      </c>
      <c r="AEA15" s="135">
        <v>4897</v>
      </c>
      <c r="AEB15" s="135">
        <v>3549</v>
      </c>
      <c r="AEC15" s="135">
        <v>4031</v>
      </c>
      <c r="AED15" s="135">
        <v>22216</v>
      </c>
      <c r="AEE15" s="135">
        <v>16159</v>
      </c>
      <c r="AEF15" s="135">
        <v>12137</v>
      </c>
      <c r="AEG15" s="135">
        <v>0</v>
      </c>
      <c r="AEH15" s="135">
        <v>17172</v>
      </c>
      <c r="AEI15" s="135">
        <v>20485</v>
      </c>
      <c r="AEJ15" s="135">
        <v>9886</v>
      </c>
      <c r="AEK15" s="135">
        <v>18610</v>
      </c>
      <c r="AEL15" s="135">
        <v>20279</v>
      </c>
      <c r="AEM15" s="135">
        <v>12888</v>
      </c>
      <c r="AEN15" s="135">
        <v>0</v>
      </c>
      <c r="AEO15" s="135">
        <v>13377</v>
      </c>
      <c r="AEP15" s="135">
        <v>15327</v>
      </c>
      <c r="AEQ15" s="135">
        <v>14329</v>
      </c>
      <c r="AER15" s="135">
        <v>24609</v>
      </c>
      <c r="AES15" s="135">
        <v>31860</v>
      </c>
      <c r="AET15" s="135">
        <v>12253</v>
      </c>
      <c r="AEU15" s="135">
        <v>0</v>
      </c>
      <c r="AEV15" s="135">
        <v>17183</v>
      </c>
      <c r="AEW15" s="135">
        <v>6491</v>
      </c>
      <c r="AEX15" s="135">
        <v>11051</v>
      </c>
      <c r="AEY15" s="135">
        <v>28793</v>
      </c>
      <c r="AEZ15" s="135">
        <v>24763</v>
      </c>
      <c r="AFA15" s="135">
        <v>8373</v>
      </c>
      <c r="AFB15" s="135">
        <v>0</v>
      </c>
      <c r="AFC15" s="135">
        <v>8346</v>
      </c>
      <c r="AFD15" s="135">
        <v>6896</v>
      </c>
      <c r="AFE15" s="135">
        <v>8591</v>
      </c>
      <c r="AFF15" s="135">
        <v>19078</v>
      </c>
      <c r="AFG15" s="135">
        <v>23617</v>
      </c>
      <c r="AFH15" s="135">
        <v>14007</v>
      </c>
      <c r="AFI15" s="135">
        <v>0</v>
      </c>
      <c r="AFJ15" s="135">
        <v>10767</v>
      </c>
      <c r="AFK15" s="135">
        <v>12562</v>
      </c>
      <c r="AFL15" s="135">
        <v>7251</v>
      </c>
      <c r="AFM15" s="135">
        <v>20363</v>
      </c>
      <c r="AFN15" s="135">
        <v>15988</v>
      </c>
      <c r="AFO15" s="135">
        <v>13394</v>
      </c>
      <c r="AFP15" s="135">
        <v>0</v>
      </c>
      <c r="AFQ15" s="135">
        <v>24563</v>
      </c>
      <c r="AFR15" s="135">
        <v>8194</v>
      </c>
      <c r="AFS15" s="135">
        <v>9617</v>
      </c>
      <c r="AFT15" s="135">
        <v>10664</v>
      </c>
      <c r="AFU15" s="135">
        <v>13396</v>
      </c>
      <c r="AFV15" s="135">
        <v>13945</v>
      </c>
      <c r="AFW15" s="135">
        <v>0</v>
      </c>
      <c r="AFX15" s="135">
        <v>8398</v>
      </c>
      <c r="AFY15" s="135">
        <v>11695</v>
      </c>
      <c r="AFZ15" s="135">
        <v>15549</v>
      </c>
      <c r="AGA15" s="135">
        <v>51019</v>
      </c>
      <c r="AGB15" s="135">
        <v>11771</v>
      </c>
      <c r="AGC15" s="135">
        <v>16686</v>
      </c>
      <c r="AGD15" s="135">
        <v>0</v>
      </c>
      <c r="AGE15" s="135">
        <v>11534</v>
      </c>
      <c r="AGF15" s="135">
        <v>6008</v>
      </c>
      <c r="AGG15" s="135">
        <v>5510</v>
      </c>
      <c r="AGH15" s="135">
        <v>14422</v>
      </c>
      <c r="AGI15" s="135">
        <v>15819</v>
      </c>
      <c r="AGJ15" s="135">
        <v>0</v>
      </c>
      <c r="AGK15" s="135">
        <v>0</v>
      </c>
      <c r="AGL15" s="135">
        <v>11468</v>
      </c>
      <c r="AGM15" s="135">
        <v>15272</v>
      </c>
      <c r="AGN15" s="135">
        <v>13184</v>
      </c>
      <c r="AGO15" s="135">
        <v>14291</v>
      </c>
      <c r="AGP15" s="135">
        <v>19198</v>
      </c>
      <c r="AGQ15" s="135">
        <v>23369</v>
      </c>
      <c r="AGR15" s="135">
        <v>0</v>
      </c>
      <c r="AGS15" s="135">
        <v>6180</v>
      </c>
      <c r="AGT15" s="135">
        <v>6891</v>
      </c>
      <c r="AGU15" s="135">
        <v>13910</v>
      </c>
      <c r="AGV15" s="135">
        <v>15911</v>
      </c>
      <c r="AGW15" s="135">
        <v>37457</v>
      </c>
      <c r="AGX15" s="135">
        <v>17628</v>
      </c>
      <c r="AGY15" s="135">
        <v>0</v>
      </c>
      <c r="AGZ15" s="135">
        <v>21155</v>
      </c>
      <c r="AHA15" s="135">
        <v>4816</v>
      </c>
      <c r="AHB15" s="135">
        <v>28640</v>
      </c>
      <c r="AHC15" s="135">
        <v>12114</v>
      </c>
      <c r="AHD15" s="135">
        <v>9182</v>
      </c>
      <c r="AHE15" s="135">
        <v>4437</v>
      </c>
      <c r="AHI15" s="135">
        <v>8432</v>
      </c>
      <c r="AHJ15" s="135">
        <v>12383</v>
      </c>
      <c r="AHK15" s="135">
        <v>14388</v>
      </c>
      <c r="AHL15" s="135">
        <v>22325</v>
      </c>
      <c r="AHM15" s="135">
        <v>0</v>
      </c>
      <c r="AHN15" s="135">
        <v>0</v>
      </c>
      <c r="AHO15" s="135">
        <v>8930</v>
      </c>
      <c r="AHP15" s="135">
        <v>19879</v>
      </c>
      <c r="AHQ15" s="135">
        <v>19589</v>
      </c>
      <c r="AHR15" s="135">
        <v>10197</v>
      </c>
      <c r="AHS15" s="135">
        <v>8597</v>
      </c>
      <c r="AHT15" s="135">
        <v>0</v>
      </c>
      <c r="AHU15" s="135">
        <v>0</v>
      </c>
      <c r="AHV15" s="135">
        <v>0</v>
      </c>
      <c r="AHW15" s="135">
        <v>0</v>
      </c>
      <c r="AHX15" s="135">
        <v>3346</v>
      </c>
      <c r="AHY15" s="135">
        <v>8824</v>
      </c>
      <c r="AHZ15" s="135">
        <v>4877</v>
      </c>
      <c r="AIA15" s="135">
        <v>0</v>
      </c>
      <c r="AIB15" s="135">
        <v>8893</v>
      </c>
      <c r="AIC15" s="135">
        <v>8064</v>
      </c>
      <c r="AID15" s="135">
        <v>9151</v>
      </c>
      <c r="AIE15" s="135">
        <v>30428</v>
      </c>
      <c r="AIF15" s="135">
        <v>20326</v>
      </c>
      <c r="AIG15" s="135">
        <v>14379</v>
      </c>
      <c r="AIH15" s="135">
        <v>0</v>
      </c>
      <c r="AII15" s="135">
        <v>12157</v>
      </c>
      <c r="AIJ15" s="135">
        <v>19221</v>
      </c>
      <c r="AIK15" s="135">
        <v>30800</v>
      </c>
      <c r="AIL15" s="135">
        <v>14661</v>
      </c>
      <c r="AIM15" s="135">
        <v>0</v>
      </c>
      <c r="AIN15" s="135">
        <v>10839</v>
      </c>
      <c r="AIO15" s="135">
        <v>0</v>
      </c>
      <c r="AIP15" s="135">
        <v>0</v>
      </c>
      <c r="AIQ15" s="135">
        <v>12131</v>
      </c>
      <c r="AIR15" s="135">
        <v>15241</v>
      </c>
      <c r="AIS15" s="135">
        <v>20637</v>
      </c>
      <c r="AIT15" s="135">
        <v>12365</v>
      </c>
      <c r="AIU15" s="135">
        <v>13475</v>
      </c>
      <c r="AIV15" s="135">
        <v>0</v>
      </c>
      <c r="AIW15" s="135">
        <v>10292</v>
      </c>
      <c r="AIX15" s="135">
        <v>15614</v>
      </c>
      <c r="AIY15" s="135">
        <v>8558</v>
      </c>
      <c r="AIZ15" s="135">
        <v>9723</v>
      </c>
      <c r="AJA15" s="135">
        <v>10533</v>
      </c>
      <c r="AJB15" s="135">
        <v>14333</v>
      </c>
      <c r="AJC15" s="135">
        <v>0</v>
      </c>
      <c r="AJD15" s="135">
        <v>21803</v>
      </c>
      <c r="AJE15" s="135">
        <v>9102</v>
      </c>
      <c r="AJF15" s="135">
        <v>30229</v>
      </c>
      <c r="AJG15" s="135">
        <v>15714</v>
      </c>
      <c r="AJH15" s="135">
        <v>19340</v>
      </c>
      <c r="AJI15" s="135">
        <v>9465</v>
      </c>
      <c r="AJJ15" s="135">
        <v>0</v>
      </c>
      <c r="AJK15" s="135">
        <v>21493</v>
      </c>
      <c r="AJL15" s="135">
        <v>21631</v>
      </c>
      <c r="AJM15" s="135">
        <v>11371</v>
      </c>
      <c r="AJN15" s="135">
        <v>18403</v>
      </c>
      <c r="AJO15" s="135">
        <v>6842</v>
      </c>
      <c r="AJP15" s="135">
        <v>5506</v>
      </c>
      <c r="AJQ15" s="135">
        <v>0</v>
      </c>
      <c r="AJR15" s="135">
        <v>0</v>
      </c>
      <c r="AJS15" s="135">
        <v>9072</v>
      </c>
      <c r="AJT15" s="135">
        <v>0</v>
      </c>
      <c r="AJU15" s="135">
        <v>11090</v>
      </c>
      <c r="AJV15" s="135">
        <v>12906</v>
      </c>
      <c r="AJW15" s="135">
        <v>7115</v>
      </c>
      <c r="AJX15" s="135">
        <v>0</v>
      </c>
      <c r="AJY15" s="135">
        <v>8857</v>
      </c>
      <c r="AJZ15" s="135">
        <v>13163</v>
      </c>
      <c r="AKA15" s="135">
        <v>7120</v>
      </c>
      <c r="AKB15" s="135">
        <v>17722</v>
      </c>
      <c r="AKC15" s="135">
        <v>11077</v>
      </c>
      <c r="AKD15" s="135">
        <v>6971</v>
      </c>
      <c r="AKE15" s="135">
        <v>0</v>
      </c>
      <c r="AKF15" s="135">
        <v>7391</v>
      </c>
    </row>
    <row r="16" spans="1:985">
      <c r="A16">
        <v>3</v>
      </c>
      <c r="B16" s="132" t="s">
        <v>47</v>
      </c>
      <c r="C16" s="1">
        <v>82301</v>
      </c>
      <c r="D16" s="1" t="s">
        <v>8</v>
      </c>
      <c r="E16" s="1" t="s">
        <v>41</v>
      </c>
      <c r="F16" s="52" t="s">
        <v>17</v>
      </c>
      <c r="G16" s="1" t="s">
        <v>33</v>
      </c>
      <c r="H16" s="1" t="s">
        <v>42</v>
      </c>
      <c r="I16" s="1" t="s">
        <v>14</v>
      </c>
      <c r="J16" s="1" t="s">
        <v>15</v>
      </c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>
        <v>1733</v>
      </c>
      <c r="AE16" s="23">
        <v>1075</v>
      </c>
      <c r="AF16" s="23">
        <v>925</v>
      </c>
      <c r="AG16" s="23">
        <v>1450</v>
      </c>
      <c r="AH16" s="23">
        <v>1980</v>
      </c>
      <c r="AI16" s="23">
        <v>845</v>
      </c>
      <c r="AK16" s="23">
        <v>1510</v>
      </c>
      <c r="AL16" s="23">
        <v>933</v>
      </c>
      <c r="AM16" s="23">
        <v>705</v>
      </c>
      <c r="AN16" s="23">
        <v>972</v>
      </c>
      <c r="AO16" s="23">
        <v>1382</v>
      </c>
      <c r="AP16" s="23">
        <v>785</v>
      </c>
      <c r="AR16" s="23">
        <v>1336</v>
      </c>
      <c r="AT16" s="23">
        <v>1362</v>
      </c>
      <c r="AU16" s="23">
        <v>1047</v>
      </c>
      <c r="AV16" s="23">
        <v>1802</v>
      </c>
      <c r="AW16" s="23">
        <v>2177</v>
      </c>
      <c r="AY16" s="23">
        <v>963</v>
      </c>
      <c r="AZ16" s="23">
        <v>894</v>
      </c>
      <c r="BA16" s="23">
        <v>1391</v>
      </c>
      <c r="BB16" s="23">
        <v>1274</v>
      </c>
      <c r="BC16" s="23">
        <v>1709</v>
      </c>
      <c r="BD16" s="23">
        <v>1634</v>
      </c>
      <c r="BF16" s="23">
        <v>1260</v>
      </c>
      <c r="BG16" s="23">
        <v>1602</v>
      </c>
      <c r="BH16" s="23">
        <v>1551</v>
      </c>
      <c r="BI16" s="23">
        <v>1640</v>
      </c>
      <c r="BJ16" s="23">
        <v>2061</v>
      </c>
      <c r="BK16" s="23">
        <v>1690</v>
      </c>
      <c r="BL16" s="23"/>
      <c r="BM16" s="23">
        <v>1635</v>
      </c>
      <c r="BN16" s="23">
        <v>1264</v>
      </c>
      <c r="BO16" s="23">
        <v>409</v>
      </c>
      <c r="BP16" s="23">
        <v>29</v>
      </c>
      <c r="BQ16" s="23">
        <v>53</v>
      </c>
      <c r="BR16" s="23"/>
      <c r="BS16" s="23"/>
      <c r="BT16" s="23"/>
      <c r="BU16" s="23">
        <v>53</v>
      </c>
      <c r="BV16" s="23">
        <v>66</v>
      </c>
      <c r="BW16" s="23">
        <v>642</v>
      </c>
      <c r="BX16" s="23">
        <v>790</v>
      </c>
      <c r="BY16" s="23">
        <v>988</v>
      </c>
      <c r="BZ16" s="23"/>
      <c r="CA16" s="23">
        <v>1579</v>
      </c>
      <c r="CB16" s="23">
        <v>1077</v>
      </c>
      <c r="CC16" s="23">
        <v>919</v>
      </c>
      <c r="CD16">
        <v>1328</v>
      </c>
      <c r="CE16">
        <v>1469</v>
      </c>
      <c r="CF16">
        <v>1247</v>
      </c>
      <c r="CH16">
        <v>854</v>
      </c>
      <c r="CI16">
        <v>1136</v>
      </c>
      <c r="CJ16">
        <v>714</v>
      </c>
      <c r="CK16">
        <v>1793</v>
      </c>
      <c r="CL16">
        <v>1752</v>
      </c>
      <c r="CO16">
        <v>1435</v>
      </c>
      <c r="CP16">
        <v>1575</v>
      </c>
      <c r="CQ16">
        <v>1710</v>
      </c>
      <c r="CR16">
        <v>2172</v>
      </c>
      <c r="CS16">
        <v>1698</v>
      </c>
      <c r="CT16">
        <v>928</v>
      </c>
      <c r="CV16">
        <v>1015</v>
      </c>
      <c r="CW16">
        <v>979</v>
      </c>
      <c r="CX16">
        <v>702</v>
      </c>
      <c r="CY16">
        <v>977</v>
      </c>
      <c r="CZ16">
        <v>1264</v>
      </c>
      <c r="DA16">
        <v>1129</v>
      </c>
      <c r="DC16">
        <v>845</v>
      </c>
      <c r="DD16">
        <v>1065</v>
      </c>
      <c r="DE16">
        <v>1468</v>
      </c>
      <c r="DF16">
        <v>1703</v>
      </c>
      <c r="DG16">
        <v>1270</v>
      </c>
      <c r="DH16">
        <v>475</v>
      </c>
      <c r="DJ16">
        <v>746</v>
      </c>
      <c r="DK16">
        <v>1190</v>
      </c>
      <c r="DL16">
        <v>1020</v>
      </c>
      <c r="DM16">
        <v>1336</v>
      </c>
      <c r="DN16">
        <v>1365</v>
      </c>
      <c r="DO16">
        <v>1182</v>
      </c>
      <c r="DQ16">
        <v>1194</v>
      </c>
      <c r="DR16">
        <v>1305</v>
      </c>
      <c r="DS16">
        <v>806</v>
      </c>
      <c r="DT16">
        <v>1451</v>
      </c>
      <c r="DU16">
        <v>1615</v>
      </c>
      <c r="DV16">
        <v>952</v>
      </c>
      <c r="DX16">
        <v>668</v>
      </c>
      <c r="DY16">
        <v>1065</v>
      </c>
      <c r="DZ16">
        <v>1619</v>
      </c>
      <c r="EA16">
        <v>793</v>
      </c>
      <c r="EB16">
        <v>1177</v>
      </c>
      <c r="EC16">
        <v>962</v>
      </c>
      <c r="ED16">
        <v>0</v>
      </c>
      <c r="EE16">
        <v>931</v>
      </c>
      <c r="EF16">
        <v>1447</v>
      </c>
      <c r="EG16">
        <v>1740</v>
      </c>
      <c r="EH16">
        <v>1571</v>
      </c>
      <c r="EI16">
        <v>2039</v>
      </c>
      <c r="EJ16">
        <v>1220</v>
      </c>
      <c r="EL16">
        <v>1224</v>
      </c>
      <c r="EM16">
        <v>1343</v>
      </c>
      <c r="EN16">
        <v>1265</v>
      </c>
      <c r="EO16">
        <v>1515</v>
      </c>
      <c r="EP16">
        <v>1183</v>
      </c>
      <c r="EQ16">
        <v>958</v>
      </c>
      <c r="ES16">
        <v>1069</v>
      </c>
      <c r="ET16">
        <v>1164</v>
      </c>
      <c r="EU16">
        <v>1442</v>
      </c>
      <c r="EV16">
        <v>1391</v>
      </c>
      <c r="EW16">
        <v>1659</v>
      </c>
      <c r="EX16">
        <v>839</v>
      </c>
      <c r="EZ16">
        <v>1161</v>
      </c>
      <c r="FA16">
        <v>1267</v>
      </c>
      <c r="FB16">
        <v>1186</v>
      </c>
      <c r="FC16">
        <v>1402</v>
      </c>
      <c r="FD16">
        <v>912</v>
      </c>
      <c r="FE16">
        <v>1044</v>
      </c>
      <c r="FG16">
        <v>1234</v>
      </c>
      <c r="FH16">
        <v>1617</v>
      </c>
      <c r="FI16">
        <v>1103</v>
      </c>
      <c r="FJ16">
        <v>1561</v>
      </c>
      <c r="FK16">
        <v>1708</v>
      </c>
      <c r="FN16">
        <v>2444</v>
      </c>
      <c r="FO16">
        <v>2075</v>
      </c>
      <c r="FP16">
        <v>1449</v>
      </c>
      <c r="FQ16">
        <v>1000</v>
      </c>
      <c r="FR16">
        <v>1036</v>
      </c>
      <c r="FV16">
        <v>90</v>
      </c>
      <c r="FW16">
        <v>609</v>
      </c>
      <c r="FX16">
        <v>857</v>
      </c>
      <c r="FY16">
        <v>1089</v>
      </c>
      <c r="FZ16">
        <v>1515</v>
      </c>
      <c r="GB16">
        <v>1185</v>
      </c>
      <c r="GC16">
        <v>784</v>
      </c>
      <c r="GD16">
        <v>1274</v>
      </c>
      <c r="GE16">
        <v>1315</v>
      </c>
      <c r="GF16">
        <v>1255</v>
      </c>
      <c r="GG16">
        <v>952</v>
      </c>
      <c r="GI16">
        <v>1137</v>
      </c>
      <c r="GJ16">
        <v>925</v>
      </c>
      <c r="GL16">
        <v>1170</v>
      </c>
      <c r="GM16">
        <v>1865</v>
      </c>
      <c r="GO16">
        <v>53</v>
      </c>
      <c r="GP16">
        <v>1517</v>
      </c>
      <c r="GQ16">
        <v>1689</v>
      </c>
      <c r="GR16">
        <v>1333</v>
      </c>
      <c r="GS16">
        <v>1368</v>
      </c>
      <c r="GT16">
        <v>1602</v>
      </c>
      <c r="GU16">
        <v>1215</v>
      </c>
      <c r="GW16">
        <v>1354</v>
      </c>
      <c r="GX16">
        <v>955</v>
      </c>
      <c r="GY16">
        <v>1046</v>
      </c>
      <c r="GZ16">
        <v>1724</v>
      </c>
      <c r="HA16">
        <v>1689</v>
      </c>
      <c r="HB16">
        <v>1158</v>
      </c>
      <c r="HD16">
        <v>743</v>
      </c>
      <c r="HE16">
        <v>1301</v>
      </c>
      <c r="HG16">
        <v>1444</v>
      </c>
      <c r="HH16">
        <v>1926</v>
      </c>
      <c r="HI16">
        <v>1267</v>
      </c>
      <c r="HK16">
        <v>947</v>
      </c>
      <c r="HL16">
        <v>1138</v>
      </c>
      <c r="HM16">
        <v>1087</v>
      </c>
      <c r="HN16">
        <v>1718</v>
      </c>
      <c r="HO16">
        <v>943</v>
      </c>
      <c r="HP16">
        <v>2688</v>
      </c>
      <c r="HS16">
        <v>1518</v>
      </c>
      <c r="HT16">
        <v>2147</v>
      </c>
      <c r="HU16">
        <v>2081</v>
      </c>
      <c r="HV16">
        <v>2853</v>
      </c>
      <c r="HW16">
        <v>2531</v>
      </c>
      <c r="HY16">
        <v>2538</v>
      </c>
      <c r="HZ16">
        <v>2656</v>
      </c>
      <c r="IA16">
        <v>3128</v>
      </c>
      <c r="IB16">
        <v>5083</v>
      </c>
      <c r="IC16">
        <v>3312</v>
      </c>
      <c r="ID16">
        <v>3795</v>
      </c>
      <c r="IF16">
        <v>2958</v>
      </c>
      <c r="IG16">
        <v>2494</v>
      </c>
      <c r="IH16">
        <v>2170</v>
      </c>
      <c r="II16">
        <v>3416</v>
      </c>
      <c r="IJ16">
        <v>3241</v>
      </c>
      <c r="IK16">
        <v>1648</v>
      </c>
      <c r="IM16">
        <v>2554</v>
      </c>
      <c r="IN16">
        <v>2193</v>
      </c>
      <c r="IO16">
        <v>2867</v>
      </c>
      <c r="IP16">
        <v>3730</v>
      </c>
      <c r="IQ16">
        <v>2410</v>
      </c>
      <c r="IR16">
        <v>2572</v>
      </c>
      <c r="IT16">
        <v>3656</v>
      </c>
      <c r="IU16">
        <v>3072</v>
      </c>
      <c r="IV16">
        <v>3148</v>
      </c>
      <c r="IW16">
        <v>3581</v>
      </c>
      <c r="IX16">
        <v>2499</v>
      </c>
      <c r="IY16">
        <v>2158</v>
      </c>
      <c r="IZ16">
        <v>0</v>
      </c>
      <c r="JA16">
        <v>2521</v>
      </c>
      <c r="JB16">
        <v>2269</v>
      </c>
      <c r="JC16">
        <v>4188</v>
      </c>
      <c r="JD16">
        <v>3206</v>
      </c>
      <c r="JE16">
        <v>2711</v>
      </c>
      <c r="JF16">
        <v>2223</v>
      </c>
      <c r="JG16">
        <v>0</v>
      </c>
      <c r="JH16">
        <v>3408</v>
      </c>
      <c r="JI16">
        <v>2601</v>
      </c>
      <c r="JJ16">
        <v>2410</v>
      </c>
      <c r="JK16">
        <v>3991</v>
      </c>
      <c r="JL16">
        <v>4627</v>
      </c>
      <c r="JM16">
        <v>1270</v>
      </c>
      <c r="JN16">
        <v>0</v>
      </c>
      <c r="JO16">
        <v>2927</v>
      </c>
      <c r="JP16">
        <v>2085</v>
      </c>
      <c r="JQ16">
        <v>4248</v>
      </c>
      <c r="JR16">
        <v>4331</v>
      </c>
      <c r="JS16">
        <v>4219</v>
      </c>
      <c r="JT16">
        <v>3433</v>
      </c>
      <c r="JU16">
        <v>0</v>
      </c>
      <c r="JV16">
        <v>0</v>
      </c>
      <c r="JW16">
        <v>3930</v>
      </c>
      <c r="JX16">
        <v>3029</v>
      </c>
      <c r="JY16">
        <v>2488</v>
      </c>
      <c r="JZ16">
        <v>1858</v>
      </c>
      <c r="KA16">
        <v>1721</v>
      </c>
      <c r="KB16">
        <v>0</v>
      </c>
      <c r="KC16">
        <v>3696</v>
      </c>
      <c r="KD16">
        <v>2248</v>
      </c>
      <c r="KE16">
        <v>2871</v>
      </c>
      <c r="KF16">
        <v>4247</v>
      </c>
      <c r="KG16">
        <v>3149</v>
      </c>
      <c r="KH16">
        <v>3483</v>
      </c>
      <c r="KI16">
        <v>0</v>
      </c>
      <c r="KJ16">
        <v>0</v>
      </c>
      <c r="KK16">
        <v>3706</v>
      </c>
      <c r="KL16">
        <v>4107</v>
      </c>
      <c r="KM16">
        <v>3725</v>
      </c>
      <c r="KN16">
        <v>2604</v>
      </c>
      <c r="KO16">
        <v>2288</v>
      </c>
      <c r="KP16">
        <v>0</v>
      </c>
      <c r="KQ16">
        <v>2307</v>
      </c>
      <c r="KR16">
        <v>3543</v>
      </c>
      <c r="KS16">
        <v>3260</v>
      </c>
      <c r="KT16">
        <v>5207</v>
      </c>
      <c r="KU16">
        <v>3314</v>
      </c>
      <c r="KV16">
        <v>2521</v>
      </c>
      <c r="KW16">
        <v>0</v>
      </c>
      <c r="KX16">
        <v>4357</v>
      </c>
      <c r="KY16">
        <v>2393</v>
      </c>
      <c r="KZ16">
        <v>3960</v>
      </c>
      <c r="LA16">
        <v>2255</v>
      </c>
      <c r="LB16">
        <v>3435</v>
      </c>
      <c r="LC16">
        <v>1434</v>
      </c>
      <c r="LD16">
        <v>0</v>
      </c>
      <c r="LE16">
        <v>2774</v>
      </c>
      <c r="LF16">
        <v>2675</v>
      </c>
      <c r="LG16">
        <v>2666</v>
      </c>
      <c r="LH16">
        <v>3269</v>
      </c>
      <c r="LI16">
        <v>3149</v>
      </c>
      <c r="LJ16">
        <v>3201</v>
      </c>
      <c r="LK16">
        <v>0</v>
      </c>
      <c r="LL16">
        <v>1997</v>
      </c>
      <c r="LM16">
        <v>3341</v>
      </c>
      <c r="LN16">
        <v>2542</v>
      </c>
      <c r="LO16">
        <v>2824</v>
      </c>
      <c r="LP16">
        <v>2513</v>
      </c>
      <c r="LQ16">
        <v>1904</v>
      </c>
      <c r="LR16">
        <v>0</v>
      </c>
      <c r="LS16" s="50">
        <v>2196</v>
      </c>
      <c r="LT16">
        <v>3148</v>
      </c>
      <c r="LU16">
        <v>2420</v>
      </c>
      <c r="LV16" s="1">
        <v>3330</v>
      </c>
      <c r="LW16">
        <v>2821</v>
      </c>
      <c r="LX16">
        <v>2476</v>
      </c>
      <c r="LY16">
        <v>0</v>
      </c>
      <c r="LZ16">
        <v>1667</v>
      </c>
      <c r="MA16">
        <v>466</v>
      </c>
      <c r="MB16">
        <v>2387</v>
      </c>
      <c r="MC16">
        <v>1939</v>
      </c>
      <c r="MD16">
        <v>1722</v>
      </c>
      <c r="ME16">
        <v>2192</v>
      </c>
      <c r="MF16">
        <v>0</v>
      </c>
      <c r="MG16">
        <v>1916</v>
      </c>
      <c r="MH16">
        <v>1996</v>
      </c>
      <c r="MI16">
        <v>2792</v>
      </c>
      <c r="MJ16">
        <v>3771</v>
      </c>
      <c r="MK16">
        <v>4100</v>
      </c>
      <c r="ML16">
        <v>2116</v>
      </c>
      <c r="MM16">
        <v>7</v>
      </c>
      <c r="MN16" s="57">
        <v>657</v>
      </c>
      <c r="MO16" s="57">
        <v>864</v>
      </c>
      <c r="MP16" s="57">
        <v>1808</v>
      </c>
      <c r="MQ16" s="57">
        <v>1259</v>
      </c>
      <c r="MR16" s="57">
        <v>1572</v>
      </c>
      <c r="MS16" s="57">
        <v>1565</v>
      </c>
      <c r="MT16" s="57">
        <v>3</v>
      </c>
      <c r="MU16" s="57">
        <v>0</v>
      </c>
      <c r="MV16">
        <v>1998</v>
      </c>
      <c r="MW16">
        <v>973</v>
      </c>
      <c r="MX16">
        <v>2844</v>
      </c>
      <c r="MY16">
        <v>1744</v>
      </c>
      <c r="MZ16">
        <v>3716</v>
      </c>
      <c r="NA16">
        <v>0</v>
      </c>
      <c r="NB16" s="67">
        <v>2314</v>
      </c>
      <c r="NC16" s="67">
        <v>2172</v>
      </c>
      <c r="ND16" s="67">
        <v>82</v>
      </c>
      <c r="NE16" s="67">
        <v>642</v>
      </c>
      <c r="NF16" s="67">
        <v>2989</v>
      </c>
      <c r="NG16" s="67">
        <v>1838</v>
      </c>
      <c r="NH16" s="67">
        <v>63</v>
      </c>
      <c r="NI16" s="67">
        <v>2406</v>
      </c>
      <c r="NJ16" s="67">
        <v>1011</v>
      </c>
      <c r="NK16" s="57">
        <v>2566</v>
      </c>
      <c r="NL16" s="57">
        <v>1861</v>
      </c>
      <c r="NM16" s="57">
        <v>1473</v>
      </c>
      <c r="NN16" s="57">
        <v>1866</v>
      </c>
      <c r="NO16" s="57">
        <v>9</v>
      </c>
      <c r="NP16" s="67">
        <v>745</v>
      </c>
      <c r="NQ16" s="67">
        <v>2075</v>
      </c>
      <c r="NR16" s="67">
        <v>387</v>
      </c>
      <c r="NS16" s="67">
        <v>2118</v>
      </c>
      <c r="NT16" s="67">
        <v>3499</v>
      </c>
      <c r="NU16" s="67">
        <v>2107</v>
      </c>
      <c r="NV16" s="67">
        <v>19</v>
      </c>
      <c r="NW16" s="67">
        <v>1538</v>
      </c>
      <c r="NX16" s="67">
        <v>1838</v>
      </c>
      <c r="NY16" s="67">
        <v>1168</v>
      </c>
      <c r="NZ16" s="67">
        <v>2992</v>
      </c>
      <c r="OA16" s="67">
        <v>2591</v>
      </c>
      <c r="OB16" s="67">
        <v>2304</v>
      </c>
      <c r="OC16" s="67">
        <v>13</v>
      </c>
      <c r="OD16">
        <v>5030</v>
      </c>
      <c r="OE16">
        <v>2734</v>
      </c>
      <c r="OF16">
        <v>4526</v>
      </c>
      <c r="OG16">
        <v>3409</v>
      </c>
      <c r="OH16">
        <v>2580</v>
      </c>
      <c r="OI16">
        <v>2979</v>
      </c>
      <c r="OJ16">
        <v>0</v>
      </c>
      <c r="OK16" s="67">
        <v>2144</v>
      </c>
      <c r="OL16" s="67">
        <v>1282</v>
      </c>
      <c r="OM16" s="67">
        <v>916</v>
      </c>
      <c r="ON16" s="67">
        <v>1107</v>
      </c>
      <c r="OO16" s="67">
        <v>1107</v>
      </c>
      <c r="OP16" s="67">
        <v>5457</v>
      </c>
      <c r="OQ16" s="67">
        <v>456</v>
      </c>
      <c r="OR16" s="67">
        <v>1004</v>
      </c>
      <c r="OS16" s="67">
        <v>2768</v>
      </c>
      <c r="OT16" s="67">
        <v>1559</v>
      </c>
      <c r="OU16" s="67">
        <v>0</v>
      </c>
      <c r="OV16" s="67">
        <v>3587</v>
      </c>
      <c r="OW16" s="67">
        <v>1252</v>
      </c>
      <c r="OX16" s="67">
        <v>71</v>
      </c>
      <c r="OY16" s="67">
        <v>3521</v>
      </c>
      <c r="OZ16" s="67">
        <v>2873</v>
      </c>
      <c r="PA16" s="67">
        <v>4053</v>
      </c>
      <c r="PB16" s="67">
        <v>3370</v>
      </c>
      <c r="PC16" s="67">
        <v>4629</v>
      </c>
      <c r="PD16" s="67">
        <v>6222</v>
      </c>
      <c r="PE16" s="67">
        <v>0</v>
      </c>
      <c r="PF16">
        <v>4571</v>
      </c>
      <c r="PG16">
        <v>4045</v>
      </c>
      <c r="PH16">
        <v>4165</v>
      </c>
      <c r="PI16">
        <v>3467</v>
      </c>
      <c r="PJ16">
        <v>3160</v>
      </c>
      <c r="PK16">
        <v>5935</v>
      </c>
      <c r="PL16">
        <v>0</v>
      </c>
      <c r="PM16">
        <v>3590</v>
      </c>
      <c r="PN16">
        <v>4805</v>
      </c>
      <c r="PO16">
        <v>3989</v>
      </c>
      <c r="PP16">
        <v>3456</v>
      </c>
      <c r="PQ16">
        <v>2790</v>
      </c>
      <c r="PR16">
        <v>1005</v>
      </c>
      <c r="PS16">
        <v>0</v>
      </c>
      <c r="PT16">
        <v>310</v>
      </c>
      <c r="PU16">
        <v>0</v>
      </c>
      <c r="PV16">
        <v>0</v>
      </c>
      <c r="PW16" s="74">
        <v>290</v>
      </c>
      <c r="PX16" s="74">
        <v>2197</v>
      </c>
      <c r="PY16" s="74">
        <v>817</v>
      </c>
      <c r="PZ16" s="74">
        <v>0</v>
      </c>
      <c r="QA16" s="74">
        <v>1879</v>
      </c>
      <c r="QB16" s="74">
        <v>1943</v>
      </c>
      <c r="QC16" s="74">
        <v>3203</v>
      </c>
      <c r="QD16" s="74">
        <v>3952</v>
      </c>
      <c r="QE16" s="74">
        <v>2840</v>
      </c>
      <c r="QF16" s="74">
        <v>2946</v>
      </c>
      <c r="QG16" s="74">
        <v>0</v>
      </c>
      <c r="QH16">
        <v>4369</v>
      </c>
      <c r="QI16">
        <v>3412</v>
      </c>
      <c r="QJ16">
        <v>2665</v>
      </c>
      <c r="QK16">
        <v>3004</v>
      </c>
      <c r="QL16">
        <v>2671</v>
      </c>
      <c r="QM16">
        <v>2969</v>
      </c>
      <c r="QN16">
        <v>0</v>
      </c>
      <c r="QO16">
        <v>3345</v>
      </c>
      <c r="QP16">
        <v>2707</v>
      </c>
      <c r="QQ16">
        <v>3025</v>
      </c>
      <c r="QR16">
        <v>3810</v>
      </c>
      <c r="QS16">
        <v>3243</v>
      </c>
      <c r="QT16">
        <v>3361</v>
      </c>
      <c r="QU16">
        <v>0</v>
      </c>
      <c r="QV16">
        <v>3775</v>
      </c>
      <c r="QW16">
        <v>4055</v>
      </c>
      <c r="QX16">
        <v>2421</v>
      </c>
      <c r="QY16">
        <v>2644</v>
      </c>
      <c r="QZ16">
        <v>1656</v>
      </c>
      <c r="RA16">
        <v>1978</v>
      </c>
      <c r="RB16">
        <v>0</v>
      </c>
      <c r="RC16">
        <v>3755</v>
      </c>
      <c r="RD16">
        <v>1978</v>
      </c>
      <c r="RE16">
        <v>3504</v>
      </c>
      <c r="RF16">
        <v>3701</v>
      </c>
      <c r="RG16">
        <v>2496</v>
      </c>
      <c r="RH16">
        <v>0</v>
      </c>
      <c r="RI16">
        <v>0</v>
      </c>
      <c r="RJ16">
        <v>5176</v>
      </c>
      <c r="RK16">
        <v>3472</v>
      </c>
      <c r="RL16">
        <v>1496</v>
      </c>
      <c r="RM16">
        <v>2964</v>
      </c>
      <c r="RN16">
        <v>2393</v>
      </c>
      <c r="RO16">
        <v>2421</v>
      </c>
      <c r="RP16">
        <v>0</v>
      </c>
      <c r="RQ16">
        <v>2741</v>
      </c>
      <c r="RR16">
        <v>3642</v>
      </c>
      <c r="RS16">
        <v>3372</v>
      </c>
      <c r="RT16">
        <v>3857</v>
      </c>
      <c r="RU16">
        <v>2611</v>
      </c>
      <c r="RV16">
        <v>2782</v>
      </c>
      <c r="RW16">
        <v>0</v>
      </c>
      <c r="RX16">
        <v>4485</v>
      </c>
      <c r="RY16">
        <v>3445</v>
      </c>
      <c r="RZ16">
        <v>2715</v>
      </c>
      <c r="SA16">
        <v>2899</v>
      </c>
      <c r="SB16">
        <v>3233</v>
      </c>
      <c r="SC16">
        <v>3345</v>
      </c>
      <c r="SD16">
        <v>0</v>
      </c>
      <c r="SE16">
        <v>2371</v>
      </c>
      <c r="SF16">
        <v>2645</v>
      </c>
      <c r="SG16">
        <v>2509</v>
      </c>
      <c r="SH16">
        <v>3197</v>
      </c>
      <c r="SI16">
        <v>3968</v>
      </c>
      <c r="SJ16">
        <v>2170</v>
      </c>
      <c r="SK16">
        <v>0</v>
      </c>
      <c r="SL16">
        <v>3681</v>
      </c>
      <c r="SM16">
        <v>2577</v>
      </c>
      <c r="SN16">
        <v>3848</v>
      </c>
      <c r="SO16">
        <v>3767</v>
      </c>
      <c r="SP16">
        <v>3203</v>
      </c>
      <c r="SQ16">
        <v>2287</v>
      </c>
      <c r="SR16">
        <v>0</v>
      </c>
      <c r="SS16">
        <v>2241</v>
      </c>
      <c r="ST16">
        <v>2913</v>
      </c>
      <c r="SU16">
        <v>3619</v>
      </c>
      <c r="SV16">
        <v>4893</v>
      </c>
      <c r="SW16">
        <v>2767</v>
      </c>
      <c r="SX16">
        <v>2254</v>
      </c>
      <c r="SZ16">
        <v>3045</v>
      </c>
      <c r="TA16">
        <v>4434</v>
      </c>
      <c r="TB16">
        <v>3668</v>
      </c>
      <c r="TC16">
        <v>3636</v>
      </c>
      <c r="TD16">
        <v>2807</v>
      </c>
      <c r="TE16">
        <v>2329</v>
      </c>
      <c r="TF16">
        <v>0</v>
      </c>
      <c r="TG16">
        <v>932</v>
      </c>
      <c r="TH16">
        <v>2293</v>
      </c>
      <c r="TI16">
        <v>3834</v>
      </c>
      <c r="TJ16">
        <v>6948</v>
      </c>
      <c r="TK16">
        <v>3494</v>
      </c>
      <c r="TL16">
        <v>3388</v>
      </c>
      <c r="TM16">
        <v>0</v>
      </c>
      <c r="TN16">
        <v>0</v>
      </c>
      <c r="TO16">
        <v>5287</v>
      </c>
      <c r="TP16">
        <v>344</v>
      </c>
      <c r="TQ16">
        <v>4428</v>
      </c>
      <c r="TR16">
        <v>184</v>
      </c>
      <c r="TS16">
        <v>107</v>
      </c>
      <c r="TT16">
        <v>0</v>
      </c>
      <c r="TU16">
        <v>0</v>
      </c>
      <c r="TV16">
        <v>0</v>
      </c>
      <c r="TW16">
        <v>316</v>
      </c>
      <c r="TX16">
        <v>771</v>
      </c>
      <c r="TY16">
        <v>2264</v>
      </c>
      <c r="TZ16">
        <v>2579</v>
      </c>
      <c r="UA16">
        <v>0</v>
      </c>
      <c r="UB16">
        <v>2576</v>
      </c>
      <c r="UC16">
        <v>2574</v>
      </c>
      <c r="UD16">
        <v>3353</v>
      </c>
      <c r="UE16">
        <v>4507</v>
      </c>
      <c r="UF16">
        <v>2325</v>
      </c>
      <c r="UG16">
        <v>2846</v>
      </c>
      <c r="UH16">
        <v>0</v>
      </c>
      <c r="UI16">
        <v>104</v>
      </c>
      <c r="UJ16">
        <v>2863</v>
      </c>
      <c r="UK16">
        <v>3186</v>
      </c>
      <c r="UL16">
        <v>0</v>
      </c>
      <c r="UM16">
        <v>4041</v>
      </c>
      <c r="UN16">
        <v>2072</v>
      </c>
      <c r="UO16">
        <v>0</v>
      </c>
      <c r="UP16">
        <v>0</v>
      </c>
      <c r="UQ16">
        <v>2288</v>
      </c>
      <c r="UR16">
        <v>4085</v>
      </c>
      <c r="US16">
        <v>3421</v>
      </c>
      <c r="UT16">
        <v>3156</v>
      </c>
      <c r="UU16">
        <v>2336</v>
      </c>
      <c r="UV16">
        <v>0</v>
      </c>
      <c r="UW16">
        <v>0</v>
      </c>
      <c r="UX16">
        <v>2018</v>
      </c>
      <c r="UY16">
        <v>3626</v>
      </c>
      <c r="UZ16">
        <v>3839</v>
      </c>
      <c r="VA16">
        <v>2887</v>
      </c>
      <c r="VB16">
        <v>2763</v>
      </c>
      <c r="VC16">
        <v>0</v>
      </c>
      <c r="VD16">
        <v>1979</v>
      </c>
      <c r="VE16">
        <v>2843</v>
      </c>
      <c r="VF16">
        <v>2184</v>
      </c>
      <c r="VG16">
        <v>2176</v>
      </c>
      <c r="VH16">
        <v>3433</v>
      </c>
      <c r="VI16">
        <v>2507</v>
      </c>
      <c r="VJ16">
        <v>0</v>
      </c>
      <c r="VK16">
        <v>2740</v>
      </c>
      <c r="VL16">
        <v>89</v>
      </c>
      <c r="VM16">
        <v>3130</v>
      </c>
      <c r="VN16">
        <v>3322</v>
      </c>
      <c r="VO16">
        <v>104</v>
      </c>
      <c r="VP16">
        <v>3178</v>
      </c>
      <c r="VQ16">
        <v>0</v>
      </c>
      <c r="VR16">
        <v>1889</v>
      </c>
      <c r="VS16">
        <v>0</v>
      </c>
      <c r="VT16">
        <v>2328</v>
      </c>
      <c r="VU16">
        <v>3734</v>
      </c>
      <c r="VV16">
        <v>2521</v>
      </c>
      <c r="VW16">
        <v>2937</v>
      </c>
      <c r="VX16">
        <v>0</v>
      </c>
      <c r="VY16">
        <v>2550</v>
      </c>
      <c r="VZ16">
        <v>2302</v>
      </c>
      <c r="WA16">
        <v>3746</v>
      </c>
      <c r="WB16">
        <v>346</v>
      </c>
      <c r="WC16">
        <v>2245</v>
      </c>
      <c r="WD16">
        <v>3370</v>
      </c>
      <c r="WE16">
        <v>0</v>
      </c>
      <c r="WF16">
        <v>125</v>
      </c>
      <c r="WG16">
        <v>123</v>
      </c>
      <c r="WH16">
        <v>2647</v>
      </c>
      <c r="WI16">
        <v>3120</v>
      </c>
      <c r="WJ16">
        <v>2445</v>
      </c>
      <c r="WK16">
        <v>1842</v>
      </c>
      <c r="WL16">
        <v>0</v>
      </c>
      <c r="WM16">
        <v>2030</v>
      </c>
      <c r="WN16">
        <v>2022</v>
      </c>
      <c r="WO16">
        <v>2166</v>
      </c>
      <c r="WP16">
        <v>4975</v>
      </c>
      <c r="WQ16">
        <v>2974</v>
      </c>
      <c r="WR16">
        <v>1901</v>
      </c>
      <c r="WS16">
        <v>0</v>
      </c>
      <c r="WT16">
        <v>1698</v>
      </c>
      <c r="WU16">
        <v>2026</v>
      </c>
      <c r="WV16">
        <v>1719</v>
      </c>
      <c r="WW16">
        <v>4843</v>
      </c>
      <c r="WX16">
        <v>2139</v>
      </c>
      <c r="WY16">
        <v>1497</v>
      </c>
      <c r="WZ16">
        <v>0</v>
      </c>
      <c r="XA16">
        <v>2196</v>
      </c>
      <c r="XB16">
        <v>3178</v>
      </c>
      <c r="XC16">
        <v>3205</v>
      </c>
      <c r="XD16">
        <v>4039</v>
      </c>
      <c r="XE16">
        <v>2803</v>
      </c>
      <c r="XF16">
        <v>1908</v>
      </c>
      <c r="XG16">
        <v>0</v>
      </c>
      <c r="XH16">
        <v>3141</v>
      </c>
      <c r="XI16">
        <v>2182</v>
      </c>
      <c r="XJ16">
        <v>2799</v>
      </c>
      <c r="XK16">
        <v>2951</v>
      </c>
      <c r="XL16">
        <v>1944</v>
      </c>
      <c r="XM16">
        <v>2396</v>
      </c>
      <c r="XN16">
        <v>0</v>
      </c>
      <c r="XO16">
        <v>4002</v>
      </c>
      <c r="XP16">
        <v>2822</v>
      </c>
      <c r="XQ16">
        <v>3472</v>
      </c>
      <c r="XR16">
        <v>3640</v>
      </c>
      <c r="XS16">
        <v>3284</v>
      </c>
      <c r="XT16">
        <v>2102</v>
      </c>
      <c r="XU16">
        <v>0</v>
      </c>
      <c r="XV16">
        <v>0</v>
      </c>
      <c r="XW16">
        <v>2272</v>
      </c>
      <c r="XX16">
        <v>2688</v>
      </c>
      <c r="XY16">
        <v>4690</v>
      </c>
      <c r="XZ16">
        <v>2183</v>
      </c>
      <c r="YA16">
        <v>2068</v>
      </c>
      <c r="YB16">
        <v>0</v>
      </c>
      <c r="YC16">
        <v>2162</v>
      </c>
      <c r="YD16">
        <v>2505</v>
      </c>
      <c r="YE16">
        <v>5193</v>
      </c>
      <c r="YF16">
        <v>3057</v>
      </c>
      <c r="YG16">
        <v>2559</v>
      </c>
      <c r="YH16">
        <v>4629</v>
      </c>
      <c r="YI16">
        <v>0</v>
      </c>
      <c r="YJ16">
        <v>2304</v>
      </c>
      <c r="YK16">
        <v>0</v>
      </c>
      <c r="YL16">
        <v>2896</v>
      </c>
      <c r="YM16">
        <v>4428</v>
      </c>
      <c r="YN16">
        <v>1897</v>
      </c>
      <c r="YO16">
        <v>4312</v>
      </c>
      <c r="YP16">
        <v>0</v>
      </c>
      <c r="YQ16">
        <v>1927</v>
      </c>
      <c r="YR16">
        <v>2903</v>
      </c>
      <c r="YS16">
        <v>3560</v>
      </c>
      <c r="YT16">
        <v>4801</v>
      </c>
      <c r="YU16">
        <v>3566</v>
      </c>
      <c r="YV16">
        <v>3644</v>
      </c>
      <c r="YW16">
        <v>0</v>
      </c>
      <c r="YX16">
        <v>4569</v>
      </c>
      <c r="YY16">
        <v>3863</v>
      </c>
      <c r="YZ16">
        <v>3493</v>
      </c>
      <c r="ZA16">
        <v>5259</v>
      </c>
      <c r="ZB16">
        <v>2209</v>
      </c>
      <c r="ZC16">
        <v>1251</v>
      </c>
      <c r="ZD16">
        <v>0</v>
      </c>
      <c r="ZE16">
        <v>319</v>
      </c>
      <c r="ZF16">
        <v>3053</v>
      </c>
      <c r="ZG16">
        <v>50</v>
      </c>
      <c r="ZH16">
        <v>6134</v>
      </c>
      <c r="ZI16">
        <v>3128</v>
      </c>
      <c r="ZJ16">
        <v>3474</v>
      </c>
      <c r="ZK16">
        <v>0</v>
      </c>
      <c r="ZL16">
        <v>2889</v>
      </c>
      <c r="ZM16">
        <v>3116</v>
      </c>
      <c r="ZN16">
        <v>2418</v>
      </c>
      <c r="ZO16">
        <v>3695</v>
      </c>
      <c r="ZP16">
        <v>2243</v>
      </c>
      <c r="ZQ16">
        <v>2889</v>
      </c>
      <c r="ZR16">
        <v>0</v>
      </c>
      <c r="ZS16">
        <v>3463</v>
      </c>
      <c r="ZT16">
        <v>1998</v>
      </c>
      <c r="ZU16">
        <v>2887</v>
      </c>
      <c r="ZV16">
        <v>3586</v>
      </c>
      <c r="ZW16">
        <v>2996</v>
      </c>
      <c r="ZX16">
        <v>3323</v>
      </c>
      <c r="ZY16">
        <v>0</v>
      </c>
      <c r="ZZ16">
        <v>1738</v>
      </c>
      <c r="AAA16">
        <v>2082</v>
      </c>
      <c r="AAB16">
        <v>3044</v>
      </c>
      <c r="AAC16">
        <v>4407</v>
      </c>
      <c r="AAD16">
        <v>3092</v>
      </c>
      <c r="AAE16">
        <v>1995</v>
      </c>
      <c r="AAF16">
        <v>0</v>
      </c>
      <c r="AAG16">
        <v>2786</v>
      </c>
      <c r="AAH16">
        <v>5067</v>
      </c>
      <c r="AAI16">
        <v>2065</v>
      </c>
      <c r="AAJ16">
        <v>3434</v>
      </c>
      <c r="AAK16">
        <v>4039</v>
      </c>
      <c r="AAL16">
        <v>2090</v>
      </c>
      <c r="AAM16">
        <v>0</v>
      </c>
      <c r="AAN16">
        <v>1863</v>
      </c>
      <c r="AAO16">
        <v>2677</v>
      </c>
      <c r="AAP16">
        <v>3344</v>
      </c>
      <c r="AAQ16">
        <v>2233</v>
      </c>
      <c r="AAR16">
        <v>2317</v>
      </c>
      <c r="AAS16">
        <v>3326</v>
      </c>
      <c r="AAT16">
        <v>0</v>
      </c>
      <c r="AAU16">
        <v>0</v>
      </c>
      <c r="AAV16">
        <v>4062</v>
      </c>
      <c r="AAW16">
        <v>2575</v>
      </c>
      <c r="AAX16">
        <v>2363</v>
      </c>
      <c r="AAY16">
        <v>3409</v>
      </c>
      <c r="AAZ16">
        <v>4527</v>
      </c>
      <c r="ABA16">
        <v>0</v>
      </c>
      <c r="ABB16">
        <v>2567</v>
      </c>
      <c r="ABC16">
        <v>2723</v>
      </c>
      <c r="ABD16">
        <v>3640</v>
      </c>
      <c r="ABE16">
        <v>0</v>
      </c>
      <c r="ABF16">
        <v>3364</v>
      </c>
      <c r="ABG16">
        <v>3902</v>
      </c>
      <c r="ABH16">
        <v>0</v>
      </c>
      <c r="ABI16">
        <v>3042</v>
      </c>
      <c r="ABJ16">
        <v>3304</v>
      </c>
      <c r="ABK16">
        <v>3168</v>
      </c>
      <c r="ABL16">
        <v>2100</v>
      </c>
      <c r="ABM16">
        <v>3914</v>
      </c>
      <c r="ABN16">
        <v>2798</v>
      </c>
      <c r="ABO16">
        <v>0</v>
      </c>
      <c r="ABP16">
        <v>4229</v>
      </c>
      <c r="ABQ16">
        <v>1608</v>
      </c>
      <c r="ABR16">
        <v>4208</v>
      </c>
      <c r="ABS16">
        <v>3570</v>
      </c>
      <c r="ABT16">
        <v>4906</v>
      </c>
      <c r="ABU16">
        <v>2564</v>
      </c>
      <c r="ABV16">
        <v>0</v>
      </c>
      <c r="ABW16">
        <v>3275</v>
      </c>
      <c r="ABX16">
        <v>3952</v>
      </c>
      <c r="ABY16">
        <v>2869</v>
      </c>
      <c r="ABZ16">
        <v>4353</v>
      </c>
      <c r="ACA16">
        <v>5507</v>
      </c>
      <c r="ACB16">
        <v>2781</v>
      </c>
      <c r="ACC16">
        <v>0</v>
      </c>
      <c r="ACD16">
        <v>3858</v>
      </c>
      <c r="ACE16">
        <v>1914</v>
      </c>
      <c r="ACF16">
        <v>4875</v>
      </c>
      <c r="ACG16">
        <v>2466</v>
      </c>
      <c r="ACH16">
        <v>3542</v>
      </c>
      <c r="ACI16">
        <v>2644</v>
      </c>
      <c r="ACJ16">
        <v>0</v>
      </c>
      <c r="ACK16">
        <v>2316</v>
      </c>
      <c r="ACL16">
        <v>2661</v>
      </c>
      <c r="ACM16">
        <v>4136</v>
      </c>
      <c r="ACN16">
        <v>2921</v>
      </c>
      <c r="ACO16">
        <v>3127</v>
      </c>
      <c r="ACP16">
        <v>2379</v>
      </c>
      <c r="ACQ16">
        <v>0</v>
      </c>
      <c r="ACR16">
        <v>3903</v>
      </c>
      <c r="ACS16">
        <v>2526</v>
      </c>
      <c r="ACT16">
        <v>2357</v>
      </c>
      <c r="ACU16">
        <v>4598</v>
      </c>
      <c r="ACV16">
        <v>0</v>
      </c>
      <c r="ACW16">
        <v>5666</v>
      </c>
      <c r="ACX16">
        <v>0</v>
      </c>
      <c r="ACY16">
        <v>5390</v>
      </c>
      <c r="ACZ16">
        <v>2765</v>
      </c>
      <c r="ADA16">
        <v>2076</v>
      </c>
      <c r="ADB16">
        <v>4440</v>
      </c>
      <c r="ADC16">
        <v>3883</v>
      </c>
      <c r="ADD16">
        <v>6525</v>
      </c>
      <c r="ADE16">
        <v>0</v>
      </c>
      <c r="ADF16">
        <v>3685</v>
      </c>
      <c r="ADG16">
        <v>3357</v>
      </c>
      <c r="ADH16">
        <v>4704</v>
      </c>
      <c r="ADI16">
        <v>3840</v>
      </c>
      <c r="ADJ16">
        <v>3969</v>
      </c>
      <c r="ADK16">
        <v>3349</v>
      </c>
      <c r="ADL16">
        <v>0</v>
      </c>
      <c r="ADM16">
        <v>2957</v>
      </c>
      <c r="ADN16">
        <v>3560</v>
      </c>
      <c r="ADO16">
        <v>4415</v>
      </c>
      <c r="ADP16">
        <v>3153</v>
      </c>
      <c r="ADQ16">
        <v>4102</v>
      </c>
      <c r="ADR16">
        <v>1762</v>
      </c>
      <c r="ADS16">
        <v>0</v>
      </c>
      <c r="ADT16">
        <v>1748</v>
      </c>
      <c r="ADU16">
        <v>1045</v>
      </c>
      <c r="ADV16">
        <v>0</v>
      </c>
      <c r="ADW16">
        <v>0</v>
      </c>
      <c r="ADX16">
        <v>257</v>
      </c>
      <c r="ADY16">
        <v>82</v>
      </c>
      <c r="ADZ16">
        <v>0</v>
      </c>
      <c r="AEA16">
        <v>551</v>
      </c>
      <c r="AEB16">
        <v>1548</v>
      </c>
      <c r="AEC16">
        <v>2659</v>
      </c>
      <c r="AED16">
        <v>2284</v>
      </c>
      <c r="AEE16">
        <v>2012</v>
      </c>
      <c r="AEF16">
        <v>1785</v>
      </c>
      <c r="AEG16">
        <v>0</v>
      </c>
      <c r="AEH16">
        <v>3446</v>
      </c>
      <c r="AEI16">
        <v>3690</v>
      </c>
      <c r="AEJ16">
        <v>2207</v>
      </c>
      <c r="AEK16">
        <v>2632</v>
      </c>
      <c r="AEL16">
        <v>3910</v>
      </c>
      <c r="AEM16">
        <v>3284</v>
      </c>
      <c r="AEN16">
        <v>0</v>
      </c>
      <c r="AEO16">
        <v>3237</v>
      </c>
      <c r="AEP16">
        <v>3367</v>
      </c>
      <c r="AEQ16">
        <v>2785</v>
      </c>
      <c r="AER16">
        <v>2912</v>
      </c>
      <c r="AES16">
        <v>2968</v>
      </c>
      <c r="AET16">
        <v>3417</v>
      </c>
      <c r="AEU16">
        <v>0</v>
      </c>
      <c r="AEV16">
        <v>2206</v>
      </c>
      <c r="AEW16">
        <v>3275</v>
      </c>
      <c r="AEX16">
        <v>3293</v>
      </c>
      <c r="AEY16">
        <v>2530</v>
      </c>
      <c r="AEZ16">
        <v>1537</v>
      </c>
      <c r="AFA16">
        <v>1769</v>
      </c>
      <c r="AFB16">
        <v>0</v>
      </c>
      <c r="AFC16">
        <v>2194</v>
      </c>
      <c r="AFD16">
        <v>0</v>
      </c>
      <c r="AFE16">
        <v>0</v>
      </c>
      <c r="AFF16">
        <v>3414</v>
      </c>
      <c r="AFG16">
        <v>2247</v>
      </c>
      <c r="AFH16">
        <v>2823</v>
      </c>
      <c r="AFI16">
        <v>0</v>
      </c>
      <c r="AFJ16">
        <v>1896</v>
      </c>
      <c r="AFK16">
        <v>2988</v>
      </c>
      <c r="AFL16">
        <v>2726</v>
      </c>
      <c r="AFM16">
        <v>2451</v>
      </c>
      <c r="AFN16">
        <v>2280</v>
      </c>
      <c r="AFO16">
        <v>2554</v>
      </c>
      <c r="AFP16">
        <v>0</v>
      </c>
      <c r="AFQ16">
        <v>1704</v>
      </c>
      <c r="AFR16">
        <v>2311</v>
      </c>
      <c r="AFS16">
        <v>2011</v>
      </c>
      <c r="AFT16">
        <v>2741</v>
      </c>
      <c r="AFU16">
        <v>2881</v>
      </c>
      <c r="AFV16">
        <v>1943</v>
      </c>
      <c r="AFW16">
        <v>0</v>
      </c>
      <c r="AFX16">
        <v>3221</v>
      </c>
      <c r="AFY16">
        <v>2217</v>
      </c>
      <c r="AFZ16">
        <v>5367</v>
      </c>
      <c r="AGA16">
        <v>2312</v>
      </c>
      <c r="AGB16">
        <v>2086</v>
      </c>
      <c r="AGC16">
        <v>2095</v>
      </c>
      <c r="AGD16">
        <v>0</v>
      </c>
      <c r="AGE16">
        <v>2937</v>
      </c>
      <c r="AGF16">
        <v>917</v>
      </c>
      <c r="AGG16">
        <v>2984</v>
      </c>
      <c r="AGH16">
        <v>3068</v>
      </c>
      <c r="AGI16">
        <v>4284</v>
      </c>
      <c r="AGJ16">
        <v>0</v>
      </c>
      <c r="AGK16">
        <v>0</v>
      </c>
      <c r="AGL16">
        <v>3055</v>
      </c>
      <c r="AGM16">
        <v>3413</v>
      </c>
      <c r="AGN16">
        <v>4684</v>
      </c>
      <c r="AGO16">
        <v>2373</v>
      </c>
      <c r="AGP16">
        <v>2507</v>
      </c>
      <c r="AGQ16">
        <v>2420</v>
      </c>
      <c r="AGR16">
        <v>0</v>
      </c>
      <c r="AGS16">
        <v>2446</v>
      </c>
      <c r="AGT16">
        <v>2308</v>
      </c>
      <c r="AGU16">
        <v>2863</v>
      </c>
      <c r="AGV16">
        <v>5163</v>
      </c>
      <c r="AGW16">
        <v>2584</v>
      </c>
      <c r="AGX16">
        <v>2309</v>
      </c>
      <c r="AGY16">
        <v>0</v>
      </c>
      <c r="AGZ16">
        <v>3154</v>
      </c>
      <c r="AHA16">
        <v>2713</v>
      </c>
      <c r="AHB16">
        <v>2898</v>
      </c>
      <c r="AHC16">
        <v>4098</v>
      </c>
      <c r="AHD16">
        <v>1672</v>
      </c>
      <c r="AHE16">
        <v>2572</v>
      </c>
      <c r="AHI16">
        <v>3182</v>
      </c>
      <c r="AHJ16">
        <v>4708</v>
      </c>
      <c r="AHK16">
        <v>3807</v>
      </c>
      <c r="AHL16">
        <v>4277</v>
      </c>
      <c r="AHM16">
        <v>0</v>
      </c>
      <c r="AHN16">
        <v>0</v>
      </c>
      <c r="AHO16">
        <v>3915</v>
      </c>
      <c r="AHP16">
        <v>5958</v>
      </c>
      <c r="AHQ16">
        <v>4199</v>
      </c>
      <c r="AHR16">
        <v>4327</v>
      </c>
      <c r="AHS16">
        <v>2230</v>
      </c>
      <c r="AHT16">
        <v>0</v>
      </c>
      <c r="AHU16">
        <v>0</v>
      </c>
      <c r="AHV16">
        <v>0</v>
      </c>
      <c r="AHW16">
        <v>93</v>
      </c>
      <c r="AHX16">
        <v>804</v>
      </c>
      <c r="AHY16">
        <v>2324</v>
      </c>
      <c r="AHZ16">
        <v>1573</v>
      </c>
      <c r="AIA16">
        <v>0</v>
      </c>
      <c r="AIB16">
        <v>1934</v>
      </c>
      <c r="AIC16">
        <v>2646</v>
      </c>
      <c r="AID16">
        <v>2415</v>
      </c>
      <c r="AIE16">
        <v>2695</v>
      </c>
      <c r="AIF16">
        <v>1988</v>
      </c>
      <c r="AIG16">
        <v>1878</v>
      </c>
      <c r="AIH16">
        <v>0</v>
      </c>
      <c r="AII16">
        <v>3568</v>
      </c>
      <c r="AIJ16">
        <v>2464</v>
      </c>
      <c r="AIK16">
        <v>2967</v>
      </c>
      <c r="AIL16">
        <v>3013</v>
      </c>
      <c r="AIM16">
        <v>0</v>
      </c>
      <c r="AIN16">
        <v>2437</v>
      </c>
      <c r="AIO16">
        <v>0</v>
      </c>
      <c r="AIP16">
        <v>0</v>
      </c>
      <c r="AIQ16">
        <v>3774</v>
      </c>
      <c r="AIR16">
        <v>3635</v>
      </c>
      <c r="AIS16">
        <v>3959</v>
      </c>
      <c r="AIT16">
        <v>3485</v>
      </c>
      <c r="AIU16">
        <v>3460</v>
      </c>
      <c r="AIV16">
        <v>0</v>
      </c>
      <c r="AIW16">
        <v>2270</v>
      </c>
      <c r="AIX16">
        <v>1853</v>
      </c>
      <c r="AIY16">
        <v>2602</v>
      </c>
      <c r="AIZ16">
        <v>2731</v>
      </c>
      <c r="AJA16">
        <v>3064</v>
      </c>
      <c r="AJB16">
        <v>2772</v>
      </c>
      <c r="AJC16">
        <v>0</v>
      </c>
      <c r="AJD16">
        <v>2468</v>
      </c>
      <c r="AJE16">
        <v>2072</v>
      </c>
      <c r="AJF16">
        <v>2783</v>
      </c>
      <c r="AJG16">
        <v>2063</v>
      </c>
      <c r="AJH16">
        <v>2155</v>
      </c>
      <c r="AJI16">
        <v>1944</v>
      </c>
      <c r="AJJ16">
        <v>0</v>
      </c>
      <c r="AJK16">
        <v>2266</v>
      </c>
      <c r="AJL16">
        <v>2504</v>
      </c>
      <c r="AJM16">
        <v>3651</v>
      </c>
      <c r="AJN16">
        <v>2933</v>
      </c>
      <c r="AJO16">
        <v>2347</v>
      </c>
      <c r="AJP16">
        <v>1526</v>
      </c>
      <c r="AJQ16">
        <v>0</v>
      </c>
      <c r="AJR16">
        <v>0</v>
      </c>
      <c r="AJS16">
        <v>4406</v>
      </c>
      <c r="AJT16">
        <v>0</v>
      </c>
      <c r="AJU16">
        <v>3347</v>
      </c>
      <c r="AJV16">
        <v>2242</v>
      </c>
      <c r="AJW16">
        <v>3298</v>
      </c>
      <c r="AJX16">
        <v>0</v>
      </c>
      <c r="AJY16">
        <v>1866</v>
      </c>
      <c r="AJZ16">
        <v>1797</v>
      </c>
      <c r="AKA16">
        <v>2606</v>
      </c>
      <c r="AKB16">
        <v>2582</v>
      </c>
      <c r="AKC16">
        <v>1768</v>
      </c>
      <c r="AKD16">
        <v>3057</v>
      </c>
      <c r="AKE16">
        <v>0</v>
      </c>
      <c r="AKF16">
        <v>1740</v>
      </c>
    </row>
    <row r="17" spans="1:968" s="135" customFormat="1">
      <c r="A17" s="135">
        <v>4</v>
      </c>
      <c r="B17" s="136" t="s">
        <v>48</v>
      </c>
      <c r="C17" s="137">
        <v>82301</v>
      </c>
      <c r="D17" s="137" t="s">
        <v>8</v>
      </c>
      <c r="E17" s="137" t="s">
        <v>41</v>
      </c>
      <c r="F17" s="137" t="s">
        <v>17</v>
      </c>
      <c r="G17" s="137" t="s">
        <v>33</v>
      </c>
      <c r="H17" s="137" t="s">
        <v>44</v>
      </c>
      <c r="I17" s="137" t="s">
        <v>45</v>
      </c>
      <c r="J17" s="137" t="s">
        <v>46</v>
      </c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>
        <v>12371</v>
      </c>
      <c r="AB17" s="138">
        <v>8744</v>
      </c>
      <c r="AC17" s="138"/>
      <c r="AD17" s="138">
        <v>4547</v>
      </c>
      <c r="AE17" s="138">
        <v>5527</v>
      </c>
      <c r="AF17" s="138">
        <v>5395</v>
      </c>
      <c r="AG17" s="138">
        <v>17966</v>
      </c>
      <c r="AH17" s="138">
        <v>15713</v>
      </c>
      <c r="AI17" s="138">
        <v>6911</v>
      </c>
      <c r="AJ17" s="138"/>
      <c r="AK17" s="138">
        <v>5506</v>
      </c>
      <c r="AL17" s="138">
        <v>6311</v>
      </c>
      <c r="AM17" s="138">
        <v>11771</v>
      </c>
      <c r="AN17" s="138">
        <v>8414</v>
      </c>
      <c r="AO17" s="138">
        <v>25998</v>
      </c>
      <c r="AP17" s="138">
        <v>5459</v>
      </c>
      <c r="AQ17" s="138"/>
      <c r="AR17" s="138">
        <v>7286</v>
      </c>
      <c r="AS17" s="138"/>
      <c r="AT17" s="138">
        <v>7720</v>
      </c>
      <c r="AU17" s="138">
        <v>7070</v>
      </c>
      <c r="AV17" s="138">
        <v>15986</v>
      </c>
      <c r="AW17" s="138">
        <v>14811</v>
      </c>
      <c r="AX17" s="138"/>
      <c r="AY17" s="138">
        <v>10597</v>
      </c>
      <c r="AZ17" s="138">
        <v>11555</v>
      </c>
      <c r="BA17" s="138">
        <v>6549</v>
      </c>
      <c r="BB17" s="138">
        <v>12650</v>
      </c>
      <c r="BC17" s="138">
        <v>17134</v>
      </c>
      <c r="BD17" s="138">
        <v>10001</v>
      </c>
      <c r="BE17" s="138"/>
      <c r="BF17" s="138">
        <v>13216</v>
      </c>
      <c r="BG17" s="138">
        <v>22054</v>
      </c>
      <c r="BH17" s="138">
        <v>21737</v>
      </c>
      <c r="BI17" s="138">
        <v>8458</v>
      </c>
      <c r="BJ17" s="138">
        <v>23508</v>
      </c>
      <c r="BK17" s="138">
        <v>10346</v>
      </c>
      <c r="BL17" s="138"/>
      <c r="BM17" s="138">
        <v>14570</v>
      </c>
      <c r="BN17" s="138">
        <v>12352</v>
      </c>
      <c r="BO17" s="138">
        <v>12070</v>
      </c>
      <c r="BP17" s="138">
        <v>5874</v>
      </c>
      <c r="BQ17" s="138">
        <v>1344</v>
      </c>
      <c r="BR17" s="138"/>
      <c r="BS17" s="138"/>
      <c r="BT17" s="138"/>
      <c r="BU17" s="138"/>
      <c r="BV17" s="138">
        <v>1632</v>
      </c>
      <c r="BW17" s="138">
        <v>2468</v>
      </c>
      <c r="BX17" s="138">
        <v>5032</v>
      </c>
      <c r="BY17" s="138">
        <v>30233</v>
      </c>
      <c r="BZ17" s="138"/>
      <c r="CA17" s="138">
        <v>15521</v>
      </c>
      <c r="CB17" s="138">
        <v>7076</v>
      </c>
      <c r="CC17" s="138">
        <v>19584</v>
      </c>
      <c r="CD17" s="135">
        <v>7647</v>
      </c>
      <c r="CE17" s="135">
        <v>25423</v>
      </c>
      <c r="CF17" s="135">
        <v>26295</v>
      </c>
      <c r="CH17" s="135">
        <v>6647</v>
      </c>
      <c r="CI17" s="135">
        <v>8843</v>
      </c>
      <c r="CJ17" s="135">
        <v>23202</v>
      </c>
      <c r="CK17" s="135">
        <v>23539</v>
      </c>
      <c r="CL17" s="135">
        <v>23639</v>
      </c>
      <c r="CO17" s="135">
        <v>8642</v>
      </c>
      <c r="CP17" s="135">
        <v>8596</v>
      </c>
      <c r="CQ17" s="135">
        <v>9302</v>
      </c>
      <c r="CR17" s="135">
        <v>7297</v>
      </c>
      <c r="CS17" s="135">
        <v>11300</v>
      </c>
      <c r="CT17" s="135">
        <v>11099</v>
      </c>
      <c r="CV17" s="135">
        <v>6398</v>
      </c>
      <c r="CW17" s="135">
        <v>0</v>
      </c>
      <c r="CX17" s="135">
        <v>11186</v>
      </c>
      <c r="CY17" s="135">
        <v>7433</v>
      </c>
      <c r="CZ17" s="135">
        <v>10877</v>
      </c>
      <c r="DA17" s="135">
        <v>11186</v>
      </c>
      <c r="DC17" s="135">
        <v>4784</v>
      </c>
      <c r="DD17" s="135">
        <v>6531</v>
      </c>
      <c r="DE17" s="135">
        <v>4185</v>
      </c>
      <c r="DF17" s="135">
        <v>12200</v>
      </c>
      <c r="DG17" s="135">
        <v>30754</v>
      </c>
      <c r="DH17" s="135">
        <v>18168</v>
      </c>
      <c r="DJ17" s="142">
        <v>6638</v>
      </c>
      <c r="DK17" s="142">
        <v>6750</v>
      </c>
      <c r="DL17" s="135">
        <v>14430</v>
      </c>
      <c r="DM17" s="135">
        <v>5276</v>
      </c>
      <c r="DN17" s="135">
        <v>23129</v>
      </c>
      <c r="DO17" s="135">
        <v>8285</v>
      </c>
      <c r="DQ17" s="135">
        <v>5481</v>
      </c>
      <c r="DR17" s="135">
        <v>8278</v>
      </c>
      <c r="DS17" s="135">
        <v>19657</v>
      </c>
      <c r="DT17" s="135">
        <v>16995</v>
      </c>
      <c r="DU17" s="135">
        <v>15935</v>
      </c>
      <c r="DV17" s="135">
        <v>18736</v>
      </c>
      <c r="DX17" s="135">
        <v>14757</v>
      </c>
      <c r="DY17" s="135">
        <v>16820</v>
      </c>
      <c r="DZ17" s="135">
        <v>17872</v>
      </c>
      <c r="EA17" s="135">
        <v>8279</v>
      </c>
      <c r="EB17" s="135">
        <v>10705</v>
      </c>
      <c r="EC17" s="135">
        <v>10922</v>
      </c>
      <c r="EE17" s="135">
        <v>4780</v>
      </c>
      <c r="EF17" s="135">
        <v>1207</v>
      </c>
      <c r="EG17" s="135">
        <v>24979</v>
      </c>
      <c r="EH17" s="135">
        <v>9074</v>
      </c>
      <c r="EI17" s="135">
        <v>13773</v>
      </c>
      <c r="EJ17" s="135">
        <v>15275</v>
      </c>
      <c r="EL17" s="135">
        <v>6157</v>
      </c>
      <c r="EM17" s="135">
        <v>6883</v>
      </c>
      <c r="EN17" s="135">
        <v>12683</v>
      </c>
      <c r="EO17" s="135">
        <v>16100</v>
      </c>
      <c r="EP17" s="135">
        <v>16298</v>
      </c>
      <c r="EQ17" s="135">
        <v>40652</v>
      </c>
      <c r="ES17" s="135">
        <v>8493</v>
      </c>
      <c r="ET17" s="135">
        <v>8881</v>
      </c>
      <c r="EU17" s="135">
        <v>12218</v>
      </c>
      <c r="EV17" s="135">
        <v>16942</v>
      </c>
      <c r="EW17" s="135">
        <v>10834</v>
      </c>
      <c r="EX17" s="135">
        <v>9328</v>
      </c>
      <c r="EZ17" s="135">
        <v>18231</v>
      </c>
      <c r="FA17" s="135">
        <v>17982</v>
      </c>
      <c r="FB17" s="135">
        <v>10908</v>
      </c>
      <c r="FC17" s="135">
        <v>4743</v>
      </c>
      <c r="FD17" s="135">
        <v>13611</v>
      </c>
      <c r="FE17" s="135">
        <v>28684</v>
      </c>
      <c r="FG17" s="135">
        <v>17130</v>
      </c>
      <c r="FH17" s="135">
        <v>3219</v>
      </c>
      <c r="FI17" s="135">
        <v>15316</v>
      </c>
      <c r="FJ17" s="135">
        <v>10428</v>
      </c>
      <c r="FK17" s="135">
        <v>12142</v>
      </c>
      <c r="FN17" s="135">
        <v>14389</v>
      </c>
      <c r="FO17" s="135">
        <v>6973</v>
      </c>
      <c r="FP17" s="135">
        <v>25787</v>
      </c>
      <c r="FQ17" s="135">
        <v>13549</v>
      </c>
      <c r="FR17" s="135">
        <v>25832</v>
      </c>
      <c r="FV17" s="135">
        <v>2899</v>
      </c>
      <c r="FW17" s="135">
        <v>6718</v>
      </c>
      <c r="FX17" s="135">
        <v>21896</v>
      </c>
      <c r="FY17" s="135">
        <v>8928</v>
      </c>
      <c r="FZ17" s="135">
        <v>20875</v>
      </c>
      <c r="GA17" s="135">
        <v>13387</v>
      </c>
      <c r="GB17" s="135">
        <v>9751</v>
      </c>
      <c r="GC17" s="135">
        <v>4016</v>
      </c>
      <c r="GD17" s="135">
        <v>7647</v>
      </c>
      <c r="GE17" s="135">
        <v>7579</v>
      </c>
      <c r="GF17" s="135">
        <v>17673</v>
      </c>
      <c r="GG17" s="135">
        <v>16085</v>
      </c>
      <c r="GI17" s="135">
        <v>7639</v>
      </c>
      <c r="GJ17" s="135">
        <v>7277</v>
      </c>
      <c r="GL17" s="135">
        <v>12516</v>
      </c>
      <c r="GM17" s="135">
        <v>15630</v>
      </c>
      <c r="GP17" s="135">
        <v>13850</v>
      </c>
      <c r="GQ17" s="135">
        <v>13318</v>
      </c>
      <c r="GR17" s="135">
        <v>12168</v>
      </c>
      <c r="GS17" s="135">
        <v>10236</v>
      </c>
      <c r="GT17" s="135">
        <v>11117</v>
      </c>
      <c r="GU17" s="135">
        <v>6606</v>
      </c>
      <c r="GW17" s="135">
        <v>5116</v>
      </c>
      <c r="GX17" s="135">
        <v>10638</v>
      </c>
      <c r="GY17" s="135">
        <v>23962</v>
      </c>
      <c r="GZ17" s="135">
        <v>7663</v>
      </c>
      <c r="HA17" s="135">
        <v>13448</v>
      </c>
      <c r="HB17" s="135">
        <v>18724</v>
      </c>
      <c r="HD17" s="135">
        <v>8338</v>
      </c>
      <c r="HE17" s="135">
        <v>3866</v>
      </c>
      <c r="HG17" s="135">
        <v>6008</v>
      </c>
      <c r="HH17" s="135">
        <v>10244</v>
      </c>
      <c r="HI17" s="135">
        <v>7393</v>
      </c>
      <c r="HK17" s="135">
        <v>3984</v>
      </c>
      <c r="HL17" s="135">
        <v>7329</v>
      </c>
      <c r="HM17" s="135">
        <v>19130</v>
      </c>
      <c r="HN17" s="135">
        <v>31090</v>
      </c>
      <c r="HO17" s="135">
        <v>6719</v>
      </c>
      <c r="HP17" s="135">
        <v>16119</v>
      </c>
      <c r="HS17" s="135">
        <v>10089</v>
      </c>
      <c r="HT17" s="135">
        <v>3176</v>
      </c>
      <c r="HU17" s="135">
        <v>5936</v>
      </c>
      <c r="HV17" s="135">
        <v>13059</v>
      </c>
      <c r="HW17" s="135">
        <v>26280</v>
      </c>
      <c r="HY17" s="135">
        <v>10460</v>
      </c>
      <c r="HZ17" s="135">
        <v>6371</v>
      </c>
      <c r="IA17" s="135">
        <v>13910</v>
      </c>
      <c r="IB17" s="135">
        <v>12955</v>
      </c>
      <c r="IC17" s="135">
        <v>22774</v>
      </c>
      <c r="ID17" s="135">
        <v>11035</v>
      </c>
      <c r="IF17" s="135">
        <v>14370</v>
      </c>
      <c r="IG17" s="135">
        <v>5895</v>
      </c>
      <c r="IH17" s="135">
        <v>7836</v>
      </c>
      <c r="II17" s="135">
        <v>3200</v>
      </c>
      <c r="IJ17" s="135">
        <v>8167</v>
      </c>
      <c r="IK17" s="135">
        <v>14873</v>
      </c>
      <c r="IM17" s="135">
        <v>8322</v>
      </c>
      <c r="IN17" s="135">
        <v>7363</v>
      </c>
      <c r="IO17" s="135">
        <v>7325</v>
      </c>
      <c r="IP17" s="135">
        <v>12399</v>
      </c>
      <c r="IQ17" s="135">
        <v>7238</v>
      </c>
      <c r="IR17" s="135">
        <v>11286</v>
      </c>
      <c r="IS17" s="135">
        <v>699</v>
      </c>
      <c r="IT17" s="135">
        <v>8313</v>
      </c>
      <c r="IU17" s="135">
        <v>31968</v>
      </c>
      <c r="IV17" s="135">
        <v>45351</v>
      </c>
      <c r="IW17" s="135">
        <v>11267</v>
      </c>
      <c r="IX17" s="135">
        <v>15711</v>
      </c>
      <c r="IY17" s="135">
        <v>13074</v>
      </c>
      <c r="JA17" s="135">
        <v>4226</v>
      </c>
      <c r="JB17" s="135">
        <v>7446</v>
      </c>
      <c r="JC17" s="135">
        <v>14205</v>
      </c>
      <c r="JD17" s="135">
        <v>7266</v>
      </c>
      <c r="JE17" s="135">
        <v>6309</v>
      </c>
      <c r="JF17" s="135">
        <v>18302</v>
      </c>
      <c r="JG17" s="135">
        <v>0</v>
      </c>
      <c r="JH17" s="135">
        <v>3690</v>
      </c>
      <c r="JI17" s="135">
        <v>5759</v>
      </c>
      <c r="JJ17" s="135">
        <v>5003</v>
      </c>
      <c r="JK17" s="135">
        <v>4229</v>
      </c>
      <c r="JL17" s="135">
        <v>17777</v>
      </c>
      <c r="JM17" s="135">
        <v>14977</v>
      </c>
      <c r="JN17" s="135">
        <v>0</v>
      </c>
      <c r="JO17" s="135">
        <v>9006</v>
      </c>
      <c r="JP17" s="135">
        <v>9939</v>
      </c>
      <c r="JQ17" s="135">
        <v>10623</v>
      </c>
      <c r="JR17" s="135">
        <v>8754</v>
      </c>
      <c r="JS17" s="135">
        <v>15116</v>
      </c>
      <c r="JT17" s="135">
        <v>5775</v>
      </c>
      <c r="JU17" s="135">
        <v>0</v>
      </c>
      <c r="JV17" s="135">
        <v>0</v>
      </c>
      <c r="JW17" s="135">
        <v>7103</v>
      </c>
      <c r="JX17" s="135">
        <v>10795</v>
      </c>
      <c r="JY17" s="135">
        <v>8602</v>
      </c>
      <c r="JZ17" s="135">
        <v>16286</v>
      </c>
      <c r="KA17" s="135">
        <v>2995</v>
      </c>
      <c r="KB17" s="135">
        <v>0</v>
      </c>
      <c r="KC17" s="135">
        <v>5674</v>
      </c>
      <c r="KD17" s="135">
        <v>11422</v>
      </c>
      <c r="KE17" s="135">
        <v>7822</v>
      </c>
      <c r="KF17" s="135">
        <v>11109</v>
      </c>
      <c r="KG17" s="135">
        <v>13252</v>
      </c>
      <c r="KH17" s="135">
        <v>26278</v>
      </c>
      <c r="KI17" s="135">
        <v>0</v>
      </c>
      <c r="KJ17" s="135">
        <v>0</v>
      </c>
      <c r="KK17" s="135">
        <v>3159</v>
      </c>
      <c r="KL17" s="135">
        <v>8397</v>
      </c>
      <c r="KM17" s="135">
        <v>5125</v>
      </c>
      <c r="KN17" s="135">
        <v>16617</v>
      </c>
      <c r="KO17" s="135">
        <v>10260</v>
      </c>
      <c r="KP17" s="135">
        <v>0</v>
      </c>
      <c r="KQ17" s="135">
        <v>2814</v>
      </c>
      <c r="KR17" s="135">
        <v>4428</v>
      </c>
      <c r="KS17" s="135">
        <v>6946</v>
      </c>
      <c r="KT17" s="135">
        <v>18439</v>
      </c>
      <c r="KU17" s="135">
        <v>13347</v>
      </c>
      <c r="KV17" s="135">
        <v>18859</v>
      </c>
      <c r="KW17" s="135">
        <v>0</v>
      </c>
      <c r="KX17" s="135">
        <v>7130</v>
      </c>
      <c r="KY17" s="135">
        <v>12428</v>
      </c>
      <c r="KZ17" s="135">
        <v>5417</v>
      </c>
      <c r="LA17" s="135">
        <v>8125</v>
      </c>
      <c r="LB17" s="135">
        <v>11316</v>
      </c>
      <c r="LC17" s="135">
        <v>6077</v>
      </c>
      <c r="LD17" s="135">
        <v>0</v>
      </c>
      <c r="LE17" s="135">
        <v>4208</v>
      </c>
      <c r="LF17" s="135">
        <v>4828</v>
      </c>
      <c r="LG17" s="135">
        <v>9148</v>
      </c>
      <c r="LH17" s="135">
        <v>17083</v>
      </c>
      <c r="LI17" s="135">
        <v>5019</v>
      </c>
      <c r="LJ17" s="135">
        <v>14066</v>
      </c>
      <c r="LK17" s="135">
        <v>0</v>
      </c>
      <c r="LL17" s="135">
        <v>7073</v>
      </c>
      <c r="LM17" s="135">
        <v>3028</v>
      </c>
      <c r="LN17" s="135">
        <v>11753</v>
      </c>
      <c r="LO17" s="135">
        <v>10457</v>
      </c>
      <c r="LP17" s="135">
        <v>11017</v>
      </c>
      <c r="LQ17" s="135">
        <v>10215</v>
      </c>
      <c r="LR17" s="135">
        <v>0</v>
      </c>
      <c r="LS17" s="143">
        <v>2837</v>
      </c>
      <c r="LT17" s="135">
        <v>4947</v>
      </c>
      <c r="LU17" s="135">
        <v>4921</v>
      </c>
      <c r="LV17" s="140">
        <v>4897</v>
      </c>
      <c r="LW17" s="135">
        <v>10292</v>
      </c>
      <c r="LX17" s="135">
        <v>8972</v>
      </c>
      <c r="LY17" s="135">
        <v>0</v>
      </c>
      <c r="LZ17" s="135">
        <v>4190</v>
      </c>
      <c r="MA17" s="135">
        <v>6421</v>
      </c>
      <c r="MB17" s="135">
        <v>4744</v>
      </c>
      <c r="MC17" s="135">
        <v>6350</v>
      </c>
      <c r="MD17" s="135">
        <v>9059</v>
      </c>
      <c r="ME17" s="135">
        <v>28337</v>
      </c>
      <c r="MF17" s="135">
        <v>0</v>
      </c>
      <c r="MG17" s="135">
        <v>4199</v>
      </c>
      <c r="MH17" s="135">
        <v>14683</v>
      </c>
      <c r="MI17" s="135">
        <v>4314</v>
      </c>
      <c r="MJ17" s="135">
        <v>3996</v>
      </c>
      <c r="MK17" s="135">
        <v>19823</v>
      </c>
      <c r="ML17" s="135">
        <v>10838</v>
      </c>
      <c r="MM17" s="135">
        <v>0</v>
      </c>
      <c r="MN17" s="135">
        <v>5932</v>
      </c>
      <c r="MO17" s="135">
        <v>4692</v>
      </c>
      <c r="MP17" s="135">
        <v>7561</v>
      </c>
      <c r="MQ17" s="135">
        <v>11257</v>
      </c>
      <c r="MR17" s="135">
        <v>5465</v>
      </c>
      <c r="MS17" s="135">
        <v>11287</v>
      </c>
      <c r="MT17" s="135">
        <v>0</v>
      </c>
      <c r="MU17" s="135">
        <v>0</v>
      </c>
      <c r="MV17" s="135">
        <v>11747</v>
      </c>
      <c r="MW17" s="135">
        <v>17264</v>
      </c>
      <c r="MX17" s="135">
        <v>7097</v>
      </c>
      <c r="MY17" s="135">
        <v>17251</v>
      </c>
      <c r="MZ17" s="135">
        <v>50122</v>
      </c>
      <c r="NA17" s="135">
        <v>0</v>
      </c>
      <c r="NB17" s="135">
        <v>10137</v>
      </c>
      <c r="NC17" s="135">
        <v>13384</v>
      </c>
      <c r="ND17" s="135">
        <v>0</v>
      </c>
      <c r="NE17" s="135">
        <v>7098</v>
      </c>
      <c r="NF17" s="135">
        <v>6578</v>
      </c>
      <c r="NG17" s="135">
        <v>25646</v>
      </c>
      <c r="NH17" s="135">
        <v>0</v>
      </c>
      <c r="NI17" s="135">
        <v>21659</v>
      </c>
      <c r="NJ17" s="135">
        <v>11319</v>
      </c>
      <c r="NK17" s="135">
        <v>8843</v>
      </c>
      <c r="NL17" s="135">
        <v>7030</v>
      </c>
      <c r="NM17" s="135">
        <v>12279</v>
      </c>
      <c r="NN17" s="135">
        <v>24154</v>
      </c>
      <c r="NO17" s="135">
        <v>0</v>
      </c>
      <c r="NP17" s="135">
        <v>0</v>
      </c>
      <c r="NQ17" s="135">
        <v>0</v>
      </c>
      <c r="NR17" s="135">
        <v>0</v>
      </c>
      <c r="NS17" s="135">
        <v>0</v>
      </c>
      <c r="NT17" s="135">
        <v>0</v>
      </c>
      <c r="NU17" s="135">
        <v>0</v>
      </c>
      <c r="NV17" s="135">
        <v>0</v>
      </c>
      <c r="NW17" s="135">
        <v>0</v>
      </c>
      <c r="NX17" s="135">
        <v>0</v>
      </c>
      <c r="NY17" s="135">
        <v>0</v>
      </c>
      <c r="NZ17" s="135">
        <v>0</v>
      </c>
      <c r="OA17" s="135">
        <v>0</v>
      </c>
      <c r="OB17" s="135">
        <v>0</v>
      </c>
      <c r="OC17" s="135">
        <v>0</v>
      </c>
      <c r="OD17" s="135">
        <v>9276</v>
      </c>
      <c r="OE17" s="135">
        <v>6324</v>
      </c>
      <c r="OF17" s="135">
        <v>11386</v>
      </c>
      <c r="OG17" s="135">
        <v>6163</v>
      </c>
      <c r="OH17" s="135">
        <v>10340</v>
      </c>
      <c r="OI17" s="135">
        <v>8606</v>
      </c>
      <c r="OJ17" s="135">
        <v>0</v>
      </c>
      <c r="OK17" s="135">
        <v>0</v>
      </c>
      <c r="OL17" s="135">
        <v>0</v>
      </c>
      <c r="OM17" s="135">
        <v>0</v>
      </c>
      <c r="ON17" s="135">
        <v>0</v>
      </c>
      <c r="OO17" s="135">
        <v>0</v>
      </c>
      <c r="OP17" s="135">
        <v>108</v>
      </c>
      <c r="OQ17" s="141">
        <v>0</v>
      </c>
      <c r="OR17" s="135">
        <v>0</v>
      </c>
      <c r="OS17" s="135">
        <v>35048</v>
      </c>
      <c r="OT17" s="135">
        <v>14560</v>
      </c>
      <c r="OU17" s="141">
        <v>0</v>
      </c>
      <c r="OV17" s="135">
        <v>6974</v>
      </c>
      <c r="OW17" s="135">
        <v>9914</v>
      </c>
      <c r="OX17" s="141">
        <v>0</v>
      </c>
      <c r="OY17" s="135">
        <v>18467</v>
      </c>
      <c r="OZ17" s="135">
        <v>15135</v>
      </c>
      <c r="PA17" s="135">
        <v>10208</v>
      </c>
      <c r="PB17" s="135">
        <v>5198</v>
      </c>
      <c r="PC17" s="135">
        <v>15823</v>
      </c>
      <c r="PD17" s="135">
        <v>17269</v>
      </c>
      <c r="PE17" s="135">
        <v>12858</v>
      </c>
      <c r="PF17" s="135">
        <v>4404</v>
      </c>
      <c r="PG17" s="135">
        <v>8167</v>
      </c>
      <c r="PH17" s="135">
        <v>14661</v>
      </c>
      <c r="PI17" s="135">
        <v>6359</v>
      </c>
      <c r="PJ17" s="135">
        <v>18232</v>
      </c>
      <c r="PK17" s="135">
        <v>19275</v>
      </c>
      <c r="PL17" s="135">
        <v>0</v>
      </c>
      <c r="PM17" s="135">
        <v>8877</v>
      </c>
      <c r="PN17" s="135">
        <v>7823</v>
      </c>
      <c r="PO17" s="135">
        <v>13245</v>
      </c>
      <c r="PP17" s="135">
        <v>9175</v>
      </c>
      <c r="PQ17" s="135">
        <v>15087</v>
      </c>
      <c r="PR17" s="135">
        <v>10441</v>
      </c>
      <c r="PS17" s="135">
        <v>1831</v>
      </c>
      <c r="PT17" s="135">
        <v>0</v>
      </c>
      <c r="PU17" s="135">
        <v>0</v>
      </c>
      <c r="PV17" s="135">
        <v>0</v>
      </c>
      <c r="PW17" s="135">
        <v>6805</v>
      </c>
      <c r="PX17" s="135">
        <v>8837</v>
      </c>
      <c r="PY17" s="135">
        <v>1770</v>
      </c>
      <c r="PZ17" s="135">
        <v>0</v>
      </c>
      <c r="QA17" s="135">
        <v>3439</v>
      </c>
      <c r="QB17" s="135">
        <v>5301</v>
      </c>
      <c r="QC17" s="135">
        <v>42885</v>
      </c>
      <c r="QD17" s="135">
        <v>21413</v>
      </c>
      <c r="QE17" s="135">
        <v>20528</v>
      </c>
      <c r="QF17" s="135">
        <v>12355</v>
      </c>
      <c r="QG17" s="135">
        <v>0</v>
      </c>
      <c r="QH17" s="135">
        <v>15062</v>
      </c>
      <c r="QI17" s="135">
        <v>9942</v>
      </c>
      <c r="QJ17" s="135">
        <v>18232</v>
      </c>
      <c r="QK17" s="135">
        <v>17731</v>
      </c>
      <c r="QL17" s="135">
        <v>11601</v>
      </c>
      <c r="QM17" s="135">
        <v>15522</v>
      </c>
      <c r="QN17" s="135">
        <v>0</v>
      </c>
      <c r="QO17" s="135">
        <v>11902</v>
      </c>
      <c r="QP17" s="135">
        <v>15995</v>
      </c>
      <c r="QQ17" s="135">
        <v>8784</v>
      </c>
      <c r="QR17" s="135">
        <v>11711</v>
      </c>
      <c r="QS17" s="135">
        <v>16704</v>
      </c>
      <c r="QT17" s="135">
        <v>23835</v>
      </c>
      <c r="QU17" s="135">
        <v>0</v>
      </c>
      <c r="QV17" s="135">
        <v>10773</v>
      </c>
      <c r="QW17" s="135">
        <v>7410</v>
      </c>
      <c r="QX17" s="135">
        <v>11751</v>
      </c>
      <c r="QY17" s="135">
        <v>5942</v>
      </c>
      <c r="QZ17" s="135">
        <v>21754</v>
      </c>
      <c r="RA17" s="135">
        <v>22634</v>
      </c>
      <c r="RB17" s="135">
        <v>0</v>
      </c>
      <c r="RC17" s="135">
        <v>21506</v>
      </c>
      <c r="RD17" s="135">
        <v>9588</v>
      </c>
      <c r="RE17" s="135">
        <v>15110</v>
      </c>
      <c r="RF17" s="135">
        <v>7419</v>
      </c>
      <c r="RG17" s="135">
        <v>19788</v>
      </c>
      <c r="RH17" s="135">
        <v>0</v>
      </c>
      <c r="RI17" s="135">
        <v>0</v>
      </c>
      <c r="RJ17" s="135">
        <v>16368</v>
      </c>
      <c r="RK17" s="135">
        <v>11408</v>
      </c>
      <c r="RL17" s="135">
        <v>7491</v>
      </c>
      <c r="RM17" s="135">
        <v>7480</v>
      </c>
      <c r="RN17" s="135">
        <v>8862</v>
      </c>
      <c r="RO17" s="135">
        <v>7707</v>
      </c>
      <c r="RP17" s="135">
        <v>0</v>
      </c>
      <c r="RQ17" s="135">
        <v>12926</v>
      </c>
      <c r="RR17" s="135">
        <v>13615</v>
      </c>
      <c r="RS17" s="135">
        <v>8459</v>
      </c>
      <c r="RT17" s="135">
        <v>5772</v>
      </c>
      <c r="RU17" s="135">
        <v>7247</v>
      </c>
      <c r="RV17" s="135">
        <v>14600</v>
      </c>
      <c r="RW17" s="135">
        <v>0</v>
      </c>
      <c r="RX17" s="135">
        <v>7697</v>
      </c>
      <c r="RY17" s="135">
        <v>5888</v>
      </c>
      <c r="RZ17" s="135">
        <v>12126</v>
      </c>
      <c r="SA17" s="135">
        <v>11961</v>
      </c>
      <c r="SB17" s="135">
        <v>14589</v>
      </c>
      <c r="SC17" s="135">
        <v>15091</v>
      </c>
      <c r="SD17" s="135">
        <v>0</v>
      </c>
      <c r="SE17" s="135">
        <v>2766</v>
      </c>
      <c r="SF17" s="135">
        <v>9158</v>
      </c>
      <c r="SG17" s="135">
        <v>15005</v>
      </c>
      <c r="SH17" s="135">
        <v>19842</v>
      </c>
      <c r="SI17" s="135">
        <v>4924</v>
      </c>
      <c r="SJ17" s="135">
        <v>37980</v>
      </c>
      <c r="SK17" s="135">
        <v>0</v>
      </c>
      <c r="SL17" s="135">
        <v>12470</v>
      </c>
      <c r="SM17" s="135">
        <v>10651</v>
      </c>
      <c r="SN17" s="135">
        <v>15460</v>
      </c>
      <c r="SO17" s="135">
        <v>6395</v>
      </c>
      <c r="SP17" s="135">
        <v>7824</v>
      </c>
      <c r="SQ17" s="135">
        <v>16666</v>
      </c>
      <c r="SR17" s="135">
        <v>0</v>
      </c>
      <c r="SS17" s="135">
        <v>13595</v>
      </c>
      <c r="ST17" s="135">
        <v>15882</v>
      </c>
      <c r="SU17" s="135">
        <v>17011</v>
      </c>
      <c r="SV17" s="135">
        <v>13328</v>
      </c>
      <c r="SW17" s="135">
        <v>22803</v>
      </c>
      <c r="SX17" s="135">
        <v>21296</v>
      </c>
      <c r="SZ17" s="135">
        <v>10595</v>
      </c>
      <c r="TA17" s="135">
        <v>31913</v>
      </c>
      <c r="TB17" s="135">
        <v>5657</v>
      </c>
      <c r="TC17" s="135">
        <v>8330</v>
      </c>
      <c r="TD17" s="135">
        <v>14934</v>
      </c>
      <c r="TE17" s="135">
        <v>10392</v>
      </c>
      <c r="TF17" s="135">
        <v>0</v>
      </c>
      <c r="TG17" s="135">
        <v>5451</v>
      </c>
      <c r="TH17" s="135">
        <v>3612</v>
      </c>
      <c r="TI17" s="135">
        <v>14144</v>
      </c>
      <c r="TJ17" s="135">
        <v>3317</v>
      </c>
      <c r="TK17" s="135">
        <v>7203</v>
      </c>
      <c r="TL17" s="135">
        <v>8401</v>
      </c>
      <c r="TM17" s="135">
        <v>0</v>
      </c>
      <c r="TN17" s="135">
        <v>0</v>
      </c>
      <c r="TO17" s="135">
        <v>11763</v>
      </c>
      <c r="TP17" s="135">
        <v>9358</v>
      </c>
      <c r="TQ17" s="135">
        <v>3597</v>
      </c>
      <c r="TR17" s="135">
        <v>8589</v>
      </c>
      <c r="TS17" s="135">
        <v>10426</v>
      </c>
      <c r="TT17" s="135">
        <v>0</v>
      </c>
      <c r="TU17" s="135">
        <v>0</v>
      </c>
      <c r="TV17" s="135">
        <v>0</v>
      </c>
      <c r="TW17" s="135">
        <v>3138</v>
      </c>
      <c r="TX17" s="135">
        <v>265</v>
      </c>
      <c r="TY17" s="135">
        <v>3583</v>
      </c>
      <c r="TZ17" s="135">
        <v>7289</v>
      </c>
      <c r="UA17" s="135">
        <v>0</v>
      </c>
      <c r="UB17" s="135">
        <v>4852</v>
      </c>
      <c r="UC17" s="135">
        <v>2451</v>
      </c>
      <c r="UD17" s="135">
        <v>12641</v>
      </c>
      <c r="UE17" s="135">
        <v>6926</v>
      </c>
      <c r="UF17" s="135">
        <v>6837</v>
      </c>
      <c r="UG17" s="135">
        <v>11291</v>
      </c>
      <c r="UH17" s="135">
        <v>0</v>
      </c>
      <c r="UI17" s="135">
        <v>8758</v>
      </c>
      <c r="UJ17" s="135">
        <v>7108</v>
      </c>
      <c r="UK17" s="135">
        <v>5652</v>
      </c>
      <c r="UL17" s="135">
        <v>0</v>
      </c>
      <c r="UM17" s="135">
        <v>11699</v>
      </c>
      <c r="UN17" s="135">
        <v>12976</v>
      </c>
      <c r="UO17" s="135">
        <v>0</v>
      </c>
      <c r="UP17" s="135">
        <v>0</v>
      </c>
      <c r="UQ17" s="135">
        <v>4304</v>
      </c>
      <c r="UR17" s="135">
        <v>9619</v>
      </c>
      <c r="US17" s="135">
        <v>5912</v>
      </c>
      <c r="UT17" s="135">
        <v>20340</v>
      </c>
      <c r="UU17" s="135">
        <v>14027</v>
      </c>
      <c r="UV17" s="135">
        <v>0</v>
      </c>
      <c r="UW17" s="135">
        <v>0</v>
      </c>
      <c r="UX17" s="135">
        <v>5729</v>
      </c>
      <c r="UY17" s="135">
        <v>6876</v>
      </c>
      <c r="UZ17" s="135">
        <v>7252</v>
      </c>
      <c r="VA17" s="135">
        <v>13975</v>
      </c>
      <c r="VB17" s="135">
        <v>7401</v>
      </c>
      <c r="VC17" s="135">
        <v>0</v>
      </c>
      <c r="VD17" s="135">
        <v>8441</v>
      </c>
      <c r="VE17" s="135">
        <v>3130</v>
      </c>
      <c r="VF17" s="135">
        <v>1480</v>
      </c>
      <c r="VG17" s="135">
        <v>11219</v>
      </c>
      <c r="VH17" s="135">
        <v>8843</v>
      </c>
      <c r="VI17" s="135">
        <v>6690</v>
      </c>
      <c r="VJ17" s="135">
        <v>0</v>
      </c>
      <c r="VK17" s="135">
        <v>11136</v>
      </c>
      <c r="VL17" s="135">
        <v>17927</v>
      </c>
      <c r="VM17" s="135">
        <v>7180</v>
      </c>
      <c r="VN17" s="135">
        <v>10058</v>
      </c>
      <c r="VO17" s="135">
        <v>15687</v>
      </c>
      <c r="VP17" s="135">
        <v>10106</v>
      </c>
      <c r="VQ17" s="135">
        <v>0</v>
      </c>
      <c r="VR17" s="135">
        <v>21498</v>
      </c>
      <c r="VS17" s="135">
        <v>0</v>
      </c>
      <c r="VT17" s="135">
        <v>11559</v>
      </c>
      <c r="VU17" s="135">
        <v>15844</v>
      </c>
      <c r="VV17" s="135">
        <v>5490</v>
      </c>
      <c r="VW17" s="135">
        <v>5315</v>
      </c>
      <c r="VX17" s="135">
        <v>0</v>
      </c>
      <c r="VY17" s="135">
        <v>15723</v>
      </c>
      <c r="VZ17" s="135">
        <v>23180</v>
      </c>
      <c r="WA17" s="135">
        <v>7091</v>
      </c>
      <c r="WB17" s="135">
        <v>3475</v>
      </c>
      <c r="WC17" s="135">
        <v>7867</v>
      </c>
      <c r="WD17" s="135">
        <v>12512</v>
      </c>
      <c r="WE17" s="135">
        <v>0</v>
      </c>
      <c r="WF17" s="135">
        <v>4788</v>
      </c>
      <c r="WG17" s="135">
        <v>2134</v>
      </c>
      <c r="WH17" s="135">
        <v>1819</v>
      </c>
      <c r="WI17" s="135">
        <v>2872</v>
      </c>
      <c r="WJ17" s="135">
        <v>4458</v>
      </c>
      <c r="WK17" s="135">
        <v>7817</v>
      </c>
      <c r="WL17" s="135">
        <v>0</v>
      </c>
      <c r="WM17" s="135">
        <v>3937</v>
      </c>
      <c r="WN17" s="135">
        <v>3184</v>
      </c>
      <c r="WO17" s="135">
        <v>1580</v>
      </c>
      <c r="WP17" s="135">
        <v>4120</v>
      </c>
      <c r="WQ17" s="135">
        <v>8251</v>
      </c>
      <c r="WR17" s="135">
        <v>2422</v>
      </c>
      <c r="WS17" s="135">
        <v>0</v>
      </c>
      <c r="WT17" s="135">
        <v>8626</v>
      </c>
      <c r="WU17" s="135">
        <v>3206</v>
      </c>
      <c r="WV17" s="135">
        <v>5024</v>
      </c>
      <c r="WW17" s="135">
        <v>6207</v>
      </c>
      <c r="WX17" s="135">
        <v>10238</v>
      </c>
      <c r="WY17" s="135">
        <v>3878</v>
      </c>
      <c r="WZ17" s="135">
        <v>0</v>
      </c>
      <c r="XA17" s="135">
        <v>4773</v>
      </c>
      <c r="XB17" s="135">
        <v>5447</v>
      </c>
      <c r="XC17" s="135">
        <v>9391</v>
      </c>
      <c r="XD17" s="135">
        <v>8428</v>
      </c>
      <c r="XE17" s="135">
        <v>7551</v>
      </c>
      <c r="XF17" s="135">
        <v>12504</v>
      </c>
      <c r="XG17" s="135">
        <v>0</v>
      </c>
      <c r="XH17" s="135">
        <v>12782</v>
      </c>
      <c r="XI17" s="135">
        <v>3829</v>
      </c>
      <c r="XJ17" s="135">
        <v>5550</v>
      </c>
      <c r="XK17" s="135">
        <v>2590</v>
      </c>
      <c r="XL17" s="135">
        <v>9300</v>
      </c>
      <c r="XM17" s="135">
        <v>4562</v>
      </c>
      <c r="XN17" s="135">
        <v>0</v>
      </c>
      <c r="XO17" s="135">
        <v>5215</v>
      </c>
      <c r="XP17" s="135">
        <v>2128</v>
      </c>
      <c r="XQ17" s="135">
        <v>2817</v>
      </c>
      <c r="XR17" s="135">
        <v>7528</v>
      </c>
      <c r="XS17" s="135">
        <v>6578</v>
      </c>
      <c r="XT17" s="135">
        <v>10210</v>
      </c>
      <c r="XU17" s="135">
        <v>0</v>
      </c>
      <c r="XV17" s="135">
        <v>0</v>
      </c>
      <c r="XW17" s="135">
        <v>8045</v>
      </c>
      <c r="XX17" s="135">
        <v>2642</v>
      </c>
      <c r="XY17" s="135">
        <v>4739</v>
      </c>
      <c r="XZ17" s="135">
        <v>8183</v>
      </c>
      <c r="YA17" s="135">
        <v>11513</v>
      </c>
      <c r="YB17" s="135">
        <v>0</v>
      </c>
      <c r="YC17" s="135">
        <v>6883</v>
      </c>
      <c r="YD17" s="135">
        <v>2812</v>
      </c>
      <c r="YE17" s="135">
        <v>9378</v>
      </c>
      <c r="YF17" s="135">
        <v>19160</v>
      </c>
      <c r="YG17" s="135">
        <v>18061</v>
      </c>
      <c r="YH17" s="135">
        <v>4747</v>
      </c>
      <c r="YI17" s="135">
        <v>0</v>
      </c>
      <c r="YJ17" s="135">
        <v>6844</v>
      </c>
      <c r="YK17" s="135">
        <v>0</v>
      </c>
      <c r="YL17" s="135">
        <v>9667</v>
      </c>
      <c r="YM17" s="135">
        <v>9761</v>
      </c>
      <c r="YN17" s="135">
        <v>2883</v>
      </c>
      <c r="YO17" s="135">
        <v>5127</v>
      </c>
      <c r="YP17" s="135">
        <v>0</v>
      </c>
      <c r="YQ17" s="135">
        <v>11115</v>
      </c>
      <c r="YR17" s="135">
        <v>3565</v>
      </c>
      <c r="YS17" s="135">
        <v>10141</v>
      </c>
      <c r="YT17" s="135">
        <v>7931</v>
      </c>
      <c r="YU17" s="135">
        <v>4279</v>
      </c>
      <c r="YV17" s="135">
        <v>14689</v>
      </c>
      <c r="YW17" s="135">
        <v>0</v>
      </c>
      <c r="YX17" s="135">
        <v>7695</v>
      </c>
      <c r="YY17" s="135">
        <v>7065</v>
      </c>
      <c r="YZ17" s="135">
        <v>5244</v>
      </c>
      <c r="ZA17" s="135">
        <v>6770</v>
      </c>
      <c r="ZB17" s="135">
        <v>8691</v>
      </c>
      <c r="ZC17" s="135">
        <v>10141</v>
      </c>
      <c r="ZD17" s="135">
        <v>0</v>
      </c>
      <c r="ZE17" s="135">
        <v>15703</v>
      </c>
      <c r="ZF17" s="135">
        <v>1996</v>
      </c>
      <c r="ZG17" s="135">
        <v>10164</v>
      </c>
      <c r="ZH17" s="135">
        <v>5009</v>
      </c>
      <c r="ZI17" s="135">
        <v>11180</v>
      </c>
      <c r="ZJ17" s="135">
        <v>10776</v>
      </c>
      <c r="ZK17" s="135">
        <v>0</v>
      </c>
      <c r="ZL17" s="135">
        <v>4953</v>
      </c>
      <c r="ZM17" s="135">
        <v>7794</v>
      </c>
      <c r="ZN17" s="135">
        <v>16495</v>
      </c>
      <c r="ZO17" s="135">
        <v>11255</v>
      </c>
      <c r="ZP17" s="135">
        <v>7028</v>
      </c>
      <c r="ZQ17" s="135">
        <v>8523</v>
      </c>
      <c r="ZR17" s="135">
        <v>0</v>
      </c>
      <c r="ZS17" s="135">
        <v>3720</v>
      </c>
      <c r="ZT17" s="135">
        <v>6258</v>
      </c>
      <c r="ZU17" s="135">
        <v>14044</v>
      </c>
      <c r="ZV17" s="135">
        <v>14881</v>
      </c>
      <c r="ZW17" s="135">
        <v>7149</v>
      </c>
      <c r="ZX17" s="135">
        <v>8904</v>
      </c>
      <c r="ZY17" s="135">
        <v>0</v>
      </c>
      <c r="ZZ17" s="135">
        <v>7214</v>
      </c>
      <c r="AAA17" s="135">
        <v>6179</v>
      </c>
      <c r="AAB17" s="135">
        <v>3403</v>
      </c>
      <c r="AAC17" s="135">
        <v>4599</v>
      </c>
      <c r="AAD17" s="135">
        <v>9571</v>
      </c>
      <c r="AAE17" s="135">
        <v>8890</v>
      </c>
      <c r="AAF17" s="135">
        <v>0</v>
      </c>
      <c r="AAG17" s="135">
        <v>5148</v>
      </c>
      <c r="AAH17" s="135">
        <v>4664</v>
      </c>
      <c r="AAI17" s="135">
        <v>15157</v>
      </c>
      <c r="AAJ17" s="135">
        <v>8711</v>
      </c>
      <c r="AAK17" s="135">
        <v>9504</v>
      </c>
      <c r="AAL17" s="135">
        <v>9892</v>
      </c>
      <c r="AAM17" s="135">
        <v>0</v>
      </c>
      <c r="AAN17" s="135">
        <v>4536</v>
      </c>
      <c r="AAO17" s="135">
        <v>10528</v>
      </c>
      <c r="AAP17" s="135">
        <v>9431</v>
      </c>
      <c r="AAQ17" s="135">
        <v>10272</v>
      </c>
      <c r="AAR17" s="135">
        <v>19071</v>
      </c>
      <c r="AAS17" s="135">
        <v>3431</v>
      </c>
      <c r="AAT17" s="135">
        <v>0</v>
      </c>
      <c r="AAU17" s="135">
        <v>0</v>
      </c>
      <c r="AAV17" s="135">
        <v>22454</v>
      </c>
      <c r="AAW17" s="135">
        <v>8813</v>
      </c>
      <c r="AAX17" s="135">
        <v>10571</v>
      </c>
      <c r="AAY17" s="135">
        <v>2815</v>
      </c>
      <c r="AAZ17" s="135">
        <v>15278</v>
      </c>
      <c r="ABA17" s="135">
        <v>0</v>
      </c>
      <c r="ABB17" s="135">
        <v>12123</v>
      </c>
      <c r="ABC17" s="135">
        <v>8210</v>
      </c>
      <c r="ABD17" s="135">
        <v>3223</v>
      </c>
      <c r="ABE17" s="135">
        <v>0</v>
      </c>
      <c r="ABF17" s="135">
        <v>6272</v>
      </c>
      <c r="ABG17" s="135">
        <v>14684</v>
      </c>
      <c r="ABH17" s="135">
        <v>0</v>
      </c>
      <c r="ABI17" s="135">
        <v>7864</v>
      </c>
      <c r="ABJ17" s="135">
        <v>4391</v>
      </c>
      <c r="ABK17" s="135">
        <v>2137</v>
      </c>
      <c r="ABL17" s="135">
        <v>6707</v>
      </c>
      <c r="ABM17" s="135">
        <v>2372</v>
      </c>
      <c r="ABN17" s="135">
        <v>6958</v>
      </c>
      <c r="ABO17" s="135">
        <v>0</v>
      </c>
      <c r="ABP17" s="135">
        <v>14162</v>
      </c>
      <c r="ABQ17" s="135">
        <v>10827</v>
      </c>
      <c r="ABR17" s="135">
        <v>10108</v>
      </c>
      <c r="ABS17" s="135">
        <v>6216</v>
      </c>
      <c r="ABT17" s="135">
        <v>13035</v>
      </c>
      <c r="ABU17" s="135">
        <v>6800</v>
      </c>
      <c r="ABV17" s="135">
        <v>0</v>
      </c>
      <c r="ABW17" s="135">
        <v>8033</v>
      </c>
      <c r="ABX17" s="135">
        <v>16767</v>
      </c>
      <c r="ABY17" s="135">
        <v>10084</v>
      </c>
      <c r="ABZ17" s="135">
        <v>9103</v>
      </c>
      <c r="ACA17" s="135">
        <v>9584</v>
      </c>
      <c r="ACB17" s="135">
        <v>5092</v>
      </c>
      <c r="ACC17" s="135">
        <v>0</v>
      </c>
      <c r="ACD17" s="135">
        <v>10731</v>
      </c>
      <c r="ACE17" s="135">
        <v>10994</v>
      </c>
      <c r="ACF17" s="135">
        <v>6343</v>
      </c>
      <c r="ACG17" s="135">
        <v>1998</v>
      </c>
      <c r="ACH17" s="135">
        <v>11276</v>
      </c>
      <c r="ACI17" s="135">
        <v>4829</v>
      </c>
      <c r="ACJ17" s="135">
        <v>0</v>
      </c>
      <c r="ACK17" s="135">
        <v>6626</v>
      </c>
      <c r="ACL17" s="135">
        <v>9402</v>
      </c>
      <c r="ACM17" s="135">
        <v>6287</v>
      </c>
      <c r="ACN17" s="135">
        <v>7850</v>
      </c>
      <c r="ACO17" s="135">
        <v>2275</v>
      </c>
      <c r="ACP17" s="135">
        <v>2075</v>
      </c>
      <c r="ACQ17" s="135">
        <v>0</v>
      </c>
      <c r="ACR17" s="135">
        <v>3261</v>
      </c>
      <c r="ACS17" s="135">
        <v>2861</v>
      </c>
      <c r="ACT17" s="135">
        <v>6118</v>
      </c>
      <c r="ACU17" s="135">
        <v>6345</v>
      </c>
      <c r="ACV17" s="135">
        <v>0</v>
      </c>
      <c r="ACW17" s="135">
        <v>6015</v>
      </c>
      <c r="ACX17" s="135">
        <v>0</v>
      </c>
      <c r="ACY17" s="135">
        <v>2912</v>
      </c>
      <c r="ACZ17" s="135">
        <v>7974</v>
      </c>
      <c r="ADA17" s="135">
        <v>19356</v>
      </c>
      <c r="ADB17" s="135">
        <v>3162</v>
      </c>
      <c r="ADC17" s="135">
        <v>5477</v>
      </c>
      <c r="ADD17" s="135">
        <v>8172</v>
      </c>
      <c r="ADE17" s="135">
        <v>0</v>
      </c>
      <c r="ADF17" s="135">
        <v>9100</v>
      </c>
      <c r="ADG17" s="135">
        <v>4194</v>
      </c>
      <c r="ADH17" s="135">
        <v>8691</v>
      </c>
      <c r="ADI17" s="135">
        <v>4964</v>
      </c>
      <c r="ADJ17" s="135">
        <v>7739</v>
      </c>
      <c r="ADK17" s="135">
        <v>7685</v>
      </c>
      <c r="ADL17" s="135">
        <v>0</v>
      </c>
      <c r="ADM17" s="135">
        <v>9434</v>
      </c>
      <c r="ADN17" s="135">
        <v>12490</v>
      </c>
      <c r="ADO17" s="135">
        <v>8584</v>
      </c>
      <c r="ADP17" s="135">
        <v>8022</v>
      </c>
      <c r="ADQ17" s="135">
        <v>23672</v>
      </c>
      <c r="ADR17" s="135">
        <v>4398</v>
      </c>
      <c r="ADS17" s="135">
        <v>0</v>
      </c>
      <c r="ADT17" s="135">
        <v>5045</v>
      </c>
      <c r="ADU17" s="135">
        <v>185</v>
      </c>
      <c r="ADV17" s="135">
        <v>0</v>
      </c>
      <c r="ADW17" s="135">
        <v>0</v>
      </c>
      <c r="ADX17" s="135">
        <v>0</v>
      </c>
      <c r="ADY17" s="135">
        <v>3942</v>
      </c>
      <c r="ADZ17" s="135">
        <v>0</v>
      </c>
      <c r="AEA17" s="135">
        <v>3899</v>
      </c>
      <c r="AEB17" s="135">
        <v>5482</v>
      </c>
      <c r="AEC17" s="135">
        <v>564</v>
      </c>
      <c r="AED17" s="135">
        <v>1896</v>
      </c>
      <c r="AEE17" s="135">
        <v>20395</v>
      </c>
      <c r="AEF17" s="135">
        <v>29152</v>
      </c>
      <c r="AEG17" s="135">
        <v>0</v>
      </c>
      <c r="AEH17" s="135">
        <v>9683</v>
      </c>
      <c r="AEI17" s="135">
        <v>8205</v>
      </c>
      <c r="AEJ17" s="135">
        <v>7535</v>
      </c>
      <c r="AEK17" s="135">
        <v>5396</v>
      </c>
      <c r="AEL17" s="135">
        <v>8339</v>
      </c>
      <c r="AEM17" s="135">
        <v>11642</v>
      </c>
      <c r="AEN17" s="135">
        <v>0</v>
      </c>
      <c r="AEO17" s="135">
        <v>8850</v>
      </c>
      <c r="AEP17" s="135">
        <v>9581</v>
      </c>
      <c r="AEQ17" s="135">
        <v>9263</v>
      </c>
      <c r="AER17" s="135">
        <v>7558</v>
      </c>
      <c r="AES17" s="135">
        <v>10881</v>
      </c>
      <c r="AET17" s="135">
        <v>8986</v>
      </c>
      <c r="AEU17" s="135">
        <v>0</v>
      </c>
      <c r="AEV17" s="135">
        <v>16330</v>
      </c>
      <c r="AEW17" s="135">
        <v>9522</v>
      </c>
      <c r="AEX17" s="135">
        <v>7175</v>
      </c>
      <c r="AEY17" s="135">
        <v>4385</v>
      </c>
      <c r="AEZ17" s="135">
        <v>9133</v>
      </c>
      <c r="AFA17" s="135">
        <v>7455</v>
      </c>
      <c r="AFB17" s="135">
        <v>0</v>
      </c>
      <c r="AFC17" s="135">
        <v>9174</v>
      </c>
      <c r="AFD17" s="135">
        <v>6623</v>
      </c>
      <c r="AFE17" s="135">
        <v>8050</v>
      </c>
      <c r="AFF17" s="135">
        <v>13802</v>
      </c>
      <c r="AFG17" s="135">
        <v>12499</v>
      </c>
      <c r="AFH17" s="135">
        <v>8390</v>
      </c>
      <c r="AFI17" s="135">
        <v>0</v>
      </c>
      <c r="AFJ17" s="135">
        <v>19017</v>
      </c>
      <c r="AFK17" s="135">
        <v>5949</v>
      </c>
      <c r="AFL17" s="135">
        <v>8487</v>
      </c>
      <c r="AFM17" s="135">
        <v>5776</v>
      </c>
      <c r="AFN17" s="135">
        <v>8132</v>
      </c>
      <c r="AFO17" s="135">
        <v>2895</v>
      </c>
      <c r="AFP17" s="135">
        <v>0</v>
      </c>
      <c r="AFQ17" s="135">
        <v>9222</v>
      </c>
      <c r="AFR17" s="135">
        <v>3650</v>
      </c>
      <c r="AFS17" s="135">
        <v>8849</v>
      </c>
      <c r="AFT17" s="135">
        <v>4179</v>
      </c>
      <c r="AFU17" s="135">
        <v>5240</v>
      </c>
      <c r="AFV17" s="135">
        <v>4127</v>
      </c>
      <c r="AFW17" s="135">
        <v>0</v>
      </c>
      <c r="AFX17" s="135">
        <v>2039</v>
      </c>
      <c r="AFY17" s="135">
        <v>6197</v>
      </c>
      <c r="AFZ17" s="135">
        <v>7715</v>
      </c>
      <c r="AGA17" s="135">
        <v>4797</v>
      </c>
      <c r="AGB17" s="135">
        <v>2823</v>
      </c>
      <c r="AGC17" s="135">
        <v>5668</v>
      </c>
      <c r="AGD17" s="135">
        <v>0</v>
      </c>
      <c r="AGE17" s="135">
        <v>11286</v>
      </c>
      <c r="AGF17" s="135">
        <v>6705</v>
      </c>
      <c r="AGG17" s="135">
        <v>4429</v>
      </c>
      <c r="AGH17" s="135">
        <v>4483</v>
      </c>
      <c r="AGI17" s="135">
        <v>11307</v>
      </c>
      <c r="AGJ17" s="135">
        <v>0</v>
      </c>
      <c r="AGK17" s="135">
        <v>0</v>
      </c>
      <c r="AGL17" s="135">
        <v>8961</v>
      </c>
      <c r="AGM17" s="135">
        <v>2670</v>
      </c>
      <c r="AGN17" s="135">
        <v>7367</v>
      </c>
      <c r="AGO17" s="135">
        <v>5220</v>
      </c>
      <c r="AGP17" s="135">
        <v>10345</v>
      </c>
      <c r="AGQ17" s="135">
        <v>16282</v>
      </c>
      <c r="AGR17" s="135">
        <v>0</v>
      </c>
      <c r="AGS17" s="135">
        <v>6203</v>
      </c>
      <c r="AGT17" s="135">
        <v>8776</v>
      </c>
      <c r="AGU17" s="135">
        <v>6366</v>
      </c>
      <c r="AGV17" s="135">
        <v>3029</v>
      </c>
      <c r="AGW17" s="135">
        <v>23318</v>
      </c>
      <c r="AGX17" s="135">
        <v>9894</v>
      </c>
      <c r="AGY17" s="135">
        <v>0</v>
      </c>
      <c r="AGZ17" s="135">
        <v>9207</v>
      </c>
      <c r="AHA17" s="135">
        <v>3071</v>
      </c>
      <c r="AHB17" s="135">
        <v>5727</v>
      </c>
      <c r="AHC17" s="135">
        <v>5014</v>
      </c>
      <c r="AHD17" s="135">
        <v>5004</v>
      </c>
      <c r="AHE17" s="135">
        <v>2195</v>
      </c>
      <c r="AHI17" s="135">
        <v>9005</v>
      </c>
      <c r="AHJ17" s="135">
        <v>13008</v>
      </c>
      <c r="AHK17" s="135">
        <v>5434</v>
      </c>
      <c r="AHL17" s="135">
        <v>21175</v>
      </c>
      <c r="AHM17" s="135">
        <v>0</v>
      </c>
      <c r="AHN17" s="135">
        <v>0</v>
      </c>
      <c r="AHO17" s="135">
        <v>13669</v>
      </c>
      <c r="AHP17" s="135">
        <v>8473</v>
      </c>
      <c r="AHQ17" s="135">
        <v>6140</v>
      </c>
      <c r="AHR17" s="135">
        <v>6653</v>
      </c>
      <c r="AHS17" s="135">
        <v>6968</v>
      </c>
      <c r="AHT17" s="135">
        <v>0</v>
      </c>
      <c r="AHU17" s="135">
        <v>0</v>
      </c>
      <c r="AHV17" s="135">
        <v>0</v>
      </c>
      <c r="AHW17" s="135">
        <v>0</v>
      </c>
      <c r="AHX17" s="135">
        <v>1515</v>
      </c>
      <c r="AHY17" s="135">
        <v>4353</v>
      </c>
      <c r="AHZ17" s="135">
        <v>1939</v>
      </c>
      <c r="AIA17" s="135">
        <v>0</v>
      </c>
      <c r="AIB17" s="135">
        <v>5293</v>
      </c>
      <c r="AIC17" s="135">
        <v>2733</v>
      </c>
      <c r="AID17" s="135">
        <v>4458</v>
      </c>
      <c r="AIE17" s="135">
        <v>7645</v>
      </c>
      <c r="AIF17" s="135">
        <v>5399</v>
      </c>
      <c r="AIG17" s="135">
        <v>13491</v>
      </c>
      <c r="AIH17" s="135">
        <v>0</v>
      </c>
      <c r="AII17" s="135">
        <v>7844</v>
      </c>
      <c r="AIJ17" s="135">
        <v>2472</v>
      </c>
      <c r="AIK17" s="135">
        <v>8813</v>
      </c>
      <c r="AIL17" s="135">
        <v>2823</v>
      </c>
      <c r="AIM17" s="135">
        <v>0</v>
      </c>
      <c r="AIN17" s="135">
        <v>5177</v>
      </c>
      <c r="AIO17" s="135">
        <v>0</v>
      </c>
      <c r="AIP17" s="135">
        <v>0</v>
      </c>
      <c r="AIQ17" s="135">
        <v>9341</v>
      </c>
      <c r="AIR17" s="135">
        <v>3515</v>
      </c>
      <c r="AIS17" s="135">
        <v>10544</v>
      </c>
      <c r="AIT17" s="135">
        <v>9363</v>
      </c>
      <c r="AIU17" s="135">
        <v>13270</v>
      </c>
      <c r="AIV17" s="135">
        <v>0</v>
      </c>
      <c r="AIW17" s="135">
        <v>6341</v>
      </c>
      <c r="AIX17" s="135">
        <v>6340</v>
      </c>
      <c r="AIY17" s="135">
        <v>6387</v>
      </c>
      <c r="AIZ17" s="135">
        <v>7829</v>
      </c>
      <c r="AJA17" s="135">
        <v>8287</v>
      </c>
      <c r="AJB17" s="135">
        <v>10936</v>
      </c>
      <c r="AJC17" s="135">
        <v>0</v>
      </c>
      <c r="AJD17" s="135">
        <v>3678</v>
      </c>
      <c r="AJE17" s="135">
        <v>6498</v>
      </c>
      <c r="AJF17" s="135">
        <v>5396</v>
      </c>
      <c r="AJG17" s="135">
        <v>5479</v>
      </c>
      <c r="AJH17" s="135">
        <v>3215</v>
      </c>
      <c r="AJI17" s="135">
        <v>9218</v>
      </c>
      <c r="AJJ17" s="135">
        <v>0</v>
      </c>
      <c r="AJK17" s="135">
        <v>9010</v>
      </c>
      <c r="AJL17" s="135">
        <v>1033</v>
      </c>
      <c r="AJM17" s="135">
        <v>3581</v>
      </c>
      <c r="AJN17" s="135">
        <v>10308</v>
      </c>
      <c r="AJO17" s="135">
        <v>3900</v>
      </c>
      <c r="AJP17" s="135">
        <v>6445</v>
      </c>
      <c r="AJQ17" s="135">
        <v>0</v>
      </c>
      <c r="AJR17" s="135">
        <v>0</v>
      </c>
      <c r="AJS17" s="135">
        <v>22915</v>
      </c>
      <c r="AJT17" s="135">
        <v>0</v>
      </c>
      <c r="AJU17" s="135">
        <v>1353</v>
      </c>
      <c r="AJV17" s="135">
        <v>9463</v>
      </c>
      <c r="AJW17" s="135">
        <v>3336</v>
      </c>
      <c r="AJX17" s="135">
        <v>0</v>
      </c>
      <c r="AJY17" s="135">
        <v>8382</v>
      </c>
      <c r="AJZ17" s="135">
        <v>7317</v>
      </c>
      <c r="AKA17" s="135">
        <v>1527</v>
      </c>
      <c r="AKB17" s="135">
        <v>2996</v>
      </c>
      <c r="AKC17" s="135">
        <v>8158</v>
      </c>
      <c r="AKD17" s="135">
        <v>9441</v>
      </c>
      <c r="AKE17" s="135">
        <v>0</v>
      </c>
      <c r="AKF17" s="135">
        <v>3753</v>
      </c>
    </row>
    <row r="18" spans="1:968" s="135" customFormat="1">
      <c r="B18" s="136" t="s">
        <v>49</v>
      </c>
      <c r="C18" s="137">
        <v>82301</v>
      </c>
      <c r="D18" s="137" t="s">
        <v>8</v>
      </c>
      <c r="E18" s="137" t="s">
        <v>41</v>
      </c>
      <c r="F18" s="153" t="s">
        <v>20</v>
      </c>
      <c r="G18" s="137" t="s">
        <v>33</v>
      </c>
      <c r="H18" s="137" t="s">
        <v>50</v>
      </c>
      <c r="I18" s="137" t="s">
        <v>14</v>
      </c>
      <c r="J18" s="137" t="s">
        <v>15</v>
      </c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  <c r="Z18" s="138"/>
      <c r="AA18" s="138"/>
      <c r="AB18" s="138"/>
      <c r="AC18" s="138"/>
      <c r="AD18" s="138"/>
      <c r="AE18" s="138"/>
      <c r="AF18" s="138"/>
      <c r="AG18" s="138"/>
      <c r="AH18" s="138"/>
      <c r="AI18" s="138"/>
      <c r="AJ18" s="138"/>
      <c r="AK18" s="138"/>
      <c r="AL18" s="138"/>
      <c r="AM18" s="138"/>
      <c r="AN18" s="138"/>
      <c r="AO18" s="138"/>
      <c r="AP18" s="138"/>
      <c r="AQ18" s="138"/>
      <c r="AR18" s="138"/>
      <c r="AS18" s="138"/>
      <c r="AT18" s="138"/>
      <c r="AU18" s="138"/>
      <c r="AV18" s="138"/>
      <c r="AW18" s="138"/>
      <c r="AX18" s="138"/>
      <c r="AY18" s="138"/>
      <c r="AZ18" s="138"/>
      <c r="BA18" s="138"/>
      <c r="BB18" s="138"/>
      <c r="BC18" s="138"/>
      <c r="BD18" s="138"/>
      <c r="BE18" s="138"/>
      <c r="BF18" s="138"/>
      <c r="BG18" s="138"/>
      <c r="BH18" s="138"/>
      <c r="BI18" s="138"/>
      <c r="BJ18" s="138"/>
      <c r="BK18" s="138"/>
      <c r="BL18" s="138"/>
      <c r="BM18" s="138"/>
      <c r="BN18" s="138"/>
      <c r="BO18" s="138"/>
      <c r="BP18" s="138"/>
      <c r="BQ18" s="138"/>
      <c r="BR18" s="138"/>
      <c r="BS18" s="138"/>
      <c r="BT18" s="138"/>
      <c r="BU18" s="138"/>
      <c r="BV18" s="138"/>
      <c r="BW18" s="138"/>
      <c r="BX18" s="138"/>
      <c r="BY18" s="138"/>
      <c r="BZ18" s="138"/>
      <c r="CA18" s="138"/>
      <c r="CB18" s="138"/>
      <c r="CC18" s="138"/>
      <c r="DJ18" s="142"/>
      <c r="DK18" s="142"/>
      <c r="LS18" s="143"/>
      <c r="LV18" s="140"/>
      <c r="OQ18" s="141"/>
      <c r="OU18" s="141"/>
      <c r="OX18" s="141"/>
      <c r="AGD18" s="154">
        <f>SUM(AGD7,AGD5)</f>
        <v>0</v>
      </c>
      <c r="AGE18" s="154">
        <f t="shared" ref="AGE18:AGX18" si="535">SUM(AGE7,AGE5)</f>
        <v>2787</v>
      </c>
      <c r="AGF18" s="154">
        <f t="shared" si="535"/>
        <v>2605</v>
      </c>
      <c r="AGG18" s="154">
        <f t="shared" si="535"/>
        <v>2541</v>
      </c>
      <c r="AGH18" s="154">
        <f t="shared" si="535"/>
        <v>2393</v>
      </c>
      <c r="AGI18" s="154">
        <f t="shared" si="535"/>
        <v>2778</v>
      </c>
      <c r="AGJ18" s="154">
        <f t="shared" si="535"/>
        <v>0</v>
      </c>
      <c r="AGK18" s="154">
        <f t="shared" si="535"/>
        <v>0</v>
      </c>
      <c r="AGL18" s="154">
        <f t="shared" si="535"/>
        <v>4177</v>
      </c>
      <c r="AGM18" s="154">
        <f t="shared" si="535"/>
        <v>3713</v>
      </c>
      <c r="AGN18" s="154">
        <f t="shared" si="535"/>
        <v>4048</v>
      </c>
      <c r="AGO18" s="154">
        <f t="shared" si="535"/>
        <v>3760</v>
      </c>
      <c r="AGP18" s="154">
        <f t="shared" si="535"/>
        <v>4285</v>
      </c>
      <c r="AGQ18" s="154">
        <f t="shared" si="535"/>
        <v>3480</v>
      </c>
      <c r="AGR18" s="154">
        <f t="shared" si="535"/>
        <v>0</v>
      </c>
      <c r="AGS18" s="154">
        <f t="shared" si="535"/>
        <v>3900</v>
      </c>
      <c r="AGT18" s="154">
        <f t="shared" si="535"/>
        <v>3162</v>
      </c>
      <c r="AGU18" s="154">
        <f t="shared" si="535"/>
        <v>4257</v>
      </c>
      <c r="AGV18" s="154">
        <f t="shared" si="535"/>
        <v>4059</v>
      </c>
      <c r="AGW18" s="154">
        <f t="shared" si="535"/>
        <v>4750</v>
      </c>
      <c r="AGX18" s="154">
        <f t="shared" si="535"/>
        <v>3427</v>
      </c>
      <c r="AHI18" s="139">
        <f>AHI5</f>
        <v>899</v>
      </c>
      <c r="AHJ18" s="139">
        <f t="shared" ref="AHJ18:AHS18" si="536">AHJ5</f>
        <v>1218</v>
      </c>
      <c r="AHK18" s="139">
        <f t="shared" si="536"/>
        <v>1322</v>
      </c>
      <c r="AHL18" s="139">
        <f t="shared" si="536"/>
        <v>989</v>
      </c>
      <c r="AHM18" s="139">
        <f t="shared" si="536"/>
        <v>0</v>
      </c>
      <c r="AHN18" s="139">
        <f t="shared" si="536"/>
        <v>0</v>
      </c>
      <c r="AHO18" s="139">
        <f t="shared" si="536"/>
        <v>1251</v>
      </c>
      <c r="AHP18" s="139">
        <f t="shared" si="536"/>
        <v>1176</v>
      </c>
      <c r="AHQ18" s="139">
        <f t="shared" si="536"/>
        <v>904</v>
      </c>
      <c r="AHR18" s="139">
        <f t="shared" si="536"/>
        <v>1507</v>
      </c>
      <c r="AHS18" s="139">
        <f t="shared" si="536"/>
        <v>1454</v>
      </c>
      <c r="AHT18" s="139">
        <f t="shared" ref="AHT18:AHZ18" si="537">AHT5</f>
        <v>0</v>
      </c>
      <c r="AHU18" s="139">
        <f t="shared" si="537"/>
        <v>0</v>
      </c>
      <c r="AHV18" s="139">
        <f t="shared" si="537"/>
        <v>0</v>
      </c>
      <c r="AHW18" s="139">
        <f t="shared" si="537"/>
        <v>452</v>
      </c>
      <c r="AHX18" s="139">
        <f t="shared" si="537"/>
        <v>909</v>
      </c>
      <c r="AHY18" s="139">
        <f t="shared" si="537"/>
        <v>470</v>
      </c>
      <c r="AHZ18" s="139">
        <f t="shared" si="537"/>
        <v>571</v>
      </c>
      <c r="AIA18" s="139">
        <f t="shared" ref="AIA18:AII18" si="538">AIA5</f>
        <v>0</v>
      </c>
      <c r="AIB18" s="139">
        <f t="shared" si="538"/>
        <v>58</v>
      </c>
      <c r="AIC18" s="139">
        <f t="shared" si="538"/>
        <v>291</v>
      </c>
      <c r="AID18" s="139">
        <f t="shared" si="538"/>
        <v>72</v>
      </c>
      <c r="AIE18" s="139">
        <f t="shared" si="538"/>
        <v>129</v>
      </c>
      <c r="AIF18" s="139">
        <f t="shared" si="538"/>
        <v>176</v>
      </c>
      <c r="AIG18" s="139">
        <f t="shared" si="538"/>
        <v>16</v>
      </c>
      <c r="AIH18" s="139">
        <f t="shared" si="538"/>
        <v>0</v>
      </c>
      <c r="AII18" s="139">
        <f t="shared" si="538"/>
        <v>148</v>
      </c>
      <c r="AIJ18" s="139">
        <f>AIJ5</f>
        <v>324</v>
      </c>
      <c r="AIK18" s="139">
        <f>AIK5</f>
        <v>313</v>
      </c>
      <c r="AIL18" s="139">
        <f>AIL5</f>
        <v>136</v>
      </c>
      <c r="AIM18" s="139">
        <f t="shared" ref="AIM18:AIU18" si="539">AIM5</f>
        <v>0</v>
      </c>
      <c r="AIN18" s="139">
        <f t="shared" si="539"/>
        <v>874</v>
      </c>
      <c r="AIO18" s="139">
        <f t="shared" si="539"/>
        <v>0</v>
      </c>
      <c r="AIP18" s="139">
        <f t="shared" si="539"/>
        <v>0</v>
      </c>
      <c r="AIQ18" s="139">
        <f t="shared" si="539"/>
        <v>2339</v>
      </c>
      <c r="AIR18" s="139">
        <f t="shared" si="539"/>
        <v>701</v>
      </c>
      <c r="AIS18" s="139">
        <f t="shared" si="539"/>
        <v>930</v>
      </c>
      <c r="AIT18" s="139">
        <f t="shared" si="539"/>
        <v>1455</v>
      </c>
      <c r="AIU18" s="139">
        <f t="shared" si="539"/>
        <v>921</v>
      </c>
      <c r="AIV18" s="139">
        <f t="shared" ref="AIV18:AJB18" si="540">AIV5</f>
        <v>0</v>
      </c>
      <c r="AIW18" s="139">
        <f t="shared" si="540"/>
        <v>571</v>
      </c>
      <c r="AIX18" s="139">
        <f t="shared" si="540"/>
        <v>834</v>
      </c>
      <c r="AIY18" s="139">
        <f t="shared" si="540"/>
        <v>1117</v>
      </c>
      <c r="AIZ18" s="139">
        <f t="shared" si="540"/>
        <v>796</v>
      </c>
      <c r="AJA18" s="139">
        <f t="shared" si="540"/>
        <v>1063</v>
      </c>
      <c r="AJB18" s="139">
        <f t="shared" si="540"/>
        <v>933</v>
      </c>
      <c r="AJC18" s="139">
        <f t="shared" ref="AJC18:AJP18" si="541">AJC5</f>
        <v>0</v>
      </c>
      <c r="AJD18" s="139">
        <f t="shared" si="541"/>
        <v>521</v>
      </c>
      <c r="AJE18" s="139">
        <f t="shared" si="541"/>
        <v>707</v>
      </c>
      <c r="AJF18" s="139">
        <f t="shared" si="541"/>
        <v>846</v>
      </c>
      <c r="AJG18" s="139">
        <f t="shared" si="541"/>
        <v>1058</v>
      </c>
      <c r="AJH18" s="139">
        <f t="shared" si="541"/>
        <v>827</v>
      </c>
      <c r="AJI18" s="139">
        <f t="shared" si="541"/>
        <v>654</v>
      </c>
      <c r="AJJ18" s="139">
        <f t="shared" si="541"/>
        <v>0</v>
      </c>
      <c r="AJK18" s="139">
        <f t="shared" si="541"/>
        <v>770</v>
      </c>
      <c r="AJL18" s="139">
        <f t="shared" si="541"/>
        <v>498</v>
      </c>
      <c r="AJM18" s="139">
        <f t="shared" si="541"/>
        <v>544</v>
      </c>
      <c r="AJN18" s="139">
        <f t="shared" si="541"/>
        <v>720</v>
      </c>
      <c r="AJO18" s="139">
        <f t="shared" si="541"/>
        <v>964</v>
      </c>
      <c r="AJP18" s="139">
        <f t="shared" si="541"/>
        <v>800</v>
      </c>
      <c r="AJQ18" s="139">
        <f>AJQ5</f>
        <v>0</v>
      </c>
      <c r="AJR18" s="139">
        <f t="shared" ref="AJR18:AKA18" si="542">AJR5</f>
        <v>0</v>
      </c>
      <c r="AJS18" s="139">
        <f t="shared" si="542"/>
        <v>1346</v>
      </c>
      <c r="AJT18" s="139">
        <f t="shared" si="542"/>
        <v>0</v>
      </c>
      <c r="AJU18" s="139">
        <f t="shared" si="542"/>
        <v>503</v>
      </c>
      <c r="AJV18" s="139">
        <f t="shared" si="542"/>
        <v>1473</v>
      </c>
      <c r="AJW18" s="139">
        <f t="shared" si="542"/>
        <v>712</v>
      </c>
      <c r="AJX18" s="139">
        <f t="shared" si="542"/>
        <v>0</v>
      </c>
      <c r="AJY18" s="139">
        <f t="shared" si="542"/>
        <v>974</v>
      </c>
      <c r="AJZ18" s="139">
        <f t="shared" si="542"/>
        <v>823</v>
      </c>
      <c r="AKA18" s="139">
        <f t="shared" si="542"/>
        <v>1453</v>
      </c>
      <c r="AKB18" s="139">
        <f>AKB5</f>
        <v>797</v>
      </c>
      <c r="AKC18" s="139">
        <f>AKC5</f>
        <v>586</v>
      </c>
      <c r="AKD18" s="139">
        <f>AKD5</f>
        <v>520</v>
      </c>
      <c r="AKE18" s="139">
        <f>AKE5</f>
        <v>0</v>
      </c>
      <c r="AKF18" s="139">
        <f>AKF5</f>
        <v>84</v>
      </c>
    </row>
    <row r="19" spans="1:968">
      <c r="A19">
        <v>1</v>
      </c>
      <c r="B19" s="132" t="s">
        <v>51</v>
      </c>
      <c r="C19" s="1">
        <v>82910</v>
      </c>
      <c r="D19" s="1" t="s">
        <v>8</v>
      </c>
      <c r="E19" s="1" t="s">
        <v>24</v>
      </c>
      <c r="F19" s="1" t="s">
        <v>11</v>
      </c>
      <c r="G19" s="1" t="s">
        <v>33</v>
      </c>
      <c r="H19" s="1" t="s">
        <v>21</v>
      </c>
      <c r="I19" s="1" t="s">
        <v>14</v>
      </c>
      <c r="J19" s="1" t="s">
        <v>15</v>
      </c>
      <c r="K19" s="23">
        <v>369</v>
      </c>
      <c r="L19" s="23">
        <v>550</v>
      </c>
      <c r="M19" s="23">
        <v>526</v>
      </c>
      <c r="N19" s="23">
        <v>803</v>
      </c>
      <c r="P19" s="23">
        <v>682</v>
      </c>
      <c r="Q19" s="23">
        <v>771</v>
      </c>
      <c r="R19" s="23">
        <v>787</v>
      </c>
      <c r="S19" s="23">
        <v>820</v>
      </c>
      <c r="T19" s="23">
        <v>600</v>
      </c>
      <c r="U19" s="23">
        <v>683</v>
      </c>
      <c r="W19" s="23">
        <v>516</v>
      </c>
      <c r="X19" s="23">
        <v>522</v>
      </c>
      <c r="Y19" s="23">
        <v>543</v>
      </c>
      <c r="Z19" s="23">
        <v>626</v>
      </c>
      <c r="AA19" s="23">
        <v>737</v>
      </c>
      <c r="AB19" s="23">
        <v>646</v>
      </c>
      <c r="AC19" s="23"/>
      <c r="AD19" s="23"/>
      <c r="AE19" s="23">
        <v>654</v>
      </c>
      <c r="AF19" s="23">
        <v>582</v>
      </c>
      <c r="AG19" s="23">
        <v>610</v>
      </c>
      <c r="AH19" s="23">
        <v>576</v>
      </c>
      <c r="AI19" s="23">
        <v>766</v>
      </c>
      <c r="AJ19" s="23">
        <v>704</v>
      </c>
      <c r="AK19" s="23">
        <v>607</v>
      </c>
      <c r="AL19" s="23">
        <v>743</v>
      </c>
      <c r="AM19" s="23">
        <v>620</v>
      </c>
      <c r="AN19" s="23">
        <v>496</v>
      </c>
      <c r="AO19" s="23">
        <v>448</v>
      </c>
      <c r="AP19" s="23"/>
      <c r="AQ19" s="23"/>
      <c r="AR19" s="23">
        <v>815</v>
      </c>
      <c r="AS19" s="23"/>
      <c r="AT19" s="23">
        <v>541</v>
      </c>
      <c r="AU19" s="23">
        <v>701</v>
      </c>
      <c r="AV19" s="23">
        <v>626</v>
      </c>
      <c r="AW19" s="23">
        <v>524</v>
      </c>
      <c r="AX19" s="23"/>
      <c r="AY19" s="23">
        <v>443</v>
      </c>
      <c r="AZ19" s="23">
        <v>332</v>
      </c>
      <c r="BA19" s="23">
        <v>636</v>
      </c>
      <c r="BB19" s="23">
        <v>1071</v>
      </c>
      <c r="BC19" s="23">
        <v>429</v>
      </c>
      <c r="BD19" s="23">
        <v>261</v>
      </c>
      <c r="BE19" s="23"/>
      <c r="BF19" s="23">
        <v>136</v>
      </c>
      <c r="BG19" s="23">
        <v>537</v>
      </c>
      <c r="BH19" s="23">
        <v>285</v>
      </c>
      <c r="BI19" s="23">
        <v>495</v>
      </c>
      <c r="BJ19" s="23">
        <v>359</v>
      </c>
      <c r="BK19" s="23">
        <v>251</v>
      </c>
      <c r="BL19" s="23"/>
      <c r="BM19" s="23">
        <v>449</v>
      </c>
      <c r="BN19" s="23">
        <v>321</v>
      </c>
      <c r="BO19" s="23">
        <v>216</v>
      </c>
      <c r="BP19" s="23">
        <v>119</v>
      </c>
      <c r="BQ19" s="23">
        <v>28</v>
      </c>
      <c r="BR19" s="23"/>
      <c r="BS19" s="23"/>
      <c r="BT19" s="23"/>
      <c r="BU19" s="23"/>
      <c r="BV19" s="23">
        <v>5</v>
      </c>
      <c r="BW19" s="23">
        <v>430</v>
      </c>
      <c r="BX19" s="23">
        <v>758</v>
      </c>
      <c r="BY19" s="23">
        <v>704</v>
      </c>
      <c r="BZ19" s="23"/>
      <c r="CA19">
        <v>618</v>
      </c>
      <c r="CB19">
        <v>833</v>
      </c>
      <c r="CC19">
        <v>555</v>
      </c>
      <c r="CD19">
        <v>550</v>
      </c>
      <c r="CE19">
        <v>988</v>
      </c>
      <c r="CF19">
        <v>650</v>
      </c>
      <c r="CH19">
        <v>518</v>
      </c>
      <c r="CI19">
        <v>792</v>
      </c>
      <c r="CJ19">
        <v>356</v>
      </c>
      <c r="CK19">
        <v>733</v>
      </c>
      <c r="CL19">
        <v>781</v>
      </c>
      <c r="CO19">
        <v>722</v>
      </c>
      <c r="CP19">
        <v>898</v>
      </c>
      <c r="CQ19">
        <v>979</v>
      </c>
      <c r="CR19">
        <v>786</v>
      </c>
      <c r="CS19">
        <v>1056</v>
      </c>
      <c r="CT19">
        <v>434</v>
      </c>
      <c r="CV19">
        <v>337</v>
      </c>
      <c r="CW19">
        <v>427</v>
      </c>
      <c r="CX19">
        <v>513</v>
      </c>
      <c r="CY19">
        <v>446</v>
      </c>
      <c r="CZ19">
        <v>846</v>
      </c>
      <c r="DA19">
        <v>571</v>
      </c>
      <c r="DC19">
        <v>314</v>
      </c>
      <c r="DD19">
        <v>589</v>
      </c>
      <c r="DE19">
        <v>838</v>
      </c>
      <c r="DF19">
        <v>1164</v>
      </c>
      <c r="DG19">
        <v>579</v>
      </c>
      <c r="DH19">
        <v>605</v>
      </c>
      <c r="DJ19">
        <v>795</v>
      </c>
      <c r="DK19">
        <v>855</v>
      </c>
      <c r="DL19">
        <v>572</v>
      </c>
      <c r="DM19">
        <v>1031</v>
      </c>
      <c r="DN19">
        <v>618</v>
      </c>
      <c r="DO19">
        <v>373</v>
      </c>
      <c r="DQ19">
        <v>1229</v>
      </c>
      <c r="DR19">
        <v>1684</v>
      </c>
      <c r="DS19">
        <v>1652</v>
      </c>
      <c r="DT19">
        <v>718</v>
      </c>
      <c r="DU19">
        <v>1258</v>
      </c>
      <c r="DV19">
        <v>1413</v>
      </c>
      <c r="DX19">
        <v>652</v>
      </c>
      <c r="DY19">
        <v>905</v>
      </c>
      <c r="DZ19">
        <v>782</v>
      </c>
      <c r="EA19">
        <v>753</v>
      </c>
      <c r="EB19">
        <v>450</v>
      </c>
      <c r="EC19">
        <v>341</v>
      </c>
      <c r="EE19">
        <v>141</v>
      </c>
      <c r="EF19">
        <v>699</v>
      </c>
      <c r="EG19">
        <v>836</v>
      </c>
      <c r="EH19">
        <v>762</v>
      </c>
      <c r="EI19">
        <v>766</v>
      </c>
      <c r="EJ19">
        <v>622</v>
      </c>
      <c r="EL19">
        <v>641</v>
      </c>
      <c r="EM19">
        <v>471</v>
      </c>
      <c r="EN19">
        <v>550</v>
      </c>
      <c r="EO19">
        <v>557</v>
      </c>
      <c r="EP19">
        <v>689</v>
      </c>
      <c r="EQ19">
        <v>1203</v>
      </c>
      <c r="ES19">
        <v>886</v>
      </c>
      <c r="ET19">
        <v>1103</v>
      </c>
      <c r="EU19">
        <v>629</v>
      </c>
      <c r="EV19">
        <v>552</v>
      </c>
      <c r="EW19">
        <v>967</v>
      </c>
      <c r="EX19">
        <v>399</v>
      </c>
      <c r="EZ19">
        <v>381</v>
      </c>
      <c r="FA19">
        <v>598</v>
      </c>
      <c r="FB19">
        <v>706</v>
      </c>
      <c r="FC19">
        <v>760</v>
      </c>
      <c r="FD19">
        <v>717</v>
      </c>
      <c r="FE19">
        <v>327</v>
      </c>
      <c r="FG19">
        <v>282</v>
      </c>
      <c r="FH19">
        <v>256</v>
      </c>
      <c r="FI19">
        <v>683</v>
      </c>
      <c r="FJ19">
        <v>766</v>
      </c>
      <c r="FK19">
        <v>619</v>
      </c>
      <c r="FN19">
        <v>602</v>
      </c>
      <c r="FO19">
        <v>753</v>
      </c>
      <c r="FP19">
        <v>450</v>
      </c>
      <c r="FQ19">
        <v>576</v>
      </c>
      <c r="FR19">
        <v>868</v>
      </c>
      <c r="FV19">
        <v>120</v>
      </c>
      <c r="FW19">
        <v>929</v>
      </c>
      <c r="FX19">
        <v>343</v>
      </c>
      <c r="FY19">
        <v>318</v>
      </c>
      <c r="FZ19">
        <v>551</v>
      </c>
      <c r="GB19">
        <v>500</v>
      </c>
      <c r="GC19">
        <v>390</v>
      </c>
      <c r="GD19">
        <v>379</v>
      </c>
      <c r="GE19">
        <v>534</v>
      </c>
      <c r="GF19">
        <v>1012</v>
      </c>
      <c r="GG19">
        <v>809</v>
      </c>
      <c r="GI19">
        <v>759</v>
      </c>
      <c r="GJ19">
        <v>473</v>
      </c>
      <c r="GL19">
        <v>298</v>
      </c>
      <c r="GM19">
        <v>716</v>
      </c>
      <c r="GP19">
        <v>415</v>
      </c>
      <c r="GQ19">
        <v>492</v>
      </c>
      <c r="GR19">
        <v>1162</v>
      </c>
      <c r="GS19">
        <v>863</v>
      </c>
      <c r="GT19">
        <v>808</v>
      </c>
      <c r="GU19">
        <v>777</v>
      </c>
      <c r="GW19">
        <v>873</v>
      </c>
      <c r="GX19">
        <v>859</v>
      </c>
      <c r="GY19">
        <v>928</v>
      </c>
      <c r="GZ19">
        <v>1000</v>
      </c>
      <c r="HA19">
        <v>844</v>
      </c>
      <c r="HB19">
        <v>1244</v>
      </c>
      <c r="HD19">
        <v>502</v>
      </c>
      <c r="HE19">
        <v>549</v>
      </c>
      <c r="HG19">
        <v>510</v>
      </c>
      <c r="HH19">
        <v>796</v>
      </c>
      <c r="HI19">
        <v>322</v>
      </c>
      <c r="HK19">
        <v>498</v>
      </c>
      <c r="HL19">
        <v>852</v>
      </c>
      <c r="HM19">
        <v>990</v>
      </c>
      <c r="HN19">
        <v>631</v>
      </c>
      <c r="HO19">
        <v>615</v>
      </c>
      <c r="HP19">
        <v>509</v>
      </c>
      <c r="HS19">
        <v>276</v>
      </c>
      <c r="HT19">
        <v>356</v>
      </c>
      <c r="HU19">
        <v>819</v>
      </c>
      <c r="HV19">
        <v>620</v>
      </c>
      <c r="HW19">
        <v>672</v>
      </c>
      <c r="HY19">
        <v>1208</v>
      </c>
      <c r="HZ19">
        <v>977</v>
      </c>
      <c r="IA19">
        <v>646</v>
      </c>
      <c r="IB19">
        <v>953</v>
      </c>
      <c r="IC19">
        <v>404</v>
      </c>
      <c r="ID19">
        <v>537</v>
      </c>
      <c r="IF19">
        <v>379</v>
      </c>
      <c r="IG19">
        <v>498</v>
      </c>
      <c r="IH19">
        <v>385</v>
      </c>
      <c r="II19">
        <v>710</v>
      </c>
      <c r="IJ19">
        <v>692</v>
      </c>
      <c r="IK19">
        <v>411</v>
      </c>
      <c r="IM19">
        <v>432</v>
      </c>
      <c r="IN19">
        <v>732</v>
      </c>
      <c r="IO19">
        <v>726</v>
      </c>
      <c r="IP19">
        <v>902</v>
      </c>
      <c r="IQ19">
        <v>322</v>
      </c>
      <c r="IR19">
        <v>262</v>
      </c>
      <c r="IT19">
        <v>244</v>
      </c>
      <c r="IU19">
        <v>228</v>
      </c>
      <c r="IV19">
        <v>926</v>
      </c>
      <c r="IW19">
        <v>630</v>
      </c>
      <c r="IX19">
        <v>968</v>
      </c>
      <c r="IY19">
        <v>689</v>
      </c>
      <c r="JA19">
        <v>683</v>
      </c>
      <c r="JB19">
        <v>518</v>
      </c>
      <c r="JC19">
        <v>942</v>
      </c>
      <c r="JD19">
        <v>584</v>
      </c>
      <c r="JE19">
        <v>661</v>
      </c>
      <c r="JF19">
        <v>609</v>
      </c>
      <c r="JH19">
        <v>1010</v>
      </c>
      <c r="JI19">
        <v>622</v>
      </c>
      <c r="JJ19">
        <v>629</v>
      </c>
      <c r="JK19">
        <v>798</v>
      </c>
      <c r="JL19">
        <v>1167</v>
      </c>
      <c r="JM19">
        <v>578</v>
      </c>
      <c r="JO19">
        <v>911</v>
      </c>
      <c r="JP19">
        <v>772</v>
      </c>
      <c r="JQ19">
        <v>544</v>
      </c>
      <c r="JR19">
        <v>747</v>
      </c>
      <c r="JS19">
        <v>557</v>
      </c>
      <c r="JT19">
        <v>364</v>
      </c>
      <c r="JW19">
        <v>536</v>
      </c>
      <c r="JX19">
        <v>564</v>
      </c>
      <c r="JY19">
        <v>190</v>
      </c>
      <c r="JZ19">
        <v>691</v>
      </c>
      <c r="KA19">
        <v>273</v>
      </c>
      <c r="KC19">
        <v>972</v>
      </c>
      <c r="KD19">
        <v>617</v>
      </c>
      <c r="KE19">
        <v>580</v>
      </c>
      <c r="KF19">
        <v>859</v>
      </c>
      <c r="KG19">
        <v>863</v>
      </c>
      <c r="KH19">
        <v>628</v>
      </c>
      <c r="KK19">
        <v>880</v>
      </c>
      <c r="KL19">
        <v>611</v>
      </c>
      <c r="KM19">
        <v>597</v>
      </c>
      <c r="KN19">
        <v>597</v>
      </c>
      <c r="KO19">
        <v>358</v>
      </c>
      <c r="KQ19">
        <v>658</v>
      </c>
      <c r="KR19">
        <v>601</v>
      </c>
      <c r="KS19">
        <v>952</v>
      </c>
      <c r="KT19">
        <v>775</v>
      </c>
      <c r="KU19">
        <v>698</v>
      </c>
      <c r="KV19">
        <v>459</v>
      </c>
      <c r="KX19">
        <v>660</v>
      </c>
      <c r="KY19">
        <v>398</v>
      </c>
      <c r="KZ19">
        <v>729</v>
      </c>
      <c r="LA19">
        <v>335</v>
      </c>
      <c r="LB19">
        <v>477</v>
      </c>
      <c r="LC19">
        <v>198</v>
      </c>
      <c r="LD19">
        <v>0</v>
      </c>
      <c r="LE19">
        <v>1661</v>
      </c>
      <c r="LF19">
        <v>1018</v>
      </c>
      <c r="LG19">
        <v>1226</v>
      </c>
      <c r="LH19">
        <v>1173</v>
      </c>
      <c r="LI19">
        <v>1593</v>
      </c>
      <c r="LJ19">
        <v>1834</v>
      </c>
      <c r="LK19">
        <v>0</v>
      </c>
      <c r="LL19">
        <v>1320</v>
      </c>
      <c r="LM19">
        <v>1635</v>
      </c>
      <c r="LN19">
        <v>1445</v>
      </c>
      <c r="LO19">
        <v>1569</v>
      </c>
      <c r="LP19">
        <v>2021</v>
      </c>
      <c r="LQ19">
        <v>1740</v>
      </c>
      <c r="LR19">
        <v>0</v>
      </c>
      <c r="LS19">
        <v>1426</v>
      </c>
      <c r="LT19">
        <v>2769</v>
      </c>
      <c r="LU19">
        <v>1758</v>
      </c>
      <c r="LV19">
        <v>1374</v>
      </c>
      <c r="LW19">
        <v>2100</v>
      </c>
      <c r="LX19">
        <v>1539</v>
      </c>
      <c r="LY19">
        <v>0</v>
      </c>
      <c r="LZ19">
        <v>1821</v>
      </c>
      <c r="MA19">
        <v>1615</v>
      </c>
      <c r="MB19">
        <v>1293</v>
      </c>
      <c r="MC19">
        <v>1351</v>
      </c>
      <c r="MD19">
        <v>1319</v>
      </c>
      <c r="ME19">
        <v>1236</v>
      </c>
      <c r="MF19">
        <v>0</v>
      </c>
      <c r="MG19">
        <v>1552</v>
      </c>
      <c r="MH19">
        <v>557</v>
      </c>
      <c r="MI19">
        <v>467</v>
      </c>
      <c r="MJ19">
        <v>750</v>
      </c>
      <c r="MK19">
        <v>1250</v>
      </c>
      <c r="ML19">
        <v>354</v>
      </c>
      <c r="MM19">
        <v>0</v>
      </c>
      <c r="MN19">
        <v>977</v>
      </c>
      <c r="MO19">
        <v>730</v>
      </c>
      <c r="MP19">
        <v>259</v>
      </c>
      <c r="MQ19">
        <v>786</v>
      </c>
      <c r="MR19">
        <v>548</v>
      </c>
      <c r="MS19">
        <v>159</v>
      </c>
      <c r="MT19">
        <v>0</v>
      </c>
      <c r="MU19">
        <v>0</v>
      </c>
      <c r="MV19">
        <v>1097</v>
      </c>
      <c r="MW19">
        <v>1097</v>
      </c>
      <c r="MX19">
        <v>274</v>
      </c>
      <c r="MY19">
        <v>711</v>
      </c>
      <c r="MZ19">
        <v>847</v>
      </c>
      <c r="NA19">
        <v>452</v>
      </c>
      <c r="NB19">
        <v>692</v>
      </c>
      <c r="NC19">
        <v>1123</v>
      </c>
      <c r="ND19">
        <v>0</v>
      </c>
      <c r="NE19">
        <v>1587</v>
      </c>
      <c r="NF19">
        <v>660</v>
      </c>
      <c r="NG19">
        <v>632</v>
      </c>
      <c r="NH19">
        <v>0</v>
      </c>
      <c r="NI19">
        <v>1187</v>
      </c>
      <c r="NJ19">
        <v>493</v>
      </c>
      <c r="NK19">
        <v>565</v>
      </c>
      <c r="NL19">
        <v>557</v>
      </c>
      <c r="NM19" s="46">
        <v>361</v>
      </c>
      <c r="NN19" s="46">
        <v>306</v>
      </c>
      <c r="NO19" s="46"/>
      <c r="NP19">
        <v>698</v>
      </c>
      <c r="NQ19">
        <v>827</v>
      </c>
      <c r="NR19">
        <v>807</v>
      </c>
      <c r="NS19">
        <v>606</v>
      </c>
      <c r="NT19">
        <v>236</v>
      </c>
      <c r="NU19">
        <v>609</v>
      </c>
      <c r="NW19">
        <v>492</v>
      </c>
      <c r="NX19">
        <v>742</v>
      </c>
      <c r="NY19">
        <v>938</v>
      </c>
      <c r="NZ19">
        <v>721</v>
      </c>
      <c r="OA19">
        <v>716</v>
      </c>
      <c r="OB19">
        <v>370</v>
      </c>
      <c r="OD19">
        <v>379</v>
      </c>
      <c r="OE19">
        <v>559</v>
      </c>
      <c r="OF19">
        <v>610</v>
      </c>
      <c r="OG19">
        <v>690</v>
      </c>
      <c r="OH19">
        <v>583</v>
      </c>
      <c r="OI19">
        <v>396</v>
      </c>
      <c r="OK19">
        <v>523</v>
      </c>
      <c r="OL19">
        <v>272</v>
      </c>
      <c r="OM19">
        <v>664</v>
      </c>
      <c r="ON19">
        <v>754</v>
      </c>
      <c r="OO19">
        <v>481</v>
      </c>
      <c r="OP19">
        <v>455</v>
      </c>
      <c r="OQ19" s="67"/>
      <c r="OR19">
        <v>782</v>
      </c>
      <c r="OS19">
        <v>388</v>
      </c>
      <c r="OT19">
        <v>586</v>
      </c>
      <c r="OV19">
        <v>1045</v>
      </c>
      <c r="OW19">
        <v>668</v>
      </c>
      <c r="OY19">
        <v>283</v>
      </c>
      <c r="OZ19">
        <v>568</v>
      </c>
      <c r="PA19">
        <v>447</v>
      </c>
      <c r="PB19">
        <v>782</v>
      </c>
      <c r="PC19">
        <v>542</v>
      </c>
      <c r="PD19">
        <v>355</v>
      </c>
      <c r="PE19">
        <v>0</v>
      </c>
      <c r="PF19">
        <v>495</v>
      </c>
      <c r="PG19">
        <v>471</v>
      </c>
      <c r="PH19">
        <v>650</v>
      </c>
      <c r="PI19">
        <v>464</v>
      </c>
      <c r="PJ19">
        <v>253</v>
      </c>
      <c r="PK19">
        <v>357</v>
      </c>
      <c r="PL19">
        <v>0</v>
      </c>
      <c r="PM19">
        <v>467</v>
      </c>
      <c r="PN19">
        <v>261</v>
      </c>
      <c r="PO19">
        <v>290</v>
      </c>
      <c r="PP19">
        <v>308</v>
      </c>
      <c r="PQ19">
        <v>207</v>
      </c>
      <c r="PR19">
        <v>66</v>
      </c>
      <c r="PS19">
        <v>0</v>
      </c>
      <c r="PT19">
        <v>23</v>
      </c>
      <c r="PU19">
        <v>0</v>
      </c>
      <c r="PV19">
        <v>0</v>
      </c>
      <c r="PW19">
        <v>6</v>
      </c>
      <c r="PX19">
        <v>54</v>
      </c>
      <c r="PY19">
        <v>182</v>
      </c>
      <c r="PZ19">
        <v>0</v>
      </c>
      <c r="QA19">
        <v>815</v>
      </c>
      <c r="QB19">
        <v>911</v>
      </c>
      <c r="QC19">
        <v>711</v>
      </c>
      <c r="QD19">
        <v>1296</v>
      </c>
      <c r="QE19">
        <v>905</v>
      </c>
      <c r="QF19">
        <v>299</v>
      </c>
      <c r="QG19">
        <v>0</v>
      </c>
      <c r="QH19">
        <v>1333</v>
      </c>
      <c r="QI19">
        <v>844</v>
      </c>
      <c r="QJ19">
        <v>862</v>
      </c>
      <c r="QK19">
        <v>641</v>
      </c>
      <c r="QL19">
        <v>777</v>
      </c>
      <c r="QM19">
        <v>569</v>
      </c>
      <c r="QN19">
        <v>0</v>
      </c>
      <c r="QO19">
        <v>757</v>
      </c>
      <c r="QP19">
        <v>932</v>
      </c>
      <c r="QQ19">
        <v>722</v>
      </c>
      <c r="QR19">
        <v>811</v>
      </c>
      <c r="QS19">
        <v>614</v>
      </c>
      <c r="QT19">
        <v>346</v>
      </c>
      <c r="QU19">
        <v>0</v>
      </c>
      <c r="QV19">
        <v>483</v>
      </c>
      <c r="QW19">
        <v>582</v>
      </c>
      <c r="QX19">
        <v>459</v>
      </c>
      <c r="QY19">
        <v>473</v>
      </c>
      <c r="QZ19">
        <v>540</v>
      </c>
      <c r="RA19">
        <v>449</v>
      </c>
      <c r="RC19">
        <v>845</v>
      </c>
      <c r="RD19">
        <v>615</v>
      </c>
      <c r="RE19">
        <v>560</v>
      </c>
      <c r="RF19">
        <v>1184</v>
      </c>
      <c r="RG19">
        <v>802</v>
      </c>
      <c r="RH19">
        <v>0</v>
      </c>
      <c r="RI19">
        <v>0</v>
      </c>
      <c r="RJ19">
        <v>1209</v>
      </c>
      <c r="RK19">
        <v>883</v>
      </c>
      <c r="RL19">
        <v>722</v>
      </c>
      <c r="RM19">
        <v>746</v>
      </c>
      <c r="RN19">
        <v>773</v>
      </c>
      <c r="RO19">
        <v>508</v>
      </c>
      <c r="RP19">
        <v>0</v>
      </c>
      <c r="RQ19">
        <v>1830</v>
      </c>
      <c r="RR19">
        <v>1016</v>
      </c>
      <c r="RS19">
        <v>1009</v>
      </c>
      <c r="RT19">
        <v>429</v>
      </c>
      <c r="RU19">
        <v>524</v>
      </c>
      <c r="RV19">
        <v>583</v>
      </c>
      <c r="RW19">
        <v>0</v>
      </c>
      <c r="RX19">
        <v>763</v>
      </c>
      <c r="RY19">
        <v>889</v>
      </c>
      <c r="RZ19">
        <v>806</v>
      </c>
      <c r="SA19">
        <v>984</v>
      </c>
      <c r="SB19">
        <v>773</v>
      </c>
      <c r="SC19">
        <v>321</v>
      </c>
      <c r="SD19">
        <v>0</v>
      </c>
      <c r="SE19">
        <v>489</v>
      </c>
      <c r="SF19">
        <v>577</v>
      </c>
      <c r="SG19">
        <v>1012</v>
      </c>
      <c r="SH19">
        <v>534</v>
      </c>
      <c r="SI19">
        <v>596</v>
      </c>
      <c r="SJ19">
        <v>610</v>
      </c>
      <c r="SK19">
        <v>0</v>
      </c>
      <c r="SL19">
        <v>979</v>
      </c>
      <c r="SM19">
        <v>827</v>
      </c>
      <c r="SN19">
        <v>687</v>
      </c>
      <c r="SO19">
        <v>712</v>
      </c>
      <c r="SP19">
        <v>996</v>
      </c>
      <c r="SQ19">
        <v>659</v>
      </c>
      <c r="SR19">
        <v>0</v>
      </c>
      <c r="SS19">
        <v>734</v>
      </c>
      <c r="ST19">
        <v>533</v>
      </c>
      <c r="SU19">
        <v>762</v>
      </c>
      <c r="SV19">
        <v>881</v>
      </c>
      <c r="SW19">
        <v>850</v>
      </c>
      <c r="SX19">
        <v>1094</v>
      </c>
      <c r="SY19">
        <v>0</v>
      </c>
      <c r="SZ19">
        <v>675</v>
      </c>
      <c r="TA19">
        <v>937</v>
      </c>
      <c r="TB19">
        <v>540</v>
      </c>
      <c r="TC19" t="s">
        <v>52</v>
      </c>
      <c r="TD19">
        <v>489</v>
      </c>
      <c r="TE19">
        <v>188</v>
      </c>
      <c r="TG19">
        <v>660</v>
      </c>
      <c r="TH19">
        <v>380</v>
      </c>
      <c r="TI19">
        <v>436</v>
      </c>
      <c r="TJ19">
        <v>509</v>
      </c>
      <c r="TK19">
        <v>769</v>
      </c>
      <c r="TL19">
        <v>419</v>
      </c>
      <c r="TM19">
        <v>0</v>
      </c>
      <c r="TN19">
        <v>0</v>
      </c>
      <c r="TO19">
        <v>810</v>
      </c>
      <c r="TP19">
        <v>798</v>
      </c>
      <c r="TQ19">
        <v>1138</v>
      </c>
      <c r="TR19">
        <v>442</v>
      </c>
      <c r="TS19">
        <v>502</v>
      </c>
      <c r="TT19">
        <v>0</v>
      </c>
      <c r="TU19">
        <v>0</v>
      </c>
      <c r="TV19">
        <v>0</v>
      </c>
      <c r="TW19">
        <v>437</v>
      </c>
      <c r="TX19">
        <v>883</v>
      </c>
      <c r="TY19">
        <v>578</v>
      </c>
      <c r="TZ19">
        <v>604</v>
      </c>
      <c r="UB19">
        <v>658</v>
      </c>
      <c r="UC19">
        <v>558</v>
      </c>
      <c r="UD19">
        <v>416</v>
      </c>
      <c r="UE19">
        <v>690</v>
      </c>
      <c r="UF19">
        <v>1027</v>
      </c>
      <c r="UG19">
        <v>616</v>
      </c>
      <c r="UI19">
        <v>623</v>
      </c>
      <c r="UJ19">
        <v>926</v>
      </c>
      <c r="UK19">
        <v>660</v>
      </c>
      <c r="UL19">
        <v>0</v>
      </c>
      <c r="UM19">
        <v>500</v>
      </c>
      <c r="UN19">
        <v>385</v>
      </c>
      <c r="UO19">
        <v>0</v>
      </c>
      <c r="UP19">
        <v>0</v>
      </c>
      <c r="UQ19">
        <v>1074</v>
      </c>
      <c r="UR19">
        <v>945</v>
      </c>
      <c r="US19">
        <v>753</v>
      </c>
      <c r="UT19">
        <v>419</v>
      </c>
      <c r="UU19">
        <v>827</v>
      </c>
      <c r="UV19">
        <v>0</v>
      </c>
      <c r="UW19">
        <v>0</v>
      </c>
      <c r="UX19">
        <v>1197</v>
      </c>
      <c r="UY19">
        <v>317</v>
      </c>
      <c r="UZ19">
        <v>788</v>
      </c>
      <c r="VA19">
        <v>699</v>
      </c>
      <c r="VB19">
        <v>839</v>
      </c>
      <c r="VC19">
        <v>0</v>
      </c>
      <c r="VD19">
        <v>1127</v>
      </c>
      <c r="VE19">
        <v>502</v>
      </c>
      <c r="VF19">
        <v>734</v>
      </c>
      <c r="VG19">
        <v>827</v>
      </c>
      <c r="VH19">
        <v>558</v>
      </c>
      <c r="VI19">
        <v>836</v>
      </c>
      <c r="VJ19">
        <v>301</v>
      </c>
      <c r="VK19">
        <v>712</v>
      </c>
      <c r="VL19" s="42"/>
      <c r="VM19">
        <v>711</v>
      </c>
      <c r="VN19">
        <v>668</v>
      </c>
      <c r="VO19">
        <v>773</v>
      </c>
      <c r="VP19">
        <v>237</v>
      </c>
      <c r="VQ19">
        <v>0</v>
      </c>
      <c r="VR19">
        <v>539</v>
      </c>
      <c r="VS19">
        <v>0</v>
      </c>
      <c r="VT19">
        <v>588</v>
      </c>
      <c r="VU19">
        <v>842</v>
      </c>
      <c r="VV19">
        <v>890</v>
      </c>
      <c r="VW19">
        <v>738</v>
      </c>
      <c r="VX19">
        <v>0</v>
      </c>
      <c r="VY19">
        <v>1161</v>
      </c>
      <c r="VZ19">
        <v>988</v>
      </c>
      <c r="WA19">
        <v>702</v>
      </c>
      <c r="WB19">
        <v>839</v>
      </c>
      <c r="WC19">
        <v>587</v>
      </c>
      <c r="WD19">
        <v>497</v>
      </c>
      <c r="WE19">
        <v>0</v>
      </c>
      <c r="WF19">
        <v>1036</v>
      </c>
      <c r="WG19">
        <v>526</v>
      </c>
      <c r="WH19">
        <v>816</v>
      </c>
      <c r="WI19">
        <v>555</v>
      </c>
      <c r="WJ19">
        <v>765</v>
      </c>
      <c r="WK19">
        <v>537</v>
      </c>
      <c r="WL19">
        <v>0</v>
      </c>
      <c r="WM19">
        <v>458</v>
      </c>
      <c r="WN19">
        <v>489</v>
      </c>
      <c r="WO19">
        <v>458</v>
      </c>
      <c r="WP19">
        <v>384</v>
      </c>
      <c r="WQ19">
        <v>513</v>
      </c>
      <c r="WR19">
        <v>262</v>
      </c>
      <c r="WS19">
        <v>0</v>
      </c>
      <c r="WT19">
        <v>251</v>
      </c>
      <c r="WU19">
        <v>241</v>
      </c>
      <c r="WV19">
        <v>763</v>
      </c>
      <c r="WW19">
        <v>644</v>
      </c>
      <c r="WX19">
        <v>877</v>
      </c>
      <c r="WY19">
        <v>766</v>
      </c>
      <c r="WZ19">
        <v>0</v>
      </c>
      <c r="XA19">
        <v>947</v>
      </c>
      <c r="XB19">
        <v>608</v>
      </c>
      <c r="XC19">
        <v>615</v>
      </c>
      <c r="XD19">
        <v>851</v>
      </c>
      <c r="XE19">
        <v>680</v>
      </c>
      <c r="XF19">
        <v>945</v>
      </c>
      <c r="XG19">
        <v>0</v>
      </c>
      <c r="XH19">
        <v>1219</v>
      </c>
      <c r="XI19">
        <v>741</v>
      </c>
      <c r="XJ19">
        <v>698</v>
      </c>
      <c r="XK19">
        <v>553</v>
      </c>
      <c r="XL19">
        <v>960</v>
      </c>
      <c r="XM19">
        <v>542</v>
      </c>
      <c r="XN19">
        <v>0</v>
      </c>
      <c r="XO19">
        <v>656</v>
      </c>
      <c r="XP19">
        <v>873</v>
      </c>
      <c r="XQ19">
        <v>603</v>
      </c>
      <c r="XR19">
        <v>785</v>
      </c>
      <c r="XS19">
        <v>661</v>
      </c>
      <c r="XT19">
        <v>427</v>
      </c>
      <c r="XU19">
        <v>0</v>
      </c>
      <c r="XV19">
        <v>0</v>
      </c>
      <c r="XW19">
        <v>458</v>
      </c>
      <c r="XX19">
        <v>547</v>
      </c>
      <c r="XY19">
        <v>319</v>
      </c>
      <c r="XZ19">
        <v>310</v>
      </c>
      <c r="YA19">
        <v>336</v>
      </c>
      <c r="YB19">
        <v>0</v>
      </c>
      <c r="YC19">
        <v>865</v>
      </c>
      <c r="YD19">
        <v>571</v>
      </c>
      <c r="YE19">
        <v>751</v>
      </c>
      <c r="YF19">
        <v>838</v>
      </c>
      <c r="YG19">
        <v>1059</v>
      </c>
      <c r="YH19">
        <v>905</v>
      </c>
      <c r="YI19">
        <v>0</v>
      </c>
      <c r="YJ19">
        <v>834</v>
      </c>
      <c r="YK19">
        <v>0</v>
      </c>
      <c r="YL19">
        <v>692</v>
      </c>
      <c r="YM19">
        <v>974</v>
      </c>
      <c r="YN19">
        <v>1316</v>
      </c>
      <c r="YO19">
        <v>706</v>
      </c>
      <c r="YP19">
        <v>0</v>
      </c>
      <c r="YQ19">
        <v>846</v>
      </c>
      <c r="YR19">
        <v>627</v>
      </c>
      <c r="YS19">
        <v>1147</v>
      </c>
      <c r="YT19">
        <v>791</v>
      </c>
      <c r="YU19">
        <v>926</v>
      </c>
      <c r="YV19">
        <v>408</v>
      </c>
      <c r="YW19">
        <v>0</v>
      </c>
      <c r="YX19">
        <v>378</v>
      </c>
      <c r="YY19">
        <v>673</v>
      </c>
      <c r="YZ19">
        <v>234</v>
      </c>
      <c r="ZA19">
        <v>1106</v>
      </c>
      <c r="ZB19">
        <v>450</v>
      </c>
      <c r="ZC19">
        <v>154</v>
      </c>
      <c r="ZD19">
        <v>0</v>
      </c>
      <c r="ZE19">
        <v>317</v>
      </c>
      <c r="ZF19">
        <v>1174</v>
      </c>
      <c r="ZG19">
        <v>634</v>
      </c>
      <c r="ZH19">
        <v>934</v>
      </c>
      <c r="ZI19">
        <v>680</v>
      </c>
      <c r="ZJ19">
        <v>608</v>
      </c>
      <c r="ZK19">
        <v>0</v>
      </c>
      <c r="ZL19">
        <v>892</v>
      </c>
      <c r="ZM19">
        <v>768</v>
      </c>
      <c r="ZN19">
        <v>495</v>
      </c>
      <c r="ZO19">
        <v>252</v>
      </c>
      <c r="ZP19">
        <v>949</v>
      </c>
      <c r="ZQ19">
        <v>451</v>
      </c>
      <c r="ZR19">
        <v>0</v>
      </c>
      <c r="ZS19">
        <v>990</v>
      </c>
      <c r="ZT19">
        <v>664</v>
      </c>
      <c r="ZU19">
        <v>677</v>
      </c>
      <c r="ZV19">
        <v>699</v>
      </c>
      <c r="ZW19">
        <v>475</v>
      </c>
      <c r="ZX19">
        <v>566</v>
      </c>
      <c r="ZY19">
        <v>0</v>
      </c>
      <c r="ZZ19">
        <v>591</v>
      </c>
      <c r="AAA19">
        <v>768</v>
      </c>
      <c r="AAB19">
        <v>357</v>
      </c>
      <c r="AAC19">
        <v>192</v>
      </c>
      <c r="AAD19">
        <v>318</v>
      </c>
      <c r="AAE19">
        <v>512</v>
      </c>
      <c r="AAF19">
        <v>0</v>
      </c>
      <c r="AAG19">
        <v>524</v>
      </c>
      <c r="AAH19">
        <v>480</v>
      </c>
      <c r="AAI19">
        <v>831</v>
      </c>
      <c r="AAJ19">
        <v>140</v>
      </c>
      <c r="AAK19">
        <v>819</v>
      </c>
      <c r="AAL19">
        <v>803</v>
      </c>
      <c r="AAM19">
        <v>0</v>
      </c>
      <c r="AAN19">
        <v>614</v>
      </c>
      <c r="AAO19">
        <v>610</v>
      </c>
      <c r="AAP19">
        <v>589</v>
      </c>
      <c r="AAQ19">
        <v>541</v>
      </c>
      <c r="AAR19">
        <v>727</v>
      </c>
      <c r="AAS19">
        <v>522</v>
      </c>
      <c r="AAT19">
        <v>0</v>
      </c>
      <c r="AAU19">
        <v>0</v>
      </c>
      <c r="AAV19">
        <v>551</v>
      </c>
      <c r="AAW19">
        <v>894</v>
      </c>
      <c r="AAX19">
        <v>1014</v>
      </c>
      <c r="AAY19">
        <v>718</v>
      </c>
      <c r="AAZ19">
        <v>453</v>
      </c>
      <c r="ABA19">
        <v>0</v>
      </c>
      <c r="ABB19">
        <v>1044</v>
      </c>
      <c r="ABC19">
        <v>372</v>
      </c>
      <c r="ABD19">
        <v>767</v>
      </c>
      <c r="ABE19">
        <v>0</v>
      </c>
      <c r="ABF19">
        <v>585</v>
      </c>
      <c r="ABG19">
        <v>584</v>
      </c>
      <c r="ABH19">
        <v>0</v>
      </c>
      <c r="ABI19">
        <v>567</v>
      </c>
      <c r="ABJ19">
        <v>197</v>
      </c>
      <c r="ABK19">
        <v>340</v>
      </c>
      <c r="ABL19">
        <v>332</v>
      </c>
      <c r="ABM19">
        <v>408</v>
      </c>
      <c r="ABN19">
        <v>341</v>
      </c>
      <c r="ABO19">
        <v>0</v>
      </c>
      <c r="ABP19">
        <v>469</v>
      </c>
      <c r="ABQ19">
        <v>434</v>
      </c>
      <c r="ABR19">
        <v>525</v>
      </c>
      <c r="ABS19">
        <v>634</v>
      </c>
      <c r="ABT19">
        <v>664</v>
      </c>
      <c r="ABU19">
        <v>752</v>
      </c>
      <c r="ABV19">
        <v>0</v>
      </c>
      <c r="ABW19">
        <v>578</v>
      </c>
      <c r="ABX19">
        <v>519</v>
      </c>
      <c r="ABY19">
        <v>760</v>
      </c>
      <c r="ABZ19">
        <v>575</v>
      </c>
      <c r="ACA19">
        <v>614</v>
      </c>
      <c r="ACB19">
        <v>636</v>
      </c>
      <c r="ACC19">
        <v>0</v>
      </c>
      <c r="ACD19">
        <v>576</v>
      </c>
      <c r="ACE19">
        <v>531</v>
      </c>
      <c r="ACF19">
        <v>561</v>
      </c>
      <c r="ACG19">
        <v>525</v>
      </c>
      <c r="ACH19">
        <v>533</v>
      </c>
      <c r="ACI19">
        <v>418</v>
      </c>
      <c r="ACJ19">
        <v>0</v>
      </c>
      <c r="ACK19">
        <v>527</v>
      </c>
      <c r="ACL19">
        <v>360</v>
      </c>
      <c r="ACM19">
        <v>424</v>
      </c>
      <c r="ACN19">
        <v>337</v>
      </c>
      <c r="ACO19">
        <v>256</v>
      </c>
      <c r="ACP19">
        <v>268</v>
      </c>
      <c r="ACQ19">
        <v>0</v>
      </c>
      <c r="ACR19">
        <v>453</v>
      </c>
      <c r="ACS19">
        <v>189</v>
      </c>
      <c r="ACT19">
        <v>589</v>
      </c>
      <c r="ACU19">
        <v>930</v>
      </c>
      <c r="ACV19">
        <v>0</v>
      </c>
      <c r="ACW19">
        <v>624</v>
      </c>
      <c r="ACX19">
        <v>0</v>
      </c>
      <c r="ACY19">
        <v>617</v>
      </c>
      <c r="ACZ19">
        <v>683</v>
      </c>
      <c r="ADA19">
        <v>567</v>
      </c>
      <c r="ADB19">
        <v>541</v>
      </c>
      <c r="ADC19">
        <v>186</v>
      </c>
      <c r="ADD19">
        <v>441</v>
      </c>
      <c r="ADE19">
        <v>0</v>
      </c>
      <c r="ADF19">
        <v>224</v>
      </c>
      <c r="ADG19">
        <v>520</v>
      </c>
      <c r="ADH19">
        <v>283</v>
      </c>
      <c r="ADI19">
        <v>76</v>
      </c>
      <c r="ADJ19">
        <v>385</v>
      </c>
      <c r="ADK19">
        <v>361</v>
      </c>
      <c r="ADL19">
        <v>0</v>
      </c>
      <c r="ADM19">
        <v>528</v>
      </c>
      <c r="ADN19">
        <v>287</v>
      </c>
      <c r="ADO19">
        <v>134</v>
      </c>
      <c r="ADP19">
        <v>284</v>
      </c>
      <c r="ADQ19">
        <v>296</v>
      </c>
      <c r="ADR19">
        <v>181</v>
      </c>
      <c r="ADS19">
        <v>0</v>
      </c>
      <c r="ADT19">
        <v>264</v>
      </c>
      <c r="ADU19">
        <v>24</v>
      </c>
      <c r="ADV19">
        <v>0</v>
      </c>
      <c r="ADW19">
        <v>0</v>
      </c>
      <c r="ADX19">
        <v>0</v>
      </c>
      <c r="ADY19">
        <v>10</v>
      </c>
      <c r="ADZ19">
        <v>0</v>
      </c>
      <c r="AEA19">
        <v>405</v>
      </c>
      <c r="AEB19">
        <v>279</v>
      </c>
      <c r="AEC19">
        <v>323</v>
      </c>
      <c r="AED19">
        <v>899</v>
      </c>
      <c r="AEE19">
        <v>1443</v>
      </c>
      <c r="AEF19">
        <v>997</v>
      </c>
      <c r="AEG19">
        <v>0</v>
      </c>
      <c r="AEH19">
        <v>946</v>
      </c>
      <c r="AEI19">
        <v>931</v>
      </c>
      <c r="AEJ19">
        <v>500</v>
      </c>
      <c r="AEK19">
        <v>1205</v>
      </c>
      <c r="AEL19">
        <v>269</v>
      </c>
      <c r="AEM19">
        <v>1308</v>
      </c>
      <c r="AEN19">
        <v>0</v>
      </c>
      <c r="AEO19">
        <v>828</v>
      </c>
      <c r="AEP19">
        <v>770</v>
      </c>
      <c r="AEQ19">
        <v>683</v>
      </c>
      <c r="AER19">
        <v>1024</v>
      </c>
      <c r="AES19">
        <v>1121</v>
      </c>
      <c r="AET19">
        <v>379</v>
      </c>
      <c r="AEU19">
        <v>0</v>
      </c>
      <c r="AEV19">
        <v>1880</v>
      </c>
      <c r="AEW19">
        <v>523</v>
      </c>
      <c r="AEX19">
        <v>429</v>
      </c>
      <c r="AEY19">
        <v>554</v>
      </c>
      <c r="AEZ19">
        <v>529</v>
      </c>
      <c r="AFA19">
        <v>194</v>
      </c>
      <c r="AFB19">
        <v>0</v>
      </c>
      <c r="AFC19">
        <v>526</v>
      </c>
      <c r="AFD19">
        <v>465</v>
      </c>
      <c r="AFE19">
        <v>899</v>
      </c>
      <c r="AFF19">
        <v>939</v>
      </c>
      <c r="AFG19">
        <v>957</v>
      </c>
      <c r="AFH19">
        <v>718</v>
      </c>
      <c r="AFI19">
        <v>0</v>
      </c>
      <c r="AFJ19">
        <v>1470</v>
      </c>
      <c r="AFK19">
        <v>913</v>
      </c>
      <c r="AFL19">
        <v>811</v>
      </c>
      <c r="AFM19">
        <v>506</v>
      </c>
      <c r="AFN19">
        <v>1101</v>
      </c>
      <c r="AFO19">
        <v>762</v>
      </c>
      <c r="AFP19">
        <v>0</v>
      </c>
      <c r="AFQ19">
        <v>930</v>
      </c>
      <c r="AFR19">
        <v>822</v>
      </c>
      <c r="AFS19">
        <v>142</v>
      </c>
      <c r="AFT19">
        <v>646</v>
      </c>
      <c r="AFU19">
        <v>674</v>
      </c>
      <c r="AFV19">
        <v>400</v>
      </c>
      <c r="AFW19">
        <v>0</v>
      </c>
      <c r="AFX19">
        <v>463</v>
      </c>
      <c r="AFY19">
        <v>215</v>
      </c>
      <c r="AFZ19">
        <v>483</v>
      </c>
      <c r="AGA19">
        <v>394</v>
      </c>
      <c r="AGB19">
        <v>764</v>
      </c>
      <c r="AGC19">
        <v>106</v>
      </c>
      <c r="AGD19">
        <v>0</v>
      </c>
      <c r="AGE19">
        <v>390</v>
      </c>
      <c r="AGF19">
        <v>661</v>
      </c>
      <c r="AGG19">
        <v>682</v>
      </c>
      <c r="AGH19">
        <v>392</v>
      </c>
      <c r="AGI19">
        <v>1109</v>
      </c>
      <c r="AGJ19">
        <v>0</v>
      </c>
      <c r="AGK19">
        <v>0</v>
      </c>
      <c r="AGL19">
        <v>878</v>
      </c>
      <c r="AGM19">
        <v>1029</v>
      </c>
      <c r="AGN19">
        <v>1006</v>
      </c>
      <c r="AGO19">
        <v>311</v>
      </c>
      <c r="AGP19">
        <v>465</v>
      </c>
      <c r="AGQ19">
        <v>603</v>
      </c>
      <c r="AGR19">
        <v>0</v>
      </c>
      <c r="AGS19">
        <v>918</v>
      </c>
      <c r="AGT19">
        <v>268</v>
      </c>
      <c r="AGU19">
        <v>600</v>
      </c>
      <c r="AGV19">
        <v>496</v>
      </c>
      <c r="AGW19">
        <v>680</v>
      </c>
      <c r="AGX19">
        <v>763</v>
      </c>
      <c r="AGY19">
        <v>0</v>
      </c>
      <c r="AGZ19">
        <v>523</v>
      </c>
      <c r="AHA19">
        <v>402</v>
      </c>
      <c r="AHB19">
        <v>350</v>
      </c>
      <c r="AHC19">
        <v>475</v>
      </c>
      <c r="AHD19">
        <v>598</v>
      </c>
      <c r="AHE19">
        <v>41</v>
      </c>
      <c r="AHF19">
        <v>0</v>
      </c>
      <c r="AHG19">
        <v>654</v>
      </c>
      <c r="AHI19">
        <v>727</v>
      </c>
      <c r="AHJ19">
        <v>577</v>
      </c>
      <c r="AHK19">
        <v>474</v>
      </c>
      <c r="AHL19">
        <v>579</v>
      </c>
      <c r="AHM19">
        <v>0</v>
      </c>
      <c r="AHN19">
        <v>0</v>
      </c>
      <c r="AHO19">
        <v>498</v>
      </c>
      <c r="AHP19">
        <v>1007</v>
      </c>
      <c r="AHQ19">
        <v>726</v>
      </c>
      <c r="AHR19">
        <v>885</v>
      </c>
      <c r="AHS19">
        <v>719</v>
      </c>
      <c r="AHT19">
        <v>0</v>
      </c>
      <c r="AHU19">
        <v>0</v>
      </c>
      <c r="AHV19">
        <v>0</v>
      </c>
      <c r="AHW19">
        <v>548</v>
      </c>
      <c r="AHX19">
        <v>113</v>
      </c>
      <c r="AHY19">
        <v>197</v>
      </c>
      <c r="AHZ19">
        <v>647</v>
      </c>
      <c r="AIA19">
        <v>0</v>
      </c>
      <c r="AIB19">
        <v>246</v>
      </c>
      <c r="AIC19">
        <v>920</v>
      </c>
      <c r="AID19">
        <v>319</v>
      </c>
      <c r="AIE19">
        <v>1052</v>
      </c>
      <c r="AIF19">
        <v>911</v>
      </c>
      <c r="AIG19">
        <v>541</v>
      </c>
      <c r="AIH19">
        <v>0</v>
      </c>
      <c r="AII19">
        <v>437</v>
      </c>
      <c r="AIJ19">
        <v>1002</v>
      </c>
      <c r="AIK19">
        <v>817</v>
      </c>
      <c r="AIL19">
        <v>524</v>
      </c>
      <c r="AIM19">
        <v>0</v>
      </c>
      <c r="AIN19">
        <v>325</v>
      </c>
      <c r="AIO19">
        <v>0</v>
      </c>
      <c r="AIP19">
        <v>0</v>
      </c>
      <c r="AIQ19">
        <v>468</v>
      </c>
      <c r="AIR19">
        <v>441</v>
      </c>
      <c r="AIS19">
        <v>1028</v>
      </c>
      <c r="AIT19">
        <v>1466</v>
      </c>
      <c r="AIU19">
        <v>543</v>
      </c>
      <c r="AIV19">
        <v>0</v>
      </c>
      <c r="AIW19">
        <v>1067</v>
      </c>
      <c r="AIX19">
        <v>626</v>
      </c>
      <c r="AIY19">
        <v>1034</v>
      </c>
      <c r="AIZ19">
        <v>948</v>
      </c>
      <c r="AJA19">
        <v>1194</v>
      </c>
      <c r="AJB19">
        <v>363</v>
      </c>
      <c r="AJC19">
        <v>0</v>
      </c>
      <c r="AJD19">
        <v>625</v>
      </c>
      <c r="AJE19">
        <v>801</v>
      </c>
      <c r="AJF19">
        <v>808</v>
      </c>
      <c r="AJG19">
        <v>1089</v>
      </c>
      <c r="AJH19">
        <v>1092</v>
      </c>
      <c r="AJI19">
        <v>629</v>
      </c>
      <c r="AJJ19">
        <v>0</v>
      </c>
      <c r="AJK19">
        <v>1178</v>
      </c>
      <c r="AJL19">
        <v>582</v>
      </c>
      <c r="AJM19">
        <v>410</v>
      </c>
      <c r="AJN19">
        <v>454</v>
      </c>
      <c r="AJO19">
        <v>432</v>
      </c>
      <c r="AJP19">
        <v>224</v>
      </c>
      <c r="AJQ19">
        <v>0</v>
      </c>
      <c r="AJR19">
        <v>0</v>
      </c>
      <c r="AJS19">
        <v>365</v>
      </c>
      <c r="AJT19">
        <v>0</v>
      </c>
      <c r="AJU19">
        <v>414</v>
      </c>
      <c r="AJV19">
        <v>730</v>
      </c>
      <c r="AJW19">
        <v>832</v>
      </c>
      <c r="AJX19">
        <v>0</v>
      </c>
      <c r="AJY19">
        <v>1058</v>
      </c>
      <c r="AJZ19">
        <v>1048</v>
      </c>
      <c r="AKA19">
        <v>441</v>
      </c>
      <c r="AKB19">
        <v>973</v>
      </c>
      <c r="AKC19">
        <v>973</v>
      </c>
      <c r="AKD19">
        <v>559</v>
      </c>
      <c r="AKE19">
        <v>0</v>
      </c>
      <c r="AKF19">
        <v>665</v>
      </c>
    </row>
    <row r="20" spans="1:968">
      <c r="A20">
        <v>2</v>
      </c>
      <c r="B20" s="132" t="s">
        <v>53</v>
      </c>
      <c r="C20" s="1">
        <v>82910</v>
      </c>
      <c r="D20" s="1" t="s">
        <v>8</v>
      </c>
      <c r="E20" s="1" t="s">
        <v>24</v>
      </c>
      <c r="F20" s="1" t="s">
        <v>11</v>
      </c>
      <c r="G20" s="1" t="s">
        <v>12</v>
      </c>
      <c r="H20" s="1" t="s">
        <v>21</v>
      </c>
      <c r="I20" s="1" t="s">
        <v>14</v>
      </c>
      <c r="J20" s="1" t="s">
        <v>15</v>
      </c>
      <c r="K20" s="23">
        <v>219</v>
      </c>
      <c r="L20" s="23">
        <v>513</v>
      </c>
      <c r="M20" s="23">
        <v>586</v>
      </c>
      <c r="N20" s="23">
        <v>375</v>
      </c>
      <c r="P20" s="23">
        <v>860</v>
      </c>
      <c r="Q20" s="23">
        <v>629</v>
      </c>
      <c r="R20" s="23">
        <v>728</v>
      </c>
      <c r="S20" s="23">
        <v>1090</v>
      </c>
      <c r="T20" s="23">
        <v>547</v>
      </c>
      <c r="U20" s="23">
        <v>489</v>
      </c>
      <c r="W20" s="23">
        <v>256</v>
      </c>
      <c r="X20" s="23">
        <v>747</v>
      </c>
      <c r="Y20" s="23">
        <v>577</v>
      </c>
      <c r="Z20" s="23">
        <v>574</v>
      </c>
      <c r="AA20" s="23">
        <v>985</v>
      </c>
      <c r="AB20" s="23">
        <v>411</v>
      </c>
      <c r="AC20" s="23"/>
      <c r="AD20" s="23"/>
      <c r="AE20" s="23">
        <v>865</v>
      </c>
      <c r="AF20" s="23">
        <v>537</v>
      </c>
      <c r="AG20" s="23">
        <v>588</v>
      </c>
      <c r="AH20" s="23">
        <v>645</v>
      </c>
      <c r="AI20" s="23">
        <v>339</v>
      </c>
      <c r="AJ20" s="23"/>
      <c r="AK20" s="23">
        <v>523</v>
      </c>
      <c r="AL20" s="23">
        <v>878</v>
      </c>
      <c r="AM20" s="23">
        <v>438</v>
      </c>
      <c r="AN20" s="23">
        <v>614</v>
      </c>
      <c r="AO20" s="23">
        <v>1072</v>
      </c>
      <c r="AP20" s="23">
        <v>164</v>
      </c>
      <c r="AQ20" s="23"/>
      <c r="AR20" s="23">
        <v>934</v>
      </c>
      <c r="AS20" s="23"/>
      <c r="AT20" s="23">
        <v>549</v>
      </c>
      <c r="AU20" s="23">
        <v>554</v>
      </c>
      <c r="AV20" s="23">
        <v>534</v>
      </c>
      <c r="AW20" s="23">
        <v>408</v>
      </c>
      <c r="AX20" s="23"/>
      <c r="AY20" s="23">
        <v>332</v>
      </c>
      <c r="AZ20" s="23">
        <v>635</v>
      </c>
      <c r="BA20" s="23">
        <v>430</v>
      </c>
      <c r="BB20" s="23">
        <v>610</v>
      </c>
      <c r="BC20" s="23">
        <v>526</v>
      </c>
      <c r="BD20" s="23">
        <v>304</v>
      </c>
      <c r="BE20" s="23"/>
      <c r="BF20" s="23">
        <v>186</v>
      </c>
      <c r="BG20" s="23">
        <v>542</v>
      </c>
      <c r="BH20" s="23">
        <v>388</v>
      </c>
      <c r="BI20" s="23">
        <v>1269</v>
      </c>
      <c r="BJ20" s="23">
        <v>585</v>
      </c>
      <c r="BK20" s="23">
        <v>158</v>
      </c>
      <c r="BL20" s="23"/>
      <c r="BM20" s="23">
        <v>583</v>
      </c>
      <c r="BN20" s="23">
        <v>560</v>
      </c>
      <c r="BO20" s="23">
        <v>282</v>
      </c>
      <c r="BP20" s="23">
        <v>156</v>
      </c>
      <c r="BQ20" s="23">
        <v>17</v>
      </c>
      <c r="BR20" s="23"/>
      <c r="BS20" s="23"/>
      <c r="BT20" s="23"/>
      <c r="BU20" s="23"/>
      <c r="BV20" s="23">
        <v>29</v>
      </c>
      <c r="BW20" s="23">
        <v>155</v>
      </c>
      <c r="BX20" s="23">
        <v>209</v>
      </c>
      <c r="BY20" s="23">
        <v>307</v>
      </c>
      <c r="BZ20" s="23"/>
      <c r="CA20">
        <v>643</v>
      </c>
      <c r="CB20">
        <v>1037</v>
      </c>
      <c r="CC20">
        <v>618</v>
      </c>
      <c r="CD20">
        <v>449</v>
      </c>
      <c r="CE20">
        <v>968</v>
      </c>
      <c r="CF20">
        <v>420</v>
      </c>
      <c r="CH20">
        <v>520</v>
      </c>
      <c r="CI20">
        <v>837</v>
      </c>
      <c r="CJ20">
        <v>490</v>
      </c>
      <c r="CK20">
        <v>742</v>
      </c>
      <c r="CL20">
        <v>885</v>
      </c>
      <c r="CO20">
        <v>593</v>
      </c>
      <c r="CP20">
        <v>624</v>
      </c>
      <c r="CQ20">
        <v>712</v>
      </c>
      <c r="CR20">
        <v>970</v>
      </c>
      <c r="CS20">
        <v>747</v>
      </c>
      <c r="CT20">
        <v>573</v>
      </c>
      <c r="CV20">
        <v>559</v>
      </c>
      <c r="CW20">
        <v>413</v>
      </c>
      <c r="CX20">
        <v>199</v>
      </c>
      <c r="CY20">
        <v>268</v>
      </c>
      <c r="CZ20">
        <v>851</v>
      </c>
      <c r="DA20">
        <v>539</v>
      </c>
      <c r="DC20">
        <v>458</v>
      </c>
      <c r="DD20">
        <v>805</v>
      </c>
      <c r="DE20">
        <v>482</v>
      </c>
      <c r="DF20">
        <v>989</v>
      </c>
      <c r="DG20">
        <v>1078</v>
      </c>
      <c r="DH20">
        <v>290</v>
      </c>
      <c r="DJ20">
        <v>606</v>
      </c>
      <c r="DK20">
        <v>1043</v>
      </c>
      <c r="DL20">
        <v>883</v>
      </c>
      <c r="DM20">
        <v>578</v>
      </c>
      <c r="DN20">
        <v>761</v>
      </c>
      <c r="DO20">
        <v>350</v>
      </c>
      <c r="DQ20">
        <v>452</v>
      </c>
      <c r="DR20">
        <v>1324</v>
      </c>
      <c r="DS20">
        <v>859</v>
      </c>
      <c r="DT20">
        <v>703</v>
      </c>
      <c r="DU20">
        <v>889</v>
      </c>
      <c r="DV20">
        <v>563</v>
      </c>
      <c r="DX20">
        <v>559</v>
      </c>
      <c r="DY20">
        <v>905</v>
      </c>
      <c r="DZ20">
        <v>1983</v>
      </c>
      <c r="EA20">
        <v>1577</v>
      </c>
      <c r="EB20">
        <v>269</v>
      </c>
      <c r="EC20">
        <v>272</v>
      </c>
      <c r="EE20">
        <v>187</v>
      </c>
      <c r="EF20">
        <v>1553</v>
      </c>
      <c r="EG20">
        <v>887</v>
      </c>
      <c r="EH20">
        <v>915</v>
      </c>
      <c r="EI20">
        <v>833</v>
      </c>
      <c r="EJ20">
        <v>452</v>
      </c>
      <c r="EL20">
        <v>474</v>
      </c>
      <c r="EM20">
        <v>1354</v>
      </c>
      <c r="EN20">
        <v>598</v>
      </c>
      <c r="EO20">
        <v>702</v>
      </c>
      <c r="EP20">
        <v>730</v>
      </c>
      <c r="EQ20">
        <v>527</v>
      </c>
      <c r="ES20">
        <v>823</v>
      </c>
      <c r="ET20">
        <v>1109</v>
      </c>
      <c r="EU20">
        <v>1027</v>
      </c>
      <c r="EV20">
        <v>994</v>
      </c>
      <c r="EW20">
        <v>734</v>
      </c>
      <c r="EX20">
        <v>303</v>
      </c>
      <c r="EZ20">
        <v>780</v>
      </c>
      <c r="FA20">
        <v>770</v>
      </c>
      <c r="FB20">
        <v>543</v>
      </c>
      <c r="FC20">
        <v>722</v>
      </c>
      <c r="FD20">
        <v>495</v>
      </c>
      <c r="FE20">
        <v>234</v>
      </c>
      <c r="FG20">
        <v>331</v>
      </c>
      <c r="FH20">
        <v>305</v>
      </c>
      <c r="FI20">
        <v>397</v>
      </c>
      <c r="FJ20">
        <v>711</v>
      </c>
      <c r="FK20">
        <v>503</v>
      </c>
      <c r="FN20">
        <v>468</v>
      </c>
      <c r="FO20">
        <v>1438</v>
      </c>
      <c r="FP20">
        <v>1004</v>
      </c>
      <c r="FQ20">
        <v>834</v>
      </c>
      <c r="FR20">
        <v>365</v>
      </c>
      <c r="FW20">
        <v>427</v>
      </c>
      <c r="FX20">
        <v>637</v>
      </c>
      <c r="FY20">
        <v>504</v>
      </c>
      <c r="FZ20">
        <v>593</v>
      </c>
      <c r="GB20">
        <v>656</v>
      </c>
      <c r="GC20">
        <v>517</v>
      </c>
      <c r="GD20">
        <v>513</v>
      </c>
      <c r="GE20">
        <v>435</v>
      </c>
      <c r="GF20">
        <v>857</v>
      </c>
      <c r="GG20">
        <v>461</v>
      </c>
      <c r="GI20">
        <v>632</v>
      </c>
      <c r="GJ20">
        <v>498</v>
      </c>
      <c r="GL20">
        <v>726</v>
      </c>
      <c r="GM20">
        <v>766</v>
      </c>
      <c r="GP20">
        <v>404</v>
      </c>
      <c r="GQ20">
        <v>525</v>
      </c>
      <c r="GR20">
        <v>727</v>
      </c>
      <c r="GS20">
        <v>947</v>
      </c>
      <c r="GT20">
        <v>597</v>
      </c>
      <c r="GU20">
        <v>414</v>
      </c>
      <c r="GW20">
        <v>785</v>
      </c>
      <c r="GX20">
        <v>1025</v>
      </c>
      <c r="GY20">
        <v>718</v>
      </c>
      <c r="GZ20">
        <v>1415</v>
      </c>
      <c r="HA20">
        <v>1085</v>
      </c>
      <c r="HB20">
        <v>346</v>
      </c>
      <c r="HD20">
        <v>885</v>
      </c>
      <c r="HE20">
        <v>815</v>
      </c>
      <c r="HG20">
        <v>1050</v>
      </c>
      <c r="HH20">
        <v>858</v>
      </c>
      <c r="HI20">
        <v>495</v>
      </c>
      <c r="HK20">
        <v>870</v>
      </c>
      <c r="HL20">
        <v>793</v>
      </c>
      <c r="HM20">
        <v>1147</v>
      </c>
      <c r="HN20">
        <v>298</v>
      </c>
      <c r="HO20">
        <v>537</v>
      </c>
      <c r="HP20">
        <v>490</v>
      </c>
      <c r="HS20">
        <v>314</v>
      </c>
      <c r="HT20">
        <v>598</v>
      </c>
      <c r="HU20">
        <v>937</v>
      </c>
      <c r="HV20">
        <v>663</v>
      </c>
      <c r="HW20">
        <v>402</v>
      </c>
      <c r="HY20">
        <v>650</v>
      </c>
      <c r="HZ20">
        <v>1009</v>
      </c>
      <c r="IA20">
        <v>851</v>
      </c>
      <c r="IB20">
        <v>1309</v>
      </c>
      <c r="IC20">
        <v>739</v>
      </c>
      <c r="ID20">
        <v>302</v>
      </c>
      <c r="IF20">
        <v>456</v>
      </c>
      <c r="IG20">
        <v>710</v>
      </c>
      <c r="IH20">
        <v>342</v>
      </c>
      <c r="II20">
        <v>616</v>
      </c>
      <c r="IJ20">
        <v>401</v>
      </c>
      <c r="IK20">
        <v>271</v>
      </c>
      <c r="IM20">
        <v>478</v>
      </c>
      <c r="IN20">
        <v>691</v>
      </c>
      <c r="IO20">
        <v>813</v>
      </c>
      <c r="IP20">
        <v>922</v>
      </c>
      <c r="IQ20">
        <v>551</v>
      </c>
      <c r="IR20">
        <v>215</v>
      </c>
      <c r="IS20">
        <v>0</v>
      </c>
      <c r="IT20">
        <v>342</v>
      </c>
      <c r="IU20">
        <v>534</v>
      </c>
      <c r="IV20">
        <v>736</v>
      </c>
      <c r="IW20">
        <v>644</v>
      </c>
      <c r="IX20">
        <v>808</v>
      </c>
      <c r="IY20">
        <v>338</v>
      </c>
      <c r="JA20">
        <v>351</v>
      </c>
      <c r="JB20">
        <v>918</v>
      </c>
      <c r="JC20">
        <v>658</v>
      </c>
      <c r="JD20">
        <v>1040</v>
      </c>
      <c r="JE20">
        <v>782</v>
      </c>
      <c r="JF20">
        <v>501</v>
      </c>
      <c r="JH20">
        <v>733</v>
      </c>
      <c r="JI20">
        <v>857</v>
      </c>
      <c r="JJ20">
        <v>726</v>
      </c>
      <c r="JK20">
        <v>1014</v>
      </c>
      <c r="JL20">
        <v>965</v>
      </c>
      <c r="JM20">
        <v>251</v>
      </c>
      <c r="JO20">
        <v>404</v>
      </c>
      <c r="JP20">
        <v>971</v>
      </c>
      <c r="JQ20">
        <v>790</v>
      </c>
      <c r="JR20">
        <v>717</v>
      </c>
      <c r="JS20">
        <v>722</v>
      </c>
      <c r="JT20">
        <v>477</v>
      </c>
      <c r="JW20">
        <v>441</v>
      </c>
      <c r="JX20">
        <v>634</v>
      </c>
      <c r="JY20">
        <v>18</v>
      </c>
      <c r="JZ20">
        <v>454</v>
      </c>
      <c r="KA20">
        <v>227</v>
      </c>
      <c r="KC20">
        <v>443</v>
      </c>
      <c r="KD20">
        <v>847</v>
      </c>
      <c r="KE20">
        <v>990</v>
      </c>
      <c r="KF20">
        <v>700</v>
      </c>
      <c r="KG20">
        <v>542</v>
      </c>
      <c r="KH20">
        <v>376</v>
      </c>
      <c r="KK20">
        <v>918</v>
      </c>
      <c r="KL20">
        <v>1350</v>
      </c>
      <c r="KM20">
        <v>755</v>
      </c>
      <c r="KN20">
        <v>742</v>
      </c>
      <c r="KO20">
        <v>203</v>
      </c>
      <c r="KQ20">
        <v>618</v>
      </c>
      <c r="KR20">
        <v>694</v>
      </c>
      <c r="KS20">
        <v>775</v>
      </c>
      <c r="KT20">
        <v>903</v>
      </c>
      <c r="KU20">
        <v>553</v>
      </c>
      <c r="KV20">
        <v>377</v>
      </c>
      <c r="KX20">
        <v>457</v>
      </c>
      <c r="KY20">
        <v>647</v>
      </c>
      <c r="KZ20">
        <v>679</v>
      </c>
      <c r="LA20">
        <v>552</v>
      </c>
      <c r="LB20">
        <v>411</v>
      </c>
      <c r="LC20">
        <v>127</v>
      </c>
      <c r="LD20">
        <v>0</v>
      </c>
      <c r="LE20">
        <v>1348</v>
      </c>
      <c r="LF20">
        <v>1526</v>
      </c>
      <c r="LG20">
        <v>1084</v>
      </c>
      <c r="LH20">
        <v>975</v>
      </c>
      <c r="LI20">
        <v>1611</v>
      </c>
      <c r="LJ20">
        <v>753</v>
      </c>
      <c r="LK20">
        <v>0</v>
      </c>
      <c r="LL20">
        <v>1438</v>
      </c>
      <c r="LM20">
        <v>1741</v>
      </c>
      <c r="LN20">
        <v>1380</v>
      </c>
      <c r="LO20">
        <v>1418</v>
      </c>
      <c r="LP20">
        <v>1455</v>
      </c>
      <c r="LQ20">
        <v>1155</v>
      </c>
      <c r="LR20">
        <v>0</v>
      </c>
      <c r="LS20">
        <v>2006</v>
      </c>
      <c r="LT20">
        <v>2478</v>
      </c>
      <c r="LU20">
        <v>1475</v>
      </c>
      <c r="LV20">
        <v>2260</v>
      </c>
      <c r="LW20">
        <v>2002</v>
      </c>
      <c r="LX20">
        <v>717</v>
      </c>
      <c r="LY20">
        <v>0</v>
      </c>
      <c r="LZ20">
        <v>2333</v>
      </c>
      <c r="MA20">
        <v>1658</v>
      </c>
      <c r="MB20">
        <v>1558</v>
      </c>
      <c r="MC20">
        <v>1721</v>
      </c>
      <c r="MD20">
        <v>1660</v>
      </c>
      <c r="ME20">
        <v>1179</v>
      </c>
      <c r="MF20">
        <v>0</v>
      </c>
      <c r="MG20">
        <v>1488</v>
      </c>
      <c r="MH20">
        <v>2099</v>
      </c>
      <c r="MI20">
        <v>2727</v>
      </c>
      <c r="MJ20">
        <v>449</v>
      </c>
      <c r="MK20">
        <v>545</v>
      </c>
      <c r="ML20">
        <v>840</v>
      </c>
      <c r="MM20">
        <v>0</v>
      </c>
      <c r="MN20">
        <v>630</v>
      </c>
      <c r="MO20">
        <v>7909</v>
      </c>
      <c r="MP20">
        <v>1903</v>
      </c>
      <c r="MQ20">
        <v>583</v>
      </c>
      <c r="MR20">
        <v>0</v>
      </c>
      <c r="MS20">
        <v>0</v>
      </c>
      <c r="MT20">
        <v>0</v>
      </c>
      <c r="MU20">
        <v>0</v>
      </c>
      <c r="MV20">
        <v>492</v>
      </c>
      <c r="MW20">
        <v>0</v>
      </c>
      <c r="MX20">
        <v>649</v>
      </c>
      <c r="MY20">
        <v>3218</v>
      </c>
      <c r="MZ20">
        <v>3332</v>
      </c>
      <c r="NA20">
        <v>0</v>
      </c>
      <c r="NB20">
        <v>580</v>
      </c>
      <c r="NC20">
        <v>1485</v>
      </c>
      <c r="ND20">
        <v>0</v>
      </c>
      <c r="NE20">
        <v>1564</v>
      </c>
      <c r="NF20">
        <v>1822</v>
      </c>
      <c r="NG20">
        <v>405</v>
      </c>
      <c r="NH20">
        <v>0</v>
      </c>
      <c r="NI20">
        <v>429</v>
      </c>
      <c r="NJ20">
        <v>1160</v>
      </c>
      <c r="NK20">
        <v>586</v>
      </c>
      <c r="NL20">
        <v>729</v>
      </c>
      <c r="NM20" s="46">
        <v>443</v>
      </c>
      <c r="NN20" s="46">
        <v>285</v>
      </c>
      <c r="NO20" s="46"/>
      <c r="NP20">
        <v>402</v>
      </c>
      <c r="NQ20">
        <v>883</v>
      </c>
      <c r="NR20">
        <v>756</v>
      </c>
      <c r="NS20">
        <v>671</v>
      </c>
      <c r="NT20">
        <v>440</v>
      </c>
      <c r="NU20">
        <v>437</v>
      </c>
      <c r="NW20">
        <v>613</v>
      </c>
      <c r="NX20">
        <v>700</v>
      </c>
      <c r="NY20">
        <v>649</v>
      </c>
      <c r="NZ20">
        <v>847</v>
      </c>
      <c r="OA20">
        <v>655</v>
      </c>
      <c r="OB20">
        <v>299</v>
      </c>
      <c r="OD20">
        <v>527</v>
      </c>
      <c r="OE20">
        <v>698</v>
      </c>
      <c r="OF20">
        <v>587</v>
      </c>
      <c r="OG20">
        <v>583</v>
      </c>
      <c r="OH20">
        <v>631</v>
      </c>
      <c r="OI20">
        <v>287</v>
      </c>
      <c r="OK20">
        <v>522</v>
      </c>
      <c r="OL20">
        <v>427</v>
      </c>
      <c r="OM20">
        <v>601</v>
      </c>
      <c r="ON20">
        <v>792</v>
      </c>
      <c r="OO20">
        <v>541</v>
      </c>
      <c r="OP20">
        <v>239</v>
      </c>
      <c r="OQ20" s="67"/>
      <c r="OR20">
        <v>560</v>
      </c>
      <c r="OS20">
        <v>807</v>
      </c>
      <c r="OT20">
        <v>575</v>
      </c>
      <c r="OV20">
        <v>740</v>
      </c>
      <c r="OW20">
        <v>827</v>
      </c>
      <c r="OY20">
        <v>551</v>
      </c>
      <c r="OZ20">
        <v>426</v>
      </c>
      <c r="PA20">
        <v>408</v>
      </c>
      <c r="PB20">
        <v>618</v>
      </c>
      <c r="PC20">
        <v>532</v>
      </c>
      <c r="PD20">
        <v>248</v>
      </c>
      <c r="PE20">
        <v>0</v>
      </c>
      <c r="PF20">
        <v>505</v>
      </c>
      <c r="PG20">
        <v>454</v>
      </c>
      <c r="PH20">
        <v>692</v>
      </c>
      <c r="PI20">
        <v>599</v>
      </c>
      <c r="PJ20">
        <v>389</v>
      </c>
      <c r="PK20">
        <v>360</v>
      </c>
      <c r="PL20">
        <v>0</v>
      </c>
      <c r="PM20">
        <v>486</v>
      </c>
      <c r="PN20">
        <v>328</v>
      </c>
      <c r="PO20">
        <v>927</v>
      </c>
      <c r="PP20">
        <v>434</v>
      </c>
      <c r="PQ20">
        <v>264</v>
      </c>
      <c r="PR20">
        <v>82</v>
      </c>
      <c r="PS20">
        <v>0</v>
      </c>
      <c r="PT20">
        <v>0</v>
      </c>
      <c r="PU20">
        <v>0</v>
      </c>
      <c r="PV20">
        <v>0</v>
      </c>
      <c r="PW20">
        <v>123</v>
      </c>
      <c r="PX20">
        <v>69</v>
      </c>
      <c r="PY20">
        <v>99</v>
      </c>
      <c r="PZ20">
        <v>0</v>
      </c>
      <c r="QA20">
        <v>680</v>
      </c>
      <c r="QB20">
        <v>632</v>
      </c>
      <c r="QC20">
        <v>717</v>
      </c>
      <c r="QD20">
        <v>1295</v>
      </c>
      <c r="QE20">
        <v>584</v>
      </c>
      <c r="QF20">
        <v>307</v>
      </c>
      <c r="QG20">
        <v>0</v>
      </c>
      <c r="QH20">
        <v>649</v>
      </c>
      <c r="QI20">
        <v>951</v>
      </c>
      <c r="QJ20">
        <v>920</v>
      </c>
      <c r="QK20">
        <v>602</v>
      </c>
      <c r="QL20">
        <v>685</v>
      </c>
      <c r="QM20">
        <v>360</v>
      </c>
      <c r="QN20">
        <v>0</v>
      </c>
      <c r="QO20">
        <v>663</v>
      </c>
      <c r="QP20">
        <v>975</v>
      </c>
      <c r="QQ20">
        <v>387</v>
      </c>
      <c r="QR20">
        <v>1251</v>
      </c>
      <c r="QS20">
        <v>797</v>
      </c>
      <c r="QT20">
        <v>250</v>
      </c>
      <c r="QU20">
        <v>0</v>
      </c>
      <c r="QV20">
        <v>517</v>
      </c>
      <c r="QW20">
        <v>693</v>
      </c>
      <c r="QX20">
        <v>718</v>
      </c>
      <c r="QY20">
        <v>712</v>
      </c>
      <c r="QZ20">
        <v>618</v>
      </c>
      <c r="RA20">
        <v>150</v>
      </c>
      <c r="RC20">
        <v>544</v>
      </c>
      <c r="RD20">
        <v>782</v>
      </c>
      <c r="RE20">
        <v>616</v>
      </c>
      <c r="RF20">
        <v>864</v>
      </c>
      <c r="RG20">
        <v>695</v>
      </c>
      <c r="RH20">
        <v>0</v>
      </c>
      <c r="RI20">
        <v>0</v>
      </c>
      <c r="RJ20">
        <v>703</v>
      </c>
      <c r="RK20">
        <v>1244</v>
      </c>
      <c r="RL20">
        <v>243</v>
      </c>
      <c r="RM20">
        <v>831</v>
      </c>
      <c r="RN20">
        <v>1419</v>
      </c>
      <c r="RO20">
        <v>471</v>
      </c>
      <c r="RP20">
        <v>0</v>
      </c>
      <c r="RQ20">
        <v>1830</v>
      </c>
      <c r="RR20">
        <v>1016</v>
      </c>
      <c r="RS20">
        <v>1009</v>
      </c>
      <c r="RT20">
        <v>429</v>
      </c>
      <c r="RU20">
        <v>524</v>
      </c>
      <c r="RV20">
        <v>583</v>
      </c>
      <c r="RW20">
        <v>0</v>
      </c>
      <c r="RX20">
        <v>628</v>
      </c>
      <c r="RY20">
        <v>896</v>
      </c>
      <c r="RZ20">
        <v>1021</v>
      </c>
      <c r="SA20">
        <v>1259</v>
      </c>
      <c r="SB20">
        <v>881</v>
      </c>
      <c r="SC20">
        <v>468</v>
      </c>
      <c r="SD20">
        <v>0</v>
      </c>
      <c r="SE20">
        <v>662</v>
      </c>
      <c r="SF20">
        <v>731</v>
      </c>
      <c r="SG20">
        <v>678</v>
      </c>
      <c r="SH20">
        <v>644</v>
      </c>
      <c r="SI20">
        <v>871</v>
      </c>
      <c r="SJ20">
        <v>336</v>
      </c>
      <c r="SK20">
        <v>0</v>
      </c>
      <c r="SL20">
        <v>672</v>
      </c>
      <c r="SM20">
        <v>921</v>
      </c>
      <c r="SN20">
        <v>810</v>
      </c>
      <c r="SO20">
        <v>809</v>
      </c>
      <c r="SP20">
        <v>932</v>
      </c>
      <c r="SQ20">
        <v>471</v>
      </c>
      <c r="SR20">
        <v>0</v>
      </c>
      <c r="SS20">
        <v>435</v>
      </c>
      <c r="ST20">
        <v>686</v>
      </c>
      <c r="SU20">
        <v>657</v>
      </c>
      <c r="SV20">
        <v>847</v>
      </c>
      <c r="SW20">
        <v>871</v>
      </c>
      <c r="SX20">
        <v>1188</v>
      </c>
      <c r="SY20">
        <v>0</v>
      </c>
      <c r="SZ20">
        <v>592</v>
      </c>
      <c r="TA20">
        <v>850</v>
      </c>
      <c r="TB20">
        <v>644</v>
      </c>
      <c r="TC20">
        <v>619</v>
      </c>
      <c r="TD20">
        <v>589</v>
      </c>
      <c r="TE20">
        <v>334</v>
      </c>
      <c r="TG20">
        <v>403</v>
      </c>
      <c r="TH20">
        <v>710</v>
      </c>
      <c r="TI20">
        <v>575</v>
      </c>
      <c r="TJ20">
        <v>477</v>
      </c>
      <c r="TK20">
        <v>531</v>
      </c>
      <c r="TL20">
        <v>233</v>
      </c>
      <c r="TM20">
        <v>0</v>
      </c>
      <c r="TN20">
        <v>0</v>
      </c>
      <c r="TO20">
        <v>764</v>
      </c>
      <c r="TP20">
        <v>1024</v>
      </c>
      <c r="TQ20">
        <v>1174</v>
      </c>
      <c r="TR20">
        <v>833</v>
      </c>
      <c r="TS20">
        <v>157</v>
      </c>
      <c r="TT20">
        <v>0</v>
      </c>
      <c r="TU20">
        <v>0</v>
      </c>
      <c r="TV20">
        <v>0</v>
      </c>
      <c r="TW20">
        <v>147</v>
      </c>
      <c r="TX20">
        <v>466</v>
      </c>
      <c r="TY20">
        <v>838</v>
      </c>
      <c r="TZ20">
        <v>573</v>
      </c>
      <c r="UB20">
        <v>650</v>
      </c>
      <c r="UC20">
        <v>789</v>
      </c>
      <c r="UD20">
        <v>722</v>
      </c>
      <c r="UE20">
        <v>682</v>
      </c>
      <c r="UF20">
        <v>818</v>
      </c>
      <c r="UG20">
        <v>770</v>
      </c>
      <c r="UI20">
        <v>469</v>
      </c>
      <c r="UJ20">
        <v>923</v>
      </c>
      <c r="UK20">
        <v>522</v>
      </c>
      <c r="UL20">
        <v>0</v>
      </c>
      <c r="UM20">
        <v>709</v>
      </c>
      <c r="UN20">
        <v>307</v>
      </c>
      <c r="UO20">
        <v>0</v>
      </c>
      <c r="UP20">
        <v>0</v>
      </c>
      <c r="UQ20">
        <v>589</v>
      </c>
      <c r="UR20">
        <v>844</v>
      </c>
      <c r="US20">
        <v>777</v>
      </c>
      <c r="UT20">
        <v>565</v>
      </c>
      <c r="UU20">
        <v>585</v>
      </c>
      <c r="UV20">
        <v>0</v>
      </c>
      <c r="UW20">
        <v>0</v>
      </c>
      <c r="UX20">
        <v>715</v>
      </c>
      <c r="UY20">
        <v>707</v>
      </c>
      <c r="UZ20">
        <v>482</v>
      </c>
      <c r="VA20">
        <v>972</v>
      </c>
      <c r="VB20">
        <v>604</v>
      </c>
      <c r="VC20">
        <v>0</v>
      </c>
      <c r="VD20">
        <v>434</v>
      </c>
      <c r="VE20">
        <v>700</v>
      </c>
      <c r="VF20">
        <v>649</v>
      </c>
      <c r="VG20">
        <v>843</v>
      </c>
      <c r="VH20">
        <v>795</v>
      </c>
      <c r="VI20">
        <v>349</v>
      </c>
      <c r="VJ20">
        <v>0</v>
      </c>
      <c r="VK20">
        <v>936</v>
      </c>
      <c r="VL20" s="42"/>
      <c r="VM20">
        <v>937</v>
      </c>
      <c r="VN20">
        <v>910</v>
      </c>
      <c r="VO20">
        <v>810</v>
      </c>
      <c r="VP20">
        <v>384</v>
      </c>
      <c r="VQ20">
        <v>0</v>
      </c>
      <c r="VR20">
        <v>759</v>
      </c>
      <c r="VS20">
        <v>0</v>
      </c>
      <c r="VT20">
        <v>389</v>
      </c>
      <c r="VU20">
        <v>1115</v>
      </c>
      <c r="VV20">
        <v>705</v>
      </c>
      <c r="VW20">
        <v>442</v>
      </c>
      <c r="VX20">
        <v>0</v>
      </c>
      <c r="VY20">
        <v>992</v>
      </c>
      <c r="VZ20">
        <v>926</v>
      </c>
      <c r="WA20">
        <v>950</v>
      </c>
      <c r="WB20">
        <v>943</v>
      </c>
      <c r="WC20">
        <v>717</v>
      </c>
      <c r="WD20">
        <v>482</v>
      </c>
      <c r="WE20">
        <v>0</v>
      </c>
      <c r="WF20">
        <v>601</v>
      </c>
      <c r="WG20">
        <v>801</v>
      </c>
      <c r="WH20">
        <v>1124</v>
      </c>
      <c r="WI20">
        <v>805</v>
      </c>
      <c r="WJ20">
        <v>574</v>
      </c>
      <c r="WK20">
        <v>495</v>
      </c>
      <c r="WL20">
        <v>0</v>
      </c>
      <c r="WM20">
        <v>736</v>
      </c>
      <c r="WN20">
        <v>597</v>
      </c>
      <c r="WO20">
        <v>882</v>
      </c>
      <c r="WP20">
        <v>428</v>
      </c>
      <c r="WQ20">
        <v>406</v>
      </c>
      <c r="WR20">
        <v>162</v>
      </c>
      <c r="WS20">
        <v>0</v>
      </c>
      <c r="WT20">
        <v>435</v>
      </c>
      <c r="WU20">
        <v>404</v>
      </c>
      <c r="WV20">
        <v>615</v>
      </c>
      <c r="WW20">
        <v>508</v>
      </c>
      <c r="WX20">
        <v>789</v>
      </c>
      <c r="WY20">
        <v>259</v>
      </c>
      <c r="WZ20">
        <v>0</v>
      </c>
      <c r="XA20">
        <v>633</v>
      </c>
      <c r="XB20">
        <v>830</v>
      </c>
      <c r="XC20">
        <v>934</v>
      </c>
      <c r="XD20">
        <v>587</v>
      </c>
      <c r="XE20">
        <v>560</v>
      </c>
      <c r="XF20">
        <v>600</v>
      </c>
      <c r="XG20">
        <v>0</v>
      </c>
      <c r="XH20">
        <v>985</v>
      </c>
      <c r="XI20">
        <v>925</v>
      </c>
      <c r="XJ20">
        <v>1045</v>
      </c>
      <c r="XK20">
        <v>926</v>
      </c>
      <c r="XL20">
        <v>1020</v>
      </c>
      <c r="XM20">
        <v>473</v>
      </c>
      <c r="XN20">
        <v>0</v>
      </c>
      <c r="XO20">
        <v>534</v>
      </c>
      <c r="XP20">
        <v>675</v>
      </c>
      <c r="XQ20">
        <v>1090</v>
      </c>
      <c r="XR20">
        <v>1048</v>
      </c>
      <c r="XS20">
        <v>805</v>
      </c>
      <c r="XT20">
        <v>405</v>
      </c>
      <c r="XU20">
        <v>0</v>
      </c>
      <c r="XV20">
        <v>0</v>
      </c>
      <c r="XW20">
        <v>594</v>
      </c>
      <c r="XX20">
        <v>390</v>
      </c>
      <c r="XY20">
        <v>402</v>
      </c>
      <c r="XZ20">
        <v>571</v>
      </c>
      <c r="YA20">
        <v>205</v>
      </c>
      <c r="YB20">
        <v>0</v>
      </c>
      <c r="YC20">
        <v>582</v>
      </c>
      <c r="YD20">
        <v>602</v>
      </c>
      <c r="YE20">
        <v>940</v>
      </c>
      <c r="YF20">
        <v>757</v>
      </c>
      <c r="YG20">
        <v>679</v>
      </c>
      <c r="YH20">
        <v>616</v>
      </c>
      <c r="YI20">
        <v>0</v>
      </c>
      <c r="YJ20">
        <v>652</v>
      </c>
      <c r="YK20">
        <v>0</v>
      </c>
      <c r="YL20">
        <v>1175</v>
      </c>
      <c r="YM20">
        <v>1106</v>
      </c>
      <c r="YN20">
        <v>849</v>
      </c>
      <c r="YO20">
        <v>682</v>
      </c>
      <c r="YP20">
        <v>0</v>
      </c>
      <c r="YQ20">
        <v>840</v>
      </c>
      <c r="YR20">
        <v>1098</v>
      </c>
      <c r="YS20">
        <v>915</v>
      </c>
      <c r="YT20">
        <v>988</v>
      </c>
      <c r="YU20">
        <v>649</v>
      </c>
      <c r="YV20">
        <v>265</v>
      </c>
      <c r="YW20">
        <v>0</v>
      </c>
      <c r="YX20">
        <v>746</v>
      </c>
      <c r="YY20">
        <v>786</v>
      </c>
      <c r="YZ20">
        <v>711</v>
      </c>
      <c r="ZA20">
        <v>767</v>
      </c>
      <c r="ZB20">
        <v>899</v>
      </c>
      <c r="ZC20">
        <v>106</v>
      </c>
      <c r="ZD20">
        <v>0</v>
      </c>
      <c r="ZE20">
        <v>313</v>
      </c>
      <c r="ZF20">
        <v>1196</v>
      </c>
      <c r="ZG20">
        <v>604</v>
      </c>
      <c r="ZH20">
        <v>638</v>
      </c>
      <c r="ZI20">
        <v>903</v>
      </c>
      <c r="ZJ20">
        <v>207</v>
      </c>
      <c r="ZK20">
        <v>0</v>
      </c>
      <c r="ZL20">
        <v>872</v>
      </c>
      <c r="ZM20">
        <v>993</v>
      </c>
      <c r="ZN20">
        <v>790</v>
      </c>
      <c r="ZO20">
        <v>0</v>
      </c>
      <c r="ZP20">
        <v>761</v>
      </c>
      <c r="ZQ20">
        <v>343</v>
      </c>
      <c r="ZR20">
        <v>0</v>
      </c>
      <c r="ZS20">
        <v>641</v>
      </c>
      <c r="ZT20">
        <v>859</v>
      </c>
      <c r="ZU20">
        <v>919</v>
      </c>
      <c r="ZV20">
        <v>455</v>
      </c>
      <c r="ZW20">
        <v>0</v>
      </c>
      <c r="ZX20">
        <v>762</v>
      </c>
      <c r="ZY20">
        <v>0</v>
      </c>
      <c r="ZZ20">
        <v>641</v>
      </c>
      <c r="AAA20">
        <v>928</v>
      </c>
      <c r="AAB20">
        <v>669</v>
      </c>
      <c r="AAC20">
        <v>9</v>
      </c>
      <c r="AAD20">
        <v>327</v>
      </c>
      <c r="AAE20">
        <v>438</v>
      </c>
      <c r="AAF20">
        <v>0</v>
      </c>
      <c r="AAG20">
        <v>509</v>
      </c>
      <c r="AAH20">
        <v>403</v>
      </c>
      <c r="AAI20">
        <v>594</v>
      </c>
      <c r="AAJ20">
        <v>0</v>
      </c>
      <c r="AAK20">
        <v>406</v>
      </c>
      <c r="AAL20">
        <v>378</v>
      </c>
      <c r="AAM20">
        <v>0</v>
      </c>
      <c r="AAN20">
        <v>856</v>
      </c>
      <c r="AAO20">
        <v>678</v>
      </c>
      <c r="AAP20">
        <v>490</v>
      </c>
      <c r="AAQ20">
        <v>929</v>
      </c>
      <c r="AAR20">
        <v>543</v>
      </c>
      <c r="AAS20">
        <v>0</v>
      </c>
      <c r="AAT20">
        <v>0</v>
      </c>
      <c r="AAU20">
        <v>0</v>
      </c>
      <c r="AAV20">
        <v>579</v>
      </c>
      <c r="AAW20">
        <v>693</v>
      </c>
      <c r="AAX20">
        <v>1271</v>
      </c>
      <c r="AAY20">
        <v>746</v>
      </c>
      <c r="AAZ20">
        <v>0</v>
      </c>
      <c r="ABA20">
        <v>0</v>
      </c>
      <c r="ABB20">
        <v>651</v>
      </c>
      <c r="ABC20">
        <v>0</v>
      </c>
      <c r="ABD20">
        <v>837</v>
      </c>
      <c r="ABE20">
        <v>0</v>
      </c>
      <c r="ABF20">
        <v>874</v>
      </c>
      <c r="ABG20">
        <v>381</v>
      </c>
      <c r="ABH20">
        <v>0</v>
      </c>
      <c r="ABI20">
        <v>432</v>
      </c>
      <c r="ABJ20">
        <v>0</v>
      </c>
      <c r="ABK20">
        <v>659</v>
      </c>
      <c r="ABL20">
        <v>438</v>
      </c>
      <c r="ABM20">
        <v>499</v>
      </c>
      <c r="ABN20">
        <v>70</v>
      </c>
      <c r="ABO20">
        <v>0</v>
      </c>
      <c r="ABP20">
        <v>378</v>
      </c>
      <c r="ABQ20">
        <v>0</v>
      </c>
      <c r="ABR20">
        <v>471</v>
      </c>
      <c r="ABS20">
        <v>678</v>
      </c>
      <c r="ABT20">
        <v>667</v>
      </c>
      <c r="ABU20">
        <v>359</v>
      </c>
      <c r="ABV20">
        <v>0</v>
      </c>
      <c r="ABW20">
        <v>746</v>
      </c>
      <c r="ABX20">
        <v>0</v>
      </c>
      <c r="ABY20">
        <v>1193</v>
      </c>
      <c r="ABZ20">
        <v>740</v>
      </c>
      <c r="ACA20">
        <v>666</v>
      </c>
      <c r="ACB20">
        <v>434</v>
      </c>
      <c r="ACC20">
        <v>0</v>
      </c>
      <c r="ACD20">
        <v>503</v>
      </c>
      <c r="ACE20">
        <v>928</v>
      </c>
      <c r="ACF20">
        <v>744</v>
      </c>
      <c r="ACG20">
        <v>636</v>
      </c>
      <c r="ACH20">
        <v>490</v>
      </c>
      <c r="ACI20">
        <v>263</v>
      </c>
      <c r="ACJ20">
        <v>0</v>
      </c>
      <c r="ACK20">
        <v>558</v>
      </c>
      <c r="ACL20">
        <v>679</v>
      </c>
      <c r="ACM20">
        <v>550</v>
      </c>
      <c r="ACN20">
        <v>488</v>
      </c>
      <c r="ACO20">
        <v>363</v>
      </c>
      <c r="ACP20">
        <v>289</v>
      </c>
      <c r="ACQ20">
        <v>0</v>
      </c>
      <c r="ACR20">
        <v>256</v>
      </c>
      <c r="ACS20">
        <v>10</v>
      </c>
      <c r="ACT20">
        <v>338</v>
      </c>
      <c r="ACU20">
        <v>1067</v>
      </c>
      <c r="ACV20">
        <v>0</v>
      </c>
      <c r="ACW20">
        <v>746</v>
      </c>
      <c r="ACX20">
        <v>0</v>
      </c>
      <c r="ACY20">
        <v>0</v>
      </c>
      <c r="ACZ20">
        <v>768</v>
      </c>
      <c r="ADA20">
        <v>653</v>
      </c>
      <c r="ADB20">
        <v>702</v>
      </c>
      <c r="ADC20">
        <v>0</v>
      </c>
      <c r="ADD20">
        <v>484</v>
      </c>
      <c r="ADE20">
        <v>0</v>
      </c>
      <c r="ADF20">
        <v>12</v>
      </c>
      <c r="ADG20">
        <v>492</v>
      </c>
      <c r="ADH20">
        <v>694</v>
      </c>
      <c r="ADI20">
        <v>0</v>
      </c>
      <c r="ADJ20">
        <v>420</v>
      </c>
      <c r="ADK20">
        <v>343</v>
      </c>
      <c r="ADL20">
        <v>0</v>
      </c>
      <c r="ADM20">
        <v>280</v>
      </c>
      <c r="ADN20">
        <v>604</v>
      </c>
      <c r="ADO20">
        <v>0</v>
      </c>
      <c r="ADP20">
        <v>268</v>
      </c>
      <c r="ADQ20">
        <v>287</v>
      </c>
      <c r="ADR20">
        <v>259</v>
      </c>
      <c r="ADS20">
        <v>0</v>
      </c>
      <c r="ADT20">
        <v>191</v>
      </c>
      <c r="ADU20">
        <v>60</v>
      </c>
      <c r="ADV20">
        <v>0</v>
      </c>
      <c r="ADW20">
        <v>0</v>
      </c>
      <c r="ADX20">
        <v>0</v>
      </c>
      <c r="ADY20">
        <v>3</v>
      </c>
      <c r="ADZ20">
        <v>0</v>
      </c>
      <c r="AEA20">
        <v>165</v>
      </c>
      <c r="AEB20">
        <v>493</v>
      </c>
      <c r="AEC20">
        <v>0</v>
      </c>
      <c r="AED20">
        <v>677</v>
      </c>
      <c r="AEE20">
        <v>715</v>
      </c>
      <c r="AEF20">
        <v>0</v>
      </c>
      <c r="AEG20">
        <v>0</v>
      </c>
      <c r="AEH20">
        <v>639</v>
      </c>
      <c r="AEI20">
        <v>0</v>
      </c>
      <c r="AEJ20">
        <v>550</v>
      </c>
      <c r="AEK20">
        <v>1246</v>
      </c>
      <c r="AEL20">
        <v>0</v>
      </c>
      <c r="AEM20">
        <v>2057</v>
      </c>
      <c r="AEN20">
        <v>0</v>
      </c>
      <c r="AEO20">
        <v>983</v>
      </c>
      <c r="AEP20">
        <v>1417</v>
      </c>
      <c r="AEQ20">
        <v>964</v>
      </c>
      <c r="AER20">
        <v>1211</v>
      </c>
      <c r="AES20">
        <v>657</v>
      </c>
      <c r="AET20">
        <v>0</v>
      </c>
      <c r="AEU20">
        <v>0</v>
      </c>
      <c r="AEV20">
        <v>880</v>
      </c>
      <c r="AEW20">
        <v>723</v>
      </c>
      <c r="AEX20">
        <v>698</v>
      </c>
      <c r="AEY20">
        <v>939</v>
      </c>
      <c r="AEZ20">
        <v>399</v>
      </c>
      <c r="AFA20">
        <v>0</v>
      </c>
      <c r="AFB20">
        <v>0</v>
      </c>
      <c r="AFC20">
        <v>452</v>
      </c>
      <c r="AFD20">
        <v>481</v>
      </c>
      <c r="AFE20">
        <v>446</v>
      </c>
      <c r="AFF20">
        <v>659</v>
      </c>
      <c r="AFG20">
        <v>0</v>
      </c>
      <c r="AFH20">
        <v>1644</v>
      </c>
      <c r="AFI20">
        <v>0</v>
      </c>
      <c r="AFJ20">
        <v>804</v>
      </c>
      <c r="AFK20">
        <v>1191</v>
      </c>
      <c r="AFL20">
        <v>1316</v>
      </c>
      <c r="AFM20">
        <v>0</v>
      </c>
      <c r="AFN20">
        <v>1118</v>
      </c>
      <c r="AFO20">
        <v>388</v>
      </c>
      <c r="AFP20">
        <v>0</v>
      </c>
      <c r="AFQ20">
        <v>506</v>
      </c>
      <c r="AFR20">
        <v>1219</v>
      </c>
      <c r="AFS20">
        <v>0</v>
      </c>
      <c r="AFT20">
        <v>899</v>
      </c>
      <c r="AFU20">
        <v>836</v>
      </c>
      <c r="AFV20">
        <v>225</v>
      </c>
      <c r="AFW20">
        <v>0</v>
      </c>
      <c r="AFX20">
        <v>521</v>
      </c>
      <c r="AFY20">
        <v>0</v>
      </c>
      <c r="AFZ20">
        <v>503</v>
      </c>
      <c r="AGA20">
        <v>716</v>
      </c>
      <c r="AGB20">
        <v>774</v>
      </c>
      <c r="AGC20">
        <v>0</v>
      </c>
      <c r="AGD20">
        <v>0</v>
      </c>
      <c r="AGE20">
        <v>616</v>
      </c>
      <c r="AGF20">
        <v>199</v>
      </c>
      <c r="AGG20">
        <v>622</v>
      </c>
      <c r="AGH20">
        <v>0</v>
      </c>
      <c r="AGI20">
        <v>732</v>
      </c>
      <c r="AGJ20">
        <v>0</v>
      </c>
      <c r="AGK20">
        <v>0</v>
      </c>
      <c r="AGL20">
        <v>633</v>
      </c>
      <c r="AGM20">
        <v>921</v>
      </c>
      <c r="AGN20">
        <v>1075</v>
      </c>
      <c r="AGO20">
        <v>0</v>
      </c>
      <c r="AGP20">
        <v>775</v>
      </c>
      <c r="AGQ20">
        <v>447</v>
      </c>
      <c r="AGR20">
        <v>0</v>
      </c>
      <c r="AGS20">
        <v>598</v>
      </c>
      <c r="AGT20">
        <v>0</v>
      </c>
      <c r="AGU20">
        <v>623</v>
      </c>
      <c r="AGV20">
        <v>824</v>
      </c>
      <c r="AGW20">
        <v>616</v>
      </c>
      <c r="AGX20">
        <v>608</v>
      </c>
      <c r="AGY20">
        <v>0</v>
      </c>
      <c r="AGZ20">
        <v>400</v>
      </c>
      <c r="AHA20">
        <v>778</v>
      </c>
      <c r="AHB20">
        <v>359</v>
      </c>
      <c r="AHC20">
        <v>527</v>
      </c>
      <c r="AHD20">
        <v>398</v>
      </c>
      <c r="AHE20">
        <v>0</v>
      </c>
      <c r="AHF20">
        <v>0</v>
      </c>
      <c r="AHG20">
        <v>420</v>
      </c>
      <c r="AHI20">
        <v>1283</v>
      </c>
      <c r="AHJ20">
        <v>593</v>
      </c>
      <c r="AHK20">
        <v>0</v>
      </c>
      <c r="AHL20">
        <v>457</v>
      </c>
      <c r="AHM20">
        <v>0</v>
      </c>
      <c r="AHN20">
        <v>0</v>
      </c>
      <c r="AHO20">
        <v>519</v>
      </c>
      <c r="AHP20">
        <v>1076</v>
      </c>
      <c r="AHQ20">
        <v>1219</v>
      </c>
      <c r="AHR20">
        <v>773</v>
      </c>
      <c r="AHS20">
        <v>279</v>
      </c>
      <c r="AHT20">
        <v>0</v>
      </c>
      <c r="AHU20">
        <v>0</v>
      </c>
      <c r="AHV20">
        <v>0</v>
      </c>
      <c r="AHW20">
        <v>134</v>
      </c>
      <c r="AHX20">
        <v>0</v>
      </c>
      <c r="AHY20">
        <v>586</v>
      </c>
      <c r="AHZ20">
        <v>299</v>
      </c>
      <c r="AIA20">
        <v>0</v>
      </c>
      <c r="AIB20">
        <v>439</v>
      </c>
      <c r="AIC20">
        <v>821</v>
      </c>
      <c r="AID20">
        <v>605</v>
      </c>
      <c r="AIE20">
        <v>839</v>
      </c>
      <c r="AIF20">
        <v>474</v>
      </c>
      <c r="AIG20">
        <v>455</v>
      </c>
      <c r="AIH20">
        <v>0</v>
      </c>
      <c r="AII20">
        <v>521</v>
      </c>
      <c r="AIJ20">
        <v>1262</v>
      </c>
      <c r="AIK20">
        <v>591</v>
      </c>
      <c r="AIL20">
        <v>797</v>
      </c>
      <c r="AIM20">
        <v>0</v>
      </c>
      <c r="AIN20">
        <v>176</v>
      </c>
      <c r="AIO20">
        <v>0</v>
      </c>
      <c r="AIP20">
        <v>0</v>
      </c>
      <c r="AIQ20">
        <v>403</v>
      </c>
      <c r="AIR20">
        <v>412</v>
      </c>
      <c r="AIS20">
        <v>813</v>
      </c>
      <c r="AIT20">
        <v>500</v>
      </c>
      <c r="AIU20">
        <v>1185</v>
      </c>
      <c r="AIV20">
        <v>0</v>
      </c>
      <c r="AIW20">
        <v>501</v>
      </c>
      <c r="AIX20">
        <v>950</v>
      </c>
      <c r="AIY20">
        <v>640</v>
      </c>
      <c r="AIZ20">
        <v>1159</v>
      </c>
      <c r="AJA20">
        <v>929</v>
      </c>
      <c r="AJB20">
        <v>737</v>
      </c>
      <c r="AJC20">
        <v>0</v>
      </c>
      <c r="AJD20">
        <v>1077</v>
      </c>
      <c r="AJE20">
        <v>651</v>
      </c>
      <c r="AJF20">
        <v>1073</v>
      </c>
      <c r="AJG20">
        <v>824</v>
      </c>
      <c r="AJH20">
        <v>1296</v>
      </c>
      <c r="AJI20">
        <v>588</v>
      </c>
      <c r="AJJ20">
        <v>0</v>
      </c>
      <c r="AJK20">
        <v>604</v>
      </c>
      <c r="AJL20">
        <v>1130</v>
      </c>
      <c r="AJM20">
        <v>1046</v>
      </c>
      <c r="AJN20">
        <v>597</v>
      </c>
      <c r="AJO20">
        <v>545</v>
      </c>
      <c r="AJP20">
        <v>444</v>
      </c>
      <c r="AJQ20">
        <v>0</v>
      </c>
      <c r="AJR20">
        <v>0</v>
      </c>
      <c r="AJS20">
        <v>325</v>
      </c>
      <c r="AJT20">
        <v>0</v>
      </c>
      <c r="AJU20">
        <v>709</v>
      </c>
      <c r="AJV20">
        <v>527</v>
      </c>
      <c r="AJW20">
        <v>436</v>
      </c>
      <c r="AJX20">
        <v>0</v>
      </c>
      <c r="AJY20">
        <v>1010</v>
      </c>
      <c r="AJZ20">
        <v>817</v>
      </c>
      <c r="AKA20">
        <v>789</v>
      </c>
      <c r="AKB20">
        <v>617</v>
      </c>
      <c r="AKC20">
        <v>601</v>
      </c>
      <c r="AKD20">
        <v>651</v>
      </c>
      <c r="AKE20">
        <v>0</v>
      </c>
      <c r="AKF20">
        <v>727</v>
      </c>
    </row>
    <row r="21" spans="1:968">
      <c r="A21">
        <v>3</v>
      </c>
      <c r="B21" s="132" t="s">
        <v>54</v>
      </c>
      <c r="C21" s="1">
        <v>82910</v>
      </c>
      <c r="D21" s="1" t="s">
        <v>8</v>
      </c>
      <c r="E21" s="1" t="s">
        <v>24</v>
      </c>
      <c r="F21" s="1" t="s">
        <v>17</v>
      </c>
      <c r="G21" s="1" t="s">
        <v>33</v>
      </c>
      <c r="H21" s="1" t="s">
        <v>21</v>
      </c>
      <c r="I21" s="1" t="s">
        <v>14</v>
      </c>
      <c r="J21" s="1" t="s">
        <v>15</v>
      </c>
      <c r="K21" s="23">
        <v>346</v>
      </c>
      <c r="L21" s="23">
        <v>329</v>
      </c>
      <c r="M21" s="23">
        <v>509</v>
      </c>
      <c r="N21" s="23">
        <v>747</v>
      </c>
      <c r="P21" s="23">
        <v>1080</v>
      </c>
      <c r="Q21" s="23">
        <v>960</v>
      </c>
      <c r="R21" s="23">
        <v>784</v>
      </c>
      <c r="S21" s="23">
        <v>351</v>
      </c>
      <c r="T21" s="23">
        <v>883</v>
      </c>
      <c r="U21" s="23">
        <v>1814</v>
      </c>
      <c r="W21" s="23">
        <v>922</v>
      </c>
      <c r="X21" s="23">
        <v>372</v>
      </c>
      <c r="Y21" s="23">
        <v>969</v>
      </c>
      <c r="Z21" s="23">
        <v>1123</v>
      </c>
      <c r="AA21" s="23">
        <v>807</v>
      </c>
      <c r="AB21" s="23">
        <v>1889</v>
      </c>
      <c r="AC21" s="23"/>
      <c r="AD21" s="23"/>
      <c r="AE21" s="23">
        <v>1305</v>
      </c>
      <c r="AF21" s="23">
        <v>635</v>
      </c>
      <c r="AG21" s="23">
        <v>732</v>
      </c>
      <c r="AH21" s="23">
        <v>1166</v>
      </c>
      <c r="AI21" s="23">
        <v>1298</v>
      </c>
      <c r="AJ21" s="23"/>
      <c r="AK21" s="23">
        <v>547</v>
      </c>
      <c r="AL21" s="23">
        <v>847</v>
      </c>
      <c r="AM21" s="23">
        <v>689</v>
      </c>
      <c r="AN21" s="23">
        <v>711</v>
      </c>
      <c r="AO21" s="23">
        <v>364</v>
      </c>
      <c r="AP21" s="23">
        <v>592</v>
      </c>
      <c r="AQ21" s="23"/>
      <c r="AR21" s="23">
        <v>705</v>
      </c>
      <c r="AS21" s="23"/>
      <c r="AT21" s="23">
        <v>707</v>
      </c>
      <c r="AU21" s="23">
        <v>644</v>
      </c>
      <c r="AV21" s="23">
        <v>1472</v>
      </c>
      <c r="AW21" s="23">
        <v>756</v>
      </c>
      <c r="AX21" s="23"/>
      <c r="AY21" s="23">
        <v>1391</v>
      </c>
      <c r="AZ21" s="23">
        <v>1280</v>
      </c>
      <c r="BA21" s="23">
        <v>921</v>
      </c>
      <c r="BB21" s="23">
        <v>319</v>
      </c>
      <c r="BC21" s="23">
        <v>914</v>
      </c>
      <c r="BD21" s="23">
        <v>616</v>
      </c>
      <c r="BE21" s="23"/>
      <c r="BF21" s="23">
        <v>224</v>
      </c>
      <c r="BG21" s="23">
        <v>732</v>
      </c>
      <c r="BH21" s="23">
        <v>674</v>
      </c>
      <c r="BI21" s="23">
        <v>448</v>
      </c>
      <c r="BJ21" s="23">
        <v>327</v>
      </c>
      <c r="BK21" s="23">
        <v>522</v>
      </c>
      <c r="BL21" s="23"/>
      <c r="BM21" s="23">
        <v>532</v>
      </c>
      <c r="BN21" s="23">
        <v>541</v>
      </c>
      <c r="BO21" s="23">
        <v>299</v>
      </c>
      <c r="BP21" s="23">
        <v>191</v>
      </c>
      <c r="BQ21" s="23">
        <v>93</v>
      </c>
      <c r="BR21" s="23"/>
      <c r="BS21" s="23"/>
      <c r="BT21" s="23"/>
      <c r="BU21" s="23"/>
      <c r="BV21" s="23">
        <v>3</v>
      </c>
      <c r="BW21" s="23">
        <v>216</v>
      </c>
      <c r="BX21" s="23">
        <v>230</v>
      </c>
      <c r="BY21" s="23">
        <v>507</v>
      </c>
      <c r="BZ21" s="23"/>
      <c r="CA21">
        <v>1187</v>
      </c>
      <c r="CB21">
        <v>1288</v>
      </c>
      <c r="CC21">
        <v>1059</v>
      </c>
      <c r="CD21">
        <v>907</v>
      </c>
      <c r="CE21">
        <v>1234</v>
      </c>
      <c r="CF21">
        <v>938</v>
      </c>
      <c r="CH21">
        <v>802</v>
      </c>
      <c r="CI21">
        <v>1258</v>
      </c>
      <c r="CJ21">
        <v>977</v>
      </c>
      <c r="CK21">
        <v>736</v>
      </c>
      <c r="CL21">
        <v>729</v>
      </c>
      <c r="CO21">
        <v>1143</v>
      </c>
      <c r="CP21">
        <v>877</v>
      </c>
      <c r="CQ21">
        <v>870</v>
      </c>
      <c r="CR21">
        <v>792</v>
      </c>
      <c r="CS21">
        <v>788</v>
      </c>
      <c r="CT21">
        <v>713</v>
      </c>
      <c r="CV21">
        <v>753</v>
      </c>
      <c r="CW21">
        <v>376</v>
      </c>
      <c r="CX21">
        <v>283</v>
      </c>
      <c r="CY21">
        <v>342</v>
      </c>
      <c r="CZ21">
        <v>645</v>
      </c>
      <c r="DA21">
        <v>916</v>
      </c>
      <c r="DC21">
        <v>750</v>
      </c>
      <c r="DD21">
        <v>1662</v>
      </c>
      <c r="DE21">
        <v>1136</v>
      </c>
      <c r="DF21">
        <v>981</v>
      </c>
      <c r="DG21">
        <v>913</v>
      </c>
      <c r="DH21">
        <v>619</v>
      </c>
      <c r="DJ21">
        <v>1218</v>
      </c>
      <c r="DK21">
        <v>1091</v>
      </c>
      <c r="DL21">
        <v>850</v>
      </c>
      <c r="DM21">
        <v>391</v>
      </c>
      <c r="DN21">
        <v>1122</v>
      </c>
      <c r="DO21">
        <v>771</v>
      </c>
      <c r="DQ21">
        <v>1707</v>
      </c>
      <c r="DR21">
        <v>597</v>
      </c>
      <c r="DS21">
        <v>737</v>
      </c>
      <c r="DT21">
        <v>743</v>
      </c>
      <c r="DU21">
        <v>541</v>
      </c>
      <c r="DV21">
        <v>591</v>
      </c>
      <c r="DX21">
        <v>529</v>
      </c>
      <c r="DY21">
        <v>678</v>
      </c>
      <c r="DZ21">
        <v>573</v>
      </c>
      <c r="EA21">
        <v>339</v>
      </c>
      <c r="EB21">
        <v>331</v>
      </c>
      <c r="EC21">
        <v>340</v>
      </c>
      <c r="EE21">
        <v>872</v>
      </c>
      <c r="EF21">
        <v>944</v>
      </c>
      <c r="EG21">
        <v>800</v>
      </c>
      <c r="EH21">
        <v>521</v>
      </c>
      <c r="EI21">
        <v>1006</v>
      </c>
      <c r="EJ21">
        <v>685</v>
      </c>
      <c r="EL21">
        <v>837</v>
      </c>
      <c r="EM21">
        <v>542</v>
      </c>
      <c r="EN21">
        <v>850</v>
      </c>
      <c r="EO21">
        <v>408</v>
      </c>
      <c r="EP21">
        <v>1277</v>
      </c>
      <c r="EQ21">
        <v>1227</v>
      </c>
      <c r="ES21">
        <v>985</v>
      </c>
      <c r="ET21">
        <v>1666</v>
      </c>
      <c r="EU21">
        <v>1582</v>
      </c>
      <c r="EV21">
        <v>593</v>
      </c>
      <c r="EW21">
        <v>980</v>
      </c>
      <c r="EX21">
        <v>511</v>
      </c>
      <c r="EZ21">
        <v>438</v>
      </c>
      <c r="FA21">
        <v>449</v>
      </c>
      <c r="FB21">
        <v>763</v>
      </c>
      <c r="FC21">
        <v>753</v>
      </c>
      <c r="FD21">
        <v>791</v>
      </c>
      <c r="FE21">
        <v>752</v>
      </c>
      <c r="FG21">
        <v>341</v>
      </c>
      <c r="FH21">
        <v>294</v>
      </c>
      <c r="FI21">
        <v>839</v>
      </c>
      <c r="FJ21">
        <v>315</v>
      </c>
      <c r="FK21">
        <v>735</v>
      </c>
      <c r="FN21">
        <v>653</v>
      </c>
      <c r="FO21">
        <v>679</v>
      </c>
      <c r="FP21">
        <v>804</v>
      </c>
      <c r="FQ21">
        <v>961</v>
      </c>
      <c r="FR21">
        <v>665</v>
      </c>
      <c r="FV21">
        <v>1269</v>
      </c>
      <c r="FW21">
        <v>1245</v>
      </c>
      <c r="FX21">
        <v>692</v>
      </c>
      <c r="FY21">
        <v>650</v>
      </c>
      <c r="FZ21">
        <v>908</v>
      </c>
      <c r="GB21">
        <v>260</v>
      </c>
      <c r="GC21">
        <v>878</v>
      </c>
      <c r="GD21">
        <v>814</v>
      </c>
      <c r="GE21">
        <v>927</v>
      </c>
      <c r="GF21">
        <v>1260</v>
      </c>
      <c r="GG21">
        <v>1725</v>
      </c>
      <c r="GI21">
        <v>2352</v>
      </c>
      <c r="GJ21">
        <v>360</v>
      </c>
      <c r="GL21">
        <v>356</v>
      </c>
      <c r="GM21">
        <v>354</v>
      </c>
      <c r="GP21">
        <v>646</v>
      </c>
      <c r="GQ21">
        <v>461</v>
      </c>
      <c r="GR21">
        <v>1202</v>
      </c>
      <c r="GS21">
        <v>444</v>
      </c>
      <c r="GT21">
        <v>1004</v>
      </c>
      <c r="GU21">
        <v>1148</v>
      </c>
      <c r="GW21">
        <v>901</v>
      </c>
      <c r="GX21">
        <v>1133</v>
      </c>
      <c r="GY21">
        <v>673</v>
      </c>
      <c r="GZ21">
        <v>1091</v>
      </c>
      <c r="HA21">
        <v>924</v>
      </c>
      <c r="HB21">
        <v>1723</v>
      </c>
      <c r="HD21">
        <v>745</v>
      </c>
      <c r="HE21">
        <v>887</v>
      </c>
      <c r="HG21">
        <v>560</v>
      </c>
      <c r="HH21">
        <v>727</v>
      </c>
      <c r="HI21">
        <v>963</v>
      </c>
      <c r="HK21">
        <v>347</v>
      </c>
      <c r="HL21">
        <v>848</v>
      </c>
      <c r="HM21">
        <v>962</v>
      </c>
      <c r="HN21">
        <v>923</v>
      </c>
      <c r="HO21">
        <v>448</v>
      </c>
      <c r="HP21">
        <v>625</v>
      </c>
      <c r="HS21">
        <v>564</v>
      </c>
      <c r="HT21">
        <v>448</v>
      </c>
      <c r="HU21">
        <v>451</v>
      </c>
      <c r="HV21">
        <v>746</v>
      </c>
      <c r="HW21">
        <v>698</v>
      </c>
      <c r="HY21">
        <v>761</v>
      </c>
      <c r="HZ21">
        <v>730</v>
      </c>
      <c r="IA21">
        <v>666</v>
      </c>
      <c r="IB21">
        <v>831</v>
      </c>
      <c r="IC21">
        <v>660</v>
      </c>
      <c r="ID21">
        <v>745</v>
      </c>
      <c r="IF21">
        <v>427</v>
      </c>
      <c r="IG21">
        <v>512</v>
      </c>
      <c r="IH21">
        <v>964</v>
      </c>
      <c r="II21">
        <v>1064</v>
      </c>
      <c r="IJ21">
        <v>543</v>
      </c>
      <c r="IK21">
        <v>774</v>
      </c>
      <c r="IM21">
        <v>413</v>
      </c>
      <c r="IN21">
        <v>813</v>
      </c>
      <c r="IO21">
        <v>599</v>
      </c>
      <c r="IP21">
        <v>784</v>
      </c>
      <c r="IQ21">
        <v>826</v>
      </c>
      <c r="IR21">
        <v>288</v>
      </c>
      <c r="IT21">
        <v>175</v>
      </c>
      <c r="IU21">
        <v>280</v>
      </c>
      <c r="IV21">
        <v>725</v>
      </c>
      <c r="IW21">
        <v>452</v>
      </c>
      <c r="IX21">
        <v>946</v>
      </c>
      <c r="IY21">
        <v>1079</v>
      </c>
      <c r="JA21">
        <v>772</v>
      </c>
      <c r="JB21">
        <v>813</v>
      </c>
      <c r="JC21">
        <v>1097</v>
      </c>
      <c r="JD21">
        <v>680</v>
      </c>
      <c r="JE21">
        <v>365</v>
      </c>
      <c r="JF21">
        <v>1171</v>
      </c>
      <c r="JH21">
        <v>1004</v>
      </c>
      <c r="JI21">
        <v>540</v>
      </c>
      <c r="JJ21">
        <v>887</v>
      </c>
      <c r="JK21">
        <v>1277</v>
      </c>
      <c r="JL21">
        <v>1075</v>
      </c>
      <c r="JM21">
        <v>720</v>
      </c>
      <c r="JO21">
        <v>720</v>
      </c>
      <c r="JP21">
        <v>1127</v>
      </c>
      <c r="JQ21">
        <v>1018</v>
      </c>
      <c r="JR21">
        <v>830</v>
      </c>
      <c r="JS21">
        <v>671</v>
      </c>
      <c r="JT21">
        <v>555</v>
      </c>
      <c r="JW21">
        <v>386</v>
      </c>
      <c r="JX21">
        <v>401</v>
      </c>
      <c r="JY21">
        <v>350</v>
      </c>
      <c r="JZ21">
        <v>483</v>
      </c>
      <c r="KA21">
        <v>1027</v>
      </c>
      <c r="KC21">
        <v>551</v>
      </c>
      <c r="KD21">
        <v>980</v>
      </c>
      <c r="KE21">
        <v>621</v>
      </c>
      <c r="KF21">
        <v>1079</v>
      </c>
      <c r="KG21">
        <v>695</v>
      </c>
      <c r="KH21">
        <v>1689</v>
      </c>
      <c r="KK21">
        <v>538</v>
      </c>
      <c r="KL21">
        <v>821</v>
      </c>
      <c r="KM21">
        <v>693</v>
      </c>
      <c r="KN21">
        <v>885</v>
      </c>
      <c r="KO21">
        <v>682</v>
      </c>
      <c r="KQ21">
        <v>1104</v>
      </c>
      <c r="KR21">
        <v>1212</v>
      </c>
      <c r="KS21">
        <v>1001</v>
      </c>
      <c r="KT21">
        <v>1154</v>
      </c>
      <c r="KU21">
        <v>522</v>
      </c>
      <c r="KV21">
        <v>789</v>
      </c>
      <c r="KX21">
        <v>1237</v>
      </c>
      <c r="KY21">
        <v>1524</v>
      </c>
      <c r="KZ21">
        <v>787</v>
      </c>
      <c r="LA21">
        <v>537</v>
      </c>
      <c r="LB21">
        <v>468</v>
      </c>
      <c r="LC21">
        <v>930</v>
      </c>
      <c r="LD21">
        <v>0</v>
      </c>
      <c r="LE21">
        <v>18</v>
      </c>
      <c r="LF21">
        <v>118</v>
      </c>
      <c r="LG21">
        <v>21</v>
      </c>
      <c r="LH21">
        <v>33</v>
      </c>
      <c r="LI21">
        <v>5</v>
      </c>
      <c r="LJ21">
        <v>51</v>
      </c>
      <c r="LK21">
        <v>0</v>
      </c>
      <c r="LL21">
        <v>107</v>
      </c>
      <c r="LM21">
        <v>78</v>
      </c>
      <c r="LN21">
        <v>13</v>
      </c>
      <c r="LO21">
        <v>9</v>
      </c>
      <c r="LP21">
        <v>45</v>
      </c>
      <c r="LQ21">
        <v>75</v>
      </c>
      <c r="LR21">
        <v>0</v>
      </c>
      <c r="LS21">
        <v>48</v>
      </c>
      <c r="LT21">
        <v>39</v>
      </c>
      <c r="LU21">
        <v>34</v>
      </c>
      <c r="LV21">
        <v>18</v>
      </c>
      <c r="LW21">
        <v>30</v>
      </c>
      <c r="LX21">
        <v>23</v>
      </c>
      <c r="LY21">
        <v>0</v>
      </c>
      <c r="LZ21">
        <v>27</v>
      </c>
      <c r="MA21">
        <v>16</v>
      </c>
      <c r="MB21">
        <v>46</v>
      </c>
      <c r="MC21">
        <v>57</v>
      </c>
      <c r="MD21">
        <v>7</v>
      </c>
      <c r="ME21">
        <v>56</v>
      </c>
      <c r="MF21">
        <v>0</v>
      </c>
      <c r="MG21">
        <v>36</v>
      </c>
      <c r="MH21">
        <v>767</v>
      </c>
      <c r="MI21">
        <v>503</v>
      </c>
      <c r="MJ21">
        <v>606</v>
      </c>
      <c r="MK21">
        <v>720</v>
      </c>
      <c r="ML21">
        <v>907</v>
      </c>
      <c r="MM21">
        <v>0</v>
      </c>
      <c r="MN21">
        <v>853</v>
      </c>
      <c r="MO21">
        <v>480</v>
      </c>
      <c r="MP21">
        <v>220</v>
      </c>
      <c r="MQ21">
        <v>645</v>
      </c>
      <c r="MR21">
        <v>1228</v>
      </c>
      <c r="MS21">
        <v>270</v>
      </c>
      <c r="MT21">
        <v>0</v>
      </c>
      <c r="MU21">
        <v>0</v>
      </c>
      <c r="MV21">
        <v>1531</v>
      </c>
      <c r="MW21">
        <v>750</v>
      </c>
      <c r="MX21">
        <v>1548</v>
      </c>
      <c r="MY21">
        <v>1754</v>
      </c>
      <c r="MZ21">
        <v>844</v>
      </c>
      <c r="NA21">
        <v>0</v>
      </c>
      <c r="NB21">
        <v>1158</v>
      </c>
      <c r="NC21">
        <v>538</v>
      </c>
      <c r="ND21">
        <v>0</v>
      </c>
      <c r="NE21">
        <v>1240</v>
      </c>
      <c r="NF21">
        <v>366</v>
      </c>
      <c r="NG21">
        <v>535</v>
      </c>
      <c r="NH21">
        <v>0</v>
      </c>
      <c r="NI21">
        <v>475</v>
      </c>
      <c r="NJ21">
        <v>805</v>
      </c>
      <c r="NK21">
        <v>1328</v>
      </c>
      <c r="NL21">
        <v>604</v>
      </c>
      <c r="NM21" s="46">
        <v>661</v>
      </c>
      <c r="NN21" s="46">
        <v>632</v>
      </c>
      <c r="NO21" s="46"/>
      <c r="NP21">
        <v>349</v>
      </c>
      <c r="NQ21">
        <v>1521</v>
      </c>
      <c r="NR21">
        <v>1038</v>
      </c>
      <c r="NS21">
        <v>487</v>
      </c>
      <c r="NT21">
        <v>1049</v>
      </c>
      <c r="NU21">
        <v>860</v>
      </c>
      <c r="NW21">
        <v>738</v>
      </c>
      <c r="NX21">
        <v>1342</v>
      </c>
      <c r="NY21">
        <v>481</v>
      </c>
      <c r="NZ21">
        <v>659</v>
      </c>
      <c r="OA21">
        <v>722</v>
      </c>
      <c r="OB21">
        <v>516</v>
      </c>
      <c r="OD21">
        <v>355</v>
      </c>
      <c r="OE21">
        <v>1292</v>
      </c>
      <c r="OF21">
        <v>1224</v>
      </c>
      <c r="OG21">
        <v>761</v>
      </c>
      <c r="OH21">
        <v>543</v>
      </c>
      <c r="OI21">
        <v>409</v>
      </c>
      <c r="OK21">
        <v>1132</v>
      </c>
      <c r="OL21">
        <v>822</v>
      </c>
      <c r="OM21">
        <v>407</v>
      </c>
      <c r="ON21">
        <v>779</v>
      </c>
      <c r="OO21">
        <v>1116</v>
      </c>
      <c r="OP21">
        <v>876</v>
      </c>
      <c r="OQ21" s="67"/>
      <c r="OR21">
        <v>641</v>
      </c>
      <c r="OS21">
        <v>578</v>
      </c>
      <c r="OT21">
        <v>433</v>
      </c>
      <c r="OV21">
        <v>451</v>
      </c>
      <c r="OW21">
        <v>710</v>
      </c>
      <c r="OY21">
        <v>2488</v>
      </c>
      <c r="OZ21">
        <v>822</v>
      </c>
      <c r="PA21">
        <v>285</v>
      </c>
      <c r="PB21">
        <v>510</v>
      </c>
      <c r="PC21">
        <v>813</v>
      </c>
      <c r="PD21">
        <v>679</v>
      </c>
      <c r="PE21">
        <v>0</v>
      </c>
      <c r="PF21">
        <v>527</v>
      </c>
      <c r="PG21">
        <v>738</v>
      </c>
      <c r="PH21">
        <v>475</v>
      </c>
      <c r="PI21">
        <v>587</v>
      </c>
      <c r="PJ21">
        <v>519</v>
      </c>
      <c r="PK21">
        <v>454</v>
      </c>
      <c r="PL21">
        <v>0</v>
      </c>
      <c r="PM21">
        <v>652</v>
      </c>
      <c r="PN21">
        <v>697</v>
      </c>
      <c r="PO21">
        <v>443</v>
      </c>
      <c r="PP21">
        <v>179</v>
      </c>
      <c r="PQ21">
        <v>72</v>
      </c>
      <c r="PR21">
        <v>608</v>
      </c>
      <c r="PS21">
        <v>0</v>
      </c>
      <c r="PT21">
        <v>132</v>
      </c>
      <c r="PU21">
        <v>0</v>
      </c>
      <c r="PV21">
        <v>0</v>
      </c>
      <c r="PW21">
        <v>34</v>
      </c>
      <c r="PX21">
        <v>151</v>
      </c>
      <c r="PY21">
        <v>50</v>
      </c>
      <c r="PZ21">
        <v>0</v>
      </c>
      <c r="QA21">
        <v>1034</v>
      </c>
      <c r="QB21">
        <v>887</v>
      </c>
      <c r="QC21">
        <v>1396</v>
      </c>
      <c r="QD21">
        <v>1571</v>
      </c>
      <c r="QE21">
        <v>981</v>
      </c>
      <c r="QF21">
        <v>1325</v>
      </c>
      <c r="QG21">
        <v>0</v>
      </c>
      <c r="QH21">
        <v>410</v>
      </c>
      <c r="QI21">
        <v>904</v>
      </c>
      <c r="QJ21">
        <v>1076</v>
      </c>
      <c r="QK21">
        <v>565</v>
      </c>
      <c r="QL21">
        <v>907</v>
      </c>
      <c r="QM21">
        <v>610</v>
      </c>
      <c r="QN21">
        <v>0</v>
      </c>
      <c r="QO21">
        <v>898</v>
      </c>
      <c r="QP21">
        <v>1101</v>
      </c>
      <c r="QQ21">
        <v>877</v>
      </c>
      <c r="QR21">
        <v>992</v>
      </c>
      <c r="QS21">
        <v>366</v>
      </c>
      <c r="QT21">
        <v>547</v>
      </c>
      <c r="QU21">
        <v>0</v>
      </c>
      <c r="QV21">
        <v>555</v>
      </c>
      <c r="QW21">
        <v>689</v>
      </c>
      <c r="QX21">
        <v>891</v>
      </c>
      <c r="QY21">
        <v>913</v>
      </c>
      <c r="QZ21">
        <v>558</v>
      </c>
      <c r="RA21">
        <v>310</v>
      </c>
      <c r="RC21">
        <v>561</v>
      </c>
      <c r="RD21">
        <v>1117</v>
      </c>
      <c r="RE21">
        <v>1186</v>
      </c>
      <c r="RF21">
        <v>934</v>
      </c>
      <c r="RG21">
        <v>972</v>
      </c>
      <c r="RH21">
        <v>0</v>
      </c>
      <c r="RI21">
        <v>0</v>
      </c>
      <c r="RJ21">
        <v>848</v>
      </c>
      <c r="RK21">
        <v>812</v>
      </c>
      <c r="RL21">
        <v>1070</v>
      </c>
      <c r="RM21">
        <v>610</v>
      </c>
      <c r="RN21">
        <v>1409</v>
      </c>
      <c r="RO21">
        <v>602</v>
      </c>
      <c r="RP21">
        <v>0</v>
      </c>
      <c r="RQ21">
        <v>1619</v>
      </c>
      <c r="RR21">
        <v>1021</v>
      </c>
      <c r="RS21">
        <v>1471</v>
      </c>
      <c r="RT21">
        <v>912</v>
      </c>
      <c r="RU21">
        <v>1412</v>
      </c>
      <c r="RV21">
        <v>1109</v>
      </c>
      <c r="RW21">
        <v>0</v>
      </c>
      <c r="RX21">
        <v>984</v>
      </c>
      <c r="RY21">
        <v>677</v>
      </c>
      <c r="RZ21">
        <v>1110</v>
      </c>
      <c r="SA21">
        <v>779</v>
      </c>
      <c r="SB21">
        <v>763</v>
      </c>
      <c r="SC21">
        <v>522</v>
      </c>
      <c r="SD21">
        <v>0</v>
      </c>
      <c r="SE21">
        <v>694</v>
      </c>
      <c r="SF21">
        <v>1059</v>
      </c>
      <c r="SG21">
        <v>1060</v>
      </c>
      <c r="SH21">
        <v>858</v>
      </c>
      <c r="SI21">
        <v>1429</v>
      </c>
      <c r="SJ21">
        <v>742</v>
      </c>
      <c r="SK21">
        <v>0</v>
      </c>
      <c r="SL21">
        <v>965</v>
      </c>
      <c r="SM21">
        <v>939</v>
      </c>
      <c r="SN21">
        <v>694</v>
      </c>
      <c r="SO21">
        <v>598</v>
      </c>
      <c r="SP21">
        <v>761</v>
      </c>
      <c r="SQ21">
        <v>591</v>
      </c>
      <c r="SR21">
        <v>0</v>
      </c>
      <c r="SS21">
        <v>1026</v>
      </c>
      <c r="ST21">
        <v>1698</v>
      </c>
      <c r="SU21">
        <v>1022</v>
      </c>
      <c r="SV21">
        <v>1246</v>
      </c>
      <c r="SW21">
        <v>1072</v>
      </c>
      <c r="SX21">
        <v>623</v>
      </c>
      <c r="SY21">
        <v>0</v>
      </c>
      <c r="SZ21">
        <v>865</v>
      </c>
      <c r="TA21">
        <v>377</v>
      </c>
      <c r="TB21">
        <v>566</v>
      </c>
      <c r="TC21" t="s">
        <v>55</v>
      </c>
      <c r="TD21">
        <v>398</v>
      </c>
      <c r="TE21">
        <v>278</v>
      </c>
      <c r="TG21">
        <v>390</v>
      </c>
      <c r="TH21">
        <v>551</v>
      </c>
      <c r="TI21">
        <v>337</v>
      </c>
      <c r="TJ21">
        <v>386</v>
      </c>
      <c r="TK21">
        <v>1023</v>
      </c>
      <c r="TL21">
        <v>693</v>
      </c>
      <c r="TM21">
        <v>0</v>
      </c>
      <c r="TN21">
        <v>0</v>
      </c>
      <c r="TO21">
        <v>798</v>
      </c>
      <c r="TP21">
        <v>871</v>
      </c>
      <c r="TQ21">
        <v>997</v>
      </c>
      <c r="TR21">
        <v>1086</v>
      </c>
      <c r="TS21">
        <v>420</v>
      </c>
      <c r="TT21">
        <v>0</v>
      </c>
      <c r="TU21">
        <v>0</v>
      </c>
      <c r="TV21">
        <v>0</v>
      </c>
      <c r="TW21">
        <v>1370</v>
      </c>
      <c r="TX21">
        <v>672</v>
      </c>
      <c r="TY21">
        <v>507</v>
      </c>
      <c r="TZ21">
        <v>1164</v>
      </c>
      <c r="UB21">
        <v>306</v>
      </c>
      <c r="UC21">
        <v>733</v>
      </c>
      <c r="UD21">
        <v>1419</v>
      </c>
      <c r="UE21">
        <v>699</v>
      </c>
      <c r="UF21">
        <v>591</v>
      </c>
      <c r="UG21">
        <v>728</v>
      </c>
      <c r="UI21">
        <v>1411</v>
      </c>
      <c r="UJ21">
        <v>918</v>
      </c>
      <c r="UK21">
        <v>552</v>
      </c>
      <c r="UL21">
        <v>0</v>
      </c>
      <c r="UM21">
        <v>734</v>
      </c>
      <c r="UN21">
        <v>350</v>
      </c>
      <c r="UO21">
        <v>0</v>
      </c>
      <c r="UP21">
        <v>0</v>
      </c>
      <c r="UQ21">
        <v>1248</v>
      </c>
      <c r="UR21">
        <v>473</v>
      </c>
      <c r="US21">
        <v>1342</v>
      </c>
      <c r="UT21">
        <v>1036</v>
      </c>
      <c r="UU21">
        <v>666</v>
      </c>
      <c r="UV21">
        <v>0</v>
      </c>
      <c r="UW21">
        <v>0</v>
      </c>
      <c r="UX21">
        <v>1212</v>
      </c>
      <c r="UY21">
        <v>1223</v>
      </c>
      <c r="UZ21">
        <v>1320</v>
      </c>
      <c r="VA21">
        <v>774</v>
      </c>
      <c r="VB21">
        <v>611</v>
      </c>
      <c r="VC21">
        <v>0</v>
      </c>
      <c r="VD21">
        <v>1227</v>
      </c>
      <c r="VE21">
        <v>821</v>
      </c>
      <c r="VF21">
        <v>1226</v>
      </c>
      <c r="VG21">
        <v>1010</v>
      </c>
      <c r="VH21">
        <v>1416</v>
      </c>
      <c r="VI21">
        <v>614</v>
      </c>
      <c r="VJ21">
        <v>194</v>
      </c>
      <c r="VK21">
        <v>1404</v>
      </c>
      <c r="VL21">
        <v>929</v>
      </c>
      <c r="VM21">
        <v>931</v>
      </c>
      <c r="VN21">
        <v>664</v>
      </c>
      <c r="VO21">
        <v>1135</v>
      </c>
      <c r="VP21">
        <v>408</v>
      </c>
      <c r="VQ21">
        <v>0</v>
      </c>
      <c r="VR21">
        <v>435</v>
      </c>
      <c r="VS21">
        <v>0</v>
      </c>
      <c r="VT21">
        <v>418</v>
      </c>
      <c r="VU21">
        <v>704</v>
      </c>
      <c r="VV21">
        <v>501</v>
      </c>
      <c r="VW21">
        <v>943</v>
      </c>
      <c r="VX21">
        <v>0</v>
      </c>
      <c r="VY21">
        <v>745</v>
      </c>
      <c r="VZ21">
        <v>1725</v>
      </c>
      <c r="WA21">
        <v>798</v>
      </c>
      <c r="WB21">
        <v>1137</v>
      </c>
      <c r="WC21">
        <v>834</v>
      </c>
      <c r="WD21">
        <v>368</v>
      </c>
      <c r="WE21">
        <v>0</v>
      </c>
      <c r="WF21">
        <v>698</v>
      </c>
      <c r="WG21">
        <v>608</v>
      </c>
      <c r="WH21">
        <v>580</v>
      </c>
      <c r="WI21">
        <v>622</v>
      </c>
      <c r="WJ21">
        <v>665</v>
      </c>
      <c r="WK21">
        <v>802</v>
      </c>
      <c r="WL21">
        <v>0</v>
      </c>
      <c r="WM21">
        <v>860</v>
      </c>
      <c r="WN21">
        <v>1010</v>
      </c>
      <c r="WO21">
        <v>539</v>
      </c>
      <c r="WP21">
        <v>1174</v>
      </c>
      <c r="WQ21">
        <v>395</v>
      </c>
      <c r="WR21">
        <v>646</v>
      </c>
      <c r="WS21">
        <v>0</v>
      </c>
      <c r="WT21">
        <v>393</v>
      </c>
      <c r="WU21">
        <v>287</v>
      </c>
      <c r="WV21">
        <v>294</v>
      </c>
      <c r="WW21">
        <v>717</v>
      </c>
      <c r="WX21">
        <v>1155</v>
      </c>
      <c r="WY21">
        <v>2032</v>
      </c>
      <c r="WZ21">
        <v>0</v>
      </c>
      <c r="XA21">
        <v>820</v>
      </c>
      <c r="XB21">
        <v>1303</v>
      </c>
      <c r="XC21">
        <v>1590</v>
      </c>
      <c r="XD21">
        <v>912</v>
      </c>
      <c r="XE21">
        <v>995</v>
      </c>
      <c r="XF21">
        <v>531</v>
      </c>
      <c r="XG21">
        <v>0</v>
      </c>
      <c r="XH21">
        <v>1494</v>
      </c>
      <c r="XI21">
        <v>1404</v>
      </c>
      <c r="XJ21">
        <v>967</v>
      </c>
      <c r="XK21">
        <v>1098</v>
      </c>
      <c r="XL21">
        <v>854</v>
      </c>
      <c r="XM21">
        <v>737</v>
      </c>
      <c r="XN21">
        <v>0</v>
      </c>
      <c r="XO21">
        <v>928</v>
      </c>
      <c r="XP21">
        <v>1045</v>
      </c>
      <c r="XQ21">
        <v>626</v>
      </c>
      <c r="XR21">
        <v>493</v>
      </c>
      <c r="XS21">
        <v>781</v>
      </c>
      <c r="XT21">
        <v>207</v>
      </c>
      <c r="XU21">
        <v>0</v>
      </c>
      <c r="XV21">
        <v>0</v>
      </c>
      <c r="XW21">
        <v>534</v>
      </c>
      <c r="XX21">
        <v>492</v>
      </c>
      <c r="XY21">
        <v>197</v>
      </c>
      <c r="XZ21">
        <v>139</v>
      </c>
      <c r="YA21">
        <v>421</v>
      </c>
      <c r="YB21">
        <v>0</v>
      </c>
      <c r="YC21">
        <v>1021</v>
      </c>
      <c r="YD21">
        <v>1843</v>
      </c>
      <c r="YE21">
        <v>1242</v>
      </c>
      <c r="YF21">
        <v>1083</v>
      </c>
      <c r="YG21">
        <v>919</v>
      </c>
      <c r="YH21">
        <v>594</v>
      </c>
      <c r="YI21">
        <v>0</v>
      </c>
      <c r="YJ21">
        <v>600</v>
      </c>
      <c r="YK21">
        <v>0</v>
      </c>
      <c r="YL21">
        <v>903</v>
      </c>
      <c r="YM21">
        <v>940</v>
      </c>
      <c r="YN21">
        <v>666</v>
      </c>
      <c r="YO21">
        <v>726</v>
      </c>
      <c r="YP21">
        <v>0</v>
      </c>
      <c r="YQ21">
        <v>1155</v>
      </c>
      <c r="YR21">
        <v>1356</v>
      </c>
      <c r="YS21">
        <v>952</v>
      </c>
      <c r="YT21">
        <v>609</v>
      </c>
      <c r="YU21">
        <v>840</v>
      </c>
      <c r="YV21">
        <v>752</v>
      </c>
      <c r="YW21">
        <v>0</v>
      </c>
      <c r="YX21">
        <v>794</v>
      </c>
      <c r="YY21">
        <v>509</v>
      </c>
      <c r="YZ21">
        <v>194</v>
      </c>
      <c r="ZA21">
        <v>264</v>
      </c>
      <c r="ZB21">
        <v>328</v>
      </c>
      <c r="ZC21">
        <v>604</v>
      </c>
      <c r="ZD21">
        <v>0</v>
      </c>
      <c r="ZE21">
        <v>833</v>
      </c>
      <c r="ZF21">
        <v>829</v>
      </c>
      <c r="ZG21">
        <v>675</v>
      </c>
      <c r="ZH21">
        <v>566</v>
      </c>
      <c r="ZI21">
        <v>639</v>
      </c>
      <c r="ZJ21">
        <v>880</v>
      </c>
      <c r="ZK21">
        <v>0</v>
      </c>
      <c r="ZL21">
        <v>921</v>
      </c>
      <c r="ZM21">
        <v>935</v>
      </c>
      <c r="ZN21">
        <v>811</v>
      </c>
      <c r="ZO21">
        <v>277</v>
      </c>
      <c r="ZP21">
        <v>813</v>
      </c>
      <c r="ZQ21">
        <v>1094</v>
      </c>
      <c r="ZR21">
        <v>0</v>
      </c>
      <c r="ZS21">
        <v>2017</v>
      </c>
      <c r="ZT21">
        <v>884</v>
      </c>
      <c r="ZU21">
        <v>685</v>
      </c>
      <c r="ZV21">
        <v>813</v>
      </c>
      <c r="ZW21">
        <v>473</v>
      </c>
      <c r="ZX21">
        <v>733</v>
      </c>
      <c r="ZY21">
        <v>0</v>
      </c>
      <c r="ZZ21">
        <v>486</v>
      </c>
      <c r="AAA21">
        <v>830</v>
      </c>
      <c r="AAB21">
        <v>550</v>
      </c>
      <c r="AAC21">
        <v>293</v>
      </c>
      <c r="AAD21">
        <v>1082</v>
      </c>
      <c r="AAE21">
        <v>1508</v>
      </c>
      <c r="AAF21">
        <v>0</v>
      </c>
      <c r="AAG21">
        <v>1069</v>
      </c>
      <c r="AAH21">
        <v>570</v>
      </c>
      <c r="AAI21">
        <v>1160</v>
      </c>
      <c r="AAJ21">
        <v>99</v>
      </c>
      <c r="AAK21">
        <v>898</v>
      </c>
      <c r="AAL21">
        <v>884</v>
      </c>
      <c r="AAM21">
        <v>0</v>
      </c>
      <c r="AAN21">
        <v>1134</v>
      </c>
      <c r="AAO21">
        <v>1201</v>
      </c>
      <c r="AAP21">
        <v>1140</v>
      </c>
      <c r="AAQ21">
        <v>412</v>
      </c>
      <c r="AAR21">
        <v>1372</v>
      </c>
      <c r="AAS21">
        <v>394</v>
      </c>
      <c r="AAT21">
        <v>0</v>
      </c>
      <c r="AAU21">
        <v>0</v>
      </c>
      <c r="AAV21">
        <v>1965</v>
      </c>
      <c r="AAW21">
        <v>1186</v>
      </c>
      <c r="AAX21">
        <v>986</v>
      </c>
      <c r="AAY21">
        <v>547</v>
      </c>
      <c r="AAZ21">
        <v>754</v>
      </c>
      <c r="ABA21">
        <v>0</v>
      </c>
      <c r="ABB21">
        <v>1496</v>
      </c>
      <c r="ABC21">
        <v>339</v>
      </c>
      <c r="ABD21">
        <v>380</v>
      </c>
      <c r="ABE21">
        <v>0</v>
      </c>
      <c r="ABF21">
        <v>533</v>
      </c>
      <c r="ABG21">
        <v>663</v>
      </c>
      <c r="ABH21">
        <v>0</v>
      </c>
      <c r="ABI21">
        <v>480</v>
      </c>
      <c r="ABJ21">
        <v>399</v>
      </c>
      <c r="ABK21">
        <v>722</v>
      </c>
      <c r="ABL21">
        <v>276</v>
      </c>
      <c r="ABM21">
        <v>494</v>
      </c>
      <c r="ABN21">
        <v>1105</v>
      </c>
      <c r="ABO21">
        <v>0</v>
      </c>
      <c r="ABP21">
        <v>720</v>
      </c>
      <c r="ABQ21">
        <v>214</v>
      </c>
      <c r="ABR21">
        <v>745</v>
      </c>
      <c r="ABS21">
        <v>500</v>
      </c>
      <c r="ABT21">
        <v>1487</v>
      </c>
      <c r="ABU21">
        <v>760</v>
      </c>
      <c r="ABV21">
        <v>0</v>
      </c>
      <c r="ABW21">
        <v>2262</v>
      </c>
      <c r="ABX21">
        <v>1028</v>
      </c>
      <c r="ABY21">
        <v>896</v>
      </c>
      <c r="ABZ21">
        <v>1533</v>
      </c>
      <c r="ACA21">
        <v>1002</v>
      </c>
      <c r="ACB21">
        <v>839</v>
      </c>
      <c r="ACC21">
        <v>0</v>
      </c>
      <c r="ACD21">
        <v>878</v>
      </c>
      <c r="ACE21">
        <v>723</v>
      </c>
      <c r="ACF21">
        <v>484</v>
      </c>
      <c r="ACG21">
        <v>549</v>
      </c>
      <c r="ACH21">
        <v>756</v>
      </c>
      <c r="ACI21">
        <v>712</v>
      </c>
      <c r="ACJ21">
        <v>0</v>
      </c>
      <c r="ACK21">
        <v>1214</v>
      </c>
      <c r="ACL21">
        <v>429</v>
      </c>
      <c r="ACM21">
        <v>495</v>
      </c>
      <c r="ACN21">
        <v>271</v>
      </c>
      <c r="ACO21">
        <v>466</v>
      </c>
      <c r="ACP21">
        <v>550</v>
      </c>
      <c r="ACQ21">
        <v>0</v>
      </c>
      <c r="ACR21">
        <v>262</v>
      </c>
      <c r="ACS21">
        <v>244</v>
      </c>
      <c r="ACT21">
        <v>537</v>
      </c>
      <c r="ACU21">
        <v>546</v>
      </c>
      <c r="ACV21">
        <v>0</v>
      </c>
      <c r="ACW21">
        <v>1426</v>
      </c>
      <c r="ACX21">
        <v>0</v>
      </c>
      <c r="ACY21">
        <v>803</v>
      </c>
      <c r="ACZ21">
        <v>678</v>
      </c>
      <c r="ADA21">
        <v>799</v>
      </c>
      <c r="ADB21">
        <v>489</v>
      </c>
      <c r="ADC21">
        <v>90</v>
      </c>
      <c r="ADD21">
        <v>928</v>
      </c>
      <c r="ADE21">
        <v>0</v>
      </c>
      <c r="ADF21">
        <v>304</v>
      </c>
      <c r="ADG21">
        <v>532</v>
      </c>
      <c r="ADH21">
        <v>716</v>
      </c>
      <c r="ADI21">
        <v>118</v>
      </c>
      <c r="ADJ21">
        <v>594</v>
      </c>
      <c r="ADK21">
        <v>426</v>
      </c>
      <c r="ADL21">
        <v>0</v>
      </c>
      <c r="ADM21">
        <v>858</v>
      </c>
      <c r="ADN21">
        <v>351</v>
      </c>
      <c r="ADO21">
        <v>272</v>
      </c>
      <c r="ADP21">
        <v>230</v>
      </c>
      <c r="ADQ21">
        <v>241</v>
      </c>
      <c r="ADR21">
        <v>163</v>
      </c>
      <c r="ADS21">
        <v>0</v>
      </c>
      <c r="ADT21">
        <v>130</v>
      </c>
      <c r="ADU21">
        <v>18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101</v>
      </c>
      <c r="AEB21">
        <v>305</v>
      </c>
      <c r="AEC21">
        <v>197</v>
      </c>
      <c r="AED21">
        <v>1520</v>
      </c>
      <c r="AEE21">
        <v>1795</v>
      </c>
      <c r="AEF21">
        <v>698</v>
      </c>
      <c r="AEG21">
        <v>0</v>
      </c>
      <c r="AEH21">
        <v>3232</v>
      </c>
      <c r="AEI21">
        <v>1808</v>
      </c>
      <c r="AEJ21">
        <v>1660</v>
      </c>
      <c r="AEK21">
        <v>1294</v>
      </c>
      <c r="AEL21">
        <v>396</v>
      </c>
      <c r="AEM21">
        <v>929</v>
      </c>
      <c r="AEN21">
        <v>0</v>
      </c>
      <c r="AEO21">
        <v>1117</v>
      </c>
      <c r="AEP21">
        <v>603</v>
      </c>
      <c r="AEQ21">
        <v>950</v>
      </c>
      <c r="AER21">
        <v>849</v>
      </c>
      <c r="AES21">
        <v>587</v>
      </c>
      <c r="AET21">
        <v>462</v>
      </c>
      <c r="AEU21">
        <v>0</v>
      </c>
      <c r="AEV21">
        <v>1266</v>
      </c>
      <c r="AEW21">
        <v>672</v>
      </c>
      <c r="AEX21">
        <v>862</v>
      </c>
      <c r="AEY21">
        <v>189</v>
      </c>
      <c r="AEZ21">
        <v>541</v>
      </c>
      <c r="AFA21">
        <v>305</v>
      </c>
      <c r="AFB21">
        <v>0</v>
      </c>
      <c r="AFC21">
        <v>236</v>
      </c>
      <c r="AFD21">
        <v>1537</v>
      </c>
      <c r="AFE21">
        <v>1177</v>
      </c>
      <c r="AFF21">
        <v>1123</v>
      </c>
      <c r="AFG21">
        <v>961</v>
      </c>
      <c r="AFH21">
        <v>999</v>
      </c>
      <c r="AFI21">
        <v>0</v>
      </c>
      <c r="AFJ21">
        <v>1510</v>
      </c>
      <c r="AFK21">
        <v>990</v>
      </c>
      <c r="AFL21">
        <v>1065</v>
      </c>
      <c r="AFM21">
        <v>374</v>
      </c>
      <c r="AFN21">
        <v>768</v>
      </c>
      <c r="AFO21">
        <v>840</v>
      </c>
      <c r="AFP21">
        <v>0</v>
      </c>
      <c r="AFQ21">
        <v>882</v>
      </c>
      <c r="AFR21">
        <v>789</v>
      </c>
      <c r="AFS21">
        <v>337</v>
      </c>
      <c r="AFT21">
        <v>780</v>
      </c>
      <c r="AFU21">
        <v>740</v>
      </c>
      <c r="AFV21">
        <v>587</v>
      </c>
      <c r="AFW21">
        <v>0</v>
      </c>
      <c r="AFX21">
        <v>480</v>
      </c>
      <c r="AFY21">
        <v>449</v>
      </c>
      <c r="AFZ21">
        <v>303</v>
      </c>
      <c r="AGA21">
        <v>774</v>
      </c>
      <c r="AGB21">
        <v>721</v>
      </c>
      <c r="AGC21">
        <v>66</v>
      </c>
      <c r="AGD21">
        <v>0</v>
      </c>
      <c r="AGE21">
        <v>298</v>
      </c>
      <c r="AGF21">
        <v>985</v>
      </c>
      <c r="AGG21">
        <v>764</v>
      </c>
      <c r="AGH21">
        <v>306</v>
      </c>
      <c r="AGI21">
        <v>1268</v>
      </c>
      <c r="AGJ21">
        <v>0</v>
      </c>
      <c r="AGK21">
        <v>0</v>
      </c>
      <c r="AGL21">
        <v>1318</v>
      </c>
      <c r="AGM21">
        <v>1499</v>
      </c>
      <c r="AGN21">
        <v>1057</v>
      </c>
      <c r="AGO21">
        <v>199</v>
      </c>
      <c r="AGP21">
        <v>1086</v>
      </c>
      <c r="AGQ21">
        <v>763</v>
      </c>
      <c r="AGR21">
        <v>0</v>
      </c>
      <c r="AGS21">
        <v>1061</v>
      </c>
      <c r="AGT21">
        <v>533</v>
      </c>
      <c r="AGU21">
        <v>1075</v>
      </c>
      <c r="AGV21">
        <v>1314</v>
      </c>
      <c r="AGW21">
        <v>1891</v>
      </c>
      <c r="AGX21">
        <v>533</v>
      </c>
      <c r="AGY21">
        <v>0</v>
      </c>
      <c r="AGZ21">
        <v>511</v>
      </c>
      <c r="AHA21">
        <v>364</v>
      </c>
      <c r="AHB21">
        <v>402</v>
      </c>
      <c r="AHC21">
        <v>389</v>
      </c>
      <c r="AHD21">
        <v>777</v>
      </c>
      <c r="AHE21">
        <v>196</v>
      </c>
      <c r="AHF21">
        <v>0</v>
      </c>
      <c r="AHG21">
        <v>370</v>
      </c>
      <c r="AHH21">
        <v>0</v>
      </c>
      <c r="AHI21">
        <v>684</v>
      </c>
      <c r="AHJ21">
        <v>770</v>
      </c>
      <c r="AHK21">
        <v>357</v>
      </c>
      <c r="AHL21">
        <v>977</v>
      </c>
      <c r="AHM21">
        <v>0</v>
      </c>
      <c r="AHN21">
        <v>0</v>
      </c>
      <c r="AHO21">
        <v>1071</v>
      </c>
      <c r="AHP21">
        <v>893</v>
      </c>
      <c r="AHQ21">
        <v>953</v>
      </c>
      <c r="AHR21">
        <v>261</v>
      </c>
      <c r="AHS21">
        <v>818</v>
      </c>
      <c r="AHT21">
        <v>0</v>
      </c>
      <c r="AHU21">
        <v>0</v>
      </c>
      <c r="AHV21">
        <v>0</v>
      </c>
      <c r="AHW21">
        <v>1006</v>
      </c>
      <c r="AHX21">
        <v>31</v>
      </c>
      <c r="AHY21">
        <v>1260</v>
      </c>
      <c r="AHZ21">
        <v>537</v>
      </c>
      <c r="AIA21">
        <v>0</v>
      </c>
      <c r="AIB21">
        <v>611</v>
      </c>
      <c r="AIC21">
        <v>733</v>
      </c>
      <c r="AID21">
        <v>1082</v>
      </c>
      <c r="AIE21">
        <v>932</v>
      </c>
      <c r="AIF21">
        <v>2648</v>
      </c>
      <c r="AIG21">
        <v>972</v>
      </c>
      <c r="AIH21">
        <v>0</v>
      </c>
      <c r="AII21">
        <v>1416</v>
      </c>
      <c r="AIJ21">
        <v>363</v>
      </c>
      <c r="AIK21">
        <v>898</v>
      </c>
      <c r="AIL21">
        <v>1363</v>
      </c>
      <c r="AIM21">
        <v>0</v>
      </c>
      <c r="AIN21">
        <v>734</v>
      </c>
      <c r="AIO21">
        <v>0</v>
      </c>
      <c r="AIP21">
        <v>0</v>
      </c>
      <c r="AIQ21">
        <v>712</v>
      </c>
      <c r="AIR21">
        <v>628</v>
      </c>
      <c r="AIS21">
        <v>1084</v>
      </c>
      <c r="AIT21">
        <v>1001</v>
      </c>
      <c r="AIU21">
        <v>1044</v>
      </c>
      <c r="AIV21">
        <v>0</v>
      </c>
      <c r="AIW21">
        <v>1389</v>
      </c>
      <c r="AIX21">
        <v>852</v>
      </c>
      <c r="AIY21">
        <v>634</v>
      </c>
      <c r="AIZ21">
        <v>459</v>
      </c>
      <c r="AJA21">
        <v>1184</v>
      </c>
      <c r="AJB21">
        <v>402</v>
      </c>
      <c r="AJC21">
        <v>0</v>
      </c>
      <c r="AJD21">
        <v>677</v>
      </c>
      <c r="AJE21">
        <v>884</v>
      </c>
      <c r="AJF21">
        <v>1157</v>
      </c>
      <c r="AJG21">
        <v>928</v>
      </c>
      <c r="AJH21">
        <v>1284</v>
      </c>
      <c r="AJI21">
        <v>643</v>
      </c>
      <c r="AJJ21">
        <v>0</v>
      </c>
      <c r="AJK21">
        <v>1312</v>
      </c>
      <c r="AJL21">
        <v>685</v>
      </c>
      <c r="AJM21">
        <v>715</v>
      </c>
      <c r="AJN21">
        <v>492</v>
      </c>
      <c r="AJO21">
        <v>351</v>
      </c>
      <c r="AJP21">
        <v>550</v>
      </c>
      <c r="AJQ21">
        <v>0</v>
      </c>
      <c r="AJR21">
        <v>0</v>
      </c>
      <c r="AJS21">
        <v>176</v>
      </c>
      <c r="AJT21">
        <v>0</v>
      </c>
      <c r="AJU21">
        <v>964</v>
      </c>
      <c r="AJV21">
        <v>944</v>
      </c>
      <c r="AJW21">
        <v>525</v>
      </c>
      <c r="AJX21">
        <v>0</v>
      </c>
      <c r="AJY21">
        <v>659</v>
      </c>
      <c r="AJZ21">
        <v>779</v>
      </c>
      <c r="AKA21">
        <v>1022</v>
      </c>
      <c r="AKB21">
        <v>669</v>
      </c>
      <c r="AKC21">
        <v>709</v>
      </c>
      <c r="AKD21">
        <v>589</v>
      </c>
      <c r="AKE21">
        <v>0</v>
      </c>
      <c r="AKF21">
        <v>738</v>
      </c>
    </row>
    <row r="22" spans="1:968">
      <c r="A22">
        <v>4</v>
      </c>
      <c r="B22" s="132" t="s">
        <v>56</v>
      </c>
      <c r="C22" s="77">
        <v>82910</v>
      </c>
      <c r="D22" s="1" t="s">
        <v>8</v>
      </c>
      <c r="E22" s="1" t="s">
        <v>24</v>
      </c>
      <c r="F22" s="1" t="s">
        <v>17</v>
      </c>
      <c r="G22" s="1" t="s">
        <v>12</v>
      </c>
      <c r="H22" s="1" t="s">
        <v>21</v>
      </c>
      <c r="I22" s="1" t="s">
        <v>14</v>
      </c>
      <c r="J22" s="1" t="s">
        <v>15</v>
      </c>
      <c r="K22" s="23">
        <v>206</v>
      </c>
      <c r="L22" s="23">
        <v>876</v>
      </c>
      <c r="M22" s="23">
        <v>800</v>
      </c>
      <c r="N22" s="23">
        <v>577</v>
      </c>
      <c r="P22" s="23">
        <v>1206</v>
      </c>
      <c r="Q22" s="23">
        <v>881</v>
      </c>
      <c r="R22" s="23">
        <v>798</v>
      </c>
      <c r="S22" s="23">
        <v>1027</v>
      </c>
      <c r="T22" s="23">
        <v>678</v>
      </c>
      <c r="U22" s="23">
        <v>515</v>
      </c>
      <c r="W22" s="23">
        <v>1180</v>
      </c>
      <c r="X22" s="23">
        <v>971</v>
      </c>
      <c r="Y22" s="23">
        <v>833</v>
      </c>
      <c r="Z22" s="23">
        <v>1001</v>
      </c>
      <c r="AA22" s="23">
        <v>794</v>
      </c>
      <c r="AB22" s="23">
        <v>1216</v>
      </c>
      <c r="AC22" s="23"/>
      <c r="AD22" s="23"/>
      <c r="AE22" s="23">
        <v>1737</v>
      </c>
      <c r="AF22" s="23">
        <v>667</v>
      </c>
      <c r="AG22" s="23">
        <v>714</v>
      </c>
      <c r="AH22" s="23">
        <v>1107</v>
      </c>
      <c r="AI22" s="23">
        <v>690</v>
      </c>
      <c r="AJ22" s="23"/>
      <c r="AK22" s="23">
        <v>714</v>
      </c>
      <c r="AL22" s="23">
        <v>1045</v>
      </c>
      <c r="AM22" s="23">
        <v>413</v>
      </c>
      <c r="AN22" s="23">
        <v>748</v>
      </c>
      <c r="AO22" s="23">
        <v>860</v>
      </c>
      <c r="AP22" s="23">
        <v>454</v>
      </c>
      <c r="AQ22" s="23"/>
      <c r="AR22" s="23">
        <v>989</v>
      </c>
      <c r="AS22" s="23"/>
      <c r="AT22" s="23">
        <v>406</v>
      </c>
      <c r="AU22" s="23">
        <v>776</v>
      </c>
      <c r="AV22" s="23">
        <v>985</v>
      </c>
      <c r="AW22" s="23">
        <v>1442</v>
      </c>
      <c r="AX22" s="23"/>
      <c r="AY22" s="23">
        <v>822</v>
      </c>
      <c r="AZ22" s="23">
        <v>1642</v>
      </c>
      <c r="BA22" s="23">
        <v>795</v>
      </c>
      <c r="BB22" s="23">
        <v>712</v>
      </c>
      <c r="BC22" s="23">
        <v>890</v>
      </c>
      <c r="BD22" s="23">
        <v>735</v>
      </c>
      <c r="BE22" s="23"/>
      <c r="BF22" s="23">
        <v>466</v>
      </c>
      <c r="BG22" s="23">
        <v>559</v>
      </c>
      <c r="BH22" s="23">
        <v>811</v>
      </c>
      <c r="BI22" s="23">
        <v>740</v>
      </c>
      <c r="BJ22" s="23">
        <v>542</v>
      </c>
      <c r="BK22" s="23">
        <v>495</v>
      </c>
      <c r="BL22" s="23"/>
      <c r="BM22" s="23">
        <v>714</v>
      </c>
      <c r="BN22" s="23">
        <v>949</v>
      </c>
      <c r="BO22" s="23">
        <v>263</v>
      </c>
      <c r="BP22" s="23">
        <v>197</v>
      </c>
      <c r="BQ22" s="23">
        <v>36</v>
      </c>
      <c r="BR22" s="23"/>
      <c r="BS22" s="23"/>
      <c r="BT22" s="23"/>
      <c r="BU22" s="23"/>
      <c r="BV22" s="23">
        <v>59</v>
      </c>
      <c r="BW22" s="23">
        <v>185</v>
      </c>
      <c r="BX22" s="23">
        <v>229</v>
      </c>
      <c r="BY22" s="23">
        <v>189</v>
      </c>
      <c r="BZ22" s="23"/>
      <c r="CA22">
        <v>1173</v>
      </c>
      <c r="CB22">
        <v>1081</v>
      </c>
      <c r="CC22">
        <v>1093</v>
      </c>
      <c r="CD22">
        <v>869</v>
      </c>
      <c r="CE22">
        <v>866</v>
      </c>
      <c r="CF22">
        <v>602</v>
      </c>
      <c r="CH22">
        <v>762</v>
      </c>
      <c r="CI22">
        <v>1011</v>
      </c>
      <c r="CJ22">
        <v>913</v>
      </c>
      <c r="CK22">
        <v>1035</v>
      </c>
      <c r="CL22">
        <v>874</v>
      </c>
      <c r="CO22">
        <v>630</v>
      </c>
      <c r="CP22">
        <v>811</v>
      </c>
      <c r="CQ22">
        <v>900</v>
      </c>
      <c r="CR22">
        <v>1068</v>
      </c>
      <c r="CS22">
        <v>683</v>
      </c>
      <c r="CT22">
        <v>722</v>
      </c>
      <c r="CV22">
        <v>765</v>
      </c>
      <c r="CW22">
        <v>677</v>
      </c>
      <c r="CX22">
        <v>175</v>
      </c>
      <c r="CY22">
        <v>402</v>
      </c>
      <c r="CZ22">
        <v>791</v>
      </c>
      <c r="DA22">
        <v>947</v>
      </c>
      <c r="DC22">
        <v>378</v>
      </c>
      <c r="DD22">
        <v>1125</v>
      </c>
      <c r="DE22">
        <v>894</v>
      </c>
      <c r="DF22">
        <v>1567</v>
      </c>
      <c r="DG22">
        <v>1512</v>
      </c>
      <c r="DH22">
        <v>268</v>
      </c>
      <c r="DJ22">
        <v>789</v>
      </c>
      <c r="DK22">
        <v>1233</v>
      </c>
      <c r="DL22">
        <v>925</v>
      </c>
      <c r="DM22">
        <v>329</v>
      </c>
      <c r="DN22">
        <v>798</v>
      </c>
      <c r="DO22">
        <v>884</v>
      </c>
      <c r="DQ22">
        <v>645</v>
      </c>
      <c r="DR22">
        <v>1089</v>
      </c>
      <c r="DS22">
        <v>860</v>
      </c>
      <c r="DT22">
        <v>794</v>
      </c>
      <c r="DU22">
        <v>1061</v>
      </c>
      <c r="DV22">
        <v>689</v>
      </c>
      <c r="DX22">
        <v>588</v>
      </c>
      <c r="DY22">
        <v>678</v>
      </c>
      <c r="DZ22">
        <v>486</v>
      </c>
      <c r="EA22">
        <v>248</v>
      </c>
      <c r="EB22">
        <v>691</v>
      </c>
      <c r="EC22">
        <v>319</v>
      </c>
      <c r="EE22">
        <v>948</v>
      </c>
      <c r="EF22">
        <v>850</v>
      </c>
      <c r="EG22">
        <v>658</v>
      </c>
      <c r="EH22">
        <v>940</v>
      </c>
      <c r="EI22">
        <v>876</v>
      </c>
      <c r="EJ22">
        <v>599</v>
      </c>
      <c r="EL22">
        <v>681</v>
      </c>
      <c r="EM22">
        <v>658</v>
      </c>
      <c r="EN22">
        <v>678</v>
      </c>
      <c r="EO22">
        <v>960</v>
      </c>
      <c r="EP22">
        <v>979</v>
      </c>
      <c r="EQ22">
        <v>924</v>
      </c>
      <c r="ES22">
        <v>829</v>
      </c>
      <c r="ET22">
        <v>1268</v>
      </c>
      <c r="EU22">
        <v>2002</v>
      </c>
      <c r="EV22">
        <v>881</v>
      </c>
      <c r="EW22">
        <v>805</v>
      </c>
      <c r="EX22">
        <v>593</v>
      </c>
      <c r="EZ22">
        <v>521</v>
      </c>
      <c r="FA22">
        <v>1244</v>
      </c>
      <c r="FB22">
        <v>582</v>
      </c>
      <c r="FC22">
        <v>795</v>
      </c>
      <c r="FD22">
        <v>541</v>
      </c>
      <c r="FE22">
        <v>608</v>
      </c>
      <c r="FG22">
        <v>261</v>
      </c>
      <c r="FH22">
        <v>388</v>
      </c>
      <c r="FI22">
        <v>709</v>
      </c>
      <c r="FJ22">
        <v>497</v>
      </c>
      <c r="FK22">
        <v>619</v>
      </c>
      <c r="FN22">
        <v>732</v>
      </c>
      <c r="FO22">
        <v>1351</v>
      </c>
      <c r="FP22">
        <v>458</v>
      </c>
      <c r="FQ22">
        <v>1159</v>
      </c>
      <c r="FR22">
        <v>584</v>
      </c>
      <c r="FW22">
        <v>682</v>
      </c>
      <c r="FX22">
        <v>781</v>
      </c>
      <c r="FY22">
        <v>472</v>
      </c>
      <c r="FZ22">
        <v>1353</v>
      </c>
      <c r="GB22">
        <v>1498</v>
      </c>
      <c r="GC22">
        <v>961</v>
      </c>
      <c r="GD22">
        <v>709</v>
      </c>
      <c r="GE22">
        <v>752</v>
      </c>
      <c r="GF22">
        <v>1581</v>
      </c>
      <c r="GG22">
        <v>1682</v>
      </c>
      <c r="GI22">
        <v>1280</v>
      </c>
      <c r="GJ22">
        <v>637</v>
      </c>
      <c r="GL22">
        <v>1251</v>
      </c>
      <c r="GM22">
        <v>720</v>
      </c>
      <c r="GP22">
        <v>375</v>
      </c>
      <c r="GQ22">
        <v>684</v>
      </c>
      <c r="GR22">
        <v>913</v>
      </c>
      <c r="GS22">
        <v>465</v>
      </c>
      <c r="GT22">
        <v>695</v>
      </c>
      <c r="GU22">
        <v>1040</v>
      </c>
      <c r="GW22">
        <v>660</v>
      </c>
      <c r="GX22">
        <v>675</v>
      </c>
      <c r="GY22">
        <v>685</v>
      </c>
      <c r="GZ22">
        <v>1191</v>
      </c>
      <c r="HA22">
        <v>1202</v>
      </c>
      <c r="HB22">
        <v>712</v>
      </c>
      <c r="HD22">
        <v>900</v>
      </c>
      <c r="HE22">
        <v>1000</v>
      </c>
      <c r="HG22">
        <v>1303</v>
      </c>
      <c r="HH22">
        <v>1596</v>
      </c>
      <c r="HI22">
        <v>283</v>
      </c>
      <c r="HK22">
        <v>467</v>
      </c>
      <c r="HL22">
        <v>564</v>
      </c>
      <c r="HM22">
        <v>1489</v>
      </c>
      <c r="HN22">
        <v>920</v>
      </c>
      <c r="HO22">
        <v>452</v>
      </c>
      <c r="HP22">
        <v>725</v>
      </c>
      <c r="HS22">
        <v>403</v>
      </c>
      <c r="HT22">
        <v>445</v>
      </c>
      <c r="HU22">
        <v>897</v>
      </c>
      <c r="HV22">
        <v>678</v>
      </c>
      <c r="HW22">
        <v>509</v>
      </c>
      <c r="HY22">
        <v>718</v>
      </c>
      <c r="HZ22">
        <v>995</v>
      </c>
      <c r="IA22">
        <v>659</v>
      </c>
      <c r="IB22">
        <v>828</v>
      </c>
      <c r="IC22">
        <v>779</v>
      </c>
      <c r="ID22">
        <v>850</v>
      </c>
      <c r="IF22">
        <v>503</v>
      </c>
      <c r="IG22">
        <v>834</v>
      </c>
      <c r="IH22">
        <v>484</v>
      </c>
      <c r="II22">
        <v>1052</v>
      </c>
      <c r="IJ22">
        <v>368</v>
      </c>
      <c r="IK22">
        <v>937</v>
      </c>
      <c r="IM22">
        <v>407</v>
      </c>
      <c r="IN22">
        <v>693</v>
      </c>
      <c r="IO22">
        <v>836</v>
      </c>
      <c r="IP22">
        <v>1082</v>
      </c>
      <c r="IQ22">
        <v>875</v>
      </c>
      <c r="IR22">
        <v>402</v>
      </c>
      <c r="IS22">
        <v>0</v>
      </c>
      <c r="IT22">
        <v>351</v>
      </c>
      <c r="IU22">
        <v>394</v>
      </c>
      <c r="IV22">
        <v>636</v>
      </c>
      <c r="IW22">
        <v>328</v>
      </c>
      <c r="IX22">
        <v>629</v>
      </c>
      <c r="IY22">
        <v>825</v>
      </c>
      <c r="JA22">
        <v>987</v>
      </c>
      <c r="JB22">
        <v>688</v>
      </c>
      <c r="JC22">
        <v>765</v>
      </c>
      <c r="JD22">
        <v>1089</v>
      </c>
      <c r="JE22">
        <v>503</v>
      </c>
      <c r="JF22">
        <v>973</v>
      </c>
      <c r="JH22">
        <v>903</v>
      </c>
      <c r="JI22">
        <v>700</v>
      </c>
      <c r="JJ22">
        <v>847</v>
      </c>
      <c r="JK22">
        <v>988</v>
      </c>
      <c r="JL22">
        <v>1320</v>
      </c>
      <c r="JM22">
        <v>351</v>
      </c>
      <c r="JO22">
        <v>299</v>
      </c>
      <c r="JP22">
        <v>1023</v>
      </c>
      <c r="JQ22">
        <v>1487</v>
      </c>
      <c r="JR22">
        <v>849</v>
      </c>
      <c r="JS22">
        <v>1194</v>
      </c>
      <c r="JT22">
        <v>655</v>
      </c>
      <c r="JW22">
        <v>555</v>
      </c>
      <c r="JX22">
        <v>270</v>
      </c>
      <c r="JY22">
        <v>92</v>
      </c>
      <c r="JZ22">
        <v>694</v>
      </c>
      <c r="KA22">
        <v>681</v>
      </c>
      <c r="KC22">
        <v>565</v>
      </c>
      <c r="KD22">
        <v>822</v>
      </c>
      <c r="KE22">
        <v>809</v>
      </c>
      <c r="KF22">
        <v>734</v>
      </c>
      <c r="KG22">
        <v>708</v>
      </c>
      <c r="KH22">
        <v>575</v>
      </c>
      <c r="KK22">
        <v>888</v>
      </c>
      <c r="KL22">
        <v>845</v>
      </c>
      <c r="KM22">
        <v>820</v>
      </c>
      <c r="KN22">
        <v>763</v>
      </c>
      <c r="KO22">
        <v>173</v>
      </c>
      <c r="KQ22">
        <v>751</v>
      </c>
      <c r="KR22">
        <v>1353</v>
      </c>
      <c r="KS22">
        <v>826</v>
      </c>
      <c r="KT22">
        <v>1586</v>
      </c>
      <c r="KU22">
        <v>1122</v>
      </c>
      <c r="KV22">
        <v>348</v>
      </c>
      <c r="KX22">
        <v>937</v>
      </c>
      <c r="KY22">
        <v>974</v>
      </c>
      <c r="KZ22">
        <v>1223</v>
      </c>
      <c r="LA22">
        <v>951</v>
      </c>
      <c r="LB22">
        <v>504</v>
      </c>
      <c r="LC22">
        <v>898</v>
      </c>
      <c r="LD22">
        <v>0</v>
      </c>
      <c r="LE22">
        <v>0</v>
      </c>
      <c r="LF22">
        <v>11</v>
      </c>
      <c r="LG22">
        <v>39</v>
      </c>
      <c r="LH22">
        <v>98</v>
      </c>
      <c r="LI22">
        <v>91</v>
      </c>
      <c r="LJ22">
        <v>50</v>
      </c>
      <c r="LK22">
        <v>0</v>
      </c>
      <c r="LL22">
        <v>9</v>
      </c>
      <c r="LM22">
        <v>30</v>
      </c>
      <c r="LN22">
        <v>76</v>
      </c>
      <c r="LO22">
        <v>97</v>
      </c>
      <c r="LP22">
        <v>14</v>
      </c>
      <c r="LQ22">
        <v>5</v>
      </c>
      <c r="LR22">
        <v>0</v>
      </c>
      <c r="LS22">
        <v>46</v>
      </c>
      <c r="LT22">
        <v>9</v>
      </c>
      <c r="LU22">
        <v>25</v>
      </c>
      <c r="LV22">
        <v>98</v>
      </c>
      <c r="LW22">
        <v>16</v>
      </c>
      <c r="LX22">
        <v>1</v>
      </c>
      <c r="LY22">
        <v>0</v>
      </c>
      <c r="LZ22">
        <v>102</v>
      </c>
      <c r="MA22">
        <v>6</v>
      </c>
      <c r="MB22">
        <v>11</v>
      </c>
      <c r="MC22">
        <v>38</v>
      </c>
      <c r="MD22">
        <v>40</v>
      </c>
      <c r="ME22">
        <v>43</v>
      </c>
      <c r="MF22">
        <v>0</v>
      </c>
      <c r="MG22">
        <v>28</v>
      </c>
      <c r="MH22">
        <v>971</v>
      </c>
      <c r="MI22">
        <v>2087</v>
      </c>
      <c r="MJ22">
        <v>2355</v>
      </c>
      <c r="MK22">
        <v>634</v>
      </c>
      <c r="ML22">
        <v>24</v>
      </c>
      <c r="MM22">
        <v>0</v>
      </c>
      <c r="MN22">
        <v>719</v>
      </c>
      <c r="MO22">
        <v>406</v>
      </c>
      <c r="MP22">
        <v>1109</v>
      </c>
      <c r="MQ22">
        <v>739</v>
      </c>
      <c r="MR22">
        <v>0</v>
      </c>
      <c r="MS22">
        <v>0</v>
      </c>
      <c r="MT22">
        <v>0</v>
      </c>
      <c r="MU22">
        <v>0</v>
      </c>
      <c r="MV22">
        <v>1147</v>
      </c>
      <c r="MW22">
        <v>0</v>
      </c>
      <c r="MX22">
        <v>1177</v>
      </c>
      <c r="MY22">
        <v>796</v>
      </c>
      <c r="MZ22">
        <v>138</v>
      </c>
      <c r="NA22">
        <v>0</v>
      </c>
      <c r="NB22">
        <v>1648</v>
      </c>
      <c r="NC22">
        <v>1190</v>
      </c>
      <c r="ND22">
        <v>0</v>
      </c>
      <c r="NE22">
        <v>400</v>
      </c>
      <c r="NF22">
        <v>2981</v>
      </c>
      <c r="NG22">
        <v>672</v>
      </c>
      <c r="NH22">
        <v>0</v>
      </c>
      <c r="NI22">
        <v>617</v>
      </c>
      <c r="NJ22">
        <v>1083</v>
      </c>
      <c r="NK22">
        <v>733</v>
      </c>
      <c r="NL22">
        <v>822</v>
      </c>
      <c r="NM22" s="46">
        <v>817</v>
      </c>
      <c r="NN22" s="46">
        <v>1211</v>
      </c>
      <c r="NO22" s="46"/>
      <c r="NP22">
        <v>324</v>
      </c>
      <c r="NQ22">
        <v>1109</v>
      </c>
      <c r="NR22">
        <v>628</v>
      </c>
      <c r="NS22">
        <v>1073</v>
      </c>
      <c r="NT22">
        <v>857</v>
      </c>
      <c r="NU22">
        <v>934</v>
      </c>
      <c r="NW22">
        <v>1224</v>
      </c>
      <c r="NX22">
        <v>813</v>
      </c>
      <c r="NY22">
        <v>637</v>
      </c>
      <c r="NZ22">
        <v>1328</v>
      </c>
      <c r="OA22">
        <v>435</v>
      </c>
      <c r="OB22">
        <v>287</v>
      </c>
      <c r="OD22">
        <v>411</v>
      </c>
      <c r="OE22">
        <v>1068</v>
      </c>
      <c r="OF22">
        <v>721</v>
      </c>
      <c r="OG22">
        <v>842</v>
      </c>
      <c r="OH22">
        <v>1027</v>
      </c>
      <c r="OI22">
        <v>425</v>
      </c>
      <c r="OK22">
        <v>622</v>
      </c>
      <c r="OL22">
        <v>906</v>
      </c>
      <c r="OM22">
        <v>795</v>
      </c>
      <c r="ON22">
        <v>725</v>
      </c>
      <c r="OO22">
        <v>492</v>
      </c>
      <c r="OP22">
        <v>497</v>
      </c>
      <c r="OQ22" s="67"/>
      <c r="OR22">
        <v>741</v>
      </c>
      <c r="OS22">
        <v>1041</v>
      </c>
      <c r="OT22">
        <v>1133</v>
      </c>
      <c r="OV22">
        <v>513</v>
      </c>
      <c r="OW22">
        <v>713</v>
      </c>
      <c r="OY22">
        <v>811</v>
      </c>
      <c r="OZ22">
        <v>1919</v>
      </c>
      <c r="PA22">
        <v>629</v>
      </c>
      <c r="PB22">
        <v>499</v>
      </c>
      <c r="PC22">
        <v>1002</v>
      </c>
      <c r="PD22">
        <v>471</v>
      </c>
      <c r="PE22">
        <v>0</v>
      </c>
      <c r="PF22">
        <v>404</v>
      </c>
      <c r="PG22">
        <v>682</v>
      </c>
      <c r="PH22">
        <v>497</v>
      </c>
      <c r="PI22">
        <v>324</v>
      </c>
      <c r="PJ22">
        <v>524</v>
      </c>
      <c r="PK22">
        <v>396</v>
      </c>
      <c r="PL22">
        <v>0</v>
      </c>
      <c r="PM22">
        <v>490</v>
      </c>
      <c r="PN22">
        <v>759</v>
      </c>
      <c r="PO22">
        <v>1534</v>
      </c>
      <c r="PP22">
        <v>260</v>
      </c>
      <c r="PQ22">
        <v>268</v>
      </c>
      <c r="PR22">
        <v>211</v>
      </c>
      <c r="PS22">
        <v>0</v>
      </c>
      <c r="PT22">
        <v>0</v>
      </c>
      <c r="PU22">
        <v>0</v>
      </c>
      <c r="PV22">
        <v>0</v>
      </c>
      <c r="PW22">
        <v>507</v>
      </c>
      <c r="PX22">
        <v>117</v>
      </c>
      <c r="PY22">
        <v>106</v>
      </c>
      <c r="PZ22">
        <v>0</v>
      </c>
      <c r="QA22">
        <v>1228</v>
      </c>
      <c r="QB22">
        <v>845</v>
      </c>
      <c r="QC22">
        <v>1174</v>
      </c>
      <c r="QD22">
        <v>1168</v>
      </c>
      <c r="QE22">
        <v>752</v>
      </c>
      <c r="QF22">
        <v>496</v>
      </c>
      <c r="QG22">
        <v>0</v>
      </c>
      <c r="QH22">
        <v>1932</v>
      </c>
      <c r="QI22">
        <v>420</v>
      </c>
      <c r="QJ22">
        <v>879</v>
      </c>
      <c r="QK22">
        <v>253</v>
      </c>
      <c r="QL22">
        <v>809</v>
      </c>
      <c r="QM22">
        <v>563</v>
      </c>
      <c r="QN22">
        <v>0</v>
      </c>
      <c r="QO22">
        <v>928</v>
      </c>
      <c r="QP22">
        <v>898</v>
      </c>
      <c r="QQ22">
        <v>588</v>
      </c>
      <c r="QR22">
        <v>1179</v>
      </c>
      <c r="QS22">
        <v>776</v>
      </c>
      <c r="QT22">
        <v>672</v>
      </c>
      <c r="QU22">
        <v>0</v>
      </c>
      <c r="QV22">
        <v>545</v>
      </c>
      <c r="QW22">
        <v>1006</v>
      </c>
      <c r="QX22">
        <v>381</v>
      </c>
      <c r="QY22">
        <v>875</v>
      </c>
      <c r="QZ22">
        <v>378</v>
      </c>
      <c r="RA22">
        <v>139</v>
      </c>
      <c r="RC22">
        <v>475</v>
      </c>
      <c r="RD22">
        <v>928</v>
      </c>
      <c r="RE22">
        <v>1024</v>
      </c>
      <c r="RF22">
        <v>1156</v>
      </c>
      <c r="RG22">
        <v>743</v>
      </c>
      <c r="RH22">
        <v>0</v>
      </c>
      <c r="RI22">
        <v>0</v>
      </c>
      <c r="RJ22">
        <v>673</v>
      </c>
      <c r="RK22">
        <v>1126</v>
      </c>
      <c r="RL22">
        <v>392</v>
      </c>
      <c r="RM22">
        <v>512</v>
      </c>
      <c r="RN22">
        <v>1414</v>
      </c>
      <c r="RO22">
        <v>899</v>
      </c>
      <c r="RP22">
        <v>0</v>
      </c>
      <c r="RQ22">
        <v>844</v>
      </c>
      <c r="RR22">
        <v>871</v>
      </c>
      <c r="RS22">
        <v>1874</v>
      </c>
      <c r="RT22">
        <v>798</v>
      </c>
      <c r="RU22">
        <v>1194</v>
      </c>
      <c r="RV22">
        <v>821</v>
      </c>
      <c r="RW22">
        <v>0</v>
      </c>
      <c r="RX22">
        <v>899</v>
      </c>
      <c r="RY22">
        <v>948</v>
      </c>
      <c r="RZ22">
        <v>724</v>
      </c>
      <c r="SA22">
        <v>1101</v>
      </c>
      <c r="SB22">
        <v>787</v>
      </c>
      <c r="SC22">
        <v>901</v>
      </c>
      <c r="SD22">
        <v>0</v>
      </c>
      <c r="SE22">
        <v>952</v>
      </c>
      <c r="SF22">
        <v>727</v>
      </c>
      <c r="SG22">
        <v>577</v>
      </c>
      <c r="SH22">
        <v>1474</v>
      </c>
      <c r="SI22">
        <v>1066</v>
      </c>
      <c r="SJ22">
        <v>414</v>
      </c>
      <c r="SK22">
        <v>0</v>
      </c>
      <c r="SL22">
        <v>1549</v>
      </c>
      <c r="SM22">
        <v>1101</v>
      </c>
      <c r="SN22">
        <v>944</v>
      </c>
      <c r="SO22">
        <v>962</v>
      </c>
      <c r="SP22">
        <v>1099</v>
      </c>
      <c r="SQ22">
        <v>579</v>
      </c>
      <c r="SR22">
        <v>0</v>
      </c>
      <c r="SS22">
        <v>1014</v>
      </c>
      <c r="ST22">
        <v>1279</v>
      </c>
      <c r="SU22">
        <v>874</v>
      </c>
      <c r="SV22">
        <v>769</v>
      </c>
      <c r="SW22">
        <v>1523</v>
      </c>
      <c r="SX22">
        <v>746</v>
      </c>
      <c r="SY22">
        <v>0</v>
      </c>
      <c r="SZ22">
        <v>648</v>
      </c>
      <c r="TA22">
        <v>821</v>
      </c>
      <c r="TB22">
        <v>711</v>
      </c>
      <c r="TC22">
        <v>705</v>
      </c>
      <c r="TD22">
        <v>402</v>
      </c>
      <c r="TE22">
        <v>348</v>
      </c>
      <c r="TG22">
        <v>384</v>
      </c>
      <c r="TH22">
        <v>698</v>
      </c>
      <c r="TI22">
        <v>790</v>
      </c>
      <c r="TJ22">
        <v>510</v>
      </c>
      <c r="TK22">
        <v>830</v>
      </c>
      <c r="TL22">
        <v>405</v>
      </c>
      <c r="TM22">
        <v>0</v>
      </c>
      <c r="TN22">
        <v>0</v>
      </c>
      <c r="TO22">
        <v>1261</v>
      </c>
      <c r="TP22">
        <v>991</v>
      </c>
      <c r="TQ22">
        <v>638</v>
      </c>
      <c r="TR22">
        <v>1108</v>
      </c>
      <c r="TS22">
        <v>229</v>
      </c>
      <c r="TT22">
        <v>0</v>
      </c>
      <c r="TU22">
        <v>0</v>
      </c>
      <c r="TV22">
        <v>0</v>
      </c>
      <c r="TW22">
        <v>104</v>
      </c>
      <c r="TX22">
        <v>771</v>
      </c>
      <c r="TY22">
        <v>806</v>
      </c>
      <c r="TZ22">
        <v>828</v>
      </c>
      <c r="UB22">
        <v>698</v>
      </c>
      <c r="UC22">
        <v>1011</v>
      </c>
      <c r="UD22">
        <v>903</v>
      </c>
      <c r="UE22">
        <v>1670</v>
      </c>
      <c r="UF22">
        <v>759</v>
      </c>
      <c r="UG22">
        <v>959</v>
      </c>
      <c r="UI22">
        <v>1228</v>
      </c>
      <c r="UJ22">
        <v>963</v>
      </c>
      <c r="UK22">
        <v>337</v>
      </c>
      <c r="UL22">
        <v>0</v>
      </c>
      <c r="UM22">
        <v>913</v>
      </c>
      <c r="UN22">
        <v>331</v>
      </c>
      <c r="UO22">
        <v>0</v>
      </c>
      <c r="UP22">
        <v>0</v>
      </c>
      <c r="UQ22">
        <v>716</v>
      </c>
      <c r="UR22">
        <v>904</v>
      </c>
      <c r="US22">
        <v>1226</v>
      </c>
      <c r="UT22">
        <v>619</v>
      </c>
      <c r="UU22">
        <v>953</v>
      </c>
      <c r="UV22">
        <v>0</v>
      </c>
      <c r="UW22">
        <v>0</v>
      </c>
      <c r="UX22">
        <v>809</v>
      </c>
      <c r="UY22">
        <v>999</v>
      </c>
      <c r="UZ22">
        <v>818</v>
      </c>
      <c r="VA22">
        <v>1358</v>
      </c>
      <c r="VB22">
        <v>621</v>
      </c>
      <c r="VC22">
        <v>0</v>
      </c>
      <c r="VD22">
        <v>702</v>
      </c>
      <c r="VE22">
        <v>634</v>
      </c>
      <c r="VF22">
        <v>802</v>
      </c>
      <c r="VG22">
        <v>1196</v>
      </c>
      <c r="VH22">
        <v>1917</v>
      </c>
      <c r="VI22">
        <v>451</v>
      </c>
      <c r="VJ22">
        <v>0</v>
      </c>
      <c r="VK22">
        <v>1770</v>
      </c>
      <c r="VL22">
        <v>1061</v>
      </c>
      <c r="VM22">
        <v>1298</v>
      </c>
      <c r="VN22">
        <v>1188</v>
      </c>
      <c r="VO22">
        <v>1154</v>
      </c>
      <c r="VP22">
        <v>357</v>
      </c>
      <c r="VQ22">
        <v>0</v>
      </c>
      <c r="VR22">
        <v>452</v>
      </c>
      <c r="VS22">
        <v>0</v>
      </c>
      <c r="VT22">
        <v>346</v>
      </c>
      <c r="VU22">
        <v>1290</v>
      </c>
      <c r="VV22">
        <v>516</v>
      </c>
      <c r="VW22">
        <v>704</v>
      </c>
      <c r="VX22">
        <v>0</v>
      </c>
      <c r="VY22">
        <v>822</v>
      </c>
      <c r="VZ22">
        <v>957</v>
      </c>
      <c r="WA22">
        <v>986</v>
      </c>
      <c r="WB22">
        <v>1361</v>
      </c>
      <c r="WC22">
        <v>965</v>
      </c>
      <c r="WD22">
        <v>437</v>
      </c>
      <c r="WE22">
        <v>0</v>
      </c>
      <c r="WF22">
        <v>838</v>
      </c>
      <c r="WG22">
        <v>354</v>
      </c>
      <c r="WH22">
        <v>828</v>
      </c>
      <c r="WI22">
        <v>766</v>
      </c>
      <c r="WJ22">
        <v>711</v>
      </c>
      <c r="WK22">
        <v>622</v>
      </c>
      <c r="WL22">
        <v>0</v>
      </c>
      <c r="WM22">
        <v>1043</v>
      </c>
      <c r="WN22">
        <v>691</v>
      </c>
      <c r="WO22">
        <v>647</v>
      </c>
      <c r="WP22">
        <v>1611</v>
      </c>
      <c r="WQ22">
        <v>270</v>
      </c>
      <c r="WR22">
        <v>572</v>
      </c>
      <c r="WS22">
        <v>0</v>
      </c>
      <c r="WT22">
        <v>236</v>
      </c>
      <c r="WU22">
        <v>458</v>
      </c>
      <c r="WV22">
        <v>244</v>
      </c>
      <c r="WW22">
        <v>847</v>
      </c>
      <c r="WX22">
        <v>1060</v>
      </c>
      <c r="WY22">
        <v>707</v>
      </c>
      <c r="WZ22">
        <v>0</v>
      </c>
      <c r="XA22">
        <v>1442</v>
      </c>
      <c r="XB22">
        <v>1130</v>
      </c>
      <c r="XC22">
        <v>2004</v>
      </c>
      <c r="XD22">
        <v>720</v>
      </c>
      <c r="XE22">
        <v>1318</v>
      </c>
      <c r="XF22">
        <v>474</v>
      </c>
      <c r="XG22">
        <v>0</v>
      </c>
      <c r="XH22">
        <v>870</v>
      </c>
      <c r="XI22">
        <v>1253</v>
      </c>
      <c r="XJ22">
        <v>1732</v>
      </c>
      <c r="XK22">
        <v>1219</v>
      </c>
      <c r="XL22">
        <v>635</v>
      </c>
      <c r="XM22">
        <v>315</v>
      </c>
      <c r="XN22">
        <v>0</v>
      </c>
      <c r="XO22">
        <v>1003</v>
      </c>
      <c r="XP22">
        <v>553</v>
      </c>
      <c r="XQ22">
        <v>995</v>
      </c>
      <c r="XR22">
        <v>862</v>
      </c>
      <c r="XS22">
        <v>1384</v>
      </c>
      <c r="XT22">
        <v>519</v>
      </c>
      <c r="XU22">
        <v>0</v>
      </c>
      <c r="XV22">
        <v>0</v>
      </c>
      <c r="XW22">
        <v>597</v>
      </c>
      <c r="XX22">
        <v>499</v>
      </c>
      <c r="XY22">
        <v>294</v>
      </c>
      <c r="XZ22">
        <v>870</v>
      </c>
      <c r="YA22">
        <v>193</v>
      </c>
      <c r="YB22">
        <v>0</v>
      </c>
      <c r="YC22">
        <v>1061</v>
      </c>
      <c r="YD22">
        <v>1077</v>
      </c>
      <c r="YE22">
        <v>1695</v>
      </c>
      <c r="YF22">
        <v>668</v>
      </c>
      <c r="YG22">
        <v>845</v>
      </c>
      <c r="YH22">
        <v>988</v>
      </c>
      <c r="YI22">
        <v>0</v>
      </c>
      <c r="YJ22">
        <v>481</v>
      </c>
      <c r="YK22">
        <v>0</v>
      </c>
      <c r="YL22">
        <v>1025</v>
      </c>
      <c r="YM22">
        <v>1068</v>
      </c>
      <c r="YN22">
        <v>613</v>
      </c>
      <c r="YO22">
        <v>879</v>
      </c>
      <c r="YP22">
        <v>0</v>
      </c>
      <c r="YQ22">
        <v>585</v>
      </c>
      <c r="YR22">
        <v>821</v>
      </c>
      <c r="YS22">
        <v>873</v>
      </c>
      <c r="YT22">
        <v>1483</v>
      </c>
      <c r="YU22">
        <v>830</v>
      </c>
      <c r="YV22">
        <v>479</v>
      </c>
      <c r="YW22">
        <v>0</v>
      </c>
      <c r="YX22">
        <v>1048</v>
      </c>
      <c r="YY22">
        <v>577</v>
      </c>
      <c r="YZ22">
        <v>844</v>
      </c>
      <c r="ZA22">
        <v>354</v>
      </c>
      <c r="ZB22">
        <v>316</v>
      </c>
      <c r="ZC22">
        <v>439</v>
      </c>
      <c r="ZD22">
        <v>0</v>
      </c>
      <c r="ZE22">
        <v>663</v>
      </c>
      <c r="ZF22">
        <v>700</v>
      </c>
      <c r="ZG22">
        <v>1006</v>
      </c>
      <c r="ZH22">
        <v>587</v>
      </c>
      <c r="ZI22">
        <v>788</v>
      </c>
      <c r="ZJ22">
        <v>350</v>
      </c>
      <c r="ZK22">
        <v>0</v>
      </c>
      <c r="ZL22">
        <v>1205</v>
      </c>
      <c r="ZM22">
        <v>789</v>
      </c>
      <c r="ZN22">
        <v>891</v>
      </c>
      <c r="ZO22">
        <v>0</v>
      </c>
      <c r="ZP22">
        <v>1020</v>
      </c>
      <c r="ZQ22">
        <v>495</v>
      </c>
      <c r="ZR22">
        <v>0</v>
      </c>
      <c r="ZS22">
        <v>1370</v>
      </c>
      <c r="ZT22">
        <v>628</v>
      </c>
      <c r="ZU22">
        <v>1297</v>
      </c>
      <c r="ZV22">
        <v>627</v>
      </c>
      <c r="ZW22">
        <v>0</v>
      </c>
      <c r="ZX22">
        <v>355</v>
      </c>
      <c r="ZY22">
        <v>0</v>
      </c>
      <c r="ZZ22">
        <v>905</v>
      </c>
      <c r="AAA22">
        <v>678</v>
      </c>
      <c r="AAB22">
        <v>932</v>
      </c>
      <c r="AAC22">
        <v>0</v>
      </c>
      <c r="AAD22">
        <v>1100</v>
      </c>
      <c r="AAE22">
        <v>1332</v>
      </c>
      <c r="AAF22">
        <v>0</v>
      </c>
      <c r="AAG22">
        <v>1013</v>
      </c>
      <c r="AAH22">
        <v>643</v>
      </c>
      <c r="AAI22">
        <v>744</v>
      </c>
      <c r="AAJ22">
        <v>0</v>
      </c>
      <c r="AAK22">
        <v>770</v>
      </c>
      <c r="AAL22">
        <v>913</v>
      </c>
      <c r="AAM22">
        <v>0</v>
      </c>
      <c r="AAN22">
        <v>828</v>
      </c>
      <c r="AAO22">
        <v>966</v>
      </c>
      <c r="AAP22">
        <v>1414</v>
      </c>
      <c r="AAQ22">
        <v>527</v>
      </c>
      <c r="AAR22">
        <v>938</v>
      </c>
      <c r="AAS22">
        <v>0</v>
      </c>
      <c r="AAT22">
        <v>0</v>
      </c>
      <c r="AAU22">
        <v>0</v>
      </c>
      <c r="AAV22">
        <v>2249</v>
      </c>
      <c r="AAW22">
        <v>906</v>
      </c>
      <c r="AAX22">
        <v>1365</v>
      </c>
      <c r="AAY22">
        <v>737</v>
      </c>
      <c r="AAZ22">
        <v>0</v>
      </c>
      <c r="ABA22">
        <v>0</v>
      </c>
      <c r="ABB22">
        <v>1207</v>
      </c>
      <c r="ABC22">
        <v>0</v>
      </c>
      <c r="ABD22">
        <v>843</v>
      </c>
      <c r="ABE22">
        <v>0</v>
      </c>
      <c r="ABF22">
        <v>555</v>
      </c>
      <c r="ABG22">
        <v>748</v>
      </c>
      <c r="ABH22">
        <v>0</v>
      </c>
      <c r="ABI22">
        <v>407</v>
      </c>
      <c r="ABJ22">
        <v>0</v>
      </c>
      <c r="ABK22">
        <v>819</v>
      </c>
      <c r="ABL22">
        <v>493</v>
      </c>
      <c r="ABM22">
        <v>556</v>
      </c>
      <c r="ABN22">
        <v>891</v>
      </c>
      <c r="ABO22">
        <v>0</v>
      </c>
      <c r="ABP22">
        <v>579</v>
      </c>
      <c r="ABQ22">
        <v>0</v>
      </c>
      <c r="ABR22">
        <v>505</v>
      </c>
      <c r="ABS22">
        <v>724</v>
      </c>
      <c r="ABT22">
        <v>1082</v>
      </c>
      <c r="ABU22">
        <v>698</v>
      </c>
      <c r="ABV22">
        <v>0</v>
      </c>
      <c r="ABW22">
        <v>2691</v>
      </c>
      <c r="ABX22">
        <v>0</v>
      </c>
      <c r="ABY22">
        <v>975</v>
      </c>
      <c r="ABZ22">
        <v>1931</v>
      </c>
      <c r="ACA22">
        <v>1092</v>
      </c>
      <c r="ACB22">
        <v>790</v>
      </c>
      <c r="ACC22">
        <v>0</v>
      </c>
      <c r="ACD22">
        <v>884</v>
      </c>
      <c r="ACE22">
        <v>952</v>
      </c>
      <c r="ACF22">
        <v>693</v>
      </c>
      <c r="ACG22">
        <v>633</v>
      </c>
      <c r="ACH22">
        <v>765</v>
      </c>
      <c r="ACI22">
        <v>370</v>
      </c>
      <c r="ACJ22">
        <v>0</v>
      </c>
      <c r="ACK22">
        <v>1024</v>
      </c>
      <c r="ACL22">
        <v>1172</v>
      </c>
      <c r="ACM22">
        <v>427</v>
      </c>
      <c r="ACN22">
        <v>467</v>
      </c>
      <c r="ACO22">
        <v>574</v>
      </c>
      <c r="ACP22">
        <v>539</v>
      </c>
      <c r="ACQ22">
        <v>0</v>
      </c>
      <c r="ACR22">
        <v>365</v>
      </c>
      <c r="ACS22">
        <v>0</v>
      </c>
      <c r="ACT22">
        <v>406</v>
      </c>
      <c r="ACU22">
        <v>779</v>
      </c>
      <c r="ACV22">
        <v>0</v>
      </c>
      <c r="ACW22">
        <v>1020</v>
      </c>
      <c r="ACX22">
        <v>0</v>
      </c>
      <c r="ACY22">
        <v>0</v>
      </c>
      <c r="ACZ22">
        <v>890</v>
      </c>
      <c r="ADA22">
        <v>810</v>
      </c>
      <c r="ADB22">
        <v>678</v>
      </c>
      <c r="ADC22">
        <v>0</v>
      </c>
      <c r="ADD22">
        <v>808</v>
      </c>
      <c r="ADE22">
        <v>0</v>
      </c>
      <c r="ADF22">
        <v>0</v>
      </c>
      <c r="ADG22">
        <v>627</v>
      </c>
      <c r="ADH22">
        <v>675</v>
      </c>
      <c r="ADI22">
        <v>0</v>
      </c>
      <c r="ADJ22">
        <v>688</v>
      </c>
      <c r="ADK22">
        <v>367</v>
      </c>
      <c r="ADL22">
        <v>0</v>
      </c>
      <c r="ADM22">
        <v>309</v>
      </c>
      <c r="ADN22">
        <v>602</v>
      </c>
      <c r="ADO22">
        <v>0</v>
      </c>
      <c r="ADP22">
        <v>584</v>
      </c>
      <c r="ADQ22">
        <v>398</v>
      </c>
      <c r="ADR22">
        <v>467</v>
      </c>
      <c r="ADS22">
        <v>0</v>
      </c>
      <c r="ADT22">
        <v>84</v>
      </c>
      <c r="ADU22">
        <v>39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17</v>
      </c>
      <c r="AEB22">
        <v>157</v>
      </c>
      <c r="AEC22">
        <v>0</v>
      </c>
      <c r="AED22">
        <v>1001</v>
      </c>
      <c r="AEE22">
        <v>542</v>
      </c>
      <c r="AEF22">
        <v>0</v>
      </c>
      <c r="AEG22">
        <v>0</v>
      </c>
      <c r="AEH22">
        <v>1288</v>
      </c>
      <c r="AEI22">
        <v>20</v>
      </c>
      <c r="AEJ22">
        <v>916</v>
      </c>
      <c r="AEK22">
        <v>1805</v>
      </c>
      <c r="AEL22">
        <v>0</v>
      </c>
      <c r="AEM22">
        <v>1440</v>
      </c>
      <c r="AEN22">
        <v>0</v>
      </c>
      <c r="AEO22">
        <v>1247</v>
      </c>
      <c r="AEP22">
        <v>983</v>
      </c>
      <c r="AEQ22">
        <v>1385</v>
      </c>
      <c r="AER22">
        <v>863</v>
      </c>
      <c r="AES22">
        <v>819</v>
      </c>
      <c r="AET22">
        <v>0</v>
      </c>
      <c r="AEU22">
        <v>0</v>
      </c>
      <c r="AEV22">
        <v>607</v>
      </c>
      <c r="AEW22">
        <v>652</v>
      </c>
      <c r="AEX22">
        <v>1450</v>
      </c>
      <c r="AEY22">
        <v>556</v>
      </c>
      <c r="AEZ22">
        <v>495</v>
      </c>
      <c r="AFA22">
        <v>0</v>
      </c>
      <c r="AFB22">
        <v>0</v>
      </c>
      <c r="AFC22">
        <v>342</v>
      </c>
      <c r="AFD22">
        <v>634</v>
      </c>
      <c r="AFE22">
        <v>573</v>
      </c>
      <c r="AFF22">
        <v>1613</v>
      </c>
      <c r="AFG22">
        <v>0</v>
      </c>
      <c r="AFH22">
        <v>1248</v>
      </c>
      <c r="AFI22">
        <v>0</v>
      </c>
      <c r="AFJ22">
        <v>862</v>
      </c>
      <c r="AFK22">
        <v>1786</v>
      </c>
      <c r="AFL22">
        <v>1535</v>
      </c>
      <c r="AFM22">
        <v>0</v>
      </c>
      <c r="AFN22">
        <v>843</v>
      </c>
      <c r="AFO22">
        <v>879</v>
      </c>
      <c r="AFP22">
        <v>0</v>
      </c>
      <c r="AFQ22">
        <v>567</v>
      </c>
      <c r="AFR22">
        <v>873</v>
      </c>
      <c r="AFS22">
        <v>0</v>
      </c>
      <c r="AFT22">
        <v>908</v>
      </c>
      <c r="AFU22">
        <v>1095</v>
      </c>
      <c r="AFV22">
        <v>789</v>
      </c>
      <c r="AFW22">
        <v>0</v>
      </c>
      <c r="AFX22">
        <v>1152</v>
      </c>
      <c r="AFY22">
        <v>101</v>
      </c>
      <c r="AFZ22">
        <v>791</v>
      </c>
      <c r="AGA22">
        <v>1076</v>
      </c>
      <c r="AGB22">
        <v>746</v>
      </c>
      <c r="AGC22">
        <v>0</v>
      </c>
      <c r="AGD22">
        <v>0</v>
      </c>
      <c r="AGE22">
        <v>445</v>
      </c>
      <c r="AGF22">
        <v>366</v>
      </c>
      <c r="AGG22">
        <v>806</v>
      </c>
      <c r="AGH22">
        <v>0</v>
      </c>
      <c r="AGI22">
        <v>890</v>
      </c>
      <c r="AGJ22">
        <v>0</v>
      </c>
      <c r="AGK22">
        <v>0</v>
      </c>
      <c r="AGL22">
        <v>826</v>
      </c>
      <c r="AGM22">
        <v>950</v>
      </c>
      <c r="AGN22">
        <v>1337</v>
      </c>
      <c r="AGO22">
        <v>0</v>
      </c>
      <c r="AGP22">
        <v>1451</v>
      </c>
      <c r="AGQ22">
        <v>881</v>
      </c>
      <c r="AGR22">
        <v>0</v>
      </c>
      <c r="AGS22">
        <v>826</v>
      </c>
      <c r="AGT22">
        <v>0</v>
      </c>
      <c r="AGU22">
        <v>614</v>
      </c>
      <c r="AGV22">
        <v>1651</v>
      </c>
      <c r="AGW22">
        <v>2404</v>
      </c>
      <c r="AGX22">
        <v>555</v>
      </c>
      <c r="AGY22">
        <v>0</v>
      </c>
      <c r="AGZ22">
        <v>498</v>
      </c>
      <c r="AHA22">
        <v>1000</v>
      </c>
      <c r="AHB22">
        <v>313</v>
      </c>
      <c r="AHC22">
        <v>288</v>
      </c>
      <c r="AHD22">
        <v>599</v>
      </c>
      <c r="AHE22">
        <v>0</v>
      </c>
      <c r="AHF22">
        <v>0</v>
      </c>
      <c r="AHG22">
        <v>489</v>
      </c>
      <c r="AHI22">
        <v>1217</v>
      </c>
      <c r="AHJ22">
        <v>705</v>
      </c>
      <c r="AHK22">
        <v>0</v>
      </c>
      <c r="AHL22">
        <v>816</v>
      </c>
      <c r="AHM22">
        <v>0</v>
      </c>
      <c r="AHN22">
        <v>0</v>
      </c>
      <c r="AHO22">
        <v>948</v>
      </c>
      <c r="AHP22">
        <v>1182</v>
      </c>
      <c r="AHQ22">
        <v>850</v>
      </c>
      <c r="AHR22">
        <v>904</v>
      </c>
      <c r="AHS22">
        <v>234</v>
      </c>
      <c r="AHT22">
        <v>0</v>
      </c>
      <c r="AHU22">
        <v>0</v>
      </c>
      <c r="AHV22">
        <v>0</v>
      </c>
      <c r="AHW22">
        <v>136</v>
      </c>
      <c r="AHX22">
        <v>0</v>
      </c>
      <c r="AHY22">
        <v>1195</v>
      </c>
      <c r="AHZ22">
        <v>345</v>
      </c>
      <c r="AIA22">
        <v>0</v>
      </c>
      <c r="AIB22">
        <v>604</v>
      </c>
      <c r="AIC22">
        <v>858</v>
      </c>
      <c r="AID22">
        <v>698</v>
      </c>
      <c r="AIE22">
        <v>996</v>
      </c>
      <c r="AIF22">
        <v>2462</v>
      </c>
      <c r="AIG22">
        <v>932</v>
      </c>
      <c r="AIH22">
        <v>0</v>
      </c>
      <c r="AII22">
        <v>946</v>
      </c>
      <c r="AIJ22">
        <v>819</v>
      </c>
      <c r="AIK22">
        <v>938</v>
      </c>
      <c r="AIL22">
        <v>946</v>
      </c>
      <c r="AIM22">
        <v>0</v>
      </c>
      <c r="AIN22">
        <v>436</v>
      </c>
      <c r="AIO22">
        <v>0</v>
      </c>
      <c r="AIP22">
        <v>0</v>
      </c>
      <c r="AIQ22">
        <v>1234</v>
      </c>
      <c r="AIR22">
        <v>424</v>
      </c>
      <c r="AIS22">
        <v>875</v>
      </c>
      <c r="AIT22">
        <v>538</v>
      </c>
      <c r="AIU22">
        <v>620</v>
      </c>
      <c r="AIV22">
        <v>0</v>
      </c>
      <c r="AIW22">
        <v>925</v>
      </c>
      <c r="AIX22">
        <v>1639</v>
      </c>
      <c r="AIY22">
        <v>1089</v>
      </c>
      <c r="AIZ22">
        <v>559</v>
      </c>
      <c r="AJA22">
        <v>904</v>
      </c>
      <c r="AJB22">
        <v>778</v>
      </c>
      <c r="AJC22">
        <v>0</v>
      </c>
      <c r="AJD22">
        <v>1088</v>
      </c>
      <c r="AJE22">
        <v>606</v>
      </c>
      <c r="AJF22">
        <v>873</v>
      </c>
      <c r="AJG22">
        <v>1063</v>
      </c>
      <c r="AJH22">
        <v>951</v>
      </c>
      <c r="AJI22">
        <v>757</v>
      </c>
      <c r="AJJ22">
        <v>0</v>
      </c>
      <c r="AJK22">
        <v>987</v>
      </c>
      <c r="AJL22">
        <v>786</v>
      </c>
      <c r="AJM22">
        <v>1207</v>
      </c>
      <c r="AJN22">
        <v>802</v>
      </c>
      <c r="AJO22">
        <v>627</v>
      </c>
      <c r="AJP22">
        <v>557</v>
      </c>
      <c r="AJQ22">
        <v>0</v>
      </c>
      <c r="AJR22">
        <v>0</v>
      </c>
      <c r="AJS22">
        <v>365</v>
      </c>
      <c r="AJT22">
        <v>0</v>
      </c>
      <c r="AJU22">
        <v>891</v>
      </c>
      <c r="AJV22">
        <v>776</v>
      </c>
      <c r="AJW22">
        <v>481</v>
      </c>
      <c r="AJX22">
        <v>0</v>
      </c>
      <c r="AJY22">
        <v>613</v>
      </c>
      <c r="AJZ22">
        <v>554</v>
      </c>
      <c r="AKA22">
        <v>983</v>
      </c>
      <c r="AKB22">
        <v>970</v>
      </c>
      <c r="AKC22">
        <v>652</v>
      </c>
      <c r="AKD22">
        <v>1102</v>
      </c>
      <c r="AKE22">
        <v>0</v>
      </c>
      <c r="AKF22">
        <v>503</v>
      </c>
    </row>
    <row r="23" spans="1:968" s="5" customFormat="1">
      <c r="B23" s="7"/>
      <c r="C23" s="6">
        <v>82303</v>
      </c>
      <c r="D23" s="6" t="s">
        <v>8</v>
      </c>
      <c r="E23" s="6" t="s">
        <v>57</v>
      </c>
      <c r="G23" s="7"/>
      <c r="H23" s="7"/>
      <c r="I23" s="7"/>
      <c r="K23" s="22">
        <f>SUM(K24:K26)</f>
        <v>2580</v>
      </c>
      <c r="L23" s="22">
        <f t="shared" ref="L23:BQ23" si="543">SUM(L24:L26)</f>
        <v>2610</v>
      </c>
      <c r="M23" s="22">
        <f t="shared" si="543"/>
        <v>2080</v>
      </c>
      <c r="N23" s="22">
        <f t="shared" si="543"/>
        <v>0</v>
      </c>
      <c r="O23" s="22">
        <f t="shared" si="543"/>
        <v>0</v>
      </c>
      <c r="P23" s="22">
        <f t="shared" si="543"/>
        <v>1899</v>
      </c>
      <c r="Q23" s="22">
        <f t="shared" si="543"/>
        <v>3031</v>
      </c>
      <c r="R23" s="22">
        <f t="shared" si="543"/>
        <v>2922</v>
      </c>
      <c r="S23" s="22">
        <f t="shared" si="543"/>
        <v>2667</v>
      </c>
      <c r="T23" s="22">
        <f t="shared" si="543"/>
        <v>1973</v>
      </c>
      <c r="U23" s="22">
        <f t="shared" si="543"/>
        <v>0</v>
      </c>
      <c r="V23" s="22">
        <f t="shared" si="543"/>
        <v>0</v>
      </c>
      <c r="W23" s="22">
        <f t="shared" si="543"/>
        <v>1712</v>
      </c>
      <c r="X23" s="22">
        <f t="shared" si="543"/>
        <v>3309</v>
      </c>
      <c r="Y23" s="22">
        <f t="shared" si="543"/>
        <v>2727</v>
      </c>
      <c r="Z23" s="22">
        <f t="shared" si="543"/>
        <v>1500</v>
      </c>
      <c r="AA23" s="22">
        <f t="shared" si="543"/>
        <v>2455</v>
      </c>
      <c r="AB23" s="22">
        <f t="shared" si="543"/>
        <v>0</v>
      </c>
      <c r="AC23" s="22">
        <f t="shared" si="543"/>
        <v>0</v>
      </c>
      <c r="AD23" s="22">
        <f t="shared" si="543"/>
        <v>2610</v>
      </c>
      <c r="AE23" s="22">
        <f t="shared" si="543"/>
        <v>4259</v>
      </c>
      <c r="AF23" s="22">
        <f t="shared" si="543"/>
        <v>1661</v>
      </c>
      <c r="AG23" s="22">
        <f t="shared" si="543"/>
        <v>3195</v>
      </c>
      <c r="AH23" s="22">
        <f t="shared" si="543"/>
        <v>2938</v>
      </c>
      <c r="AI23" s="22">
        <f t="shared" si="543"/>
        <v>0</v>
      </c>
      <c r="AJ23" s="22">
        <f t="shared" si="543"/>
        <v>0</v>
      </c>
      <c r="AK23" s="22">
        <f t="shared" si="543"/>
        <v>4492</v>
      </c>
      <c r="AL23" s="22">
        <f t="shared" si="543"/>
        <v>3342</v>
      </c>
      <c r="AM23" s="22">
        <f t="shared" si="543"/>
        <v>3196</v>
      </c>
      <c r="AN23" s="22">
        <f t="shared" si="543"/>
        <v>3003</v>
      </c>
      <c r="AO23" s="22">
        <f t="shared" si="543"/>
        <v>2847</v>
      </c>
      <c r="AP23" s="22">
        <f t="shared" si="543"/>
        <v>0</v>
      </c>
      <c r="AQ23" s="22">
        <f t="shared" si="543"/>
        <v>0</v>
      </c>
      <c r="AR23" s="22">
        <f t="shared" si="543"/>
        <v>2676</v>
      </c>
      <c r="AS23" s="22">
        <f t="shared" si="543"/>
        <v>0</v>
      </c>
      <c r="AT23" s="22">
        <f t="shared" si="543"/>
        <v>4177</v>
      </c>
      <c r="AU23" s="22">
        <f t="shared" si="543"/>
        <v>2021</v>
      </c>
      <c r="AV23" s="22">
        <f t="shared" si="543"/>
        <v>2068</v>
      </c>
      <c r="AW23" s="22">
        <f t="shared" si="543"/>
        <v>0</v>
      </c>
      <c r="AX23" s="22">
        <f t="shared" si="543"/>
        <v>0</v>
      </c>
      <c r="AY23" s="22">
        <f t="shared" si="543"/>
        <v>2099</v>
      </c>
      <c r="AZ23" s="22">
        <f t="shared" si="543"/>
        <v>4224</v>
      </c>
      <c r="BA23" s="22">
        <f t="shared" si="543"/>
        <v>3087</v>
      </c>
      <c r="BB23" s="22">
        <f t="shared" si="543"/>
        <v>2595</v>
      </c>
      <c r="BC23" s="22">
        <f t="shared" si="543"/>
        <v>3580</v>
      </c>
      <c r="BD23" s="22">
        <f t="shared" si="543"/>
        <v>0</v>
      </c>
      <c r="BE23" s="22">
        <f t="shared" si="543"/>
        <v>0</v>
      </c>
      <c r="BF23" s="22">
        <f t="shared" si="543"/>
        <v>2572</v>
      </c>
      <c r="BG23" s="22">
        <f t="shared" si="543"/>
        <v>3645</v>
      </c>
      <c r="BH23" s="22">
        <f t="shared" si="543"/>
        <v>3406</v>
      </c>
      <c r="BI23" s="22">
        <f t="shared" si="543"/>
        <v>2887</v>
      </c>
      <c r="BJ23" s="22">
        <f t="shared" si="543"/>
        <v>2388</v>
      </c>
      <c r="BK23" s="22">
        <f t="shared" si="543"/>
        <v>0</v>
      </c>
      <c r="BL23" s="22">
        <f t="shared" si="543"/>
        <v>0</v>
      </c>
      <c r="BM23" s="22">
        <f t="shared" si="543"/>
        <v>3966</v>
      </c>
      <c r="BN23" s="22">
        <f t="shared" si="543"/>
        <v>3495</v>
      </c>
      <c r="BO23" s="22">
        <f t="shared" si="543"/>
        <v>5070</v>
      </c>
      <c r="BP23" s="22">
        <f t="shared" si="543"/>
        <v>3974</v>
      </c>
      <c r="BQ23" s="22">
        <f t="shared" si="543"/>
        <v>0</v>
      </c>
      <c r="BR23" s="22"/>
      <c r="BS23" s="22"/>
      <c r="BT23" s="22"/>
      <c r="BU23" s="22"/>
      <c r="BV23" s="22"/>
      <c r="BW23" s="22"/>
      <c r="BX23" s="22"/>
      <c r="BY23" s="22"/>
      <c r="BZ23" s="22"/>
    </row>
    <row r="24" spans="1:968">
      <c r="A24">
        <v>1</v>
      </c>
      <c r="B24" s="1" t="s">
        <v>58</v>
      </c>
      <c r="C24" s="1">
        <v>82303</v>
      </c>
      <c r="D24" s="1" t="s">
        <v>8</v>
      </c>
      <c r="E24" s="1" t="s">
        <v>57</v>
      </c>
      <c r="F24" s="1" t="s">
        <v>59</v>
      </c>
      <c r="G24" s="1" t="s">
        <v>33</v>
      </c>
      <c r="H24" s="1" t="s">
        <v>60</v>
      </c>
      <c r="I24" s="1" t="s">
        <v>61</v>
      </c>
      <c r="J24" s="1" t="s">
        <v>15</v>
      </c>
      <c r="K24" s="23">
        <v>2256</v>
      </c>
      <c r="L24" s="23">
        <v>2470</v>
      </c>
      <c r="M24" s="23">
        <v>1998</v>
      </c>
      <c r="N24" s="23">
        <v>0</v>
      </c>
      <c r="O24" s="23">
        <v>0</v>
      </c>
      <c r="P24" s="23">
        <v>1575</v>
      </c>
      <c r="Q24" s="23">
        <v>2761</v>
      </c>
      <c r="R24" s="23">
        <v>2698</v>
      </c>
      <c r="S24" s="23">
        <v>2530</v>
      </c>
      <c r="T24" s="23">
        <v>1815</v>
      </c>
      <c r="U24" s="23" t="s">
        <v>38</v>
      </c>
      <c r="V24" s="23" t="s">
        <v>38</v>
      </c>
      <c r="W24" s="23">
        <v>1294</v>
      </c>
      <c r="X24" s="23">
        <v>3149</v>
      </c>
      <c r="Y24" s="23">
        <v>2398</v>
      </c>
      <c r="Z24" s="23">
        <v>1272</v>
      </c>
      <c r="AA24" s="23">
        <v>2330</v>
      </c>
      <c r="AB24" s="23" t="s">
        <v>38</v>
      </c>
      <c r="AC24" s="23" t="s">
        <v>38</v>
      </c>
      <c r="AD24" s="23">
        <v>2182</v>
      </c>
      <c r="AE24" s="23">
        <v>3714</v>
      </c>
      <c r="AF24" s="23">
        <v>1595</v>
      </c>
      <c r="AG24" s="23">
        <v>2920</v>
      </c>
      <c r="AH24" s="23">
        <v>2867</v>
      </c>
      <c r="AI24" s="23" t="s">
        <v>38</v>
      </c>
      <c r="AJ24" s="23" t="s">
        <v>38</v>
      </c>
      <c r="AK24" s="23">
        <v>4147</v>
      </c>
      <c r="AL24" s="23">
        <v>2858</v>
      </c>
      <c r="AM24" s="23">
        <v>2754</v>
      </c>
      <c r="AN24" s="23">
        <v>2833</v>
      </c>
      <c r="AO24" s="23">
        <v>2635</v>
      </c>
      <c r="AP24" s="23" t="s">
        <v>38</v>
      </c>
      <c r="AQ24" s="23" t="s">
        <v>38</v>
      </c>
      <c r="AR24" s="23">
        <v>2334</v>
      </c>
      <c r="AS24" s="23" t="s">
        <v>38</v>
      </c>
      <c r="AT24" s="23">
        <v>3537</v>
      </c>
      <c r="AU24" s="23">
        <v>1932</v>
      </c>
      <c r="AV24" s="23">
        <v>1856</v>
      </c>
      <c r="AW24" s="23" t="s">
        <v>38</v>
      </c>
      <c r="AX24" s="23" t="s">
        <v>38</v>
      </c>
      <c r="AY24" s="23">
        <v>1844</v>
      </c>
      <c r="AZ24" s="23">
        <v>3714</v>
      </c>
      <c r="BA24" s="23">
        <v>2715</v>
      </c>
      <c r="BB24" s="23">
        <v>2338</v>
      </c>
      <c r="BC24" s="23">
        <v>3475</v>
      </c>
      <c r="BD24" s="23">
        <v>0</v>
      </c>
      <c r="BE24" s="23">
        <v>0</v>
      </c>
      <c r="BF24" s="23">
        <v>2207</v>
      </c>
      <c r="BG24" s="23">
        <v>3166</v>
      </c>
      <c r="BH24" s="23">
        <v>2881</v>
      </c>
      <c r="BI24" s="23">
        <v>2477</v>
      </c>
      <c r="BJ24" s="23">
        <v>2191</v>
      </c>
      <c r="BK24" s="23">
        <v>0</v>
      </c>
      <c r="BL24" s="23">
        <v>0</v>
      </c>
      <c r="BM24" s="23">
        <v>3317</v>
      </c>
      <c r="BN24" s="23">
        <v>3100</v>
      </c>
      <c r="BO24" s="23">
        <v>4883</v>
      </c>
      <c r="BP24" s="23">
        <v>3974</v>
      </c>
      <c r="BQ24" s="23">
        <v>0</v>
      </c>
      <c r="BR24" s="23">
        <v>0</v>
      </c>
      <c r="BS24" s="23">
        <v>0</v>
      </c>
      <c r="BT24" s="23">
        <v>0</v>
      </c>
      <c r="BU24" s="23">
        <v>0</v>
      </c>
      <c r="BV24" s="23">
        <v>395</v>
      </c>
      <c r="BW24" s="23">
        <v>801</v>
      </c>
      <c r="BX24" s="23">
        <v>1527</v>
      </c>
      <c r="BY24" s="23"/>
      <c r="BZ24" s="23"/>
      <c r="CA24">
        <v>2731</v>
      </c>
      <c r="CB24">
        <v>3796</v>
      </c>
      <c r="CC24">
        <v>2225</v>
      </c>
      <c r="CD24">
        <v>2256</v>
      </c>
      <c r="CE24">
        <v>3787</v>
      </c>
      <c r="CH24">
        <v>3912</v>
      </c>
      <c r="CI24">
        <v>3169</v>
      </c>
      <c r="CJ24">
        <v>2936</v>
      </c>
      <c r="CK24">
        <v>1762</v>
      </c>
      <c r="CL24">
        <v>2924</v>
      </c>
      <c r="CO24">
        <v>2760</v>
      </c>
      <c r="CP24">
        <v>2496</v>
      </c>
      <c r="CQ24">
        <v>3056</v>
      </c>
      <c r="CR24">
        <v>1894</v>
      </c>
      <c r="CS24">
        <v>2411</v>
      </c>
      <c r="CV24">
        <v>2262</v>
      </c>
      <c r="CW24">
        <v>1821</v>
      </c>
      <c r="CX24">
        <v>2173</v>
      </c>
      <c r="CY24">
        <v>1098</v>
      </c>
      <c r="CZ24">
        <v>2565</v>
      </c>
      <c r="DC24">
        <v>2504</v>
      </c>
      <c r="DD24">
        <v>2765</v>
      </c>
      <c r="DE24">
        <v>2196</v>
      </c>
      <c r="DF24">
        <v>1572</v>
      </c>
      <c r="DG24">
        <v>1801</v>
      </c>
      <c r="DJ24">
        <v>3199</v>
      </c>
      <c r="DK24">
        <v>2626</v>
      </c>
      <c r="DL24">
        <v>2118</v>
      </c>
      <c r="DM24">
        <v>1211</v>
      </c>
      <c r="DN24">
        <v>3208</v>
      </c>
      <c r="DQ24">
        <v>3700</v>
      </c>
      <c r="DR24">
        <v>2806</v>
      </c>
      <c r="DS24">
        <v>2467</v>
      </c>
      <c r="DT24">
        <v>2346</v>
      </c>
      <c r="DU24">
        <v>3755</v>
      </c>
      <c r="DX24">
        <v>1860</v>
      </c>
      <c r="DY24">
        <v>3456</v>
      </c>
      <c r="DZ24">
        <v>3941</v>
      </c>
      <c r="EA24">
        <v>2981</v>
      </c>
      <c r="EB24">
        <v>2715</v>
      </c>
      <c r="EE24">
        <v>2693</v>
      </c>
      <c r="EF24">
        <v>3655</v>
      </c>
      <c r="EG24">
        <v>2336</v>
      </c>
      <c r="EH24">
        <v>1777</v>
      </c>
      <c r="EI24">
        <v>4185</v>
      </c>
      <c r="EL24">
        <v>3327</v>
      </c>
      <c r="EM24">
        <v>3454</v>
      </c>
      <c r="EN24">
        <v>1847</v>
      </c>
      <c r="EO24">
        <v>1741</v>
      </c>
      <c r="EP24">
        <v>1975</v>
      </c>
      <c r="ES24">
        <v>2528</v>
      </c>
      <c r="ET24">
        <v>2766</v>
      </c>
      <c r="EU24">
        <v>2177</v>
      </c>
      <c r="EV24">
        <v>1330</v>
      </c>
      <c r="EW24">
        <v>2249</v>
      </c>
      <c r="EZ24">
        <v>2542</v>
      </c>
      <c r="FA24">
        <v>3288</v>
      </c>
      <c r="FB24">
        <v>2579</v>
      </c>
      <c r="FC24">
        <v>1735</v>
      </c>
      <c r="FD24">
        <v>2147</v>
      </c>
      <c r="FG24">
        <v>2396</v>
      </c>
      <c r="FH24">
        <v>3210</v>
      </c>
      <c r="FI24">
        <v>2597</v>
      </c>
      <c r="FJ24">
        <v>1533</v>
      </c>
      <c r="FK24">
        <v>1676</v>
      </c>
      <c r="FO24">
        <v>3222</v>
      </c>
      <c r="FP24">
        <v>3459</v>
      </c>
      <c r="FQ24">
        <v>2944</v>
      </c>
      <c r="FR24">
        <v>715</v>
      </c>
      <c r="FW24">
        <v>505</v>
      </c>
      <c r="FX24">
        <v>737</v>
      </c>
      <c r="FY24">
        <v>2010</v>
      </c>
      <c r="GB24">
        <v>1899</v>
      </c>
      <c r="GC24">
        <v>3496</v>
      </c>
      <c r="GD24">
        <v>1635</v>
      </c>
      <c r="GE24">
        <v>2125</v>
      </c>
      <c r="GF24">
        <v>2917</v>
      </c>
      <c r="GI24">
        <v>2210</v>
      </c>
      <c r="GJ24">
        <v>2967</v>
      </c>
      <c r="GL24">
        <v>3206</v>
      </c>
      <c r="GM24">
        <v>2017</v>
      </c>
      <c r="GQ24">
        <v>3309</v>
      </c>
      <c r="GR24">
        <v>3387</v>
      </c>
      <c r="GS24">
        <v>2309</v>
      </c>
      <c r="GT24">
        <v>2334</v>
      </c>
      <c r="GW24">
        <v>2032</v>
      </c>
      <c r="GX24">
        <v>2775</v>
      </c>
      <c r="GY24">
        <v>1980</v>
      </c>
      <c r="GZ24">
        <v>1998</v>
      </c>
      <c r="HA24">
        <v>3095</v>
      </c>
      <c r="HD24">
        <v>2597</v>
      </c>
      <c r="HE24">
        <v>3231</v>
      </c>
      <c r="HG24">
        <v>2660</v>
      </c>
      <c r="HH24">
        <v>3239</v>
      </c>
      <c r="HK24">
        <v>2728</v>
      </c>
      <c r="HL24">
        <v>3019</v>
      </c>
      <c r="HM24">
        <v>3389</v>
      </c>
      <c r="HN24">
        <v>2546</v>
      </c>
      <c r="HO24">
        <v>3641</v>
      </c>
      <c r="HS24">
        <v>2281</v>
      </c>
      <c r="HT24">
        <v>1927</v>
      </c>
      <c r="HU24">
        <v>1784</v>
      </c>
      <c r="HV24">
        <v>2073</v>
      </c>
      <c r="HY24">
        <v>1903</v>
      </c>
      <c r="HZ24">
        <v>1921</v>
      </c>
      <c r="IA24">
        <v>1220</v>
      </c>
      <c r="IB24">
        <v>1341</v>
      </c>
      <c r="IC24">
        <v>3697</v>
      </c>
      <c r="IF24">
        <v>3146</v>
      </c>
      <c r="IG24">
        <v>3080</v>
      </c>
      <c r="IH24">
        <v>3279</v>
      </c>
      <c r="II24">
        <v>3518</v>
      </c>
      <c r="IJ24">
        <v>3184</v>
      </c>
      <c r="IM24">
        <v>2167</v>
      </c>
      <c r="IN24">
        <v>2513</v>
      </c>
      <c r="IO24">
        <v>2035</v>
      </c>
      <c r="IP24">
        <v>2070</v>
      </c>
      <c r="IQ24">
        <v>2612</v>
      </c>
      <c r="IT24">
        <v>3506</v>
      </c>
      <c r="IU24">
        <v>3364</v>
      </c>
      <c r="IV24">
        <v>2562</v>
      </c>
      <c r="IW24">
        <v>1740</v>
      </c>
      <c r="IX24">
        <v>2680</v>
      </c>
      <c r="JA24">
        <v>2278</v>
      </c>
      <c r="JB24">
        <v>2259</v>
      </c>
      <c r="JC24">
        <v>1403</v>
      </c>
      <c r="JD24">
        <v>1393</v>
      </c>
      <c r="JE24">
        <v>2137</v>
      </c>
      <c r="JH24">
        <v>2727</v>
      </c>
      <c r="JI24">
        <v>2216</v>
      </c>
      <c r="JJ24">
        <v>2347</v>
      </c>
      <c r="JK24">
        <v>2313</v>
      </c>
      <c r="JL24">
        <v>2457</v>
      </c>
      <c r="JO24">
        <v>1613</v>
      </c>
      <c r="JP24">
        <v>2461</v>
      </c>
      <c r="JQ24">
        <v>1973</v>
      </c>
      <c r="JR24">
        <v>1585</v>
      </c>
      <c r="JS24">
        <v>1997</v>
      </c>
      <c r="JW24">
        <v>4006</v>
      </c>
      <c r="JX24">
        <v>1781</v>
      </c>
      <c r="JY24">
        <v>730</v>
      </c>
      <c r="JZ24">
        <v>2230</v>
      </c>
      <c r="KC24">
        <v>1883</v>
      </c>
      <c r="KD24">
        <v>3778</v>
      </c>
      <c r="KE24">
        <v>1797</v>
      </c>
      <c r="KF24">
        <v>1667</v>
      </c>
      <c r="KG24">
        <v>3307</v>
      </c>
      <c r="KK24">
        <v>3685</v>
      </c>
      <c r="KL24">
        <v>1823</v>
      </c>
      <c r="KM24">
        <v>1801</v>
      </c>
      <c r="KN24">
        <v>2223</v>
      </c>
      <c r="KQ24">
        <v>2250</v>
      </c>
      <c r="KR24">
        <v>1785</v>
      </c>
      <c r="KS24">
        <v>1764</v>
      </c>
      <c r="KT24">
        <v>1439</v>
      </c>
      <c r="KU24">
        <v>2068</v>
      </c>
      <c r="KX24">
        <v>2450</v>
      </c>
      <c r="KY24">
        <v>2279</v>
      </c>
      <c r="KZ24">
        <v>1518</v>
      </c>
      <c r="LA24">
        <v>2314</v>
      </c>
      <c r="LB24">
        <v>2222</v>
      </c>
      <c r="LE24">
        <v>2010</v>
      </c>
      <c r="LF24">
        <v>1706</v>
      </c>
      <c r="LG24">
        <v>1807</v>
      </c>
      <c r="LH24">
        <v>1417</v>
      </c>
      <c r="LI24">
        <v>2387</v>
      </c>
      <c r="LL24">
        <v>1790</v>
      </c>
      <c r="LM24">
        <v>1922</v>
      </c>
      <c r="LN24">
        <v>1086</v>
      </c>
      <c r="LO24">
        <v>1068</v>
      </c>
      <c r="LP24">
        <v>1777</v>
      </c>
      <c r="LS24">
        <v>2707</v>
      </c>
      <c r="LT24">
        <v>2041</v>
      </c>
      <c r="LU24">
        <v>2402</v>
      </c>
      <c r="LV24">
        <v>1644</v>
      </c>
      <c r="LW24">
        <v>2257</v>
      </c>
      <c r="LZ24">
        <v>2019</v>
      </c>
      <c r="MA24">
        <v>2868</v>
      </c>
      <c r="MB24">
        <v>2288</v>
      </c>
      <c r="MC24">
        <v>2069</v>
      </c>
      <c r="MD24">
        <v>4352</v>
      </c>
      <c r="ME24">
        <v>0</v>
      </c>
      <c r="MF24">
        <v>0</v>
      </c>
      <c r="MG24">
        <v>4303</v>
      </c>
      <c r="MH24">
        <v>2128</v>
      </c>
      <c r="MI24">
        <v>1917</v>
      </c>
      <c r="MJ24">
        <v>1364</v>
      </c>
      <c r="MK24">
        <v>1536</v>
      </c>
      <c r="ML24">
        <v>0</v>
      </c>
      <c r="MM24">
        <v>0</v>
      </c>
      <c r="MN24">
        <v>2733</v>
      </c>
      <c r="MO24">
        <v>2346</v>
      </c>
      <c r="MP24">
        <v>1265</v>
      </c>
      <c r="MQ24">
        <v>2118</v>
      </c>
      <c r="MR24">
        <v>1205</v>
      </c>
      <c r="MS24">
        <v>0</v>
      </c>
      <c r="MT24">
        <v>0</v>
      </c>
      <c r="MV24">
        <v>3458</v>
      </c>
      <c r="MW24">
        <v>1911</v>
      </c>
      <c r="MX24">
        <v>1342</v>
      </c>
      <c r="MY24">
        <v>2038</v>
      </c>
      <c r="MZ24">
        <v>0</v>
      </c>
      <c r="NA24">
        <v>0</v>
      </c>
      <c r="NB24">
        <v>2523</v>
      </c>
      <c r="NC24">
        <v>2357</v>
      </c>
      <c r="ND24">
        <v>0</v>
      </c>
      <c r="NE24">
        <v>1932</v>
      </c>
      <c r="NF24">
        <v>1892</v>
      </c>
      <c r="NG24">
        <v>0</v>
      </c>
      <c r="NH24">
        <v>0</v>
      </c>
      <c r="NI24">
        <v>3048</v>
      </c>
      <c r="NJ24">
        <v>3007</v>
      </c>
      <c r="NK24">
        <v>2105</v>
      </c>
      <c r="NL24">
        <v>1959</v>
      </c>
      <c r="NM24">
        <v>2517</v>
      </c>
      <c r="NN24">
        <v>0</v>
      </c>
      <c r="NO24">
        <v>0</v>
      </c>
      <c r="NP24">
        <v>1506</v>
      </c>
      <c r="NQ24">
        <v>2480</v>
      </c>
      <c r="NR24">
        <v>1810</v>
      </c>
      <c r="NS24">
        <v>1645</v>
      </c>
      <c r="NT24">
        <v>1647</v>
      </c>
      <c r="NU24">
        <v>0</v>
      </c>
      <c r="NV24">
        <v>0</v>
      </c>
      <c r="NW24">
        <v>1897</v>
      </c>
      <c r="NX24">
        <v>2900</v>
      </c>
      <c r="NY24">
        <v>2005</v>
      </c>
      <c r="NZ24">
        <v>1532</v>
      </c>
      <c r="OA24">
        <v>2355</v>
      </c>
      <c r="OB24">
        <v>0</v>
      </c>
      <c r="OC24">
        <v>0</v>
      </c>
      <c r="OD24">
        <v>1949</v>
      </c>
      <c r="OE24">
        <v>3314</v>
      </c>
      <c r="OF24">
        <v>1511</v>
      </c>
      <c r="OG24">
        <v>1331</v>
      </c>
      <c r="OH24">
        <v>1423</v>
      </c>
      <c r="OI24">
        <v>0</v>
      </c>
      <c r="OJ24">
        <v>0</v>
      </c>
      <c r="OK24">
        <v>2309</v>
      </c>
      <c r="OL24">
        <v>3520</v>
      </c>
      <c r="OM24">
        <v>1520</v>
      </c>
      <c r="ON24">
        <v>1652</v>
      </c>
      <c r="OO24">
        <v>1962</v>
      </c>
      <c r="OP24">
        <v>0</v>
      </c>
      <c r="OQ24">
        <v>0</v>
      </c>
      <c r="OR24">
        <v>2116</v>
      </c>
      <c r="OS24">
        <v>2119</v>
      </c>
      <c r="OT24">
        <v>1625</v>
      </c>
      <c r="OU24">
        <v>0</v>
      </c>
      <c r="OV24">
        <v>2174</v>
      </c>
      <c r="OW24">
        <v>0</v>
      </c>
      <c r="OX24">
        <v>0</v>
      </c>
      <c r="OY24">
        <v>2213</v>
      </c>
      <c r="OZ24">
        <v>2528</v>
      </c>
      <c r="PA24">
        <v>1931</v>
      </c>
      <c r="PB24">
        <v>2453</v>
      </c>
      <c r="PC24">
        <v>1841</v>
      </c>
      <c r="PD24">
        <v>0</v>
      </c>
      <c r="PE24">
        <v>0</v>
      </c>
      <c r="PF24">
        <v>2623</v>
      </c>
      <c r="PG24">
        <v>3379</v>
      </c>
      <c r="PH24">
        <v>2050</v>
      </c>
      <c r="PI24">
        <v>2090</v>
      </c>
      <c r="PJ24">
        <v>2134</v>
      </c>
      <c r="PK24">
        <v>0</v>
      </c>
      <c r="PL24">
        <v>0</v>
      </c>
      <c r="PM24">
        <v>3489</v>
      </c>
      <c r="PN24">
        <v>3930</v>
      </c>
      <c r="PO24">
        <v>2988</v>
      </c>
      <c r="PP24">
        <v>3753</v>
      </c>
      <c r="PQ24">
        <v>2783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748</v>
      </c>
      <c r="PY24">
        <v>0</v>
      </c>
      <c r="PZ24">
        <v>0</v>
      </c>
      <c r="QA24">
        <v>1630</v>
      </c>
      <c r="QB24">
        <v>1674</v>
      </c>
      <c r="QC24">
        <v>2553</v>
      </c>
      <c r="QD24">
        <v>2309</v>
      </c>
      <c r="QE24">
        <v>1946</v>
      </c>
      <c r="QF24">
        <v>0</v>
      </c>
      <c r="QG24">
        <v>0</v>
      </c>
      <c r="QH24">
        <v>3252</v>
      </c>
      <c r="QI24">
        <v>3310</v>
      </c>
      <c r="QJ24">
        <v>2466</v>
      </c>
      <c r="QK24">
        <v>2499</v>
      </c>
      <c r="QL24">
        <v>3068</v>
      </c>
      <c r="QM24">
        <v>0</v>
      </c>
      <c r="QN24">
        <v>0</v>
      </c>
      <c r="QO24">
        <v>2750</v>
      </c>
      <c r="QP24">
        <v>3065</v>
      </c>
      <c r="QQ24">
        <v>2731</v>
      </c>
      <c r="QR24">
        <v>1589</v>
      </c>
      <c r="QS24">
        <v>2175</v>
      </c>
      <c r="QT24">
        <v>0</v>
      </c>
      <c r="QU24">
        <v>0</v>
      </c>
      <c r="QV24">
        <v>2972</v>
      </c>
      <c r="QW24">
        <v>2412</v>
      </c>
      <c r="QX24">
        <v>1484</v>
      </c>
      <c r="QY24">
        <v>2304</v>
      </c>
      <c r="QZ24">
        <v>1233</v>
      </c>
      <c r="RA24">
        <v>0</v>
      </c>
      <c r="RB24">
        <v>0</v>
      </c>
      <c r="RC24">
        <v>2430</v>
      </c>
      <c r="RD24">
        <v>3143</v>
      </c>
      <c r="RE24">
        <v>1668</v>
      </c>
      <c r="RF24">
        <v>1429</v>
      </c>
      <c r="RG24">
        <v>1920</v>
      </c>
      <c r="RH24">
        <v>0</v>
      </c>
      <c r="RI24">
        <v>0</v>
      </c>
      <c r="RJ24">
        <v>2661</v>
      </c>
      <c r="RK24">
        <v>3991</v>
      </c>
      <c r="RL24">
        <v>1198</v>
      </c>
      <c r="RM24">
        <v>2341</v>
      </c>
      <c r="RN24">
        <v>3481</v>
      </c>
      <c r="RO24">
        <v>0</v>
      </c>
      <c r="RP24">
        <v>0</v>
      </c>
      <c r="RQ24">
        <v>1954</v>
      </c>
      <c r="RR24">
        <v>3084</v>
      </c>
      <c r="RS24">
        <v>1830</v>
      </c>
      <c r="RT24">
        <v>2120</v>
      </c>
      <c r="RU24">
        <v>2541</v>
      </c>
      <c r="RV24">
        <v>0</v>
      </c>
      <c r="RW24">
        <v>0</v>
      </c>
      <c r="RX24">
        <v>2408</v>
      </c>
      <c r="RY24">
        <v>3717</v>
      </c>
      <c r="RZ24">
        <v>2250</v>
      </c>
      <c r="SA24">
        <v>3310</v>
      </c>
      <c r="SB24">
        <v>2238</v>
      </c>
      <c r="SE24">
        <v>2806</v>
      </c>
      <c r="SF24">
        <v>1807</v>
      </c>
      <c r="SG24">
        <v>2031</v>
      </c>
      <c r="SH24">
        <v>1818</v>
      </c>
      <c r="SI24">
        <v>2249</v>
      </c>
      <c r="SL24">
        <v>2001</v>
      </c>
      <c r="SM24">
        <v>2734</v>
      </c>
      <c r="SN24">
        <v>2167</v>
      </c>
      <c r="SO24">
        <v>2384</v>
      </c>
      <c r="SP24">
        <v>2103</v>
      </c>
      <c r="SS24">
        <v>2032</v>
      </c>
      <c r="ST24">
        <v>2379</v>
      </c>
      <c r="SU24">
        <v>1940</v>
      </c>
      <c r="SV24">
        <v>1889</v>
      </c>
      <c r="SW24">
        <v>1989</v>
      </c>
      <c r="SX24">
        <v>351</v>
      </c>
      <c r="SY24">
        <v>0</v>
      </c>
      <c r="SZ24">
        <v>2519</v>
      </c>
      <c r="TA24">
        <v>3136</v>
      </c>
      <c r="TB24">
        <v>1769</v>
      </c>
      <c r="TC24">
        <v>1832</v>
      </c>
      <c r="TD24">
        <v>1923</v>
      </c>
      <c r="TE24">
        <v>636</v>
      </c>
      <c r="TF24">
        <v>0</v>
      </c>
      <c r="TG24">
        <v>1378</v>
      </c>
      <c r="TH24">
        <v>1977</v>
      </c>
      <c r="TI24">
        <v>1714</v>
      </c>
      <c r="TJ24">
        <v>1680</v>
      </c>
      <c r="TK24">
        <v>1197</v>
      </c>
      <c r="TO24">
        <v>3277</v>
      </c>
      <c r="TP24">
        <v>1325</v>
      </c>
      <c r="TQ24">
        <v>1275</v>
      </c>
      <c r="TR24">
        <v>1195</v>
      </c>
      <c r="TS24">
        <v>0</v>
      </c>
      <c r="TT24">
        <v>0</v>
      </c>
      <c r="TU24">
        <v>0</v>
      </c>
      <c r="TV24">
        <v>0</v>
      </c>
      <c r="TW24">
        <v>1575</v>
      </c>
      <c r="TX24">
        <v>844</v>
      </c>
      <c r="TY24">
        <v>1336</v>
      </c>
      <c r="TZ24">
        <v>0</v>
      </c>
      <c r="UA24">
        <v>0</v>
      </c>
      <c r="UB24">
        <v>2382</v>
      </c>
      <c r="UC24">
        <v>3077</v>
      </c>
      <c r="UD24">
        <v>2743</v>
      </c>
      <c r="UE24">
        <v>2675</v>
      </c>
      <c r="UF24">
        <v>1865</v>
      </c>
      <c r="UG24">
        <v>0</v>
      </c>
      <c r="UH24">
        <v>0</v>
      </c>
      <c r="UI24">
        <v>2698</v>
      </c>
      <c r="UJ24">
        <v>3136</v>
      </c>
      <c r="UK24">
        <v>2212</v>
      </c>
      <c r="UL24">
        <v>0</v>
      </c>
      <c r="UM24">
        <v>1638</v>
      </c>
      <c r="UN24">
        <v>0</v>
      </c>
      <c r="UO24">
        <v>0</v>
      </c>
      <c r="UP24">
        <v>0</v>
      </c>
      <c r="UQ24">
        <v>3171</v>
      </c>
      <c r="UR24">
        <v>880</v>
      </c>
      <c r="US24">
        <v>3114</v>
      </c>
      <c r="UT24">
        <v>1331</v>
      </c>
      <c r="UU24">
        <v>0</v>
      </c>
      <c r="UV24">
        <v>0</v>
      </c>
      <c r="UW24">
        <v>0</v>
      </c>
      <c r="UX24">
        <v>3916</v>
      </c>
      <c r="UY24">
        <v>2667</v>
      </c>
      <c r="UZ24">
        <v>2490</v>
      </c>
      <c r="VA24">
        <v>2495</v>
      </c>
      <c r="VB24">
        <v>0</v>
      </c>
      <c r="VC24">
        <v>0</v>
      </c>
      <c r="VD24">
        <v>2251</v>
      </c>
      <c r="VE24">
        <v>2751</v>
      </c>
      <c r="VF24">
        <v>2327</v>
      </c>
      <c r="VG24">
        <v>1505</v>
      </c>
      <c r="VH24">
        <v>1612</v>
      </c>
      <c r="VI24">
        <v>0</v>
      </c>
      <c r="VJ24">
        <v>0</v>
      </c>
      <c r="VK24">
        <v>2761</v>
      </c>
      <c r="VL24">
        <v>3516</v>
      </c>
      <c r="VM24">
        <v>2641</v>
      </c>
      <c r="VN24">
        <v>2611</v>
      </c>
      <c r="VO24">
        <v>2563</v>
      </c>
      <c r="VP24">
        <v>0</v>
      </c>
      <c r="VQ24">
        <v>0</v>
      </c>
      <c r="VR24">
        <v>1861</v>
      </c>
      <c r="VS24">
        <v>0</v>
      </c>
      <c r="VT24">
        <v>1945</v>
      </c>
      <c r="VU24">
        <v>2571</v>
      </c>
      <c r="VV24">
        <v>2657</v>
      </c>
      <c r="VW24">
        <v>0</v>
      </c>
      <c r="VX24">
        <v>0</v>
      </c>
      <c r="VY24">
        <v>2799</v>
      </c>
      <c r="VZ24">
        <v>2851</v>
      </c>
      <c r="WA24">
        <v>2720</v>
      </c>
      <c r="WB24">
        <v>3002</v>
      </c>
      <c r="WC24">
        <v>2445</v>
      </c>
      <c r="WD24">
        <v>0</v>
      </c>
      <c r="WE24">
        <v>0</v>
      </c>
      <c r="WF24">
        <v>2166</v>
      </c>
      <c r="WG24">
        <v>2768</v>
      </c>
      <c r="WH24">
        <v>1317</v>
      </c>
      <c r="WI24">
        <v>2315</v>
      </c>
      <c r="WJ24">
        <v>1834</v>
      </c>
      <c r="WK24">
        <v>0</v>
      </c>
      <c r="WL24">
        <v>0</v>
      </c>
      <c r="WM24">
        <v>1870</v>
      </c>
      <c r="WN24">
        <v>2502</v>
      </c>
      <c r="WO24">
        <v>1676</v>
      </c>
      <c r="WP24">
        <v>2225</v>
      </c>
      <c r="WQ24">
        <v>1671</v>
      </c>
      <c r="WR24">
        <v>0</v>
      </c>
      <c r="WS24">
        <v>0</v>
      </c>
      <c r="WT24">
        <v>2449</v>
      </c>
      <c r="WU24">
        <v>2248</v>
      </c>
      <c r="WV24">
        <v>1412</v>
      </c>
      <c r="WW24">
        <v>1709</v>
      </c>
      <c r="WX24">
        <v>2868</v>
      </c>
      <c r="WY24">
        <v>0</v>
      </c>
      <c r="WZ24">
        <v>0</v>
      </c>
      <c r="XA24">
        <v>3596</v>
      </c>
      <c r="XB24">
        <v>2774</v>
      </c>
      <c r="XC24">
        <v>2702</v>
      </c>
      <c r="XD24">
        <v>952</v>
      </c>
      <c r="XE24">
        <v>2742</v>
      </c>
      <c r="XF24">
        <v>0</v>
      </c>
      <c r="XG24">
        <v>0</v>
      </c>
      <c r="XH24">
        <v>2529</v>
      </c>
      <c r="XI24">
        <v>2902</v>
      </c>
      <c r="XJ24">
        <v>1453</v>
      </c>
      <c r="XK24">
        <v>1567</v>
      </c>
      <c r="XL24">
        <v>2017</v>
      </c>
      <c r="XM24">
        <v>0</v>
      </c>
      <c r="XN24">
        <v>0</v>
      </c>
      <c r="XO24">
        <v>2417</v>
      </c>
      <c r="XP24">
        <v>2100</v>
      </c>
      <c r="XQ24">
        <v>1380</v>
      </c>
      <c r="XR24">
        <v>1826</v>
      </c>
      <c r="XS24">
        <v>1155</v>
      </c>
      <c r="XT24">
        <v>0</v>
      </c>
      <c r="XU24">
        <v>0</v>
      </c>
      <c r="XV24">
        <v>0</v>
      </c>
      <c r="XW24">
        <v>3442</v>
      </c>
      <c r="XX24">
        <v>2656</v>
      </c>
      <c r="XY24">
        <v>1471</v>
      </c>
      <c r="XZ24">
        <v>1265</v>
      </c>
      <c r="YA24">
        <v>0</v>
      </c>
      <c r="YB24">
        <v>0</v>
      </c>
      <c r="YC24">
        <v>1559</v>
      </c>
      <c r="YD24">
        <v>2702</v>
      </c>
      <c r="YE24">
        <v>1439</v>
      </c>
      <c r="YF24">
        <v>1118</v>
      </c>
      <c r="YG24">
        <v>1500</v>
      </c>
      <c r="YH24">
        <v>0</v>
      </c>
      <c r="YI24">
        <v>0</v>
      </c>
      <c r="YJ24">
        <v>1654</v>
      </c>
      <c r="YK24">
        <v>0</v>
      </c>
      <c r="YL24">
        <v>1697</v>
      </c>
      <c r="YM24">
        <v>1415</v>
      </c>
      <c r="YN24">
        <v>1550</v>
      </c>
      <c r="YO24">
        <v>0</v>
      </c>
      <c r="YP24">
        <v>0</v>
      </c>
      <c r="YQ24">
        <v>3032</v>
      </c>
      <c r="YR24">
        <v>3276</v>
      </c>
      <c r="YS24">
        <v>2305</v>
      </c>
      <c r="YT24">
        <v>2141</v>
      </c>
      <c r="YU24">
        <v>2063</v>
      </c>
      <c r="YV24">
        <v>0</v>
      </c>
      <c r="YW24">
        <v>0</v>
      </c>
      <c r="YX24">
        <v>2558</v>
      </c>
      <c r="YY24">
        <v>2468</v>
      </c>
      <c r="YZ24">
        <v>1920</v>
      </c>
      <c r="ZA24">
        <v>1333</v>
      </c>
      <c r="ZB24">
        <v>1067</v>
      </c>
      <c r="ZE24">
        <v>1872</v>
      </c>
      <c r="ZF24">
        <v>2592</v>
      </c>
      <c r="ZG24">
        <v>1047</v>
      </c>
      <c r="ZH24">
        <v>1814</v>
      </c>
      <c r="ZI24">
        <v>2042</v>
      </c>
      <c r="ZL24">
        <v>1556</v>
      </c>
      <c r="ZM24">
        <v>1636</v>
      </c>
      <c r="ZN24">
        <v>1573</v>
      </c>
      <c r="ZO24">
        <v>1847</v>
      </c>
      <c r="ZP24">
        <v>845</v>
      </c>
      <c r="ZS24">
        <v>2610</v>
      </c>
      <c r="ZT24">
        <v>2513</v>
      </c>
      <c r="ZU24">
        <v>991</v>
      </c>
      <c r="ZV24">
        <v>1761</v>
      </c>
      <c r="ZW24">
        <v>1455</v>
      </c>
      <c r="ZZ24">
        <v>2197</v>
      </c>
      <c r="AAA24">
        <v>2714</v>
      </c>
      <c r="AAB24">
        <v>1658</v>
      </c>
      <c r="AAC24">
        <v>1924</v>
      </c>
      <c r="AAG24">
        <v>2408</v>
      </c>
      <c r="AAH24">
        <v>2780</v>
      </c>
      <c r="AAI24">
        <v>2523</v>
      </c>
      <c r="AAJ24">
        <v>1676</v>
      </c>
      <c r="AAK24">
        <v>1794</v>
      </c>
      <c r="AAN24">
        <v>1876</v>
      </c>
      <c r="AAO24">
        <v>2504</v>
      </c>
      <c r="AAP24">
        <v>1917</v>
      </c>
      <c r="AAQ24">
        <v>1571</v>
      </c>
      <c r="AAR24">
        <v>1654</v>
      </c>
      <c r="AAS24">
        <v>498</v>
      </c>
      <c r="AAV24">
        <v>2983</v>
      </c>
      <c r="AAW24">
        <v>1871</v>
      </c>
      <c r="AAX24">
        <v>1171</v>
      </c>
      <c r="AAY24">
        <v>1533</v>
      </c>
      <c r="ABB24">
        <v>2561</v>
      </c>
      <c r="ABC24">
        <v>2654</v>
      </c>
      <c r="ABD24">
        <v>1738</v>
      </c>
      <c r="ABE24">
        <v>2288</v>
      </c>
      <c r="ABI24">
        <v>2072</v>
      </c>
      <c r="ABJ24">
        <v>2435</v>
      </c>
      <c r="ABK24">
        <v>1237</v>
      </c>
      <c r="ABL24">
        <v>1771</v>
      </c>
      <c r="ABM24">
        <v>1729</v>
      </c>
      <c r="ABP24">
        <v>5204</v>
      </c>
      <c r="ABQ24">
        <v>3666</v>
      </c>
      <c r="ABR24">
        <v>2742</v>
      </c>
      <c r="ABS24">
        <v>2416</v>
      </c>
      <c r="ABT24">
        <v>3342</v>
      </c>
      <c r="ABW24">
        <v>3676</v>
      </c>
      <c r="ABX24">
        <v>2492</v>
      </c>
      <c r="ABY24">
        <v>1534</v>
      </c>
      <c r="ABZ24">
        <v>1294</v>
      </c>
      <c r="ACA24">
        <v>882</v>
      </c>
      <c r="ACD24">
        <v>2195</v>
      </c>
      <c r="ACE24">
        <v>2524</v>
      </c>
      <c r="ACF24">
        <v>2038</v>
      </c>
      <c r="ACG24">
        <v>1989</v>
      </c>
      <c r="ACH24">
        <v>1507</v>
      </c>
      <c r="ACK24">
        <v>2297</v>
      </c>
      <c r="ACL24">
        <v>2497</v>
      </c>
      <c r="ACM24">
        <v>2482</v>
      </c>
      <c r="ACN24">
        <v>1656</v>
      </c>
      <c r="ACO24">
        <v>2258</v>
      </c>
      <c r="ACR24">
        <v>2504</v>
      </c>
      <c r="ACS24">
        <v>2110</v>
      </c>
      <c r="ACT24">
        <v>1391</v>
      </c>
      <c r="ACU24">
        <v>1814</v>
      </c>
      <c r="ACY24">
        <v>2592</v>
      </c>
      <c r="ACZ24">
        <v>2254</v>
      </c>
      <c r="ADA24">
        <v>903</v>
      </c>
      <c r="ADB24">
        <v>1672</v>
      </c>
      <c r="ADF24">
        <v>2806</v>
      </c>
      <c r="ADG24">
        <v>2574</v>
      </c>
      <c r="ADH24">
        <v>2769</v>
      </c>
      <c r="ADI24">
        <v>3049</v>
      </c>
      <c r="ADJ24">
        <v>3543</v>
      </c>
      <c r="ADK24">
        <v>258</v>
      </c>
      <c r="ADM24">
        <v>2434</v>
      </c>
      <c r="ADN24">
        <v>2549</v>
      </c>
      <c r="ADO24">
        <v>2622</v>
      </c>
      <c r="ADP24">
        <v>3010</v>
      </c>
      <c r="ADQ24">
        <v>2345</v>
      </c>
      <c r="ADT24">
        <v>1476</v>
      </c>
      <c r="ADU24">
        <v>121</v>
      </c>
      <c r="AEA24">
        <v>1634</v>
      </c>
      <c r="AEB24">
        <v>695</v>
      </c>
      <c r="AEC24">
        <v>869</v>
      </c>
      <c r="AED24">
        <v>1601</v>
      </c>
      <c r="AEE24">
        <v>2638</v>
      </c>
      <c r="AEH24">
        <v>2659</v>
      </c>
      <c r="AEI24">
        <v>2786</v>
      </c>
      <c r="AEJ24">
        <v>2742</v>
      </c>
      <c r="AEK24">
        <v>2514</v>
      </c>
      <c r="AEL24">
        <v>2930</v>
      </c>
      <c r="AEO24">
        <v>2540</v>
      </c>
      <c r="AEP24">
        <v>3786</v>
      </c>
      <c r="AEQ24">
        <v>3333</v>
      </c>
      <c r="AER24">
        <v>1476</v>
      </c>
      <c r="AES24">
        <v>1889</v>
      </c>
      <c r="AEV24">
        <v>2846</v>
      </c>
      <c r="AEW24">
        <v>3083</v>
      </c>
      <c r="AEX24">
        <v>2083</v>
      </c>
      <c r="AEY24">
        <v>1508</v>
      </c>
      <c r="AEZ24">
        <v>1282</v>
      </c>
      <c r="AFC24">
        <v>2587</v>
      </c>
      <c r="AFD24">
        <v>3018</v>
      </c>
      <c r="AFE24">
        <v>1667</v>
      </c>
      <c r="AFF24">
        <v>1138</v>
      </c>
      <c r="AFG24">
        <v>2035</v>
      </c>
      <c r="AFJ24">
        <v>2704</v>
      </c>
      <c r="AFK24">
        <v>2793</v>
      </c>
      <c r="AFL24">
        <v>2903</v>
      </c>
      <c r="AFM24">
        <v>1155</v>
      </c>
      <c r="AFN24">
        <v>2758</v>
      </c>
      <c r="AFQ24">
        <v>2615</v>
      </c>
      <c r="AFR24">
        <v>2835</v>
      </c>
      <c r="AFS24">
        <v>1380</v>
      </c>
      <c r="AFT24">
        <v>2258</v>
      </c>
      <c r="AFU24">
        <v>1197</v>
      </c>
      <c r="AFX24">
        <v>2427</v>
      </c>
      <c r="AFY24">
        <v>2713</v>
      </c>
      <c r="AFZ24">
        <v>1839</v>
      </c>
      <c r="AGA24">
        <v>1564</v>
      </c>
      <c r="AGB24">
        <v>1113</v>
      </c>
      <c r="AGE24">
        <v>2632</v>
      </c>
      <c r="AGF24">
        <v>2156</v>
      </c>
      <c r="AGG24">
        <v>1949</v>
      </c>
      <c r="AGH24">
        <v>2835</v>
      </c>
      <c r="AGI24">
        <v>822</v>
      </c>
      <c r="AGL24">
        <v>2147</v>
      </c>
      <c r="AGM24">
        <v>2532</v>
      </c>
      <c r="AGN24">
        <v>2779</v>
      </c>
      <c r="AGO24">
        <v>1815</v>
      </c>
      <c r="AGP24">
        <v>1355</v>
      </c>
      <c r="AGS24">
        <v>2854</v>
      </c>
      <c r="AGT24">
        <v>2622</v>
      </c>
      <c r="AGU24">
        <v>1751</v>
      </c>
      <c r="AGV24">
        <v>1634</v>
      </c>
      <c r="AGW24">
        <v>1446</v>
      </c>
      <c r="AGZ24">
        <v>2338</v>
      </c>
      <c r="AHA24">
        <v>2715</v>
      </c>
      <c r="AHB24">
        <v>1831</v>
      </c>
      <c r="AHC24">
        <v>2156</v>
      </c>
      <c r="AHD24">
        <v>1171</v>
      </c>
      <c r="AHG24">
        <v>2716</v>
      </c>
      <c r="AHH24">
        <v>3066</v>
      </c>
      <c r="AHI24">
        <v>2037</v>
      </c>
      <c r="AHJ24">
        <v>1577</v>
      </c>
      <c r="AHK24">
        <v>2100</v>
      </c>
      <c r="AHO24">
        <v>2907</v>
      </c>
      <c r="AHP24">
        <v>3244</v>
      </c>
      <c r="AHQ24">
        <v>2522</v>
      </c>
      <c r="AHR24">
        <v>1414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691</v>
      </c>
      <c r="AHY24">
        <v>1018</v>
      </c>
      <c r="AHZ24">
        <v>0</v>
      </c>
      <c r="AIA24">
        <v>0</v>
      </c>
      <c r="AIB24">
        <v>2560</v>
      </c>
      <c r="AIC24">
        <v>2926</v>
      </c>
      <c r="AID24">
        <v>1380</v>
      </c>
      <c r="AIE24">
        <v>1610</v>
      </c>
      <c r="AIF24">
        <v>1996</v>
      </c>
      <c r="AIG24">
        <v>179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1975</v>
      </c>
      <c r="AIR24">
        <v>2187</v>
      </c>
      <c r="AIS24">
        <v>1731</v>
      </c>
      <c r="AIT24">
        <v>2046</v>
      </c>
      <c r="AIW24">
        <v>2180</v>
      </c>
      <c r="AIX24">
        <v>1374</v>
      </c>
      <c r="AIY24">
        <v>2033</v>
      </c>
      <c r="AIZ24">
        <v>1354</v>
      </c>
      <c r="AJA24">
        <v>1490</v>
      </c>
      <c r="AJD24">
        <v>2391</v>
      </c>
      <c r="AJE24">
        <v>1961</v>
      </c>
      <c r="AJF24">
        <v>2246</v>
      </c>
      <c r="AJG24">
        <v>1648</v>
      </c>
      <c r="AJH24">
        <v>1305</v>
      </c>
      <c r="AJK24">
        <v>2126</v>
      </c>
      <c r="AJL24">
        <v>2571</v>
      </c>
      <c r="AJM24">
        <v>1567</v>
      </c>
      <c r="AJN24">
        <v>1516</v>
      </c>
      <c r="AJO24">
        <v>1689</v>
      </c>
      <c r="AJP24">
        <v>0</v>
      </c>
      <c r="AJQ24">
        <v>0</v>
      </c>
      <c r="AJS24">
        <v>2362</v>
      </c>
      <c r="AJU24">
        <v>2043</v>
      </c>
      <c r="AJV24">
        <v>1390</v>
      </c>
      <c r="AJY24">
        <v>2177</v>
      </c>
      <c r="AJZ24">
        <v>2427</v>
      </c>
      <c r="AKA24">
        <v>2340</v>
      </c>
      <c r="AKB24">
        <v>1636</v>
      </c>
      <c r="AKC24">
        <v>1990</v>
      </c>
      <c r="AKF24">
        <v>2074</v>
      </c>
    </row>
    <row r="25" spans="1:968">
      <c r="A25">
        <v>2</v>
      </c>
      <c r="B25" s="1" t="s">
        <v>62</v>
      </c>
      <c r="C25" s="1">
        <v>82303</v>
      </c>
      <c r="D25" s="1" t="s">
        <v>8</v>
      </c>
      <c r="E25" s="1" t="s">
        <v>63</v>
      </c>
      <c r="F25" s="1" t="s">
        <v>59</v>
      </c>
      <c r="G25" s="1" t="s">
        <v>33</v>
      </c>
      <c r="H25" s="1" t="s">
        <v>21</v>
      </c>
      <c r="I25" s="1" t="s">
        <v>64</v>
      </c>
      <c r="J25" s="1" t="s">
        <v>15</v>
      </c>
      <c r="K25" s="23">
        <v>223</v>
      </c>
      <c r="L25" s="23">
        <v>21</v>
      </c>
      <c r="M25" s="23">
        <v>40</v>
      </c>
      <c r="N25" s="23">
        <v>0</v>
      </c>
      <c r="O25" s="23">
        <v>0</v>
      </c>
      <c r="P25" s="23">
        <v>0</v>
      </c>
      <c r="Q25" s="23">
        <v>155</v>
      </c>
      <c r="R25" s="23">
        <v>8</v>
      </c>
      <c r="S25" s="23">
        <v>2</v>
      </c>
      <c r="T25" s="23">
        <v>40</v>
      </c>
      <c r="U25" s="23">
        <v>0</v>
      </c>
      <c r="V25" s="23">
        <v>0</v>
      </c>
      <c r="W25" s="23">
        <v>360</v>
      </c>
      <c r="X25" s="23">
        <v>107</v>
      </c>
      <c r="Y25" s="23">
        <v>78</v>
      </c>
      <c r="Z25" s="23">
        <v>81</v>
      </c>
      <c r="AA25" s="23">
        <v>3</v>
      </c>
      <c r="AB25" s="23">
        <v>0</v>
      </c>
      <c r="AC25" s="23">
        <v>0</v>
      </c>
      <c r="AD25" s="23">
        <v>428</v>
      </c>
      <c r="AE25" s="23">
        <v>545</v>
      </c>
      <c r="AF25" s="23">
        <v>66</v>
      </c>
      <c r="AG25" s="23">
        <v>224</v>
      </c>
      <c r="AH25" s="23">
        <v>24</v>
      </c>
      <c r="AI25" s="23">
        <v>0</v>
      </c>
      <c r="AJ25" s="23">
        <v>0</v>
      </c>
      <c r="AK25" s="23">
        <v>293</v>
      </c>
      <c r="AL25" s="23">
        <v>19</v>
      </c>
      <c r="AM25" s="23">
        <v>212</v>
      </c>
      <c r="AN25" s="23">
        <v>4</v>
      </c>
      <c r="AO25" s="23">
        <v>16</v>
      </c>
      <c r="AP25" s="23">
        <v>0</v>
      </c>
      <c r="AQ25" s="23">
        <v>0</v>
      </c>
      <c r="AR25" s="23">
        <v>254</v>
      </c>
      <c r="AS25" s="23">
        <v>0</v>
      </c>
      <c r="AT25" s="23">
        <v>640</v>
      </c>
      <c r="AU25" s="23">
        <v>10</v>
      </c>
      <c r="AV25" s="23">
        <v>58</v>
      </c>
      <c r="AW25" s="23"/>
      <c r="AX25" s="23"/>
      <c r="AY25" s="23">
        <v>91</v>
      </c>
      <c r="AZ25" s="23">
        <v>33</v>
      </c>
      <c r="BA25" s="23">
        <v>19</v>
      </c>
      <c r="BB25" s="23">
        <v>227</v>
      </c>
      <c r="BC25" s="23">
        <v>80</v>
      </c>
      <c r="BD25" s="23">
        <v>0</v>
      </c>
      <c r="BE25" s="23">
        <v>0</v>
      </c>
      <c r="BF25" s="23">
        <v>365</v>
      </c>
      <c r="BG25" s="23">
        <v>275</v>
      </c>
      <c r="BH25" s="23">
        <v>214</v>
      </c>
      <c r="BI25" s="23">
        <v>80</v>
      </c>
      <c r="BJ25" s="23">
        <v>1</v>
      </c>
      <c r="BK25" s="23">
        <v>0</v>
      </c>
      <c r="BL25" s="23">
        <v>0</v>
      </c>
      <c r="BM25" s="23">
        <v>481</v>
      </c>
      <c r="BN25" s="23">
        <v>395</v>
      </c>
      <c r="BO25" s="23">
        <v>187</v>
      </c>
      <c r="BP25" s="23">
        <v>0</v>
      </c>
      <c r="BQ25" s="23">
        <v>0</v>
      </c>
      <c r="BR25" s="23">
        <v>0</v>
      </c>
      <c r="BS25" s="23">
        <v>0</v>
      </c>
      <c r="BT25" s="23">
        <v>0</v>
      </c>
      <c r="BU25" s="23">
        <v>0</v>
      </c>
      <c r="BV25" s="23">
        <v>160</v>
      </c>
      <c r="BW25" s="23">
        <v>2</v>
      </c>
      <c r="BX25" s="23">
        <v>4</v>
      </c>
      <c r="BY25" s="23"/>
      <c r="BZ25" s="23"/>
      <c r="CA25">
        <v>76</v>
      </c>
      <c r="CB25">
        <v>22</v>
      </c>
      <c r="CC25">
        <v>42</v>
      </c>
      <c r="CD25">
        <v>4</v>
      </c>
      <c r="CE25">
        <v>5</v>
      </c>
      <c r="CH25">
        <v>166</v>
      </c>
      <c r="CI25">
        <v>111</v>
      </c>
      <c r="CJ25">
        <v>251</v>
      </c>
      <c r="CK25">
        <v>250</v>
      </c>
      <c r="CL25">
        <v>97</v>
      </c>
      <c r="CO25">
        <v>0</v>
      </c>
      <c r="CP25">
        <v>399</v>
      </c>
      <c r="CQ25">
        <v>301</v>
      </c>
      <c r="CR25">
        <v>216</v>
      </c>
      <c r="CS25">
        <v>11</v>
      </c>
      <c r="CV25">
        <v>643</v>
      </c>
      <c r="CW25">
        <v>576</v>
      </c>
      <c r="CX25">
        <v>349</v>
      </c>
      <c r="CY25">
        <v>151</v>
      </c>
      <c r="CZ25">
        <v>178</v>
      </c>
      <c r="DC25">
        <v>5</v>
      </c>
      <c r="DD25">
        <v>7</v>
      </c>
      <c r="DE25">
        <v>670</v>
      </c>
      <c r="DF25">
        <v>2</v>
      </c>
      <c r="DG25">
        <v>22</v>
      </c>
      <c r="DJ25">
        <v>147</v>
      </c>
      <c r="DK25">
        <v>127</v>
      </c>
      <c r="DL25">
        <v>213</v>
      </c>
      <c r="DM25">
        <v>202</v>
      </c>
      <c r="DN25">
        <v>243</v>
      </c>
      <c r="DQ25">
        <v>446</v>
      </c>
      <c r="DR25">
        <v>207</v>
      </c>
      <c r="DS25">
        <v>197</v>
      </c>
      <c r="DT25">
        <v>323</v>
      </c>
      <c r="DU25">
        <v>246</v>
      </c>
      <c r="DX25">
        <v>401</v>
      </c>
      <c r="DY25">
        <v>165</v>
      </c>
      <c r="DZ25">
        <v>1</v>
      </c>
      <c r="EA25">
        <v>2</v>
      </c>
      <c r="EB25">
        <v>343</v>
      </c>
      <c r="EE25">
        <v>6</v>
      </c>
      <c r="EF25">
        <v>398</v>
      </c>
      <c r="EG25">
        <v>340</v>
      </c>
      <c r="EH25">
        <v>708</v>
      </c>
      <c r="EI25">
        <v>5</v>
      </c>
      <c r="EL25">
        <v>244</v>
      </c>
      <c r="EM25">
        <v>452</v>
      </c>
      <c r="EN25">
        <v>649</v>
      </c>
      <c r="EO25">
        <v>17</v>
      </c>
      <c r="EP25">
        <v>1</v>
      </c>
      <c r="ES25">
        <v>225</v>
      </c>
      <c r="ET25">
        <v>0</v>
      </c>
      <c r="EU25">
        <v>3</v>
      </c>
      <c r="EV25">
        <v>806</v>
      </c>
      <c r="EW25">
        <v>110</v>
      </c>
      <c r="EZ25">
        <v>343</v>
      </c>
      <c r="FA25">
        <v>7</v>
      </c>
      <c r="FB25">
        <v>470</v>
      </c>
      <c r="FC25">
        <v>191</v>
      </c>
      <c r="FD25">
        <v>165</v>
      </c>
      <c r="FE25">
        <v>651</v>
      </c>
      <c r="FG25">
        <v>5</v>
      </c>
      <c r="FH25">
        <v>598</v>
      </c>
      <c r="FI25">
        <v>0</v>
      </c>
      <c r="FJ25">
        <v>3</v>
      </c>
      <c r="FK25">
        <v>4</v>
      </c>
      <c r="FL25">
        <v>0</v>
      </c>
      <c r="FM25">
        <v>0</v>
      </c>
      <c r="FN25">
        <v>171</v>
      </c>
      <c r="FO25">
        <v>22</v>
      </c>
      <c r="FP25">
        <v>10</v>
      </c>
      <c r="FQ25">
        <v>2</v>
      </c>
      <c r="FR25">
        <v>337</v>
      </c>
      <c r="FU25">
        <v>0</v>
      </c>
      <c r="FV25">
        <v>0</v>
      </c>
      <c r="FW25">
        <v>302</v>
      </c>
      <c r="FX25">
        <v>219</v>
      </c>
      <c r="FY25">
        <v>122</v>
      </c>
      <c r="GB25">
        <v>6</v>
      </c>
      <c r="GC25">
        <v>576</v>
      </c>
      <c r="GD25">
        <v>2</v>
      </c>
      <c r="GE25">
        <v>32</v>
      </c>
      <c r="GF25">
        <v>10</v>
      </c>
      <c r="GK25">
        <v>0</v>
      </c>
      <c r="GL25">
        <v>0</v>
      </c>
      <c r="GM25">
        <v>1</v>
      </c>
      <c r="GP25">
        <v>0</v>
      </c>
      <c r="GQ25">
        <v>3</v>
      </c>
      <c r="GR25">
        <v>51</v>
      </c>
      <c r="GS25">
        <v>642</v>
      </c>
      <c r="GT25">
        <v>7</v>
      </c>
      <c r="GU25">
        <v>0</v>
      </c>
      <c r="GV25">
        <v>0</v>
      </c>
      <c r="GW25">
        <v>435</v>
      </c>
      <c r="GX25">
        <v>0</v>
      </c>
      <c r="GY25">
        <v>295</v>
      </c>
      <c r="GZ25">
        <v>10</v>
      </c>
      <c r="HA25">
        <v>18</v>
      </c>
      <c r="HD25">
        <v>19</v>
      </c>
      <c r="HE25">
        <v>563</v>
      </c>
      <c r="HF25">
        <v>0</v>
      </c>
      <c r="HG25">
        <v>32</v>
      </c>
      <c r="HH25">
        <v>484</v>
      </c>
      <c r="HI25">
        <v>0</v>
      </c>
      <c r="HJ25">
        <v>0</v>
      </c>
      <c r="HK25">
        <v>0</v>
      </c>
      <c r="HL25">
        <v>288</v>
      </c>
      <c r="HM25">
        <v>7</v>
      </c>
      <c r="HN25">
        <v>2</v>
      </c>
      <c r="HO25">
        <v>475</v>
      </c>
      <c r="HS25">
        <v>75</v>
      </c>
      <c r="HT25">
        <v>10</v>
      </c>
      <c r="HU25">
        <v>744</v>
      </c>
      <c r="HV25">
        <v>27</v>
      </c>
      <c r="HY25">
        <v>6</v>
      </c>
      <c r="HZ25">
        <v>14</v>
      </c>
      <c r="IA25">
        <v>143</v>
      </c>
      <c r="IB25">
        <v>1</v>
      </c>
      <c r="IC25">
        <v>98</v>
      </c>
      <c r="IF25">
        <v>6</v>
      </c>
      <c r="IG25">
        <v>155</v>
      </c>
      <c r="IH25">
        <v>88</v>
      </c>
      <c r="II25">
        <v>3</v>
      </c>
      <c r="IJ25">
        <v>10</v>
      </c>
      <c r="IM25">
        <v>240</v>
      </c>
      <c r="IN25">
        <v>38</v>
      </c>
      <c r="IO25">
        <v>370</v>
      </c>
      <c r="IP25">
        <v>260</v>
      </c>
      <c r="IQ25">
        <v>224</v>
      </c>
      <c r="IT25">
        <v>27</v>
      </c>
      <c r="IU25">
        <v>24</v>
      </c>
      <c r="IV25">
        <v>11</v>
      </c>
      <c r="JA25">
        <v>27</v>
      </c>
      <c r="JB25">
        <v>24</v>
      </c>
      <c r="JC25">
        <v>11</v>
      </c>
      <c r="JD25">
        <v>75</v>
      </c>
      <c r="JE25">
        <v>34</v>
      </c>
      <c r="JH25">
        <v>148</v>
      </c>
      <c r="JI25">
        <v>138</v>
      </c>
      <c r="JJ25">
        <v>121</v>
      </c>
      <c r="JK25">
        <v>7</v>
      </c>
      <c r="JL25">
        <v>406</v>
      </c>
      <c r="JO25">
        <v>453</v>
      </c>
      <c r="JP25">
        <v>195</v>
      </c>
      <c r="JQ25">
        <v>9</v>
      </c>
      <c r="JR25">
        <v>507</v>
      </c>
      <c r="JS25">
        <v>224</v>
      </c>
      <c r="JT25">
        <v>0</v>
      </c>
      <c r="JU25">
        <v>0</v>
      </c>
      <c r="JV25">
        <v>0</v>
      </c>
      <c r="JW25">
        <v>358</v>
      </c>
      <c r="JX25">
        <v>231</v>
      </c>
      <c r="JY25">
        <v>173</v>
      </c>
      <c r="JZ25">
        <v>108</v>
      </c>
      <c r="KA25">
        <v>0</v>
      </c>
      <c r="KB25">
        <v>0</v>
      </c>
      <c r="KC25">
        <v>179</v>
      </c>
      <c r="KD25">
        <v>58</v>
      </c>
      <c r="KE25">
        <v>0</v>
      </c>
      <c r="KF25">
        <v>0</v>
      </c>
      <c r="KG25">
        <v>0</v>
      </c>
      <c r="KJ25">
        <v>0</v>
      </c>
      <c r="KK25">
        <v>121</v>
      </c>
      <c r="KL25">
        <v>48</v>
      </c>
      <c r="KM25">
        <v>118</v>
      </c>
      <c r="KN25">
        <v>134</v>
      </c>
      <c r="KQ25">
        <v>225</v>
      </c>
      <c r="KR25">
        <v>145</v>
      </c>
      <c r="KS25">
        <v>152</v>
      </c>
      <c r="KT25">
        <v>238</v>
      </c>
      <c r="KU25">
        <v>93</v>
      </c>
      <c r="KX25">
        <v>0</v>
      </c>
      <c r="KY25">
        <v>335</v>
      </c>
      <c r="KZ25">
        <v>4</v>
      </c>
      <c r="LA25">
        <v>266</v>
      </c>
      <c r="LB25">
        <v>149</v>
      </c>
      <c r="LE25">
        <v>365</v>
      </c>
      <c r="LF25">
        <v>8</v>
      </c>
      <c r="LG25">
        <v>50</v>
      </c>
      <c r="LH25">
        <v>5</v>
      </c>
      <c r="LI25">
        <v>132</v>
      </c>
      <c r="LL25">
        <v>0</v>
      </c>
      <c r="LM25">
        <v>82</v>
      </c>
      <c r="LN25">
        <v>7</v>
      </c>
      <c r="LO25">
        <v>78</v>
      </c>
      <c r="LP25">
        <v>62</v>
      </c>
      <c r="LS25">
        <v>105</v>
      </c>
      <c r="LT25">
        <v>103</v>
      </c>
      <c r="LU25">
        <v>316</v>
      </c>
      <c r="LV25">
        <v>370</v>
      </c>
      <c r="LW25">
        <v>307</v>
      </c>
      <c r="LZ25">
        <v>112</v>
      </c>
      <c r="MA25">
        <v>18</v>
      </c>
      <c r="MB25">
        <v>149</v>
      </c>
      <c r="MC25">
        <v>49</v>
      </c>
      <c r="MD25">
        <v>232</v>
      </c>
      <c r="ME25">
        <v>0</v>
      </c>
      <c r="MF25">
        <v>0</v>
      </c>
      <c r="MG25">
        <v>0</v>
      </c>
      <c r="MH25">
        <v>96</v>
      </c>
      <c r="MI25">
        <v>3</v>
      </c>
      <c r="MJ25">
        <v>83</v>
      </c>
      <c r="MK25">
        <v>2</v>
      </c>
      <c r="ML25">
        <v>0</v>
      </c>
      <c r="MM25">
        <v>0</v>
      </c>
      <c r="MN25">
        <v>93</v>
      </c>
      <c r="MO25">
        <v>0</v>
      </c>
      <c r="MP25">
        <v>73</v>
      </c>
      <c r="MQ25">
        <v>1</v>
      </c>
      <c r="MR25">
        <v>101</v>
      </c>
      <c r="MS25">
        <v>0</v>
      </c>
      <c r="MT25">
        <v>0</v>
      </c>
      <c r="MU25">
        <v>0</v>
      </c>
      <c r="MV25">
        <v>69</v>
      </c>
      <c r="MW25">
        <v>133</v>
      </c>
      <c r="MX25">
        <v>309</v>
      </c>
      <c r="MY25">
        <v>314</v>
      </c>
      <c r="MZ25">
        <v>0</v>
      </c>
      <c r="NA25">
        <v>0</v>
      </c>
      <c r="NB25">
        <v>330</v>
      </c>
      <c r="NC25">
        <v>122</v>
      </c>
      <c r="ND25">
        <v>0</v>
      </c>
      <c r="NE25">
        <v>282</v>
      </c>
      <c r="NF25">
        <v>159</v>
      </c>
      <c r="NG25">
        <v>0</v>
      </c>
      <c r="NH25">
        <v>0</v>
      </c>
      <c r="NI25">
        <v>471</v>
      </c>
      <c r="NJ25">
        <v>454</v>
      </c>
      <c r="NK25">
        <v>285</v>
      </c>
      <c r="NL25">
        <v>183</v>
      </c>
      <c r="NM25">
        <v>97</v>
      </c>
      <c r="NN25">
        <v>0</v>
      </c>
      <c r="NO25">
        <v>188</v>
      </c>
      <c r="NP25">
        <v>336</v>
      </c>
      <c r="NQ25">
        <v>4</v>
      </c>
      <c r="NR25">
        <v>76</v>
      </c>
      <c r="NS25">
        <v>36</v>
      </c>
      <c r="NT25">
        <v>83</v>
      </c>
      <c r="NU25">
        <v>0</v>
      </c>
      <c r="NV25">
        <v>0</v>
      </c>
      <c r="NW25">
        <v>120</v>
      </c>
      <c r="NX25">
        <v>4</v>
      </c>
      <c r="NY25">
        <v>5</v>
      </c>
      <c r="NZ25">
        <v>146</v>
      </c>
      <c r="OA25">
        <v>71</v>
      </c>
      <c r="OB25">
        <v>0</v>
      </c>
      <c r="OC25">
        <v>0</v>
      </c>
      <c r="OD25">
        <v>274</v>
      </c>
      <c r="OE25">
        <v>382</v>
      </c>
      <c r="OF25">
        <v>315</v>
      </c>
      <c r="OG25">
        <v>413</v>
      </c>
      <c r="OH25">
        <v>154</v>
      </c>
      <c r="OI25">
        <v>0</v>
      </c>
      <c r="OJ25">
        <v>0</v>
      </c>
      <c r="OK25">
        <v>349</v>
      </c>
      <c r="OL25">
        <v>162</v>
      </c>
      <c r="OM25">
        <v>113</v>
      </c>
      <c r="ON25">
        <v>462</v>
      </c>
      <c r="OO25">
        <v>4</v>
      </c>
      <c r="OP25">
        <v>0</v>
      </c>
      <c r="OQ25">
        <v>0</v>
      </c>
      <c r="OR25">
        <v>506</v>
      </c>
      <c r="OS25">
        <v>173</v>
      </c>
      <c r="OT25">
        <v>21</v>
      </c>
      <c r="OU25">
        <v>0</v>
      </c>
      <c r="OV25">
        <v>74</v>
      </c>
      <c r="OW25">
        <v>0</v>
      </c>
      <c r="OX25">
        <v>0</v>
      </c>
      <c r="OY25">
        <v>41</v>
      </c>
      <c r="OZ25">
        <v>25</v>
      </c>
      <c r="PA25">
        <v>47</v>
      </c>
      <c r="PB25">
        <v>11</v>
      </c>
      <c r="PC25">
        <v>5</v>
      </c>
      <c r="PD25">
        <v>0</v>
      </c>
      <c r="PE25">
        <v>0</v>
      </c>
      <c r="PF25">
        <v>69</v>
      </c>
      <c r="PG25">
        <v>96</v>
      </c>
      <c r="PH25">
        <v>133</v>
      </c>
      <c r="PI25">
        <v>131</v>
      </c>
      <c r="PJ25">
        <v>173</v>
      </c>
      <c r="PK25">
        <v>0</v>
      </c>
      <c r="PL25">
        <v>0</v>
      </c>
      <c r="PM25">
        <v>202</v>
      </c>
      <c r="PN25">
        <v>22</v>
      </c>
      <c r="PO25">
        <v>50</v>
      </c>
      <c r="PP25">
        <v>111</v>
      </c>
      <c r="PQ25">
        <v>136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207</v>
      </c>
      <c r="PX25">
        <v>9</v>
      </c>
      <c r="PY25">
        <v>0</v>
      </c>
      <c r="PZ25">
        <v>0</v>
      </c>
      <c r="QA25">
        <v>1</v>
      </c>
      <c r="QB25">
        <v>5</v>
      </c>
      <c r="QC25">
        <v>32</v>
      </c>
      <c r="QD25">
        <v>27</v>
      </c>
      <c r="QE25">
        <v>95</v>
      </c>
      <c r="QF25">
        <v>0</v>
      </c>
      <c r="QG25">
        <v>0</v>
      </c>
      <c r="QH25">
        <v>37</v>
      </c>
      <c r="QI25">
        <v>71</v>
      </c>
      <c r="QJ25">
        <v>100</v>
      </c>
      <c r="QK25">
        <v>216</v>
      </c>
      <c r="QL25">
        <v>66</v>
      </c>
      <c r="QM25">
        <v>0</v>
      </c>
      <c r="QN25">
        <v>0</v>
      </c>
      <c r="QO25">
        <v>165</v>
      </c>
      <c r="QP25">
        <v>47</v>
      </c>
      <c r="QQ25">
        <v>184</v>
      </c>
      <c r="QR25">
        <v>124</v>
      </c>
      <c r="QS25">
        <v>119</v>
      </c>
      <c r="QT25">
        <v>0</v>
      </c>
      <c r="QU25">
        <v>0</v>
      </c>
      <c r="QV25">
        <v>195</v>
      </c>
      <c r="QW25">
        <v>93</v>
      </c>
      <c r="QX25">
        <v>152</v>
      </c>
      <c r="QY25">
        <v>78</v>
      </c>
      <c r="QZ25">
        <v>24</v>
      </c>
      <c r="RA25">
        <v>0</v>
      </c>
      <c r="RB25">
        <v>0</v>
      </c>
      <c r="RC25">
        <v>327</v>
      </c>
      <c r="RD25">
        <v>12</v>
      </c>
      <c r="RE25">
        <v>0</v>
      </c>
      <c r="RF25">
        <v>71</v>
      </c>
      <c r="RG25">
        <v>0</v>
      </c>
      <c r="RH25">
        <v>0</v>
      </c>
      <c r="RI25">
        <v>0</v>
      </c>
      <c r="RJ25">
        <v>56</v>
      </c>
      <c r="RK25">
        <v>55</v>
      </c>
      <c r="RL25">
        <v>47</v>
      </c>
      <c r="RM25">
        <v>36</v>
      </c>
      <c r="RN25">
        <v>0</v>
      </c>
      <c r="RO25">
        <v>0</v>
      </c>
      <c r="RP25">
        <v>0</v>
      </c>
      <c r="RQ25">
        <v>159</v>
      </c>
      <c r="RR25">
        <v>202</v>
      </c>
      <c r="RS25">
        <v>2</v>
      </c>
      <c r="RT25">
        <v>314</v>
      </c>
      <c r="RU25">
        <v>64</v>
      </c>
      <c r="RV25">
        <v>0</v>
      </c>
      <c r="RW25">
        <v>0</v>
      </c>
      <c r="RX25">
        <v>259</v>
      </c>
      <c r="RY25">
        <v>100</v>
      </c>
      <c r="RZ25">
        <v>134</v>
      </c>
      <c r="SA25">
        <v>63</v>
      </c>
      <c r="SB25">
        <v>126</v>
      </c>
      <c r="SE25" s="42">
        <v>302</v>
      </c>
      <c r="SF25" s="42">
        <v>0</v>
      </c>
      <c r="SG25" s="42">
        <v>413</v>
      </c>
      <c r="SH25" s="42">
        <v>156</v>
      </c>
      <c r="SI25" s="42">
        <v>0</v>
      </c>
      <c r="SJ25">
        <v>0</v>
      </c>
      <c r="SK25" s="42">
        <v>0</v>
      </c>
      <c r="SL25">
        <v>197</v>
      </c>
      <c r="SM25">
        <v>275</v>
      </c>
      <c r="SN25">
        <v>327</v>
      </c>
      <c r="SO25">
        <v>204</v>
      </c>
      <c r="SP25">
        <v>223</v>
      </c>
      <c r="SS25">
        <v>372</v>
      </c>
      <c r="ST25">
        <v>250</v>
      </c>
      <c r="SU25">
        <v>388</v>
      </c>
      <c r="SV25">
        <v>368</v>
      </c>
      <c r="SW25">
        <v>430</v>
      </c>
      <c r="SX25">
        <v>0</v>
      </c>
      <c r="SY25">
        <v>0</v>
      </c>
      <c r="SZ25">
        <v>136</v>
      </c>
      <c r="TA25">
        <v>82</v>
      </c>
      <c r="TB25">
        <v>9</v>
      </c>
      <c r="TC25">
        <v>136</v>
      </c>
      <c r="TD25">
        <v>14</v>
      </c>
      <c r="TE25">
        <v>0</v>
      </c>
      <c r="TF25">
        <v>0</v>
      </c>
      <c r="TG25">
        <v>226</v>
      </c>
      <c r="TH25">
        <v>295</v>
      </c>
      <c r="TI25">
        <v>501</v>
      </c>
      <c r="TJ25">
        <v>48</v>
      </c>
      <c r="TM25" s="46"/>
      <c r="TN25" s="46"/>
      <c r="TO25" s="46">
        <v>16</v>
      </c>
      <c r="TP25" s="46">
        <v>313</v>
      </c>
      <c r="TQ25" s="46">
        <v>265</v>
      </c>
      <c r="TR25" s="46">
        <v>96</v>
      </c>
      <c r="TS25" s="46">
        <v>0</v>
      </c>
      <c r="TT25" s="46">
        <v>0</v>
      </c>
      <c r="TU25" s="46">
        <v>0</v>
      </c>
      <c r="TV25">
        <v>0</v>
      </c>
      <c r="TW25">
        <v>182</v>
      </c>
      <c r="TX25">
        <v>49</v>
      </c>
      <c r="TY25">
        <v>10</v>
      </c>
      <c r="TZ25">
        <v>0</v>
      </c>
      <c r="UA25">
        <v>0</v>
      </c>
      <c r="UB25">
        <v>268</v>
      </c>
      <c r="UC25">
        <v>329</v>
      </c>
      <c r="UD25">
        <v>114</v>
      </c>
      <c r="UE25">
        <v>132</v>
      </c>
      <c r="UF25">
        <v>184</v>
      </c>
      <c r="UG25">
        <v>0</v>
      </c>
      <c r="UH25">
        <v>0</v>
      </c>
      <c r="UI25">
        <v>460</v>
      </c>
      <c r="UJ25">
        <v>111</v>
      </c>
      <c r="UK25">
        <v>118</v>
      </c>
      <c r="UL25">
        <v>0</v>
      </c>
      <c r="UM25">
        <v>199</v>
      </c>
      <c r="UN25">
        <v>0</v>
      </c>
      <c r="UO25">
        <v>0</v>
      </c>
      <c r="UP25">
        <v>0</v>
      </c>
      <c r="UQ25">
        <v>216</v>
      </c>
      <c r="UR25">
        <v>453</v>
      </c>
      <c r="US25">
        <v>25</v>
      </c>
      <c r="UT25">
        <v>305</v>
      </c>
      <c r="UU25">
        <v>0</v>
      </c>
      <c r="UV25">
        <v>0</v>
      </c>
      <c r="UW25">
        <v>0</v>
      </c>
      <c r="UX25">
        <v>66</v>
      </c>
      <c r="UY25">
        <v>0</v>
      </c>
      <c r="UZ25">
        <v>0</v>
      </c>
      <c r="VA25">
        <v>408</v>
      </c>
      <c r="VB25">
        <v>0</v>
      </c>
      <c r="VC25">
        <v>0</v>
      </c>
      <c r="VD25">
        <v>246</v>
      </c>
      <c r="VE25">
        <v>191</v>
      </c>
      <c r="VF25">
        <v>0</v>
      </c>
      <c r="VG25">
        <v>359</v>
      </c>
      <c r="VH25">
        <v>390</v>
      </c>
      <c r="VI25">
        <v>0</v>
      </c>
      <c r="VJ25">
        <v>0</v>
      </c>
      <c r="VK25">
        <v>209</v>
      </c>
      <c r="VL25">
        <v>38</v>
      </c>
      <c r="VM25">
        <v>82</v>
      </c>
      <c r="VN25">
        <v>198</v>
      </c>
      <c r="VO25">
        <v>236</v>
      </c>
      <c r="VP25">
        <v>0</v>
      </c>
      <c r="VQ25">
        <v>0</v>
      </c>
      <c r="VR25">
        <v>170</v>
      </c>
      <c r="VS25">
        <v>0</v>
      </c>
      <c r="VT25">
        <v>19</v>
      </c>
      <c r="VU25">
        <v>37</v>
      </c>
      <c r="VV25">
        <v>3</v>
      </c>
      <c r="VW25">
        <v>0</v>
      </c>
      <c r="VX25">
        <v>0</v>
      </c>
      <c r="VY25">
        <v>148</v>
      </c>
      <c r="VZ25">
        <v>9</v>
      </c>
      <c r="WA25">
        <v>53</v>
      </c>
      <c r="WB25">
        <v>12</v>
      </c>
      <c r="WC25">
        <v>28</v>
      </c>
      <c r="WD25">
        <v>0</v>
      </c>
      <c r="WE25">
        <v>0</v>
      </c>
      <c r="WF25">
        <v>127</v>
      </c>
      <c r="WG25">
        <v>0</v>
      </c>
      <c r="WH25">
        <v>93</v>
      </c>
      <c r="WI25">
        <v>245</v>
      </c>
      <c r="WJ25">
        <v>206</v>
      </c>
      <c r="WK25">
        <v>0</v>
      </c>
      <c r="WL25">
        <v>0</v>
      </c>
      <c r="WM25">
        <v>432</v>
      </c>
      <c r="WN25">
        <v>159</v>
      </c>
      <c r="WO25">
        <v>100</v>
      </c>
      <c r="WP25">
        <v>146</v>
      </c>
      <c r="WQ25">
        <v>318</v>
      </c>
      <c r="WR25">
        <v>0</v>
      </c>
      <c r="WS25">
        <v>0</v>
      </c>
      <c r="WT25">
        <v>0</v>
      </c>
      <c r="WU25">
        <v>126</v>
      </c>
      <c r="WV25">
        <v>247</v>
      </c>
      <c r="WW25">
        <v>19</v>
      </c>
      <c r="WX25">
        <v>45</v>
      </c>
      <c r="WY25">
        <v>0</v>
      </c>
      <c r="WZ25">
        <v>0</v>
      </c>
      <c r="XA25">
        <v>34</v>
      </c>
      <c r="XB25">
        <v>5</v>
      </c>
      <c r="XC25">
        <v>1</v>
      </c>
      <c r="XD25">
        <v>1</v>
      </c>
      <c r="XE25">
        <v>214</v>
      </c>
      <c r="XF25">
        <v>0</v>
      </c>
      <c r="XG25">
        <v>0</v>
      </c>
      <c r="XH25">
        <v>118</v>
      </c>
      <c r="XI25">
        <v>0</v>
      </c>
      <c r="XJ25">
        <v>264</v>
      </c>
      <c r="XK25">
        <v>137</v>
      </c>
      <c r="XL25">
        <v>189</v>
      </c>
      <c r="XM25">
        <v>0</v>
      </c>
      <c r="XN25">
        <v>0</v>
      </c>
      <c r="XO25">
        <v>252</v>
      </c>
      <c r="XP25">
        <v>0</v>
      </c>
      <c r="XQ25">
        <v>517</v>
      </c>
      <c r="XR25">
        <v>211</v>
      </c>
      <c r="XS25">
        <v>271</v>
      </c>
      <c r="XT25">
        <v>0</v>
      </c>
      <c r="XU25">
        <v>0</v>
      </c>
      <c r="XV25">
        <v>0</v>
      </c>
      <c r="XW25">
        <v>158</v>
      </c>
      <c r="XX25">
        <v>2</v>
      </c>
      <c r="XY25">
        <v>284</v>
      </c>
      <c r="XZ25">
        <v>109</v>
      </c>
      <c r="YA25">
        <v>0</v>
      </c>
      <c r="YB25">
        <v>0</v>
      </c>
      <c r="YC25">
        <v>318</v>
      </c>
      <c r="YD25">
        <v>106</v>
      </c>
      <c r="YE25">
        <v>41</v>
      </c>
      <c r="YF25">
        <v>0</v>
      </c>
      <c r="YG25">
        <v>153</v>
      </c>
      <c r="YH25">
        <v>0</v>
      </c>
      <c r="YI25">
        <v>0</v>
      </c>
      <c r="YJ25">
        <v>91</v>
      </c>
      <c r="YK25">
        <v>0</v>
      </c>
      <c r="YL25">
        <v>58</v>
      </c>
      <c r="YM25">
        <v>122</v>
      </c>
      <c r="YN25">
        <v>123</v>
      </c>
      <c r="YO25">
        <v>0</v>
      </c>
      <c r="YP25">
        <v>0</v>
      </c>
      <c r="YQ25">
        <v>215</v>
      </c>
      <c r="YR25">
        <v>309</v>
      </c>
      <c r="YS25">
        <v>312</v>
      </c>
      <c r="YT25">
        <v>2</v>
      </c>
      <c r="YU25">
        <v>257</v>
      </c>
      <c r="YV25">
        <v>0</v>
      </c>
      <c r="YW25">
        <v>0</v>
      </c>
      <c r="YX25">
        <v>187</v>
      </c>
      <c r="YY25">
        <v>131</v>
      </c>
      <c r="YZ25">
        <v>232</v>
      </c>
      <c r="ZA25">
        <v>502</v>
      </c>
      <c r="ZB25">
        <v>317</v>
      </c>
      <c r="ZE25">
        <v>166</v>
      </c>
      <c r="ZF25">
        <v>1</v>
      </c>
      <c r="ZG25">
        <v>100</v>
      </c>
      <c r="ZH25">
        <v>19</v>
      </c>
      <c r="ZI25">
        <v>51</v>
      </c>
      <c r="ZJ25">
        <v>0</v>
      </c>
      <c r="ZK25">
        <v>0</v>
      </c>
      <c r="ZL25">
        <v>54</v>
      </c>
      <c r="ZM25">
        <v>27</v>
      </c>
      <c r="ZN25">
        <v>20</v>
      </c>
      <c r="ZO25">
        <v>87</v>
      </c>
      <c r="ZP25">
        <v>175</v>
      </c>
      <c r="ZQ25">
        <v>0</v>
      </c>
      <c r="ZR25">
        <v>0</v>
      </c>
      <c r="ZS25">
        <v>38</v>
      </c>
      <c r="ZT25">
        <v>121</v>
      </c>
      <c r="ZU25">
        <v>105</v>
      </c>
      <c r="ZV25">
        <v>228</v>
      </c>
      <c r="ZW25">
        <v>203</v>
      </c>
      <c r="ZX25">
        <v>0</v>
      </c>
      <c r="ZY25">
        <v>0</v>
      </c>
      <c r="ZZ25">
        <v>166</v>
      </c>
      <c r="AAA25">
        <v>66</v>
      </c>
      <c r="AAB25">
        <v>305</v>
      </c>
      <c r="AAC25">
        <v>1</v>
      </c>
      <c r="AAD25">
        <v>103</v>
      </c>
      <c r="AAE25">
        <v>0</v>
      </c>
      <c r="AAF25">
        <v>0</v>
      </c>
      <c r="AAG25">
        <v>77</v>
      </c>
      <c r="AAH25">
        <v>24</v>
      </c>
      <c r="AAI25">
        <v>211</v>
      </c>
      <c r="AAJ25">
        <v>11</v>
      </c>
      <c r="AAK25">
        <v>34</v>
      </c>
      <c r="AAL25">
        <v>0</v>
      </c>
      <c r="AAM25">
        <v>0</v>
      </c>
      <c r="AAN25">
        <v>159</v>
      </c>
      <c r="AAO25">
        <v>500</v>
      </c>
      <c r="AAP25">
        <v>2</v>
      </c>
      <c r="AAQ25">
        <v>51</v>
      </c>
      <c r="AAR25">
        <v>34</v>
      </c>
      <c r="AAS25">
        <v>721</v>
      </c>
      <c r="AAV25">
        <v>60</v>
      </c>
      <c r="AAW25">
        <v>108</v>
      </c>
      <c r="AAX25">
        <v>152</v>
      </c>
      <c r="AAY25">
        <v>324</v>
      </c>
      <c r="AAZ25">
        <v>0</v>
      </c>
      <c r="ABA25">
        <v>0</v>
      </c>
      <c r="ABB25">
        <v>194</v>
      </c>
      <c r="ABC25">
        <v>120</v>
      </c>
      <c r="ABD25">
        <v>21</v>
      </c>
      <c r="ABE25">
        <v>0</v>
      </c>
      <c r="ABF25">
        <v>154</v>
      </c>
      <c r="ABI25">
        <v>126</v>
      </c>
      <c r="ABJ25">
        <v>70</v>
      </c>
      <c r="ABK25">
        <v>61</v>
      </c>
      <c r="ABL25">
        <v>287</v>
      </c>
      <c r="ABM25">
        <v>9</v>
      </c>
      <c r="ABQ25">
        <v>4</v>
      </c>
      <c r="ABR25">
        <v>115</v>
      </c>
      <c r="ABS25">
        <v>6</v>
      </c>
      <c r="ABT25">
        <v>67</v>
      </c>
      <c r="ABU25">
        <v>0</v>
      </c>
      <c r="ABV25">
        <v>0</v>
      </c>
      <c r="ABW25">
        <v>101</v>
      </c>
      <c r="ABX25">
        <v>10</v>
      </c>
      <c r="ABY25">
        <v>32</v>
      </c>
      <c r="ABZ25">
        <v>121</v>
      </c>
      <c r="ACD25">
        <v>249</v>
      </c>
      <c r="ACE25">
        <v>179</v>
      </c>
      <c r="ACF25">
        <v>1</v>
      </c>
      <c r="ACG25">
        <v>497</v>
      </c>
      <c r="ACH25">
        <v>293</v>
      </c>
      <c r="ACK25">
        <v>177</v>
      </c>
      <c r="ACL25">
        <v>102</v>
      </c>
      <c r="ACM25">
        <v>95</v>
      </c>
      <c r="ACN25">
        <v>87</v>
      </c>
      <c r="ACO25">
        <v>223</v>
      </c>
      <c r="ACR25">
        <v>256</v>
      </c>
      <c r="ACS25">
        <v>276</v>
      </c>
      <c r="ACT25">
        <v>203</v>
      </c>
      <c r="ACU25">
        <v>37</v>
      </c>
      <c r="ACY25">
        <v>96</v>
      </c>
      <c r="ACZ25">
        <v>3</v>
      </c>
      <c r="ADA25">
        <v>0</v>
      </c>
      <c r="ADB25">
        <v>85</v>
      </c>
      <c r="ADC25">
        <v>0</v>
      </c>
      <c r="ADF25">
        <v>240</v>
      </c>
      <c r="ADG25">
        <v>223</v>
      </c>
      <c r="ADH25">
        <v>161</v>
      </c>
      <c r="ADI25">
        <v>207</v>
      </c>
      <c r="ADJ25">
        <v>160</v>
      </c>
      <c r="ADM25">
        <v>172</v>
      </c>
      <c r="ADN25">
        <v>78</v>
      </c>
      <c r="ADO25">
        <v>26</v>
      </c>
      <c r="ADP25">
        <v>104</v>
      </c>
      <c r="ADQ25">
        <v>74</v>
      </c>
      <c r="ADT25">
        <v>165</v>
      </c>
      <c r="AEA25">
        <v>379</v>
      </c>
      <c r="AEB25">
        <v>164</v>
      </c>
      <c r="AEC25">
        <v>69</v>
      </c>
      <c r="AED25">
        <v>92</v>
      </c>
      <c r="AEE25">
        <v>36</v>
      </c>
      <c r="AEH25">
        <v>59</v>
      </c>
      <c r="AEI25">
        <v>31</v>
      </c>
      <c r="AEJ25">
        <v>26</v>
      </c>
      <c r="AEK25">
        <v>79</v>
      </c>
      <c r="AEL25">
        <v>95</v>
      </c>
      <c r="AEO25">
        <v>373</v>
      </c>
      <c r="AEP25">
        <v>121</v>
      </c>
      <c r="AEQ25">
        <v>219</v>
      </c>
      <c r="AER25">
        <v>190</v>
      </c>
      <c r="AES25">
        <v>224</v>
      </c>
      <c r="AEV25">
        <v>112</v>
      </c>
      <c r="AEW25">
        <v>64</v>
      </c>
      <c r="AEX25">
        <v>107</v>
      </c>
      <c r="AEY25">
        <v>259</v>
      </c>
      <c r="AEZ25">
        <v>86</v>
      </c>
      <c r="AFC25">
        <v>188</v>
      </c>
      <c r="AFD25">
        <v>62</v>
      </c>
      <c r="AFE25">
        <v>22</v>
      </c>
      <c r="AFF25">
        <v>109</v>
      </c>
      <c r="AFG25">
        <v>131</v>
      </c>
      <c r="AFH25">
        <v>0</v>
      </c>
      <c r="AFI25">
        <v>0</v>
      </c>
      <c r="AFJ25">
        <v>115</v>
      </c>
      <c r="AFK25">
        <v>64</v>
      </c>
      <c r="AFL25">
        <v>209</v>
      </c>
      <c r="AFM25">
        <v>359</v>
      </c>
      <c r="AFN25">
        <v>122</v>
      </c>
      <c r="AFQ25">
        <v>174</v>
      </c>
      <c r="AFR25">
        <v>183</v>
      </c>
      <c r="AFS25">
        <v>196</v>
      </c>
      <c r="AFT25">
        <v>302</v>
      </c>
      <c r="AFU25">
        <v>186</v>
      </c>
      <c r="AFX25">
        <v>387</v>
      </c>
      <c r="AFY25">
        <v>71</v>
      </c>
      <c r="AFZ25">
        <v>138</v>
      </c>
      <c r="AGA25">
        <v>147</v>
      </c>
      <c r="AGB25">
        <v>270</v>
      </c>
      <c r="AGE25">
        <v>238</v>
      </c>
      <c r="AGF25">
        <v>273</v>
      </c>
      <c r="AGG25">
        <v>330</v>
      </c>
      <c r="AGH25">
        <v>154</v>
      </c>
      <c r="AGI25">
        <v>250</v>
      </c>
      <c r="AGL25">
        <v>156</v>
      </c>
      <c r="AGM25">
        <v>113</v>
      </c>
      <c r="AGN25">
        <v>179</v>
      </c>
      <c r="AGO25">
        <v>255</v>
      </c>
      <c r="AGP25">
        <v>626</v>
      </c>
      <c r="AGS25">
        <v>378</v>
      </c>
      <c r="AGT25">
        <v>243</v>
      </c>
      <c r="AGU25">
        <v>297</v>
      </c>
      <c r="AGV25">
        <v>285</v>
      </c>
      <c r="AGW25">
        <v>281</v>
      </c>
      <c r="AGZ25">
        <v>298</v>
      </c>
      <c r="AHA25">
        <v>294</v>
      </c>
      <c r="AHB25">
        <v>0</v>
      </c>
      <c r="AHC25">
        <v>247</v>
      </c>
      <c r="AHD25">
        <v>309</v>
      </c>
      <c r="AHG25">
        <v>276</v>
      </c>
      <c r="AHH25">
        <v>6</v>
      </c>
      <c r="AHI25">
        <v>50</v>
      </c>
      <c r="AHJ25">
        <v>54</v>
      </c>
      <c r="AHK25">
        <v>8</v>
      </c>
      <c r="AHO25">
        <v>360</v>
      </c>
      <c r="AHP25">
        <v>209</v>
      </c>
      <c r="AHQ25">
        <v>0</v>
      </c>
      <c r="AHR25">
        <v>169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254</v>
      </c>
      <c r="AHY25">
        <v>106</v>
      </c>
      <c r="AHZ25">
        <v>0</v>
      </c>
      <c r="AIA25">
        <v>0</v>
      </c>
      <c r="AIB25">
        <v>323</v>
      </c>
      <c r="AIC25">
        <v>159</v>
      </c>
      <c r="AID25">
        <v>233</v>
      </c>
      <c r="AIE25">
        <v>165</v>
      </c>
      <c r="AIF25">
        <v>158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149</v>
      </c>
      <c r="AIR25">
        <v>221</v>
      </c>
      <c r="AIS25">
        <v>147</v>
      </c>
      <c r="AIT25">
        <v>2</v>
      </c>
      <c r="AIW25">
        <v>413</v>
      </c>
      <c r="AIX25">
        <v>104</v>
      </c>
      <c r="AIY25">
        <v>93</v>
      </c>
      <c r="AIZ25">
        <v>144</v>
      </c>
      <c r="AJA25">
        <v>38</v>
      </c>
      <c r="AJD25">
        <v>235</v>
      </c>
      <c r="AJE25">
        <v>231</v>
      </c>
      <c r="AJF25">
        <v>247</v>
      </c>
      <c r="AJG25">
        <v>137</v>
      </c>
      <c r="AJH25">
        <v>299</v>
      </c>
      <c r="AJI25">
        <v>0</v>
      </c>
      <c r="AJJ25">
        <v>0</v>
      </c>
      <c r="AJK25">
        <v>319</v>
      </c>
      <c r="AJL25">
        <v>162</v>
      </c>
      <c r="AJM25">
        <v>67</v>
      </c>
      <c r="AJN25">
        <v>223</v>
      </c>
      <c r="AJO25">
        <v>102</v>
      </c>
      <c r="AJP25">
        <v>7</v>
      </c>
      <c r="AJQ25">
        <v>0</v>
      </c>
      <c r="AJR25">
        <v>0</v>
      </c>
      <c r="AJS25">
        <v>0</v>
      </c>
      <c r="AJT25">
        <v>0</v>
      </c>
      <c r="AJU25">
        <v>181</v>
      </c>
      <c r="AJV25">
        <v>279</v>
      </c>
      <c r="AJW25">
        <v>0</v>
      </c>
      <c r="AJX25">
        <v>0</v>
      </c>
      <c r="AJY25">
        <v>363</v>
      </c>
      <c r="AJZ25">
        <v>131</v>
      </c>
      <c r="AKA25">
        <v>41</v>
      </c>
      <c r="AKB25">
        <v>13</v>
      </c>
      <c r="AKC25">
        <v>58</v>
      </c>
      <c r="AKD25">
        <v>0</v>
      </c>
      <c r="AKE25">
        <v>0</v>
      </c>
      <c r="AKF25">
        <v>94</v>
      </c>
    </row>
    <row r="26" spans="1:968">
      <c r="A26">
        <v>3</v>
      </c>
      <c r="B26" s="1" t="s">
        <v>65</v>
      </c>
      <c r="C26" s="1">
        <v>82303</v>
      </c>
      <c r="D26" s="1" t="s">
        <v>8</v>
      </c>
      <c r="E26" s="1" t="s">
        <v>63</v>
      </c>
      <c r="F26" s="1" t="s">
        <v>59</v>
      </c>
      <c r="G26" s="1" t="s">
        <v>12</v>
      </c>
      <c r="H26" s="1" t="s">
        <v>21</v>
      </c>
      <c r="I26" s="1" t="s">
        <v>64</v>
      </c>
      <c r="J26" s="1" t="s">
        <v>15</v>
      </c>
      <c r="K26" s="23">
        <v>101</v>
      </c>
      <c r="L26" s="23">
        <v>119</v>
      </c>
      <c r="M26" s="23">
        <v>42</v>
      </c>
      <c r="N26" s="23">
        <v>0</v>
      </c>
      <c r="O26" s="23">
        <v>0</v>
      </c>
      <c r="P26" s="23">
        <v>324</v>
      </c>
      <c r="Q26" s="23">
        <v>115</v>
      </c>
      <c r="R26" s="23">
        <v>216</v>
      </c>
      <c r="S26" s="23">
        <v>135</v>
      </c>
      <c r="T26" s="23">
        <v>118</v>
      </c>
      <c r="U26" s="23">
        <v>0</v>
      </c>
      <c r="V26" s="23">
        <v>0</v>
      </c>
      <c r="W26" s="23">
        <v>58</v>
      </c>
      <c r="X26" s="23">
        <v>53</v>
      </c>
      <c r="Y26" s="23">
        <v>251</v>
      </c>
      <c r="Z26" s="23">
        <v>147</v>
      </c>
      <c r="AA26" s="23">
        <v>122</v>
      </c>
      <c r="AB26" s="23">
        <v>0</v>
      </c>
      <c r="AC26" s="23">
        <v>0</v>
      </c>
      <c r="AD26" s="23">
        <v>0</v>
      </c>
      <c r="AE26" s="23">
        <v>0</v>
      </c>
      <c r="AF26" s="23">
        <v>0</v>
      </c>
      <c r="AG26" s="23">
        <v>51</v>
      </c>
      <c r="AH26" s="23">
        <v>47</v>
      </c>
      <c r="AI26" s="23">
        <v>0</v>
      </c>
      <c r="AJ26" s="23">
        <v>0</v>
      </c>
      <c r="AK26" s="23">
        <v>52</v>
      </c>
      <c r="AL26" s="23">
        <v>465</v>
      </c>
      <c r="AM26" s="23">
        <v>230</v>
      </c>
      <c r="AN26" s="23">
        <v>166</v>
      </c>
      <c r="AO26" s="23">
        <v>196</v>
      </c>
      <c r="AP26" s="23">
        <v>0</v>
      </c>
      <c r="AQ26" s="23">
        <v>0</v>
      </c>
      <c r="AR26" s="23">
        <v>88</v>
      </c>
      <c r="AS26" s="23">
        <v>0</v>
      </c>
      <c r="AT26" s="23">
        <v>0</v>
      </c>
      <c r="AU26" s="23">
        <v>79</v>
      </c>
      <c r="AV26" s="23">
        <v>154</v>
      </c>
      <c r="AW26" s="23"/>
      <c r="AX26" s="23"/>
      <c r="AY26" s="23">
        <v>164</v>
      </c>
      <c r="AZ26" s="23">
        <v>477</v>
      </c>
      <c r="BA26" s="23">
        <v>353</v>
      </c>
      <c r="BB26" s="23">
        <v>30</v>
      </c>
      <c r="BC26" s="23">
        <v>25</v>
      </c>
      <c r="BD26" s="23">
        <v>0</v>
      </c>
      <c r="BE26" s="23">
        <v>0</v>
      </c>
      <c r="BF26" s="23">
        <v>0</v>
      </c>
      <c r="BG26" s="23">
        <v>204</v>
      </c>
      <c r="BH26" s="23">
        <v>311</v>
      </c>
      <c r="BI26" s="23">
        <v>330</v>
      </c>
      <c r="BJ26" s="23">
        <v>196</v>
      </c>
      <c r="BK26" s="23">
        <v>0</v>
      </c>
      <c r="BL26" s="23">
        <v>0</v>
      </c>
      <c r="BM26" s="23">
        <v>168</v>
      </c>
      <c r="BN26" s="23">
        <v>0</v>
      </c>
      <c r="BO26" s="23">
        <v>0</v>
      </c>
      <c r="BP26" s="23">
        <v>0</v>
      </c>
      <c r="BQ26" s="23">
        <v>0</v>
      </c>
      <c r="BR26" s="23">
        <v>0</v>
      </c>
      <c r="BS26" s="23">
        <v>0</v>
      </c>
      <c r="BT26" s="23">
        <v>0</v>
      </c>
      <c r="BU26" s="23">
        <v>0</v>
      </c>
      <c r="BV26" s="23">
        <v>3</v>
      </c>
      <c r="BW26" s="23">
        <v>42</v>
      </c>
      <c r="BX26" s="23">
        <v>175</v>
      </c>
      <c r="BY26" s="23"/>
      <c r="BZ26" s="23"/>
      <c r="CA26">
        <v>77</v>
      </c>
      <c r="CB26">
        <v>460</v>
      </c>
      <c r="CC26">
        <v>181</v>
      </c>
      <c r="CD26">
        <v>188</v>
      </c>
      <c r="CE26">
        <v>228</v>
      </c>
      <c r="CH26">
        <v>73</v>
      </c>
      <c r="CI26">
        <v>288</v>
      </c>
      <c r="CJ26">
        <v>106</v>
      </c>
      <c r="CK26">
        <v>72</v>
      </c>
      <c r="CL26">
        <v>219</v>
      </c>
      <c r="CO26">
        <v>104</v>
      </c>
      <c r="CP26">
        <v>1</v>
      </c>
      <c r="CQ26">
        <v>81</v>
      </c>
      <c r="CR26">
        <v>0</v>
      </c>
      <c r="CS26">
        <v>378</v>
      </c>
      <c r="CV26">
        <v>97</v>
      </c>
      <c r="CW26">
        <v>1</v>
      </c>
      <c r="CX26">
        <v>10</v>
      </c>
      <c r="CY26">
        <v>0</v>
      </c>
      <c r="CZ26">
        <v>175</v>
      </c>
      <c r="DC26">
        <v>442</v>
      </c>
      <c r="DD26">
        <v>384</v>
      </c>
      <c r="DE26">
        <v>162</v>
      </c>
      <c r="DF26">
        <v>615</v>
      </c>
      <c r="DG26">
        <v>79</v>
      </c>
      <c r="DJ26">
        <v>61</v>
      </c>
      <c r="DK26">
        <v>411</v>
      </c>
      <c r="DL26">
        <v>166</v>
      </c>
      <c r="DM26">
        <v>295</v>
      </c>
      <c r="DN26">
        <v>22</v>
      </c>
      <c r="DQ26">
        <v>0</v>
      </c>
      <c r="DR26">
        <v>119</v>
      </c>
      <c r="DS26">
        <v>166</v>
      </c>
      <c r="DT26">
        <v>17</v>
      </c>
      <c r="DU26">
        <v>77</v>
      </c>
      <c r="DX26">
        <v>2</v>
      </c>
      <c r="DY26">
        <v>492</v>
      </c>
      <c r="DZ26">
        <v>288</v>
      </c>
      <c r="EA26">
        <v>128</v>
      </c>
      <c r="EB26">
        <v>45</v>
      </c>
      <c r="EE26">
        <v>326</v>
      </c>
      <c r="EF26">
        <v>404</v>
      </c>
      <c r="EG26">
        <v>158</v>
      </c>
      <c r="EH26">
        <v>201</v>
      </c>
      <c r="EI26">
        <v>212</v>
      </c>
      <c r="EL26">
        <v>0</v>
      </c>
      <c r="EM26">
        <v>52</v>
      </c>
      <c r="EN26">
        <v>327</v>
      </c>
      <c r="EO26">
        <v>455</v>
      </c>
      <c r="EP26">
        <v>363</v>
      </c>
      <c r="ES26">
        <v>114</v>
      </c>
      <c r="ET26">
        <v>188</v>
      </c>
      <c r="EU26">
        <v>441</v>
      </c>
      <c r="EV26">
        <v>0</v>
      </c>
      <c r="EW26">
        <v>336</v>
      </c>
      <c r="EZ26">
        <v>0</v>
      </c>
      <c r="FA26">
        <v>473</v>
      </c>
      <c r="FB26">
        <v>0</v>
      </c>
      <c r="FC26">
        <v>204</v>
      </c>
      <c r="FD26">
        <v>0</v>
      </c>
      <c r="FG26">
        <v>62</v>
      </c>
      <c r="FH26">
        <v>147</v>
      </c>
      <c r="FI26">
        <v>159</v>
      </c>
      <c r="FJ26">
        <v>262</v>
      </c>
      <c r="FK26">
        <v>218</v>
      </c>
      <c r="FL26">
        <v>0</v>
      </c>
      <c r="FM26">
        <v>0</v>
      </c>
      <c r="FN26">
        <v>0</v>
      </c>
      <c r="FO26">
        <v>105</v>
      </c>
      <c r="FP26">
        <v>147</v>
      </c>
      <c r="FQ26">
        <v>362</v>
      </c>
      <c r="FR26">
        <v>0</v>
      </c>
      <c r="FU26">
        <v>0</v>
      </c>
      <c r="FV26">
        <v>0</v>
      </c>
      <c r="FW26">
        <v>0</v>
      </c>
      <c r="FX26">
        <v>50</v>
      </c>
      <c r="FY26">
        <v>60</v>
      </c>
      <c r="GB26">
        <v>241</v>
      </c>
      <c r="GC26">
        <v>0</v>
      </c>
      <c r="GD26">
        <v>321</v>
      </c>
      <c r="GE26">
        <v>268</v>
      </c>
      <c r="GF26">
        <v>496</v>
      </c>
      <c r="GK26">
        <v>0</v>
      </c>
      <c r="GL26">
        <v>335</v>
      </c>
      <c r="GM26">
        <v>94</v>
      </c>
      <c r="GP26">
        <v>0</v>
      </c>
      <c r="GQ26">
        <v>249</v>
      </c>
      <c r="GR26">
        <v>490</v>
      </c>
      <c r="GS26">
        <v>15</v>
      </c>
      <c r="GT26">
        <v>324</v>
      </c>
      <c r="GU26">
        <v>0</v>
      </c>
      <c r="GV26">
        <v>0</v>
      </c>
      <c r="GW26">
        <v>0</v>
      </c>
      <c r="GX26">
        <v>96</v>
      </c>
      <c r="GY26">
        <v>79</v>
      </c>
      <c r="GZ26">
        <v>165</v>
      </c>
      <c r="HA26">
        <v>309</v>
      </c>
      <c r="HD26">
        <v>299</v>
      </c>
      <c r="HE26">
        <v>195</v>
      </c>
      <c r="HF26">
        <v>0</v>
      </c>
      <c r="HG26">
        <v>274</v>
      </c>
      <c r="HH26">
        <v>39</v>
      </c>
      <c r="HI26">
        <v>0</v>
      </c>
      <c r="HJ26">
        <v>0</v>
      </c>
      <c r="HK26">
        <v>0</v>
      </c>
      <c r="HL26">
        <v>134</v>
      </c>
      <c r="HM26">
        <v>463</v>
      </c>
      <c r="HN26">
        <v>346</v>
      </c>
      <c r="HO26">
        <v>9</v>
      </c>
      <c r="HS26">
        <v>280</v>
      </c>
      <c r="HT26">
        <v>473</v>
      </c>
      <c r="HU26">
        <v>223</v>
      </c>
      <c r="HV26">
        <v>463</v>
      </c>
      <c r="HY26">
        <v>134</v>
      </c>
      <c r="HZ26">
        <v>304</v>
      </c>
      <c r="IA26">
        <v>190</v>
      </c>
      <c r="IB26">
        <v>175</v>
      </c>
      <c r="IC26">
        <v>52</v>
      </c>
      <c r="IF26">
        <v>57</v>
      </c>
      <c r="IG26">
        <v>29</v>
      </c>
      <c r="IH26">
        <v>283</v>
      </c>
      <c r="II26">
        <v>28</v>
      </c>
      <c r="IJ26">
        <v>258</v>
      </c>
      <c r="IM26">
        <v>97</v>
      </c>
      <c r="IN26">
        <v>124</v>
      </c>
      <c r="IO26">
        <v>314</v>
      </c>
      <c r="IP26">
        <v>80</v>
      </c>
      <c r="IQ26">
        <v>74</v>
      </c>
      <c r="IT26">
        <v>221</v>
      </c>
      <c r="IU26">
        <v>59</v>
      </c>
      <c r="IV26">
        <v>81</v>
      </c>
      <c r="JA26">
        <v>221</v>
      </c>
      <c r="JB26">
        <v>59</v>
      </c>
      <c r="JC26">
        <v>126</v>
      </c>
      <c r="JD26">
        <v>118</v>
      </c>
      <c r="JE26">
        <v>312</v>
      </c>
      <c r="JH26">
        <v>0</v>
      </c>
      <c r="JI26">
        <v>156</v>
      </c>
      <c r="JJ26">
        <v>32</v>
      </c>
      <c r="JK26">
        <v>374</v>
      </c>
      <c r="JL26">
        <v>0</v>
      </c>
      <c r="JO26">
        <v>7</v>
      </c>
      <c r="JP26">
        <v>0</v>
      </c>
      <c r="JQ26">
        <v>269</v>
      </c>
      <c r="JR26">
        <v>82</v>
      </c>
      <c r="JS26">
        <v>152</v>
      </c>
      <c r="JT26">
        <v>0</v>
      </c>
      <c r="JU26">
        <v>0</v>
      </c>
      <c r="JV26">
        <v>0</v>
      </c>
      <c r="JW26">
        <v>10</v>
      </c>
      <c r="JX26">
        <v>39</v>
      </c>
      <c r="JY26">
        <v>418</v>
      </c>
      <c r="JZ26">
        <v>213</v>
      </c>
      <c r="KA26">
        <v>0</v>
      </c>
      <c r="KB26">
        <v>0</v>
      </c>
      <c r="KC26">
        <v>110</v>
      </c>
      <c r="KD26">
        <v>323</v>
      </c>
      <c r="KE26">
        <v>35</v>
      </c>
      <c r="KF26">
        <v>147</v>
      </c>
      <c r="KG26">
        <v>138</v>
      </c>
      <c r="KJ26">
        <v>0</v>
      </c>
      <c r="KK26">
        <v>102</v>
      </c>
      <c r="KL26">
        <v>171</v>
      </c>
      <c r="KM26">
        <v>116</v>
      </c>
      <c r="KN26">
        <v>70</v>
      </c>
      <c r="KQ26">
        <v>128</v>
      </c>
      <c r="KR26">
        <v>93</v>
      </c>
      <c r="KS26">
        <v>176</v>
      </c>
      <c r="KT26">
        <v>59</v>
      </c>
      <c r="KU26">
        <v>176</v>
      </c>
      <c r="KX26">
        <v>0</v>
      </c>
      <c r="KY26">
        <v>184</v>
      </c>
      <c r="KZ26">
        <v>425</v>
      </c>
      <c r="LA26">
        <v>0</v>
      </c>
      <c r="LB26">
        <v>117</v>
      </c>
      <c r="LE26">
        <v>189</v>
      </c>
      <c r="LF26">
        <v>157</v>
      </c>
      <c r="LG26">
        <v>407</v>
      </c>
      <c r="LH26">
        <v>792</v>
      </c>
      <c r="LI26">
        <v>114</v>
      </c>
      <c r="LL26">
        <v>63</v>
      </c>
      <c r="LM26">
        <v>27</v>
      </c>
      <c r="LN26">
        <v>41</v>
      </c>
      <c r="LO26">
        <v>46</v>
      </c>
      <c r="LP26">
        <v>39</v>
      </c>
      <c r="LS26">
        <v>7</v>
      </c>
      <c r="LT26">
        <v>16</v>
      </c>
      <c r="LU26">
        <v>45</v>
      </c>
      <c r="LV26">
        <v>29</v>
      </c>
      <c r="LW26">
        <v>0</v>
      </c>
      <c r="LZ26">
        <v>192</v>
      </c>
      <c r="MA26">
        <v>126</v>
      </c>
      <c r="MB26">
        <v>229</v>
      </c>
      <c r="MC26">
        <v>59</v>
      </c>
      <c r="MD26">
        <v>75</v>
      </c>
      <c r="ME26">
        <v>0</v>
      </c>
      <c r="MF26">
        <v>0</v>
      </c>
      <c r="MG26">
        <v>0</v>
      </c>
      <c r="MH26">
        <v>111</v>
      </c>
      <c r="MI26">
        <v>175</v>
      </c>
      <c r="MJ26">
        <v>66</v>
      </c>
      <c r="MK26">
        <v>321</v>
      </c>
      <c r="ML26">
        <v>0</v>
      </c>
      <c r="MM26">
        <v>0</v>
      </c>
      <c r="MN26">
        <v>223</v>
      </c>
      <c r="MO26">
        <v>295</v>
      </c>
      <c r="MP26">
        <v>122</v>
      </c>
      <c r="MQ26">
        <v>58</v>
      </c>
      <c r="MR26">
        <v>18</v>
      </c>
      <c r="MS26">
        <v>0</v>
      </c>
      <c r="MT26">
        <v>0</v>
      </c>
      <c r="MU26">
        <v>0</v>
      </c>
      <c r="MV26">
        <v>0</v>
      </c>
      <c r="MW26">
        <v>70</v>
      </c>
      <c r="MX26">
        <v>28</v>
      </c>
      <c r="MY26">
        <v>4</v>
      </c>
      <c r="MZ26">
        <v>0</v>
      </c>
      <c r="NA26">
        <v>0</v>
      </c>
      <c r="NB26">
        <v>236</v>
      </c>
      <c r="NC26">
        <v>168</v>
      </c>
      <c r="ND26">
        <v>0</v>
      </c>
      <c r="NE26">
        <v>85</v>
      </c>
      <c r="NF26">
        <v>126</v>
      </c>
      <c r="NG26">
        <v>0</v>
      </c>
      <c r="NH26">
        <v>0</v>
      </c>
      <c r="NI26">
        <v>0</v>
      </c>
      <c r="NJ26">
        <v>26</v>
      </c>
      <c r="NK26">
        <v>295</v>
      </c>
      <c r="NL26">
        <v>125</v>
      </c>
      <c r="NM26">
        <v>168</v>
      </c>
      <c r="NN26">
        <v>0</v>
      </c>
      <c r="NO26">
        <v>0</v>
      </c>
      <c r="NP26">
        <v>467</v>
      </c>
      <c r="NQ26">
        <v>394</v>
      </c>
      <c r="NR26">
        <v>64</v>
      </c>
      <c r="NS26">
        <v>383</v>
      </c>
      <c r="NT26">
        <v>76</v>
      </c>
      <c r="NU26">
        <v>0</v>
      </c>
      <c r="NV26">
        <v>0</v>
      </c>
      <c r="NW26">
        <v>146</v>
      </c>
      <c r="NX26">
        <v>183</v>
      </c>
      <c r="NY26">
        <v>260</v>
      </c>
      <c r="NZ26">
        <v>84</v>
      </c>
      <c r="OA26">
        <v>70</v>
      </c>
      <c r="OB26">
        <v>0</v>
      </c>
      <c r="OC26">
        <v>0</v>
      </c>
      <c r="OD26">
        <v>14</v>
      </c>
      <c r="OE26">
        <v>111</v>
      </c>
      <c r="OF26">
        <v>168</v>
      </c>
      <c r="OG26">
        <v>63</v>
      </c>
      <c r="OH26">
        <v>0</v>
      </c>
      <c r="OI26">
        <v>0</v>
      </c>
      <c r="OJ26">
        <v>0</v>
      </c>
      <c r="OK26">
        <v>279</v>
      </c>
      <c r="OL26">
        <v>332</v>
      </c>
      <c r="OM26">
        <v>199</v>
      </c>
      <c r="ON26">
        <v>66</v>
      </c>
      <c r="OO26">
        <v>320</v>
      </c>
      <c r="OP26">
        <v>0</v>
      </c>
      <c r="OQ26">
        <v>0</v>
      </c>
      <c r="OR26">
        <v>0</v>
      </c>
      <c r="OS26">
        <v>284</v>
      </c>
      <c r="OT26">
        <v>347</v>
      </c>
      <c r="OU26">
        <v>0</v>
      </c>
      <c r="OV26">
        <v>309</v>
      </c>
      <c r="OW26">
        <v>0</v>
      </c>
      <c r="OX26">
        <v>0</v>
      </c>
      <c r="OY26">
        <v>358</v>
      </c>
      <c r="OZ26">
        <v>123</v>
      </c>
      <c r="PA26">
        <v>284</v>
      </c>
      <c r="PB26">
        <v>319</v>
      </c>
      <c r="PC26">
        <v>162</v>
      </c>
      <c r="PD26">
        <v>0</v>
      </c>
      <c r="PE26">
        <v>0</v>
      </c>
      <c r="PF26">
        <v>96</v>
      </c>
      <c r="PG26">
        <v>236</v>
      </c>
      <c r="PH26">
        <v>22</v>
      </c>
      <c r="PI26">
        <v>142</v>
      </c>
      <c r="PJ26">
        <v>12</v>
      </c>
      <c r="PK26">
        <v>0</v>
      </c>
      <c r="PL26">
        <v>0</v>
      </c>
      <c r="PM26">
        <v>52</v>
      </c>
      <c r="PN26">
        <v>88</v>
      </c>
      <c r="PO26">
        <v>214</v>
      </c>
      <c r="PP26">
        <v>12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101</v>
      </c>
      <c r="QB26">
        <v>237</v>
      </c>
      <c r="QC26">
        <v>124</v>
      </c>
      <c r="QD26">
        <v>147</v>
      </c>
      <c r="QE26">
        <v>72</v>
      </c>
      <c r="QF26">
        <v>0</v>
      </c>
      <c r="QG26">
        <v>0</v>
      </c>
      <c r="QH26">
        <v>158</v>
      </c>
      <c r="QI26">
        <v>177</v>
      </c>
      <c r="QJ26">
        <v>102</v>
      </c>
      <c r="QK26">
        <v>78</v>
      </c>
      <c r="QL26">
        <v>32</v>
      </c>
      <c r="QM26">
        <v>0</v>
      </c>
      <c r="QN26">
        <v>0</v>
      </c>
      <c r="QO26">
        <v>43</v>
      </c>
      <c r="QP26">
        <v>122</v>
      </c>
      <c r="QQ26">
        <v>159</v>
      </c>
      <c r="QR26">
        <v>11</v>
      </c>
      <c r="QS26">
        <v>157</v>
      </c>
      <c r="QT26">
        <v>0</v>
      </c>
      <c r="QU26">
        <v>0</v>
      </c>
      <c r="QV26">
        <v>141</v>
      </c>
      <c r="QW26">
        <v>262</v>
      </c>
      <c r="QX26">
        <v>34</v>
      </c>
      <c r="QY26">
        <v>222</v>
      </c>
      <c r="QZ26">
        <v>183</v>
      </c>
      <c r="RA26">
        <v>0</v>
      </c>
      <c r="RB26">
        <v>0</v>
      </c>
      <c r="RC26">
        <v>128</v>
      </c>
      <c r="RD26">
        <v>91</v>
      </c>
      <c r="RE26">
        <v>266</v>
      </c>
      <c r="RF26">
        <v>53</v>
      </c>
      <c r="RG26">
        <v>0</v>
      </c>
      <c r="RH26">
        <v>0</v>
      </c>
      <c r="RI26">
        <v>0</v>
      </c>
      <c r="RJ26">
        <v>62</v>
      </c>
      <c r="RK26">
        <v>194</v>
      </c>
      <c r="RL26">
        <v>81</v>
      </c>
      <c r="RM26">
        <v>16</v>
      </c>
      <c r="RN26">
        <v>27</v>
      </c>
      <c r="RO26">
        <v>0</v>
      </c>
      <c r="RP26">
        <v>0</v>
      </c>
      <c r="RQ26">
        <v>38</v>
      </c>
      <c r="RR26">
        <v>63</v>
      </c>
      <c r="RS26">
        <v>300</v>
      </c>
      <c r="RT26">
        <v>0</v>
      </c>
      <c r="RU26">
        <v>88</v>
      </c>
      <c r="RV26">
        <v>0</v>
      </c>
      <c r="RW26">
        <v>0</v>
      </c>
      <c r="RX26">
        <v>140</v>
      </c>
      <c r="RY26">
        <v>241</v>
      </c>
      <c r="RZ26">
        <v>78</v>
      </c>
      <c r="SA26">
        <v>48</v>
      </c>
      <c r="SB26">
        <v>258</v>
      </c>
      <c r="SE26" s="42">
        <v>60</v>
      </c>
      <c r="SF26" s="42">
        <v>138</v>
      </c>
      <c r="SG26" s="42">
        <v>3</v>
      </c>
      <c r="SH26" s="42">
        <v>39</v>
      </c>
      <c r="SI26" s="42">
        <v>36</v>
      </c>
      <c r="SJ26">
        <v>0</v>
      </c>
      <c r="SK26" s="42">
        <v>0</v>
      </c>
      <c r="SL26">
        <v>124</v>
      </c>
      <c r="SM26">
        <v>104</v>
      </c>
      <c r="SN26">
        <v>123</v>
      </c>
      <c r="SO26">
        <v>35</v>
      </c>
      <c r="SP26">
        <v>43</v>
      </c>
      <c r="SS26">
        <v>45</v>
      </c>
      <c r="ST26">
        <v>234</v>
      </c>
      <c r="SU26">
        <v>362</v>
      </c>
      <c r="SV26">
        <v>17</v>
      </c>
      <c r="SW26">
        <v>0</v>
      </c>
      <c r="SX26">
        <v>0</v>
      </c>
      <c r="SY26">
        <v>0</v>
      </c>
      <c r="SZ26">
        <v>23</v>
      </c>
      <c r="TA26">
        <v>249</v>
      </c>
      <c r="TB26">
        <v>173</v>
      </c>
      <c r="TC26">
        <v>407</v>
      </c>
      <c r="TD26">
        <v>112</v>
      </c>
      <c r="TE26">
        <v>0</v>
      </c>
      <c r="TF26">
        <v>0</v>
      </c>
      <c r="TG26">
        <v>56</v>
      </c>
      <c r="TH26">
        <v>46</v>
      </c>
      <c r="TI26">
        <v>51</v>
      </c>
      <c r="TJ26">
        <v>29</v>
      </c>
      <c r="TK26">
        <v>244</v>
      </c>
      <c r="TM26" s="46"/>
      <c r="TN26" s="46"/>
      <c r="TO26" s="46">
        <v>161</v>
      </c>
      <c r="TP26" s="46">
        <v>302</v>
      </c>
      <c r="TQ26" s="46">
        <v>495</v>
      </c>
      <c r="TR26" s="46">
        <v>422</v>
      </c>
      <c r="TS26" s="46">
        <v>0</v>
      </c>
      <c r="TT26" s="46">
        <v>0</v>
      </c>
      <c r="TU26" s="46">
        <v>0</v>
      </c>
      <c r="TV26">
        <v>0</v>
      </c>
      <c r="TW26">
        <v>10</v>
      </c>
      <c r="TX26">
        <v>0</v>
      </c>
      <c r="TY26">
        <v>567</v>
      </c>
      <c r="TZ26">
        <v>0</v>
      </c>
      <c r="UA26">
        <v>0</v>
      </c>
      <c r="UB26">
        <v>148</v>
      </c>
      <c r="UC26">
        <v>89</v>
      </c>
      <c r="UD26">
        <v>151</v>
      </c>
      <c r="UE26">
        <v>273</v>
      </c>
      <c r="UF26">
        <v>103</v>
      </c>
      <c r="UG26">
        <v>0</v>
      </c>
      <c r="UH26">
        <v>0</v>
      </c>
      <c r="UI26">
        <v>0</v>
      </c>
      <c r="UJ26">
        <v>480</v>
      </c>
      <c r="UK26">
        <v>171</v>
      </c>
      <c r="UL26">
        <v>0</v>
      </c>
      <c r="UM26">
        <v>92</v>
      </c>
      <c r="UN26">
        <v>0</v>
      </c>
      <c r="UO26">
        <v>0</v>
      </c>
      <c r="UP26">
        <v>0</v>
      </c>
      <c r="UQ26">
        <v>199</v>
      </c>
      <c r="UR26">
        <v>116</v>
      </c>
      <c r="US26">
        <v>162</v>
      </c>
      <c r="UT26">
        <v>125</v>
      </c>
      <c r="UU26">
        <v>0</v>
      </c>
      <c r="UV26">
        <v>0</v>
      </c>
      <c r="UW26">
        <v>0</v>
      </c>
      <c r="UX26">
        <v>317</v>
      </c>
      <c r="UY26">
        <v>124</v>
      </c>
      <c r="UZ26">
        <v>416</v>
      </c>
      <c r="VA26">
        <v>82</v>
      </c>
      <c r="VB26">
        <v>0</v>
      </c>
      <c r="VC26">
        <v>0</v>
      </c>
      <c r="VD26">
        <v>184</v>
      </c>
      <c r="VE26">
        <v>288</v>
      </c>
      <c r="VF26">
        <v>237</v>
      </c>
      <c r="VG26">
        <v>459</v>
      </c>
      <c r="VH26">
        <v>60</v>
      </c>
      <c r="VI26">
        <v>0</v>
      </c>
      <c r="VJ26">
        <v>0</v>
      </c>
      <c r="VK26">
        <v>165</v>
      </c>
      <c r="VL26">
        <v>253</v>
      </c>
      <c r="VM26">
        <v>109</v>
      </c>
      <c r="VN26">
        <v>145</v>
      </c>
      <c r="VO26">
        <v>352</v>
      </c>
      <c r="VP26">
        <v>0</v>
      </c>
      <c r="VQ26">
        <v>0</v>
      </c>
      <c r="VR26">
        <v>112</v>
      </c>
      <c r="VS26">
        <v>0</v>
      </c>
      <c r="VT26">
        <v>318</v>
      </c>
      <c r="VU26">
        <v>202</v>
      </c>
      <c r="VV26">
        <v>166</v>
      </c>
      <c r="VW26">
        <v>0</v>
      </c>
      <c r="VX26">
        <v>0</v>
      </c>
      <c r="VY26">
        <v>153</v>
      </c>
      <c r="VZ26">
        <v>172</v>
      </c>
      <c r="WA26">
        <v>158</v>
      </c>
      <c r="WB26">
        <v>226</v>
      </c>
      <c r="WC26">
        <v>24</v>
      </c>
      <c r="WD26">
        <v>0</v>
      </c>
      <c r="WE26">
        <v>0</v>
      </c>
      <c r="WF26">
        <v>45</v>
      </c>
      <c r="WG26">
        <v>114</v>
      </c>
      <c r="WH26">
        <v>188</v>
      </c>
      <c r="WI26">
        <v>87</v>
      </c>
      <c r="WJ26">
        <v>67</v>
      </c>
      <c r="WK26">
        <v>0</v>
      </c>
      <c r="WL26">
        <v>0</v>
      </c>
      <c r="WM26">
        <v>10</v>
      </c>
      <c r="WN26">
        <v>119</v>
      </c>
      <c r="WO26">
        <v>208</v>
      </c>
      <c r="WP26">
        <v>83</v>
      </c>
      <c r="WQ26">
        <v>100</v>
      </c>
      <c r="WR26">
        <v>0</v>
      </c>
      <c r="WS26">
        <v>0</v>
      </c>
      <c r="WT26">
        <v>0</v>
      </c>
      <c r="WU26">
        <v>110</v>
      </c>
      <c r="WV26">
        <v>224</v>
      </c>
      <c r="WW26">
        <v>179</v>
      </c>
      <c r="WX26">
        <v>90</v>
      </c>
      <c r="WY26">
        <v>0</v>
      </c>
      <c r="WZ26">
        <v>0</v>
      </c>
      <c r="XA26">
        <v>135</v>
      </c>
      <c r="XB26">
        <v>195</v>
      </c>
      <c r="XC26">
        <v>323</v>
      </c>
      <c r="XD26">
        <v>17</v>
      </c>
      <c r="XE26">
        <v>85</v>
      </c>
      <c r="XF26">
        <v>0</v>
      </c>
      <c r="XG26">
        <v>0</v>
      </c>
      <c r="XH26">
        <v>70</v>
      </c>
      <c r="XI26">
        <v>244</v>
      </c>
      <c r="XJ26">
        <v>34</v>
      </c>
      <c r="XK26">
        <v>78</v>
      </c>
      <c r="XL26">
        <v>31</v>
      </c>
      <c r="XM26">
        <v>0</v>
      </c>
      <c r="XN26">
        <v>0</v>
      </c>
      <c r="XO26">
        <v>151</v>
      </c>
      <c r="XP26">
        <v>378</v>
      </c>
      <c r="XQ26">
        <v>177</v>
      </c>
      <c r="XR26">
        <v>136</v>
      </c>
      <c r="XS26">
        <v>20</v>
      </c>
      <c r="XT26">
        <v>0</v>
      </c>
      <c r="XU26">
        <v>0</v>
      </c>
      <c r="XV26">
        <v>0</v>
      </c>
      <c r="XW26">
        <v>299</v>
      </c>
      <c r="XX26">
        <v>449</v>
      </c>
      <c r="XY26">
        <v>53</v>
      </c>
      <c r="XZ26">
        <v>168</v>
      </c>
      <c r="YA26">
        <v>0</v>
      </c>
      <c r="YB26">
        <v>0</v>
      </c>
      <c r="YC26">
        <v>41</v>
      </c>
      <c r="YD26">
        <v>121</v>
      </c>
      <c r="YE26">
        <v>183</v>
      </c>
      <c r="YF26">
        <v>147</v>
      </c>
      <c r="YG26">
        <v>122</v>
      </c>
      <c r="YH26">
        <v>0</v>
      </c>
      <c r="YI26">
        <v>0</v>
      </c>
      <c r="YJ26">
        <v>0</v>
      </c>
      <c r="YK26">
        <v>0</v>
      </c>
      <c r="YL26">
        <v>332</v>
      </c>
      <c r="YM26">
        <v>152</v>
      </c>
      <c r="YN26">
        <v>91</v>
      </c>
      <c r="YO26">
        <v>0</v>
      </c>
      <c r="YP26">
        <v>0</v>
      </c>
      <c r="YQ26">
        <v>4</v>
      </c>
      <c r="YR26">
        <v>124</v>
      </c>
      <c r="YS26">
        <v>71</v>
      </c>
      <c r="YT26">
        <v>116</v>
      </c>
      <c r="YU26">
        <v>72</v>
      </c>
      <c r="YV26">
        <v>0</v>
      </c>
      <c r="YW26">
        <v>0</v>
      </c>
      <c r="YX26">
        <v>380</v>
      </c>
      <c r="YY26">
        <v>350</v>
      </c>
      <c r="YZ26">
        <v>38</v>
      </c>
      <c r="ZA26">
        <v>89</v>
      </c>
      <c r="ZB26">
        <v>54</v>
      </c>
      <c r="ZE26">
        <v>121</v>
      </c>
      <c r="ZF26">
        <v>376</v>
      </c>
      <c r="ZG26">
        <v>210</v>
      </c>
      <c r="ZH26">
        <v>316</v>
      </c>
      <c r="ZI26">
        <v>271</v>
      </c>
      <c r="ZJ26">
        <v>0</v>
      </c>
      <c r="ZK26">
        <v>0</v>
      </c>
      <c r="ZL26">
        <v>270</v>
      </c>
      <c r="ZM26">
        <v>89</v>
      </c>
      <c r="ZN26">
        <v>22</v>
      </c>
      <c r="ZO26">
        <v>16</v>
      </c>
      <c r="ZP26">
        <v>41</v>
      </c>
      <c r="ZQ26">
        <v>0</v>
      </c>
      <c r="ZR26">
        <v>0</v>
      </c>
      <c r="ZS26">
        <v>94</v>
      </c>
      <c r="ZT26">
        <v>105</v>
      </c>
      <c r="ZU26">
        <v>27</v>
      </c>
      <c r="ZV26">
        <v>31</v>
      </c>
      <c r="ZW26">
        <v>207</v>
      </c>
      <c r="ZX26">
        <v>0</v>
      </c>
      <c r="ZY26">
        <v>0</v>
      </c>
      <c r="ZZ26">
        <v>104</v>
      </c>
      <c r="AAA26">
        <v>342</v>
      </c>
      <c r="AAB26">
        <v>49</v>
      </c>
      <c r="AAC26">
        <v>276</v>
      </c>
      <c r="AAD26">
        <v>131</v>
      </c>
      <c r="AAE26">
        <v>0</v>
      </c>
      <c r="AAF26">
        <v>0</v>
      </c>
      <c r="AAG26">
        <v>92</v>
      </c>
      <c r="AAH26">
        <v>122</v>
      </c>
      <c r="AAI26">
        <v>167</v>
      </c>
      <c r="AAJ26">
        <v>74</v>
      </c>
      <c r="AAK26">
        <v>30</v>
      </c>
      <c r="AAL26">
        <v>0</v>
      </c>
      <c r="AAM26">
        <v>0</v>
      </c>
      <c r="AAN26">
        <v>15</v>
      </c>
      <c r="AAO26">
        <v>7</v>
      </c>
      <c r="AAP26">
        <v>124</v>
      </c>
      <c r="AAQ26">
        <v>143</v>
      </c>
      <c r="AAR26">
        <v>185</v>
      </c>
      <c r="AAS26">
        <v>0</v>
      </c>
      <c r="AAV26">
        <v>125</v>
      </c>
      <c r="AAW26">
        <v>296</v>
      </c>
      <c r="AAX26">
        <v>148</v>
      </c>
      <c r="AAY26">
        <v>101</v>
      </c>
      <c r="AAZ26">
        <v>0</v>
      </c>
      <c r="ABA26">
        <v>0</v>
      </c>
      <c r="ABB26">
        <v>57</v>
      </c>
      <c r="ABC26">
        <v>349</v>
      </c>
      <c r="ABD26">
        <v>195</v>
      </c>
      <c r="ABE26">
        <v>0</v>
      </c>
      <c r="ABF26">
        <v>205</v>
      </c>
      <c r="ABI26">
        <v>61</v>
      </c>
      <c r="ABJ26">
        <v>137</v>
      </c>
      <c r="ABK26">
        <v>71</v>
      </c>
      <c r="ABL26">
        <v>57</v>
      </c>
      <c r="ABM26">
        <v>374</v>
      </c>
      <c r="ABP26">
        <v>209</v>
      </c>
      <c r="ABQ26">
        <v>296</v>
      </c>
      <c r="ABR26">
        <v>38</v>
      </c>
      <c r="ABS26">
        <v>88</v>
      </c>
      <c r="ABT26">
        <v>21</v>
      </c>
      <c r="ABU26">
        <v>0</v>
      </c>
      <c r="ABV26">
        <v>0</v>
      </c>
      <c r="ABW26">
        <v>251</v>
      </c>
      <c r="ABX26">
        <v>209</v>
      </c>
      <c r="ABY26">
        <v>46</v>
      </c>
      <c r="ABZ26">
        <v>98</v>
      </c>
      <c r="ACA26">
        <v>28</v>
      </c>
      <c r="ACD26">
        <v>118</v>
      </c>
      <c r="ACE26">
        <v>164</v>
      </c>
      <c r="ACF26">
        <v>380</v>
      </c>
      <c r="ACG26">
        <v>8</v>
      </c>
      <c r="ACH26">
        <v>40</v>
      </c>
      <c r="ACK26">
        <v>50</v>
      </c>
      <c r="ACL26">
        <v>328</v>
      </c>
      <c r="ACM26">
        <v>40</v>
      </c>
      <c r="ACN26">
        <v>295</v>
      </c>
      <c r="ACO26">
        <v>152</v>
      </c>
      <c r="ACR26">
        <v>248</v>
      </c>
      <c r="ACS26">
        <v>70</v>
      </c>
      <c r="ACT26">
        <v>185</v>
      </c>
      <c r="ACU26">
        <v>56</v>
      </c>
      <c r="ACY26">
        <v>288</v>
      </c>
      <c r="ACZ26">
        <v>234</v>
      </c>
      <c r="ADA26">
        <v>225</v>
      </c>
      <c r="ADB26">
        <v>45</v>
      </c>
      <c r="ADC26">
        <v>148</v>
      </c>
      <c r="ADF26">
        <v>168</v>
      </c>
      <c r="ADG26">
        <v>99</v>
      </c>
      <c r="ADH26">
        <v>161</v>
      </c>
      <c r="ADI26">
        <v>55</v>
      </c>
      <c r="ADJ26">
        <v>23</v>
      </c>
      <c r="ADM26">
        <v>18</v>
      </c>
      <c r="ADN26">
        <v>125</v>
      </c>
      <c r="ADO26">
        <v>56</v>
      </c>
      <c r="ADP26">
        <v>0</v>
      </c>
      <c r="ADQ26">
        <v>433</v>
      </c>
      <c r="ADT26">
        <v>12</v>
      </c>
      <c r="AEB26">
        <v>131</v>
      </c>
      <c r="AEC26">
        <v>212</v>
      </c>
      <c r="AED26">
        <v>253</v>
      </c>
      <c r="AEE26">
        <v>427</v>
      </c>
      <c r="AEH26">
        <v>178</v>
      </c>
      <c r="AEI26">
        <v>347</v>
      </c>
      <c r="AEJ26">
        <v>247</v>
      </c>
      <c r="AEK26">
        <v>46</v>
      </c>
      <c r="AEL26">
        <v>64</v>
      </c>
      <c r="AEO26">
        <v>13</v>
      </c>
      <c r="AEP26">
        <v>67</v>
      </c>
      <c r="AEQ26">
        <v>171</v>
      </c>
      <c r="AER26">
        <v>55</v>
      </c>
      <c r="AES26">
        <v>157</v>
      </c>
      <c r="AEV26">
        <v>126</v>
      </c>
      <c r="AEW26">
        <v>93</v>
      </c>
      <c r="AEX26">
        <v>419</v>
      </c>
      <c r="AEY26">
        <v>147</v>
      </c>
      <c r="AEZ26">
        <v>34</v>
      </c>
      <c r="AFC26">
        <v>87</v>
      </c>
      <c r="AFD26">
        <v>148</v>
      </c>
      <c r="AFE26">
        <v>158</v>
      </c>
      <c r="AFF26">
        <v>193</v>
      </c>
      <c r="AFG26">
        <v>35</v>
      </c>
      <c r="AFH26">
        <v>0</v>
      </c>
      <c r="AFI26">
        <v>0</v>
      </c>
      <c r="AFJ26">
        <v>17</v>
      </c>
      <c r="AFK26">
        <v>131</v>
      </c>
      <c r="AFL26">
        <v>89</v>
      </c>
      <c r="AFM26">
        <v>136</v>
      </c>
      <c r="AFN26">
        <v>96</v>
      </c>
      <c r="AFQ26">
        <v>42</v>
      </c>
      <c r="AFR26">
        <v>234</v>
      </c>
      <c r="AFS26">
        <v>519</v>
      </c>
      <c r="AFT26">
        <v>295</v>
      </c>
      <c r="AFU26">
        <v>43</v>
      </c>
      <c r="AFX26">
        <v>31</v>
      </c>
      <c r="AFY26">
        <v>271</v>
      </c>
      <c r="AFZ26">
        <v>226</v>
      </c>
      <c r="AGA26">
        <v>313</v>
      </c>
      <c r="AGB26">
        <v>45</v>
      </c>
      <c r="AGE26">
        <v>253</v>
      </c>
      <c r="AGF26">
        <v>0</v>
      </c>
      <c r="AGG26">
        <v>17</v>
      </c>
      <c r="AGH26">
        <v>82</v>
      </c>
      <c r="AGI26">
        <v>106</v>
      </c>
      <c r="AGL26">
        <v>67</v>
      </c>
      <c r="AGM26">
        <v>462</v>
      </c>
      <c r="AGN26">
        <v>332</v>
      </c>
      <c r="AGO26">
        <v>277</v>
      </c>
      <c r="AGP26">
        <v>102</v>
      </c>
      <c r="AGS26">
        <v>0</v>
      </c>
      <c r="AGT26">
        <v>276</v>
      </c>
      <c r="AGU26">
        <v>242</v>
      </c>
      <c r="AGV26">
        <v>164</v>
      </c>
      <c r="AGW26">
        <v>0</v>
      </c>
      <c r="AGZ26">
        <v>2</v>
      </c>
      <c r="AHA26">
        <v>224</v>
      </c>
      <c r="AHB26">
        <v>602</v>
      </c>
      <c r="AHC26">
        <v>102</v>
      </c>
      <c r="AHD26">
        <v>103</v>
      </c>
      <c r="AHG26">
        <v>202</v>
      </c>
      <c r="AHH26">
        <v>298</v>
      </c>
      <c r="AHI26">
        <v>786</v>
      </c>
      <c r="AHJ26">
        <v>438</v>
      </c>
      <c r="AHK26">
        <v>285</v>
      </c>
      <c r="AHO26">
        <v>19</v>
      </c>
      <c r="AHP26">
        <v>22</v>
      </c>
      <c r="AHQ26">
        <v>19</v>
      </c>
      <c r="AHR26">
        <v>28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2</v>
      </c>
      <c r="AHY26">
        <v>128</v>
      </c>
      <c r="AHZ26">
        <v>0</v>
      </c>
      <c r="AIA26">
        <v>0</v>
      </c>
      <c r="AIB26">
        <v>52</v>
      </c>
      <c r="AIC26">
        <v>91</v>
      </c>
      <c r="AID26">
        <v>268</v>
      </c>
      <c r="AIE26">
        <v>272</v>
      </c>
      <c r="AIF26">
        <v>173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197</v>
      </c>
      <c r="AIR26">
        <v>299</v>
      </c>
      <c r="AIS26">
        <v>198</v>
      </c>
      <c r="AIT26">
        <v>232</v>
      </c>
      <c r="AIW26">
        <v>0</v>
      </c>
      <c r="AIX26">
        <v>144</v>
      </c>
      <c r="AIY26">
        <v>73</v>
      </c>
      <c r="AIZ26">
        <v>107</v>
      </c>
      <c r="AJA26">
        <v>99</v>
      </c>
      <c r="AJD26">
        <v>117</v>
      </c>
      <c r="AJE26">
        <v>93</v>
      </c>
      <c r="AJF26">
        <v>75</v>
      </c>
      <c r="AJG26">
        <v>226</v>
      </c>
      <c r="AJH26">
        <v>94</v>
      </c>
      <c r="AJI26">
        <v>0</v>
      </c>
      <c r="AJJ26">
        <v>0</v>
      </c>
      <c r="AJK26">
        <v>11</v>
      </c>
      <c r="AJL26">
        <v>237</v>
      </c>
      <c r="AJM26">
        <v>328</v>
      </c>
      <c r="AJN26">
        <v>115</v>
      </c>
      <c r="AJO26">
        <v>121</v>
      </c>
      <c r="AJP26">
        <v>512</v>
      </c>
      <c r="AJQ26">
        <v>0</v>
      </c>
      <c r="AJR26">
        <v>0</v>
      </c>
      <c r="AJS26">
        <v>150</v>
      </c>
      <c r="AJT26">
        <v>0</v>
      </c>
      <c r="AJU26">
        <v>212</v>
      </c>
      <c r="AJV26">
        <v>99</v>
      </c>
      <c r="AJW26">
        <v>0</v>
      </c>
      <c r="AJX26">
        <v>0</v>
      </c>
      <c r="AJY26">
        <v>0</v>
      </c>
      <c r="AJZ26">
        <v>50</v>
      </c>
      <c r="AKA26">
        <v>266</v>
      </c>
      <c r="AKB26">
        <v>31</v>
      </c>
      <c r="AKC26">
        <v>95</v>
      </c>
      <c r="AKD26">
        <v>0</v>
      </c>
      <c r="AKE26">
        <v>0</v>
      </c>
      <c r="AKF26">
        <v>460</v>
      </c>
    </row>
    <row r="27" spans="1:968" s="5" customFormat="1">
      <c r="B27" s="7"/>
      <c r="C27" s="6">
        <v>82306</v>
      </c>
      <c r="D27" s="6" t="s">
        <v>8</v>
      </c>
      <c r="E27" s="6" t="s">
        <v>66</v>
      </c>
      <c r="K27" s="22">
        <f>SUM(K28:K30)</f>
        <v>6663</v>
      </c>
      <c r="L27" s="22">
        <f t="shared" ref="L27:BE27" si="544">SUM(L28:L30)</f>
        <v>6551</v>
      </c>
      <c r="M27" s="22">
        <f t="shared" si="544"/>
        <v>7409</v>
      </c>
      <c r="N27" s="22">
        <f t="shared" si="544"/>
        <v>6801</v>
      </c>
      <c r="O27" s="22">
        <f t="shared" si="544"/>
        <v>3501</v>
      </c>
      <c r="P27" s="22">
        <f t="shared" si="544"/>
        <v>3369</v>
      </c>
      <c r="Q27" s="22">
        <f t="shared" si="544"/>
        <v>6247</v>
      </c>
      <c r="R27" s="22">
        <f t="shared" si="544"/>
        <v>3973</v>
      </c>
      <c r="S27" s="22">
        <f t="shared" si="544"/>
        <v>8571</v>
      </c>
      <c r="T27" s="22">
        <f t="shared" si="544"/>
        <v>7611</v>
      </c>
      <c r="U27" s="22">
        <f t="shared" si="544"/>
        <v>4308</v>
      </c>
      <c r="V27" s="22">
        <f t="shared" si="544"/>
        <v>0</v>
      </c>
      <c r="W27" s="22">
        <f t="shared" si="544"/>
        <v>4497</v>
      </c>
      <c r="X27" s="22">
        <f t="shared" si="544"/>
        <v>5242</v>
      </c>
      <c r="Y27" s="22">
        <f t="shared" si="544"/>
        <v>4621</v>
      </c>
      <c r="Z27" s="22">
        <f t="shared" si="544"/>
        <v>6929</v>
      </c>
      <c r="AA27" s="22">
        <f t="shared" si="544"/>
        <v>4488</v>
      </c>
      <c r="AB27" s="22">
        <f t="shared" si="544"/>
        <v>3516</v>
      </c>
      <c r="AC27" s="22">
        <f t="shared" si="544"/>
        <v>0</v>
      </c>
      <c r="AD27" s="22">
        <f t="shared" si="544"/>
        <v>4619</v>
      </c>
      <c r="AE27" s="22">
        <f t="shared" si="544"/>
        <v>6206</v>
      </c>
      <c r="AF27" s="22">
        <f t="shared" si="544"/>
        <v>5337</v>
      </c>
      <c r="AG27" s="22">
        <f t="shared" si="544"/>
        <v>6699</v>
      </c>
      <c r="AH27" s="22">
        <f t="shared" si="544"/>
        <v>8300</v>
      </c>
      <c r="AI27" s="22">
        <f t="shared" si="544"/>
        <v>6404</v>
      </c>
      <c r="AJ27" s="22">
        <f t="shared" si="544"/>
        <v>0</v>
      </c>
      <c r="AK27" s="22">
        <f t="shared" si="544"/>
        <v>6929</v>
      </c>
      <c r="AL27" s="22">
        <f t="shared" si="544"/>
        <v>6530</v>
      </c>
      <c r="AM27" s="22">
        <f t="shared" si="544"/>
        <v>7252</v>
      </c>
      <c r="AN27" s="22">
        <f t="shared" si="544"/>
        <v>9849</v>
      </c>
      <c r="AO27" s="22">
        <f t="shared" si="544"/>
        <v>6843</v>
      </c>
      <c r="AP27" s="22">
        <f t="shared" si="544"/>
        <v>4779</v>
      </c>
      <c r="AQ27" s="22">
        <f t="shared" si="544"/>
        <v>1931</v>
      </c>
      <c r="AR27" s="22">
        <f t="shared" si="544"/>
        <v>5368</v>
      </c>
      <c r="AS27" s="22">
        <f t="shared" si="544"/>
        <v>0</v>
      </c>
      <c r="AT27" s="22">
        <f t="shared" si="544"/>
        <v>7276</v>
      </c>
      <c r="AU27" s="22">
        <f t="shared" si="544"/>
        <v>5844</v>
      </c>
      <c r="AV27" s="22">
        <f t="shared" si="544"/>
        <v>5517</v>
      </c>
      <c r="AW27" s="22">
        <f t="shared" si="544"/>
        <v>4859</v>
      </c>
      <c r="AX27" s="22">
        <f t="shared" si="544"/>
        <v>0</v>
      </c>
      <c r="AY27" s="22">
        <f t="shared" si="544"/>
        <v>4912</v>
      </c>
      <c r="AZ27" s="22">
        <f t="shared" si="544"/>
        <v>4929</v>
      </c>
      <c r="BA27" s="22">
        <f t="shared" si="544"/>
        <v>7721</v>
      </c>
      <c r="BB27" s="22">
        <f t="shared" si="544"/>
        <v>6887</v>
      </c>
      <c r="BC27" s="22">
        <f t="shared" si="544"/>
        <v>7057</v>
      </c>
      <c r="BD27" s="22">
        <f t="shared" si="544"/>
        <v>7367</v>
      </c>
      <c r="BE27" s="22">
        <f t="shared" si="544"/>
        <v>0</v>
      </c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RW27" s="5">
        <v>0</v>
      </c>
    </row>
    <row r="28" spans="1:968">
      <c r="A28">
        <v>1</v>
      </c>
      <c r="B28" s="1" t="s">
        <v>67</v>
      </c>
      <c r="C28" s="1">
        <v>82306</v>
      </c>
      <c r="D28" s="1" t="s">
        <v>8</v>
      </c>
      <c r="E28" s="1" t="s">
        <v>68</v>
      </c>
      <c r="F28" s="1" t="s">
        <v>69</v>
      </c>
      <c r="G28" s="1" t="s">
        <v>33</v>
      </c>
      <c r="H28" s="1" t="s">
        <v>60</v>
      </c>
      <c r="I28" s="1" t="s">
        <v>61</v>
      </c>
      <c r="J28" s="1" t="s">
        <v>15</v>
      </c>
      <c r="K28" s="23">
        <v>4143</v>
      </c>
      <c r="L28" s="23">
        <v>2758</v>
      </c>
      <c r="M28" s="23">
        <v>3711</v>
      </c>
      <c r="N28" s="23">
        <v>4420</v>
      </c>
      <c r="O28" s="23">
        <v>0</v>
      </c>
      <c r="P28" s="23">
        <v>2869</v>
      </c>
      <c r="Q28" s="23">
        <v>4818</v>
      </c>
      <c r="R28" s="23">
        <v>3177</v>
      </c>
      <c r="S28" s="23">
        <v>5295</v>
      </c>
      <c r="T28" s="23">
        <v>5113</v>
      </c>
      <c r="U28" s="23">
        <v>2803</v>
      </c>
      <c r="V28" s="23" t="s">
        <v>38</v>
      </c>
      <c r="W28" s="23">
        <v>3344</v>
      </c>
      <c r="X28" s="23">
        <v>4262</v>
      </c>
      <c r="Y28" s="23">
        <v>3473</v>
      </c>
      <c r="Z28" s="23">
        <v>4885</v>
      </c>
      <c r="AA28" s="23">
        <v>2986</v>
      </c>
      <c r="AB28" s="23">
        <v>1824</v>
      </c>
      <c r="AC28" s="23" t="s">
        <v>38</v>
      </c>
      <c r="AD28" s="23">
        <v>3548</v>
      </c>
      <c r="AE28" s="23">
        <v>4120</v>
      </c>
      <c r="AF28" s="23">
        <v>4364</v>
      </c>
      <c r="AG28" s="23">
        <v>4828</v>
      </c>
      <c r="AH28" s="23">
        <v>6794</v>
      </c>
      <c r="AI28" s="23">
        <v>5008</v>
      </c>
      <c r="AJ28" s="23" t="s">
        <v>38</v>
      </c>
      <c r="AK28" s="23">
        <v>5519</v>
      </c>
      <c r="AL28" s="23">
        <v>4581</v>
      </c>
      <c r="AM28" s="23">
        <v>5826</v>
      </c>
      <c r="AN28" s="23">
        <v>7455</v>
      </c>
      <c r="AO28" s="23">
        <v>5361</v>
      </c>
      <c r="AP28" s="23">
        <v>3181</v>
      </c>
      <c r="AQ28" s="23" t="s">
        <v>38</v>
      </c>
      <c r="AR28" s="23">
        <v>4010</v>
      </c>
      <c r="AS28" s="23" t="s">
        <v>38</v>
      </c>
      <c r="AT28" s="23">
        <v>5491</v>
      </c>
      <c r="AU28" s="23">
        <v>3819</v>
      </c>
      <c r="AV28" s="23">
        <v>3599</v>
      </c>
      <c r="AW28" s="23">
        <v>3907</v>
      </c>
      <c r="AX28" s="23" t="s">
        <v>38</v>
      </c>
      <c r="AY28" s="23">
        <v>3413</v>
      </c>
      <c r="AZ28" s="23">
        <v>4021</v>
      </c>
      <c r="BA28" s="23">
        <v>5953</v>
      </c>
      <c r="BB28" s="23">
        <v>5569</v>
      </c>
      <c r="BC28" s="23">
        <v>5248</v>
      </c>
      <c r="BD28" s="23">
        <v>4252</v>
      </c>
      <c r="BE28" s="23" t="s">
        <v>38</v>
      </c>
      <c r="BF28" s="23">
        <v>3921</v>
      </c>
      <c r="BG28" s="23">
        <v>5829</v>
      </c>
      <c r="BH28" s="23">
        <v>3219</v>
      </c>
      <c r="BI28" s="23">
        <v>6117</v>
      </c>
      <c r="BJ28" s="23">
        <v>6609</v>
      </c>
      <c r="BK28" s="23">
        <v>4904</v>
      </c>
      <c r="BL28" s="23"/>
      <c r="BM28" s="23">
        <v>5965</v>
      </c>
      <c r="BN28" s="23">
        <v>5560</v>
      </c>
      <c r="BO28" s="23">
        <v>6228</v>
      </c>
      <c r="BP28" s="23">
        <v>5158</v>
      </c>
      <c r="BQ28" s="23">
        <v>1346</v>
      </c>
      <c r="BR28" s="23"/>
      <c r="BS28" s="23"/>
      <c r="BT28" s="23"/>
      <c r="BU28" s="23"/>
      <c r="BV28" s="23">
        <v>759</v>
      </c>
      <c r="BW28" s="23">
        <v>661</v>
      </c>
      <c r="BX28" s="23">
        <v>3429</v>
      </c>
      <c r="BY28" s="23">
        <v>3768</v>
      </c>
      <c r="BZ28" s="23"/>
      <c r="CA28">
        <v>3596</v>
      </c>
      <c r="CB28">
        <v>3171</v>
      </c>
      <c r="CC28">
        <v>4351</v>
      </c>
      <c r="CD28">
        <v>5124</v>
      </c>
      <c r="CE28">
        <v>4683</v>
      </c>
      <c r="CF28">
        <v>4737</v>
      </c>
      <c r="CH28">
        <v>3618</v>
      </c>
      <c r="CI28">
        <v>4340</v>
      </c>
      <c r="CJ28">
        <v>4139</v>
      </c>
      <c r="CK28">
        <v>3277</v>
      </c>
      <c r="CL28">
        <v>5576</v>
      </c>
      <c r="CO28">
        <v>6053</v>
      </c>
      <c r="CP28">
        <v>4360</v>
      </c>
      <c r="CQ28">
        <v>6153</v>
      </c>
      <c r="CR28">
        <v>5397</v>
      </c>
      <c r="CS28">
        <v>5847</v>
      </c>
      <c r="CT28">
        <v>5394</v>
      </c>
      <c r="CV28">
        <v>3343</v>
      </c>
      <c r="CW28">
        <v>3918</v>
      </c>
      <c r="CX28">
        <v>6311</v>
      </c>
      <c r="CY28">
        <v>5101</v>
      </c>
      <c r="CZ28">
        <v>3559</v>
      </c>
      <c r="DA28">
        <v>4917</v>
      </c>
      <c r="DC28">
        <v>3645</v>
      </c>
      <c r="DD28">
        <v>4600</v>
      </c>
      <c r="DE28">
        <v>6231</v>
      </c>
      <c r="DF28">
        <v>6003</v>
      </c>
      <c r="DG28">
        <v>3529</v>
      </c>
      <c r="DH28">
        <v>5101</v>
      </c>
      <c r="DI28">
        <v>0</v>
      </c>
      <c r="DJ28">
        <v>2961</v>
      </c>
      <c r="DK28">
        <v>4216</v>
      </c>
      <c r="DL28">
        <v>5354</v>
      </c>
      <c r="DM28">
        <v>5564</v>
      </c>
      <c r="DN28">
        <v>4694</v>
      </c>
      <c r="DO28">
        <v>4948</v>
      </c>
      <c r="DQ28">
        <v>4191</v>
      </c>
      <c r="DR28">
        <v>3949</v>
      </c>
      <c r="DS28">
        <v>5826</v>
      </c>
      <c r="DT28">
        <v>5866</v>
      </c>
      <c r="DU28">
        <v>5989</v>
      </c>
      <c r="DV28">
        <v>2531</v>
      </c>
      <c r="DX28">
        <v>1693</v>
      </c>
      <c r="DY28">
        <v>5957</v>
      </c>
      <c r="DZ28">
        <v>5973</v>
      </c>
      <c r="EA28">
        <v>6743</v>
      </c>
      <c r="EB28">
        <v>5844</v>
      </c>
      <c r="EC28">
        <v>4471</v>
      </c>
      <c r="EE28">
        <v>5895</v>
      </c>
      <c r="EF28">
        <v>5033</v>
      </c>
      <c r="EG28">
        <v>6430</v>
      </c>
      <c r="EH28">
        <v>5808</v>
      </c>
      <c r="EI28">
        <v>4051</v>
      </c>
      <c r="EJ28">
        <v>4297</v>
      </c>
      <c r="EL28">
        <v>3516</v>
      </c>
      <c r="EM28">
        <v>4151</v>
      </c>
      <c r="EN28">
        <v>5468</v>
      </c>
      <c r="EO28">
        <v>5137</v>
      </c>
      <c r="EP28">
        <v>4490</v>
      </c>
      <c r="EQ28">
        <v>3662</v>
      </c>
      <c r="ES28">
        <v>3012</v>
      </c>
      <c r="ET28">
        <v>4881</v>
      </c>
      <c r="EU28">
        <v>5584</v>
      </c>
      <c r="EV28">
        <v>4249</v>
      </c>
      <c r="EW28">
        <v>4206</v>
      </c>
      <c r="EX28">
        <v>3214</v>
      </c>
      <c r="EZ28">
        <v>3572</v>
      </c>
      <c r="FA28">
        <v>3163</v>
      </c>
      <c r="FB28">
        <v>4906</v>
      </c>
      <c r="FC28">
        <v>6009</v>
      </c>
      <c r="FD28">
        <v>5601</v>
      </c>
      <c r="FE28">
        <v>4627</v>
      </c>
      <c r="FG28">
        <v>3329</v>
      </c>
      <c r="FH28">
        <v>4038</v>
      </c>
      <c r="FI28">
        <v>4455</v>
      </c>
      <c r="FJ28">
        <v>3898</v>
      </c>
      <c r="FK28">
        <v>4826</v>
      </c>
      <c r="FN28">
        <v>3322</v>
      </c>
      <c r="FO28">
        <v>4740</v>
      </c>
      <c r="FP28">
        <v>5452</v>
      </c>
      <c r="FQ28">
        <v>6530</v>
      </c>
      <c r="FR28">
        <v>3109</v>
      </c>
      <c r="FW28">
        <v>2383</v>
      </c>
      <c r="FX28">
        <v>2216</v>
      </c>
      <c r="FY28">
        <v>2747</v>
      </c>
      <c r="FZ28">
        <v>4217</v>
      </c>
      <c r="GB28">
        <v>2684</v>
      </c>
      <c r="GC28">
        <v>3497</v>
      </c>
      <c r="GD28">
        <v>5344</v>
      </c>
      <c r="GE28">
        <v>5919</v>
      </c>
      <c r="GF28">
        <v>5093</v>
      </c>
      <c r="GG28">
        <v>3463</v>
      </c>
      <c r="GI28">
        <v>4595</v>
      </c>
      <c r="GJ28">
        <v>5588</v>
      </c>
      <c r="GL28">
        <v>5949</v>
      </c>
      <c r="GM28">
        <v>3587</v>
      </c>
      <c r="GP28">
        <v>3160</v>
      </c>
      <c r="GQ28">
        <v>3796</v>
      </c>
      <c r="GR28">
        <v>6104</v>
      </c>
      <c r="GS28">
        <v>5463</v>
      </c>
      <c r="GT28">
        <v>6373</v>
      </c>
      <c r="GU28">
        <v>2925</v>
      </c>
      <c r="GW28">
        <v>5206</v>
      </c>
      <c r="GX28">
        <v>2813</v>
      </c>
      <c r="GY28">
        <v>5111</v>
      </c>
      <c r="GZ28">
        <v>6200</v>
      </c>
      <c r="HA28">
        <v>6082</v>
      </c>
      <c r="HB28">
        <v>3478</v>
      </c>
      <c r="HD28">
        <v>4620</v>
      </c>
      <c r="HE28">
        <v>5839</v>
      </c>
      <c r="HG28">
        <v>5853</v>
      </c>
      <c r="HH28">
        <v>6327</v>
      </c>
      <c r="HI28">
        <v>4841</v>
      </c>
      <c r="HK28">
        <v>4787</v>
      </c>
      <c r="HL28">
        <v>5140</v>
      </c>
      <c r="HM28">
        <v>5507</v>
      </c>
      <c r="HN28">
        <v>6197</v>
      </c>
      <c r="HO28">
        <v>5468</v>
      </c>
      <c r="HP28">
        <v>5270</v>
      </c>
      <c r="HS28">
        <v>5469</v>
      </c>
      <c r="HT28">
        <v>4823</v>
      </c>
      <c r="HU28">
        <v>5673</v>
      </c>
      <c r="HV28">
        <v>4389</v>
      </c>
      <c r="HW28">
        <v>4992</v>
      </c>
      <c r="HY28">
        <v>3641</v>
      </c>
      <c r="HZ28">
        <v>3132</v>
      </c>
      <c r="IA28">
        <v>3887</v>
      </c>
      <c r="IB28">
        <v>5607</v>
      </c>
      <c r="IC28">
        <v>4901</v>
      </c>
      <c r="ID28">
        <v>2695</v>
      </c>
      <c r="IF28">
        <v>4185</v>
      </c>
      <c r="IG28">
        <v>6481</v>
      </c>
      <c r="IH28">
        <v>5569</v>
      </c>
      <c r="II28">
        <v>5280</v>
      </c>
      <c r="IJ28">
        <v>3724</v>
      </c>
      <c r="IK28">
        <v>3506</v>
      </c>
      <c r="IM28">
        <v>3109</v>
      </c>
      <c r="IN28">
        <v>4456</v>
      </c>
      <c r="IO28">
        <v>5371</v>
      </c>
      <c r="IP28">
        <v>6287</v>
      </c>
      <c r="IQ28">
        <v>4725</v>
      </c>
      <c r="IR28">
        <v>4220</v>
      </c>
      <c r="IT28">
        <v>2577</v>
      </c>
      <c r="IU28">
        <v>3245</v>
      </c>
      <c r="IV28">
        <v>4454</v>
      </c>
      <c r="IW28">
        <v>5144</v>
      </c>
      <c r="IX28">
        <v>3620</v>
      </c>
      <c r="IY28">
        <v>2202</v>
      </c>
      <c r="JA28">
        <v>3175</v>
      </c>
      <c r="JB28">
        <v>2534</v>
      </c>
      <c r="JC28">
        <v>4632</v>
      </c>
      <c r="JD28">
        <v>5327</v>
      </c>
      <c r="JE28">
        <v>3438</v>
      </c>
      <c r="JF28">
        <v>2577</v>
      </c>
      <c r="JH28">
        <v>2523</v>
      </c>
      <c r="JI28">
        <v>3353</v>
      </c>
      <c r="JJ28">
        <v>5166</v>
      </c>
      <c r="JK28">
        <v>5620</v>
      </c>
      <c r="JL28">
        <v>4493</v>
      </c>
      <c r="JM28">
        <v>2340</v>
      </c>
      <c r="JO28">
        <v>3255</v>
      </c>
      <c r="JP28">
        <v>2155</v>
      </c>
      <c r="JQ28">
        <v>3870</v>
      </c>
      <c r="JR28">
        <v>5613</v>
      </c>
      <c r="JS28">
        <v>3944</v>
      </c>
      <c r="JT28">
        <v>3272</v>
      </c>
      <c r="JW28">
        <v>4079</v>
      </c>
      <c r="JX28">
        <v>3906</v>
      </c>
      <c r="JY28">
        <v>4811</v>
      </c>
      <c r="JZ28">
        <v>4116</v>
      </c>
      <c r="KA28">
        <v>2527</v>
      </c>
      <c r="KC28">
        <v>2300</v>
      </c>
      <c r="KD28">
        <v>1992</v>
      </c>
      <c r="KE28">
        <v>4017</v>
      </c>
      <c r="KF28">
        <v>5165</v>
      </c>
      <c r="KG28">
        <v>3386</v>
      </c>
      <c r="KH28">
        <v>2671</v>
      </c>
      <c r="KK28">
        <v>3551</v>
      </c>
      <c r="KL28">
        <v>3876</v>
      </c>
      <c r="KM28">
        <v>4805</v>
      </c>
      <c r="KN28">
        <v>2927</v>
      </c>
      <c r="KO28">
        <v>2143</v>
      </c>
      <c r="KQ28">
        <v>3415</v>
      </c>
      <c r="KR28">
        <v>3324</v>
      </c>
      <c r="KS28">
        <v>3917</v>
      </c>
      <c r="KT28">
        <v>6237</v>
      </c>
      <c r="KU28">
        <v>5306</v>
      </c>
      <c r="KV28">
        <v>2828</v>
      </c>
      <c r="KX28">
        <v>3876</v>
      </c>
      <c r="KY28">
        <v>4210</v>
      </c>
      <c r="KZ28">
        <v>2743</v>
      </c>
      <c r="LA28">
        <v>5156</v>
      </c>
      <c r="LB28">
        <v>4004</v>
      </c>
      <c r="LC28">
        <v>3594</v>
      </c>
      <c r="LE28">
        <v>3078</v>
      </c>
      <c r="LF28">
        <v>2048</v>
      </c>
      <c r="LG28">
        <v>3995</v>
      </c>
      <c r="LH28">
        <v>5183</v>
      </c>
      <c r="LI28">
        <v>3709</v>
      </c>
      <c r="LJ28">
        <v>2964</v>
      </c>
      <c r="LL28">
        <v>4923</v>
      </c>
      <c r="LM28">
        <v>3704</v>
      </c>
      <c r="LN28">
        <v>6797</v>
      </c>
      <c r="LO28">
        <v>4395</v>
      </c>
      <c r="LP28">
        <v>2713</v>
      </c>
      <c r="LS28">
        <v>2593</v>
      </c>
      <c r="LT28">
        <v>3050</v>
      </c>
      <c r="LU28">
        <v>3181</v>
      </c>
      <c r="LV28">
        <v>5928</v>
      </c>
      <c r="LW28">
        <v>4122</v>
      </c>
      <c r="LX28">
        <v>3871</v>
      </c>
      <c r="LZ28">
        <v>3109</v>
      </c>
      <c r="MA28">
        <v>2570</v>
      </c>
      <c r="MB28">
        <v>3926</v>
      </c>
      <c r="MC28">
        <v>5620</v>
      </c>
      <c r="MD28">
        <v>3559</v>
      </c>
      <c r="ME28">
        <v>3878</v>
      </c>
      <c r="MF28">
        <v>0</v>
      </c>
      <c r="MG28">
        <v>3462</v>
      </c>
      <c r="MH28">
        <v>3606</v>
      </c>
      <c r="MI28">
        <v>4348</v>
      </c>
      <c r="MJ28">
        <v>5701</v>
      </c>
      <c r="MK28">
        <v>3712</v>
      </c>
      <c r="ML28">
        <v>2048</v>
      </c>
      <c r="MM28">
        <v>0</v>
      </c>
      <c r="MN28">
        <v>2928</v>
      </c>
      <c r="MO28">
        <v>3026</v>
      </c>
      <c r="MP28">
        <v>4101</v>
      </c>
      <c r="MQ28">
        <v>5190</v>
      </c>
      <c r="MR28">
        <v>2146</v>
      </c>
      <c r="MS28">
        <v>3488</v>
      </c>
      <c r="MV28">
        <v>5034</v>
      </c>
      <c r="MW28">
        <v>2763</v>
      </c>
      <c r="MX28">
        <v>6574</v>
      </c>
      <c r="MY28">
        <v>4251</v>
      </c>
      <c r="MZ28">
        <v>1973</v>
      </c>
      <c r="NA28">
        <v>0</v>
      </c>
      <c r="NB28">
        <v>4184</v>
      </c>
      <c r="NC28">
        <v>3475</v>
      </c>
      <c r="ND28">
        <v>0</v>
      </c>
      <c r="NE28">
        <v>5775</v>
      </c>
      <c r="NF28">
        <v>3865</v>
      </c>
      <c r="NG28">
        <v>2933</v>
      </c>
      <c r="NH28">
        <v>0</v>
      </c>
      <c r="NI28">
        <v>2878</v>
      </c>
      <c r="NJ28">
        <v>3543</v>
      </c>
      <c r="NK28">
        <v>4293</v>
      </c>
      <c r="NL28">
        <v>6178</v>
      </c>
      <c r="NM28">
        <v>4458</v>
      </c>
      <c r="NN28">
        <v>2865</v>
      </c>
      <c r="NO28">
        <v>0</v>
      </c>
      <c r="NP28">
        <v>2542</v>
      </c>
      <c r="NQ28">
        <v>3110</v>
      </c>
      <c r="NR28">
        <v>4837</v>
      </c>
      <c r="NS28">
        <v>5678</v>
      </c>
      <c r="NT28">
        <v>3937</v>
      </c>
      <c r="NU28">
        <v>3502</v>
      </c>
      <c r="NV28">
        <v>0</v>
      </c>
      <c r="NW28">
        <v>2295</v>
      </c>
      <c r="NX28">
        <v>3162</v>
      </c>
      <c r="NY28">
        <v>3819</v>
      </c>
      <c r="NZ28">
        <v>4145</v>
      </c>
      <c r="OA28">
        <v>3237</v>
      </c>
      <c r="OB28">
        <v>1770</v>
      </c>
      <c r="OC28">
        <v>0</v>
      </c>
      <c r="OD28">
        <v>2070</v>
      </c>
      <c r="OE28">
        <v>4074</v>
      </c>
      <c r="OF28">
        <v>4410</v>
      </c>
      <c r="OG28">
        <v>5816</v>
      </c>
      <c r="OH28">
        <v>3920</v>
      </c>
      <c r="OI28">
        <v>3515</v>
      </c>
      <c r="OJ28">
        <v>0</v>
      </c>
      <c r="OK28">
        <v>3348</v>
      </c>
      <c r="OL28">
        <v>4052</v>
      </c>
      <c r="OM28">
        <v>8203</v>
      </c>
      <c r="ON28">
        <v>10522</v>
      </c>
      <c r="OO28">
        <v>4903</v>
      </c>
      <c r="OP28">
        <v>4432</v>
      </c>
      <c r="OQ28">
        <v>0</v>
      </c>
      <c r="OR28">
        <v>2546</v>
      </c>
      <c r="OS28">
        <v>4028</v>
      </c>
      <c r="OT28">
        <v>5162</v>
      </c>
      <c r="OU28">
        <v>0</v>
      </c>
      <c r="OV28">
        <v>5817</v>
      </c>
      <c r="OW28">
        <v>3007</v>
      </c>
      <c r="OX28">
        <v>0</v>
      </c>
      <c r="OY28">
        <v>3981</v>
      </c>
      <c r="OZ28">
        <v>3126</v>
      </c>
      <c r="PA28">
        <v>5827</v>
      </c>
      <c r="PB28">
        <v>6759</v>
      </c>
      <c r="PC28">
        <v>6289</v>
      </c>
      <c r="PD28">
        <v>3043</v>
      </c>
      <c r="PE28">
        <v>0</v>
      </c>
      <c r="PF28">
        <v>2903</v>
      </c>
      <c r="PG28">
        <v>4154</v>
      </c>
      <c r="PH28">
        <v>3750</v>
      </c>
      <c r="PI28">
        <v>6230</v>
      </c>
      <c r="PJ28">
        <v>4308</v>
      </c>
      <c r="PK28">
        <v>3340</v>
      </c>
      <c r="PL28">
        <v>0</v>
      </c>
      <c r="PM28">
        <v>4498</v>
      </c>
      <c r="PN28">
        <v>5747</v>
      </c>
      <c r="PO28">
        <v>6581</v>
      </c>
      <c r="PP28">
        <v>7384</v>
      </c>
      <c r="PQ28">
        <v>4834</v>
      </c>
      <c r="PR28">
        <v>2516</v>
      </c>
      <c r="PS28">
        <v>0</v>
      </c>
      <c r="PT28">
        <v>0</v>
      </c>
      <c r="PU28">
        <v>0</v>
      </c>
      <c r="PV28">
        <v>0</v>
      </c>
      <c r="PW28">
        <v>5702</v>
      </c>
      <c r="PX28">
        <v>645</v>
      </c>
      <c r="PY28">
        <v>2073</v>
      </c>
      <c r="PZ28">
        <v>0</v>
      </c>
      <c r="QA28">
        <v>1418</v>
      </c>
      <c r="QB28">
        <v>1679</v>
      </c>
      <c r="QC28">
        <v>2315</v>
      </c>
      <c r="QD28">
        <v>3431</v>
      </c>
      <c r="QE28">
        <v>2567</v>
      </c>
      <c r="QF28">
        <v>4348</v>
      </c>
      <c r="QG28">
        <v>0</v>
      </c>
      <c r="QH28">
        <v>3190</v>
      </c>
      <c r="QI28">
        <v>4435</v>
      </c>
      <c r="QJ28">
        <v>4580</v>
      </c>
      <c r="QK28">
        <v>6913</v>
      </c>
      <c r="QL28">
        <v>4024</v>
      </c>
      <c r="QM28">
        <v>4428</v>
      </c>
      <c r="QN28">
        <v>0</v>
      </c>
      <c r="QO28">
        <v>3055</v>
      </c>
      <c r="QP28">
        <v>4209</v>
      </c>
      <c r="QQ28">
        <v>5814</v>
      </c>
      <c r="QR28">
        <v>5999</v>
      </c>
      <c r="QS28">
        <v>3985</v>
      </c>
      <c r="QT28">
        <v>3107</v>
      </c>
      <c r="QU28">
        <v>0</v>
      </c>
      <c r="QV28">
        <v>3199</v>
      </c>
      <c r="QW28">
        <v>3202</v>
      </c>
      <c r="QX28">
        <v>4253</v>
      </c>
      <c r="QY28">
        <v>6892</v>
      </c>
      <c r="QZ28">
        <v>4924</v>
      </c>
      <c r="RA28">
        <v>2032</v>
      </c>
      <c r="RB28">
        <v>0</v>
      </c>
      <c r="RC28">
        <v>4330</v>
      </c>
      <c r="RD28">
        <v>2830</v>
      </c>
      <c r="RE28">
        <v>3920</v>
      </c>
      <c r="RF28">
        <v>6918</v>
      </c>
      <c r="RG28">
        <v>4040</v>
      </c>
      <c r="RH28">
        <v>0</v>
      </c>
      <c r="RI28">
        <v>0</v>
      </c>
      <c r="RJ28">
        <v>779</v>
      </c>
      <c r="RK28">
        <v>1119</v>
      </c>
      <c r="RL28">
        <v>1049</v>
      </c>
      <c r="RM28">
        <v>987</v>
      </c>
      <c r="RN28">
        <v>1109</v>
      </c>
      <c r="RO28">
        <v>1270</v>
      </c>
      <c r="RP28">
        <v>0</v>
      </c>
      <c r="RQ28">
        <v>3775</v>
      </c>
      <c r="RR28">
        <v>4086</v>
      </c>
      <c r="RS28">
        <v>5534</v>
      </c>
      <c r="RT28">
        <v>5484</v>
      </c>
      <c r="RU28">
        <v>4312</v>
      </c>
      <c r="RV28">
        <v>1952</v>
      </c>
      <c r="RW28">
        <v>0</v>
      </c>
      <c r="RX28">
        <v>3542</v>
      </c>
      <c r="RY28">
        <v>3832</v>
      </c>
      <c r="RZ28">
        <v>4505</v>
      </c>
      <c r="SA28">
        <v>6086</v>
      </c>
      <c r="SC28">
        <v>2540</v>
      </c>
      <c r="SE28">
        <v>2091</v>
      </c>
      <c r="SF28">
        <v>2411</v>
      </c>
      <c r="SG28">
        <v>4809</v>
      </c>
      <c r="SH28">
        <v>5066</v>
      </c>
      <c r="SI28">
        <v>4353</v>
      </c>
      <c r="SJ28">
        <v>2537</v>
      </c>
      <c r="SL28">
        <v>4034</v>
      </c>
      <c r="SM28">
        <v>2707</v>
      </c>
      <c r="SN28">
        <v>3495</v>
      </c>
      <c r="SO28">
        <v>5638</v>
      </c>
      <c r="SP28">
        <v>4272</v>
      </c>
      <c r="SQ28">
        <v>3056</v>
      </c>
      <c r="SS28">
        <v>2962</v>
      </c>
      <c r="ST28">
        <v>3576</v>
      </c>
      <c r="SU28">
        <v>3331</v>
      </c>
      <c r="SV28">
        <v>6891</v>
      </c>
      <c r="SW28">
        <v>3239</v>
      </c>
      <c r="SX28">
        <v>1810</v>
      </c>
      <c r="SZ28">
        <v>2554</v>
      </c>
      <c r="TA28">
        <v>3991</v>
      </c>
      <c r="TB28">
        <v>4012</v>
      </c>
      <c r="TC28">
        <v>5327</v>
      </c>
      <c r="TD28">
        <v>2820</v>
      </c>
      <c r="TE28">
        <v>1832</v>
      </c>
      <c r="TG28">
        <v>2988</v>
      </c>
      <c r="TH28">
        <v>2100</v>
      </c>
      <c r="TI28">
        <v>3962</v>
      </c>
      <c r="TJ28">
        <v>5272</v>
      </c>
      <c r="TK28">
        <v>3706</v>
      </c>
      <c r="TL28">
        <v>4431</v>
      </c>
      <c r="TM28" s="46">
        <v>0</v>
      </c>
      <c r="TN28" s="46">
        <v>0</v>
      </c>
      <c r="TO28" s="46">
        <v>3372</v>
      </c>
      <c r="TP28" s="46">
        <v>3668</v>
      </c>
      <c r="TQ28" s="46">
        <v>6142</v>
      </c>
      <c r="TR28" s="46">
        <v>3839</v>
      </c>
      <c r="TS28" s="46">
        <v>2070</v>
      </c>
      <c r="TT28" s="46">
        <v>0</v>
      </c>
      <c r="TU28" s="46">
        <v>0</v>
      </c>
      <c r="TV28">
        <v>0</v>
      </c>
      <c r="TW28">
        <v>999</v>
      </c>
      <c r="TX28">
        <v>1454</v>
      </c>
      <c r="TY28">
        <v>3250</v>
      </c>
      <c r="TZ28">
        <v>2492</v>
      </c>
      <c r="UA28">
        <v>0</v>
      </c>
      <c r="UB28">
        <v>1927</v>
      </c>
      <c r="UC28">
        <v>3675</v>
      </c>
      <c r="UD28">
        <v>4643</v>
      </c>
      <c r="UE28">
        <v>5500</v>
      </c>
      <c r="UF28">
        <v>3879</v>
      </c>
      <c r="UG28">
        <v>3131</v>
      </c>
      <c r="UI28">
        <v>3434</v>
      </c>
      <c r="UJ28">
        <v>4198</v>
      </c>
      <c r="UK28">
        <v>6847</v>
      </c>
      <c r="UL28">
        <v>0</v>
      </c>
      <c r="UM28">
        <v>5486</v>
      </c>
      <c r="UN28">
        <v>3609</v>
      </c>
      <c r="UO28">
        <v>0</v>
      </c>
      <c r="UP28">
        <v>0</v>
      </c>
      <c r="UQ28">
        <v>5514</v>
      </c>
      <c r="UR28">
        <v>5624</v>
      </c>
      <c r="US28">
        <v>4455</v>
      </c>
      <c r="UT28">
        <v>5582</v>
      </c>
      <c r="UU28">
        <v>3822</v>
      </c>
      <c r="UV28">
        <v>0</v>
      </c>
      <c r="UW28">
        <v>0</v>
      </c>
      <c r="UX28">
        <v>3646</v>
      </c>
      <c r="UY28">
        <v>3904</v>
      </c>
      <c r="UZ28">
        <v>6523</v>
      </c>
      <c r="VA28">
        <v>4507</v>
      </c>
      <c r="VB28">
        <v>3478</v>
      </c>
      <c r="VC28">
        <v>0</v>
      </c>
      <c r="VD28">
        <v>2905</v>
      </c>
      <c r="VE28">
        <v>3365</v>
      </c>
      <c r="VF28">
        <v>5568</v>
      </c>
      <c r="VG28">
        <v>6073</v>
      </c>
      <c r="VH28">
        <v>4314</v>
      </c>
      <c r="VI28">
        <v>1360</v>
      </c>
      <c r="VJ28">
        <v>0</v>
      </c>
      <c r="VK28">
        <v>4129</v>
      </c>
      <c r="VL28">
        <v>5523</v>
      </c>
      <c r="VM28">
        <v>5355</v>
      </c>
      <c r="VN28">
        <v>6193</v>
      </c>
      <c r="VO28">
        <v>4859</v>
      </c>
      <c r="VP28">
        <v>913</v>
      </c>
      <c r="VR28">
        <v>4653</v>
      </c>
      <c r="VT28">
        <v>5082</v>
      </c>
      <c r="VU28">
        <v>5093</v>
      </c>
      <c r="VV28">
        <v>4739</v>
      </c>
      <c r="VW28">
        <v>0</v>
      </c>
      <c r="VY28">
        <v>4809</v>
      </c>
      <c r="VZ28">
        <v>4161</v>
      </c>
      <c r="WA28">
        <v>6347</v>
      </c>
      <c r="WB28">
        <v>5372</v>
      </c>
      <c r="WC28">
        <v>5275</v>
      </c>
      <c r="WD28">
        <v>0</v>
      </c>
      <c r="WE28">
        <v>0</v>
      </c>
      <c r="WF28">
        <v>4619</v>
      </c>
      <c r="WG28">
        <v>2953</v>
      </c>
      <c r="WH28">
        <v>5882</v>
      </c>
      <c r="WI28">
        <v>6358</v>
      </c>
      <c r="WJ28">
        <v>3947</v>
      </c>
      <c r="WK28">
        <v>0</v>
      </c>
      <c r="WL28">
        <v>0</v>
      </c>
      <c r="WM28">
        <v>3763</v>
      </c>
      <c r="WN28">
        <v>3216</v>
      </c>
      <c r="WO28">
        <v>4108</v>
      </c>
      <c r="WP28">
        <v>5345</v>
      </c>
      <c r="WQ28">
        <v>5613</v>
      </c>
      <c r="WR28">
        <v>0</v>
      </c>
      <c r="WS28">
        <v>0</v>
      </c>
      <c r="WT28">
        <v>4729</v>
      </c>
      <c r="WU28">
        <v>2736</v>
      </c>
      <c r="WV28">
        <v>4223</v>
      </c>
      <c r="WW28">
        <v>4986</v>
      </c>
      <c r="WX28">
        <v>4606</v>
      </c>
      <c r="WY28">
        <v>0</v>
      </c>
      <c r="WZ28">
        <v>0</v>
      </c>
      <c r="XA28">
        <v>3680</v>
      </c>
      <c r="XB28">
        <v>4110</v>
      </c>
      <c r="XC28">
        <v>5813</v>
      </c>
      <c r="XD28">
        <v>3654</v>
      </c>
      <c r="XE28">
        <v>4094</v>
      </c>
      <c r="XF28">
        <v>0</v>
      </c>
      <c r="XG28">
        <v>0</v>
      </c>
      <c r="XH28">
        <v>5989</v>
      </c>
      <c r="XI28">
        <v>3142</v>
      </c>
      <c r="XJ28">
        <v>5679</v>
      </c>
      <c r="XK28">
        <v>5645</v>
      </c>
      <c r="XL28">
        <v>6165</v>
      </c>
      <c r="XM28">
        <v>0</v>
      </c>
      <c r="XN28">
        <v>0</v>
      </c>
      <c r="XO28">
        <v>6404</v>
      </c>
      <c r="XP28">
        <v>2574</v>
      </c>
      <c r="XQ28">
        <v>4241</v>
      </c>
      <c r="XR28">
        <v>4234</v>
      </c>
      <c r="XS28">
        <v>4160</v>
      </c>
      <c r="XT28">
        <v>0</v>
      </c>
      <c r="XU28">
        <v>0</v>
      </c>
      <c r="XV28">
        <v>0</v>
      </c>
      <c r="XW28">
        <v>4543</v>
      </c>
      <c r="XX28">
        <v>5522</v>
      </c>
      <c r="XY28">
        <v>5828</v>
      </c>
      <c r="XZ28">
        <v>4887</v>
      </c>
      <c r="YA28">
        <v>0</v>
      </c>
      <c r="YB28">
        <v>0</v>
      </c>
      <c r="YC28">
        <v>2399</v>
      </c>
      <c r="YD28">
        <v>3053</v>
      </c>
      <c r="YE28">
        <v>2753</v>
      </c>
      <c r="YF28">
        <v>4531</v>
      </c>
      <c r="YG28">
        <v>3644</v>
      </c>
      <c r="YH28">
        <v>4326</v>
      </c>
      <c r="YI28">
        <v>0</v>
      </c>
      <c r="YJ28">
        <v>3636</v>
      </c>
      <c r="YL28">
        <v>4009</v>
      </c>
      <c r="YM28">
        <v>5205</v>
      </c>
      <c r="YN28">
        <v>3828</v>
      </c>
      <c r="YQ28">
        <v>4939</v>
      </c>
      <c r="YR28">
        <v>2048</v>
      </c>
      <c r="YS28">
        <v>3379</v>
      </c>
      <c r="YT28">
        <v>5643</v>
      </c>
      <c r="YU28">
        <v>5942</v>
      </c>
      <c r="YV28">
        <v>0</v>
      </c>
      <c r="YW28">
        <v>0</v>
      </c>
      <c r="YX28">
        <v>4139</v>
      </c>
      <c r="YY28">
        <v>2586</v>
      </c>
      <c r="YZ28">
        <v>4063</v>
      </c>
      <c r="ZA28">
        <v>5908</v>
      </c>
      <c r="ZB28">
        <v>5043</v>
      </c>
      <c r="ZE28">
        <v>4471</v>
      </c>
      <c r="ZF28">
        <v>2272</v>
      </c>
      <c r="ZG28">
        <v>3964</v>
      </c>
      <c r="ZH28">
        <v>4462</v>
      </c>
      <c r="ZI28">
        <v>6549</v>
      </c>
      <c r="ZL28">
        <v>3325</v>
      </c>
      <c r="ZM28">
        <v>2575</v>
      </c>
      <c r="ZN28">
        <v>3214</v>
      </c>
      <c r="ZO28">
        <v>3093</v>
      </c>
      <c r="ZP28">
        <v>5151</v>
      </c>
      <c r="ZS28">
        <v>3310</v>
      </c>
      <c r="ZT28">
        <v>3253</v>
      </c>
      <c r="ZU28">
        <v>6021</v>
      </c>
      <c r="ZV28">
        <v>4494</v>
      </c>
      <c r="ZW28">
        <v>5990</v>
      </c>
      <c r="ZZ28">
        <v>4488</v>
      </c>
      <c r="AAA28">
        <v>3012</v>
      </c>
      <c r="AAB28">
        <v>5311</v>
      </c>
      <c r="AAC28">
        <v>5892</v>
      </c>
      <c r="AAD28">
        <v>628</v>
      </c>
      <c r="AAG28">
        <v>4357</v>
      </c>
      <c r="AAH28">
        <v>3858</v>
      </c>
      <c r="AAI28">
        <v>4687</v>
      </c>
      <c r="AAJ28">
        <v>5898</v>
      </c>
      <c r="AAK28">
        <v>5491</v>
      </c>
      <c r="AAL28">
        <v>0</v>
      </c>
      <c r="AAN28">
        <v>4757</v>
      </c>
      <c r="AAO28">
        <v>4160</v>
      </c>
      <c r="AAP28">
        <v>4115</v>
      </c>
      <c r="AAQ28">
        <v>5074</v>
      </c>
      <c r="AAR28">
        <v>5487</v>
      </c>
      <c r="AAV28">
        <v>4080</v>
      </c>
      <c r="AAW28">
        <v>5270</v>
      </c>
      <c r="AAX28">
        <v>6770</v>
      </c>
      <c r="AAY28">
        <v>3446</v>
      </c>
      <c r="AAZ28">
        <v>0</v>
      </c>
      <c r="ABA28">
        <v>5980</v>
      </c>
      <c r="ABB28">
        <v>4990</v>
      </c>
      <c r="ABC28">
        <v>5957</v>
      </c>
      <c r="ABD28">
        <v>5956</v>
      </c>
      <c r="ABF28">
        <v>5114</v>
      </c>
      <c r="ABI28">
        <v>4546</v>
      </c>
      <c r="ABJ28">
        <v>3391</v>
      </c>
      <c r="ABK28">
        <v>4710</v>
      </c>
      <c r="ABL28">
        <v>5656</v>
      </c>
      <c r="ABM28">
        <v>7025</v>
      </c>
      <c r="ABN28">
        <v>0</v>
      </c>
      <c r="ABP28">
        <v>4465</v>
      </c>
      <c r="ABQ28">
        <v>3485</v>
      </c>
      <c r="ABR28">
        <v>5250</v>
      </c>
      <c r="ABS28">
        <v>5080</v>
      </c>
      <c r="ABT28">
        <v>6648</v>
      </c>
      <c r="ABU28">
        <v>575</v>
      </c>
      <c r="ABW28">
        <v>5501</v>
      </c>
      <c r="ABX28">
        <v>5196</v>
      </c>
      <c r="ABY28">
        <v>6478</v>
      </c>
      <c r="ABZ28">
        <v>6606</v>
      </c>
      <c r="ACA28">
        <v>3888</v>
      </c>
      <c r="ACD28">
        <v>3408</v>
      </c>
      <c r="ACE28">
        <v>2656</v>
      </c>
      <c r="ACF28">
        <v>4381</v>
      </c>
      <c r="ACG28">
        <v>5227</v>
      </c>
      <c r="ACH28">
        <v>4988</v>
      </c>
      <c r="ACK28">
        <v>4553</v>
      </c>
      <c r="ACL28">
        <v>3625</v>
      </c>
      <c r="ACM28">
        <v>5049</v>
      </c>
      <c r="ACN28">
        <v>5076</v>
      </c>
      <c r="ACR28">
        <v>4328</v>
      </c>
      <c r="ACS28">
        <v>3359</v>
      </c>
      <c r="ACT28">
        <v>5208</v>
      </c>
      <c r="ACU28">
        <v>5731</v>
      </c>
      <c r="ACY28">
        <v>6878</v>
      </c>
      <c r="ACZ28">
        <v>4384</v>
      </c>
      <c r="ADA28">
        <v>5303</v>
      </c>
      <c r="ADB28">
        <v>5064</v>
      </c>
      <c r="ADC28">
        <v>2773</v>
      </c>
      <c r="ADF28">
        <v>7357</v>
      </c>
      <c r="ADG28">
        <v>3888</v>
      </c>
      <c r="ADH28">
        <v>4360</v>
      </c>
      <c r="ADI28">
        <v>6043</v>
      </c>
      <c r="ADJ28">
        <v>4827</v>
      </c>
      <c r="ADK28">
        <v>0</v>
      </c>
      <c r="ADM28">
        <v>6150</v>
      </c>
      <c r="ADN28">
        <v>5123</v>
      </c>
      <c r="ADO28">
        <v>4437</v>
      </c>
      <c r="ADP28">
        <v>7785</v>
      </c>
      <c r="ADQ28">
        <v>7246</v>
      </c>
      <c r="ADT28">
        <v>7438</v>
      </c>
      <c r="ADU28">
        <v>4384</v>
      </c>
      <c r="AEA28">
        <v>1700</v>
      </c>
      <c r="AEB28">
        <v>1183</v>
      </c>
      <c r="AEC28">
        <v>1328</v>
      </c>
      <c r="AED28">
        <v>2894</v>
      </c>
      <c r="AEE28">
        <v>5593</v>
      </c>
      <c r="AEF28">
        <v>0</v>
      </c>
      <c r="AEH28">
        <v>4629</v>
      </c>
      <c r="AEI28">
        <v>4270</v>
      </c>
      <c r="AEJ28">
        <v>6525</v>
      </c>
      <c r="AEK28">
        <v>6043</v>
      </c>
      <c r="AEL28">
        <v>6149</v>
      </c>
      <c r="AEO28">
        <v>5073</v>
      </c>
      <c r="AEP28">
        <v>2258</v>
      </c>
      <c r="AEQ28">
        <v>5429</v>
      </c>
      <c r="AER28">
        <v>6353</v>
      </c>
      <c r="AES28">
        <v>4970</v>
      </c>
      <c r="AEV28">
        <v>3743</v>
      </c>
      <c r="AEW28">
        <v>4488</v>
      </c>
      <c r="AEX28">
        <v>4707</v>
      </c>
      <c r="AEY28">
        <v>6486</v>
      </c>
      <c r="AEZ28">
        <v>6210</v>
      </c>
      <c r="AFC28">
        <v>4239</v>
      </c>
      <c r="AFD28">
        <v>3464</v>
      </c>
      <c r="AFE28">
        <v>4280</v>
      </c>
      <c r="AFF28">
        <v>4879</v>
      </c>
      <c r="AFG28">
        <v>5073</v>
      </c>
      <c r="AFJ28">
        <v>4279</v>
      </c>
      <c r="AFK28">
        <v>4583</v>
      </c>
      <c r="AFL28">
        <v>4777</v>
      </c>
      <c r="AFM28">
        <v>4050</v>
      </c>
      <c r="AFN28">
        <v>5187</v>
      </c>
      <c r="AFQ28">
        <v>3448</v>
      </c>
      <c r="AFR28">
        <v>2474</v>
      </c>
      <c r="AFS28">
        <v>2859</v>
      </c>
      <c r="AFT28">
        <v>5776</v>
      </c>
      <c r="AFU28">
        <v>5482</v>
      </c>
      <c r="AFX28">
        <v>5593</v>
      </c>
      <c r="AFY28">
        <v>3761</v>
      </c>
      <c r="AFZ28">
        <v>4536</v>
      </c>
      <c r="AGA28">
        <v>5001</v>
      </c>
      <c r="AGB28">
        <v>6020</v>
      </c>
      <c r="AGE28">
        <v>3671</v>
      </c>
      <c r="AGF28">
        <v>3134</v>
      </c>
      <c r="AGG28">
        <v>2669</v>
      </c>
      <c r="AGH28">
        <v>4964</v>
      </c>
      <c r="AGI28">
        <v>4830</v>
      </c>
      <c r="AGL28">
        <v>4163</v>
      </c>
      <c r="AGM28">
        <v>4247</v>
      </c>
      <c r="AGN28">
        <v>5440</v>
      </c>
      <c r="AGO28">
        <v>5273</v>
      </c>
      <c r="AGP28">
        <v>6351</v>
      </c>
      <c r="AGQ28">
        <v>3751</v>
      </c>
      <c r="AGS28">
        <v>3751</v>
      </c>
      <c r="AGT28">
        <v>5046</v>
      </c>
      <c r="AGU28">
        <v>5503</v>
      </c>
      <c r="AGV28">
        <v>5457</v>
      </c>
      <c r="AGW28">
        <v>5896</v>
      </c>
      <c r="AGZ28">
        <v>5436</v>
      </c>
      <c r="AHA28">
        <v>3687</v>
      </c>
      <c r="AHB28">
        <v>4024</v>
      </c>
      <c r="AHC28">
        <v>6250</v>
      </c>
      <c r="AHD28">
        <v>5227</v>
      </c>
      <c r="AHG28">
        <v>5526</v>
      </c>
      <c r="AHH28">
        <v>5602</v>
      </c>
      <c r="AHI28">
        <v>5970</v>
      </c>
      <c r="AHJ28">
        <v>4047</v>
      </c>
      <c r="AHK28">
        <v>5796</v>
      </c>
      <c r="AHO28">
        <v>5686</v>
      </c>
      <c r="AHP28">
        <v>5622</v>
      </c>
      <c r="AHQ28">
        <v>6971</v>
      </c>
      <c r="AHR28">
        <v>6110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2777</v>
      </c>
      <c r="AHY28">
        <v>4504</v>
      </c>
      <c r="AHZ28">
        <v>0</v>
      </c>
      <c r="AIA28">
        <v>0</v>
      </c>
      <c r="AIB28">
        <v>4426</v>
      </c>
      <c r="AIC28">
        <v>3821</v>
      </c>
      <c r="AID28">
        <v>4620</v>
      </c>
      <c r="AIE28">
        <v>4890</v>
      </c>
      <c r="AIF28">
        <v>6125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6367</v>
      </c>
      <c r="AIR28">
        <v>4616</v>
      </c>
      <c r="AIS28">
        <v>6051</v>
      </c>
      <c r="AIT28">
        <v>5672</v>
      </c>
      <c r="AIW28">
        <v>4956</v>
      </c>
      <c r="AIX28">
        <v>4257</v>
      </c>
      <c r="AIY28">
        <v>4564</v>
      </c>
      <c r="AIZ28">
        <v>5959</v>
      </c>
      <c r="AJA28">
        <v>5889</v>
      </c>
      <c r="AJD28">
        <v>5044</v>
      </c>
      <c r="AJE28">
        <v>3600</v>
      </c>
      <c r="AJF28">
        <v>5763</v>
      </c>
      <c r="AJG28">
        <v>6105</v>
      </c>
      <c r="AJH28">
        <v>5962</v>
      </c>
      <c r="AJK28">
        <v>4919</v>
      </c>
      <c r="AJL28">
        <v>3571</v>
      </c>
      <c r="AJM28">
        <v>4748</v>
      </c>
      <c r="AJN28">
        <v>5118</v>
      </c>
      <c r="AJO28">
        <v>5855</v>
      </c>
      <c r="AJP28">
        <v>3469</v>
      </c>
      <c r="AJQ28">
        <v>0</v>
      </c>
      <c r="AJS28">
        <v>6266</v>
      </c>
      <c r="AJU28">
        <v>6085</v>
      </c>
      <c r="AJV28">
        <v>6288</v>
      </c>
      <c r="AJY28">
        <v>5367</v>
      </c>
      <c r="AJZ28">
        <v>4200</v>
      </c>
      <c r="AKA28">
        <v>6030</v>
      </c>
      <c r="AKB28">
        <v>6747</v>
      </c>
      <c r="AKC28">
        <v>6154</v>
      </c>
      <c r="AKF28">
        <v>5293</v>
      </c>
    </row>
    <row r="29" spans="1:968">
      <c r="A29">
        <v>1</v>
      </c>
      <c r="B29" s="1" t="s">
        <v>70</v>
      </c>
      <c r="C29" s="1">
        <v>82920</v>
      </c>
      <c r="D29" s="1" t="s">
        <v>8</v>
      </c>
      <c r="E29" s="1" t="s">
        <v>71</v>
      </c>
      <c r="F29" s="1" t="s">
        <v>69</v>
      </c>
      <c r="G29" s="1" t="s">
        <v>33</v>
      </c>
      <c r="H29" s="1" t="s">
        <v>21</v>
      </c>
      <c r="I29" s="1" t="s">
        <v>14</v>
      </c>
      <c r="J29" s="1" t="s">
        <v>15</v>
      </c>
      <c r="K29" s="23">
        <v>574</v>
      </c>
      <c r="L29" s="23">
        <v>2530</v>
      </c>
      <c r="M29" s="23">
        <v>2199</v>
      </c>
      <c r="N29" s="23">
        <v>1606</v>
      </c>
      <c r="O29" s="23">
        <v>2260</v>
      </c>
      <c r="P29" s="23">
        <v>500</v>
      </c>
      <c r="Q29" s="23">
        <v>312</v>
      </c>
      <c r="R29" s="23">
        <v>235</v>
      </c>
      <c r="S29" s="23">
        <v>719</v>
      </c>
      <c r="T29" s="23">
        <v>785</v>
      </c>
      <c r="U29" s="23">
        <v>1058</v>
      </c>
      <c r="V29" s="23"/>
      <c r="W29" s="23">
        <v>495</v>
      </c>
      <c r="X29" s="23">
        <v>454</v>
      </c>
      <c r="Y29" s="23">
        <v>312</v>
      </c>
      <c r="Z29" s="23">
        <v>1052</v>
      </c>
      <c r="AA29" s="23">
        <v>668</v>
      </c>
      <c r="AB29" s="23">
        <v>851</v>
      </c>
      <c r="AC29" s="23"/>
      <c r="AD29" s="23">
        <v>506</v>
      </c>
      <c r="AE29" s="23">
        <v>1472</v>
      </c>
      <c r="AF29" s="23">
        <v>342</v>
      </c>
      <c r="AG29" s="23">
        <v>1019</v>
      </c>
      <c r="AH29" s="23">
        <v>525</v>
      </c>
      <c r="AI29" s="23">
        <v>539</v>
      </c>
      <c r="AJ29" s="23"/>
      <c r="AK29" s="23">
        <v>318</v>
      </c>
      <c r="AL29" s="23">
        <v>1100</v>
      </c>
      <c r="AM29" s="23">
        <v>590</v>
      </c>
      <c r="AN29" s="23">
        <v>983</v>
      </c>
      <c r="AO29" s="23">
        <v>756</v>
      </c>
      <c r="AP29" s="23">
        <v>1231</v>
      </c>
      <c r="AQ29" s="23">
        <v>1931</v>
      </c>
      <c r="AR29" s="23">
        <v>550</v>
      </c>
      <c r="AS29" s="23"/>
      <c r="AT29" s="23">
        <v>217</v>
      </c>
      <c r="AU29" s="23">
        <v>879</v>
      </c>
      <c r="AV29" s="23">
        <v>1074</v>
      </c>
      <c r="AW29" s="23">
        <v>304</v>
      </c>
      <c r="AX29" s="23"/>
      <c r="AY29" s="23">
        <v>756</v>
      </c>
      <c r="AZ29" s="23">
        <v>460</v>
      </c>
      <c r="BA29" s="23">
        <v>891</v>
      </c>
      <c r="BB29" s="23">
        <v>659</v>
      </c>
      <c r="BC29" s="23">
        <v>921</v>
      </c>
      <c r="BD29" s="23">
        <v>1568</v>
      </c>
      <c r="BE29" s="23"/>
      <c r="BF29" s="23">
        <v>946</v>
      </c>
      <c r="BG29" s="23">
        <v>654</v>
      </c>
      <c r="BH29" s="23">
        <v>1044</v>
      </c>
      <c r="BI29" s="23">
        <v>944</v>
      </c>
      <c r="BJ29" s="23">
        <v>1515</v>
      </c>
      <c r="BK29" s="23">
        <v>1878</v>
      </c>
      <c r="BL29" s="23"/>
      <c r="BM29" s="23">
        <v>537</v>
      </c>
      <c r="BN29" s="23">
        <v>1272</v>
      </c>
      <c r="BO29" s="23">
        <v>1412</v>
      </c>
      <c r="BP29" s="23">
        <v>962</v>
      </c>
      <c r="BQ29" s="23">
        <v>1616</v>
      </c>
      <c r="BR29" s="23"/>
      <c r="BS29" s="23"/>
      <c r="BT29" s="23"/>
      <c r="BU29" s="23"/>
      <c r="BV29" s="23">
        <v>726</v>
      </c>
      <c r="BW29" s="23">
        <v>167</v>
      </c>
      <c r="BX29" s="23">
        <v>23</v>
      </c>
      <c r="BY29" s="23">
        <v>459</v>
      </c>
      <c r="BZ29" s="23"/>
      <c r="CA29">
        <v>447</v>
      </c>
      <c r="CB29">
        <v>598</v>
      </c>
      <c r="CC29">
        <v>619</v>
      </c>
      <c r="CD29">
        <v>663</v>
      </c>
      <c r="CE29">
        <v>1225</v>
      </c>
      <c r="CF29">
        <v>596</v>
      </c>
      <c r="CH29">
        <v>1192</v>
      </c>
      <c r="CI29">
        <v>766</v>
      </c>
      <c r="CJ29">
        <v>947</v>
      </c>
      <c r="CK29">
        <v>1452</v>
      </c>
      <c r="CL29">
        <v>560</v>
      </c>
      <c r="CO29">
        <v>546</v>
      </c>
      <c r="CP29">
        <v>1281</v>
      </c>
      <c r="CQ29">
        <v>617</v>
      </c>
      <c r="CR29">
        <v>843</v>
      </c>
      <c r="CS29">
        <v>834</v>
      </c>
      <c r="CT29">
        <v>1443</v>
      </c>
      <c r="CV29">
        <v>1275</v>
      </c>
      <c r="CW29">
        <v>1551</v>
      </c>
      <c r="CX29">
        <v>606</v>
      </c>
      <c r="CY29">
        <v>753</v>
      </c>
      <c r="CZ29">
        <v>2238</v>
      </c>
      <c r="DA29">
        <v>877</v>
      </c>
      <c r="DC29">
        <v>1424</v>
      </c>
      <c r="DD29">
        <v>528</v>
      </c>
      <c r="DE29">
        <v>546</v>
      </c>
      <c r="DF29">
        <v>1370</v>
      </c>
      <c r="DG29">
        <v>1314</v>
      </c>
      <c r="DH29">
        <v>1304</v>
      </c>
      <c r="DI29">
        <v>0</v>
      </c>
      <c r="DJ29">
        <v>45</v>
      </c>
      <c r="DK29">
        <v>1309</v>
      </c>
      <c r="DL29">
        <v>269</v>
      </c>
      <c r="DM29">
        <v>709</v>
      </c>
      <c r="DN29">
        <v>756</v>
      </c>
      <c r="DO29">
        <v>1236</v>
      </c>
      <c r="DQ29">
        <v>1108</v>
      </c>
      <c r="DR29">
        <v>1055</v>
      </c>
      <c r="DS29">
        <v>316</v>
      </c>
      <c r="DT29">
        <v>916</v>
      </c>
      <c r="DU29">
        <v>1310</v>
      </c>
      <c r="DV29">
        <v>1587</v>
      </c>
      <c r="DX29">
        <v>1578</v>
      </c>
      <c r="DY29">
        <v>210</v>
      </c>
      <c r="DZ29">
        <v>864</v>
      </c>
      <c r="EA29">
        <v>864</v>
      </c>
      <c r="EB29">
        <v>1241</v>
      </c>
      <c r="EC29">
        <v>1998</v>
      </c>
      <c r="EL29">
        <v>860</v>
      </c>
      <c r="EM29">
        <v>450</v>
      </c>
      <c r="EN29">
        <v>997</v>
      </c>
      <c r="EO29">
        <v>993</v>
      </c>
      <c r="EP29">
        <v>1549</v>
      </c>
      <c r="EQ29">
        <v>1064</v>
      </c>
      <c r="ES29">
        <v>1092</v>
      </c>
      <c r="ET29">
        <v>916</v>
      </c>
      <c r="EU29">
        <v>1092</v>
      </c>
      <c r="EV29">
        <v>844</v>
      </c>
      <c r="EW29">
        <v>2095</v>
      </c>
      <c r="EX29">
        <v>275</v>
      </c>
      <c r="EZ29">
        <v>2364</v>
      </c>
      <c r="FA29">
        <v>885</v>
      </c>
      <c r="FB29">
        <v>2127</v>
      </c>
      <c r="FC29">
        <v>443</v>
      </c>
      <c r="FD29">
        <v>2182</v>
      </c>
      <c r="FE29">
        <v>863</v>
      </c>
      <c r="FG29">
        <v>715</v>
      </c>
      <c r="FH29">
        <v>1275</v>
      </c>
      <c r="FI29">
        <v>1585</v>
      </c>
      <c r="FJ29">
        <v>528</v>
      </c>
      <c r="FK29">
        <v>409</v>
      </c>
      <c r="FN29">
        <v>799</v>
      </c>
      <c r="FO29">
        <v>813</v>
      </c>
      <c r="FP29">
        <v>524</v>
      </c>
      <c r="FQ29">
        <v>924</v>
      </c>
      <c r="FR29">
        <v>895</v>
      </c>
      <c r="FV29">
        <v>1763</v>
      </c>
      <c r="FW29">
        <v>697</v>
      </c>
      <c r="FX29">
        <v>962</v>
      </c>
      <c r="FY29">
        <v>1328</v>
      </c>
      <c r="FZ29">
        <v>466</v>
      </c>
      <c r="GB29">
        <v>439</v>
      </c>
      <c r="GC29">
        <v>1317</v>
      </c>
      <c r="GD29">
        <v>329</v>
      </c>
      <c r="GE29">
        <v>1948</v>
      </c>
      <c r="GF29">
        <v>1418</v>
      </c>
      <c r="GG29">
        <v>1348</v>
      </c>
      <c r="GL29">
        <v>706</v>
      </c>
      <c r="GM29">
        <v>1190</v>
      </c>
      <c r="GN29">
        <v>756</v>
      </c>
      <c r="GO29">
        <v>1074</v>
      </c>
      <c r="GP29">
        <v>1739</v>
      </c>
      <c r="GQ29">
        <v>1074</v>
      </c>
      <c r="GR29">
        <v>1739</v>
      </c>
      <c r="GS29">
        <v>531</v>
      </c>
      <c r="GT29">
        <v>1398</v>
      </c>
      <c r="GU29">
        <v>680</v>
      </c>
      <c r="GW29">
        <v>1152</v>
      </c>
      <c r="GX29">
        <v>822</v>
      </c>
      <c r="GY29">
        <v>955</v>
      </c>
      <c r="GZ29">
        <v>1545</v>
      </c>
      <c r="HA29">
        <v>447</v>
      </c>
      <c r="HB29">
        <v>2135</v>
      </c>
      <c r="HD29">
        <v>520</v>
      </c>
      <c r="HE29">
        <v>837</v>
      </c>
      <c r="HF29">
        <v>1014</v>
      </c>
      <c r="HG29">
        <v>741</v>
      </c>
      <c r="HH29">
        <v>1579</v>
      </c>
      <c r="HK29">
        <v>1019</v>
      </c>
      <c r="HL29">
        <v>1016</v>
      </c>
      <c r="HM29">
        <v>824</v>
      </c>
      <c r="HN29">
        <v>1006</v>
      </c>
      <c r="HO29">
        <v>762</v>
      </c>
      <c r="HP29">
        <v>762</v>
      </c>
      <c r="HS29">
        <v>706</v>
      </c>
      <c r="HT29">
        <v>416</v>
      </c>
      <c r="HU29">
        <v>234</v>
      </c>
      <c r="HV29">
        <v>783</v>
      </c>
      <c r="HW29">
        <v>357</v>
      </c>
      <c r="IF29">
        <v>689</v>
      </c>
      <c r="IG29">
        <v>1804</v>
      </c>
      <c r="IH29">
        <v>283</v>
      </c>
      <c r="II29">
        <v>1279</v>
      </c>
      <c r="IJ29">
        <v>1700</v>
      </c>
      <c r="IK29">
        <v>1323</v>
      </c>
      <c r="IM29">
        <v>486</v>
      </c>
      <c r="IN29">
        <v>1333</v>
      </c>
      <c r="IO29">
        <v>823</v>
      </c>
      <c r="IP29">
        <v>1900</v>
      </c>
      <c r="IQ29">
        <v>1057</v>
      </c>
      <c r="IR29">
        <v>1531</v>
      </c>
      <c r="IT29">
        <v>809</v>
      </c>
      <c r="IU29">
        <v>799</v>
      </c>
      <c r="IV29">
        <v>673</v>
      </c>
      <c r="IW29">
        <v>877</v>
      </c>
      <c r="IX29">
        <v>1585</v>
      </c>
      <c r="IY29">
        <v>943</v>
      </c>
      <c r="JA29">
        <v>731</v>
      </c>
      <c r="JB29">
        <v>711</v>
      </c>
      <c r="JC29">
        <v>644</v>
      </c>
      <c r="JD29">
        <v>655</v>
      </c>
      <c r="JE29">
        <v>1199</v>
      </c>
      <c r="JF29">
        <v>1089</v>
      </c>
      <c r="JH29">
        <v>644</v>
      </c>
      <c r="JI29">
        <v>1388</v>
      </c>
      <c r="JJ29">
        <v>272</v>
      </c>
      <c r="JK29">
        <v>1482</v>
      </c>
      <c r="JL29">
        <v>1230</v>
      </c>
      <c r="JM29">
        <v>731</v>
      </c>
      <c r="JN29">
        <v>1573</v>
      </c>
      <c r="JO29">
        <v>1177</v>
      </c>
      <c r="JP29">
        <v>620</v>
      </c>
      <c r="JQ29">
        <v>1259</v>
      </c>
      <c r="JR29">
        <v>689</v>
      </c>
      <c r="JS29">
        <v>871</v>
      </c>
      <c r="JW29">
        <v>1528</v>
      </c>
      <c r="JX29">
        <v>1372</v>
      </c>
      <c r="JY29">
        <v>764</v>
      </c>
      <c r="JZ29">
        <v>1356</v>
      </c>
      <c r="KA29">
        <v>862</v>
      </c>
      <c r="KC29">
        <v>1328</v>
      </c>
      <c r="KD29">
        <v>966</v>
      </c>
      <c r="KE29">
        <v>416</v>
      </c>
      <c r="KF29">
        <v>1053</v>
      </c>
      <c r="KG29">
        <v>981</v>
      </c>
      <c r="KH29">
        <v>279</v>
      </c>
      <c r="KK29">
        <v>1153</v>
      </c>
      <c r="KL29">
        <v>508</v>
      </c>
      <c r="KM29">
        <v>875</v>
      </c>
      <c r="KN29">
        <v>1767</v>
      </c>
      <c r="KO29">
        <v>1293</v>
      </c>
      <c r="KQ29">
        <v>1308</v>
      </c>
      <c r="KR29">
        <v>941</v>
      </c>
      <c r="KS29">
        <v>878</v>
      </c>
      <c r="KT29">
        <v>1264</v>
      </c>
      <c r="KU29">
        <v>1159</v>
      </c>
      <c r="KV29">
        <v>2010</v>
      </c>
      <c r="KW29">
        <v>472</v>
      </c>
      <c r="KX29">
        <v>1555</v>
      </c>
      <c r="KY29">
        <v>1556</v>
      </c>
      <c r="KZ29">
        <v>865</v>
      </c>
      <c r="LA29">
        <v>602</v>
      </c>
      <c r="LB29">
        <v>1978</v>
      </c>
      <c r="LC29">
        <v>968</v>
      </c>
      <c r="LE29">
        <v>1213</v>
      </c>
      <c r="LF29">
        <v>764</v>
      </c>
      <c r="LG29">
        <v>881</v>
      </c>
      <c r="LH29">
        <v>473</v>
      </c>
      <c r="LI29">
        <v>1969</v>
      </c>
      <c r="LJ29">
        <v>308</v>
      </c>
      <c r="LL29">
        <v>1367</v>
      </c>
      <c r="LM29">
        <v>1341</v>
      </c>
      <c r="LN29">
        <v>625</v>
      </c>
      <c r="LO29">
        <v>1103</v>
      </c>
      <c r="LP29">
        <v>1388</v>
      </c>
      <c r="LQ29">
        <v>869</v>
      </c>
      <c r="LS29">
        <v>1800</v>
      </c>
      <c r="LT29">
        <v>944</v>
      </c>
      <c r="LU29">
        <v>567</v>
      </c>
      <c r="LV29">
        <v>1296</v>
      </c>
      <c r="LW29">
        <v>1304</v>
      </c>
      <c r="LX29">
        <v>612</v>
      </c>
      <c r="LZ29">
        <v>1352</v>
      </c>
      <c r="MA29">
        <v>1222</v>
      </c>
      <c r="MB29">
        <v>261</v>
      </c>
      <c r="MC29">
        <v>754</v>
      </c>
      <c r="MD29">
        <v>1387</v>
      </c>
      <c r="ME29">
        <v>1229</v>
      </c>
      <c r="MF29">
        <v>0</v>
      </c>
      <c r="MG29">
        <v>1327</v>
      </c>
      <c r="MI29">
        <v>852</v>
      </c>
      <c r="MJ29">
        <v>1002</v>
      </c>
      <c r="MN29">
        <v>353</v>
      </c>
      <c r="MQ29">
        <v>1104</v>
      </c>
      <c r="MR29">
        <v>15</v>
      </c>
      <c r="MS29">
        <v>3</v>
      </c>
      <c r="MT29">
        <v>0</v>
      </c>
      <c r="MU29">
        <v>0</v>
      </c>
      <c r="MV29">
        <v>19</v>
      </c>
      <c r="MW29">
        <v>3</v>
      </c>
      <c r="MX29">
        <v>2</v>
      </c>
      <c r="MY29">
        <v>1998</v>
      </c>
      <c r="MZ29">
        <v>1631</v>
      </c>
      <c r="NA29">
        <v>0</v>
      </c>
      <c r="NB29">
        <v>1422</v>
      </c>
      <c r="NC29">
        <v>1059</v>
      </c>
      <c r="ND29">
        <v>0</v>
      </c>
      <c r="NE29">
        <v>1130</v>
      </c>
      <c r="NF29">
        <v>1203</v>
      </c>
      <c r="NG29">
        <v>997</v>
      </c>
      <c r="NH29">
        <v>0</v>
      </c>
      <c r="NI29">
        <v>1233</v>
      </c>
      <c r="NJ29">
        <v>737</v>
      </c>
      <c r="NK29">
        <v>506</v>
      </c>
      <c r="NL29">
        <v>551</v>
      </c>
      <c r="NM29">
        <v>1377</v>
      </c>
      <c r="NN29">
        <v>471</v>
      </c>
      <c r="NO29">
        <v>0</v>
      </c>
      <c r="NP29">
        <v>1597</v>
      </c>
      <c r="NQ29">
        <v>871</v>
      </c>
      <c r="NR29">
        <v>1028</v>
      </c>
      <c r="NS29">
        <v>664</v>
      </c>
      <c r="NT29">
        <v>1023</v>
      </c>
      <c r="NU29">
        <v>406</v>
      </c>
      <c r="NV29">
        <v>0</v>
      </c>
      <c r="NW29">
        <v>677</v>
      </c>
      <c r="NX29">
        <v>536</v>
      </c>
      <c r="NY29">
        <v>818</v>
      </c>
      <c r="NZ29">
        <v>520</v>
      </c>
      <c r="OA29">
        <v>1088</v>
      </c>
      <c r="OB29">
        <v>693</v>
      </c>
      <c r="OC29">
        <v>0</v>
      </c>
      <c r="OD29">
        <v>1105</v>
      </c>
      <c r="OE29">
        <v>699</v>
      </c>
      <c r="OF29">
        <v>481</v>
      </c>
      <c r="OG29">
        <v>183</v>
      </c>
      <c r="OH29">
        <v>992</v>
      </c>
      <c r="OI29">
        <v>1106</v>
      </c>
      <c r="OJ29">
        <v>0</v>
      </c>
      <c r="OK29">
        <v>1441</v>
      </c>
      <c r="OL29">
        <v>1129</v>
      </c>
      <c r="OM29">
        <v>1086</v>
      </c>
      <c r="ON29">
        <v>641</v>
      </c>
      <c r="OO29">
        <v>732</v>
      </c>
      <c r="OP29">
        <v>698</v>
      </c>
      <c r="OQ29">
        <v>0</v>
      </c>
      <c r="OR29" s="42">
        <v>300</v>
      </c>
      <c r="OS29" s="42">
        <v>400</v>
      </c>
      <c r="OT29" s="42">
        <v>100</v>
      </c>
      <c r="OU29">
        <v>0</v>
      </c>
      <c r="OV29">
        <v>1493</v>
      </c>
      <c r="OW29">
        <v>1030</v>
      </c>
      <c r="OX29">
        <v>0</v>
      </c>
      <c r="OY29">
        <v>875</v>
      </c>
      <c r="OZ29">
        <v>1088</v>
      </c>
      <c r="PA29">
        <v>472</v>
      </c>
      <c r="PB29">
        <v>771</v>
      </c>
      <c r="PC29">
        <v>669</v>
      </c>
      <c r="PD29">
        <v>675</v>
      </c>
      <c r="PE29">
        <v>0</v>
      </c>
      <c r="PF29">
        <v>1158</v>
      </c>
      <c r="PG29">
        <v>1092</v>
      </c>
      <c r="PH29">
        <v>1508</v>
      </c>
      <c r="PI29">
        <v>435</v>
      </c>
      <c r="PJ29">
        <v>0</v>
      </c>
      <c r="PK29">
        <v>0</v>
      </c>
      <c r="PL29">
        <v>0</v>
      </c>
      <c r="PM29">
        <v>8722</v>
      </c>
      <c r="PN29">
        <v>9593</v>
      </c>
      <c r="PO29">
        <v>10198</v>
      </c>
      <c r="PP29">
        <v>10252</v>
      </c>
      <c r="PQ29">
        <v>9682</v>
      </c>
      <c r="PR29">
        <v>10106</v>
      </c>
      <c r="PS29">
        <v>0</v>
      </c>
      <c r="PT29">
        <v>0</v>
      </c>
      <c r="PU29">
        <v>0</v>
      </c>
      <c r="PV29">
        <v>0</v>
      </c>
      <c r="PW29">
        <v>432</v>
      </c>
      <c r="PX29">
        <v>1725</v>
      </c>
      <c r="PY29">
        <v>1131</v>
      </c>
      <c r="PZ29">
        <v>0</v>
      </c>
      <c r="QA29">
        <v>314</v>
      </c>
      <c r="QB29">
        <v>452</v>
      </c>
      <c r="QC29">
        <v>370</v>
      </c>
      <c r="QD29">
        <v>1037</v>
      </c>
      <c r="QE29">
        <v>1178</v>
      </c>
      <c r="QF29">
        <v>997</v>
      </c>
      <c r="QG29">
        <v>0</v>
      </c>
      <c r="QH29">
        <v>1103</v>
      </c>
      <c r="QI29">
        <v>1051</v>
      </c>
      <c r="QJ29">
        <v>726</v>
      </c>
      <c r="QK29">
        <v>962</v>
      </c>
      <c r="QL29">
        <v>1190</v>
      </c>
      <c r="QM29">
        <v>654</v>
      </c>
      <c r="QN29">
        <v>0</v>
      </c>
      <c r="QO29">
        <v>708</v>
      </c>
      <c r="QP29">
        <v>1091</v>
      </c>
      <c r="QQ29">
        <v>606</v>
      </c>
      <c r="QR29">
        <v>1100</v>
      </c>
      <c r="QS29">
        <v>1217</v>
      </c>
      <c r="QT29">
        <v>1225</v>
      </c>
      <c r="QU29">
        <v>0</v>
      </c>
      <c r="QV29">
        <v>1017</v>
      </c>
      <c r="QW29">
        <v>709</v>
      </c>
      <c r="QX29">
        <v>1261</v>
      </c>
      <c r="QY29">
        <v>741</v>
      </c>
      <c r="QZ29">
        <v>861</v>
      </c>
      <c r="RA29">
        <v>470</v>
      </c>
      <c r="RB29">
        <v>0</v>
      </c>
      <c r="RC29">
        <v>558</v>
      </c>
      <c r="RD29">
        <v>471</v>
      </c>
      <c r="RE29">
        <v>525</v>
      </c>
      <c r="RF29">
        <v>534</v>
      </c>
      <c r="RG29">
        <v>655</v>
      </c>
      <c r="RH29">
        <v>0</v>
      </c>
      <c r="RI29">
        <v>0</v>
      </c>
      <c r="RJ29">
        <v>509</v>
      </c>
      <c r="RK29">
        <v>831</v>
      </c>
      <c r="RL29">
        <v>264</v>
      </c>
      <c r="RM29">
        <v>1041</v>
      </c>
      <c r="RN29">
        <v>745</v>
      </c>
      <c r="RO29">
        <v>653</v>
      </c>
      <c r="RP29">
        <v>0</v>
      </c>
      <c r="RQ29">
        <v>851</v>
      </c>
      <c r="RR29">
        <v>1190</v>
      </c>
      <c r="RS29">
        <v>361</v>
      </c>
      <c r="RT29">
        <v>779</v>
      </c>
      <c r="RU29">
        <v>1220</v>
      </c>
      <c r="RV29">
        <v>950</v>
      </c>
      <c r="RW29">
        <v>0</v>
      </c>
      <c r="RX29">
        <v>1378</v>
      </c>
      <c r="RY29">
        <v>897</v>
      </c>
      <c r="RZ29">
        <v>794</v>
      </c>
      <c r="SA29">
        <v>1109</v>
      </c>
      <c r="SC29">
        <v>1102</v>
      </c>
      <c r="SE29">
        <v>947</v>
      </c>
      <c r="SF29">
        <v>1201</v>
      </c>
      <c r="SG29">
        <v>602</v>
      </c>
      <c r="SH29">
        <v>778</v>
      </c>
      <c r="SI29">
        <v>1397</v>
      </c>
      <c r="SJ29">
        <v>647</v>
      </c>
      <c r="SL29">
        <v>1213</v>
      </c>
      <c r="SM29">
        <v>738</v>
      </c>
      <c r="SN29">
        <v>809</v>
      </c>
      <c r="SO29">
        <v>726</v>
      </c>
      <c r="SP29">
        <v>1124</v>
      </c>
      <c r="SQ29">
        <v>1389</v>
      </c>
      <c r="SR29">
        <v>1279</v>
      </c>
      <c r="SS29">
        <v>1764</v>
      </c>
      <c r="ST29">
        <v>1237</v>
      </c>
      <c r="SU29">
        <v>920</v>
      </c>
      <c r="SV29">
        <v>942</v>
      </c>
      <c r="SW29">
        <v>1027</v>
      </c>
      <c r="SX29">
        <v>992</v>
      </c>
      <c r="SZ29">
        <v>1180</v>
      </c>
      <c r="TA29">
        <v>913</v>
      </c>
      <c r="TB29">
        <v>742</v>
      </c>
      <c r="TC29">
        <v>443</v>
      </c>
      <c r="TD29">
        <v>295</v>
      </c>
      <c r="TE29">
        <v>996</v>
      </c>
      <c r="TG29">
        <v>1527</v>
      </c>
      <c r="TH29">
        <v>1013</v>
      </c>
      <c r="TI29">
        <v>223</v>
      </c>
      <c r="TJ29">
        <v>862</v>
      </c>
      <c r="TK29">
        <v>664</v>
      </c>
      <c r="TL29">
        <v>305</v>
      </c>
      <c r="TM29" s="46">
        <v>0</v>
      </c>
      <c r="TN29" s="46">
        <v>0</v>
      </c>
      <c r="TO29" s="46">
        <v>759</v>
      </c>
      <c r="TP29" s="46">
        <v>631</v>
      </c>
      <c r="TQ29" s="46">
        <v>1298</v>
      </c>
      <c r="TR29" s="46">
        <v>875</v>
      </c>
      <c r="TS29" s="46">
        <v>1191</v>
      </c>
      <c r="TT29" s="46">
        <v>0</v>
      </c>
      <c r="TU29" s="46">
        <v>0</v>
      </c>
      <c r="TV29">
        <v>0</v>
      </c>
      <c r="TW29">
        <v>992</v>
      </c>
      <c r="TX29">
        <v>1310</v>
      </c>
      <c r="TY29">
        <v>427</v>
      </c>
      <c r="TZ29">
        <v>1329</v>
      </c>
      <c r="UA29">
        <v>0</v>
      </c>
      <c r="UB29">
        <v>719</v>
      </c>
      <c r="UC29">
        <v>245</v>
      </c>
      <c r="UD29">
        <v>774</v>
      </c>
      <c r="UE29">
        <v>1926</v>
      </c>
      <c r="UF29">
        <v>1061</v>
      </c>
      <c r="UG29">
        <v>1113</v>
      </c>
      <c r="UI29">
        <v>971</v>
      </c>
      <c r="UJ29">
        <v>468</v>
      </c>
      <c r="UK29">
        <v>276</v>
      </c>
      <c r="UL29">
        <v>0</v>
      </c>
      <c r="UM29">
        <v>967</v>
      </c>
      <c r="UN29">
        <v>982</v>
      </c>
      <c r="UO29">
        <v>0</v>
      </c>
      <c r="UP29">
        <v>0</v>
      </c>
      <c r="UQ29">
        <v>1039</v>
      </c>
      <c r="UR29">
        <v>384</v>
      </c>
      <c r="US29">
        <v>953</v>
      </c>
      <c r="UT29">
        <v>520</v>
      </c>
      <c r="UU29">
        <v>1323</v>
      </c>
      <c r="UV29">
        <v>0</v>
      </c>
      <c r="UW29">
        <v>0</v>
      </c>
      <c r="UX29">
        <v>1061</v>
      </c>
      <c r="UY29">
        <v>537</v>
      </c>
      <c r="UZ29">
        <v>1229</v>
      </c>
      <c r="VA29">
        <v>1023</v>
      </c>
      <c r="VB29">
        <v>931</v>
      </c>
      <c r="VC29">
        <v>0</v>
      </c>
      <c r="VD29">
        <v>1155</v>
      </c>
      <c r="VE29">
        <v>347</v>
      </c>
      <c r="VF29">
        <v>837</v>
      </c>
      <c r="VG29">
        <v>915</v>
      </c>
      <c r="VH29">
        <v>854</v>
      </c>
      <c r="VI29">
        <v>864</v>
      </c>
      <c r="VJ29">
        <v>0</v>
      </c>
      <c r="VK29">
        <v>816</v>
      </c>
      <c r="VL29">
        <v>586</v>
      </c>
      <c r="VM29">
        <v>924</v>
      </c>
      <c r="VN29">
        <v>890</v>
      </c>
      <c r="VO29">
        <v>728</v>
      </c>
      <c r="VP29">
        <v>438</v>
      </c>
      <c r="VR29">
        <v>813</v>
      </c>
      <c r="VT29">
        <v>465</v>
      </c>
      <c r="VU29">
        <v>1166</v>
      </c>
      <c r="VV29">
        <v>723</v>
      </c>
      <c r="VW29">
        <v>901</v>
      </c>
      <c r="VY29">
        <v>623</v>
      </c>
      <c r="VZ29">
        <v>99</v>
      </c>
      <c r="WA29">
        <v>992</v>
      </c>
      <c r="WB29">
        <v>676</v>
      </c>
      <c r="WC29">
        <v>665</v>
      </c>
      <c r="WD29">
        <v>578</v>
      </c>
      <c r="WE29">
        <v>0</v>
      </c>
      <c r="WF29">
        <v>279</v>
      </c>
      <c r="WG29">
        <v>395</v>
      </c>
      <c r="WH29">
        <v>900</v>
      </c>
      <c r="WI29">
        <v>616</v>
      </c>
      <c r="WJ29">
        <v>428</v>
      </c>
      <c r="WK29">
        <v>469</v>
      </c>
      <c r="WL29">
        <v>0</v>
      </c>
      <c r="WM29">
        <v>230</v>
      </c>
      <c r="WN29">
        <v>434</v>
      </c>
      <c r="WO29">
        <v>637</v>
      </c>
      <c r="WP29">
        <v>563</v>
      </c>
      <c r="WQ29">
        <v>511</v>
      </c>
      <c r="WR29">
        <v>513</v>
      </c>
      <c r="WS29">
        <v>0</v>
      </c>
      <c r="WT29">
        <v>421</v>
      </c>
      <c r="WU29">
        <v>334</v>
      </c>
      <c r="WV29">
        <v>568</v>
      </c>
      <c r="WW29">
        <v>153</v>
      </c>
      <c r="WX29">
        <v>419</v>
      </c>
      <c r="WY29">
        <v>0</v>
      </c>
      <c r="WZ29">
        <v>0</v>
      </c>
      <c r="XA29">
        <v>620</v>
      </c>
      <c r="XB29">
        <v>461</v>
      </c>
      <c r="XC29">
        <v>762</v>
      </c>
      <c r="XD29">
        <v>736</v>
      </c>
      <c r="XE29">
        <v>553</v>
      </c>
      <c r="XF29">
        <v>919</v>
      </c>
      <c r="XG29">
        <v>0</v>
      </c>
      <c r="XH29">
        <v>406</v>
      </c>
      <c r="XI29">
        <v>698</v>
      </c>
      <c r="XJ29">
        <v>715</v>
      </c>
      <c r="XK29">
        <v>1228</v>
      </c>
      <c r="XL29">
        <v>1400</v>
      </c>
      <c r="XM29">
        <v>831</v>
      </c>
      <c r="XN29">
        <v>0</v>
      </c>
      <c r="XO29">
        <v>534</v>
      </c>
      <c r="XP29">
        <v>1424</v>
      </c>
      <c r="XQ29">
        <v>882</v>
      </c>
      <c r="XR29">
        <v>931</v>
      </c>
      <c r="XS29">
        <v>599</v>
      </c>
      <c r="XT29">
        <v>844</v>
      </c>
      <c r="XU29">
        <v>0</v>
      </c>
      <c r="XV29">
        <v>0</v>
      </c>
      <c r="XW29">
        <v>327</v>
      </c>
      <c r="XX29">
        <v>280</v>
      </c>
      <c r="XY29">
        <v>250</v>
      </c>
      <c r="XZ29">
        <v>1591</v>
      </c>
      <c r="YA29">
        <v>1701</v>
      </c>
      <c r="YB29">
        <v>0</v>
      </c>
      <c r="YC29">
        <v>56</v>
      </c>
      <c r="YD29">
        <v>779</v>
      </c>
      <c r="YE29">
        <v>704</v>
      </c>
      <c r="YF29">
        <v>786</v>
      </c>
      <c r="YG29">
        <v>663</v>
      </c>
      <c r="YH29">
        <v>818</v>
      </c>
      <c r="YI29">
        <v>0</v>
      </c>
      <c r="YJ29">
        <v>303</v>
      </c>
      <c r="YK29">
        <v>0</v>
      </c>
      <c r="YL29">
        <v>631</v>
      </c>
      <c r="YM29">
        <v>496</v>
      </c>
      <c r="YN29">
        <v>583</v>
      </c>
      <c r="YO29">
        <v>1604</v>
      </c>
      <c r="YP29">
        <v>0</v>
      </c>
      <c r="YQ29">
        <v>692</v>
      </c>
      <c r="YR29">
        <v>957</v>
      </c>
      <c r="YS29">
        <v>1056</v>
      </c>
      <c r="YT29">
        <v>823</v>
      </c>
      <c r="YU29">
        <v>720</v>
      </c>
      <c r="YV29">
        <v>1133</v>
      </c>
      <c r="YW29">
        <v>0</v>
      </c>
      <c r="YX29">
        <v>586</v>
      </c>
      <c r="YY29">
        <v>656</v>
      </c>
      <c r="YZ29">
        <v>860</v>
      </c>
      <c r="ZA29">
        <v>369</v>
      </c>
      <c r="ZB29">
        <v>483</v>
      </c>
      <c r="ZC29">
        <v>585</v>
      </c>
      <c r="ZE29">
        <v>101</v>
      </c>
      <c r="ZF29">
        <v>348</v>
      </c>
      <c r="ZG29">
        <v>484</v>
      </c>
      <c r="ZH29">
        <v>327</v>
      </c>
      <c r="ZI29">
        <v>425</v>
      </c>
      <c r="ZJ29">
        <v>270</v>
      </c>
      <c r="ZK29">
        <v>0</v>
      </c>
      <c r="ZL29">
        <v>406</v>
      </c>
      <c r="ZM29">
        <v>437</v>
      </c>
      <c r="ZN29">
        <v>674</v>
      </c>
      <c r="ZO29">
        <v>576</v>
      </c>
      <c r="ZP29">
        <v>882</v>
      </c>
      <c r="ZQ29">
        <v>590</v>
      </c>
      <c r="ZR29">
        <v>0</v>
      </c>
      <c r="ZS29">
        <v>673</v>
      </c>
      <c r="ZT29">
        <v>566</v>
      </c>
      <c r="ZU29">
        <v>708</v>
      </c>
      <c r="ZV29">
        <v>68</v>
      </c>
      <c r="ZW29">
        <v>1248</v>
      </c>
      <c r="ZX29">
        <v>1081</v>
      </c>
      <c r="ZY29">
        <v>0</v>
      </c>
      <c r="ZZ29">
        <v>642</v>
      </c>
      <c r="AAA29">
        <v>395</v>
      </c>
      <c r="AAB29">
        <v>1020</v>
      </c>
      <c r="AAC29">
        <v>222</v>
      </c>
      <c r="AAD29">
        <v>1134</v>
      </c>
      <c r="AAE29">
        <v>895</v>
      </c>
      <c r="AAF29">
        <v>0</v>
      </c>
      <c r="AAG29">
        <v>388</v>
      </c>
      <c r="AAH29">
        <v>586</v>
      </c>
      <c r="AAI29">
        <v>919</v>
      </c>
      <c r="AAJ29">
        <v>438</v>
      </c>
      <c r="AAK29">
        <v>936</v>
      </c>
      <c r="AAL29">
        <v>703</v>
      </c>
      <c r="AAN29">
        <v>82</v>
      </c>
      <c r="AAO29">
        <v>209</v>
      </c>
      <c r="AAP29">
        <v>424</v>
      </c>
      <c r="AAQ29">
        <v>522</v>
      </c>
      <c r="AAR29">
        <v>440</v>
      </c>
      <c r="AAS29">
        <v>59</v>
      </c>
      <c r="AAU29">
        <v>1002</v>
      </c>
      <c r="AAV29">
        <v>41</v>
      </c>
      <c r="AAW29">
        <v>11</v>
      </c>
      <c r="AAX29">
        <v>0</v>
      </c>
      <c r="AAY29">
        <v>0</v>
      </c>
      <c r="AAZ29">
        <v>954</v>
      </c>
      <c r="ABB29">
        <v>921</v>
      </c>
      <c r="ABC29">
        <v>791</v>
      </c>
      <c r="ABD29">
        <v>1143</v>
      </c>
      <c r="ABF29">
        <v>838</v>
      </c>
      <c r="ABG29">
        <v>1433</v>
      </c>
      <c r="ABI29">
        <v>634</v>
      </c>
      <c r="ABJ29">
        <v>1011</v>
      </c>
      <c r="ABK29">
        <v>940</v>
      </c>
      <c r="ABL29">
        <v>421</v>
      </c>
      <c r="ABM29">
        <v>433</v>
      </c>
      <c r="ABN29">
        <v>1228</v>
      </c>
      <c r="ABP29">
        <v>664</v>
      </c>
      <c r="ABQ29">
        <v>763</v>
      </c>
      <c r="ABR29">
        <v>1166</v>
      </c>
      <c r="ABS29">
        <v>593</v>
      </c>
      <c r="ABT29">
        <v>472</v>
      </c>
      <c r="ABU29">
        <v>734</v>
      </c>
      <c r="ABW29">
        <v>936</v>
      </c>
      <c r="ABX29">
        <v>831</v>
      </c>
      <c r="ABY29">
        <v>901</v>
      </c>
      <c r="ABZ29">
        <v>289</v>
      </c>
      <c r="ACD29">
        <v>405</v>
      </c>
      <c r="ACE29">
        <v>706</v>
      </c>
      <c r="ACF29">
        <v>707</v>
      </c>
      <c r="ACG29">
        <v>353</v>
      </c>
      <c r="ACH29">
        <v>833</v>
      </c>
      <c r="ACI29">
        <v>2293</v>
      </c>
      <c r="ACK29">
        <v>595</v>
      </c>
      <c r="ACL29">
        <v>675</v>
      </c>
      <c r="ACM29">
        <v>1144</v>
      </c>
      <c r="ACN29">
        <v>328</v>
      </c>
      <c r="ACO29">
        <v>781</v>
      </c>
      <c r="ACP29">
        <v>587</v>
      </c>
      <c r="ACR29">
        <v>1683</v>
      </c>
      <c r="ACS29">
        <v>592</v>
      </c>
      <c r="ACT29">
        <v>244</v>
      </c>
      <c r="ACU29">
        <v>2465</v>
      </c>
      <c r="ACW29">
        <v>2199</v>
      </c>
      <c r="ACY29">
        <v>1392</v>
      </c>
      <c r="ACZ29">
        <v>72</v>
      </c>
      <c r="ADA29">
        <v>1337</v>
      </c>
      <c r="ADB29">
        <v>577</v>
      </c>
      <c r="ADF29">
        <v>509</v>
      </c>
      <c r="ADG29">
        <v>456</v>
      </c>
      <c r="ADH29">
        <v>638</v>
      </c>
      <c r="ADI29">
        <v>855</v>
      </c>
      <c r="ADJ29">
        <v>967</v>
      </c>
      <c r="ADK29">
        <v>2294</v>
      </c>
      <c r="ADM29">
        <v>940</v>
      </c>
      <c r="ADN29">
        <v>781</v>
      </c>
      <c r="ADO29">
        <v>1127</v>
      </c>
      <c r="ADP29">
        <v>1000</v>
      </c>
      <c r="ADQ29">
        <v>406</v>
      </c>
      <c r="ADR29">
        <v>1455</v>
      </c>
      <c r="ADT29">
        <v>513</v>
      </c>
      <c r="ADU29">
        <v>921</v>
      </c>
      <c r="ADW29">
        <v>1866</v>
      </c>
      <c r="ADX29">
        <v>977</v>
      </c>
      <c r="AEA29">
        <v>1412</v>
      </c>
      <c r="AEB29">
        <v>741</v>
      </c>
      <c r="AEC29">
        <v>872</v>
      </c>
      <c r="AED29">
        <v>420</v>
      </c>
      <c r="AEE29">
        <v>728</v>
      </c>
      <c r="AEF29">
        <v>790</v>
      </c>
      <c r="AEH29">
        <v>288</v>
      </c>
      <c r="AEI29">
        <v>234</v>
      </c>
      <c r="AEJ29">
        <v>968</v>
      </c>
      <c r="AEK29">
        <v>801</v>
      </c>
      <c r="AEL29">
        <v>934</v>
      </c>
      <c r="AEM29">
        <v>1341</v>
      </c>
      <c r="AEO29">
        <v>596</v>
      </c>
      <c r="AEP29">
        <v>639</v>
      </c>
      <c r="AEQ29">
        <v>498</v>
      </c>
      <c r="AER29">
        <v>679</v>
      </c>
      <c r="AES29">
        <v>1060</v>
      </c>
      <c r="AET29">
        <v>1288</v>
      </c>
      <c r="AEV29">
        <v>520</v>
      </c>
      <c r="AEW29">
        <v>878</v>
      </c>
      <c r="AEX29">
        <v>1026</v>
      </c>
      <c r="AEY29">
        <v>776</v>
      </c>
      <c r="AEZ29">
        <v>429</v>
      </c>
      <c r="AFA29">
        <v>1261</v>
      </c>
      <c r="AFB29">
        <v>0</v>
      </c>
      <c r="AFC29">
        <v>250</v>
      </c>
      <c r="AFD29">
        <v>432</v>
      </c>
      <c r="AFE29">
        <v>903</v>
      </c>
      <c r="AFF29">
        <v>1260</v>
      </c>
      <c r="AFG29">
        <v>720</v>
      </c>
      <c r="AFH29">
        <v>709</v>
      </c>
      <c r="AFJ29">
        <v>959</v>
      </c>
      <c r="AFK29">
        <v>461</v>
      </c>
      <c r="AFL29">
        <v>818</v>
      </c>
      <c r="AFM29">
        <v>529</v>
      </c>
      <c r="AFN29">
        <v>648</v>
      </c>
      <c r="AFO29">
        <v>840</v>
      </c>
      <c r="AFQ29">
        <v>611</v>
      </c>
      <c r="AFR29">
        <v>599</v>
      </c>
      <c r="AFS29">
        <v>367</v>
      </c>
      <c r="AFT29">
        <v>479</v>
      </c>
      <c r="AFU29">
        <v>715</v>
      </c>
      <c r="AFV29">
        <v>1071</v>
      </c>
      <c r="AFW29">
        <v>0</v>
      </c>
      <c r="AFX29">
        <v>272</v>
      </c>
      <c r="AFY29">
        <v>490</v>
      </c>
      <c r="AFZ29">
        <v>404</v>
      </c>
      <c r="AGA29">
        <v>534</v>
      </c>
      <c r="AGB29">
        <v>810</v>
      </c>
      <c r="AGC29">
        <v>1139</v>
      </c>
      <c r="AGD29">
        <v>0</v>
      </c>
      <c r="AGE29">
        <v>538</v>
      </c>
      <c r="AGF29">
        <v>560</v>
      </c>
      <c r="AGG29">
        <v>500</v>
      </c>
      <c r="AGH29">
        <v>625</v>
      </c>
      <c r="AGI29">
        <v>554</v>
      </c>
      <c r="AGL29">
        <v>500</v>
      </c>
      <c r="AGM29">
        <v>395</v>
      </c>
      <c r="AGN29">
        <v>427</v>
      </c>
      <c r="AGO29">
        <v>392</v>
      </c>
      <c r="AGP29">
        <v>435</v>
      </c>
      <c r="AGQ29">
        <v>1118</v>
      </c>
      <c r="AGS29">
        <v>1106</v>
      </c>
      <c r="AGT29">
        <v>873</v>
      </c>
      <c r="AGU29">
        <v>704</v>
      </c>
      <c r="AGV29">
        <v>738</v>
      </c>
      <c r="AGW29">
        <v>1080</v>
      </c>
      <c r="AGX29">
        <v>2356</v>
      </c>
      <c r="AGZ29">
        <v>656</v>
      </c>
      <c r="AHA29">
        <v>864</v>
      </c>
      <c r="AHB29">
        <v>660</v>
      </c>
      <c r="AHC29">
        <v>695</v>
      </c>
      <c r="AHD29">
        <v>1176</v>
      </c>
      <c r="AHE29">
        <v>1866</v>
      </c>
      <c r="AHG29">
        <v>315</v>
      </c>
      <c r="AHH29">
        <v>14</v>
      </c>
      <c r="AHI29">
        <v>1042</v>
      </c>
      <c r="AHJ29">
        <v>571</v>
      </c>
      <c r="AHK29">
        <v>529</v>
      </c>
      <c r="AHL29">
        <v>1908</v>
      </c>
      <c r="AHM29">
        <v>0</v>
      </c>
      <c r="AHN29">
        <v>0</v>
      </c>
      <c r="AHO29">
        <v>135</v>
      </c>
      <c r="AHP29">
        <v>604</v>
      </c>
      <c r="AHQ29">
        <v>318</v>
      </c>
      <c r="AHR29">
        <v>571</v>
      </c>
      <c r="AHS29">
        <v>2357</v>
      </c>
      <c r="AHT29">
        <v>0</v>
      </c>
      <c r="AHU29">
        <v>0</v>
      </c>
      <c r="AHV29">
        <v>0</v>
      </c>
      <c r="AHW29">
        <v>0</v>
      </c>
      <c r="AHX29">
        <v>564</v>
      </c>
      <c r="AHY29">
        <v>221</v>
      </c>
      <c r="AHZ29">
        <v>1915</v>
      </c>
      <c r="AIA29">
        <v>0</v>
      </c>
      <c r="AIB29">
        <v>369</v>
      </c>
      <c r="AIC29">
        <v>1001</v>
      </c>
      <c r="AID29">
        <v>189</v>
      </c>
      <c r="AIE29">
        <v>36</v>
      </c>
      <c r="AIF29">
        <v>402</v>
      </c>
      <c r="AIG29">
        <v>1599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1581</v>
      </c>
      <c r="AIO29">
        <v>0</v>
      </c>
      <c r="AIP29">
        <v>0</v>
      </c>
      <c r="AIQ29">
        <v>14</v>
      </c>
      <c r="AIR29">
        <v>1553</v>
      </c>
      <c r="AIS29">
        <v>550</v>
      </c>
      <c r="AIT29">
        <v>153</v>
      </c>
      <c r="AIU29">
        <v>1774</v>
      </c>
      <c r="AIV29">
        <v>0</v>
      </c>
      <c r="AIW29">
        <v>201</v>
      </c>
      <c r="AIX29">
        <v>475</v>
      </c>
      <c r="AIY29">
        <v>1217</v>
      </c>
      <c r="AIZ29">
        <v>512</v>
      </c>
      <c r="AJA29">
        <v>1537</v>
      </c>
      <c r="AJB29">
        <v>2654</v>
      </c>
      <c r="AJC29">
        <v>0</v>
      </c>
      <c r="AJD29">
        <v>106</v>
      </c>
      <c r="AJE29">
        <v>835</v>
      </c>
      <c r="AJF29">
        <v>1222</v>
      </c>
      <c r="AJG29">
        <v>579</v>
      </c>
      <c r="AJH29">
        <v>1674</v>
      </c>
      <c r="AJI29">
        <v>2887</v>
      </c>
      <c r="AJJ29">
        <v>0</v>
      </c>
      <c r="AJK29">
        <v>341</v>
      </c>
      <c r="AJL29">
        <v>593</v>
      </c>
      <c r="AJM29">
        <v>42</v>
      </c>
      <c r="AJN29">
        <v>538</v>
      </c>
      <c r="AJO29">
        <v>397</v>
      </c>
      <c r="AJP29">
        <v>2702</v>
      </c>
      <c r="AJQ29">
        <v>0</v>
      </c>
      <c r="AJS29">
        <v>0</v>
      </c>
      <c r="AJT29">
        <v>165</v>
      </c>
      <c r="AJU29">
        <v>0</v>
      </c>
      <c r="AJV29">
        <v>102</v>
      </c>
      <c r="AJW29">
        <v>792</v>
      </c>
      <c r="AJX29">
        <v>1629</v>
      </c>
      <c r="AJY29">
        <v>0</v>
      </c>
      <c r="AJZ29">
        <v>201</v>
      </c>
      <c r="AKA29">
        <v>307</v>
      </c>
      <c r="AKB29">
        <v>595</v>
      </c>
      <c r="AKC29">
        <v>527</v>
      </c>
      <c r="AKD29">
        <v>220</v>
      </c>
      <c r="AKE29">
        <v>1804</v>
      </c>
    </row>
    <row r="30" spans="1:968">
      <c r="A30">
        <v>2</v>
      </c>
      <c r="B30" s="1" t="s">
        <v>72</v>
      </c>
      <c r="C30" s="1">
        <v>82920</v>
      </c>
      <c r="D30" s="1" t="s">
        <v>8</v>
      </c>
      <c r="E30" s="1" t="s">
        <v>71</v>
      </c>
      <c r="F30" s="1" t="s">
        <v>69</v>
      </c>
      <c r="G30" s="1" t="s">
        <v>12</v>
      </c>
      <c r="H30" s="1" t="s">
        <v>21</v>
      </c>
      <c r="I30" s="1" t="s">
        <v>14</v>
      </c>
      <c r="J30" s="1" t="s">
        <v>15</v>
      </c>
      <c r="K30" s="23">
        <v>1946</v>
      </c>
      <c r="L30" s="23">
        <v>1263</v>
      </c>
      <c r="M30" s="23">
        <v>1499</v>
      </c>
      <c r="N30" s="23">
        <v>775</v>
      </c>
      <c r="O30" s="23">
        <v>1241</v>
      </c>
      <c r="P30" s="23"/>
      <c r="Q30" s="23">
        <v>1117</v>
      </c>
      <c r="R30" s="23">
        <v>561</v>
      </c>
      <c r="S30" s="23">
        <v>2557</v>
      </c>
      <c r="T30" s="23">
        <v>1713</v>
      </c>
      <c r="U30" s="23">
        <v>447</v>
      </c>
      <c r="V30" s="23"/>
      <c r="W30" s="23">
        <v>658</v>
      </c>
      <c r="X30" s="23">
        <v>526</v>
      </c>
      <c r="Y30" s="23">
        <v>836</v>
      </c>
      <c r="Z30" s="23">
        <v>992</v>
      </c>
      <c r="AA30" s="23">
        <v>834</v>
      </c>
      <c r="AB30" s="23">
        <v>841</v>
      </c>
      <c r="AC30" s="23"/>
      <c r="AD30" s="23">
        <v>565</v>
      </c>
      <c r="AE30" s="23">
        <v>614</v>
      </c>
      <c r="AF30" s="23">
        <v>631</v>
      </c>
      <c r="AG30" s="23">
        <v>852</v>
      </c>
      <c r="AH30" s="23">
        <v>981</v>
      </c>
      <c r="AI30" s="23">
        <v>857</v>
      </c>
      <c r="AJ30" s="23"/>
      <c r="AK30" s="23">
        <v>1092</v>
      </c>
      <c r="AL30" s="23">
        <v>849</v>
      </c>
      <c r="AM30" s="23">
        <v>836</v>
      </c>
      <c r="AN30" s="23">
        <v>1411</v>
      </c>
      <c r="AO30" s="23">
        <v>726</v>
      </c>
      <c r="AP30" s="23">
        <v>367</v>
      </c>
      <c r="AQ30" s="23">
        <v>0</v>
      </c>
      <c r="AR30" s="23">
        <v>808</v>
      </c>
      <c r="AS30" s="23"/>
      <c r="AT30" s="23">
        <v>1568</v>
      </c>
      <c r="AU30" s="23">
        <v>1146</v>
      </c>
      <c r="AV30" s="23">
        <v>844</v>
      </c>
      <c r="AW30" s="23">
        <v>648</v>
      </c>
      <c r="AX30" s="23"/>
      <c r="AY30" s="23">
        <v>743</v>
      </c>
      <c r="AZ30" s="23">
        <v>448</v>
      </c>
      <c r="BA30" s="23">
        <v>877</v>
      </c>
      <c r="BB30" s="23">
        <v>659</v>
      </c>
      <c r="BC30" s="23">
        <v>888</v>
      </c>
      <c r="BD30" s="23">
        <v>1547</v>
      </c>
      <c r="BE30" s="23"/>
      <c r="BF30" s="23">
        <v>944</v>
      </c>
      <c r="BG30" s="23">
        <v>941</v>
      </c>
      <c r="BH30" s="23">
        <v>1051</v>
      </c>
      <c r="BI30" s="23">
        <v>1246</v>
      </c>
      <c r="BJ30" s="23">
        <v>1217</v>
      </c>
      <c r="BK30" s="23">
        <v>930</v>
      </c>
      <c r="BL30" s="23"/>
      <c r="BM30" s="23">
        <v>566</v>
      </c>
      <c r="BN30" s="23">
        <v>1071</v>
      </c>
      <c r="BO30" s="23">
        <v>950</v>
      </c>
      <c r="BP30" s="23">
        <v>827</v>
      </c>
      <c r="BQ30" s="23">
        <v>0</v>
      </c>
      <c r="BR30" s="23"/>
      <c r="BS30" s="23"/>
      <c r="BT30" s="23"/>
      <c r="BU30" s="23"/>
      <c r="BV30" s="23">
        <v>668</v>
      </c>
      <c r="BW30" s="23">
        <v>904</v>
      </c>
      <c r="BX30" s="23">
        <v>1006</v>
      </c>
      <c r="BY30" s="23">
        <v>644</v>
      </c>
      <c r="BZ30" s="23"/>
      <c r="CA30">
        <v>1414</v>
      </c>
      <c r="CB30">
        <v>1111</v>
      </c>
      <c r="CC30">
        <v>2076</v>
      </c>
      <c r="CD30">
        <v>935</v>
      </c>
      <c r="CE30">
        <v>517</v>
      </c>
      <c r="CF30">
        <v>254</v>
      </c>
      <c r="CH30">
        <v>896</v>
      </c>
      <c r="CI30">
        <v>511</v>
      </c>
      <c r="CJ30">
        <v>1054</v>
      </c>
      <c r="CK30">
        <v>856</v>
      </c>
      <c r="CL30">
        <v>1276</v>
      </c>
      <c r="CO30">
        <v>1237</v>
      </c>
      <c r="CP30">
        <v>522</v>
      </c>
      <c r="CQ30">
        <v>1032</v>
      </c>
      <c r="CR30">
        <v>965</v>
      </c>
      <c r="CS30">
        <v>760</v>
      </c>
      <c r="CT30">
        <v>651</v>
      </c>
      <c r="CV30">
        <v>697</v>
      </c>
      <c r="CW30">
        <v>953</v>
      </c>
      <c r="CX30">
        <v>917</v>
      </c>
      <c r="CY30">
        <v>1351</v>
      </c>
      <c r="CZ30">
        <v>1548</v>
      </c>
      <c r="DA30">
        <v>289</v>
      </c>
      <c r="DC30">
        <v>724</v>
      </c>
      <c r="DD30">
        <v>807</v>
      </c>
      <c r="DE30">
        <v>1509</v>
      </c>
      <c r="DF30">
        <v>1468</v>
      </c>
      <c r="DG30">
        <v>469</v>
      </c>
      <c r="DH30">
        <v>244</v>
      </c>
      <c r="DI30">
        <v>0</v>
      </c>
      <c r="DJ30">
        <v>1321</v>
      </c>
      <c r="DK30">
        <v>645</v>
      </c>
      <c r="DL30">
        <v>924</v>
      </c>
      <c r="DM30">
        <v>906</v>
      </c>
      <c r="DN30">
        <v>981</v>
      </c>
      <c r="DO30">
        <v>729</v>
      </c>
      <c r="DQ30">
        <v>345</v>
      </c>
      <c r="DR30">
        <v>1151</v>
      </c>
      <c r="DS30">
        <v>1250</v>
      </c>
      <c r="DT30">
        <v>1955</v>
      </c>
      <c r="DU30">
        <v>2200</v>
      </c>
      <c r="DV30">
        <v>211</v>
      </c>
      <c r="DX30">
        <v>869</v>
      </c>
      <c r="DY30">
        <v>1280</v>
      </c>
      <c r="DZ30">
        <v>1457</v>
      </c>
      <c r="EA30">
        <v>1835</v>
      </c>
      <c r="EB30">
        <v>904</v>
      </c>
      <c r="EC30">
        <v>532</v>
      </c>
      <c r="EL30">
        <v>1003</v>
      </c>
      <c r="EM30">
        <v>555</v>
      </c>
      <c r="EN30">
        <v>1649</v>
      </c>
      <c r="EO30">
        <v>1369</v>
      </c>
      <c r="EP30">
        <v>1027</v>
      </c>
      <c r="EQ30">
        <v>457</v>
      </c>
      <c r="ES30">
        <v>322</v>
      </c>
      <c r="ET30">
        <v>859</v>
      </c>
      <c r="EU30">
        <v>828</v>
      </c>
      <c r="EV30">
        <v>1057</v>
      </c>
      <c r="EW30">
        <v>1061</v>
      </c>
      <c r="EX30">
        <v>902</v>
      </c>
      <c r="EZ30">
        <v>1543</v>
      </c>
      <c r="FA30">
        <v>658</v>
      </c>
      <c r="FB30">
        <v>1160</v>
      </c>
      <c r="FC30">
        <v>1309</v>
      </c>
      <c r="FD30">
        <v>1388</v>
      </c>
      <c r="FE30">
        <v>557</v>
      </c>
      <c r="FG30">
        <v>699</v>
      </c>
      <c r="FH30">
        <v>800</v>
      </c>
      <c r="FI30">
        <v>134</v>
      </c>
      <c r="FJ30">
        <v>928</v>
      </c>
      <c r="FK30">
        <v>1505</v>
      </c>
      <c r="FN30">
        <v>242</v>
      </c>
      <c r="FO30">
        <v>414</v>
      </c>
      <c r="FP30">
        <v>692</v>
      </c>
      <c r="FQ30">
        <v>1220</v>
      </c>
      <c r="FR30">
        <v>629</v>
      </c>
      <c r="FV30">
        <v>194</v>
      </c>
      <c r="FW30">
        <v>23</v>
      </c>
      <c r="FX30">
        <v>699</v>
      </c>
      <c r="FY30">
        <v>1012</v>
      </c>
      <c r="FZ30">
        <v>829</v>
      </c>
      <c r="GB30">
        <v>1391</v>
      </c>
      <c r="GC30">
        <v>1443</v>
      </c>
      <c r="GD30">
        <v>1804</v>
      </c>
      <c r="GE30">
        <v>1337</v>
      </c>
      <c r="GF30">
        <v>1464</v>
      </c>
      <c r="GG30">
        <v>692</v>
      </c>
      <c r="GL30">
        <v>1778</v>
      </c>
      <c r="GM30">
        <v>657</v>
      </c>
      <c r="GN30">
        <v>561</v>
      </c>
      <c r="GP30">
        <v>561</v>
      </c>
      <c r="GQ30">
        <v>819</v>
      </c>
      <c r="GR30">
        <v>1505</v>
      </c>
      <c r="GS30">
        <v>1709</v>
      </c>
      <c r="GT30">
        <v>1857</v>
      </c>
      <c r="GU30">
        <v>894</v>
      </c>
      <c r="GW30">
        <v>1009</v>
      </c>
      <c r="GX30">
        <v>860</v>
      </c>
      <c r="GY30">
        <v>1289</v>
      </c>
      <c r="GZ30">
        <v>1290</v>
      </c>
      <c r="HA30">
        <v>1200</v>
      </c>
      <c r="HB30">
        <v>563</v>
      </c>
      <c r="HD30">
        <v>550</v>
      </c>
      <c r="HE30">
        <v>1180</v>
      </c>
      <c r="HF30">
        <v>1169</v>
      </c>
      <c r="HG30">
        <v>1471</v>
      </c>
      <c r="HH30">
        <v>1146</v>
      </c>
      <c r="HK30">
        <v>1017</v>
      </c>
      <c r="HL30">
        <v>959</v>
      </c>
      <c r="HM30">
        <v>1156</v>
      </c>
      <c r="HN30">
        <v>1225</v>
      </c>
      <c r="HO30">
        <v>1016</v>
      </c>
      <c r="HP30">
        <v>757</v>
      </c>
      <c r="HS30">
        <v>1095</v>
      </c>
      <c r="HT30">
        <v>1358</v>
      </c>
      <c r="HU30">
        <v>916</v>
      </c>
      <c r="HV30">
        <v>1487</v>
      </c>
      <c r="HW30">
        <v>450</v>
      </c>
      <c r="IF30">
        <v>321</v>
      </c>
      <c r="IG30">
        <v>771</v>
      </c>
      <c r="IH30">
        <v>869</v>
      </c>
      <c r="II30">
        <v>1007</v>
      </c>
      <c r="IJ30">
        <v>769</v>
      </c>
      <c r="IK30">
        <v>1275</v>
      </c>
      <c r="IM30">
        <v>650</v>
      </c>
      <c r="IN30">
        <v>888</v>
      </c>
      <c r="IO30">
        <v>1239</v>
      </c>
      <c r="IP30">
        <v>890</v>
      </c>
      <c r="IQ30">
        <v>1221</v>
      </c>
      <c r="IR30">
        <v>771</v>
      </c>
      <c r="IT30">
        <v>659</v>
      </c>
      <c r="IU30">
        <v>894</v>
      </c>
      <c r="IV30">
        <v>1547</v>
      </c>
      <c r="IW30">
        <v>1196</v>
      </c>
      <c r="IX30">
        <v>1220</v>
      </c>
      <c r="IY30">
        <v>671</v>
      </c>
      <c r="JA30">
        <v>770</v>
      </c>
      <c r="JB30">
        <v>960</v>
      </c>
      <c r="JC30">
        <v>1233</v>
      </c>
      <c r="JD30">
        <v>975</v>
      </c>
      <c r="JE30">
        <v>2237</v>
      </c>
      <c r="JF30">
        <v>886</v>
      </c>
      <c r="JH30">
        <v>295</v>
      </c>
      <c r="JI30">
        <v>830</v>
      </c>
      <c r="JJ30">
        <v>2260</v>
      </c>
      <c r="JK30">
        <v>1235</v>
      </c>
      <c r="JL30">
        <v>938</v>
      </c>
      <c r="JM30">
        <v>406</v>
      </c>
      <c r="JN30">
        <v>380</v>
      </c>
      <c r="JO30">
        <v>766</v>
      </c>
      <c r="JP30">
        <v>784</v>
      </c>
      <c r="JQ30">
        <v>1921</v>
      </c>
      <c r="JR30">
        <v>1543</v>
      </c>
      <c r="JS30">
        <v>708</v>
      </c>
      <c r="JW30">
        <v>750</v>
      </c>
      <c r="JX30">
        <v>848</v>
      </c>
      <c r="JY30">
        <v>817</v>
      </c>
      <c r="JZ30">
        <v>1255</v>
      </c>
      <c r="KA30">
        <v>704</v>
      </c>
      <c r="KC30">
        <v>707</v>
      </c>
      <c r="KD30">
        <v>944</v>
      </c>
      <c r="KE30">
        <v>1217</v>
      </c>
      <c r="KF30">
        <v>1786</v>
      </c>
      <c r="KG30">
        <v>1682</v>
      </c>
      <c r="KH30">
        <v>617</v>
      </c>
      <c r="KK30">
        <v>1149</v>
      </c>
      <c r="KL30">
        <v>328</v>
      </c>
      <c r="KM30">
        <v>901</v>
      </c>
      <c r="KN30">
        <v>1414</v>
      </c>
      <c r="KO30">
        <v>456</v>
      </c>
      <c r="KQ30">
        <v>553</v>
      </c>
      <c r="KR30">
        <v>1478</v>
      </c>
      <c r="KS30">
        <v>941</v>
      </c>
      <c r="KT30">
        <v>2135</v>
      </c>
      <c r="KU30">
        <v>1284</v>
      </c>
      <c r="KV30">
        <v>536</v>
      </c>
      <c r="KW30">
        <v>577</v>
      </c>
      <c r="KX30">
        <v>1177</v>
      </c>
      <c r="KY30">
        <v>1177</v>
      </c>
      <c r="KZ30">
        <v>652</v>
      </c>
      <c r="LA30">
        <v>1164</v>
      </c>
      <c r="LB30">
        <v>1702</v>
      </c>
      <c r="LC30">
        <v>591</v>
      </c>
      <c r="LE30">
        <v>659</v>
      </c>
      <c r="LF30">
        <v>689</v>
      </c>
      <c r="LG30">
        <v>1256</v>
      </c>
      <c r="LH30">
        <v>1288</v>
      </c>
      <c r="LI30">
        <v>1530</v>
      </c>
      <c r="LJ30">
        <v>666</v>
      </c>
      <c r="LL30">
        <v>1177</v>
      </c>
      <c r="LM30">
        <v>813</v>
      </c>
      <c r="LN30">
        <v>700</v>
      </c>
      <c r="LO30">
        <v>1600</v>
      </c>
      <c r="LP30">
        <v>1749</v>
      </c>
      <c r="LQ30">
        <v>1009</v>
      </c>
      <c r="LS30">
        <v>930</v>
      </c>
      <c r="LT30">
        <v>1128</v>
      </c>
      <c r="LU30">
        <v>2176</v>
      </c>
      <c r="LV30">
        <v>1756</v>
      </c>
      <c r="LW30">
        <v>1257</v>
      </c>
      <c r="LX30">
        <v>631</v>
      </c>
      <c r="LZ30">
        <v>1035</v>
      </c>
      <c r="MA30">
        <v>905</v>
      </c>
      <c r="MB30">
        <v>461</v>
      </c>
      <c r="MC30">
        <v>2022</v>
      </c>
      <c r="MD30">
        <v>1784</v>
      </c>
      <c r="ME30">
        <v>452</v>
      </c>
      <c r="MF30">
        <v>0</v>
      </c>
      <c r="MG30">
        <v>664</v>
      </c>
      <c r="MH30">
        <v>5</v>
      </c>
      <c r="MI30">
        <v>2180</v>
      </c>
      <c r="MJ30">
        <v>1926</v>
      </c>
      <c r="MK30">
        <v>3697</v>
      </c>
      <c r="ML30">
        <v>840</v>
      </c>
      <c r="MM30">
        <v>0</v>
      </c>
      <c r="MN30">
        <v>1442</v>
      </c>
      <c r="MO30">
        <v>707</v>
      </c>
      <c r="MP30">
        <v>0</v>
      </c>
      <c r="MQ30">
        <v>723</v>
      </c>
      <c r="MR30">
        <v>1076</v>
      </c>
      <c r="MS30">
        <v>0</v>
      </c>
      <c r="MT30">
        <v>0</v>
      </c>
      <c r="MU30">
        <v>0</v>
      </c>
      <c r="MV30">
        <v>711</v>
      </c>
      <c r="MW30">
        <v>1</v>
      </c>
      <c r="MX30">
        <v>1</v>
      </c>
      <c r="MY30">
        <v>0</v>
      </c>
      <c r="MZ30">
        <v>0</v>
      </c>
      <c r="NA30">
        <v>0</v>
      </c>
      <c r="NB30">
        <v>634</v>
      </c>
      <c r="NC30">
        <v>1159</v>
      </c>
      <c r="ND30">
        <v>0</v>
      </c>
      <c r="NE30">
        <v>682</v>
      </c>
      <c r="NF30">
        <v>1082</v>
      </c>
      <c r="NG30">
        <v>543</v>
      </c>
      <c r="NH30">
        <v>0</v>
      </c>
      <c r="NI30">
        <v>740</v>
      </c>
      <c r="NJ30">
        <v>1187</v>
      </c>
      <c r="NK30">
        <v>1296</v>
      </c>
      <c r="NL30">
        <v>1069</v>
      </c>
      <c r="NM30">
        <v>900</v>
      </c>
      <c r="NN30">
        <v>346</v>
      </c>
      <c r="NO30">
        <v>0</v>
      </c>
      <c r="NP30">
        <v>649</v>
      </c>
      <c r="NQ30">
        <v>658</v>
      </c>
      <c r="NR30">
        <v>1296</v>
      </c>
      <c r="NS30">
        <v>1286</v>
      </c>
      <c r="NT30">
        <v>1362</v>
      </c>
      <c r="NU30">
        <v>893</v>
      </c>
      <c r="NV30">
        <v>0</v>
      </c>
      <c r="NW30">
        <v>1005</v>
      </c>
      <c r="NX30">
        <v>1028</v>
      </c>
      <c r="NY30">
        <v>907</v>
      </c>
      <c r="NZ30">
        <v>1314</v>
      </c>
      <c r="OA30">
        <v>1057</v>
      </c>
      <c r="OB30">
        <v>709</v>
      </c>
      <c r="OC30">
        <v>0</v>
      </c>
      <c r="OD30">
        <v>227</v>
      </c>
      <c r="OE30">
        <v>1248</v>
      </c>
      <c r="OF30">
        <v>901</v>
      </c>
      <c r="OG30">
        <v>793</v>
      </c>
      <c r="OH30">
        <v>583</v>
      </c>
      <c r="OI30">
        <v>430</v>
      </c>
      <c r="OJ30">
        <v>0</v>
      </c>
      <c r="OK30">
        <v>449</v>
      </c>
      <c r="OL30">
        <v>870</v>
      </c>
      <c r="OM30">
        <v>935</v>
      </c>
      <c r="ON30">
        <v>1008</v>
      </c>
      <c r="OO30">
        <v>1234</v>
      </c>
      <c r="OP30">
        <v>674</v>
      </c>
      <c r="OQ30">
        <v>0</v>
      </c>
      <c r="OR30" s="42">
        <v>200</v>
      </c>
      <c r="OS30" s="42">
        <v>500</v>
      </c>
      <c r="OT30" s="42">
        <v>500</v>
      </c>
      <c r="OU30">
        <v>0</v>
      </c>
      <c r="OV30">
        <v>0</v>
      </c>
      <c r="OW30">
        <v>0</v>
      </c>
      <c r="OX30">
        <v>0</v>
      </c>
      <c r="OY30">
        <v>506</v>
      </c>
      <c r="OZ30">
        <v>799</v>
      </c>
      <c r="PA30">
        <v>1187</v>
      </c>
      <c r="PB30">
        <v>981</v>
      </c>
      <c r="PC30">
        <v>1290</v>
      </c>
      <c r="PD30">
        <v>573</v>
      </c>
      <c r="PE30">
        <v>0</v>
      </c>
      <c r="PF30">
        <v>322</v>
      </c>
      <c r="PG30">
        <v>656</v>
      </c>
      <c r="PH30">
        <v>1182</v>
      </c>
      <c r="PI30">
        <v>1260</v>
      </c>
      <c r="PJ30">
        <v>0</v>
      </c>
      <c r="PK30">
        <v>0</v>
      </c>
      <c r="PL30">
        <v>0</v>
      </c>
      <c r="PM30">
        <v>1438</v>
      </c>
      <c r="PN30">
        <v>1276</v>
      </c>
      <c r="PO30">
        <v>664</v>
      </c>
      <c r="PP30">
        <v>1277</v>
      </c>
      <c r="PQ30">
        <v>1780</v>
      </c>
      <c r="PR30">
        <v>1433</v>
      </c>
      <c r="PS30">
        <v>0</v>
      </c>
      <c r="PT30">
        <v>0</v>
      </c>
      <c r="PU30">
        <v>0</v>
      </c>
      <c r="PV30">
        <v>0</v>
      </c>
      <c r="PW30">
        <v>322</v>
      </c>
      <c r="PX30">
        <v>911</v>
      </c>
      <c r="PY30">
        <v>673</v>
      </c>
      <c r="PZ30">
        <v>0</v>
      </c>
      <c r="QA30">
        <v>835</v>
      </c>
      <c r="QB30">
        <v>1092</v>
      </c>
      <c r="QC30">
        <v>1481</v>
      </c>
      <c r="QD30">
        <v>1738</v>
      </c>
      <c r="QE30">
        <v>1564</v>
      </c>
      <c r="QF30">
        <v>1127</v>
      </c>
      <c r="QG30">
        <v>0</v>
      </c>
      <c r="QH30">
        <v>627</v>
      </c>
      <c r="QI30">
        <v>1102</v>
      </c>
      <c r="QJ30">
        <v>983</v>
      </c>
      <c r="QK30">
        <v>1312</v>
      </c>
      <c r="QL30">
        <v>911</v>
      </c>
      <c r="QM30">
        <v>414</v>
      </c>
      <c r="QN30">
        <v>0</v>
      </c>
      <c r="QO30">
        <v>681</v>
      </c>
      <c r="QP30">
        <v>841</v>
      </c>
      <c r="QQ30">
        <v>1563</v>
      </c>
      <c r="QR30">
        <v>1144</v>
      </c>
      <c r="QS30">
        <v>801</v>
      </c>
      <c r="QT30">
        <v>458</v>
      </c>
      <c r="QU30">
        <v>0</v>
      </c>
      <c r="QV30">
        <v>924</v>
      </c>
      <c r="QW30">
        <v>921</v>
      </c>
      <c r="QX30">
        <v>877</v>
      </c>
      <c r="QY30">
        <v>1921</v>
      </c>
      <c r="QZ30">
        <v>1256</v>
      </c>
      <c r="RA30">
        <v>259</v>
      </c>
      <c r="RB30">
        <v>0</v>
      </c>
      <c r="RC30">
        <v>587</v>
      </c>
      <c r="RD30">
        <v>1183</v>
      </c>
      <c r="RE30">
        <v>285</v>
      </c>
      <c r="RF30">
        <v>590</v>
      </c>
      <c r="RG30">
        <v>850</v>
      </c>
      <c r="RH30">
        <v>0</v>
      </c>
      <c r="RI30">
        <v>0</v>
      </c>
      <c r="RJ30">
        <v>4739</v>
      </c>
      <c r="RK30">
        <v>3742</v>
      </c>
      <c r="RL30">
        <v>2723</v>
      </c>
      <c r="RM30">
        <v>5878</v>
      </c>
      <c r="RN30">
        <v>4095</v>
      </c>
      <c r="RO30">
        <v>3479</v>
      </c>
      <c r="RP30">
        <v>0</v>
      </c>
      <c r="RQ30">
        <v>1486</v>
      </c>
      <c r="RR30">
        <v>949</v>
      </c>
      <c r="RS30">
        <v>1268</v>
      </c>
      <c r="RT30">
        <v>1357</v>
      </c>
      <c r="RU30">
        <v>1371</v>
      </c>
      <c r="RV30">
        <v>361</v>
      </c>
      <c r="RW30">
        <v>0</v>
      </c>
      <c r="RX30">
        <v>783</v>
      </c>
      <c r="RY30">
        <v>1638</v>
      </c>
      <c r="RZ30">
        <v>1268</v>
      </c>
      <c r="SA30">
        <v>1328</v>
      </c>
      <c r="SC30">
        <v>561</v>
      </c>
      <c r="SE30">
        <v>503</v>
      </c>
      <c r="SF30">
        <v>944</v>
      </c>
      <c r="SG30">
        <v>1584</v>
      </c>
      <c r="SH30">
        <v>734</v>
      </c>
      <c r="SI30">
        <v>1223</v>
      </c>
      <c r="SJ30">
        <v>1084</v>
      </c>
      <c r="SL30">
        <v>431</v>
      </c>
      <c r="SM30">
        <v>1169</v>
      </c>
      <c r="SN30">
        <v>814</v>
      </c>
      <c r="SO30">
        <v>675</v>
      </c>
      <c r="SP30">
        <v>1357</v>
      </c>
      <c r="SQ30">
        <v>467</v>
      </c>
      <c r="SS30">
        <v>670</v>
      </c>
      <c r="ST30">
        <v>576</v>
      </c>
      <c r="SU30">
        <v>772</v>
      </c>
      <c r="SV30">
        <v>2147</v>
      </c>
      <c r="SW30">
        <v>1610</v>
      </c>
      <c r="SX30">
        <v>903</v>
      </c>
      <c r="SZ30">
        <v>467</v>
      </c>
      <c r="TA30">
        <v>1757</v>
      </c>
      <c r="TB30">
        <v>837</v>
      </c>
      <c r="TC30">
        <v>1301</v>
      </c>
      <c r="TD30">
        <v>1463</v>
      </c>
      <c r="TE30">
        <v>689</v>
      </c>
      <c r="TG30">
        <v>883</v>
      </c>
      <c r="TH30">
        <v>531</v>
      </c>
      <c r="TI30">
        <v>510</v>
      </c>
      <c r="TJ30">
        <v>723</v>
      </c>
      <c r="TK30">
        <v>1588</v>
      </c>
      <c r="TL30">
        <v>1065</v>
      </c>
      <c r="TM30" s="46">
        <v>0</v>
      </c>
      <c r="TN30" s="46">
        <v>0</v>
      </c>
      <c r="TO30" s="46">
        <v>1065</v>
      </c>
      <c r="TP30" s="46">
        <v>635</v>
      </c>
      <c r="TQ30" s="46">
        <v>504</v>
      </c>
      <c r="TR30" s="46">
        <v>1110</v>
      </c>
      <c r="TS30" s="46">
        <v>827</v>
      </c>
      <c r="TT30" s="46">
        <v>0</v>
      </c>
      <c r="TU30" s="46">
        <v>0</v>
      </c>
      <c r="TV30">
        <v>0</v>
      </c>
      <c r="TW30">
        <v>190</v>
      </c>
      <c r="TX30">
        <v>649</v>
      </c>
      <c r="TY30">
        <v>879</v>
      </c>
      <c r="TZ30">
        <v>511</v>
      </c>
      <c r="UA30">
        <v>0</v>
      </c>
      <c r="UB30">
        <v>1280</v>
      </c>
      <c r="UC30">
        <v>1851</v>
      </c>
      <c r="UD30">
        <v>1034</v>
      </c>
      <c r="UE30">
        <v>1208</v>
      </c>
      <c r="UF30">
        <v>717</v>
      </c>
      <c r="UG30">
        <v>632</v>
      </c>
      <c r="UI30">
        <v>726</v>
      </c>
      <c r="UJ30">
        <v>1099</v>
      </c>
      <c r="UK30">
        <v>1873</v>
      </c>
      <c r="UL30">
        <v>0</v>
      </c>
      <c r="UM30">
        <v>1337</v>
      </c>
      <c r="UN30">
        <v>744</v>
      </c>
      <c r="UO30">
        <v>0</v>
      </c>
      <c r="UP30">
        <v>0</v>
      </c>
      <c r="UQ30">
        <v>1095</v>
      </c>
      <c r="UR30">
        <v>836</v>
      </c>
      <c r="US30">
        <v>1159</v>
      </c>
      <c r="UT30">
        <v>698</v>
      </c>
      <c r="UU30">
        <v>1121</v>
      </c>
      <c r="UV30">
        <v>0</v>
      </c>
      <c r="UW30">
        <v>0</v>
      </c>
      <c r="UX30">
        <v>657</v>
      </c>
      <c r="UY30">
        <v>1029</v>
      </c>
      <c r="UZ30">
        <v>672</v>
      </c>
      <c r="VA30">
        <v>873</v>
      </c>
      <c r="VB30">
        <v>514</v>
      </c>
      <c r="VC30">
        <v>0</v>
      </c>
      <c r="VD30">
        <v>441</v>
      </c>
      <c r="VE30">
        <v>1227</v>
      </c>
      <c r="VF30">
        <v>2200</v>
      </c>
      <c r="VG30">
        <v>1184</v>
      </c>
      <c r="VH30">
        <v>897</v>
      </c>
      <c r="VI30">
        <v>211</v>
      </c>
      <c r="VJ30">
        <v>0</v>
      </c>
      <c r="VK30">
        <v>546</v>
      </c>
      <c r="VL30">
        <v>438</v>
      </c>
      <c r="VM30">
        <v>786</v>
      </c>
      <c r="VN30">
        <v>968</v>
      </c>
      <c r="VO30">
        <v>1692</v>
      </c>
      <c r="VP30">
        <v>541</v>
      </c>
      <c r="VR30">
        <v>668</v>
      </c>
      <c r="VT30">
        <v>810</v>
      </c>
      <c r="VU30">
        <v>1008</v>
      </c>
      <c r="VV30">
        <v>739</v>
      </c>
      <c r="VW30">
        <v>341</v>
      </c>
      <c r="VY30">
        <v>1082</v>
      </c>
      <c r="VZ30">
        <v>732</v>
      </c>
      <c r="WA30">
        <v>598</v>
      </c>
      <c r="WB30">
        <v>607</v>
      </c>
      <c r="WC30">
        <v>785</v>
      </c>
      <c r="WD30">
        <v>395</v>
      </c>
      <c r="WE30">
        <v>0</v>
      </c>
      <c r="WF30">
        <v>553</v>
      </c>
      <c r="WG30">
        <v>1060</v>
      </c>
      <c r="WH30">
        <v>1345</v>
      </c>
      <c r="WI30">
        <v>1253</v>
      </c>
      <c r="WJ30">
        <v>572</v>
      </c>
      <c r="WK30">
        <v>333</v>
      </c>
      <c r="WL30">
        <v>0</v>
      </c>
      <c r="WM30">
        <v>435</v>
      </c>
      <c r="WN30">
        <v>530</v>
      </c>
      <c r="WO30">
        <v>258</v>
      </c>
      <c r="WP30">
        <v>448</v>
      </c>
      <c r="WQ30">
        <v>699</v>
      </c>
      <c r="WR30">
        <v>209</v>
      </c>
      <c r="WS30">
        <v>0</v>
      </c>
      <c r="WT30">
        <v>486</v>
      </c>
      <c r="WU30">
        <v>400</v>
      </c>
      <c r="WV30">
        <v>506</v>
      </c>
      <c r="WW30">
        <v>527</v>
      </c>
      <c r="WX30">
        <v>586</v>
      </c>
      <c r="WY30">
        <v>0</v>
      </c>
      <c r="WZ30">
        <v>0</v>
      </c>
      <c r="XA30">
        <v>635</v>
      </c>
      <c r="XB30">
        <v>325</v>
      </c>
      <c r="XC30">
        <v>1243</v>
      </c>
      <c r="XD30">
        <v>121</v>
      </c>
      <c r="XE30">
        <v>648</v>
      </c>
      <c r="XF30">
        <v>161</v>
      </c>
      <c r="XG30">
        <v>0</v>
      </c>
      <c r="XH30">
        <v>691</v>
      </c>
      <c r="XI30">
        <v>593</v>
      </c>
      <c r="XJ30">
        <v>853</v>
      </c>
      <c r="XK30">
        <v>646</v>
      </c>
      <c r="XL30">
        <v>1108</v>
      </c>
      <c r="XM30">
        <v>175</v>
      </c>
      <c r="XN30">
        <v>0</v>
      </c>
      <c r="XO30">
        <v>1064</v>
      </c>
      <c r="XP30">
        <v>666</v>
      </c>
      <c r="XQ30">
        <v>788</v>
      </c>
      <c r="XR30">
        <v>871</v>
      </c>
      <c r="XS30">
        <v>875</v>
      </c>
      <c r="XT30">
        <v>900</v>
      </c>
      <c r="XU30">
        <v>0</v>
      </c>
      <c r="XV30">
        <v>0</v>
      </c>
      <c r="XW30">
        <v>642</v>
      </c>
      <c r="XX30">
        <v>2000</v>
      </c>
      <c r="XY30">
        <v>1170</v>
      </c>
      <c r="XZ30">
        <v>389</v>
      </c>
      <c r="YA30">
        <v>196</v>
      </c>
      <c r="YB30">
        <v>0</v>
      </c>
      <c r="YC30">
        <v>274</v>
      </c>
      <c r="YD30">
        <v>852</v>
      </c>
      <c r="YE30">
        <v>749</v>
      </c>
      <c r="YF30">
        <v>810</v>
      </c>
      <c r="YG30">
        <v>1273</v>
      </c>
      <c r="YH30">
        <v>146</v>
      </c>
      <c r="YI30">
        <v>0</v>
      </c>
      <c r="YJ30">
        <v>738</v>
      </c>
      <c r="YK30">
        <v>0</v>
      </c>
      <c r="YL30">
        <v>957</v>
      </c>
      <c r="YM30">
        <v>1192</v>
      </c>
      <c r="YN30">
        <v>930</v>
      </c>
      <c r="YO30">
        <v>112</v>
      </c>
      <c r="YP30">
        <v>0</v>
      </c>
      <c r="YQ30">
        <v>769</v>
      </c>
      <c r="YR30">
        <v>339</v>
      </c>
      <c r="YS30">
        <v>975</v>
      </c>
      <c r="YT30">
        <v>616</v>
      </c>
      <c r="YU30">
        <v>973</v>
      </c>
      <c r="YV30">
        <v>500</v>
      </c>
      <c r="YW30">
        <v>0</v>
      </c>
      <c r="YX30">
        <v>642</v>
      </c>
      <c r="YY30">
        <v>1015</v>
      </c>
      <c r="YZ30">
        <v>1224</v>
      </c>
      <c r="ZA30">
        <v>729</v>
      </c>
      <c r="ZB30">
        <v>1053</v>
      </c>
      <c r="ZC30">
        <v>93</v>
      </c>
      <c r="ZE30">
        <v>398</v>
      </c>
      <c r="ZF30">
        <v>317</v>
      </c>
      <c r="ZG30">
        <v>1068</v>
      </c>
      <c r="ZH30">
        <v>242</v>
      </c>
      <c r="ZI30">
        <v>514</v>
      </c>
      <c r="ZJ30">
        <v>110</v>
      </c>
      <c r="ZK30">
        <v>0</v>
      </c>
      <c r="ZL30">
        <v>600</v>
      </c>
      <c r="ZM30">
        <v>542</v>
      </c>
      <c r="ZN30">
        <v>1134</v>
      </c>
      <c r="ZO30">
        <v>313</v>
      </c>
      <c r="ZP30">
        <v>538</v>
      </c>
      <c r="ZQ30">
        <v>179</v>
      </c>
      <c r="ZR30">
        <v>0</v>
      </c>
      <c r="ZS30">
        <v>530</v>
      </c>
      <c r="ZT30">
        <v>422</v>
      </c>
      <c r="ZU30">
        <v>450</v>
      </c>
      <c r="ZV30">
        <v>348</v>
      </c>
      <c r="ZW30">
        <v>956</v>
      </c>
      <c r="ZX30">
        <v>9</v>
      </c>
      <c r="ZY30">
        <v>0</v>
      </c>
      <c r="ZZ30">
        <v>757</v>
      </c>
      <c r="AAA30">
        <v>756</v>
      </c>
      <c r="AAB30">
        <v>814</v>
      </c>
      <c r="AAC30">
        <v>781</v>
      </c>
      <c r="AAD30">
        <v>1289</v>
      </c>
      <c r="AAE30">
        <v>498</v>
      </c>
      <c r="AAF30">
        <v>0</v>
      </c>
      <c r="AAG30">
        <v>520</v>
      </c>
      <c r="AAH30">
        <v>731</v>
      </c>
      <c r="AAI30">
        <v>1052</v>
      </c>
      <c r="AAJ30">
        <v>686</v>
      </c>
      <c r="AAK30">
        <v>687</v>
      </c>
      <c r="AAL30">
        <v>166</v>
      </c>
      <c r="AAN30">
        <v>588</v>
      </c>
      <c r="AAO30">
        <v>803</v>
      </c>
      <c r="AAP30">
        <v>640</v>
      </c>
      <c r="AAQ30">
        <v>742</v>
      </c>
      <c r="AAR30">
        <v>909</v>
      </c>
      <c r="AAS30">
        <v>41</v>
      </c>
      <c r="AAU30">
        <v>0</v>
      </c>
      <c r="AAV30">
        <v>646</v>
      </c>
      <c r="AAW30">
        <v>1095</v>
      </c>
      <c r="AAX30">
        <v>429</v>
      </c>
      <c r="AAY30">
        <v>5</v>
      </c>
      <c r="AAZ30">
        <v>212</v>
      </c>
      <c r="ABB30">
        <v>159</v>
      </c>
      <c r="ABC30">
        <v>333</v>
      </c>
      <c r="ABD30">
        <v>1021</v>
      </c>
      <c r="ABF30">
        <v>629</v>
      </c>
      <c r="ABG30">
        <v>347</v>
      </c>
      <c r="ABI30">
        <v>923</v>
      </c>
      <c r="ABJ30">
        <v>288</v>
      </c>
      <c r="ABK30">
        <v>1929</v>
      </c>
      <c r="ABL30">
        <v>1056</v>
      </c>
      <c r="ABM30">
        <v>1252</v>
      </c>
      <c r="ABN30">
        <v>19</v>
      </c>
      <c r="ABP30">
        <v>644</v>
      </c>
      <c r="ABQ30">
        <v>748</v>
      </c>
      <c r="ABR30">
        <v>429</v>
      </c>
      <c r="ABS30">
        <v>516</v>
      </c>
      <c r="ABT30">
        <v>842</v>
      </c>
      <c r="ABU30">
        <v>189</v>
      </c>
      <c r="ABW30">
        <v>751</v>
      </c>
      <c r="ABX30">
        <v>1117</v>
      </c>
      <c r="ABY30">
        <v>768</v>
      </c>
      <c r="ABZ30">
        <v>998</v>
      </c>
      <c r="ACD30">
        <v>901</v>
      </c>
      <c r="ACE30">
        <v>749</v>
      </c>
      <c r="ACF30">
        <v>1738</v>
      </c>
      <c r="ACG30">
        <v>491</v>
      </c>
      <c r="ACH30">
        <v>596</v>
      </c>
      <c r="ACI30">
        <v>118</v>
      </c>
      <c r="ACK30">
        <v>640</v>
      </c>
      <c r="ACL30">
        <v>824</v>
      </c>
      <c r="ACM30">
        <v>1166</v>
      </c>
      <c r="ACN30">
        <v>1257</v>
      </c>
      <c r="ACO30">
        <v>1013</v>
      </c>
      <c r="ACP30">
        <v>655</v>
      </c>
      <c r="ACR30">
        <v>388</v>
      </c>
      <c r="ACS30">
        <v>815</v>
      </c>
      <c r="ACT30">
        <v>1080</v>
      </c>
      <c r="ACU30">
        <v>1002</v>
      </c>
      <c r="ACW30">
        <v>117</v>
      </c>
      <c r="ACY30">
        <v>1289</v>
      </c>
      <c r="ACZ30">
        <v>849</v>
      </c>
      <c r="ADA30">
        <v>822</v>
      </c>
      <c r="ADB30">
        <v>1421</v>
      </c>
      <c r="ADF30">
        <v>573</v>
      </c>
      <c r="ADG30">
        <v>750</v>
      </c>
      <c r="ADH30">
        <v>869</v>
      </c>
      <c r="ADI30">
        <v>1307</v>
      </c>
      <c r="ADJ30">
        <v>683</v>
      </c>
      <c r="ADK30">
        <v>404</v>
      </c>
      <c r="ADM30">
        <v>709</v>
      </c>
      <c r="ADN30">
        <v>1482</v>
      </c>
      <c r="ADO30">
        <v>1842</v>
      </c>
      <c r="ADP30">
        <v>1271</v>
      </c>
      <c r="ADQ30">
        <v>1445</v>
      </c>
      <c r="ADR30">
        <v>574</v>
      </c>
      <c r="ADT30">
        <v>1047</v>
      </c>
      <c r="ADU30">
        <v>844</v>
      </c>
      <c r="ADW30">
        <v>19</v>
      </c>
      <c r="ADX30">
        <v>13</v>
      </c>
      <c r="AEA30">
        <v>1122</v>
      </c>
      <c r="AEB30">
        <v>1007</v>
      </c>
      <c r="AEC30">
        <v>239</v>
      </c>
      <c r="AED30">
        <v>1927</v>
      </c>
      <c r="AEE30">
        <v>1368</v>
      </c>
      <c r="AEF30">
        <v>723</v>
      </c>
      <c r="AEH30">
        <v>914</v>
      </c>
      <c r="AEI30">
        <v>991</v>
      </c>
      <c r="AEJ30">
        <v>1786</v>
      </c>
      <c r="AEK30">
        <v>788</v>
      </c>
      <c r="AEL30">
        <v>889</v>
      </c>
      <c r="AEM30">
        <v>231</v>
      </c>
      <c r="AEO30">
        <v>515</v>
      </c>
      <c r="AEP30">
        <v>450</v>
      </c>
      <c r="AEQ30">
        <v>1597</v>
      </c>
      <c r="AER30">
        <v>1149</v>
      </c>
      <c r="AES30">
        <v>1107</v>
      </c>
      <c r="AET30">
        <v>7</v>
      </c>
      <c r="AEV30">
        <v>1311</v>
      </c>
      <c r="AEW30">
        <v>1035</v>
      </c>
      <c r="AEX30">
        <v>694</v>
      </c>
      <c r="AEY30">
        <v>1255</v>
      </c>
      <c r="AEZ30">
        <v>1073</v>
      </c>
      <c r="AFA30">
        <v>623</v>
      </c>
      <c r="AFB30">
        <v>0</v>
      </c>
      <c r="AFC30">
        <v>985</v>
      </c>
      <c r="AFD30">
        <v>683</v>
      </c>
      <c r="AFE30">
        <v>1758</v>
      </c>
      <c r="AFF30">
        <v>675</v>
      </c>
      <c r="AFG30">
        <v>807</v>
      </c>
      <c r="AFH30">
        <v>576</v>
      </c>
      <c r="AFJ30">
        <v>536</v>
      </c>
      <c r="AFK30">
        <v>907</v>
      </c>
      <c r="AFL30">
        <v>692</v>
      </c>
      <c r="AFM30">
        <v>1221</v>
      </c>
      <c r="AFN30">
        <v>910</v>
      </c>
      <c r="AFO30">
        <v>219</v>
      </c>
      <c r="AFQ30">
        <v>512</v>
      </c>
      <c r="AFR30">
        <v>381</v>
      </c>
      <c r="AFS30">
        <v>902</v>
      </c>
      <c r="AFT30">
        <v>897</v>
      </c>
      <c r="AFU30">
        <v>559</v>
      </c>
      <c r="AFV30">
        <v>241</v>
      </c>
      <c r="AFW30">
        <v>0</v>
      </c>
      <c r="AFX30">
        <v>888</v>
      </c>
      <c r="AFY30">
        <v>450</v>
      </c>
      <c r="AFZ30">
        <v>973</v>
      </c>
      <c r="AGA30">
        <v>855</v>
      </c>
      <c r="AGB30">
        <v>1204</v>
      </c>
      <c r="AGC30">
        <v>251</v>
      </c>
      <c r="AGD30">
        <v>0</v>
      </c>
      <c r="AGE30">
        <v>544</v>
      </c>
      <c r="AGF30">
        <v>360</v>
      </c>
      <c r="AGG30">
        <v>659</v>
      </c>
      <c r="AGH30">
        <v>665</v>
      </c>
      <c r="AGI30">
        <v>1658</v>
      </c>
      <c r="AGL30">
        <v>572</v>
      </c>
      <c r="AGM30">
        <v>679</v>
      </c>
      <c r="AGN30">
        <v>1227</v>
      </c>
      <c r="AGO30">
        <v>339</v>
      </c>
      <c r="AGP30">
        <v>865</v>
      </c>
      <c r="AGQ30">
        <v>664</v>
      </c>
      <c r="AGS30">
        <v>290</v>
      </c>
      <c r="AGT30">
        <v>650</v>
      </c>
      <c r="AGU30">
        <v>382</v>
      </c>
      <c r="AGV30">
        <v>585</v>
      </c>
      <c r="AGW30">
        <v>583</v>
      </c>
      <c r="AGX30">
        <v>196</v>
      </c>
      <c r="AGZ30">
        <v>536</v>
      </c>
      <c r="AHA30">
        <v>550</v>
      </c>
      <c r="AHB30">
        <v>2820</v>
      </c>
      <c r="AHC30">
        <v>1261</v>
      </c>
      <c r="AHD30">
        <v>970</v>
      </c>
      <c r="AHE30">
        <v>205</v>
      </c>
      <c r="AHG30">
        <v>486</v>
      </c>
      <c r="AHH30">
        <v>682</v>
      </c>
      <c r="AHI30">
        <v>1604</v>
      </c>
      <c r="AHJ30">
        <v>820</v>
      </c>
      <c r="AHK30">
        <v>1484</v>
      </c>
      <c r="AHL30">
        <v>14</v>
      </c>
      <c r="AHM30">
        <v>0</v>
      </c>
      <c r="AHN30">
        <v>0</v>
      </c>
      <c r="AHO30">
        <v>1222</v>
      </c>
      <c r="AHP30">
        <v>624</v>
      </c>
      <c r="AHQ30">
        <v>1380</v>
      </c>
      <c r="AHR30">
        <v>972</v>
      </c>
      <c r="AHS30">
        <v>125</v>
      </c>
      <c r="AHT30">
        <v>0</v>
      </c>
      <c r="AHU30">
        <v>0</v>
      </c>
      <c r="AHV30">
        <v>0</v>
      </c>
      <c r="AHW30">
        <v>0</v>
      </c>
      <c r="AHX30">
        <v>453</v>
      </c>
      <c r="AHY30">
        <v>1243</v>
      </c>
      <c r="AHZ30">
        <v>499</v>
      </c>
      <c r="AIA30">
        <v>0</v>
      </c>
      <c r="AIB30">
        <v>562</v>
      </c>
      <c r="AIC30">
        <v>586</v>
      </c>
      <c r="AID30">
        <v>1351</v>
      </c>
      <c r="AIE30">
        <v>1299</v>
      </c>
      <c r="AIF30">
        <v>1334</v>
      </c>
      <c r="AIG30">
        <v>815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253</v>
      </c>
      <c r="AIO30">
        <v>0</v>
      </c>
      <c r="AIP30">
        <v>0</v>
      </c>
      <c r="AIQ30">
        <v>823</v>
      </c>
      <c r="AIR30">
        <v>900</v>
      </c>
      <c r="AIS30">
        <v>802</v>
      </c>
      <c r="AIT30">
        <v>913</v>
      </c>
      <c r="AIU30">
        <v>212</v>
      </c>
      <c r="AIV30">
        <v>0</v>
      </c>
      <c r="AIW30">
        <v>571</v>
      </c>
      <c r="AIX30">
        <v>767</v>
      </c>
      <c r="AIY30">
        <v>1372</v>
      </c>
      <c r="AIZ30">
        <v>822</v>
      </c>
      <c r="AJA30">
        <v>778</v>
      </c>
      <c r="AJB30">
        <v>6</v>
      </c>
      <c r="AJC30">
        <v>0</v>
      </c>
      <c r="AJD30">
        <v>460</v>
      </c>
      <c r="AJE30">
        <v>669</v>
      </c>
      <c r="AJF30">
        <v>1137</v>
      </c>
      <c r="AJG30">
        <v>1172</v>
      </c>
      <c r="AJH30">
        <v>1510</v>
      </c>
      <c r="AJI30">
        <v>833</v>
      </c>
      <c r="AJJ30">
        <v>0</v>
      </c>
      <c r="AJK30">
        <v>794</v>
      </c>
      <c r="AJL30">
        <v>1015</v>
      </c>
      <c r="AJM30">
        <v>1500</v>
      </c>
      <c r="AJN30">
        <v>1061</v>
      </c>
      <c r="AJO30">
        <v>1597</v>
      </c>
      <c r="AJP30">
        <v>767</v>
      </c>
      <c r="AJQ30">
        <v>0</v>
      </c>
      <c r="AJS30">
        <v>0</v>
      </c>
      <c r="AJT30">
        <v>1141</v>
      </c>
      <c r="AJU30">
        <v>0</v>
      </c>
      <c r="AJV30">
        <v>858</v>
      </c>
      <c r="AJW30">
        <v>1276</v>
      </c>
      <c r="AJX30">
        <v>55</v>
      </c>
      <c r="AJY30">
        <v>0</v>
      </c>
      <c r="AJZ30">
        <v>1203</v>
      </c>
      <c r="AKA30">
        <v>1258</v>
      </c>
      <c r="AKB30">
        <v>1256</v>
      </c>
      <c r="AKC30">
        <v>1181</v>
      </c>
      <c r="AKD30">
        <v>658</v>
      </c>
      <c r="AKE30">
        <v>291</v>
      </c>
    </row>
    <row r="31" spans="1:968" s="5" customFormat="1">
      <c r="B31" s="7"/>
      <c r="C31" s="6">
        <v>82308</v>
      </c>
      <c r="D31" s="6" t="s">
        <v>8</v>
      </c>
      <c r="E31" s="6" t="s">
        <v>73</v>
      </c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</row>
    <row r="32" spans="1:968">
      <c r="A32">
        <v>1</v>
      </c>
      <c r="B32" s="1" t="s">
        <v>74</v>
      </c>
      <c r="C32" s="1">
        <v>82308</v>
      </c>
      <c r="D32" s="1" t="s">
        <v>8</v>
      </c>
      <c r="E32" s="1" t="s">
        <v>73</v>
      </c>
      <c r="F32" s="1" t="s">
        <v>31</v>
      </c>
      <c r="G32" s="1" t="s">
        <v>33</v>
      </c>
      <c r="H32" s="1" t="s">
        <v>75</v>
      </c>
      <c r="I32" s="1" t="s">
        <v>64</v>
      </c>
      <c r="J32" s="1" t="s">
        <v>15</v>
      </c>
      <c r="K32" s="23">
        <v>932</v>
      </c>
      <c r="L32" s="23">
        <v>3840</v>
      </c>
      <c r="M32" s="23">
        <v>2061</v>
      </c>
      <c r="N32" s="23">
        <v>294</v>
      </c>
      <c r="O32" s="23">
        <v>96</v>
      </c>
      <c r="P32" s="23">
        <v>1971</v>
      </c>
      <c r="Q32" s="23">
        <v>1741</v>
      </c>
      <c r="R32" s="23">
        <v>905</v>
      </c>
      <c r="S32" s="23">
        <v>1908</v>
      </c>
      <c r="T32" s="23">
        <v>1014</v>
      </c>
      <c r="U32" s="23">
        <v>124</v>
      </c>
      <c r="V32" s="23">
        <v>27</v>
      </c>
      <c r="W32" s="23">
        <v>1371</v>
      </c>
      <c r="X32" s="23">
        <v>1866</v>
      </c>
      <c r="Y32" s="23">
        <v>544</v>
      </c>
      <c r="Z32" s="23">
        <v>292</v>
      </c>
      <c r="AA32" s="23">
        <v>1937</v>
      </c>
      <c r="AB32" s="23">
        <v>803</v>
      </c>
      <c r="AC32" s="23">
        <v>84</v>
      </c>
      <c r="AD32" s="23">
        <v>2154</v>
      </c>
      <c r="AE32" s="23">
        <v>3001</v>
      </c>
      <c r="AF32" s="23">
        <v>695</v>
      </c>
      <c r="AG32" s="23">
        <v>662</v>
      </c>
      <c r="AH32" s="23">
        <v>1188</v>
      </c>
      <c r="AI32" s="23">
        <v>211</v>
      </c>
      <c r="AJ32" s="23">
        <v>97</v>
      </c>
      <c r="AK32" s="23">
        <v>1939</v>
      </c>
      <c r="AL32" s="23">
        <v>1545</v>
      </c>
      <c r="AM32" s="23">
        <v>2340</v>
      </c>
      <c r="AN32" s="23">
        <v>361</v>
      </c>
      <c r="AO32" s="23">
        <v>810</v>
      </c>
      <c r="AP32" s="23">
        <v>85</v>
      </c>
      <c r="AQ32" s="23">
        <v>85</v>
      </c>
      <c r="AR32" s="23">
        <v>1531</v>
      </c>
      <c r="AS32" s="23">
        <v>127</v>
      </c>
      <c r="AT32" s="23">
        <v>1884</v>
      </c>
      <c r="AU32" s="23">
        <v>1568</v>
      </c>
      <c r="AV32" s="23">
        <v>2027</v>
      </c>
      <c r="AW32" s="23">
        <v>115</v>
      </c>
      <c r="AX32" s="23">
        <v>75</v>
      </c>
      <c r="AY32" s="23">
        <v>305</v>
      </c>
      <c r="AZ32" s="23">
        <v>286</v>
      </c>
      <c r="BA32" s="23">
        <v>1754</v>
      </c>
      <c r="BB32" s="23">
        <v>728</v>
      </c>
      <c r="BC32" s="23">
        <v>640</v>
      </c>
      <c r="BD32" s="23">
        <v>64</v>
      </c>
      <c r="BE32" s="23">
        <v>29</v>
      </c>
      <c r="BF32" s="23">
        <v>721</v>
      </c>
      <c r="BG32" s="23">
        <v>499</v>
      </c>
      <c r="BH32" s="23">
        <v>876</v>
      </c>
      <c r="BI32" s="23">
        <v>1265</v>
      </c>
      <c r="BJ32" s="23">
        <v>1108</v>
      </c>
      <c r="BK32" s="23">
        <v>99</v>
      </c>
      <c r="BL32" s="23">
        <v>72</v>
      </c>
      <c r="BM32" s="23">
        <v>195</v>
      </c>
      <c r="BN32" s="23">
        <v>2655</v>
      </c>
      <c r="BO32" s="23">
        <v>377</v>
      </c>
      <c r="BP32" s="23">
        <v>53</v>
      </c>
      <c r="BQ32" s="23">
        <v>54</v>
      </c>
      <c r="BR32" s="23">
        <v>0</v>
      </c>
      <c r="BS32" s="23">
        <v>0</v>
      </c>
      <c r="BT32" s="23">
        <v>0</v>
      </c>
      <c r="BU32" s="23">
        <v>0</v>
      </c>
      <c r="BV32" s="23">
        <v>0</v>
      </c>
      <c r="BW32" s="23">
        <v>1016</v>
      </c>
      <c r="BX32" s="23">
        <v>2208</v>
      </c>
      <c r="BY32" s="23">
        <v>911</v>
      </c>
      <c r="BZ32" s="23">
        <v>0</v>
      </c>
      <c r="CA32" s="23">
        <v>1869</v>
      </c>
      <c r="CB32">
        <v>2140</v>
      </c>
      <c r="CC32">
        <v>1602</v>
      </c>
      <c r="CD32">
        <v>925</v>
      </c>
      <c r="CE32">
        <v>1119</v>
      </c>
      <c r="CF32">
        <v>116</v>
      </c>
      <c r="CG32">
        <v>76</v>
      </c>
      <c r="CH32">
        <v>997</v>
      </c>
      <c r="CI32">
        <v>645</v>
      </c>
      <c r="CJ32">
        <v>1107</v>
      </c>
      <c r="CK32">
        <v>3443</v>
      </c>
      <c r="CL32">
        <v>3216</v>
      </c>
      <c r="CM32" s="36">
        <v>157</v>
      </c>
      <c r="CN32" s="36">
        <v>0</v>
      </c>
      <c r="CO32">
        <v>1603</v>
      </c>
      <c r="CP32">
        <v>1006</v>
      </c>
      <c r="CQ32">
        <v>1426</v>
      </c>
      <c r="CR32">
        <v>2454</v>
      </c>
      <c r="CS32">
        <v>1929</v>
      </c>
      <c r="CT32">
        <v>374</v>
      </c>
      <c r="CU32">
        <v>277</v>
      </c>
      <c r="CV32">
        <v>833</v>
      </c>
      <c r="CW32">
        <v>1908</v>
      </c>
      <c r="CX32">
        <v>968</v>
      </c>
      <c r="CY32" s="31">
        <v>312</v>
      </c>
      <c r="CZ32" s="31">
        <v>853</v>
      </c>
      <c r="DA32" s="31">
        <v>0</v>
      </c>
      <c r="DB32" s="31">
        <v>0</v>
      </c>
      <c r="DC32" s="31">
        <v>891</v>
      </c>
      <c r="DD32" s="31">
        <v>1211</v>
      </c>
      <c r="DE32" s="31">
        <v>1025</v>
      </c>
      <c r="DF32" s="31">
        <v>1766</v>
      </c>
      <c r="DG32" s="31">
        <v>1106</v>
      </c>
      <c r="DH32" s="31">
        <v>0</v>
      </c>
      <c r="DI32" s="31">
        <v>0</v>
      </c>
      <c r="DJ32">
        <v>628</v>
      </c>
      <c r="DK32">
        <v>593</v>
      </c>
      <c r="DL32">
        <v>738</v>
      </c>
      <c r="DM32">
        <v>1633</v>
      </c>
      <c r="DN32">
        <v>435</v>
      </c>
      <c r="DO32">
        <v>0</v>
      </c>
      <c r="DQ32">
        <v>1615</v>
      </c>
      <c r="DR32">
        <v>2772</v>
      </c>
      <c r="DS32">
        <v>1362</v>
      </c>
      <c r="DT32">
        <v>425</v>
      </c>
      <c r="DU32">
        <v>604</v>
      </c>
      <c r="DV32">
        <v>0</v>
      </c>
      <c r="DX32">
        <v>633</v>
      </c>
      <c r="DY32">
        <v>692</v>
      </c>
      <c r="DZ32">
        <v>1243</v>
      </c>
      <c r="EA32">
        <v>178</v>
      </c>
      <c r="EB32">
        <v>70</v>
      </c>
      <c r="EC32">
        <v>0</v>
      </c>
      <c r="ED32">
        <v>0</v>
      </c>
      <c r="EE32">
        <v>1075</v>
      </c>
      <c r="EF32">
        <v>888</v>
      </c>
      <c r="EG32">
        <v>2109</v>
      </c>
      <c r="EH32">
        <v>2860</v>
      </c>
      <c r="EI32">
        <v>622</v>
      </c>
      <c r="EJ32">
        <v>0</v>
      </c>
      <c r="EK32">
        <v>0</v>
      </c>
      <c r="EL32">
        <v>1019</v>
      </c>
      <c r="EM32">
        <v>1971</v>
      </c>
      <c r="EN32">
        <v>1434</v>
      </c>
      <c r="EO32">
        <v>836</v>
      </c>
      <c r="EP32">
        <v>988</v>
      </c>
      <c r="EQ32">
        <v>494</v>
      </c>
      <c r="ER32">
        <v>183</v>
      </c>
      <c r="ES32">
        <v>2481</v>
      </c>
      <c r="ET32">
        <v>3685</v>
      </c>
      <c r="EU32">
        <v>2169</v>
      </c>
      <c r="EV32">
        <v>1251</v>
      </c>
      <c r="EW32">
        <v>971</v>
      </c>
      <c r="EX32">
        <v>697</v>
      </c>
      <c r="EY32">
        <v>256</v>
      </c>
      <c r="EZ32">
        <v>1658</v>
      </c>
      <c r="FA32">
        <v>1258</v>
      </c>
      <c r="FB32">
        <v>1380</v>
      </c>
      <c r="FC32">
        <v>825</v>
      </c>
      <c r="FD32">
        <v>1054</v>
      </c>
      <c r="FE32">
        <v>226</v>
      </c>
      <c r="FF32">
        <v>0</v>
      </c>
      <c r="FG32">
        <v>213</v>
      </c>
      <c r="FH32">
        <v>372</v>
      </c>
      <c r="FI32">
        <v>1201</v>
      </c>
      <c r="FJ32">
        <v>1373</v>
      </c>
      <c r="FK32">
        <v>1400</v>
      </c>
      <c r="FL32">
        <v>76</v>
      </c>
      <c r="FM32">
        <v>0</v>
      </c>
      <c r="FN32">
        <v>462</v>
      </c>
      <c r="FO32">
        <v>1657</v>
      </c>
      <c r="FP32">
        <v>593</v>
      </c>
      <c r="FQ32">
        <v>1242</v>
      </c>
      <c r="FR32">
        <v>543</v>
      </c>
      <c r="FS32">
        <v>0</v>
      </c>
      <c r="FT32">
        <v>0</v>
      </c>
      <c r="FU32">
        <v>0</v>
      </c>
      <c r="FV32">
        <v>189</v>
      </c>
      <c r="FW32">
        <v>502</v>
      </c>
      <c r="FX32">
        <v>635</v>
      </c>
      <c r="FY32">
        <v>4805</v>
      </c>
      <c r="FZ32">
        <v>328</v>
      </c>
      <c r="GA32">
        <v>230</v>
      </c>
      <c r="GB32">
        <v>1815</v>
      </c>
      <c r="GC32">
        <v>2814</v>
      </c>
      <c r="GD32">
        <v>2773</v>
      </c>
      <c r="GE32">
        <v>1253</v>
      </c>
      <c r="GF32">
        <v>2834</v>
      </c>
      <c r="GG32">
        <v>593</v>
      </c>
      <c r="GH32">
        <v>105</v>
      </c>
      <c r="GI32" s="33">
        <v>717</v>
      </c>
      <c r="GJ32" s="33">
        <v>548</v>
      </c>
      <c r="GK32">
        <v>159</v>
      </c>
      <c r="GL32">
        <v>188</v>
      </c>
      <c r="GM32">
        <v>1321</v>
      </c>
      <c r="GN32">
        <v>115</v>
      </c>
      <c r="GO32">
        <v>72</v>
      </c>
      <c r="GP32">
        <v>183</v>
      </c>
      <c r="GQ32">
        <v>145</v>
      </c>
      <c r="GR32">
        <v>325</v>
      </c>
      <c r="GS32">
        <v>204</v>
      </c>
      <c r="GT32">
        <v>290</v>
      </c>
      <c r="GU32">
        <v>133</v>
      </c>
      <c r="GV32">
        <v>345</v>
      </c>
      <c r="GW32">
        <v>1301</v>
      </c>
      <c r="GX32">
        <v>1512</v>
      </c>
      <c r="GY32">
        <v>11053</v>
      </c>
      <c r="GZ32">
        <v>973</v>
      </c>
      <c r="HA32">
        <v>1305</v>
      </c>
      <c r="HB32">
        <v>390</v>
      </c>
      <c r="HC32">
        <v>469</v>
      </c>
      <c r="HD32">
        <v>1379</v>
      </c>
      <c r="HE32">
        <v>2582</v>
      </c>
      <c r="HF32">
        <v>300</v>
      </c>
      <c r="HG32">
        <v>4196</v>
      </c>
      <c r="HH32">
        <v>3655</v>
      </c>
      <c r="HI32">
        <v>173</v>
      </c>
      <c r="HK32">
        <v>476</v>
      </c>
      <c r="HL32">
        <v>2030</v>
      </c>
      <c r="HM32">
        <v>841</v>
      </c>
      <c r="HN32">
        <v>800</v>
      </c>
      <c r="HO32">
        <v>717</v>
      </c>
      <c r="HP32">
        <v>112</v>
      </c>
      <c r="HQ32">
        <v>54</v>
      </c>
      <c r="HR32">
        <v>29</v>
      </c>
      <c r="HS32">
        <v>206</v>
      </c>
      <c r="HT32">
        <v>1068</v>
      </c>
      <c r="HU32">
        <v>815</v>
      </c>
      <c r="HV32">
        <v>534</v>
      </c>
      <c r="HW32">
        <v>184</v>
      </c>
      <c r="HX32">
        <v>45</v>
      </c>
      <c r="HY32">
        <v>601</v>
      </c>
      <c r="HZ32">
        <v>1466</v>
      </c>
      <c r="IA32">
        <v>1763</v>
      </c>
      <c r="IB32">
        <v>2276</v>
      </c>
      <c r="IC32">
        <v>792</v>
      </c>
      <c r="ID32">
        <v>147</v>
      </c>
      <c r="IE32">
        <v>125</v>
      </c>
      <c r="IF32">
        <v>343</v>
      </c>
      <c r="IG32">
        <v>1540</v>
      </c>
      <c r="IH32">
        <v>2041</v>
      </c>
      <c r="II32">
        <v>1613</v>
      </c>
      <c r="IJ32">
        <v>1161</v>
      </c>
      <c r="IK32">
        <v>662</v>
      </c>
      <c r="IL32">
        <v>213</v>
      </c>
      <c r="IM32">
        <v>900</v>
      </c>
      <c r="IN32">
        <v>2601</v>
      </c>
      <c r="IO32">
        <v>3383</v>
      </c>
      <c r="IP32">
        <v>1947</v>
      </c>
      <c r="IQ32">
        <v>1681</v>
      </c>
      <c r="IR32">
        <v>176</v>
      </c>
      <c r="IS32">
        <v>91</v>
      </c>
      <c r="IT32">
        <v>244</v>
      </c>
      <c r="IU32">
        <v>266</v>
      </c>
      <c r="IV32">
        <v>1777</v>
      </c>
      <c r="IW32">
        <v>1005</v>
      </c>
      <c r="IX32">
        <v>630</v>
      </c>
      <c r="IY32">
        <v>146</v>
      </c>
      <c r="IZ32">
        <v>32</v>
      </c>
      <c r="JA32">
        <v>378</v>
      </c>
      <c r="JB32">
        <v>468</v>
      </c>
      <c r="JC32">
        <v>2321</v>
      </c>
      <c r="JD32">
        <v>2032</v>
      </c>
      <c r="JE32">
        <v>1831</v>
      </c>
      <c r="JF32">
        <v>374</v>
      </c>
      <c r="JG32">
        <v>94</v>
      </c>
      <c r="JH32">
        <v>1418</v>
      </c>
      <c r="JI32">
        <v>1327</v>
      </c>
      <c r="JJ32">
        <v>2346</v>
      </c>
      <c r="JK32">
        <v>1408</v>
      </c>
      <c r="JL32">
        <v>1843</v>
      </c>
      <c r="JM32">
        <v>578</v>
      </c>
      <c r="JN32">
        <v>246</v>
      </c>
      <c r="JO32">
        <v>1789</v>
      </c>
      <c r="JP32">
        <v>1998</v>
      </c>
      <c r="JQ32">
        <v>1155</v>
      </c>
      <c r="JR32">
        <v>1254</v>
      </c>
      <c r="JS32">
        <v>1088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28</v>
      </c>
      <c r="JZ32">
        <v>282</v>
      </c>
      <c r="KA32">
        <v>0</v>
      </c>
      <c r="KB32">
        <v>0</v>
      </c>
      <c r="KC32">
        <v>495</v>
      </c>
      <c r="KD32">
        <v>1050</v>
      </c>
      <c r="KE32">
        <v>487</v>
      </c>
      <c r="KF32">
        <v>368</v>
      </c>
      <c r="KG32">
        <v>690</v>
      </c>
      <c r="KH32">
        <v>0</v>
      </c>
      <c r="KI32">
        <v>0</v>
      </c>
      <c r="KJ32">
        <v>0</v>
      </c>
      <c r="KK32">
        <v>793</v>
      </c>
      <c r="KL32">
        <v>1948</v>
      </c>
      <c r="KM32">
        <v>770</v>
      </c>
      <c r="KN32">
        <v>842</v>
      </c>
      <c r="KO32">
        <v>55</v>
      </c>
      <c r="KP32">
        <v>0</v>
      </c>
      <c r="KQ32">
        <v>1078</v>
      </c>
      <c r="KR32">
        <v>757</v>
      </c>
      <c r="KS32">
        <v>1775</v>
      </c>
      <c r="KT32">
        <v>1149</v>
      </c>
      <c r="KU32">
        <v>855</v>
      </c>
      <c r="KV32">
        <v>23</v>
      </c>
      <c r="KW32">
        <v>0</v>
      </c>
      <c r="KX32">
        <v>1550</v>
      </c>
      <c r="KY32">
        <v>2538</v>
      </c>
      <c r="KZ32">
        <v>1631</v>
      </c>
      <c r="LA32">
        <v>844</v>
      </c>
      <c r="LB32">
        <v>16184</v>
      </c>
      <c r="LC32">
        <v>0</v>
      </c>
      <c r="LD32">
        <v>63</v>
      </c>
      <c r="LE32">
        <v>288</v>
      </c>
      <c r="LF32">
        <v>969</v>
      </c>
      <c r="LG32">
        <v>491</v>
      </c>
      <c r="LH32">
        <v>680</v>
      </c>
      <c r="LI32">
        <v>667</v>
      </c>
      <c r="LJ32">
        <v>252</v>
      </c>
      <c r="LK32">
        <v>60</v>
      </c>
      <c r="LL32">
        <v>457</v>
      </c>
      <c r="LM32">
        <v>1458</v>
      </c>
      <c r="LN32">
        <v>1720</v>
      </c>
      <c r="LO32">
        <v>651</v>
      </c>
      <c r="LP32">
        <v>1297</v>
      </c>
      <c r="LQ32">
        <v>276</v>
      </c>
      <c r="LR32">
        <v>359</v>
      </c>
      <c r="LS32">
        <v>1375</v>
      </c>
      <c r="LT32">
        <v>1483</v>
      </c>
      <c r="LU32">
        <v>2793</v>
      </c>
      <c r="LV32">
        <v>2611</v>
      </c>
      <c r="LW32">
        <v>1360</v>
      </c>
      <c r="LX32">
        <v>696</v>
      </c>
      <c r="LY32">
        <v>432</v>
      </c>
      <c r="LZ32">
        <v>1478</v>
      </c>
      <c r="MA32">
        <v>2543</v>
      </c>
      <c r="MB32">
        <v>1392</v>
      </c>
      <c r="MC32">
        <v>1209</v>
      </c>
      <c r="MD32">
        <v>1559</v>
      </c>
      <c r="ME32">
        <v>419</v>
      </c>
      <c r="MF32">
        <v>52</v>
      </c>
      <c r="MG32">
        <v>447</v>
      </c>
      <c r="MH32">
        <v>15</v>
      </c>
      <c r="MI32">
        <v>107</v>
      </c>
      <c r="MJ32">
        <v>1521</v>
      </c>
      <c r="MK32">
        <v>776</v>
      </c>
      <c r="ML32">
        <v>613</v>
      </c>
      <c r="MM32">
        <v>0</v>
      </c>
      <c r="MN32">
        <v>1215</v>
      </c>
      <c r="MO32">
        <v>209</v>
      </c>
      <c r="MP32">
        <v>1379</v>
      </c>
      <c r="MQ32">
        <v>855</v>
      </c>
      <c r="MR32">
        <v>1215</v>
      </c>
      <c r="MS32">
        <v>0</v>
      </c>
      <c r="MT32">
        <v>0</v>
      </c>
      <c r="MV32">
        <v>444</v>
      </c>
      <c r="MW32">
        <v>955</v>
      </c>
      <c r="MX32">
        <v>561</v>
      </c>
      <c r="MY32">
        <v>453</v>
      </c>
      <c r="MZ32">
        <v>0</v>
      </c>
      <c r="NA32">
        <v>0</v>
      </c>
      <c r="NB32">
        <v>1844</v>
      </c>
      <c r="NC32">
        <v>1948</v>
      </c>
      <c r="ND32">
        <v>0</v>
      </c>
      <c r="NE32">
        <v>997</v>
      </c>
      <c r="NF32">
        <v>1225</v>
      </c>
      <c r="NG32">
        <v>0</v>
      </c>
      <c r="NH32">
        <v>0</v>
      </c>
      <c r="NI32">
        <v>839</v>
      </c>
      <c r="NJ32">
        <v>729</v>
      </c>
      <c r="NK32">
        <v>579</v>
      </c>
      <c r="NL32">
        <v>191</v>
      </c>
      <c r="NM32">
        <v>280</v>
      </c>
      <c r="NN32">
        <v>0</v>
      </c>
      <c r="NO32">
        <v>0</v>
      </c>
      <c r="NP32">
        <v>655</v>
      </c>
      <c r="NQ32">
        <v>1149</v>
      </c>
      <c r="NR32">
        <v>911</v>
      </c>
      <c r="NS32">
        <v>166</v>
      </c>
      <c r="NT32">
        <v>1116</v>
      </c>
      <c r="NU32">
        <v>0</v>
      </c>
      <c r="NV32">
        <v>0</v>
      </c>
      <c r="NW32">
        <v>200</v>
      </c>
      <c r="NX32">
        <v>81</v>
      </c>
      <c r="NY32">
        <v>979</v>
      </c>
      <c r="NZ32">
        <v>254</v>
      </c>
      <c r="OA32">
        <v>1379</v>
      </c>
      <c r="OB32">
        <v>0</v>
      </c>
      <c r="OC32">
        <v>0</v>
      </c>
      <c r="OD32">
        <v>417</v>
      </c>
      <c r="OE32">
        <v>2480</v>
      </c>
      <c r="OF32">
        <v>2527</v>
      </c>
      <c r="OG32">
        <v>1831</v>
      </c>
      <c r="OH32">
        <v>520</v>
      </c>
      <c r="OI32">
        <v>0</v>
      </c>
      <c r="OJ32">
        <v>0</v>
      </c>
      <c r="OK32">
        <v>491</v>
      </c>
      <c r="OL32">
        <v>2827</v>
      </c>
      <c r="OM32">
        <v>2058</v>
      </c>
      <c r="ON32">
        <v>1001</v>
      </c>
      <c r="OO32">
        <v>1227</v>
      </c>
      <c r="OQ32">
        <v>185</v>
      </c>
      <c r="OR32">
        <v>472</v>
      </c>
      <c r="OS32">
        <v>134</v>
      </c>
      <c r="OT32">
        <v>0</v>
      </c>
      <c r="OU32">
        <v>433</v>
      </c>
      <c r="OY32">
        <v>989</v>
      </c>
      <c r="OZ32">
        <v>76</v>
      </c>
      <c r="PA32">
        <v>682</v>
      </c>
      <c r="PB32">
        <v>934</v>
      </c>
      <c r="PC32">
        <v>906</v>
      </c>
      <c r="PF32">
        <v>869</v>
      </c>
      <c r="PG32">
        <v>1069</v>
      </c>
      <c r="PH32">
        <v>2979</v>
      </c>
      <c r="PI32">
        <v>2465</v>
      </c>
      <c r="PJ32">
        <v>3289</v>
      </c>
      <c r="PK32">
        <v>1094</v>
      </c>
      <c r="PM32">
        <v>8531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217</v>
      </c>
      <c r="PY32">
        <v>0</v>
      </c>
      <c r="PZ32">
        <v>0</v>
      </c>
      <c r="QA32">
        <v>1183</v>
      </c>
      <c r="QB32">
        <v>1305</v>
      </c>
      <c r="QC32">
        <v>2332</v>
      </c>
      <c r="QD32">
        <v>148</v>
      </c>
      <c r="QE32">
        <v>1934</v>
      </c>
      <c r="QF32">
        <v>0</v>
      </c>
      <c r="QG32">
        <v>0</v>
      </c>
      <c r="QH32">
        <v>2166</v>
      </c>
      <c r="QI32">
        <v>248</v>
      </c>
      <c r="QJ32">
        <v>506</v>
      </c>
      <c r="QK32">
        <v>2719</v>
      </c>
      <c r="QL32">
        <v>1163</v>
      </c>
      <c r="QM32">
        <v>0</v>
      </c>
      <c r="QN32">
        <v>0</v>
      </c>
      <c r="QO32">
        <v>667</v>
      </c>
      <c r="QP32">
        <v>683</v>
      </c>
      <c r="QQ32">
        <v>1657</v>
      </c>
      <c r="QR32">
        <v>1412</v>
      </c>
      <c r="QS32">
        <v>1328</v>
      </c>
      <c r="QT32">
        <v>0</v>
      </c>
      <c r="QU32">
        <v>0</v>
      </c>
      <c r="QV32">
        <v>165</v>
      </c>
      <c r="QW32">
        <v>44</v>
      </c>
      <c r="QX32">
        <v>317</v>
      </c>
      <c r="QY32">
        <v>384</v>
      </c>
      <c r="QZ32">
        <v>121</v>
      </c>
      <c r="RA32">
        <v>0</v>
      </c>
      <c r="RB32">
        <v>0</v>
      </c>
      <c r="RC32">
        <v>1152</v>
      </c>
      <c r="RD32">
        <v>1074</v>
      </c>
      <c r="RE32">
        <v>600</v>
      </c>
      <c r="RF32">
        <v>296</v>
      </c>
      <c r="RG32">
        <v>625</v>
      </c>
      <c r="RH32">
        <v>0</v>
      </c>
      <c r="RI32">
        <v>0</v>
      </c>
      <c r="RJ32">
        <v>2269</v>
      </c>
      <c r="RK32">
        <v>1047</v>
      </c>
      <c r="RL32">
        <v>279</v>
      </c>
      <c r="RM32">
        <v>1558</v>
      </c>
      <c r="RN32">
        <v>1168</v>
      </c>
      <c r="RO32">
        <v>0</v>
      </c>
      <c r="RP32">
        <v>0</v>
      </c>
      <c r="RQ32">
        <v>1372</v>
      </c>
      <c r="RR32">
        <v>764</v>
      </c>
      <c r="RS32">
        <v>1807</v>
      </c>
      <c r="RT32">
        <v>1792</v>
      </c>
      <c r="RU32">
        <v>2274</v>
      </c>
      <c r="RV32">
        <v>185</v>
      </c>
      <c r="RW32">
        <v>0</v>
      </c>
      <c r="RX32">
        <v>186</v>
      </c>
      <c r="RY32">
        <v>526</v>
      </c>
      <c r="RZ32">
        <v>376</v>
      </c>
      <c r="SA32">
        <v>560</v>
      </c>
      <c r="SB32">
        <v>115</v>
      </c>
      <c r="SC32">
        <v>0</v>
      </c>
      <c r="SD32">
        <v>0</v>
      </c>
      <c r="SE32">
        <v>235</v>
      </c>
      <c r="SF32">
        <v>575</v>
      </c>
      <c r="SG32">
        <v>692</v>
      </c>
      <c r="SH32">
        <v>382</v>
      </c>
      <c r="SI32">
        <v>3334</v>
      </c>
      <c r="SJ32">
        <v>0</v>
      </c>
      <c r="SL32">
        <v>850</v>
      </c>
      <c r="SM32">
        <v>727</v>
      </c>
      <c r="SN32">
        <v>3355</v>
      </c>
      <c r="SO32">
        <v>923</v>
      </c>
      <c r="SP32">
        <v>959</v>
      </c>
      <c r="SQ32">
        <v>0</v>
      </c>
      <c r="SR32">
        <v>0</v>
      </c>
      <c r="SS32">
        <v>512</v>
      </c>
      <c r="ST32">
        <v>2742</v>
      </c>
      <c r="SU32">
        <v>1422</v>
      </c>
      <c r="SV32">
        <v>2004</v>
      </c>
      <c r="SW32">
        <v>2464</v>
      </c>
      <c r="SX32">
        <v>0</v>
      </c>
      <c r="SY32">
        <v>0</v>
      </c>
      <c r="SZ32">
        <v>319</v>
      </c>
      <c r="TA32">
        <v>681</v>
      </c>
      <c r="TB32">
        <v>1009</v>
      </c>
      <c r="TC32">
        <v>2172</v>
      </c>
      <c r="TD32">
        <v>525</v>
      </c>
      <c r="TE32">
        <v>0</v>
      </c>
      <c r="TF32">
        <v>0</v>
      </c>
      <c r="TG32">
        <v>0</v>
      </c>
      <c r="TH32">
        <v>319</v>
      </c>
      <c r="TI32">
        <v>294</v>
      </c>
      <c r="TJ32">
        <v>807</v>
      </c>
      <c r="TK32">
        <v>627</v>
      </c>
      <c r="TL32">
        <v>12</v>
      </c>
      <c r="TM32">
        <v>0</v>
      </c>
      <c r="TN32">
        <v>0</v>
      </c>
      <c r="TO32">
        <v>320</v>
      </c>
      <c r="TP32">
        <v>699</v>
      </c>
      <c r="TQ32">
        <v>548</v>
      </c>
      <c r="TR32">
        <v>365</v>
      </c>
      <c r="TS32">
        <v>0</v>
      </c>
      <c r="TT32">
        <v>0</v>
      </c>
      <c r="TU32">
        <v>0</v>
      </c>
      <c r="TV32">
        <v>0</v>
      </c>
      <c r="TW32">
        <v>4</v>
      </c>
      <c r="TX32">
        <v>224</v>
      </c>
      <c r="TY32">
        <v>1278</v>
      </c>
      <c r="TZ32">
        <v>0</v>
      </c>
      <c r="UA32">
        <v>0</v>
      </c>
      <c r="UB32">
        <v>777</v>
      </c>
      <c r="UC32">
        <v>1704</v>
      </c>
      <c r="UD32">
        <v>2081</v>
      </c>
      <c r="UE32">
        <v>2616</v>
      </c>
      <c r="UF32">
        <v>2930</v>
      </c>
      <c r="UG32">
        <v>22</v>
      </c>
      <c r="UH32">
        <v>0</v>
      </c>
      <c r="UI32">
        <v>1114</v>
      </c>
      <c r="UJ32">
        <v>888</v>
      </c>
      <c r="UK32">
        <v>509</v>
      </c>
      <c r="UL32">
        <v>0</v>
      </c>
      <c r="UM32">
        <v>75</v>
      </c>
      <c r="UN32">
        <v>0</v>
      </c>
      <c r="UO32">
        <v>0</v>
      </c>
      <c r="UP32">
        <v>0</v>
      </c>
      <c r="UQ32">
        <v>808</v>
      </c>
      <c r="UR32">
        <v>980</v>
      </c>
      <c r="US32">
        <v>1184</v>
      </c>
      <c r="UT32">
        <v>901</v>
      </c>
      <c r="UU32">
        <v>0</v>
      </c>
      <c r="UV32">
        <v>0</v>
      </c>
      <c r="UW32">
        <v>0</v>
      </c>
      <c r="UX32">
        <v>849</v>
      </c>
      <c r="UY32">
        <v>2153</v>
      </c>
      <c r="UZ32">
        <v>947</v>
      </c>
      <c r="VA32">
        <v>946</v>
      </c>
      <c r="VB32">
        <v>0</v>
      </c>
      <c r="VC32">
        <v>0</v>
      </c>
      <c r="VD32">
        <v>922</v>
      </c>
      <c r="VE32">
        <v>667</v>
      </c>
      <c r="VF32">
        <v>2750</v>
      </c>
      <c r="VG32">
        <v>1577</v>
      </c>
      <c r="VH32">
        <v>289</v>
      </c>
      <c r="VI32">
        <v>0</v>
      </c>
      <c r="VJ32">
        <v>0</v>
      </c>
      <c r="VK32">
        <v>1309</v>
      </c>
      <c r="VL32">
        <v>1919</v>
      </c>
      <c r="VM32">
        <v>1648</v>
      </c>
      <c r="VN32">
        <v>407</v>
      </c>
      <c r="VO32">
        <v>754</v>
      </c>
      <c r="VP32">
        <v>0</v>
      </c>
      <c r="VQ32">
        <v>0</v>
      </c>
      <c r="VR32">
        <v>107</v>
      </c>
      <c r="VS32">
        <v>0</v>
      </c>
      <c r="VT32">
        <v>479</v>
      </c>
      <c r="VU32">
        <v>135</v>
      </c>
      <c r="VV32">
        <v>349</v>
      </c>
      <c r="VW32">
        <v>0</v>
      </c>
      <c r="VX32">
        <v>0</v>
      </c>
      <c r="VY32">
        <v>910</v>
      </c>
      <c r="VZ32">
        <v>223</v>
      </c>
      <c r="WA32">
        <v>734</v>
      </c>
      <c r="WB32">
        <v>3525</v>
      </c>
      <c r="WC32">
        <v>921</v>
      </c>
      <c r="WD32">
        <v>0</v>
      </c>
      <c r="WE32">
        <v>0</v>
      </c>
      <c r="WF32">
        <v>1114</v>
      </c>
      <c r="WG32">
        <v>1823</v>
      </c>
      <c r="WH32">
        <v>464</v>
      </c>
      <c r="WI32">
        <v>242</v>
      </c>
      <c r="WJ32">
        <v>2347</v>
      </c>
      <c r="WK32">
        <v>0</v>
      </c>
      <c r="WL32">
        <v>0</v>
      </c>
      <c r="WM32">
        <v>1953</v>
      </c>
      <c r="WN32">
        <v>534</v>
      </c>
      <c r="WO32">
        <v>2440</v>
      </c>
      <c r="WP32">
        <v>2263</v>
      </c>
      <c r="WQ32">
        <v>1782</v>
      </c>
      <c r="WR32">
        <v>0</v>
      </c>
      <c r="WS32">
        <v>0</v>
      </c>
      <c r="WT32">
        <v>2499</v>
      </c>
      <c r="WU32">
        <v>151</v>
      </c>
      <c r="WV32">
        <v>1168</v>
      </c>
      <c r="WW32">
        <v>1114</v>
      </c>
      <c r="WX32">
        <v>1981</v>
      </c>
      <c r="WY32">
        <v>157</v>
      </c>
      <c r="WZ32">
        <v>0</v>
      </c>
      <c r="XA32">
        <v>2094</v>
      </c>
      <c r="XB32">
        <v>3058</v>
      </c>
      <c r="XC32">
        <v>1680</v>
      </c>
      <c r="XD32">
        <v>166</v>
      </c>
      <c r="XE32">
        <v>938</v>
      </c>
      <c r="XF32">
        <v>0</v>
      </c>
      <c r="XG32">
        <v>0</v>
      </c>
      <c r="XH32">
        <v>162</v>
      </c>
      <c r="XI32">
        <v>1127</v>
      </c>
      <c r="XJ32">
        <v>1302</v>
      </c>
      <c r="XK32">
        <v>2198</v>
      </c>
      <c r="XL32">
        <v>1699</v>
      </c>
      <c r="XM32">
        <v>0</v>
      </c>
      <c r="XN32">
        <v>0</v>
      </c>
      <c r="XO32">
        <v>1342</v>
      </c>
      <c r="XP32">
        <v>1479</v>
      </c>
      <c r="XQ32">
        <v>314</v>
      </c>
      <c r="XR32">
        <v>395</v>
      </c>
      <c r="XS32">
        <v>423</v>
      </c>
      <c r="XT32">
        <v>0</v>
      </c>
      <c r="XU32">
        <v>0</v>
      </c>
      <c r="XV32">
        <v>0</v>
      </c>
      <c r="XW32">
        <v>196</v>
      </c>
      <c r="XX32">
        <v>180</v>
      </c>
      <c r="XY32">
        <v>182</v>
      </c>
      <c r="XZ32">
        <v>205</v>
      </c>
      <c r="YA32">
        <v>0</v>
      </c>
      <c r="YB32">
        <v>0</v>
      </c>
      <c r="YC32">
        <v>1623</v>
      </c>
      <c r="YD32">
        <v>3070</v>
      </c>
      <c r="YE32">
        <v>2205</v>
      </c>
      <c r="YF32">
        <v>1891</v>
      </c>
      <c r="YG32">
        <v>2065</v>
      </c>
      <c r="YH32">
        <v>0</v>
      </c>
      <c r="YI32">
        <v>0</v>
      </c>
      <c r="YJ32">
        <v>735</v>
      </c>
      <c r="YK32">
        <v>0</v>
      </c>
      <c r="YL32">
        <v>980</v>
      </c>
      <c r="YM32">
        <v>328</v>
      </c>
      <c r="YN32">
        <v>212</v>
      </c>
      <c r="YO32">
        <v>0</v>
      </c>
      <c r="YP32">
        <v>0</v>
      </c>
      <c r="YQ32">
        <v>957</v>
      </c>
      <c r="YR32">
        <v>660</v>
      </c>
      <c r="YS32">
        <v>1585</v>
      </c>
      <c r="YT32">
        <v>1655</v>
      </c>
      <c r="YU32">
        <v>480</v>
      </c>
      <c r="YV32">
        <v>0</v>
      </c>
      <c r="YW32">
        <v>0</v>
      </c>
      <c r="YX32">
        <v>1141</v>
      </c>
      <c r="YY32">
        <v>374</v>
      </c>
      <c r="YZ32">
        <v>422</v>
      </c>
      <c r="ZA32">
        <v>901</v>
      </c>
      <c r="ZB32">
        <v>273</v>
      </c>
      <c r="ZC32">
        <v>0</v>
      </c>
      <c r="ZD32">
        <v>0</v>
      </c>
      <c r="ZE32">
        <v>149</v>
      </c>
      <c r="ZF32">
        <v>181</v>
      </c>
      <c r="ZG32">
        <v>1305</v>
      </c>
      <c r="ZH32">
        <v>361</v>
      </c>
      <c r="ZI32">
        <v>1281</v>
      </c>
      <c r="ZJ32">
        <v>0</v>
      </c>
      <c r="ZK32">
        <v>0</v>
      </c>
      <c r="ZL32">
        <v>389</v>
      </c>
      <c r="ZM32">
        <v>566</v>
      </c>
      <c r="ZN32">
        <v>1955</v>
      </c>
      <c r="ZO32">
        <v>1040</v>
      </c>
      <c r="ZP32">
        <v>1614</v>
      </c>
      <c r="ZQ32">
        <v>0</v>
      </c>
      <c r="ZR32">
        <v>0</v>
      </c>
      <c r="ZS32">
        <v>864</v>
      </c>
      <c r="ZT32">
        <v>691</v>
      </c>
      <c r="ZU32">
        <v>780</v>
      </c>
      <c r="ZV32">
        <v>571</v>
      </c>
      <c r="ZW32">
        <v>597</v>
      </c>
      <c r="ZX32">
        <v>45</v>
      </c>
      <c r="ZY32">
        <v>0</v>
      </c>
      <c r="ZZ32">
        <v>466</v>
      </c>
      <c r="AAA32">
        <v>2505</v>
      </c>
      <c r="AAB32">
        <v>3578</v>
      </c>
      <c r="AAC32">
        <v>2402</v>
      </c>
      <c r="AAD32">
        <v>329</v>
      </c>
      <c r="AAE32">
        <v>0</v>
      </c>
      <c r="AAF32">
        <v>0</v>
      </c>
      <c r="AAG32">
        <v>329</v>
      </c>
      <c r="AAH32">
        <v>228</v>
      </c>
      <c r="AAI32">
        <v>563</v>
      </c>
      <c r="AAJ32">
        <v>192</v>
      </c>
      <c r="AAK32">
        <v>914</v>
      </c>
      <c r="AAL32">
        <v>1595</v>
      </c>
      <c r="AAM32">
        <v>0</v>
      </c>
      <c r="AAN32">
        <v>1037</v>
      </c>
      <c r="AAO32">
        <v>2540</v>
      </c>
      <c r="AAP32">
        <v>2840</v>
      </c>
      <c r="AAQ32">
        <v>1834</v>
      </c>
      <c r="AAR32">
        <v>1690</v>
      </c>
      <c r="AAS32">
        <v>0</v>
      </c>
      <c r="AAT32">
        <v>0</v>
      </c>
      <c r="AAU32">
        <v>0</v>
      </c>
      <c r="AAV32">
        <v>795</v>
      </c>
      <c r="AAW32">
        <v>1391</v>
      </c>
      <c r="AAX32">
        <v>328</v>
      </c>
      <c r="AAY32">
        <v>1100</v>
      </c>
      <c r="AAZ32">
        <v>0</v>
      </c>
      <c r="ABA32">
        <v>0</v>
      </c>
      <c r="ABB32">
        <v>1722</v>
      </c>
      <c r="ABC32">
        <v>642</v>
      </c>
      <c r="ABD32">
        <v>1928</v>
      </c>
      <c r="ABE32">
        <v>0</v>
      </c>
      <c r="ABF32">
        <v>1511</v>
      </c>
      <c r="ABG32">
        <v>1</v>
      </c>
      <c r="ABH32">
        <v>0</v>
      </c>
      <c r="ABI32">
        <v>3677</v>
      </c>
      <c r="ABJ32">
        <v>1445</v>
      </c>
      <c r="ABK32">
        <v>139</v>
      </c>
      <c r="ABL32">
        <v>212</v>
      </c>
      <c r="ABM32">
        <v>82</v>
      </c>
      <c r="ABN32">
        <v>0</v>
      </c>
      <c r="ABO32">
        <v>0</v>
      </c>
      <c r="ABP32">
        <v>1550</v>
      </c>
      <c r="ABQ32">
        <v>1131</v>
      </c>
      <c r="ABR32">
        <v>650</v>
      </c>
      <c r="ABS32">
        <v>929</v>
      </c>
      <c r="ABT32">
        <v>832</v>
      </c>
      <c r="ABU32">
        <v>0</v>
      </c>
      <c r="ABV32">
        <v>0</v>
      </c>
      <c r="ABW32">
        <v>248</v>
      </c>
      <c r="ABX32">
        <v>933</v>
      </c>
      <c r="ABY32">
        <v>1985</v>
      </c>
      <c r="ABZ32">
        <v>1814</v>
      </c>
      <c r="ACA32">
        <v>901</v>
      </c>
      <c r="ACB32">
        <v>0</v>
      </c>
      <c r="ACC32">
        <v>0</v>
      </c>
      <c r="ACD32">
        <v>390</v>
      </c>
      <c r="ACE32">
        <v>2229</v>
      </c>
      <c r="ACF32">
        <v>2338</v>
      </c>
      <c r="ACG32">
        <v>698</v>
      </c>
      <c r="ACH32">
        <v>719</v>
      </c>
      <c r="ACI32">
        <v>0</v>
      </c>
      <c r="ACJ32">
        <v>0</v>
      </c>
      <c r="ACK32">
        <v>1641</v>
      </c>
      <c r="ACL32">
        <v>2459</v>
      </c>
      <c r="ACM32">
        <v>102</v>
      </c>
      <c r="ACN32">
        <v>205</v>
      </c>
      <c r="ACO32">
        <v>212</v>
      </c>
      <c r="ACP32">
        <v>295</v>
      </c>
      <c r="ACQ32">
        <v>262</v>
      </c>
      <c r="ACR32">
        <v>295</v>
      </c>
      <c r="ACS32">
        <v>262</v>
      </c>
      <c r="ACT32">
        <v>1494</v>
      </c>
      <c r="ACU32">
        <v>1765</v>
      </c>
      <c r="ACV32">
        <v>0</v>
      </c>
      <c r="ACW32">
        <v>0</v>
      </c>
      <c r="ACX32">
        <v>0</v>
      </c>
      <c r="ACY32">
        <v>235</v>
      </c>
      <c r="ACZ32">
        <v>2158</v>
      </c>
      <c r="ADA32">
        <v>1426</v>
      </c>
      <c r="ADB32">
        <v>1074</v>
      </c>
      <c r="ADC32">
        <v>714</v>
      </c>
      <c r="ADD32">
        <v>0</v>
      </c>
      <c r="ADE32">
        <v>0</v>
      </c>
      <c r="ADF32">
        <v>1895</v>
      </c>
      <c r="ADG32">
        <v>1193</v>
      </c>
      <c r="ADH32">
        <v>787</v>
      </c>
      <c r="ADI32">
        <v>1664</v>
      </c>
      <c r="ADJ32">
        <v>1369</v>
      </c>
      <c r="ADK32">
        <v>0</v>
      </c>
      <c r="ADL32">
        <v>0</v>
      </c>
      <c r="ADM32">
        <v>0</v>
      </c>
      <c r="ADN32">
        <v>583</v>
      </c>
      <c r="ADO32">
        <v>583</v>
      </c>
      <c r="ADP32">
        <v>583</v>
      </c>
      <c r="ADQ32">
        <v>583</v>
      </c>
      <c r="ADR32">
        <v>581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116</v>
      </c>
      <c r="ADY32">
        <v>0</v>
      </c>
      <c r="ADZ32">
        <v>0</v>
      </c>
      <c r="AEA32">
        <v>107</v>
      </c>
      <c r="AEB32">
        <v>204</v>
      </c>
      <c r="AEC32">
        <v>2513</v>
      </c>
      <c r="AED32">
        <v>2828</v>
      </c>
      <c r="AEE32">
        <v>3063</v>
      </c>
      <c r="AEF32">
        <v>1</v>
      </c>
      <c r="AEG32">
        <v>0</v>
      </c>
      <c r="AEH32">
        <v>1290</v>
      </c>
      <c r="AEI32">
        <v>3265</v>
      </c>
      <c r="AEJ32">
        <v>1011</v>
      </c>
      <c r="AEK32">
        <v>364</v>
      </c>
      <c r="AEL32">
        <v>713</v>
      </c>
      <c r="AEM32">
        <v>0</v>
      </c>
      <c r="AEN32">
        <v>0</v>
      </c>
      <c r="AEO32">
        <v>1089</v>
      </c>
      <c r="AEP32">
        <v>2226</v>
      </c>
      <c r="AEQ32">
        <v>2737</v>
      </c>
      <c r="AER32">
        <v>987</v>
      </c>
      <c r="AES32">
        <v>987</v>
      </c>
      <c r="AET32">
        <v>0</v>
      </c>
      <c r="AEU32">
        <v>0</v>
      </c>
      <c r="AEV32">
        <v>706</v>
      </c>
      <c r="AEW32">
        <v>706</v>
      </c>
      <c r="AEX32">
        <v>1412</v>
      </c>
      <c r="AEY32">
        <v>687</v>
      </c>
      <c r="AEZ32">
        <v>1412</v>
      </c>
      <c r="AFA32">
        <v>0</v>
      </c>
      <c r="AFB32">
        <v>0</v>
      </c>
      <c r="AFC32">
        <v>157</v>
      </c>
      <c r="AFD32">
        <v>1069</v>
      </c>
      <c r="AFE32">
        <v>1913</v>
      </c>
      <c r="AFF32">
        <v>2178</v>
      </c>
      <c r="AFG32">
        <v>833</v>
      </c>
      <c r="AFH32">
        <v>0</v>
      </c>
      <c r="AFI32">
        <v>0</v>
      </c>
      <c r="AFJ32">
        <v>1106</v>
      </c>
      <c r="AFK32">
        <v>510</v>
      </c>
      <c r="AFL32">
        <v>1051</v>
      </c>
      <c r="AFM32">
        <v>787</v>
      </c>
      <c r="AFN32">
        <v>463</v>
      </c>
      <c r="AFO32">
        <v>0</v>
      </c>
      <c r="AFP32">
        <v>0</v>
      </c>
      <c r="AFQ32">
        <v>762</v>
      </c>
      <c r="AFR32">
        <v>388</v>
      </c>
      <c r="AFS32">
        <v>611</v>
      </c>
      <c r="AFT32">
        <v>652</v>
      </c>
      <c r="AFU32">
        <v>814</v>
      </c>
      <c r="AGD32">
        <v>0</v>
      </c>
      <c r="AGE32">
        <v>773</v>
      </c>
      <c r="AGF32">
        <v>108</v>
      </c>
      <c r="AGG32">
        <v>2234</v>
      </c>
      <c r="AGH32">
        <v>1830</v>
      </c>
      <c r="AGI32">
        <v>558</v>
      </c>
      <c r="AGJ32">
        <v>0</v>
      </c>
      <c r="AGK32">
        <v>0</v>
      </c>
      <c r="AGL32">
        <v>1640</v>
      </c>
      <c r="AGM32">
        <v>1783</v>
      </c>
      <c r="AGN32">
        <v>2379</v>
      </c>
      <c r="AGO32">
        <v>1031</v>
      </c>
      <c r="AGP32">
        <v>1361</v>
      </c>
      <c r="AGQ32">
        <v>0</v>
      </c>
      <c r="AGS32">
        <v>554</v>
      </c>
      <c r="AGT32">
        <v>1101</v>
      </c>
      <c r="AGU32">
        <v>1579</v>
      </c>
      <c r="AGV32">
        <v>846</v>
      </c>
      <c r="AGW32">
        <v>1293</v>
      </c>
      <c r="AHI32">
        <v>208</v>
      </c>
      <c r="AHJ32">
        <v>326</v>
      </c>
      <c r="AHK32">
        <v>2005</v>
      </c>
      <c r="AHL32">
        <v>492</v>
      </c>
      <c r="AHM32">
        <v>0</v>
      </c>
      <c r="AHN32">
        <v>0</v>
      </c>
      <c r="AHO32">
        <v>2104</v>
      </c>
      <c r="AHP32">
        <v>1689</v>
      </c>
      <c r="AHQ32">
        <v>2413</v>
      </c>
      <c r="AHR32">
        <v>2576</v>
      </c>
      <c r="AIM32">
        <v>0</v>
      </c>
      <c r="AIN32">
        <v>0</v>
      </c>
      <c r="AIO32">
        <v>0</v>
      </c>
      <c r="AIP32">
        <v>0</v>
      </c>
      <c r="AIQ32">
        <v>2005</v>
      </c>
      <c r="AIR32">
        <v>922</v>
      </c>
      <c r="AIS32">
        <v>1071</v>
      </c>
      <c r="AIT32">
        <v>1568</v>
      </c>
      <c r="AIU32">
        <v>0</v>
      </c>
      <c r="AIV32">
        <v>0</v>
      </c>
      <c r="AIW32">
        <v>1445</v>
      </c>
      <c r="AIX32">
        <v>1220</v>
      </c>
      <c r="AIY32">
        <v>836</v>
      </c>
      <c r="AIZ32">
        <v>519</v>
      </c>
      <c r="AJA32">
        <v>2021</v>
      </c>
      <c r="AJB32">
        <v>0</v>
      </c>
      <c r="AJC32">
        <v>0</v>
      </c>
      <c r="AJD32">
        <v>803</v>
      </c>
      <c r="AJE32">
        <v>1986</v>
      </c>
      <c r="AJF32">
        <v>1699</v>
      </c>
      <c r="AJG32">
        <v>1131</v>
      </c>
      <c r="AJH32">
        <v>3942</v>
      </c>
      <c r="AJI32">
        <v>816</v>
      </c>
      <c r="AJJ32">
        <v>0</v>
      </c>
      <c r="AJK32">
        <v>2334</v>
      </c>
      <c r="AJL32">
        <v>1937</v>
      </c>
      <c r="AJM32">
        <v>746</v>
      </c>
      <c r="AJN32">
        <v>111</v>
      </c>
      <c r="AJO32">
        <v>619</v>
      </c>
      <c r="AJP32">
        <v>0</v>
      </c>
      <c r="AJQ32">
        <v>0</v>
      </c>
      <c r="AJR32">
        <v>0</v>
      </c>
      <c r="AJS32">
        <v>121</v>
      </c>
      <c r="AJT32">
        <v>0</v>
      </c>
      <c r="AJU32">
        <v>1066</v>
      </c>
      <c r="AJV32">
        <v>2085</v>
      </c>
      <c r="AJW32">
        <v>0</v>
      </c>
      <c r="AJX32">
        <v>0</v>
      </c>
      <c r="AJY32">
        <v>908</v>
      </c>
      <c r="AJZ32">
        <v>750</v>
      </c>
      <c r="AKA32">
        <v>902</v>
      </c>
      <c r="AKB32">
        <v>1010</v>
      </c>
      <c r="AKC32">
        <v>2500</v>
      </c>
    </row>
    <row r="33" spans="1:973">
      <c r="A33">
        <v>2</v>
      </c>
      <c r="B33" s="1" t="s">
        <v>76</v>
      </c>
      <c r="C33" s="1">
        <v>82308</v>
      </c>
      <c r="D33" s="1" t="s">
        <v>8</v>
      </c>
      <c r="E33" s="1" t="s">
        <v>73</v>
      </c>
      <c r="F33" s="1" t="s">
        <v>31</v>
      </c>
      <c r="G33" s="1" t="s">
        <v>33</v>
      </c>
      <c r="H33" s="1" t="s">
        <v>44</v>
      </c>
      <c r="I33" s="1" t="s">
        <v>64</v>
      </c>
      <c r="J33" s="1" t="s">
        <v>46</v>
      </c>
      <c r="K33" s="23">
        <v>196</v>
      </c>
      <c r="L33" s="23">
        <v>23902</v>
      </c>
      <c r="M33" s="23">
        <v>10009</v>
      </c>
      <c r="N33" s="23">
        <v>0</v>
      </c>
      <c r="O33" s="23">
        <v>0</v>
      </c>
      <c r="P33" s="23">
        <v>10009</v>
      </c>
      <c r="Q33" s="23">
        <v>10058</v>
      </c>
      <c r="R33" s="23">
        <v>4059</v>
      </c>
      <c r="S33" s="23">
        <v>15887</v>
      </c>
      <c r="T33" s="23">
        <v>5516</v>
      </c>
      <c r="U33" s="23">
        <v>0</v>
      </c>
      <c r="V33" s="23">
        <v>0</v>
      </c>
      <c r="W33" s="23">
        <v>8260</v>
      </c>
      <c r="X33" s="23">
        <v>11131</v>
      </c>
      <c r="Y33" s="23">
        <v>4759</v>
      </c>
      <c r="Z33" s="23">
        <v>4159</v>
      </c>
      <c r="AA33" s="23">
        <v>19508</v>
      </c>
      <c r="AB33" s="23">
        <v>0</v>
      </c>
      <c r="AC33" s="23">
        <v>0</v>
      </c>
      <c r="AD33" s="23">
        <v>2914</v>
      </c>
      <c r="AE33" s="23">
        <v>8338</v>
      </c>
      <c r="AF33" s="23">
        <v>530</v>
      </c>
      <c r="AG33" s="23">
        <v>53</v>
      </c>
      <c r="AH33" s="23">
        <v>8282</v>
      </c>
      <c r="AI33" s="23">
        <v>0</v>
      </c>
      <c r="AJ33" s="23">
        <v>0</v>
      </c>
      <c r="AK33" s="23">
        <v>18531</v>
      </c>
      <c r="AL33" s="23">
        <v>6255</v>
      </c>
      <c r="AM33" s="23">
        <v>6359</v>
      </c>
      <c r="AN33" s="23">
        <v>2577</v>
      </c>
      <c r="AO33" s="23">
        <v>950</v>
      </c>
      <c r="AP33" s="23">
        <v>0</v>
      </c>
      <c r="AQ33" s="23">
        <v>0</v>
      </c>
      <c r="AR33" s="23">
        <v>8552</v>
      </c>
      <c r="AS33" s="23">
        <v>0</v>
      </c>
      <c r="AT33" s="23">
        <v>16372</v>
      </c>
      <c r="AU33" s="23">
        <v>12562</v>
      </c>
      <c r="AV33" s="23">
        <v>13689</v>
      </c>
      <c r="AW33" s="23">
        <v>0</v>
      </c>
      <c r="AX33" s="23">
        <v>0</v>
      </c>
      <c r="AY33" s="23">
        <v>334</v>
      </c>
      <c r="AZ33" s="23">
        <v>929</v>
      </c>
      <c r="BA33" s="23">
        <v>5199</v>
      </c>
      <c r="BB33" s="23">
        <v>9113</v>
      </c>
      <c r="BC33" s="23">
        <v>3465</v>
      </c>
      <c r="BD33" s="23">
        <v>0</v>
      </c>
      <c r="BE33" s="23">
        <v>0</v>
      </c>
      <c r="BF33" s="23">
        <v>1038</v>
      </c>
      <c r="BG33" s="23">
        <v>1613</v>
      </c>
      <c r="BH33" s="23">
        <v>950</v>
      </c>
      <c r="BI33" s="23">
        <v>6275</v>
      </c>
      <c r="BJ33" s="23">
        <v>9830</v>
      </c>
      <c r="BK33" s="23">
        <v>0</v>
      </c>
      <c r="BL33" s="23">
        <v>0</v>
      </c>
      <c r="BM33" s="23">
        <v>0</v>
      </c>
      <c r="BN33" s="23">
        <v>15629</v>
      </c>
      <c r="BO33" s="23">
        <v>2560</v>
      </c>
      <c r="BP33" s="23">
        <v>0</v>
      </c>
      <c r="BQ33" s="23">
        <v>0</v>
      </c>
      <c r="BR33" s="23">
        <v>0</v>
      </c>
      <c r="BS33" s="23">
        <v>0</v>
      </c>
      <c r="BT33" s="23">
        <v>0</v>
      </c>
      <c r="BU33" s="23">
        <v>0</v>
      </c>
      <c r="BV33" s="23">
        <v>0</v>
      </c>
      <c r="BW33" s="23">
        <v>7502</v>
      </c>
      <c r="BX33" s="23">
        <v>26088</v>
      </c>
      <c r="BY33" s="23">
        <v>6929</v>
      </c>
      <c r="BZ33" s="23">
        <v>0</v>
      </c>
      <c r="CA33" s="23">
        <v>9398</v>
      </c>
      <c r="CB33">
        <v>16117</v>
      </c>
      <c r="CC33">
        <v>14653</v>
      </c>
      <c r="CD33">
        <v>11878</v>
      </c>
      <c r="CE33">
        <v>3613</v>
      </c>
      <c r="CF33">
        <v>0</v>
      </c>
      <c r="CG33">
        <v>0</v>
      </c>
      <c r="CH33">
        <v>7141</v>
      </c>
      <c r="CI33">
        <v>1985</v>
      </c>
      <c r="CJ33">
        <v>15143</v>
      </c>
      <c r="CK33">
        <v>10836</v>
      </c>
      <c r="CL33">
        <v>3613</v>
      </c>
      <c r="CM33" s="36">
        <v>0</v>
      </c>
      <c r="CN33" s="36">
        <v>0</v>
      </c>
      <c r="CO33">
        <v>592</v>
      </c>
      <c r="CP33">
        <v>2440</v>
      </c>
      <c r="CQ33">
        <v>19742</v>
      </c>
      <c r="CR33">
        <v>12284</v>
      </c>
      <c r="CS33">
        <v>9799</v>
      </c>
      <c r="CT33">
        <v>0</v>
      </c>
      <c r="CU33">
        <v>0</v>
      </c>
      <c r="CV33">
        <v>763</v>
      </c>
      <c r="CW33">
        <v>14371</v>
      </c>
      <c r="CX33">
        <v>1632</v>
      </c>
      <c r="CY33">
        <v>567</v>
      </c>
      <c r="CZ33">
        <v>4998</v>
      </c>
      <c r="DA33">
        <v>0</v>
      </c>
      <c r="DB33">
        <v>0</v>
      </c>
      <c r="DC33">
        <v>4862</v>
      </c>
      <c r="DD33">
        <v>9960</v>
      </c>
      <c r="DE33">
        <v>6593</v>
      </c>
      <c r="DF33">
        <v>12328</v>
      </c>
      <c r="DG33">
        <v>10809</v>
      </c>
      <c r="DH33">
        <v>0</v>
      </c>
      <c r="DI33">
        <v>0</v>
      </c>
      <c r="DJ33">
        <v>11423</v>
      </c>
      <c r="DK33">
        <v>7460</v>
      </c>
      <c r="DL33">
        <v>10043</v>
      </c>
      <c r="DM33">
        <v>20702</v>
      </c>
      <c r="DN33">
        <v>7993</v>
      </c>
      <c r="DO33">
        <v>0</v>
      </c>
      <c r="DQ33">
        <v>37</v>
      </c>
      <c r="DR33">
        <v>461</v>
      </c>
      <c r="DS33">
        <v>207</v>
      </c>
      <c r="DT33">
        <v>116</v>
      </c>
      <c r="DU33">
        <v>221</v>
      </c>
      <c r="DV33">
        <v>0</v>
      </c>
      <c r="DX33">
        <v>4515</v>
      </c>
      <c r="DY33">
        <v>6115</v>
      </c>
      <c r="DZ33">
        <v>12882</v>
      </c>
      <c r="EA33">
        <v>978</v>
      </c>
      <c r="EB33">
        <v>1130</v>
      </c>
      <c r="EC33">
        <v>0</v>
      </c>
      <c r="ED33">
        <v>0</v>
      </c>
      <c r="EE33">
        <v>5609</v>
      </c>
      <c r="EF33">
        <v>6225</v>
      </c>
      <c r="EG33">
        <v>16870</v>
      </c>
      <c r="EH33">
        <v>17995</v>
      </c>
      <c r="EI33">
        <v>13601</v>
      </c>
      <c r="EJ33">
        <v>0</v>
      </c>
      <c r="EK33">
        <v>0</v>
      </c>
      <c r="EL33">
        <v>11828</v>
      </c>
      <c r="EM33">
        <v>12983</v>
      </c>
      <c r="EN33">
        <v>11001</v>
      </c>
      <c r="EO33">
        <v>481</v>
      </c>
      <c r="EP33">
        <v>6156</v>
      </c>
      <c r="EQ33">
        <v>0</v>
      </c>
      <c r="ER33">
        <v>0</v>
      </c>
      <c r="ES33">
        <v>2134</v>
      </c>
      <c r="ET33">
        <v>10638</v>
      </c>
      <c r="EU33">
        <v>2036</v>
      </c>
      <c r="EV33">
        <v>7358</v>
      </c>
      <c r="EW33">
        <v>2401</v>
      </c>
      <c r="EX33">
        <v>0</v>
      </c>
      <c r="EY33">
        <v>0</v>
      </c>
      <c r="EZ33">
        <v>6359</v>
      </c>
      <c r="FA33">
        <v>2149</v>
      </c>
      <c r="FB33">
        <v>2682</v>
      </c>
      <c r="FD33">
        <v>6814</v>
      </c>
      <c r="FF33">
        <v>0</v>
      </c>
      <c r="FH33">
        <v>468</v>
      </c>
      <c r="FI33">
        <v>7586</v>
      </c>
      <c r="FJ33">
        <v>9120</v>
      </c>
      <c r="FK33">
        <v>9074</v>
      </c>
      <c r="FL33">
        <v>0</v>
      </c>
      <c r="FM33">
        <v>0</v>
      </c>
      <c r="FN33">
        <v>3419</v>
      </c>
      <c r="FO33">
        <v>17039</v>
      </c>
      <c r="FP33">
        <v>2709</v>
      </c>
      <c r="FQ33">
        <v>4626</v>
      </c>
      <c r="FR33">
        <v>622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279</v>
      </c>
      <c r="FY33">
        <v>26405</v>
      </c>
      <c r="FZ33">
        <v>0</v>
      </c>
      <c r="GA33">
        <v>0</v>
      </c>
      <c r="GB33">
        <v>9560</v>
      </c>
      <c r="GC33">
        <v>25258</v>
      </c>
      <c r="GD33">
        <v>8027</v>
      </c>
      <c r="GE33">
        <v>6140</v>
      </c>
      <c r="GF33">
        <v>21276</v>
      </c>
      <c r="GG33">
        <v>1148</v>
      </c>
      <c r="GH33">
        <v>0</v>
      </c>
      <c r="GI33" s="33">
        <v>6373</v>
      </c>
      <c r="GJ33" s="33">
        <v>3049</v>
      </c>
      <c r="GL33">
        <v>279</v>
      </c>
      <c r="GM33">
        <v>8937</v>
      </c>
      <c r="GQ33">
        <v>3376</v>
      </c>
      <c r="GR33">
        <v>7107</v>
      </c>
      <c r="GS33">
        <v>93</v>
      </c>
      <c r="GT33">
        <v>2512</v>
      </c>
      <c r="GU33">
        <v>0</v>
      </c>
      <c r="GV33">
        <v>0</v>
      </c>
      <c r="GW33">
        <v>6412</v>
      </c>
      <c r="GX33">
        <v>1694</v>
      </c>
      <c r="GY33">
        <v>10343</v>
      </c>
      <c r="GZ33">
        <v>342</v>
      </c>
      <c r="HA33">
        <v>0</v>
      </c>
      <c r="HB33">
        <v>0</v>
      </c>
      <c r="HC33">
        <v>0</v>
      </c>
      <c r="HD33">
        <v>4982</v>
      </c>
      <c r="HE33">
        <v>17715</v>
      </c>
      <c r="HF33">
        <v>0</v>
      </c>
      <c r="HG33">
        <v>15432</v>
      </c>
      <c r="HH33">
        <v>11482</v>
      </c>
      <c r="HI33">
        <v>934</v>
      </c>
      <c r="HK33">
        <v>5356</v>
      </c>
      <c r="HL33">
        <v>20267</v>
      </c>
      <c r="HM33">
        <v>18471</v>
      </c>
      <c r="HN33">
        <v>7269</v>
      </c>
      <c r="HO33">
        <v>5633</v>
      </c>
      <c r="HS33">
        <v>747</v>
      </c>
      <c r="HT33">
        <v>7205</v>
      </c>
      <c r="HU33">
        <v>16374</v>
      </c>
      <c r="HV33">
        <v>1697</v>
      </c>
      <c r="HW33">
        <v>497</v>
      </c>
      <c r="HX33">
        <v>0</v>
      </c>
      <c r="HY33">
        <v>4706</v>
      </c>
      <c r="HZ33">
        <v>8932</v>
      </c>
      <c r="IA33">
        <v>21387</v>
      </c>
      <c r="IB33">
        <v>7789</v>
      </c>
      <c r="IC33">
        <v>2036</v>
      </c>
      <c r="ID33">
        <v>0</v>
      </c>
      <c r="IE33">
        <v>0</v>
      </c>
      <c r="IF33">
        <v>184</v>
      </c>
      <c r="IG33">
        <v>19079</v>
      </c>
      <c r="IH33">
        <v>5403</v>
      </c>
      <c r="II33">
        <v>7730</v>
      </c>
      <c r="IJ33">
        <v>4799</v>
      </c>
      <c r="IK33">
        <v>0</v>
      </c>
      <c r="IL33">
        <v>0</v>
      </c>
      <c r="IM33">
        <v>397</v>
      </c>
      <c r="IN33">
        <v>16138</v>
      </c>
      <c r="IO33">
        <v>25563</v>
      </c>
      <c r="IP33">
        <v>13260</v>
      </c>
      <c r="IQ33">
        <v>9205</v>
      </c>
      <c r="IR33">
        <v>0</v>
      </c>
      <c r="IS33">
        <v>0</v>
      </c>
      <c r="IT33">
        <v>639</v>
      </c>
      <c r="IV33">
        <v>11294</v>
      </c>
      <c r="IW33">
        <v>5343</v>
      </c>
      <c r="IX33">
        <v>8313</v>
      </c>
      <c r="JA33">
        <v>5364</v>
      </c>
      <c r="JB33">
        <v>1225</v>
      </c>
      <c r="JC33">
        <v>13300</v>
      </c>
      <c r="JD33">
        <v>17981</v>
      </c>
      <c r="JE33">
        <v>12871</v>
      </c>
      <c r="JH33">
        <v>12190</v>
      </c>
      <c r="JI33">
        <v>7319</v>
      </c>
      <c r="JJ33">
        <v>9747</v>
      </c>
      <c r="JK33">
        <v>14541</v>
      </c>
      <c r="JL33">
        <v>6205</v>
      </c>
      <c r="JO33">
        <v>13384</v>
      </c>
      <c r="JP33">
        <v>17840</v>
      </c>
      <c r="JQ33">
        <v>17612</v>
      </c>
      <c r="JR33">
        <v>17597</v>
      </c>
      <c r="JS33">
        <v>11975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2816</v>
      </c>
      <c r="KA33">
        <v>0</v>
      </c>
      <c r="KB33">
        <v>0</v>
      </c>
      <c r="KC33">
        <v>2015</v>
      </c>
      <c r="KD33">
        <v>7330</v>
      </c>
      <c r="KE33">
        <v>2140</v>
      </c>
      <c r="KF33">
        <v>3750</v>
      </c>
      <c r="KG33">
        <v>11186</v>
      </c>
      <c r="KH33">
        <v>0</v>
      </c>
      <c r="KI33">
        <v>0</v>
      </c>
      <c r="KJ33">
        <v>0</v>
      </c>
      <c r="KK33">
        <v>7128</v>
      </c>
      <c r="KL33">
        <v>17328</v>
      </c>
      <c r="KM33">
        <v>10236</v>
      </c>
      <c r="KN33">
        <v>11804</v>
      </c>
      <c r="KO33">
        <v>1267</v>
      </c>
      <c r="KP33">
        <v>0</v>
      </c>
      <c r="KQ33">
        <v>13836</v>
      </c>
      <c r="KR33">
        <v>6036</v>
      </c>
      <c r="KS33">
        <v>3449</v>
      </c>
      <c r="KT33">
        <v>1162</v>
      </c>
      <c r="KU33">
        <v>10866</v>
      </c>
      <c r="KV33">
        <v>0</v>
      </c>
      <c r="KW33">
        <v>0</v>
      </c>
      <c r="KX33">
        <v>27708</v>
      </c>
      <c r="KY33">
        <v>27654</v>
      </c>
      <c r="KZ33">
        <v>20820</v>
      </c>
      <c r="LA33">
        <v>10045</v>
      </c>
      <c r="LB33">
        <v>2885</v>
      </c>
      <c r="LC33">
        <v>0</v>
      </c>
      <c r="LD33">
        <v>0</v>
      </c>
      <c r="LE33">
        <v>1</v>
      </c>
      <c r="LF33">
        <v>4138</v>
      </c>
      <c r="LG33">
        <v>460</v>
      </c>
      <c r="LH33">
        <v>2969</v>
      </c>
      <c r="LI33">
        <v>3875</v>
      </c>
      <c r="LL33">
        <v>3591</v>
      </c>
      <c r="LM33">
        <v>21004</v>
      </c>
      <c r="LN33">
        <v>7942</v>
      </c>
      <c r="LO33">
        <v>683</v>
      </c>
      <c r="LP33">
        <v>13499</v>
      </c>
      <c r="LS33">
        <v>8108</v>
      </c>
      <c r="LT33">
        <v>3848</v>
      </c>
      <c r="LU33">
        <v>4125</v>
      </c>
      <c r="LV33">
        <v>514</v>
      </c>
      <c r="LW33">
        <v>701</v>
      </c>
      <c r="LX33">
        <v>0</v>
      </c>
      <c r="LY33">
        <v>0</v>
      </c>
      <c r="LZ33">
        <v>1324</v>
      </c>
      <c r="MA33">
        <v>8070</v>
      </c>
      <c r="MB33">
        <v>5248</v>
      </c>
      <c r="MC33">
        <v>3431</v>
      </c>
      <c r="MD33">
        <v>6575</v>
      </c>
      <c r="ME33">
        <v>0</v>
      </c>
      <c r="MF33">
        <v>0</v>
      </c>
      <c r="MG33">
        <v>0</v>
      </c>
      <c r="MH33">
        <v>249</v>
      </c>
      <c r="MI33">
        <v>268</v>
      </c>
      <c r="MJ33">
        <v>15987</v>
      </c>
      <c r="MK33">
        <v>8457</v>
      </c>
      <c r="ML33">
        <v>7925</v>
      </c>
      <c r="MM33">
        <v>0</v>
      </c>
      <c r="MN33">
        <v>8541</v>
      </c>
      <c r="MO33">
        <v>1633</v>
      </c>
      <c r="MP33">
        <v>12028</v>
      </c>
      <c r="MQ33">
        <v>12076</v>
      </c>
      <c r="MR33">
        <v>5081</v>
      </c>
      <c r="MS33">
        <v>0</v>
      </c>
      <c r="MT33">
        <v>0</v>
      </c>
      <c r="MV33">
        <v>4821</v>
      </c>
      <c r="MW33">
        <v>12078</v>
      </c>
      <c r="MX33">
        <v>5153</v>
      </c>
      <c r="MY33">
        <v>6590</v>
      </c>
      <c r="MZ33">
        <v>0</v>
      </c>
      <c r="NA33">
        <v>0</v>
      </c>
      <c r="NB33">
        <v>1050</v>
      </c>
      <c r="NC33">
        <v>5961</v>
      </c>
      <c r="ND33">
        <v>0</v>
      </c>
      <c r="NE33">
        <v>7547</v>
      </c>
      <c r="NF33">
        <v>10811</v>
      </c>
      <c r="NG33">
        <v>0</v>
      </c>
      <c r="NH33">
        <v>0</v>
      </c>
      <c r="NI33">
        <v>309</v>
      </c>
      <c r="NJ33">
        <v>272</v>
      </c>
      <c r="NK33">
        <v>175</v>
      </c>
      <c r="NL33">
        <v>76</v>
      </c>
      <c r="NM33">
        <v>86</v>
      </c>
      <c r="NN33">
        <v>0</v>
      </c>
      <c r="NO33">
        <v>0</v>
      </c>
      <c r="NP33">
        <v>5934</v>
      </c>
      <c r="NQ33">
        <v>9138</v>
      </c>
      <c r="NR33">
        <v>5787</v>
      </c>
      <c r="NS33">
        <v>1132</v>
      </c>
      <c r="NT33">
        <v>10739</v>
      </c>
      <c r="NU33">
        <v>0</v>
      </c>
      <c r="NV33">
        <v>0</v>
      </c>
      <c r="NW33">
        <v>5125</v>
      </c>
      <c r="NX33">
        <v>1762</v>
      </c>
      <c r="NY33">
        <v>6325</v>
      </c>
      <c r="NZ33">
        <v>1844</v>
      </c>
      <c r="OA33">
        <v>21791</v>
      </c>
      <c r="OB33">
        <v>0</v>
      </c>
      <c r="OC33">
        <v>0</v>
      </c>
      <c r="OD33">
        <v>5362</v>
      </c>
      <c r="OE33">
        <v>8904</v>
      </c>
      <c r="OF33">
        <v>5179</v>
      </c>
      <c r="OG33">
        <v>22117</v>
      </c>
      <c r="OH33">
        <v>5026</v>
      </c>
      <c r="OI33">
        <v>0</v>
      </c>
      <c r="OJ33">
        <v>0</v>
      </c>
      <c r="OK33">
        <v>4128</v>
      </c>
      <c r="OL33">
        <v>15026</v>
      </c>
      <c r="OM33">
        <v>29369</v>
      </c>
      <c r="ON33">
        <v>12043</v>
      </c>
      <c r="OO33">
        <v>14198</v>
      </c>
      <c r="OQ33">
        <v>2689</v>
      </c>
      <c r="OR33">
        <v>3215</v>
      </c>
      <c r="OS33">
        <v>568</v>
      </c>
      <c r="OT33">
        <v>0</v>
      </c>
      <c r="OU33">
        <v>2790</v>
      </c>
      <c r="OY33">
        <v>6018</v>
      </c>
      <c r="OZ33">
        <v>1169</v>
      </c>
      <c r="PA33">
        <v>3861</v>
      </c>
      <c r="PB33">
        <v>26642</v>
      </c>
      <c r="PC33">
        <v>10115</v>
      </c>
      <c r="PF33">
        <v>6530</v>
      </c>
      <c r="PG33">
        <v>9348</v>
      </c>
      <c r="PH33">
        <v>15107</v>
      </c>
      <c r="PI33">
        <v>7367</v>
      </c>
      <c r="PJ33">
        <v>25345</v>
      </c>
      <c r="PK33">
        <v>10621</v>
      </c>
      <c r="PM33">
        <v>38160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2929</v>
      </c>
      <c r="PY33">
        <v>0</v>
      </c>
      <c r="PZ33">
        <v>0</v>
      </c>
      <c r="QA33">
        <v>10098</v>
      </c>
      <c r="QB33">
        <v>12837</v>
      </c>
      <c r="QC33">
        <v>27701</v>
      </c>
      <c r="QD33">
        <v>1313</v>
      </c>
      <c r="QE33">
        <v>30042</v>
      </c>
      <c r="QF33">
        <v>0</v>
      </c>
      <c r="QG33">
        <v>0</v>
      </c>
      <c r="QH33">
        <v>11277</v>
      </c>
      <c r="QI33">
        <v>206</v>
      </c>
      <c r="QJ33">
        <v>1903</v>
      </c>
      <c r="QK33">
        <v>10892</v>
      </c>
      <c r="QL33">
        <v>12303</v>
      </c>
      <c r="QM33">
        <v>0</v>
      </c>
      <c r="QN33">
        <v>0</v>
      </c>
      <c r="QO33">
        <v>3850</v>
      </c>
      <c r="QP33">
        <v>5474</v>
      </c>
      <c r="QQ33">
        <v>13774</v>
      </c>
      <c r="QR33">
        <v>17080</v>
      </c>
      <c r="QS33">
        <v>14134</v>
      </c>
      <c r="QT33">
        <v>0</v>
      </c>
      <c r="QU33">
        <v>0</v>
      </c>
      <c r="QV33">
        <v>8880</v>
      </c>
      <c r="QW33">
        <v>29968</v>
      </c>
      <c r="QX33">
        <v>20736</v>
      </c>
      <c r="QY33">
        <v>6172</v>
      </c>
      <c r="QZ33">
        <v>5802</v>
      </c>
      <c r="RA33">
        <v>0</v>
      </c>
      <c r="RB33">
        <v>0</v>
      </c>
      <c r="RC33">
        <v>7045</v>
      </c>
      <c r="RD33">
        <v>19234</v>
      </c>
      <c r="RE33">
        <v>5886</v>
      </c>
      <c r="RF33">
        <v>1621</v>
      </c>
      <c r="RG33">
        <v>3546</v>
      </c>
      <c r="RH33">
        <v>0</v>
      </c>
      <c r="RI33">
        <v>0</v>
      </c>
      <c r="RJ33">
        <v>12538</v>
      </c>
      <c r="RK33">
        <v>7852</v>
      </c>
      <c r="RL33">
        <v>894</v>
      </c>
      <c r="RM33">
        <v>13444</v>
      </c>
      <c r="RN33">
        <v>14608</v>
      </c>
      <c r="RO33">
        <v>0</v>
      </c>
      <c r="RP33">
        <v>0</v>
      </c>
      <c r="RQ33">
        <v>10728</v>
      </c>
      <c r="RR33">
        <v>25467</v>
      </c>
      <c r="RS33">
        <v>3198</v>
      </c>
      <c r="RT33">
        <v>19611</v>
      </c>
      <c r="RU33">
        <v>23046</v>
      </c>
      <c r="RV33">
        <v>1528</v>
      </c>
      <c r="RW33">
        <v>0</v>
      </c>
      <c r="RX33">
        <v>4088</v>
      </c>
      <c r="RY33">
        <v>3150</v>
      </c>
      <c r="RZ33">
        <v>2166</v>
      </c>
      <c r="SA33">
        <v>4023</v>
      </c>
      <c r="SB33">
        <v>658</v>
      </c>
      <c r="SC33">
        <v>0</v>
      </c>
      <c r="SD33">
        <v>0</v>
      </c>
      <c r="SE33">
        <v>1868</v>
      </c>
      <c r="SF33">
        <v>2633</v>
      </c>
      <c r="SG33">
        <v>7662</v>
      </c>
      <c r="SH33">
        <v>2128</v>
      </c>
      <c r="SI33">
        <v>18645</v>
      </c>
      <c r="SJ33">
        <v>0</v>
      </c>
      <c r="SL33">
        <v>8394</v>
      </c>
      <c r="SM33">
        <v>5936</v>
      </c>
      <c r="SN33">
        <v>22957</v>
      </c>
      <c r="SO33">
        <v>13899</v>
      </c>
      <c r="SP33">
        <v>9294</v>
      </c>
      <c r="SQ33">
        <v>0</v>
      </c>
      <c r="SR33">
        <v>0</v>
      </c>
      <c r="SS33">
        <v>9962</v>
      </c>
      <c r="ST33">
        <v>19083</v>
      </c>
      <c r="SU33">
        <v>13058</v>
      </c>
      <c r="SV33">
        <v>3255</v>
      </c>
      <c r="SW33">
        <v>7135</v>
      </c>
      <c r="SX33">
        <v>0</v>
      </c>
      <c r="SY33">
        <v>0</v>
      </c>
      <c r="SZ33">
        <v>1693</v>
      </c>
      <c r="TA33">
        <v>2795</v>
      </c>
      <c r="TB33">
        <v>6679</v>
      </c>
      <c r="TC33">
        <v>15324</v>
      </c>
      <c r="TD33">
        <v>10014</v>
      </c>
      <c r="TE33">
        <v>0</v>
      </c>
      <c r="TG33">
        <v>0</v>
      </c>
      <c r="TH33">
        <v>0</v>
      </c>
      <c r="TI33">
        <v>224</v>
      </c>
      <c r="TJ33">
        <v>4842</v>
      </c>
      <c r="TK33">
        <v>3298</v>
      </c>
      <c r="TL33">
        <v>280</v>
      </c>
      <c r="TM33">
        <v>0</v>
      </c>
      <c r="TN33">
        <v>0</v>
      </c>
      <c r="TO33">
        <v>837</v>
      </c>
      <c r="TP33">
        <v>2679</v>
      </c>
      <c r="TQ33">
        <v>6198</v>
      </c>
      <c r="TR33">
        <v>3238</v>
      </c>
      <c r="TS33">
        <v>0</v>
      </c>
      <c r="TT33">
        <v>0</v>
      </c>
      <c r="TU33">
        <v>0</v>
      </c>
      <c r="TV33">
        <v>0</v>
      </c>
      <c r="TW33">
        <v>59</v>
      </c>
      <c r="TX33">
        <v>1386</v>
      </c>
      <c r="TY33">
        <v>7814</v>
      </c>
      <c r="TZ33">
        <v>0</v>
      </c>
      <c r="UA33">
        <v>0</v>
      </c>
      <c r="UB33">
        <v>10590</v>
      </c>
      <c r="UC33">
        <v>10170</v>
      </c>
      <c r="UD33">
        <v>8254</v>
      </c>
      <c r="UE33">
        <v>10369</v>
      </c>
      <c r="UF33">
        <v>28852</v>
      </c>
      <c r="UG33">
        <v>136</v>
      </c>
      <c r="UH33">
        <v>0</v>
      </c>
      <c r="UI33">
        <v>9294</v>
      </c>
      <c r="UJ33">
        <v>10777</v>
      </c>
      <c r="UK33">
        <v>10663</v>
      </c>
      <c r="UL33">
        <v>0</v>
      </c>
      <c r="UM33">
        <v>50</v>
      </c>
      <c r="UN33">
        <v>0</v>
      </c>
      <c r="UO33">
        <v>0</v>
      </c>
      <c r="UP33">
        <v>0</v>
      </c>
      <c r="UQ33">
        <v>4785</v>
      </c>
      <c r="UR33">
        <v>8969</v>
      </c>
      <c r="US33">
        <v>8852</v>
      </c>
      <c r="UT33">
        <v>10007</v>
      </c>
      <c r="UU33">
        <v>0</v>
      </c>
      <c r="UV33">
        <v>0</v>
      </c>
      <c r="UW33">
        <v>0</v>
      </c>
      <c r="UX33">
        <v>9535</v>
      </c>
      <c r="UY33">
        <v>16877</v>
      </c>
      <c r="UZ33">
        <v>15163</v>
      </c>
      <c r="VA33">
        <v>9255</v>
      </c>
      <c r="VB33">
        <v>0</v>
      </c>
      <c r="VC33">
        <v>0</v>
      </c>
      <c r="VD33">
        <v>7614</v>
      </c>
      <c r="VE33">
        <v>11959</v>
      </c>
      <c r="VF33">
        <v>16484</v>
      </c>
      <c r="VG33">
        <v>196</v>
      </c>
      <c r="VH33">
        <v>1000</v>
      </c>
      <c r="VI33">
        <v>0</v>
      </c>
      <c r="VJ33">
        <v>0</v>
      </c>
      <c r="VK33">
        <v>14791</v>
      </c>
      <c r="VL33">
        <v>19941</v>
      </c>
      <c r="VM33">
        <v>14800</v>
      </c>
      <c r="VN33">
        <v>3288</v>
      </c>
      <c r="VO33">
        <v>10780</v>
      </c>
      <c r="VP33">
        <v>0</v>
      </c>
      <c r="VQ33">
        <v>0</v>
      </c>
      <c r="VR33">
        <v>510</v>
      </c>
      <c r="VS33">
        <v>0</v>
      </c>
      <c r="VT33">
        <v>3548</v>
      </c>
      <c r="VU33">
        <v>9174</v>
      </c>
      <c r="VV33">
        <v>8618</v>
      </c>
      <c r="VW33">
        <v>0</v>
      </c>
      <c r="VX33">
        <v>0</v>
      </c>
      <c r="VY33">
        <v>8768</v>
      </c>
      <c r="VZ33">
        <v>1517</v>
      </c>
      <c r="WA33">
        <v>5046</v>
      </c>
      <c r="WB33">
        <v>32217</v>
      </c>
      <c r="WC33">
        <v>8199</v>
      </c>
      <c r="WD33">
        <v>0</v>
      </c>
      <c r="WE33">
        <v>0</v>
      </c>
      <c r="WF33">
        <v>11625</v>
      </c>
      <c r="WG33">
        <v>11449</v>
      </c>
      <c r="WH33">
        <v>3638</v>
      </c>
      <c r="WI33">
        <v>3907</v>
      </c>
      <c r="WJ33">
        <v>8082</v>
      </c>
      <c r="WK33">
        <v>0</v>
      </c>
      <c r="WL33">
        <v>0</v>
      </c>
      <c r="WM33">
        <v>3904</v>
      </c>
      <c r="WN33">
        <v>6285</v>
      </c>
      <c r="WO33">
        <v>20135</v>
      </c>
      <c r="WP33">
        <v>27743</v>
      </c>
      <c r="WQ33">
        <v>21368</v>
      </c>
      <c r="WR33">
        <v>0</v>
      </c>
      <c r="WS33">
        <v>0</v>
      </c>
      <c r="WT33">
        <v>30474</v>
      </c>
      <c r="WU33">
        <v>3641</v>
      </c>
      <c r="WV33">
        <v>6941</v>
      </c>
      <c r="WW33">
        <v>6038</v>
      </c>
      <c r="WX33">
        <v>13538</v>
      </c>
      <c r="WY33">
        <v>925</v>
      </c>
      <c r="WZ33">
        <v>0</v>
      </c>
      <c r="XA33">
        <v>21895</v>
      </c>
      <c r="XB33">
        <v>22638</v>
      </c>
      <c r="XC33">
        <v>15283</v>
      </c>
      <c r="XD33">
        <v>1052</v>
      </c>
      <c r="XE33">
        <v>7948</v>
      </c>
      <c r="XF33">
        <v>0</v>
      </c>
      <c r="XG33">
        <v>0</v>
      </c>
      <c r="XH33">
        <v>1488</v>
      </c>
      <c r="XI33">
        <v>32417</v>
      </c>
      <c r="XJ33">
        <v>29785</v>
      </c>
      <c r="XK33">
        <v>24946</v>
      </c>
      <c r="XL33">
        <v>18655</v>
      </c>
      <c r="XM33">
        <v>0</v>
      </c>
      <c r="XN33">
        <v>0</v>
      </c>
      <c r="XO33">
        <v>352</v>
      </c>
      <c r="XP33">
        <v>19754</v>
      </c>
      <c r="XQ33">
        <v>4008</v>
      </c>
      <c r="XR33">
        <v>12013</v>
      </c>
      <c r="XS33">
        <v>11676</v>
      </c>
      <c r="XT33">
        <v>0</v>
      </c>
      <c r="XU33">
        <v>0</v>
      </c>
      <c r="XV33">
        <v>0</v>
      </c>
      <c r="XW33">
        <v>5479</v>
      </c>
      <c r="XX33">
        <v>5811</v>
      </c>
      <c r="XY33">
        <v>7072</v>
      </c>
      <c r="XZ33">
        <v>2837</v>
      </c>
      <c r="YA33">
        <v>0</v>
      </c>
      <c r="YB33">
        <v>0</v>
      </c>
      <c r="YC33">
        <v>15726</v>
      </c>
      <c r="YD33">
        <v>32192</v>
      </c>
      <c r="YE33">
        <v>28080</v>
      </c>
      <c r="YF33">
        <v>22402</v>
      </c>
      <c r="YG33">
        <v>29260</v>
      </c>
      <c r="YH33">
        <v>0</v>
      </c>
      <c r="YI33">
        <v>0</v>
      </c>
      <c r="YJ33">
        <v>8469</v>
      </c>
      <c r="YK33">
        <v>0</v>
      </c>
      <c r="YL33">
        <v>8229</v>
      </c>
      <c r="YM33">
        <v>4141</v>
      </c>
      <c r="YN33">
        <v>2180</v>
      </c>
      <c r="YO33">
        <v>0</v>
      </c>
      <c r="YP33">
        <v>0</v>
      </c>
      <c r="YQ33">
        <v>13726</v>
      </c>
      <c r="YR33">
        <v>4619</v>
      </c>
      <c r="YS33">
        <v>2018</v>
      </c>
      <c r="YT33">
        <v>4679</v>
      </c>
      <c r="YU33">
        <v>4588</v>
      </c>
      <c r="YV33">
        <v>0</v>
      </c>
      <c r="YW33">
        <v>0</v>
      </c>
      <c r="YX33">
        <v>12343</v>
      </c>
      <c r="YY33">
        <v>2452</v>
      </c>
      <c r="YZ33">
        <v>11002</v>
      </c>
      <c r="ZA33">
        <v>10705</v>
      </c>
      <c r="ZB33">
        <v>3637</v>
      </c>
      <c r="ZC33">
        <v>0</v>
      </c>
      <c r="ZD33">
        <v>0</v>
      </c>
      <c r="ZE33">
        <v>1701</v>
      </c>
      <c r="ZF33">
        <v>656</v>
      </c>
      <c r="ZG33">
        <v>12444</v>
      </c>
      <c r="ZH33">
        <v>3948</v>
      </c>
      <c r="ZI33">
        <v>13581</v>
      </c>
      <c r="ZJ33">
        <v>0</v>
      </c>
      <c r="ZK33">
        <v>0</v>
      </c>
      <c r="ZL33">
        <v>4400</v>
      </c>
      <c r="ZM33">
        <v>28707</v>
      </c>
      <c r="ZN33">
        <v>15197</v>
      </c>
      <c r="ZO33">
        <v>9705</v>
      </c>
      <c r="ZP33">
        <v>14258</v>
      </c>
      <c r="ZQ33">
        <v>0</v>
      </c>
      <c r="ZR33">
        <v>0</v>
      </c>
      <c r="ZS33">
        <v>12460</v>
      </c>
      <c r="ZT33">
        <v>6365</v>
      </c>
      <c r="ZU33">
        <v>7304</v>
      </c>
      <c r="ZV33">
        <v>3876</v>
      </c>
      <c r="ZW33">
        <v>8563</v>
      </c>
      <c r="ZX33">
        <v>0</v>
      </c>
      <c r="ZY33">
        <v>0</v>
      </c>
      <c r="ZZ33">
        <v>4752</v>
      </c>
      <c r="AAA33">
        <v>29712</v>
      </c>
      <c r="AAB33">
        <v>20548</v>
      </c>
      <c r="AAC33">
        <v>18265</v>
      </c>
      <c r="AAD33">
        <v>1838</v>
      </c>
      <c r="AAE33">
        <v>0</v>
      </c>
      <c r="AAF33">
        <v>0</v>
      </c>
      <c r="AAG33">
        <v>5593</v>
      </c>
      <c r="AAH33">
        <v>0</v>
      </c>
      <c r="AAI33">
        <v>8009</v>
      </c>
      <c r="AAJ33">
        <v>908</v>
      </c>
      <c r="AAK33">
        <v>8977</v>
      </c>
      <c r="AAL33">
        <v>12161</v>
      </c>
      <c r="AAM33">
        <v>0</v>
      </c>
      <c r="AAN33">
        <v>8776</v>
      </c>
      <c r="AAO33">
        <v>24398</v>
      </c>
      <c r="AAP33">
        <v>23562</v>
      </c>
      <c r="AAQ33">
        <v>12429</v>
      </c>
      <c r="AAR33">
        <v>13010</v>
      </c>
      <c r="AAS33">
        <v>0</v>
      </c>
      <c r="AAT33">
        <v>0</v>
      </c>
      <c r="AAU33">
        <v>0</v>
      </c>
      <c r="AAV33">
        <v>8024</v>
      </c>
      <c r="AAW33">
        <v>7940</v>
      </c>
      <c r="AAX33">
        <v>7371</v>
      </c>
      <c r="AAY33">
        <v>12502</v>
      </c>
      <c r="AAZ33">
        <v>0</v>
      </c>
      <c r="ABA33">
        <v>0</v>
      </c>
      <c r="ABB33">
        <v>12014</v>
      </c>
      <c r="ABC33">
        <v>4998</v>
      </c>
      <c r="ABD33">
        <v>7636</v>
      </c>
      <c r="ABE33">
        <v>0</v>
      </c>
      <c r="ABF33">
        <v>27488</v>
      </c>
      <c r="ABG33">
        <v>60</v>
      </c>
      <c r="ABH33">
        <v>0</v>
      </c>
      <c r="ABI33">
        <v>15869</v>
      </c>
      <c r="ABJ33">
        <v>18701</v>
      </c>
      <c r="ABK33">
        <v>172</v>
      </c>
      <c r="ABL33">
        <v>0</v>
      </c>
      <c r="ABM33">
        <v>154</v>
      </c>
      <c r="ABN33">
        <v>0</v>
      </c>
      <c r="ABO33">
        <v>0</v>
      </c>
      <c r="ABP33">
        <v>9245</v>
      </c>
      <c r="ABQ33">
        <v>15523</v>
      </c>
      <c r="ABR33">
        <v>4421</v>
      </c>
      <c r="ABS33">
        <v>6388</v>
      </c>
      <c r="ABT33">
        <v>7355</v>
      </c>
      <c r="ABU33">
        <v>0</v>
      </c>
      <c r="ABV33">
        <v>0</v>
      </c>
      <c r="ABW33">
        <v>1424</v>
      </c>
      <c r="ABX33">
        <v>6484</v>
      </c>
      <c r="ABY33">
        <v>21574</v>
      </c>
      <c r="ABZ33">
        <v>16607</v>
      </c>
      <c r="ACA33">
        <v>12870</v>
      </c>
      <c r="ACB33">
        <v>0</v>
      </c>
      <c r="ACC33">
        <v>0</v>
      </c>
      <c r="ACD33">
        <v>3796</v>
      </c>
      <c r="ACE33">
        <v>4521</v>
      </c>
      <c r="ACF33">
        <v>7920</v>
      </c>
      <c r="ACG33">
        <v>6067</v>
      </c>
      <c r="ACH33">
        <v>5404</v>
      </c>
      <c r="ACI33">
        <v>0</v>
      </c>
      <c r="ACJ33">
        <v>0</v>
      </c>
      <c r="ACK33">
        <v>18742</v>
      </c>
      <c r="ACL33">
        <v>31071</v>
      </c>
      <c r="ACM33">
        <v>86</v>
      </c>
      <c r="ACN33">
        <v>0</v>
      </c>
      <c r="ACO33">
        <v>207</v>
      </c>
      <c r="ACP33">
        <v>2828</v>
      </c>
      <c r="ACQ33">
        <v>5697</v>
      </c>
      <c r="ACR33">
        <v>2828</v>
      </c>
      <c r="ACS33">
        <v>5697</v>
      </c>
      <c r="ACT33">
        <v>9744</v>
      </c>
      <c r="ACU33">
        <v>6359</v>
      </c>
      <c r="ACV33">
        <v>0</v>
      </c>
      <c r="ACW33">
        <v>0</v>
      </c>
      <c r="ACX33">
        <v>0</v>
      </c>
      <c r="ACY33">
        <v>586</v>
      </c>
      <c r="ACZ33">
        <v>23151</v>
      </c>
      <c r="ADA33">
        <v>909</v>
      </c>
      <c r="ADB33">
        <v>6637</v>
      </c>
      <c r="ADC33">
        <v>7029</v>
      </c>
      <c r="ADD33">
        <v>0</v>
      </c>
      <c r="ADE33">
        <v>0</v>
      </c>
      <c r="ADF33">
        <v>3010</v>
      </c>
      <c r="ADG33">
        <v>16905</v>
      </c>
      <c r="ADH33">
        <v>6462</v>
      </c>
      <c r="ADI33">
        <v>9055</v>
      </c>
      <c r="ADJ33">
        <v>13764</v>
      </c>
      <c r="ADK33">
        <v>0</v>
      </c>
      <c r="ADL33">
        <v>0</v>
      </c>
      <c r="ADM33">
        <v>0</v>
      </c>
      <c r="ADN33">
        <v>2293</v>
      </c>
      <c r="ADO33">
        <v>2293</v>
      </c>
      <c r="ADP33">
        <v>2293</v>
      </c>
      <c r="ADQ33">
        <v>2293</v>
      </c>
      <c r="ADR33">
        <v>2290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1187</v>
      </c>
      <c r="ADY33">
        <v>0</v>
      </c>
      <c r="ADZ33">
        <v>0</v>
      </c>
      <c r="AEA33">
        <v>3684</v>
      </c>
      <c r="AEB33">
        <v>1406</v>
      </c>
      <c r="AEC33">
        <v>23474</v>
      </c>
      <c r="AED33">
        <v>19038</v>
      </c>
      <c r="AEE33">
        <v>34084</v>
      </c>
      <c r="AEF33">
        <v>0</v>
      </c>
      <c r="AEG33">
        <v>0</v>
      </c>
      <c r="AEH33">
        <v>23451</v>
      </c>
      <c r="AEI33">
        <v>26813</v>
      </c>
      <c r="AEJ33">
        <v>9593</v>
      </c>
      <c r="AEK33">
        <v>5189</v>
      </c>
      <c r="AEL33">
        <v>5424</v>
      </c>
      <c r="AEM33">
        <v>0</v>
      </c>
      <c r="AEN33">
        <v>0</v>
      </c>
      <c r="AEO33">
        <v>14450</v>
      </c>
      <c r="AEP33">
        <v>14967</v>
      </c>
      <c r="AEQ33">
        <v>12847</v>
      </c>
      <c r="AER33">
        <v>6683</v>
      </c>
      <c r="AES33">
        <v>6683</v>
      </c>
      <c r="AET33">
        <v>0</v>
      </c>
      <c r="AEU33">
        <v>0</v>
      </c>
      <c r="AEV33">
        <v>4773</v>
      </c>
      <c r="AEW33">
        <v>4773</v>
      </c>
      <c r="AEX33">
        <v>9546</v>
      </c>
      <c r="AEY33">
        <v>4764</v>
      </c>
      <c r="AEZ33">
        <v>9546</v>
      </c>
      <c r="AFA33">
        <v>0</v>
      </c>
      <c r="AFB33">
        <v>0</v>
      </c>
      <c r="AFC33">
        <v>0</v>
      </c>
      <c r="AFD33">
        <v>16816</v>
      </c>
      <c r="AFE33">
        <v>16596</v>
      </c>
      <c r="AFF33">
        <v>10905</v>
      </c>
      <c r="AFG33">
        <v>5910</v>
      </c>
      <c r="AFH33">
        <v>0</v>
      </c>
      <c r="AFI33">
        <v>0</v>
      </c>
      <c r="AFJ33">
        <v>6917</v>
      </c>
      <c r="AFK33">
        <v>12191</v>
      </c>
      <c r="AFL33">
        <v>12358</v>
      </c>
      <c r="AFM33">
        <v>6169</v>
      </c>
      <c r="AFN33">
        <v>2308</v>
      </c>
      <c r="AFO33">
        <v>0</v>
      </c>
      <c r="AFP33">
        <v>0</v>
      </c>
      <c r="AFQ33">
        <v>8825</v>
      </c>
      <c r="AFR33">
        <v>3023</v>
      </c>
      <c r="AFS33">
        <v>9284</v>
      </c>
      <c r="AFT33">
        <v>6652</v>
      </c>
      <c r="AFU33">
        <v>9852</v>
      </c>
      <c r="AGD33">
        <v>0</v>
      </c>
      <c r="AGE33">
        <v>5990</v>
      </c>
      <c r="AGF33">
        <v>0</v>
      </c>
      <c r="AGG33">
        <v>23336</v>
      </c>
      <c r="AGH33">
        <v>18916</v>
      </c>
      <c r="AGI33">
        <v>12552</v>
      </c>
      <c r="AGJ33">
        <v>0</v>
      </c>
      <c r="AGK33">
        <v>0</v>
      </c>
      <c r="AGL33">
        <v>23341</v>
      </c>
      <c r="AGM33">
        <v>14020</v>
      </c>
      <c r="AGN33">
        <v>22314</v>
      </c>
      <c r="AGO33">
        <v>10003</v>
      </c>
      <c r="AGP33">
        <v>10599</v>
      </c>
      <c r="AGQ33">
        <v>0</v>
      </c>
      <c r="AGS33">
        <v>5198</v>
      </c>
      <c r="AGT33">
        <v>5682</v>
      </c>
      <c r="AGU33">
        <v>13345</v>
      </c>
      <c r="AGV33">
        <v>9082</v>
      </c>
      <c r="AGW33">
        <v>9704</v>
      </c>
      <c r="AHI33">
        <v>1309</v>
      </c>
      <c r="AHJ33">
        <v>769</v>
      </c>
      <c r="AHK33">
        <v>13220</v>
      </c>
      <c r="AHL33">
        <v>3179</v>
      </c>
      <c r="AHM33">
        <v>0</v>
      </c>
      <c r="AHN33">
        <v>0</v>
      </c>
      <c r="AHO33">
        <v>21828</v>
      </c>
      <c r="AHP33">
        <v>15140</v>
      </c>
      <c r="AHQ33">
        <v>22854</v>
      </c>
      <c r="AHR33">
        <v>29349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4395</v>
      </c>
      <c r="AHY33">
        <v>12086</v>
      </c>
      <c r="AHZ33">
        <v>0</v>
      </c>
      <c r="AIA33">
        <v>0</v>
      </c>
      <c r="AIB33">
        <v>3336</v>
      </c>
      <c r="AIC33">
        <v>13778</v>
      </c>
      <c r="AID33">
        <v>13699</v>
      </c>
      <c r="AIE33">
        <v>9297</v>
      </c>
      <c r="AIF33">
        <v>26345</v>
      </c>
      <c r="AIG33">
        <v>0</v>
      </c>
      <c r="AIH33">
        <v>0</v>
      </c>
      <c r="AII33">
        <v>26342</v>
      </c>
      <c r="AIM33">
        <v>0</v>
      </c>
      <c r="AIN33">
        <v>0</v>
      </c>
      <c r="AIO33">
        <v>0</v>
      </c>
      <c r="AIP33">
        <v>0</v>
      </c>
      <c r="AIQ33">
        <v>14119</v>
      </c>
      <c r="AIR33">
        <v>8902</v>
      </c>
      <c r="AIS33">
        <v>9494</v>
      </c>
      <c r="AIT33">
        <v>28609</v>
      </c>
      <c r="AIU33">
        <v>0</v>
      </c>
      <c r="AIV33">
        <v>0</v>
      </c>
      <c r="AIW33">
        <v>16005</v>
      </c>
      <c r="AIX33">
        <v>22426</v>
      </c>
      <c r="AIY33">
        <v>6627</v>
      </c>
      <c r="AIZ33">
        <v>4344</v>
      </c>
      <c r="AJA33">
        <v>17763</v>
      </c>
      <c r="AJB33">
        <v>0</v>
      </c>
      <c r="AJC33">
        <v>0</v>
      </c>
      <c r="AJD33">
        <v>7037</v>
      </c>
      <c r="AJE33">
        <v>14840</v>
      </c>
      <c r="AJF33">
        <v>18153</v>
      </c>
      <c r="AJG33">
        <v>1680</v>
      </c>
      <c r="AJH33">
        <v>18754</v>
      </c>
      <c r="AJI33">
        <v>8308</v>
      </c>
      <c r="AJJ33">
        <v>0</v>
      </c>
      <c r="AJK33">
        <v>32444</v>
      </c>
      <c r="AJL33">
        <v>24624</v>
      </c>
      <c r="AJM33">
        <v>10592</v>
      </c>
      <c r="AJN33">
        <v>1017</v>
      </c>
      <c r="AJO33">
        <v>5869</v>
      </c>
      <c r="AJP33">
        <v>0</v>
      </c>
      <c r="AJQ33">
        <v>0</v>
      </c>
      <c r="AJR33">
        <v>0</v>
      </c>
      <c r="AJS33">
        <v>2046</v>
      </c>
      <c r="AJT33">
        <v>0</v>
      </c>
      <c r="AJU33">
        <v>9037</v>
      </c>
      <c r="AJV33">
        <v>20314</v>
      </c>
      <c r="AJW33">
        <v>0</v>
      </c>
      <c r="AJX33">
        <v>0</v>
      </c>
      <c r="AJY33">
        <v>16661</v>
      </c>
      <c r="AJZ33">
        <v>4658</v>
      </c>
      <c r="AKA33">
        <v>12318</v>
      </c>
      <c r="AKB33">
        <v>6658</v>
      </c>
      <c r="AKC33">
        <v>29698</v>
      </c>
    </row>
    <row r="34" spans="1:973">
      <c r="A34">
        <v>3</v>
      </c>
      <c r="B34" s="132" t="s">
        <v>77</v>
      </c>
      <c r="C34" s="1">
        <v>82308</v>
      </c>
      <c r="D34" s="1" t="s">
        <v>8</v>
      </c>
      <c r="E34" s="1" t="s">
        <v>78</v>
      </c>
      <c r="F34" s="1" t="s">
        <v>31</v>
      </c>
      <c r="G34" s="1" t="s">
        <v>33</v>
      </c>
      <c r="H34" s="1" t="s">
        <v>21</v>
      </c>
      <c r="I34" s="1" t="s">
        <v>14</v>
      </c>
      <c r="J34" s="32" t="s">
        <v>15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  <c r="P34" s="23">
        <v>0</v>
      </c>
      <c r="Q34" s="23">
        <v>41</v>
      </c>
      <c r="R34" s="23">
        <v>0</v>
      </c>
      <c r="S34" s="23">
        <v>4</v>
      </c>
      <c r="T34" s="23">
        <v>0</v>
      </c>
      <c r="U34" s="23">
        <v>24</v>
      </c>
      <c r="V34" s="23">
        <v>0</v>
      </c>
      <c r="W34" s="23">
        <v>69</v>
      </c>
      <c r="X34" s="23">
        <v>0</v>
      </c>
      <c r="Y34" s="23">
        <v>79</v>
      </c>
      <c r="Z34" s="23">
        <v>64</v>
      </c>
      <c r="AA34" s="23">
        <v>27</v>
      </c>
      <c r="AB34" s="23">
        <v>94</v>
      </c>
      <c r="AC34" s="23">
        <v>0</v>
      </c>
      <c r="AD34" s="23">
        <v>0</v>
      </c>
      <c r="AE34" s="23">
        <v>12</v>
      </c>
      <c r="AF34" s="23">
        <v>47</v>
      </c>
      <c r="AG34" s="23">
        <v>46</v>
      </c>
      <c r="AH34" s="23">
        <v>8</v>
      </c>
      <c r="AI34" s="23">
        <v>0</v>
      </c>
      <c r="AJ34" s="23">
        <v>0</v>
      </c>
      <c r="AK34" s="23">
        <v>0</v>
      </c>
      <c r="AL34" s="23">
        <v>0</v>
      </c>
      <c r="AM34" s="23">
        <v>39</v>
      </c>
      <c r="AN34" s="23">
        <v>0</v>
      </c>
      <c r="AO34" s="23">
        <v>0</v>
      </c>
      <c r="AP34" s="23">
        <v>0</v>
      </c>
      <c r="AQ34" s="23">
        <v>0</v>
      </c>
      <c r="AR34" s="23">
        <v>0</v>
      </c>
      <c r="AS34" s="23">
        <v>0</v>
      </c>
      <c r="AT34" s="23">
        <v>45</v>
      </c>
      <c r="AU34" s="23">
        <v>54</v>
      </c>
      <c r="AV34" s="23">
        <v>0</v>
      </c>
      <c r="AW34" s="23">
        <v>0</v>
      </c>
      <c r="AX34" s="23">
        <v>0</v>
      </c>
      <c r="AY34" s="23">
        <v>27</v>
      </c>
      <c r="AZ34" s="23">
        <v>0</v>
      </c>
      <c r="BA34" s="23">
        <v>0</v>
      </c>
      <c r="BB34" s="23">
        <v>18</v>
      </c>
      <c r="BC34" s="23">
        <v>0</v>
      </c>
      <c r="BD34" s="23">
        <v>0</v>
      </c>
      <c r="BE34" s="23">
        <v>0</v>
      </c>
      <c r="BF34" s="23">
        <v>0</v>
      </c>
      <c r="BG34" s="23">
        <v>3</v>
      </c>
      <c r="BH34" s="23">
        <v>9</v>
      </c>
      <c r="BI34" s="23">
        <v>3</v>
      </c>
      <c r="BJ34" s="23">
        <v>2</v>
      </c>
      <c r="BK34" s="23">
        <v>0</v>
      </c>
      <c r="BL34" s="23">
        <v>0</v>
      </c>
      <c r="BM34" s="23">
        <v>83</v>
      </c>
      <c r="BN34" s="23">
        <v>0</v>
      </c>
      <c r="BO34" s="23">
        <v>0</v>
      </c>
      <c r="BP34" s="23">
        <v>0</v>
      </c>
      <c r="BQ34" s="23">
        <v>0</v>
      </c>
      <c r="BR34" s="23">
        <v>0</v>
      </c>
      <c r="BS34" s="23">
        <v>0</v>
      </c>
      <c r="BT34" s="23">
        <v>0</v>
      </c>
      <c r="BU34" s="23">
        <v>0</v>
      </c>
      <c r="BV34" s="23">
        <v>0</v>
      </c>
      <c r="BW34" s="23">
        <v>0</v>
      </c>
      <c r="BX34" s="23">
        <v>0</v>
      </c>
      <c r="BY34" s="23">
        <v>0</v>
      </c>
      <c r="BZ34" s="23">
        <v>0</v>
      </c>
      <c r="CA34" s="23">
        <v>0</v>
      </c>
      <c r="CB34" s="23">
        <v>0</v>
      </c>
      <c r="CC34" s="23">
        <v>14</v>
      </c>
      <c r="CD34" s="23">
        <v>12</v>
      </c>
      <c r="CE34" s="23">
        <v>0</v>
      </c>
      <c r="CF34" s="23">
        <v>0</v>
      </c>
      <c r="CG34" s="23">
        <v>0</v>
      </c>
      <c r="CH34" s="23">
        <v>0</v>
      </c>
      <c r="CI34" s="23">
        <v>0</v>
      </c>
      <c r="CJ34" s="23">
        <v>0</v>
      </c>
      <c r="CK34" s="23">
        <v>3</v>
      </c>
      <c r="CL34" s="23">
        <v>5</v>
      </c>
      <c r="CM34" s="23">
        <v>0</v>
      </c>
      <c r="CN34" s="23">
        <v>0</v>
      </c>
      <c r="CO34" s="23">
        <v>0</v>
      </c>
      <c r="CP34" s="23">
        <v>12</v>
      </c>
      <c r="CQ34" s="23">
        <v>10</v>
      </c>
      <c r="CR34" s="23">
        <v>0</v>
      </c>
      <c r="CS34" s="23">
        <v>41</v>
      </c>
      <c r="CT34" s="23">
        <v>84</v>
      </c>
      <c r="CU34">
        <v>0</v>
      </c>
      <c r="CV34">
        <v>0</v>
      </c>
      <c r="CW34">
        <v>31</v>
      </c>
      <c r="CX34">
        <v>43</v>
      </c>
      <c r="CY34">
        <v>13</v>
      </c>
      <c r="CZ34">
        <v>0</v>
      </c>
      <c r="DA34">
        <v>68</v>
      </c>
      <c r="DB34">
        <v>0</v>
      </c>
      <c r="DC34">
        <v>78</v>
      </c>
      <c r="DD34">
        <v>0</v>
      </c>
      <c r="DE34">
        <v>0</v>
      </c>
      <c r="DF34">
        <v>1</v>
      </c>
      <c r="DG34">
        <v>116</v>
      </c>
      <c r="DH34">
        <v>0</v>
      </c>
      <c r="DI34">
        <v>0</v>
      </c>
      <c r="DJ34">
        <v>7</v>
      </c>
      <c r="DK34">
        <v>30</v>
      </c>
      <c r="DL34">
        <v>6</v>
      </c>
      <c r="DM34">
        <v>0</v>
      </c>
      <c r="DN34">
        <v>69</v>
      </c>
      <c r="DO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19</v>
      </c>
      <c r="EF34">
        <v>53</v>
      </c>
      <c r="EG34">
        <v>0</v>
      </c>
      <c r="EH34">
        <v>0</v>
      </c>
      <c r="EI34">
        <v>26</v>
      </c>
      <c r="EJ34">
        <v>0</v>
      </c>
      <c r="EK34">
        <v>0</v>
      </c>
      <c r="EL34">
        <v>51</v>
      </c>
      <c r="EM34">
        <v>70</v>
      </c>
      <c r="EN34">
        <v>30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52</v>
      </c>
      <c r="FO34">
        <v>56</v>
      </c>
      <c r="FP34">
        <v>11</v>
      </c>
      <c r="FQ34">
        <v>0</v>
      </c>
      <c r="FR34">
        <v>76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20</v>
      </c>
      <c r="GC34">
        <v>20</v>
      </c>
      <c r="GD34">
        <v>20</v>
      </c>
      <c r="GE34">
        <v>26</v>
      </c>
      <c r="GF34">
        <v>0</v>
      </c>
      <c r="GG34">
        <v>0</v>
      </c>
      <c r="GH34">
        <v>0</v>
      </c>
      <c r="GI34" s="33">
        <v>0</v>
      </c>
      <c r="GJ34" s="33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49</v>
      </c>
      <c r="GX34">
        <v>0</v>
      </c>
      <c r="GY34">
        <v>35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333</v>
      </c>
      <c r="HM34">
        <v>0</v>
      </c>
      <c r="HN34">
        <v>0</v>
      </c>
      <c r="HO34">
        <v>0</v>
      </c>
      <c r="HP34">
        <v>22</v>
      </c>
      <c r="HQ34">
        <v>0</v>
      </c>
      <c r="HR34">
        <v>0</v>
      </c>
      <c r="HS34">
        <v>0</v>
      </c>
      <c r="HT34">
        <v>12</v>
      </c>
      <c r="HU34">
        <v>0</v>
      </c>
      <c r="HV34">
        <v>0</v>
      </c>
      <c r="HW34">
        <v>72</v>
      </c>
      <c r="HX34">
        <v>0</v>
      </c>
      <c r="HY34">
        <v>0</v>
      </c>
      <c r="HZ34">
        <v>81</v>
      </c>
      <c r="IA34">
        <v>1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18</v>
      </c>
      <c r="II34">
        <v>0</v>
      </c>
      <c r="IJ34">
        <v>0</v>
      </c>
      <c r="IK34">
        <v>5</v>
      </c>
      <c r="IL34">
        <v>0</v>
      </c>
      <c r="IM34">
        <v>0</v>
      </c>
      <c r="IN34">
        <v>55</v>
      </c>
      <c r="IO34">
        <v>56</v>
      </c>
      <c r="IP34">
        <v>0</v>
      </c>
      <c r="IQ34">
        <v>11</v>
      </c>
      <c r="IR34">
        <v>0</v>
      </c>
      <c r="IS34">
        <v>0</v>
      </c>
      <c r="IT34">
        <v>3</v>
      </c>
      <c r="IU34">
        <v>0</v>
      </c>
      <c r="IV34">
        <v>0</v>
      </c>
      <c r="IW34">
        <v>9</v>
      </c>
      <c r="IX34">
        <v>30</v>
      </c>
      <c r="IY34">
        <v>0</v>
      </c>
      <c r="IZ34">
        <v>0</v>
      </c>
      <c r="JA34">
        <v>0</v>
      </c>
      <c r="JB34">
        <v>0</v>
      </c>
      <c r="JC34">
        <v>27</v>
      </c>
      <c r="JD34">
        <v>104</v>
      </c>
      <c r="JE34">
        <v>34</v>
      </c>
      <c r="JF34">
        <v>0</v>
      </c>
      <c r="JG34">
        <v>0</v>
      </c>
      <c r="JH34">
        <v>0</v>
      </c>
      <c r="JI34">
        <v>7</v>
      </c>
      <c r="JJ34">
        <v>0</v>
      </c>
      <c r="JK34">
        <v>27</v>
      </c>
      <c r="JL34">
        <v>0</v>
      </c>
      <c r="JM34">
        <v>0</v>
      </c>
      <c r="JN34">
        <v>0</v>
      </c>
      <c r="JO34">
        <v>30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687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316</v>
      </c>
      <c r="MH34">
        <v>65</v>
      </c>
      <c r="MI34">
        <v>39</v>
      </c>
      <c r="MJ34">
        <v>0</v>
      </c>
      <c r="MK34">
        <v>0</v>
      </c>
      <c r="ML34">
        <v>74</v>
      </c>
      <c r="MM34">
        <v>0</v>
      </c>
      <c r="MN34">
        <v>61</v>
      </c>
      <c r="MO34">
        <v>3</v>
      </c>
      <c r="MP34">
        <v>0</v>
      </c>
      <c r="MQ34">
        <v>32</v>
      </c>
      <c r="MR34">
        <v>50</v>
      </c>
      <c r="MS34">
        <v>4</v>
      </c>
      <c r="MT34">
        <v>0</v>
      </c>
      <c r="MU34">
        <v>0</v>
      </c>
      <c r="MV34">
        <v>63</v>
      </c>
      <c r="MW34">
        <v>0</v>
      </c>
      <c r="MX34">
        <v>0</v>
      </c>
      <c r="MY34">
        <v>96</v>
      </c>
      <c r="MZ34">
        <v>0</v>
      </c>
      <c r="NA34">
        <v>0</v>
      </c>
      <c r="NB34">
        <v>0</v>
      </c>
      <c r="NC34">
        <v>5</v>
      </c>
      <c r="ND34">
        <v>0</v>
      </c>
      <c r="NE34">
        <v>86</v>
      </c>
      <c r="NF34">
        <v>33</v>
      </c>
      <c r="NG34">
        <v>0</v>
      </c>
      <c r="NH34">
        <v>0</v>
      </c>
      <c r="NI34">
        <v>0</v>
      </c>
      <c r="NJ34">
        <v>0</v>
      </c>
      <c r="NK34" s="51">
        <v>0</v>
      </c>
      <c r="NL34" s="51">
        <v>0</v>
      </c>
      <c r="NM34" s="51"/>
      <c r="NN34" s="51">
        <v>35</v>
      </c>
      <c r="NO34" s="51"/>
      <c r="NP34" s="18">
        <v>8</v>
      </c>
      <c r="NS34">
        <v>14</v>
      </c>
      <c r="NU34">
        <v>105</v>
      </c>
      <c r="NW34">
        <v>35</v>
      </c>
      <c r="NY34">
        <v>77</v>
      </c>
      <c r="OA34">
        <v>94</v>
      </c>
      <c r="OD34">
        <v>30</v>
      </c>
      <c r="OI34">
        <v>133</v>
      </c>
      <c r="OL34">
        <v>33</v>
      </c>
      <c r="OP34">
        <v>75</v>
      </c>
      <c r="OS34">
        <v>29</v>
      </c>
      <c r="OV34">
        <v>20</v>
      </c>
      <c r="OW34">
        <v>17</v>
      </c>
      <c r="PB34">
        <v>35</v>
      </c>
      <c r="PC34">
        <v>0</v>
      </c>
      <c r="PD34">
        <v>0</v>
      </c>
      <c r="PF34">
        <v>30</v>
      </c>
      <c r="PH34">
        <v>44</v>
      </c>
      <c r="PI34">
        <v>23</v>
      </c>
      <c r="PM34">
        <v>13</v>
      </c>
      <c r="PN34">
        <v>0</v>
      </c>
      <c r="PO34">
        <v>1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X34">
        <v>6</v>
      </c>
      <c r="PY34">
        <v>0</v>
      </c>
      <c r="PZ34">
        <v>0</v>
      </c>
      <c r="QA34">
        <v>0</v>
      </c>
      <c r="QB34">
        <v>0</v>
      </c>
      <c r="QC34">
        <v>34</v>
      </c>
      <c r="QD34">
        <v>0</v>
      </c>
      <c r="QE34">
        <v>0</v>
      </c>
      <c r="QF34">
        <v>6</v>
      </c>
      <c r="QG34">
        <v>0</v>
      </c>
      <c r="QH34">
        <v>19</v>
      </c>
      <c r="QI34">
        <v>28</v>
      </c>
      <c r="QJ34">
        <v>0</v>
      </c>
      <c r="QK34">
        <v>0</v>
      </c>
      <c r="QL34">
        <v>46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48</v>
      </c>
      <c r="QS34">
        <v>0</v>
      </c>
      <c r="QT34">
        <v>30</v>
      </c>
      <c r="QU34">
        <v>0</v>
      </c>
      <c r="QV34">
        <v>19</v>
      </c>
      <c r="QW34">
        <v>35</v>
      </c>
      <c r="QX34">
        <v>56</v>
      </c>
      <c r="QZ34">
        <v>12</v>
      </c>
      <c r="RA34">
        <v>25</v>
      </c>
      <c r="RB34">
        <v>0</v>
      </c>
      <c r="RC34">
        <v>0</v>
      </c>
      <c r="RD34">
        <v>26</v>
      </c>
      <c r="RE34">
        <v>0</v>
      </c>
      <c r="RF34">
        <v>69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76</v>
      </c>
      <c r="RM34">
        <v>23</v>
      </c>
      <c r="RN34">
        <v>80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99</v>
      </c>
      <c r="SB34">
        <v>0</v>
      </c>
      <c r="SC34">
        <v>0</v>
      </c>
      <c r="SD34">
        <v>0</v>
      </c>
      <c r="SE34">
        <v>0</v>
      </c>
      <c r="SF34">
        <v>79</v>
      </c>
      <c r="SG34">
        <v>42</v>
      </c>
      <c r="SH34">
        <v>118</v>
      </c>
      <c r="SI34">
        <v>0</v>
      </c>
      <c r="SJ34">
        <v>0</v>
      </c>
      <c r="SK34">
        <v>0</v>
      </c>
      <c r="SL34">
        <v>71</v>
      </c>
      <c r="SM34">
        <v>0</v>
      </c>
      <c r="SN34">
        <v>95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62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173</v>
      </c>
      <c r="TC34">
        <v>0</v>
      </c>
      <c r="TD34">
        <v>9</v>
      </c>
      <c r="TE34">
        <v>50</v>
      </c>
      <c r="TF34">
        <v>0</v>
      </c>
      <c r="TG34">
        <v>6</v>
      </c>
      <c r="TH34">
        <v>0</v>
      </c>
      <c r="TI34">
        <v>4</v>
      </c>
      <c r="TJ34">
        <v>2</v>
      </c>
      <c r="TK34">
        <v>3</v>
      </c>
      <c r="TL34">
        <v>5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121</v>
      </c>
      <c r="UG34">
        <v>0</v>
      </c>
      <c r="UH34">
        <v>0</v>
      </c>
      <c r="UI34">
        <v>0</v>
      </c>
      <c r="UJ34">
        <v>120</v>
      </c>
      <c r="UK34">
        <v>0</v>
      </c>
      <c r="UL34">
        <v>0</v>
      </c>
      <c r="UM34">
        <v>156</v>
      </c>
      <c r="UN34">
        <v>0</v>
      </c>
      <c r="UO34">
        <v>0</v>
      </c>
      <c r="UP34">
        <v>0</v>
      </c>
      <c r="UQ34">
        <v>30</v>
      </c>
      <c r="UR34">
        <v>0</v>
      </c>
      <c r="US34">
        <v>0</v>
      </c>
      <c r="UT34">
        <v>0</v>
      </c>
      <c r="UU34">
        <v>17</v>
      </c>
      <c r="UV34">
        <v>0</v>
      </c>
      <c r="UW34">
        <v>0</v>
      </c>
      <c r="UX34">
        <v>181</v>
      </c>
      <c r="UY34">
        <v>28</v>
      </c>
      <c r="UZ34">
        <v>131</v>
      </c>
      <c r="VA34">
        <v>35</v>
      </c>
      <c r="VB34">
        <v>57</v>
      </c>
      <c r="VC34">
        <v>0</v>
      </c>
      <c r="VD34">
        <v>0</v>
      </c>
      <c r="VE34">
        <v>18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10</v>
      </c>
      <c r="VM34">
        <v>93</v>
      </c>
      <c r="VN34">
        <v>19</v>
      </c>
      <c r="VO34">
        <v>0</v>
      </c>
      <c r="VP34">
        <v>56</v>
      </c>
      <c r="VQ34">
        <v>0</v>
      </c>
      <c r="VR34">
        <v>0</v>
      </c>
      <c r="VS34">
        <v>0</v>
      </c>
      <c r="VT34">
        <v>22</v>
      </c>
      <c r="VU34">
        <v>0</v>
      </c>
      <c r="VV34">
        <v>4</v>
      </c>
      <c r="VW34">
        <v>0</v>
      </c>
      <c r="VX34">
        <v>0</v>
      </c>
      <c r="VY34">
        <v>0</v>
      </c>
      <c r="VZ34">
        <v>94</v>
      </c>
      <c r="WA34">
        <v>0</v>
      </c>
      <c r="WB34">
        <v>0</v>
      </c>
      <c r="WC34">
        <v>26</v>
      </c>
      <c r="WD34">
        <v>0</v>
      </c>
      <c r="WE34">
        <v>0</v>
      </c>
      <c r="WF34">
        <v>10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36</v>
      </c>
      <c r="WO34">
        <v>27</v>
      </c>
      <c r="WP34">
        <v>0</v>
      </c>
      <c r="WQ34">
        <v>0</v>
      </c>
      <c r="WR34">
        <v>2</v>
      </c>
      <c r="WS34">
        <v>0</v>
      </c>
      <c r="WT34">
        <v>46</v>
      </c>
      <c r="WU34">
        <v>93</v>
      </c>
      <c r="WV34">
        <v>134</v>
      </c>
      <c r="WW34">
        <v>5</v>
      </c>
      <c r="WX34">
        <v>0</v>
      </c>
      <c r="WY34">
        <v>93</v>
      </c>
      <c r="WZ34">
        <v>0</v>
      </c>
      <c r="XA34">
        <v>0</v>
      </c>
      <c r="XB34">
        <v>5</v>
      </c>
      <c r="XC34">
        <v>0</v>
      </c>
      <c r="XD34">
        <v>69</v>
      </c>
      <c r="XE34">
        <v>13</v>
      </c>
      <c r="XF34">
        <v>61</v>
      </c>
      <c r="XG34">
        <v>0</v>
      </c>
      <c r="XH34">
        <v>0</v>
      </c>
      <c r="XI34">
        <v>26</v>
      </c>
      <c r="XJ34">
        <v>21</v>
      </c>
      <c r="XK34">
        <v>6</v>
      </c>
      <c r="XL34">
        <v>14</v>
      </c>
      <c r="XM34">
        <v>50</v>
      </c>
      <c r="XN34">
        <v>0</v>
      </c>
      <c r="XO34">
        <v>0</v>
      </c>
      <c r="XP34">
        <v>40</v>
      </c>
      <c r="XQ34">
        <v>17</v>
      </c>
      <c r="XR34">
        <v>29</v>
      </c>
      <c r="XS34">
        <v>60</v>
      </c>
      <c r="XT34">
        <v>70</v>
      </c>
      <c r="XU34">
        <v>0</v>
      </c>
      <c r="XV34">
        <v>0</v>
      </c>
      <c r="XW34">
        <v>39</v>
      </c>
      <c r="XX34">
        <v>6</v>
      </c>
      <c r="XY34">
        <v>58</v>
      </c>
      <c r="XZ34">
        <v>15</v>
      </c>
      <c r="YA34">
        <v>0</v>
      </c>
      <c r="YB34">
        <v>0</v>
      </c>
      <c r="YC34">
        <v>25</v>
      </c>
      <c r="YD34">
        <v>36</v>
      </c>
      <c r="YE34">
        <v>0</v>
      </c>
      <c r="YF34">
        <v>0</v>
      </c>
      <c r="YG34">
        <v>13</v>
      </c>
      <c r="YH34">
        <v>20</v>
      </c>
      <c r="YI34">
        <v>0</v>
      </c>
      <c r="YJ34">
        <v>10</v>
      </c>
      <c r="YK34">
        <v>0</v>
      </c>
      <c r="YL34">
        <v>0</v>
      </c>
      <c r="YM34">
        <v>18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15</v>
      </c>
      <c r="YT34">
        <v>0</v>
      </c>
      <c r="YU34">
        <v>37</v>
      </c>
      <c r="YV34">
        <v>11</v>
      </c>
      <c r="YW34">
        <v>0</v>
      </c>
      <c r="YX34">
        <v>62</v>
      </c>
      <c r="YY34">
        <v>71</v>
      </c>
      <c r="YZ34">
        <v>12</v>
      </c>
      <c r="ZA34">
        <v>27</v>
      </c>
      <c r="ZB34">
        <v>29</v>
      </c>
      <c r="ZC34">
        <v>0</v>
      </c>
      <c r="ZD34">
        <v>0</v>
      </c>
      <c r="ZE34">
        <v>16</v>
      </c>
      <c r="ZF34">
        <v>8</v>
      </c>
      <c r="ZG34">
        <v>59</v>
      </c>
      <c r="ZH34">
        <v>68</v>
      </c>
      <c r="ZI34">
        <v>10</v>
      </c>
      <c r="ZJ34">
        <v>5</v>
      </c>
      <c r="ZK34">
        <v>0</v>
      </c>
      <c r="ZL34">
        <v>0</v>
      </c>
      <c r="ZM34">
        <v>0</v>
      </c>
      <c r="ZN34">
        <v>17</v>
      </c>
      <c r="ZO34">
        <v>63</v>
      </c>
      <c r="ZP34">
        <v>36</v>
      </c>
      <c r="ZQ34">
        <v>4</v>
      </c>
      <c r="ZR34">
        <v>0</v>
      </c>
      <c r="ZS34">
        <v>0</v>
      </c>
      <c r="ZT34">
        <v>19</v>
      </c>
      <c r="ZU34">
        <v>26</v>
      </c>
      <c r="ZV34">
        <v>0</v>
      </c>
      <c r="ZW34">
        <v>3</v>
      </c>
      <c r="ZX34">
        <v>17</v>
      </c>
      <c r="ZY34">
        <v>0</v>
      </c>
      <c r="ZZ34">
        <v>32</v>
      </c>
      <c r="AAA34">
        <v>18</v>
      </c>
      <c r="AAB34">
        <v>14</v>
      </c>
      <c r="AAC34">
        <v>24</v>
      </c>
      <c r="AAD34">
        <v>28</v>
      </c>
      <c r="AAE34">
        <v>65</v>
      </c>
      <c r="AAF34">
        <v>0</v>
      </c>
      <c r="AAG34">
        <v>3</v>
      </c>
      <c r="AAH34">
        <v>17</v>
      </c>
      <c r="AAI34">
        <v>2</v>
      </c>
      <c r="AAJ34">
        <v>0</v>
      </c>
      <c r="AAK34">
        <v>0</v>
      </c>
      <c r="AAL34">
        <v>0</v>
      </c>
      <c r="AAM34">
        <v>0</v>
      </c>
      <c r="AAN34">
        <v>20</v>
      </c>
      <c r="AAO34">
        <v>0</v>
      </c>
      <c r="AAP34">
        <v>21</v>
      </c>
      <c r="AAQ34">
        <v>48</v>
      </c>
      <c r="AAR34">
        <v>35</v>
      </c>
      <c r="AAS34">
        <v>19</v>
      </c>
      <c r="AAT34">
        <v>0</v>
      </c>
      <c r="AAU34">
        <v>0</v>
      </c>
      <c r="AAV34">
        <v>61</v>
      </c>
      <c r="AAW34">
        <v>0</v>
      </c>
      <c r="AAX34">
        <v>10</v>
      </c>
      <c r="AAY34">
        <v>10</v>
      </c>
      <c r="AAZ34">
        <v>9</v>
      </c>
      <c r="ABA34">
        <v>0</v>
      </c>
      <c r="ABB34">
        <v>19</v>
      </c>
      <c r="ABC34">
        <v>10</v>
      </c>
      <c r="ABD34">
        <v>0</v>
      </c>
      <c r="ABE34">
        <v>0</v>
      </c>
      <c r="ABF34">
        <v>87</v>
      </c>
      <c r="ABG34">
        <v>0</v>
      </c>
      <c r="ABH34">
        <v>0</v>
      </c>
      <c r="ABI34">
        <v>18</v>
      </c>
      <c r="ABJ34">
        <v>20</v>
      </c>
      <c r="ABK34">
        <v>45</v>
      </c>
      <c r="ABL34">
        <v>23</v>
      </c>
      <c r="ABM34">
        <v>106</v>
      </c>
      <c r="ABN34">
        <v>0</v>
      </c>
      <c r="ABO34">
        <v>0</v>
      </c>
      <c r="ABP34">
        <v>0</v>
      </c>
      <c r="ABQ34">
        <v>46</v>
      </c>
      <c r="ABR34">
        <v>22</v>
      </c>
      <c r="ABS34">
        <v>61</v>
      </c>
      <c r="ABT34">
        <v>29</v>
      </c>
      <c r="ABU34">
        <v>35</v>
      </c>
      <c r="ABV34">
        <v>0</v>
      </c>
      <c r="ABW34">
        <v>20</v>
      </c>
      <c r="ABX34">
        <v>7</v>
      </c>
      <c r="ABY34">
        <v>0</v>
      </c>
      <c r="ABZ34">
        <v>7</v>
      </c>
      <c r="ACA34">
        <v>83</v>
      </c>
      <c r="ACB34">
        <v>48</v>
      </c>
      <c r="ACC34">
        <v>0</v>
      </c>
      <c r="ACD34">
        <v>34</v>
      </c>
      <c r="ACE34">
        <v>165</v>
      </c>
      <c r="ACF34">
        <v>20</v>
      </c>
      <c r="ACG34">
        <v>0</v>
      </c>
      <c r="ACH34">
        <v>0</v>
      </c>
      <c r="ACI34">
        <v>4</v>
      </c>
      <c r="ACJ34">
        <v>0</v>
      </c>
      <c r="ACK34">
        <v>46</v>
      </c>
      <c r="ACL34">
        <v>3</v>
      </c>
      <c r="ACM34">
        <v>48</v>
      </c>
      <c r="ACN34">
        <v>0</v>
      </c>
      <c r="ACO34">
        <v>0</v>
      </c>
      <c r="ACP34">
        <v>38</v>
      </c>
      <c r="ACQ34">
        <v>0</v>
      </c>
      <c r="ACR34">
        <v>42</v>
      </c>
      <c r="ACS34">
        <v>44</v>
      </c>
      <c r="ACT34">
        <v>34</v>
      </c>
      <c r="ACU34">
        <v>30</v>
      </c>
      <c r="ACV34">
        <v>0</v>
      </c>
      <c r="ACW34">
        <v>33</v>
      </c>
      <c r="ACX34">
        <v>0</v>
      </c>
      <c r="ACY34">
        <v>6</v>
      </c>
      <c r="ACZ34">
        <v>0</v>
      </c>
      <c r="ADA34">
        <v>16</v>
      </c>
      <c r="ADB34">
        <v>1</v>
      </c>
      <c r="ADC34">
        <v>0</v>
      </c>
      <c r="ADD34">
        <v>11</v>
      </c>
      <c r="ADE34">
        <v>0</v>
      </c>
      <c r="ADF34">
        <v>0</v>
      </c>
      <c r="ADG34">
        <v>39</v>
      </c>
      <c r="ADH34">
        <v>9</v>
      </c>
      <c r="ADI34">
        <v>0</v>
      </c>
      <c r="ADJ34">
        <v>0</v>
      </c>
      <c r="ADK34">
        <v>68</v>
      </c>
      <c r="ADL34">
        <v>0</v>
      </c>
      <c r="ADM34">
        <v>11</v>
      </c>
      <c r="ADN34">
        <v>1</v>
      </c>
      <c r="ADO34">
        <v>8</v>
      </c>
      <c r="ADP34">
        <v>13</v>
      </c>
      <c r="ADQ34">
        <v>4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57</v>
      </c>
      <c r="AEI34">
        <v>0</v>
      </c>
      <c r="AEJ34">
        <v>49</v>
      </c>
      <c r="AEK34">
        <v>0</v>
      </c>
      <c r="AEL34">
        <v>26</v>
      </c>
      <c r="AEM34">
        <v>0</v>
      </c>
      <c r="AEN34">
        <v>0</v>
      </c>
      <c r="AEO34">
        <v>0</v>
      </c>
      <c r="AEP34">
        <v>10</v>
      </c>
      <c r="AEQ34">
        <v>34</v>
      </c>
      <c r="AER34">
        <v>0</v>
      </c>
      <c r="AES34">
        <v>6</v>
      </c>
      <c r="AET34">
        <v>67</v>
      </c>
      <c r="AEU34">
        <v>0</v>
      </c>
      <c r="AEV34">
        <v>82</v>
      </c>
      <c r="AEW34">
        <v>69</v>
      </c>
      <c r="AEX34">
        <v>0</v>
      </c>
      <c r="AEY34">
        <v>26</v>
      </c>
      <c r="AEZ34">
        <v>33</v>
      </c>
      <c r="AFA34">
        <v>28</v>
      </c>
      <c r="AFB34">
        <v>0</v>
      </c>
      <c r="AFC34">
        <v>37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80</v>
      </c>
      <c r="AFK34">
        <v>26</v>
      </c>
      <c r="AFL34">
        <v>39</v>
      </c>
      <c r="AFM34">
        <v>13</v>
      </c>
      <c r="AFN34">
        <v>0</v>
      </c>
      <c r="AFO34">
        <v>4</v>
      </c>
      <c r="AFP34">
        <v>0</v>
      </c>
      <c r="AFQ34">
        <v>0</v>
      </c>
      <c r="AFR34">
        <v>61</v>
      </c>
      <c r="AFS34">
        <v>23</v>
      </c>
      <c r="AFT34">
        <v>0</v>
      </c>
      <c r="AFU34">
        <v>30</v>
      </c>
      <c r="AFV34">
        <v>21</v>
      </c>
      <c r="AFW34">
        <v>0</v>
      </c>
      <c r="AFX34">
        <v>0</v>
      </c>
      <c r="AFY34">
        <v>24</v>
      </c>
      <c r="AFZ34">
        <v>48</v>
      </c>
      <c r="AGA34">
        <v>0</v>
      </c>
      <c r="AGB34">
        <v>1</v>
      </c>
      <c r="AGC34">
        <v>11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52</v>
      </c>
      <c r="AGJ34">
        <v>0</v>
      </c>
      <c r="AGK34">
        <v>0</v>
      </c>
      <c r="AGL34">
        <v>4</v>
      </c>
      <c r="AGM34">
        <v>1</v>
      </c>
      <c r="AGN34">
        <v>9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22</v>
      </c>
      <c r="AGV34">
        <v>39</v>
      </c>
      <c r="AGW34">
        <v>26</v>
      </c>
      <c r="AGX34">
        <v>0</v>
      </c>
      <c r="AGY34">
        <v>0</v>
      </c>
      <c r="AGZ34">
        <v>18</v>
      </c>
      <c r="AHA34">
        <v>0</v>
      </c>
      <c r="AHB34">
        <v>0</v>
      </c>
      <c r="AHC34">
        <v>76</v>
      </c>
      <c r="AHD34">
        <v>14</v>
      </c>
      <c r="AHE34">
        <v>0</v>
      </c>
      <c r="AHF34">
        <v>0</v>
      </c>
      <c r="AHG34">
        <v>97</v>
      </c>
      <c r="AHI34">
        <v>0</v>
      </c>
      <c r="AHJ34">
        <v>0</v>
      </c>
      <c r="AHK34">
        <v>41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47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5</v>
      </c>
      <c r="AHY34">
        <v>0</v>
      </c>
      <c r="AHZ34">
        <v>41</v>
      </c>
      <c r="AIA34">
        <v>0</v>
      </c>
      <c r="AIB34">
        <v>0</v>
      </c>
      <c r="AIC34">
        <v>0</v>
      </c>
      <c r="AID34">
        <v>55</v>
      </c>
      <c r="AIE34">
        <v>0</v>
      </c>
      <c r="AIF34">
        <v>75</v>
      </c>
      <c r="AIG34">
        <v>0</v>
      </c>
      <c r="AIH34">
        <v>0</v>
      </c>
      <c r="AII34">
        <v>0</v>
      </c>
      <c r="AIJ34">
        <v>10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85</v>
      </c>
      <c r="AIT34">
        <v>0</v>
      </c>
      <c r="AIU34">
        <v>62</v>
      </c>
      <c r="AIV34">
        <v>0</v>
      </c>
      <c r="AIW34">
        <v>13</v>
      </c>
      <c r="AIX34">
        <v>31</v>
      </c>
      <c r="AIY34">
        <v>6</v>
      </c>
      <c r="AIZ34">
        <v>43</v>
      </c>
      <c r="AJA34">
        <v>0</v>
      </c>
      <c r="AJB34">
        <v>48</v>
      </c>
      <c r="AJC34">
        <v>0</v>
      </c>
      <c r="AJD34">
        <v>6</v>
      </c>
      <c r="AJE34">
        <v>0</v>
      </c>
      <c r="AJF34">
        <v>50</v>
      </c>
      <c r="AJG34">
        <v>0</v>
      </c>
      <c r="AJH34">
        <v>17</v>
      </c>
      <c r="AJI34">
        <v>0</v>
      </c>
      <c r="AJJ34">
        <v>0</v>
      </c>
      <c r="AJK34">
        <v>30</v>
      </c>
      <c r="AJL34">
        <v>36</v>
      </c>
      <c r="AJM34">
        <v>0</v>
      </c>
      <c r="AJN34">
        <v>18</v>
      </c>
      <c r="AJO34">
        <v>150</v>
      </c>
      <c r="AJP34">
        <v>11</v>
      </c>
      <c r="AJQ34">
        <v>0</v>
      </c>
      <c r="AJR34">
        <v>0</v>
      </c>
      <c r="AJS34">
        <v>5</v>
      </c>
      <c r="AJT34">
        <v>0</v>
      </c>
      <c r="AJU34">
        <v>34</v>
      </c>
      <c r="AJV34">
        <v>0</v>
      </c>
      <c r="AJW34">
        <v>0</v>
      </c>
      <c r="AJX34">
        <v>0</v>
      </c>
      <c r="AJY34">
        <v>142</v>
      </c>
      <c r="AJZ34">
        <v>55</v>
      </c>
      <c r="AKA34">
        <v>70</v>
      </c>
      <c r="AKB34">
        <v>81</v>
      </c>
      <c r="AKC34">
        <v>84</v>
      </c>
      <c r="AKD34">
        <v>21</v>
      </c>
      <c r="AKE34">
        <v>0</v>
      </c>
      <c r="AKF34">
        <v>61</v>
      </c>
    </row>
    <row r="35" spans="1:973">
      <c r="A35">
        <v>4</v>
      </c>
      <c r="B35" s="132" t="s">
        <v>79</v>
      </c>
      <c r="C35" s="1">
        <v>82308</v>
      </c>
      <c r="D35" s="1" t="s">
        <v>8</v>
      </c>
      <c r="E35" s="1" t="s">
        <v>78</v>
      </c>
      <c r="F35" s="1" t="s">
        <v>31</v>
      </c>
      <c r="G35" s="1" t="s">
        <v>12</v>
      </c>
      <c r="H35" s="1" t="s">
        <v>21</v>
      </c>
      <c r="I35" s="1" t="s">
        <v>14</v>
      </c>
      <c r="J35" s="32" t="s">
        <v>15</v>
      </c>
      <c r="K35" s="23">
        <v>0</v>
      </c>
      <c r="L35" s="23">
        <v>0</v>
      </c>
      <c r="M35" s="23">
        <v>0</v>
      </c>
      <c r="N35" s="23">
        <v>0</v>
      </c>
      <c r="O35" s="23">
        <v>0</v>
      </c>
      <c r="P35" s="23">
        <v>0</v>
      </c>
      <c r="Q35" s="23">
        <v>0</v>
      </c>
      <c r="R35" s="23">
        <v>9</v>
      </c>
      <c r="S35" s="23">
        <v>15</v>
      </c>
      <c r="T35" s="23">
        <v>0</v>
      </c>
      <c r="U35" s="23">
        <v>1</v>
      </c>
      <c r="V35" s="23">
        <v>0</v>
      </c>
      <c r="W35" s="23">
        <v>0</v>
      </c>
      <c r="X35" s="23">
        <v>0</v>
      </c>
      <c r="Y35" s="23">
        <v>0</v>
      </c>
      <c r="Z35" s="23">
        <v>0</v>
      </c>
      <c r="AA35" s="23">
        <v>24</v>
      </c>
      <c r="AB35" s="23">
        <v>26</v>
      </c>
      <c r="AC35" s="23">
        <v>0</v>
      </c>
      <c r="AD35" s="23">
        <v>67</v>
      </c>
      <c r="AE35" s="23">
        <v>96</v>
      </c>
      <c r="AF35" s="23">
        <v>0</v>
      </c>
      <c r="AG35" s="23">
        <v>112</v>
      </c>
      <c r="AH35" s="23">
        <v>86</v>
      </c>
      <c r="AI35" s="23">
        <v>17</v>
      </c>
      <c r="AJ35" s="23">
        <v>0</v>
      </c>
      <c r="AK35" s="23">
        <v>0</v>
      </c>
      <c r="AL35" s="23">
        <v>18</v>
      </c>
      <c r="AM35" s="23">
        <v>32</v>
      </c>
      <c r="AN35" s="23">
        <v>19</v>
      </c>
      <c r="AO35" s="23">
        <v>12</v>
      </c>
      <c r="AP35" s="23">
        <v>0</v>
      </c>
      <c r="AQ35" s="23">
        <v>0</v>
      </c>
      <c r="AR35" s="23">
        <v>5</v>
      </c>
      <c r="AS35" s="23">
        <v>0</v>
      </c>
      <c r="AT35" s="23">
        <v>45</v>
      </c>
      <c r="AU35" s="23">
        <v>59</v>
      </c>
      <c r="AV35" s="23">
        <v>10</v>
      </c>
      <c r="AW35" s="23">
        <v>0</v>
      </c>
      <c r="AX35" s="23">
        <v>0</v>
      </c>
      <c r="AY35" s="23">
        <v>9</v>
      </c>
      <c r="AZ35" s="23">
        <v>0</v>
      </c>
      <c r="BA35" s="23">
        <v>6</v>
      </c>
      <c r="BB35" s="23">
        <v>12</v>
      </c>
      <c r="BC35" s="23">
        <v>12</v>
      </c>
      <c r="BD35" s="23">
        <v>0</v>
      </c>
      <c r="BE35" s="23">
        <v>0</v>
      </c>
      <c r="BF35" s="23">
        <v>6</v>
      </c>
      <c r="BG35" s="23">
        <v>0</v>
      </c>
      <c r="BH35" s="23">
        <v>0</v>
      </c>
      <c r="BI35" s="23">
        <v>11</v>
      </c>
      <c r="BJ35" s="23">
        <v>2</v>
      </c>
      <c r="BK35" s="23">
        <v>0</v>
      </c>
      <c r="BL35" s="23">
        <v>0</v>
      </c>
      <c r="BM35" s="23">
        <v>0</v>
      </c>
      <c r="BN35" s="23">
        <v>0</v>
      </c>
      <c r="BO35" s="23">
        <v>87</v>
      </c>
      <c r="BP35" s="23">
        <v>0</v>
      </c>
      <c r="BQ35" s="23">
        <v>0</v>
      </c>
      <c r="BR35" s="23">
        <v>0</v>
      </c>
      <c r="BS35" s="23">
        <v>0</v>
      </c>
      <c r="BT35" s="23">
        <v>0</v>
      </c>
      <c r="BU35" s="23">
        <v>0</v>
      </c>
      <c r="BV35" s="23">
        <v>0</v>
      </c>
      <c r="BW35" s="23">
        <v>0</v>
      </c>
      <c r="BX35" s="23">
        <v>0</v>
      </c>
      <c r="BY35" s="23">
        <v>0</v>
      </c>
      <c r="BZ35" s="23">
        <v>0</v>
      </c>
      <c r="CA35" s="23">
        <v>0</v>
      </c>
      <c r="CB35" s="23">
        <v>0</v>
      </c>
      <c r="CC35" s="23">
        <v>14</v>
      </c>
      <c r="CD35" s="23">
        <v>12</v>
      </c>
      <c r="CE35" s="23">
        <v>0</v>
      </c>
      <c r="CF35" s="23">
        <v>0</v>
      </c>
      <c r="CG35" s="23">
        <v>0</v>
      </c>
      <c r="CH35" s="23">
        <v>0</v>
      </c>
      <c r="CI35" s="23">
        <v>0</v>
      </c>
      <c r="CJ35" s="23">
        <v>0</v>
      </c>
      <c r="CK35" s="23">
        <v>0</v>
      </c>
      <c r="CL35" s="23">
        <v>0</v>
      </c>
      <c r="CM35" s="23">
        <v>0</v>
      </c>
      <c r="CN35" s="23">
        <v>0</v>
      </c>
      <c r="CO35" s="23">
        <v>0</v>
      </c>
      <c r="CP35" s="23">
        <v>0</v>
      </c>
      <c r="CQ35" s="23">
        <v>3</v>
      </c>
      <c r="CR35" s="23">
        <v>9</v>
      </c>
      <c r="CS35" s="23">
        <v>12</v>
      </c>
      <c r="CT35" s="23">
        <v>0</v>
      </c>
      <c r="CU35">
        <v>0</v>
      </c>
      <c r="CV35">
        <v>0</v>
      </c>
      <c r="CW35">
        <v>0</v>
      </c>
      <c r="CX35">
        <v>1</v>
      </c>
      <c r="CY35">
        <v>56</v>
      </c>
      <c r="CZ35">
        <v>82</v>
      </c>
      <c r="DA35">
        <v>21</v>
      </c>
      <c r="DB35">
        <v>0</v>
      </c>
      <c r="DC35">
        <v>0</v>
      </c>
      <c r="DD35">
        <v>119</v>
      </c>
      <c r="DE35">
        <v>0</v>
      </c>
      <c r="DF35">
        <v>10</v>
      </c>
      <c r="DG35">
        <v>0</v>
      </c>
      <c r="DH35">
        <v>0</v>
      </c>
      <c r="DI35">
        <v>0</v>
      </c>
      <c r="DJ35">
        <v>51</v>
      </c>
      <c r="DK35">
        <v>0</v>
      </c>
      <c r="DL35">
        <v>62</v>
      </c>
      <c r="DM35">
        <v>0</v>
      </c>
      <c r="DN35">
        <v>0</v>
      </c>
      <c r="DO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19</v>
      </c>
      <c r="EF35">
        <v>4</v>
      </c>
      <c r="EG35">
        <v>3</v>
      </c>
      <c r="EH35">
        <v>15</v>
      </c>
      <c r="EI35">
        <v>21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122</v>
      </c>
      <c r="FO35">
        <v>6</v>
      </c>
      <c r="FP35">
        <v>53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7</v>
      </c>
      <c r="FX35">
        <v>0</v>
      </c>
      <c r="FY35">
        <v>0</v>
      </c>
      <c r="FZ35">
        <v>0</v>
      </c>
      <c r="GA35">
        <v>0</v>
      </c>
      <c r="GB35">
        <v>30</v>
      </c>
      <c r="GC35">
        <v>30</v>
      </c>
      <c r="GD35">
        <v>30</v>
      </c>
      <c r="GE35">
        <v>37</v>
      </c>
      <c r="GF35">
        <v>0</v>
      </c>
      <c r="GG35">
        <v>0</v>
      </c>
      <c r="GH35">
        <v>0</v>
      </c>
      <c r="GI35" s="33">
        <v>0</v>
      </c>
      <c r="GJ35" s="33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120</v>
      </c>
      <c r="GX35">
        <v>102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293</v>
      </c>
      <c r="HM35">
        <v>0</v>
      </c>
      <c r="HN35">
        <v>0</v>
      </c>
      <c r="HO35">
        <v>0</v>
      </c>
      <c r="HP35">
        <v>8</v>
      </c>
      <c r="HQ35">
        <v>0</v>
      </c>
      <c r="HR35">
        <v>0</v>
      </c>
      <c r="HS35">
        <v>3</v>
      </c>
      <c r="HT35">
        <v>36</v>
      </c>
      <c r="HU35">
        <v>26</v>
      </c>
      <c r="HV35">
        <v>27</v>
      </c>
      <c r="HW35">
        <v>0</v>
      </c>
      <c r="HX35">
        <v>0</v>
      </c>
      <c r="HY35">
        <v>0</v>
      </c>
      <c r="HZ35">
        <v>0</v>
      </c>
      <c r="IA35">
        <v>69</v>
      </c>
      <c r="IB35">
        <v>0</v>
      </c>
      <c r="IC35">
        <v>31</v>
      </c>
      <c r="ID35">
        <v>0</v>
      </c>
      <c r="IE35">
        <v>0</v>
      </c>
      <c r="IF35">
        <v>1</v>
      </c>
      <c r="IG35">
        <v>0</v>
      </c>
      <c r="IH35">
        <v>8</v>
      </c>
      <c r="II35">
        <v>3</v>
      </c>
      <c r="IJ35">
        <v>0</v>
      </c>
      <c r="IK35">
        <v>19</v>
      </c>
      <c r="IL35">
        <v>0</v>
      </c>
      <c r="IM35">
        <v>0</v>
      </c>
      <c r="IN35">
        <v>0</v>
      </c>
      <c r="IO35">
        <v>71</v>
      </c>
      <c r="IP35">
        <v>0</v>
      </c>
      <c r="IQ35">
        <v>0</v>
      </c>
      <c r="IR35">
        <v>0</v>
      </c>
      <c r="IS35">
        <v>0</v>
      </c>
      <c r="IT35">
        <v>3</v>
      </c>
      <c r="IU35">
        <v>29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28</v>
      </c>
      <c r="JB35">
        <v>0</v>
      </c>
      <c r="JC35">
        <v>49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104</v>
      </c>
      <c r="JJ35">
        <v>34</v>
      </c>
      <c r="JK35">
        <v>6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439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517</v>
      </c>
      <c r="MH35">
        <v>4</v>
      </c>
      <c r="MI35">
        <v>165</v>
      </c>
      <c r="MJ35">
        <v>0</v>
      </c>
      <c r="MK35">
        <v>0</v>
      </c>
      <c r="ML35">
        <v>0</v>
      </c>
      <c r="MM35">
        <v>0</v>
      </c>
      <c r="MN35">
        <v>14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5</v>
      </c>
      <c r="MZ35">
        <v>0</v>
      </c>
      <c r="NA35">
        <v>0</v>
      </c>
      <c r="NB35">
        <v>23</v>
      </c>
      <c r="NC35">
        <v>63</v>
      </c>
      <c r="ND35">
        <v>0</v>
      </c>
      <c r="NE35">
        <v>0</v>
      </c>
      <c r="NF35">
        <v>0</v>
      </c>
      <c r="NG35">
        <v>27</v>
      </c>
      <c r="NH35">
        <v>0</v>
      </c>
      <c r="NI35">
        <v>0</v>
      </c>
      <c r="NJ35">
        <v>14</v>
      </c>
      <c r="NK35" s="51">
        <v>0</v>
      </c>
      <c r="NL35" s="51">
        <v>0</v>
      </c>
      <c r="NM35" s="51">
        <v>50</v>
      </c>
      <c r="NN35" s="51"/>
      <c r="NO35" s="51"/>
      <c r="NP35" s="18">
        <v>38</v>
      </c>
      <c r="NQ35">
        <v>121</v>
      </c>
      <c r="NT35">
        <v>34</v>
      </c>
      <c r="NW35">
        <v>75</v>
      </c>
      <c r="NY35">
        <v>31</v>
      </c>
      <c r="NZ35">
        <v>91</v>
      </c>
      <c r="OA35">
        <v>36</v>
      </c>
      <c r="OE35">
        <v>27</v>
      </c>
      <c r="OF35">
        <v>3</v>
      </c>
      <c r="OG35">
        <v>9</v>
      </c>
      <c r="OK35">
        <v>3</v>
      </c>
      <c r="OM35">
        <v>17</v>
      </c>
      <c r="ON35">
        <v>1</v>
      </c>
      <c r="OO35">
        <v>23</v>
      </c>
      <c r="OR35">
        <v>28</v>
      </c>
      <c r="OS35">
        <v>33</v>
      </c>
      <c r="OV35">
        <v>55</v>
      </c>
      <c r="OY35">
        <v>115</v>
      </c>
      <c r="PA35">
        <v>20</v>
      </c>
      <c r="PB35">
        <v>104</v>
      </c>
      <c r="PC35">
        <v>0</v>
      </c>
      <c r="PD35">
        <v>0</v>
      </c>
      <c r="PF35">
        <v>1</v>
      </c>
      <c r="PG35">
        <v>6</v>
      </c>
      <c r="PH35">
        <v>59</v>
      </c>
      <c r="PJ35">
        <v>3</v>
      </c>
      <c r="PM35">
        <v>1</v>
      </c>
      <c r="PN35">
        <v>22</v>
      </c>
      <c r="PO35">
        <v>51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X35">
        <v>7</v>
      </c>
      <c r="PY35">
        <v>0</v>
      </c>
      <c r="PZ35">
        <v>0</v>
      </c>
      <c r="QA35">
        <v>1</v>
      </c>
      <c r="QB35">
        <v>0</v>
      </c>
      <c r="QC35">
        <v>0</v>
      </c>
      <c r="QD35">
        <v>2</v>
      </c>
      <c r="QE35">
        <v>0</v>
      </c>
      <c r="QF35">
        <v>0</v>
      </c>
      <c r="QG35">
        <v>0</v>
      </c>
      <c r="QH35">
        <v>0</v>
      </c>
      <c r="QI35">
        <v>8</v>
      </c>
      <c r="QJ35">
        <v>4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105</v>
      </c>
      <c r="QQ35">
        <v>25</v>
      </c>
      <c r="QR35">
        <v>0</v>
      </c>
      <c r="QS35">
        <v>0</v>
      </c>
      <c r="QT35">
        <v>0</v>
      </c>
      <c r="QU35">
        <v>0</v>
      </c>
      <c r="QV35">
        <v>35</v>
      </c>
      <c r="QX35">
        <v>71</v>
      </c>
      <c r="QY35">
        <v>37</v>
      </c>
      <c r="QZ35">
        <v>12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4</v>
      </c>
      <c r="RG35">
        <v>0</v>
      </c>
      <c r="RH35">
        <v>0</v>
      </c>
      <c r="RI35">
        <v>0</v>
      </c>
      <c r="RJ35">
        <v>0</v>
      </c>
      <c r="RK35">
        <v>30</v>
      </c>
      <c r="RL35">
        <v>104</v>
      </c>
      <c r="RM35">
        <v>0</v>
      </c>
      <c r="RN35">
        <v>63</v>
      </c>
      <c r="RO35">
        <v>0</v>
      </c>
      <c r="RP35">
        <v>0</v>
      </c>
      <c r="RQ35">
        <v>69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8</v>
      </c>
      <c r="SB35">
        <v>4</v>
      </c>
      <c r="SC35">
        <v>0</v>
      </c>
      <c r="SD35">
        <v>0</v>
      </c>
      <c r="SE35">
        <v>81</v>
      </c>
      <c r="SF35">
        <v>0</v>
      </c>
      <c r="SG35">
        <v>52</v>
      </c>
      <c r="SH35">
        <v>0</v>
      </c>
      <c r="SI35">
        <v>22</v>
      </c>
      <c r="SJ35">
        <v>112</v>
      </c>
      <c r="SK35">
        <v>0</v>
      </c>
      <c r="SL35">
        <v>3</v>
      </c>
      <c r="SM35">
        <v>63</v>
      </c>
      <c r="SN35">
        <v>23</v>
      </c>
      <c r="SO35">
        <v>120</v>
      </c>
      <c r="SP35">
        <v>8</v>
      </c>
      <c r="SQ35">
        <v>0</v>
      </c>
      <c r="SR35">
        <v>0</v>
      </c>
      <c r="SS35">
        <v>2</v>
      </c>
      <c r="ST35">
        <v>3</v>
      </c>
      <c r="SU35">
        <v>26</v>
      </c>
      <c r="SV35">
        <v>0</v>
      </c>
      <c r="SW35">
        <v>18</v>
      </c>
      <c r="SX35">
        <v>0</v>
      </c>
      <c r="SY35">
        <v>0</v>
      </c>
      <c r="SZ35">
        <v>0</v>
      </c>
      <c r="TA35">
        <v>0</v>
      </c>
      <c r="TB35">
        <v>61</v>
      </c>
      <c r="TC35">
        <v>34</v>
      </c>
      <c r="TD35">
        <v>4</v>
      </c>
      <c r="TE35">
        <v>0</v>
      </c>
      <c r="TF35">
        <v>0</v>
      </c>
      <c r="TG35">
        <v>1</v>
      </c>
      <c r="TH35">
        <v>0</v>
      </c>
      <c r="TI35">
        <v>37</v>
      </c>
      <c r="TJ35">
        <v>31</v>
      </c>
      <c r="TK35">
        <v>101</v>
      </c>
      <c r="TL35">
        <v>0</v>
      </c>
      <c r="TM35">
        <v>0</v>
      </c>
      <c r="TN35">
        <v>0</v>
      </c>
      <c r="TO35">
        <v>9</v>
      </c>
      <c r="TP35">
        <v>5</v>
      </c>
      <c r="TQ35">
        <v>10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3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34</v>
      </c>
      <c r="UJ35">
        <v>131</v>
      </c>
      <c r="UK35">
        <v>21</v>
      </c>
      <c r="UL35">
        <v>0</v>
      </c>
      <c r="UM35">
        <v>29</v>
      </c>
      <c r="UN35">
        <v>111</v>
      </c>
      <c r="UO35">
        <v>0</v>
      </c>
      <c r="UP35">
        <v>0</v>
      </c>
      <c r="UQ35">
        <v>45</v>
      </c>
      <c r="UR35">
        <v>1</v>
      </c>
      <c r="US35">
        <v>9</v>
      </c>
      <c r="UT35">
        <v>0</v>
      </c>
      <c r="UU35">
        <v>30</v>
      </c>
      <c r="UV35">
        <v>0</v>
      </c>
      <c r="UW35">
        <v>0</v>
      </c>
      <c r="UX35">
        <v>0</v>
      </c>
      <c r="UY35">
        <v>146</v>
      </c>
      <c r="UZ35">
        <v>0</v>
      </c>
      <c r="VA35">
        <v>132</v>
      </c>
      <c r="VB35">
        <v>0</v>
      </c>
      <c r="VC35">
        <v>0</v>
      </c>
      <c r="VD35">
        <v>22</v>
      </c>
      <c r="VE35">
        <v>0</v>
      </c>
      <c r="VF35">
        <v>15</v>
      </c>
      <c r="VG35">
        <v>60</v>
      </c>
      <c r="VH35">
        <v>105</v>
      </c>
      <c r="VI35">
        <v>0</v>
      </c>
      <c r="VJ35">
        <v>0</v>
      </c>
      <c r="VK35">
        <v>0</v>
      </c>
      <c r="VL35">
        <v>0</v>
      </c>
      <c r="VM35">
        <v>14</v>
      </c>
      <c r="VN35">
        <v>13</v>
      </c>
      <c r="VO35">
        <v>4</v>
      </c>
      <c r="VP35">
        <v>0</v>
      </c>
      <c r="VQ35">
        <v>0</v>
      </c>
      <c r="VR35">
        <v>0</v>
      </c>
      <c r="VS35">
        <v>0</v>
      </c>
      <c r="VT35">
        <v>18</v>
      </c>
      <c r="VU35">
        <v>133</v>
      </c>
      <c r="VV35">
        <v>0</v>
      </c>
      <c r="VW35">
        <v>4</v>
      </c>
      <c r="VX35">
        <v>0</v>
      </c>
      <c r="VY35">
        <v>0</v>
      </c>
      <c r="VZ35">
        <v>0</v>
      </c>
      <c r="WA35">
        <v>68</v>
      </c>
      <c r="WB35">
        <v>0</v>
      </c>
      <c r="WC35">
        <v>28</v>
      </c>
      <c r="WD35">
        <v>11</v>
      </c>
      <c r="WE35">
        <v>0</v>
      </c>
      <c r="WF35">
        <v>42</v>
      </c>
      <c r="WG35">
        <v>0</v>
      </c>
      <c r="WH35">
        <v>0</v>
      </c>
      <c r="WI35">
        <v>0</v>
      </c>
      <c r="WJ35">
        <v>0</v>
      </c>
      <c r="WK35">
        <v>3</v>
      </c>
      <c r="WL35">
        <v>0</v>
      </c>
      <c r="WM35">
        <v>4</v>
      </c>
      <c r="WN35">
        <v>0</v>
      </c>
      <c r="WO35">
        <v>0</v>
      </c>
      <c r="WP35">
        <v>11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30</v>
      </c>
      <c r="WW35">
        <v>78</v>
      </c>
      <c r="WX35">
        <v>205</v>
      </c>
      <c r="WY35">
        <v>0</v>
      </c>
      <c r="WZ35">
        <v>0</v>
      </c>
      <c r="XA35">
        <v>0</v>
      </c>
      <c r="XB35">
        <v>67</v>
      </c>
      <c r="XC35">
        <v>3</v>
      </c>
      <c r="XD35">
        <v>7</v>
      </c>
      <c r="XE35">
        <v>0</v>
      </c>
      <c r="XF35">
        <v>105</v>
      </c>
      <c r="XG35">
        <v>0</v>
      </c>
      <c r="XH35">
        <v>0</v>
      </c>
      <c r="XI35">
        <v>43</v>
      </c>
      <c r="XJ35">
        <v>3</v>
      </c>
      <c r="XK35">
        <v>54</v>
      </c>
      <c r="XL35">
        <v>33</v>
      </c>
      <c r="XM35">
        <v>0</v>
      </c>
      <c r="XN35">
        <v>0</v>
      </c>
      <c r="XO35">
        <v>0</v>
      </c>
      <c r="XP35">
        <v>27</v>
      </c>
      <c r="XQ35">
        <v>34</v>
      </c>
      <c r="XR35">
        <v>37</v>
      </c>
      <c r="XS35">
        <v>21</v>
      </c>
      <c r="XT35">
        <v>17</v>
      </c>
      <c r="XU35">
        <v>0</v>
      </c>
      <c r="XV35">
        <v>0</v>
      </c>
      <c r="XW35">
        <v>31</v>
      </c>
      <c r="XX35">
        <v>20</v>
      </c>
      <c r="XY35">
        <v>13</v>
      </c>
      <c r="XZ35">
        <v>0</v>
      </c>
      <c r="YA35">
        <v>0</v>
      </c>
      <c r="YB35">
        <v>0</v>
      </c>
      <c r="YC35">
        <v>98</v>
      </c>
      <c r="YD35">
        <v>80</v>
      </c>
      <c r="YE35">
        <v>40</v>
      </c>
      <c r="YF35">
        <v>22</v>
      </c>
      <c r="YG35">
        <v>0</v>
      </c>
      <c r="YH35">
        <v>8</v>
      </c>
      <c r="YI35">
        <v>0</v>
      </c>
      <c r="YJ35">
        <v>0</v>
      </c>
      <c r="YK35">
        <v>0</v>
      </c>
      <c r="YL35">
        <v>0</v>
      </c>
      <c r="YM35">
        <v>37</v>
      </c>
      <c r="YN35">
        <v>0</v>
      </c>
      <c r="YO35">
        <v>0</v>
      </c>
      <c r="YP35">
        <v>0</v>
      </c>
      <c r="YQ35">
        <v>19</v>
      </c>
      <c r="YR35">
        <v>0</v>
      </c>
      <c r="YS35">
        <v>14</v>
      </c>
      <c r="YT35">
        <v>14</v>
      </c>
      <c r="YU35">
        <v>0</v>
      </c>
      <c r="YV35">
        <v>0</v>
      </c>
      <c r="YW35">
        <v>0</v>
      </c>
      <c r="YX35">
        <v>1</v>
      </c>
      <c r="YY35">
        <v>0</v>
      </c>
      <c r="YZ35">
        <v>174</v>
      </c>
      <c r="ZA35">
        <v>31</v>
      </c>
      <c r="ZB35">
        <v>13</v>
      </c>
      <c r="ZC35">
        <v>0</v>
      </c>
      <c r="ZD35">
        <v>0</v>
      </c>
      <c r="ZE35">
        <v>0</v>
      </c>
      <c r="ZF35">
        <v>1</v>
      </c>
      <c r="ZG35">
        <v>0</v>
      </c>
      <c r="ZH35">
        <v>0</v>
      </c>
      <c r="ZI35">
        <v>62</v>
      </c>
      <c r="ZJ35">
        <v>0</v>
      </c>
      <c r="ZK35">
        <v>0</v>
      </c>
      <c r="ZL35">
        <v>80</v>
      </c>
      <c r="ZM35">
        <v>0</v>
      </c>
      <c r="ZN35">
        <v>0</v>
      </c>
      <c r="ZO35">
        <v>0</v>
      </c>
      <c r="ZP35">
        <v>0</v>
      </c>
      <c r="ZQ35">
        <v>48</v>
      </c>
      <c r="ZR35">
        <v>0</v>
      </c>
      <c r="ZS35">
        <v>29</v>
      </c>
      <c r="ZT35">
        <v>28</v>
      </c>
      <c r="ZU35">
        <v>0</v>
      </c>
      <c r="ZV35">
        <v>1</v>
      </c>
      <c r="ZW35">
        <v>0</v>
      </c>
      <c r="ZX35">
        <v>0</v>
      </c>
      <c r="ZY35">
        <v>0</v>
      </c>
      <c r="ZZ35">
        <v>0</v>
      </c>
      <c r="AAA35">
        <v>92</v>
      </c>
      <c r="AAB35">
        <v>0</v>
      </c>
      <c r="AAC35">
        <v>0</v>
      </c>
      <c r="AAD35">
        <v>12</v>
      </c>
      <c r="AAE35">
        <v>21</v>
      </c>
      <c r="AAF35">
        <v>0</v>
      </c>
      <c r="AAG35">
        <v>57</v>
      </c>
      <c r="AAH35">
        <v>1</v>
      </c>
      <c r="AAI35">
        <v>53</v>
      </c>
      <c r="AAJ35">
        <v>0</v>
      </c>
      <c r="AAK35">
        <v>6</v>
      </c>
      <c r="AAL35">
        <v>0</v>
      </c>
      <c r="AAM35">
        <v>0</v>
      </c>
      <c r="AAN35">
        <v>0</v>
      </c>
      <c r="AAO35">
        <v>13</v>
      </c>
      <c r="AAP35">
        <v>9</v>
      </c>
      <c r="AAQ35">
        <v>0</v>
      </c>
      <c r="AAR35">
        <v>29</v>
      </c>
      <c r="AAS35">
        <v>0</v>
      </c>
      <c r="AAT35">
        <v>0</v>
      </c>
      <c r="AAU35">
        <v>0</v>
      </c>
      <c r="AAV35">
        <v>1</v>
      </c>
      <c r="AAW35">
        <v>3</v>
      </c>
      <c r="AAX35">
        <v>10</v>
      </c>
      <c r="AAY35">
        <v>0</v>
      </c>
      <c r="AAZ35">
        <v>0</v>
      </c>
      <c r="ABA35">
        <v>0</v>
      </c>
      <c r="ABB35">
        <v>38</v>
      </c>
      <c r="ABC35">
        <v>0</v>
      </c>
      <c r="ABD35">
        <v>61</v>
      </c>
      <c r="ABE35">
        <v>0</v>
      </c>
      <c r="ABF35">
        <v>82</v>
      </c>
      <c r="ABG35">
        <v>0</v>
      </c>
      <c r="ABH35">
        <v>0</v>
      </c>
      <c r="ABI35">
        <v>0</v>
      </c>
      <c r="ABJ35">
        <v>0</v>
      </c>
      <c r="ABK35">
        <v>134</v>
      </c>
      <c r="ABL35">
        <v>0</v>
      </c>
      <c r="ABM35">
        <v>29</v>
      </c>
      <c r="ABN35">
        <v>0</v>
      </c>
      <c r="ABO35">
        <v>0</v>
      </c>
      <c r="ABP35">
        <v>4</v>
      </c>
      <c r="ABQ35">
        <v>0</v>
      </c>
      <c r="ABR35">
        <v>0</v>
      </c>
      <c r="ABS35">
        <v>21</v>
      </c>
      <c r="ABT35">
        <v>21</v>
      </c>
      <c r="ABU35">
        <v>0</v>
      </c>
      <c r="ABV35">
        <v>0</v>
      </c>
      <c r="ABW35">
        <v>170</v>
      </c>
      <c r="ABX35">
        <v>0</v>
      </c>
      <c r="ABY35">
        <v>0</v>
      </c>
      <c r="ABZ35">
        <v>7</v>
      </c>
      <c r="ACA35">
        <v>0</v>
      </c>
      <c r="ACB35">
        <v>7</v>
      </c>
      <c r="ACC35">
        <v>0</v>
      </c>
      <c r="ACD35">
        <v>32</v>
      </c>
      <c r="ACE35">
        <v>41</v>
      </c>
      <c r="ACF35">
        <v>176</v>
      </c>
      <c r="ACG35">
        <v>9</v>
      </c>
      <c r="ACH35">
        <v>45</v>
      </c>
      <c r="ACI35">
        <v>83</v>
      </c>
      <c r="ACJ35">
        <v>0</v>
      </c>
      <c r="ACK35">
        <v>24</v>
      </c>
      <c r="ACL35">
        <v>0</v>
      </c>
      <c r="ACM35">
        <v>3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23</v>
      </c>
      <c r="ACU35">
        <v>6</v>
      </c>
      <c r="ACV35">
        <v>0</v>
      </c>
      <c r="ACW35">
        <v>133</v>
      </c>
      <c r="ACX35">
        <v>0</v>
      </c>
      <c r="ACY35">
        <v>0</v>
      </c>
      <c r="ACZ35">
        <v>31</v>
      </c>
      <c r="ADA35">
        <v>25</v>
      </c>
      <c r="ADB35">
        <v>0</v>
      </c>
      <c r="ADC35">
        <v>0</v>
      </c>
      <c r="ADD35">
        <v>6</v>
      </c>
      <c r="ADE35">
        <v>0</v>
      </c>
      <c r="ADF35">
        <v>0</v>
      </c>
      <c r="ADG35">
        <v>24</v>
      </c>
      <c r="ADH35">
        <v>21</v>
      </c>
      <c r="ADI35">
        <v>0</v>
      </c>
      <c r="ADJ35">
        <v>28</v>
      </c>
      <c r="ADK35">
        <v>0</v>
      </c>
      <c r="ADL35">
        <v>0</v>
      </c>
      <c r="ADM35">
        <v>14</v>
      </c>
      <c r="ADN35">
        <v>15</v>
      </c>
      <c r="ADO35">
        <v>0</v>
      </c>
      <c r="ADP35">
        <v>0</v>
      </c>
      <c r="ADQ35">
        <v>89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57</v>
      </c>
      <c r="AEK35">
        <v>0</v>
      </c>
      <c r="AEL35">
        <v>0</v>
      </c>
      <c r="AEM35">
        <v>59</v>
      </c>
      <c r="AEN35">
        <v>0</v>
      </c>
      <c r="AEO35">
        <v>0</v>
      </c>
      <c r="AEP35">
        <v>0</v>
      </c>
      <c r="AEQ35">
        <v>38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20</v>
      </c>
      <c r="AFA35">
        <v>0</v>
      </c>
      <c r="AFB35">
        <v>0</v>
      </c>
      <c r="AFC35">
        <v>20</v>
      </c>
      <c r="AFD35">
        <v>39</v>
      </c>
      <c r="AFE35">
        <v>237</v>
      </c>
      <c r="AFF35">
        <v>13</v>
      </c>
      <c r="AFG35">
        <v>0</v>
      </c>
      <c r="AFH35">
        <v>0</v>
      </c>
      <c r="AFI35">
        <v>0</v>
      </c>
      <c r="AFJ35">
        <v>0</v>
      </c>
      <c r="AFK35">
        <v>2</v>
      </c>
      <c r="AFL35">
        <v>138</v>
      </c>
      <c r="AFM35">
        <v>0</v>
      </c>
      <c r="AFN35">
        <v>0</v>
      </c>
      <c r="AFO35">
        <v>0</v>
      </c>
      <c r="AFP35">
        <v>0</v>
      </c>
      <c r="AFQ35">
        <v>12</v>
      </c>
      <c r="AFR35">
        <v>4</v>
      </c>
      <c r="AFS35">
        <v>0</v>
      </c>
      <c r="AFT35">
        <v>34</v>
      </c>
      <c r="AFU35">
        <v>0</v>
      </c>
      <c r="AFV35">
        <v>26</v>
      </c>
      <c r="AFW35">
        <v>0</v>
      </c>
      <c r="AFX35">
        <v>142</v>
      </c>
      <c r="AFY35">
        <v>0</v>
      </c>
      <c r="AFZ35">
        <v>15</v>
      </c>
      <c r="AGA35">
        <v>51</v>
      </c>
      <c r="AGB35">
        <v>0</v>
      </c>
      <c r="AGC35">
        <v>0</v>
      </c>
      <c r="AGD35">
        <v>0</v>
      </c>
      <c r="AGE35">
        <v>23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25</v>
      </c>
      <c r="AGN35">
        <v>6</v>
      </c>
      <c r="AGO35">
        <v>0</v>
      </c>
      <c r="AGP35">
        <v>4</v>
      </c>
      <c r="AGQ35">
        <v>0</v>
      </c>
      <c r="AGR35">
        <v>0</v>
      </c>
      <c r="AGS35">
        <v>26</v>
      </c>
      <c r="AGT35">
        <v>0</v>
      </c>
      <c r="AGU35">
        <v>0</v>
      </c>
      <c r="AGV35">
        <v>0</v>
      </c>
      <c r="AGW35">
        <v>39</v>
      </c>
      <c r="AGX35">
        <v>0</v>
      </c>
      <c r="AGY35">
        <v>0</v>
      </c>
      <c r="AGZ35">
        <v>4</v>
      </c>
      <c r="AHA35">
        <v>62</v>
      </c>
      <c r="AHB35">
        <v>0</v>
      </c>
      <c r="AHC35">
        <v>0</v>
      </c>
      <c r="AHD35">
        <v>27</v>
      </c>
      <c r="AHE35">
        <v>0</v>
      </c>
      <c r="AHF35">
        <v>0</v>
      </c>
      <c r="AHG35">
        <v>0</v>
      </c>
      <c r="AHI35">
        <v>81</v>
      </c>
      <c r="AHJ35">
        <v>17</v>
      </c>
      <c r="AHK35">
        <v>0</v>
      </c>
      <c r="AHL35">
        <v>63</v>
      </c>
      <c r="AHM35">
        <v>0</v>
      </c>
      <c r="AHN35">
        <v>0</v>
      </c>
      <c r="AHO35">
        <v>0</v>
      </c>
      <c r="AHP35">
        <v>31</v>
      </c>
      <c r="AHQ35">
        <v>6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15</v>
      </c>
      <c r="AHZ35">
        <v>0</v>
      </c>
      <c r="AIA35">
        <v>0</v>
      </c>
      <c r="AIB35">
        <v>4</v>
      </c>
      <c r="AIC35">
        <v>0</v>
      </c>
      <c r="AID35">
        <v>0</v>
      </c>
      <c r="AIE35">
        <v>65</v>
      </c>
      <c r="AIF35">
        <v>0</v>
      </c>
      <c r="AIG35">
        <v>131</v>
      </c>
      <c r="AIH35">
        <v>0</v>
      </c>
      <c r="AII35">
        <v>9</v>
      </c>
      <c r="AIJ35">
        <v>0</v>
      </c>
      <c r="AIK35">
        <v>0</v>
      </c>
      <c r="AIL35">
        <v>0</v>
      </c>
      <c r="AIM35">
        <v>0</v>
      </c>
      <c r="AIN35">
        <v>733</v>
      </c>
      <c r="AIO35">
        <v>0</v>
      </c>
      <c r="AIP35">
        <v>0</v>
      </c>
      <c r="AIQ35">
        <v>14</v>
      </c>
      <c r="AIR35">
        <v>3</v>
      </c>
      <c r="AIS35">
        <v>1</v>
      </c>
      <c r="AIT35">
        <v>18</v>
      </c>
      <c r="AIU35">
        <v>199</v>
      </c>
      <c r="AIV35">
        <v>0</v>
      </c>
      <c r="AIW35">
        <v>0</v>
      </c>
      <c r="AIX35">
        <v>28</v>
      </c>
      <c r="AIY35">
        <v>54</v>
      </c>
      <c r="AIZ35">
        <v>64</v>
      </c>
      <c r="AJA35">
        <v>33</v>
      </c>
      <c r="AJB35">
        <v>0</v>
      </c>
      <c r="AJC35">
        <v>0</v>
      </c>
      <c r="AJD35">
        <v>29</v>
      </c>
      <c r="AJE35">
        <v>17</v>
      </c>
      <c r="AJF35">
        <v>0</v>
      </c>
      <c r="AJG35">
        <v>0</v>
      </c>
      <c r="AJH35">
        <v>33</v>
      </c>
      <c r="AJI35">
        <v>0</v>
      </c>
      <c r="AJJ35">
        <v>0</v>
      </c>
      <c r="AJK35">
        <v>0</v>
      </c>
      <c r="AJL35">
        <v>55</v>
      </c>
      <c r="AJM35">
        <v>11</v>
      </c>
      <c r="AJN35">
        <v>45</v>
      </c>
      <c r="AJO35">
        <v>3</v>
      </c>
      <c r="AJP35">
        <v>52</v>
      </c>
      <c r="AJQ35">
        <v>0</v>
      </c>
      <c r="AJR35">
        <v>0</v>
      </c>
      <c r="AJS35">
        <v>34</v>
      </c>
      <c r="AJT35">
        <v>0</v>
      </c>
      <c r="AJU35">
        <v>76</v>
      </c>
      <c r="AJV35">
        <v>0</v>
      </c>
      <c r="AJW35">
        <v>0</v>
      </c>
      <c r="AJX35">
        <v>0</v>
      </c>
      <c r="AJY35">
        <v>0</v>
      </c>
      <c r="AJZ35">
        <v>203</v>
      </c>
      <c r="AKA35">
        <v>21</v>
      </c>
      <c r="AKB35">
        <v>34</v>
      </c>
      <c r="AKC35">
        <v>37</v>
      </c>
      <c r="AKD35">
        <v>24</v>
      </c>
      <c r="AKE35">
        <v>0</v>
      </c>
      <c r="AKF35">
        <v>107</v>
      </c>
    </row>
    <row r="36" spans="1:973"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</row>
    <row r="37" spans="1:973"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</row>
    <row r="38" spans="1:973">
      <c r="B38" s="1" t="s">
        <v>80</v>
      </c>
      <c r="C38" s="27">
        <v>99999</v>
      </c>
      <c r="D38" s="1" t="s">
        <v>8</v>
      </c>
      <c r="E38" s="1" t="s">
        <v>81</v>
      </c>
      <c r="F38" s="1" t="s">
        <v>21</v>
      </c>
      <c r="G38" s="1" t="s">
        <v>21</v>
      </c>
      <c r="H38" s="1" t="s">
        <v>21</v>
      </c>
      <c r="I38" s="1" t="s">
        <v>21</v>
      </c>
      <c r="J38" s="1" t="s">
        <v>21</v>
      </c>
      <c r="K38" s="23">
        <f t="shared" ref="K38:AP38" si="545">((K3+K4+K5+K6+K7)*2)+K8+((K15+K17)*2)+K19+K20+K21+K22+K9</f>
        <v>1140</v>
      </c>
      <c r="L38" s="23">
        <f t="shared" si="545"/>
        <v>2268</v>
      </c>
      <c r="M38" s="23">
        <f t="shared" si="545"/>
        <v>2421</v>
      </c>
      <c r="N38" s="23">
        <f t="shared" si="545"/>
        <v>2502</v>
      </c>
      <c r="O38" s="23">
        <f t="shared" si="545"/>
        <v>0</v>
      </c>
      <c r="P38" s="23">
        <f t="shared" si="545"/>
        <v>3828</v>
      </c>
      <c r="Q38" s="23">
        <f t="shared" si="545"/>
        <v>3241</v>
      </c>
      <c r="R38" s="23">
        <f t="shared" si="545"/>
        <v>3097</v>
      </c>
      <c r="S38" s="23">
        <f t="shared" si="545"/>
        <v>3288</v>
      </c>
      <c r="T38" s="23">
        <f t="shared" si="545"/>
        <v>2708</v>
      </c>
      <c r="U38" s="23">
        <f t="shared" si="545"/>
        <v>3501</v>
      </c>
      <c r="V38" s="23">
        <f t="shared" si="545"/>
        <v>0</v>
      </c>
      <c r="W38" s="23">
        <f t="shared" si="545"/>
        <v>2874</v>
      </c>
      <c r="X38" s="23">
        <f t="shared" si="545"/>
        <v>2612</v>
      </c>
      <c r="Y38" s="23">
        <f t="shared" si="545"/>
        <v>2922</v>
      </c>
      <c r="Z38" s="23">
        <f t="shared" si="545"/>
        <v>3324</v>
      </c>
      <c r="AA38" s="23">
        <f t="shared" si="545"/>
        <v>75339</v>
      </c>
      <c r="AB38" s="23">
        <f t="shared" si="545"/>
        <v>47054</v>
      </c>
      <c r="AC38" s="23">
        <f t="shared" si="545"/>
        <v>0</v>
      </c>
      <c r="AD38" s="23">
        <f t="shared" si="545"/>
        <v>44990</v>
      </c>
      <c r="AE38" s="23">
        <f t="shared" si="545"/>
        <v>79490</v>
      </c>
      <c r="AF38" s="23">
        <f t="shared" si="545"/>
        <v>57882</v>
      </c>
      <c r="AG38" s="23">
        <f t="shared" si="545"/>
        <v>106107</v>
      </c>
      <c r="AH38" s="23">
        <f t="shared" si="545"/>
        <v>100008</v>
      </c>
      <c r="AI38" s="23">
        <f t="shared" si="545"/>
        <v>72299</v>
      </c>
      <c r="AJ38" s="23">
        <f t="shared" si="545"/>
        <v>10880</v>
      </c>
      <c r="AK38" s="23">
        <f t="shared" si="545"/>
        <v>57600</v>
      </c>
      <c r="AL38" s="23">
        <f t="shared" si="545"/>
        <v>76184</v>
      </c>
      <c r="AM38" s="23">
        <f t="shared" si="545"/>
        <v>71895</v>
      </c>
      <c r="AN38" s="23">
        <f t="shared" si="545"/>
        <v>93302</v>
      </c>
      <c r="AO38" s="23">
        <f t="shared" si="545"/>
        <v>107077</v>
      </c>
      <c r="AP38" s="23">
        <f t="shared" si="545"/>
        <v>46412</v>
      </c>
      <c r="AQ38" s="23">
        <f t="shared" ref="AQ38:BV38" si="546">((AQ3+AQ4+AQ5+AQ6+AQ7)*2)+AQ8+((AQ15+AQ17)*2)+AQ19+AQ20+AQ21+AQ22+AQ9</f>
        <v>11681</v>
      </c>
      <c r="AR38" s="23">
        <f t="shared" si="546"/>
        <v>53087</v>
      </c>
      <c r="AS38" s="23">
        <f t="shared" si="546"/>
        <v>13551</v>
      </c>
      <c r="AT38" s="23">
        <f t="shared" si="546"/>
        <v>53659</v>
      </c>
      <c r="AU38" s="23">
        <f t="shared" si="546"/>
        <v>86573</v>
      </c>
      <c r="AV38" s="23">
        <f t="shared" si="546"/>
        <v>100598</v>
      </c>
      <c r="AW38" s="23">
        <f t="shared" si="546"/>
        <v>91936</v>
      </c>
      <c r="AX38" s="23">
        <f t="shared" si="546"/>
        <v>13907</v>
      </c>
      <c r="AY38" s="23">
        <f t="shared" si="546"/>
        <v>73131</v>
      </c>
      <c r="AZ38" s="23">
        <f t="shared" si="546"/>
        <v>96230</v>
      </c>
      <c r="BA38" s="23">
        <f t="shared" si="546"/>
        <v>65722</v>
      </c>
      <c r="BB38" s="23">
        <f t="shared" si="546"/>
        <v>126202</v>
      </c>
      <c r="BC38" s="23">
        <f t="shared" si="546"/>
        <v>107960</v>
      </c>
      <c r="BD38" s="23">
        <f t="shared" si="546"/>
        <v>73893</v>
      </c>
      <c r="BE38" s="23">
        <f t="shared" si="546"/>
        <v>27769</v>
      </c>
      <c r="BF38" s="23">
        <f t="shared" si="546"/>
        <v>64887</v>
      </c>
      <c r="BG38" s="23">
        <f t="shared" si="546"/>
        <v>162722</v>
      </c>
      <c r="BH38" s="23">
        <f t="shared" si="546"/>
        <v>172966</v>
      </c>
      <c r="BI38" s="23">
        <f t="shared" si="546"/>
        <v>127636</v>
      </c>
      <c r="BJ38" s="23">
        <f t="shared" si="546"/>
        <v>147954</v>
      </c>
      <c r="BK38" s="23">
        <f t="shared" si="546"/>
        <v>110101</v>
      </c>
      <c r="BL38" s="23">
        <f t="shared" si="546"/>
        <v>17118</v>
      </c>
      <c r="BM38" s="23">
        <f t="shared" si="546"/>
        <v>80754</v>
      </c>
      <c r="BN38" s="23">
        <f t="shared" si="546"/>
        <v>101600</v>
      </c>
      <c r="BO38" s="23">
        <f t="shared" si="546"/>
        <v>103148</v>
      </c>
      <c r="BP38" s="23">
        <f t="shared" si="546"/>
        <v>95810</v>
      </c>
      <c r="BQ38" s="23">
        <f t="shared" si="546"/>
        <v>31592</v>
      </c>
      <c r="BR38" s="23">
        <f t="shared" si="546"/>
        <v>515</v>
      </c>
      <c r="BS38" s="23">
        <f t="shared" si="546"/>
        <v>0</v>
      </c>
      <c r="BT38" s="23">
        <f t="shared" si="546"/>
        <v>0</v>
      </c>
      <c r="BU38" s="23">
        <f t="shared" si="546"/>
        <v>0</v>
      </c>
      <c r="BV38" s="23">
        <f t="shared" si="546"/>
        <v>16019</v>
      </c>
      <c r="BW38" s="23">
        <f t="shared" ref="BW38:CZ38" si="547">((BW3+BW4+BW5+BW6+BW7)*2)+BW8+((BW15+BW17)*2)+BW19+BW20+BW21+BW22+BW9</f>
        <v>28768</v>
      </c>
      <c r="BX38" s="23">
        <f t="shared" si="547"/>
        <v>69888</v>
      </c>
      <c r="BY38" s="23">
        <f t="shared" si="547"/>
        <v>112606</v>
      </c>
      <c r="BZ38" s="23">
        <f t="shared" si="547"/>
        <v>11143</v>
      </c>
      <c r="CA38" s="23">
        <f t="shared" si="547"/>
        <v>75553</v>
      </c>
      <c r="CB38" s="23">
        <f t="shared" si="547"/>
        <v>65229</v>
      </c>
      <c r="CC38" s="23">
        <f t="shared" si="547"/>
        <v>118852</v>
      </c>
      <c r="CD38" s="23">
        <f t="shared" si="547"/>
        <v>120468</v>
      </c>
      <c r="CE38" s="23">
        <f t="shared" si="547"/>
        <v>114421</v>
      </c>
      <c r="CF38" s="23">
        <f t="shared" si="547"/>
        <v>124008</v>
      </c>
      <c r="CG38" s="23">
        <f t="shared" si="547"/>
        <v>23889</v>
      </c>
      <c r="CH38" s="23">
        <f t="shared" si="547"/>
        <v>65470</v>
      </c>
      <c r="CI38" s="23">
        <f t="shared" si="547"/>
        <v>107047</v>
      </c>
      <c r="CJ38" s="23">
        <f t="shared" si="547"/>
        <v>108304</v>
      </c>
      <c r="CK38" s="23">
        <f t="shared" si="547"/>
        <v>139400</v>
      </c>
      <c r="CL38" s="23">
        <f t="shared" si="547"/>
        <v>134513</v>
      </c>
      <c r="CM38" s="23">
        <f t="shared" si="547"/>
        <v>33621</v>
      </c>
      <c r="CN38" s="23">
        <f t="shared" si="547"/>
        <v>4093</v>
      </c>
      <c r="CO38" s="23">
        <f t="shared" si="547"/>
        <v>79053</v>
      </c>
      <c r="CP38" s="23">
        <f t="shared" si="547"/>
        <v>87933</v>
      </c>
      <c r="CQ38" s="23">
        <f t="shared" si="547"/>
        <v>95203</v>
      </c>
      <c r="CR38" s="23">
        <f t="shared" si="547"/>
        <v>96547</v>
      </c>
      <c r="CS38" s="23">
        <f t="shared" si="547"/>
        <v>123467</v>
      </c>
      <c r="CT38" s="23">
        <f t="shared" si="547"/>
        <v>81503</v>
      </c>
      <c r="CU38" s="23">
        <f t="shared" si="547"/>
        <v>13991</v>
      </c>
      <c r="CV38" s="23">
        <f t="shared" si="547"/>
        <v>102640</v>
      </c>
      <c r="CW38" s="23">
        <f t="shared" si="547"/>
        <v>33660</v>
      </c>
      <c r="CX38" s="23">
        <f t="shared" si="547"/>
        <v>75564</v>
      </c>
      <c r="CY38" s="23">
        <f t="shared" si="547"/>
        <v>68253</v>
      </c>
      <c r="CZ38" s="23">
        <f t="shared" si="547"/>
        <v>74889</v>
      </c>
      <c r="DA38" s="23">
        <f t="shared" ref="DA38:DL38" si="548">((DA3+DA4+DA5+DA6+DA7)*2)+DA8+((DA15+DA17)*2)+DA19+DA20+DA21+DA22+DA9</f>
        <v>60448</v>
      </c>
      <c r="DB38" s="23">
        <f t="shared" si="548"/>
        <v>11381</v>
      </c>
      <c r="DC38" s="23">
        <f t="shared" si="548"/>
        <v>50919</v>
      </c>
      <c r="DD38" s="23">
        <f t="shared" si="548"/>
        <v>100179</v>
      </c>
      <c r="DE38" s="23">
        <f t="shared" si="548"/>
        <v>41713</v>
      </c>
      <c r="DF38" s="23">
        <f t="shared" si="548"/>
        <v>104018</v>
      </c>
      <c r="DG38" s="23">
        <f t="shared" si="548"/>
        <v>123762</v>
      </c>
      <c r="DH38" s="23">
        <f t="shared" si="548"/>
        <v>79156</v>
      </c>
      <c r="DI38" s="23">
        <f t="shared" si="548"/>
        <v>12155</v>
      </c>
      <c r="DJ38" s="23">
        <f t="shared" si="548"/>
        <v>93766</v>
      </c>
      <c r="DK38" s="23">
        <f t="shared" si="548"/>
        <v>68469</v>
      </c>
      <c r="DL38" s="23">
        <f t="shared" si="548"/>
        <v>77436</v>
      </c>
      <c r="DM38" s="23">
        <f t="shared" ref="DM38:EI38" si="549">((DM3+DM4+DM5+DM6+DM7)*2)+DM8+((DM15+DM17)*2)+DM19+DM20+DM21+DM22+DM9</f>
        <v>67415</v>
      </c>
      <c r="DN38" s="23">
        <f t="shared" si="549"/>
        <v>126559</v>
      </c>
      <c r="DO38" s="23">
        <f t="shared" si="549"/>
        <v>70933</v>
      </c>
      <c r="DP38" s="23">
        <f t="shared" si="549"/>
        <v>14459</v>
      </c>
      <c r="DQ38" s="23">
        <f t="shared" si="549"/>
        <v>60435</v>
      </c>
      <c r="DR38" s="23">
        <f t="shared" si="549"/>
        <v>119901</v>
      </c>
      <c r="DS38" s="23">
        <f t="shared" si="549"/>
        <v>89723</v>
      </c>
      <c r="DT38" s="23">
        <f t="shared" si="549"/>
        <v>139318</v>
      </c>
      <c r="DU38" s="23">
        <f t="shared" si="549"/>
        <v>112282</v>
      </c>
      <c r="DV38" s="23">
        <f t="shared" si="549"/>
        <v>105920</v>
      </c>
      <c r="DW38" s="23">
        <f t="shared" si="549"/>
        <v>10847</v>
      </c>
      <c r="DX38" s="23">
        <f t="shared" si="549"/>
        <v>77799</v>
      </c>
      <c r="DY38" s="23">
        <f t="shared" si="549"/>
        <v>91599</v>
      </c>
      <c r="DZ38" s="23">
        <f t="shared" si="549"/>
        <v>119327</v>
      </c>
      <c r="EA38" s="23">
        <f t="shared" si="549"/>
        <v>88650</v>
      </c>
      <c r="EB38" s="23">
        <f t="shared" si="549"/>
        <v>71939</v>
      </c>
      <c r="EC38" s="23">
        <f t="shared" si="549"/>
        <v>60791</v>
      </c>
      <c r="ED38" s="23">
        <f t="shared" si="549"/>
        <v>7266</v>
      </c>
      <c r="EE38" s="23">
        <f t="shared" si="549"/>
        <v>34372</v>
      </c>
      <c r="EF38" s="23">
        <f t="shared" si="549"/>
        <v>53434</v>
      </c>
      <c r="EG38" s="23">
        <f t="shared" si="549"/>
        <v>96216</v>
      </c>
      <c r="EH38" s="23">
        <f t="shared" si="549"/>
        <v>99900</v>
      </c>
      <c r="EI38" s="23">
        <f t="shared" si="549"/>
        <v>83661</v>
      </c>
      <c r="EJ38" s="23">
        <f t="shared" ref="EJ38:ER38" si="550">((EJ3+EJ4+EJ5+EJ6+EJ7)*2)+EJ8+((EJ15+EJ17)*2)+EJ19+EJ20+EJ21+EJ22+EJ9</f>
        <v>82780</v>
      </c>
      <c r="EK38" s="23">
        <f t="shared" si="550"/>
        <v>16345</v>
      </c>
      <c r="EL38" s="23">
        <f t="shared" si="550"/>
        <v>43027</v>
      </c>
      <c r="EM38" s="23">
        <f t="shared" si="550"/>
        <v>79559</v>
      </c>
      <c r="EN38" s="23">
        <f t="shared" si="550"/>
        <v>84869</v>
      </c>
      <c r="EO38" s="23">
        <f t="shared" si="550"/>
        <v>140616</v>
      </c>
      <c r="EP38" s="23">
        <f t="shared" si="550"/>
        <v>126811</v>
      </c>
      <c r="EQ38" s="23">
        <f t="shared" si="550"/>
        <v>135895</v>
      </c>
      <c r="ER38" s="23">
        <f t="shared" si="550"/>
        <v>10374</v>
      </c>
      <c r="ES38" s="23">
        <f t="shared" ref="ES38:EX38" si="551">((ES3+ES4+ES5+ES6+ES7)*2)+ES8+((ES15+ES17)*2)+ES19+ES20+ES21+ES22+ES9</f>
        <v>70821</v>
      </c>
      <c r="ET38" s="23">
        <f t="shared" si="551"/>
        <v>95862</v>
      </c>
      <c r="EU38" s="23">
        <f t="shared" si="551"/>
        <v>98929</v>
      </c>
      <c r="EV38" s="23">
        <f t="shared" si="551"/>
        <v>111772</v>
      </c>
      <c r="EW38" s="23">
        <f t="shared" si="551"/>
        <v>98324</v>
      </c>
      <c r="EX38" s="23">
        <f t="shared" si="551"/>
        <v>80767</v>
      </c>
      <c r="EY38" s="23">
        <f t="shared" ref="EY38:FI38" si="552">((EY3+EY4+EY5+EY6+EY7)*2)+EY8+((EY15+EY17)*2)+EY19+EY20+EY21+EY22+EY9</f>
        <v>11612</v>
      </c>
      <c r="EZ38" s="23">
        <f t="shared" si="552"/>
        <v>75137</v>
      </c>
      <c r="FA38" s="23">
        <f t="shared" si="552"/>
        <v>123756</v>
      </c>
      <c r="FB38" s="23">
        <f t="shared" si="552"/>
        <v>77198</v>
      </c>
      <c r="FC38" s="23">
        <f t="shared" si="552"/>
        <v>70409</v>
      </c>
      <c r="FD38" s="23">
        <f t="shared" si="552"/>
        <v>89397</v>
      </c>
      <c r="FE38" s="23">
        <f t="shared" si="552"/>
        <v>114921</v>
      </c>
      <c r="FF38" s="23">
        <f t="shared" si="552"/>
        <v>13767</v>
      </c>
      <c r="FG38" s="23">
        <f t="shared" si="552"/>
        <v>72456</v>
      </c>
      <c r="FH38" s="23">
        <f t="shared" si="552"/>
        <v>79063</v>
      </c>
      <c r="FI38" s="23">
        <f t="shared" si="552"/>
        <v>79255</v>
      </c>
      <c r="FJ38" s="23">
        <f t="shared" ref="FJ38:FW38" si="553">((FJ3+FJ4+FJ5+FJ6+FJ7)*2)+FJ8+((FJ15+FJ17)*2)+FJ19+FJ20+FJ21+FJ22+FJ9</f>
        <v>144662</v>
      </c>
      <c r="FK38" s="23">
        <f t="shared" si="553"/>
        <v>98574</v>
      </c>
      <c r="FL38" s="23">
        <f t="shared" si="553"/>
        <v>25246</v>
      </c>
      <c r="FM38" s="23">
        <f t="shared" si="553"/>
        <v>0</v>
      </c>
      <c r="FN38" s="23">
        <f t="shared" si="553"/>
        <v>62738</v>
      </c>
      <c r="FO38" s="23">
        <f t="shared" si="553"/>
        <v>106769</v>
      </c>
      <c r="FP38" s="23">
        <f t="shared" si="553"/>
        <v>113057</v>
      </c>
      <c r="FQ38" s="23">
        <f t="shared" si="553"/>
        <v>138475</v>
      </c>
      <c r="FR38" s="23">
        <f t="shared" si="553"/>
        <v>122104</v>
      </c>
      <c r="FS38" s="23">
        <f t="shared" si="553"/>
        <v>668</v>
      </c>
      <c r="FT38" s="23">
        <f t="shared" si="553"/>
        <v>0</v>
      </c>
      <c r="FU38" s="23">
        <f t="shared" si="553"/>
        <v>0</v>
      </c>
      <c r="FV38" s="23">
        <f t="shared" si="553"/>
        <v>32060</v>
      </c>
      <c r="FW38" s="23">
        <f t="shared" si="553"/>
        <v>57847</v>
      </c>
      <c r="FX38" s="23">
        <f t="shared" ref="FX38:GH38" si="554">((FX3+FX4+FX5+FX6+FX7)*2)+FX8+((FX15+FX17)*2)+FX19+FX20+FX21+FX22+FX9</f>
        <v>103072</v>
      </c>
      <c r="FY38" s="23">
        <f t="shared" si="554"/>
        <v>53724</v>
      </c>
      <c r="FZ38" s="23">
        <f t="shared" si="554"/>
        <v>182390</v>
      </c>
      <c r="GA38" s="23">
        <f t="shared" si="554"/>
        <v>117754</v>
      </c>
      <c r="GB38" s="23">
        <f t="shared" si="554"/>
        <v>69769</v>
      </c>
      <c r="GC38" s="23">
        <f t="shared" si="554"/>
        <v>77386</v>
      </c>
      <c r="GD38" s="23">
        <f t="shared" si="554"/>
        <v>89705</v>
      </c>
      <c r="GE38" s="23">
        <f t="shared" si="554"/>
        <v>88516</v>
      </c>
      <c r="GF38" s="23">
        <f t="shared" si="554"/>
        <v>118036</v>
      </c>
      <c r="GG38" s="23">
        <f t="shared" si="554"/>
        <v>95563</v>
      </c>
      <c r="GH38" s="23">
        <f t="shared" si="554"/>
        <v>10214</v>
      </c>
      <c r="GI38" s="23">
        <f>((GI3+GI4+GI5+GI6+GI7)*2)+GI8+((GI15+GI17)*2)+GI19+GI20+GI21+GI22+GI9</f>
        <v>50751</v>
      </c>
      <c r="GJ38" s="23">
        <f>((GJ3+GJ4+GJ5+GJ6+GJ7)*2)+GJ8+((GJ15+GJ17)*2)+GJ19+GJ20+GJ21+GJ22+GJ9</f>
        <v>103321</v>
      </c>
      <c r="GK38" s="23">
        <f t="shared" ref="GK38:GU38" si="555">((GK3+GK4+GK5+GK6+GK7)*2)+GK8+((GK15+GK17)*2)+GK19+GK20+GK21+GK22+GK9</f>
        <v>30206</v>
      </c>
      <c r="GL38" s="23">
        <f t="shared" si="555"/>
        <v>77434</v>
      </c>
      <c r="GM38" s="23">
        <f t="shared" si="555"/>
        <v>98102</v>
      </c>
      <c r="GN38" s="23">
        <f t="shared" si="555"/>
        <v>19155</v>
      </c>
      <c r="GO38" s="23">
        <f>((GP3+GP4+GO5+GO6+GO7)*2)+GP8+((GO15+GO17)*2)+GO19+GO20+GO21+GO22+GO9</f>
        <v>4020</v>
      </c>
      <c r="GP38" s="23">
        <f>((GQ3+GQ4+GP5+GP6+GP7)*2)+GQ8+((GP15+GP17)*2)+GP19+GP20+GP21+GP22+GP9</f>
        <v>100160</v>
      </c>
      <c r="GQ38" s="23">
        <f>((GR3+GR4+GQ5+GQ6+GQ7)*2)+GR8+((GQ15+GQ17)*2)+GQ19+GQ20+GQ21+GQ22+GQ9</f>
        <v>78190</v>
      </c>
      <c r="GR38" s="23">
        <f t="shared" si="555"/>
        <v>108597</v>
      </c>
      <c r="GS38" s="23">
        <f t="shared" si="555"/>
        <v>90268</v>
      </c>
      <c r="GT38" s="23">
        <f t="shared" si="555"/>
        <v>93604</v>
      </c>
      <c r="GU38" s="23">
        <f t="shared" si="555"/>
        <v>67365</v>
      </c>
      <c r="GV38" s="23">
        <f t="shared" ref="GV38:HC38" si="556">((GV3+GV4+GV5+GV6+GV7)*2)+GV8+((GV15+GV17)*2)+GV19+GV20+GV21+GV22+GV9</f>
        <v>10210</v>
      </c>
      <c r="GW38" s="23">
        <f t="shared" si="556"/>
        <v>39386</v>
      </c>
      <c r="GX38" s="23">
        <f t="shared" si="556"/>
        <v>77245</v>
      </c>
      <c r="GY38" s="23">
        <f t="shared" si="556"/>
        <v>89740</v>
      </c>
      <c r="GZ38" s="23">
        <f t="shared" si="556"/>
        <v>82420</v>
      </c>
      <c r="HA38" s="23">
        <f t="shared" si="556"/>
        <v>84551</v>
      </c>
      <c r="HB38" s="23">
        <f t="shared" si="556"/>
        <v>92742</v>
      </c>
      <c r="HC38" s="23">
        <f t="shared" si="556"/>
        <v>6615</v>
      </c>
      <c r="HD38" s="23">
        <f t="shared" ref="HD38:HP38" si="557">((HD3+HD4+HD5+HD6+HD7)*2)+HD8+((HD15+HD17)*2)+HD19+HD20+HD21+HD22+HD9</f>
        <v>56837</v>
      </c>
      <c r="HE38" s="23">
        <f t="shared" si="557"/>
        <v>69175</v>
      </c>
      <c r="HF38" s="23">
        <f t="shared" si="557"/>
        <v>22207</v>
      </c>
      <c r="HG38" s="23">
        <f t="shared" si="557"/>
        <v>65707</v>
      </c>
      <c r="HH38" s="23">
        <f t="shared" si="557"/>
        <v>81125</v>
      </c>
      <c r="HI38" s="23">
        <f t="shared" si="557"/>
        <v>83804</v>
      </c>
      <c r="HJ38" s="23">
        <f t="shared" si="557"/>
        <v>12563</v>
      </c>
      <c r="HK38" s="23">
        <f t="shared" si="557"/>
        <v>37280</v>
      </c>
      <c r="HL38" s="23">
        <f t="shared" si="557"/>
        <v>86129</v>
      </c>
      <c r="HM38" s="23">
        <f t="shared" si="557"/>
        <v>88994</v>
      </c>
      <c r="HN38" s="23">
        <f t="shared" si="557"/>
        <v>120498</v>
      </c>
      <c r="HO38" s="23">
        <f t="shared" si="557"/>
        <v>73147</v>
      </c>
      <c r="HP38" s="23">
        <f t="shared" si="557"/>
        <v>76972</v>
      </c>
      <c r="HQ38" s="23">
        <f t="shared" ref="HQ38:IX38" si="558">((HQ3+HQ4+HQ5+HQ6+HQ7)*2)+HQ8+((HQ15+HQ17)*2)+HQ19+HQ20+HQ21+HQ22+HQ9</f>
        <v>2671</v>
      </c>
      <c r="HR38" s="23">
        <f t="shared" si="558"/>
        <v>186</v>
      </c>
      <c r="HS38" s="23">
        <f t="shared" si="558"/>
        <v>63738</v>
      </c>
      <c r="HT38" s="23">
        <f t="shared" si="558"/>
        <v>65136</v>
      </c>
      <c r="HU38" s="23">
        <f t="shared" si="558"/>
        <v>84858</v>
      </c>
      <c r="HV38" s="23">
        <f t="shared" si="558"/>
        <v>76641</v>
      </c>
      <c r="HW38" s="23">
        <f t="shared" si="558"/>
        <v>108324</v>
      </c>
      <c r="HX38" s="23">
        <f t="shared" si="558"/>
        <v>1509</v>
      </c>
      <c r="HY38" s="23">
        <f t="shared" si="558"/>
        <v>69548</v>
      </c>
      <c r="HZ38" s="23">
        <f t="shared" si="558"/>
        <v>65319</v>
      </c>
      <c r="IA38" s="23">
        <f t="shared" si="558"/>
        <v>138467</v>
      </c>
      <c r="IB38" s="23">
        <f t="shared" si="558"/>
        <v>140263</v>
      </c>
      <c r="IC38" s="23">
        <f t="shared" si="558"/>
        <v>110033</v>
      </c>
      <c r="ID38" s="23">
        <f t="shared" si="558"/>
        <v>73200</v>
      </c>
      <c r="IE38" s="23">
        <f t="shared" si="558"/>
        <v>1220</v>
      </c>
      <c r="IF38" s="23">
        <f t="shared" si="558"/>
        <v>71634</v>
      </c>
      <c r="IG38" s="23">
        <f t="shared" si="558"/>
        <v>93885</v>
      </c>
      <c r="IH38" s="23">
        <f t="shared" si="558"/>
        <v>78375</v>
      </c>
      <c r="II38" s="23">
        <f t="shared" si="558"/>
        <v>72985</v>
      </c>
      <c r="IJ38" s="23">
        <f t="shared" si="558"/>
        <v>84003</v>
      </c>
      <c r="IK38" s="23">
        <f t="shared" si="558"/>
        <v>75814</v>
      </c>
      <c r="IL38" s="23">
        <f t="shared" si="558"/>
        <v>1519</v>
      </c>
      <c r="IM38" s="23">
        <f t="shared" si="558"/>
        <v>59653</v>
      </c>
      <c r="IN38" s="23">
        <f t="shared" si="558"/>
        <v>104620</v>
      </c>
      <c r="IO38" s="23">
        <f t="shared" si="558"/>
        <v>64657</v>
      </c>
      <c r="IP38" s="23">
        <f t="shared" si="558"/>
        <v>92067</v>
      </c>
      <c r="IQ38" s="23">
        <f>((IQ3+IQ4+IQ5+IQ6+IQ7)*2)+IQ8+((IQ15+IQ17)*2)+IQ19+IQ20+IQ21+IQ22+IQ9</f>
        <v>83944</v>
      </c>
      <c r="IR38" s="23">
        <f>((IR3+IR4+IR5+IR6+IR7)*2)+IR8+((IR15+IR17)*2)+IR19+IR20+IR21+IR22+IR9</f>
        <v>75024</v>
      </c>
      <c r="IS38" s="23">
        <f t="shared" si="558"/>
        <v>2771</v>
      </c>
      <c r="IT38" s="23">
        <f>((IT3+IT4+IT5+IT6+IT7)*2)+IT8+((IT15+IT17)*2)+IT19+IT20+IT21+IT22+IT9</f>
        <v>64159</v>
      </c>
      <c r="IU38" s="23">
        <f t="shared" si="558"/>
        <v>125401</v>
      </c>
      <c r="IV38" s="23">
        <f t="shared" si="558"/>
        <v>126569</v>
      </c>
      <c r="IW38" s="23">
        <f t="shared" si="558"/>
        <v>117867</v>
      </c>
      <c r="IX38" s="23">
        <f t="shared" si="558"/>
        <v>88659</v>
      </c>
      <c r="IY38" s="23">
        <f t="shared" ref="IY38:JI38" si="559">((IY3+IY4+IY5+IY6+IY7)*2)+IY8+((IY15+IY17)*2)+IY19+IY20+IY21+IY22+IY9</f>
        <v>73781</v>
      </c>
      <c r="IZ38" s="23">
        <f t="shared" si="559"/>
        <v>1434</v>
      </c>
      <c r="JA38" s="23">
        <f t="shared" si="559"/>
        <v>55585</v>
      </c>
      <c r="JB38" s="23">
        <f t="shared" si="559"/>
        <v>73616</v>
      </c>
      <c r="JC38" s="23">
        <f t="shared" si="559"/>
        <v>82274</v>
      </c>
      <c r="JD38" s="23">
        <f t="shared" si="559"/>
        <v>77035</v>
      </c>
      <c r="JE38" s="23">
        <f t="shared" si="559"/>
        <v>93889</v>
      </c>
      <c r="JF38" s="23">
        <f t="shared" si="559"/>
        <v>104143</v>
      </c>
      <c r="JG38" s="23">
        <f t="shared" si="559"/>
        <v>8945</v>
      </c>
      <c r="JH38" s="23">
        <f t="shared" si="559"/>
        <v>50562</v>
      </c>
      <c r="JI38" s="23">
        <f t="shared" si="559"/>
        <v>63992</v>
      </c>
      <c r="JJ38" s="23">
        <f t="shared" ref="JJ38:JP38" si="560">((JJ3+JJ4+JJ5+JJ6+JJ7)*2)+JJ8+((JJ15+JJ17)*2)+JJ19+JJ20+JJ21+JJ22+JJ9</f>
        <v>62219</v>
      </c>
      <c r="JK38" s="23">
        <f t="shared" si="560"/>
        <v>113883</v>
      </c>
      <c r="JL38" s="23">
        <f t="shared" si="560"/>
        <v>95785</v>
      </c>
      <c r="JM38" s="23">
        <f t="shared" si="560"/>
        <v>91651</v>
      </c>
      <c r="JN38" s="23">
        <f t="shared" si="560"/>
        <v>1931</v>
      </c>
      <c r="JO38" s="23">
        <f t="shared" si="560"/>
        <v>96783</v>
      </c>
      <c r="JP38" s="23">
        <f t="shared" si="560"/>
        <v>74697</v>
      </c>
      <c r="JQ38" s="23">
        <f t="shared" ref="JQ38:KO38" si="561">((JQ3+JQ4+JQ5+JQ6+JQ7)*2)+JQ8+((JQ15+JQ17)*2)+JQ19+JQ20+JQ21+JQ22+JQ9</f>
        <v>83598</v>
      </c>
      <c r="JR38" s="23">
        <f t="shared" si="561"/>
        <v>97361</v>
      </c>
      <c r="JS38" s="23">
        <f t="shared" si="561"/>
        <v>108288</v>
      </c>
      <c r="JT38" s="23">
        <f t="shared" si="561"/>
        <v>73840</v>
      </c>
      <c r="JU38" s="23">
        <f t="shared" si="561"/>
        <v>7863</v>
      </c>
      <c r="JV38" s="23">
        <f t="shared" si="561"/>
        <v>0</v>
      </c>
      <c r="JW38" s="23">
        <f t="shared" si="561"/>
        <v>73489</v>
      </c>
      <c r="JX38" s="23">
        <f t="shared" si="561"/>
        <v>81626</v>
      </c>
      <c r="JY38" s="23">
        <f t="shared" si="561"/>
        <v>79359</v>
      </c>
      <c r="JZ38" s="23">
        <f t="shared" si="561"/>
        <v>71246</v>
      </c>
      <c r="KA38" s="23">
        <f t="shared" si="561"/>
        <v>47090</v>
      </c>
      <c r="KB38" s="23">
        <f t="shared" si="561"/>
        <v>1008</v>
      </c>
      <c r="KC38" s="23">
        <f t="shared" si="561"/>
        <v>47017</v>
      </c>
      <c r="KD38" s="23">
        <f t="shared" si="561"/>
        <v>78313</v>
      </c>
      <c r="KE38" s="23">
        <f t="shared" si="561"/>
        <v>94495</v>
      </c>
      <c r="KF38" s="23">
        <f t="shared" si="561"/>
        <v>98154</v>
      </c>
      <c r="KG38" s="23">
        <f t="shared" si="561"/>
        <v>82746</v>
      </c>
      <c r="KH38" s="23">
        <f t="shared" si="561"/>
        <v>112019</v>
      </c>
      <c r="KI38" s="23">
        <f t="shared" si="561"/>
        <v>3740</v>
      </c>
      <c r="KJ38" s="23">
        <f t="shared" si="561"/>
        <v>0</v>
      </c>
      <c r="KK38" s="23">
        <f t="shared" si="561"/>
        <v>65540</v>
      </c>
      <c r="KL38" s="23">
        <f t="shared" si="561"/>
        <v>87501</v>
      </c>
      <c r="KM38" s="23">
        <f t="shared" si="561"/>
        <v>79351</v>
      </c>
      <c r="KN38" s="23">
        <f t="shared" si="561"/>
        <v>113274</v>
      </c>
      <c r="KO38" s="23">
        <f t="shared" si="561"/>
        <v>86645</v>
      </c>
      <c r="KP38" s="23">
        <f t="shared" ref="KP38:KV38" si="562">((KP3+KP4+KP5+KP6+KP7)*2)+KP8+((KP15+KP17)*2)+KP19+KP20+KP21+KP22+KP9</f>
        <v>1387</v>
      </c>
      <c r="KQ38" s="23">
        <f t="shared" si="562"/>
        <v>47563</v>
      </c>
      <c r="KR38" s="23">
        <f t="shared" si="562"/>
        <v>76450</v>
      </c>
      <c r="KS38" s="23">
        <f t="shared" si="562"/>
        <v>67127</v>
      </c>
      <c r="KT38" s="23">
        <f t="shared" si="562"/>
        <v>123179</v>
      </c>
      <c r="KU38" s="23">
        <f t="shared" si="562"/>
        <v>98358</v>
      </c>
      <c r="KV38" s="23">
        <f t="shared" si="562"/>
        <v>108784</v>
      </c>
      <c r="KW38" s="23">
        <f t="shared" ref="KW38:ML38" si="563">((KW3+KW4+KW5+KW6+KW7)*2)+KW8+((KW15+KW17)*2)+KW19+KW20+KW21+KW22+KW9</f>
        <v>3329</v>
      </c>
      <c r="KX38" s="23">
        <f t="shared" si="563"/>
        <v>80461</v>
      </c>
      <c r="KY38" s="23">
        <f t="shared" si="563"/>
        <v>86634</v>
      </c>
      <c r="KZ38" s="23">
        <f t="shared" si="563"/>
        <v>108271</v>
      </c>
      <c r="LA38" s="23">
        <f t="shared" si="563"/>
        <v>84833</v>
      </c>
      <c r="LB38" s="23">
        <f t="shared" si="563"/>
        <v>74164</v>
      </c>
      <c r="LC38" s="23">
        <f t="shared" si="563"/>
        <v>69297</v>
      </c>
      <c r="LD38" s="23">
        <f t="shared" si="563"/>
        <v>1032</v>
      </c>
      <c r="LE38" s="23">
        <f t="shared" si="563"/>
        <v>40501</v>
      </c>
      <c r="LF38" s="23">
        <f t="shared" si="563"/>
        <v>61828</v>
      </c>
      <c r="LG38" s="23">
        <f t="shared" si="563"/>
        <v>66928</v>
      </c>
      <c r="LH38" s="23">
        <f t="shared" si="563"/>
        <v>102345</v>
      </c>
      <c r="LI38" s="23">
        <f t="shared" si="563"/>
        <v>61018</v>
      </c>
      <c r="LJ38" s="23">
        <f t="shared" si="563"/>
        <v>89766</v>
      </c>
      <c r="LK38" s="23">
        <f t="shared" si="563"/>
        <v>2743</v>
      </c>
      <c r="LL38" s="23">
        <f t="shared" si="563"/>
        <v>65346</v>
      </c>
      <c r="LM38" s="23">
        <f t="shared" si="563"/>
        <v>67597</v>
      </c>
      <c r="LN38" s="23">
        <f t="shared" si="563"/>
        <v>81476</v>
      </c>
      <c r="LO38" s="23">
        <f t="shared" si="563"/>
        <v>119978</v>
      </c>
      <c r="LP38" s="23">
        <f t="shared" si="563"/>
        <v>80740</v>
      </c>
      <c r="LQ38" s="23">
        <f t="shared" si="563"/>
        <v>77477</v>
      </c>
      <c r="LR38" s="23">
        <f t="shared" si="563"/>
        <v>2573</v>
      </c>
      <c r="LS38" s="23">
        <f t="shared" si="563"/>
        <v>49976</v>
      </c>
      <c r="LT38" s="23">
        <f t="shared" si="563"/>
        <v>95380</v>
      </c>
      <c r="LU38" s="23">
        <f t="shared" si="563"/>
        <v>51813</v>
      </c>
      <c r="LV38" s="23">
        <f>((LV3+LV4+LV5+LV6+LV7)*2)+LV8+((LV15+LV17)*2)+LV19+LV20+LV21+LV22+LV9</f>
        <v>67655</v>
      </c>
      <c r="LW38" s="23">
        <f t="shared" si="563"/>
        <v>92365</v>
      </c>
      <c r="LX38" s="23">
        <f t="shared" si="563"/>
        <v>66563</v>
      </c>
      <c r="LY38" s="23">
        <f t="shared" si="563"/>
        <v>5417</v>
      </c>
      <c r="LZ38" s="23">
        <f t="shared" si="563"/>
        <v>78992</v>
      </c>
      <c r="MA38" s="23">
        <f t="shared" si="563"/>
        <v>111369</v>
      </c>
      <c r="MB38" s="23">
        <f t="shared" si="563"/>
        <v>63385</v>
      </c>
      <c r="MC38" s="23">
        <f t="shared" si="563"/>
        <v>84959</v>
      </c>
      <c r="MD38" s="23">
        <f t="shared" si="563"/>
        <v>92661</v>
      </c>
      <c r="ME38" s="23">
        <f t="shared" si="563"/>
        <v>125411</v>
      </c>
      <c r="MF38" s="23">
        <f t="shared" si="563"/>
        <v>2068</v>
      </c>
      <c r="MG38" s="23">
        <f t="shared" si="563"/>
        <v>42620</v>
      </c>
      <c r="MH38" s="23">
        <f>((MH3+MH4+MH5+MH6+MH7)*2)+MH8+((MH15+MH17)*2)+MH19+MH20+MH21+MH22+MH9</f>
        <v>80506</v>
      </c>
      <c r="MI38" s="23">
        <f t="shared" si="563"/>
        <v>45610</v>
      </c>
      <c r="MJ38" s="23">
        <f t="shared" si="563"/>
        <v>67166</v>
      </c>
      <c r="MK38" s="23">
        <f t="shared" si="563"/>
        <v>105736</v>
      </c>
      <c r="ML38" s="23">
        <f t="shared" si="563"/>
        <v>71037</v>
      </c>
      <c r="MM38" s="23">
        <f t="shared" ref="MM38:NJ38" si="564">((MM3+MM4+MM5+MM6+MM7)*2)+MM8+((MM15+MM17)*2)+MM19+MM20+MM21+MM22+MM9</f>
        <v>1135</v>
      </c>
      <c r="MN38" s="23">
        <f t="shared" si="564"/>
        <v>88536</v>
      </c>
      <c r="MO38" s="23">
        <f t="shared" si="564"/>
        <v>66829</v>
      </c>
      <c r="MP38" s="23">
        <f t="shared" si="564"/>
        <v>63075</v>
      </c>
      <c r="MQ38" s="23">
        <f t="shared" si="564"/>
        <v>96569</v>
      </c>
      <c r="MR38" s="23">
        <f t="shared" si="564"/>
        <v>67725</v>
      </c>
      <c r="MS38" s="23">
        <f t="shared" si="564"/>
        <v>69819</v>
      </c>
      <c r="MT38" s="23">
        <f t="shared" si="564"/>
        <v>22373</v>
      </c>
      <c r="MU38" s="23">
        <f t="shared" si="564"/>
        <v>0</v>
      </c>
      <c r="MV38" s="23">
        <f t="shared" si="564"/>
        <v>82163</v>
      </c>
      <c r="MW38" s="23">
        <f t="shared" si="564"/>
        <v>104944</v>
      </c>
      <c r="MX38" s="23">
        <f t="shared" si="564"/>
        <v>99798</v>
      </c>
      <c r="MY38" s="23">
        <f t="shared" si="564"/>
        <v>119519</v>
      </c>
      <c r="MZ38" s="23">
        <f t="shared" si="564"/>
        <v>171791</v>
      </c>
      <c r="NA38" s="23">
        <f>((NA3+NA4+NA5+NA6+NA7)*2)+NA8+((NA15+NA17)*2)+NA19+NA20+NA21+NA22+NA9</f>
        <v>3904</v>
      </c>
      <c r="NB38" s="23">
        <f t="shared" si="564"/>
        <v>75939</v>
      </c>
      <c r="NC38" s="23">
        <f t="shared" si="564"/>
        <v>86963</v>
      </c>
      <c r="ND38" s="23">
        <f t="shared" si="564"/>
        <v>7318</v>
      </c>
      <c r="NE38" s="23">
        <f t="shared" si="564"/>
        <v>95270</v>
      </c>
      <c r="NF38" s="23">
        <f t="shared" si="564"/>
        <v>117145</v>
      </c>
      <c r="NG38" s="23">
        <f t="shared" si="564"/>
        <v>136359</v>
      </c>
      <c r="NH38" s="23">
        <f t="shared" si="564"/>
        <v>4050</v>
      </c>
      <c r="NI38" s="23">
        <f t="shared" si="564"/>
        <v>134635</v>
      </c>
      <c r="NJ38" s="23">
        <f t="shared" si="564"/>
        <v>97462</v>
      </c>
      <c r="NK38" s="23">
        <f t="shared" ref="NK38:NV38" si="565">((NK3+NK4+NK5+NK6+NK7)*2)+NK8+((NK15+NK17)*2)+NK19+NK20+NK21+NK22+NK9</f>
        <v>95641</v>
      </c>
      <c r="NL38" s="23">
        <f t="shared" si="565"/>
        <v>115658</v>
      </c>
      <c r="NM38" s="23">
        <f t="shared" si="565"/>
        <v>81403</v>
      </c>
      <c r="NN38" s="23">
        <f t="shared" si="565"/>
        <v>101093</v>
      </c>
      <c r="NO38" s="23">
        <f t="shared" si="565"/>
        <v>1823</v>
      </c>
      <c r="NP38" s="23">
        <f t="shared" si="565"/>
        <v>57654</v>
      </c>
      <c r="NQ38" s="23">
        <f t="shared" si="565"/>
        <v>93007</v>
      </c>
      <c r="NR38" s="23">
        <f t="shared" si="565"/>
        <v>58973</v>
      </c>
      <c r="NS38" s="23">
        <f t="shared" si="565"/>
        <v>67364</v>
      </c>
      <c r="NT38" s="23">
        <f t="shared" si="565"/>
        <v>65824</v>
      </c>
      <c r="NU38" s="23">
        <f t="shared" si="565"/>
        <v>50456</v>
      </c>
      <c r="NV38" s="23">
        <f t="shared" si="565"/>
        <v>3211</v>
      </c>
      <c r="NW38" s="23">
        <f t="shared" ref="NW38:OD38" si="566">((NW3+NW4+NW5+NW6+NW7)*2)+NW8+((NW15+NW17)*2)+NW19+NW20+NW21+NW22+NW9</f>
        <v>55097</v>
      </c>
      <c r="NX38" s="23">
        <f t="shared" si="566"/>
        <v>65208</v>
      </c>
      <c r="NY38" s="23">
        <f t="shared" si="566"/>
        <v>54912</v>
      </c>
      <c r="NZ38" s="23">
        <f t="shared" si="566"/>
        <v>76359</v>
      </c>
      <c r="OA38" s="23">
        <f t="shared" si="566"/>
        <v>62867</v>
      </c>
      <c r="OB38" s="23">
        <f t="shared" si="566"/>
        <v>55208</v>
      </c>
      <c r="OC38" s="23">
        <f t="shared" si="566"/>
        <v>1753</v>
      </c>
      <c r="OD38" s="23">
        <f t="shared" si="566"/>
        <v>78807</v>
      </c>
      <c r="OE38" s="23">
        <f t="shared" ref="OE38:OL38" si="567">((OE3+OE4+OE5+OE6+OE7)*2)+OE8+((OE15+OE17)*2)+OE19+OE20+OE21+OE22+OE9</f>
        <v>82704</v>
      </c>
      <c r="OF38" s="23">
        <f t="shared" si="567"/>
        <v>94982</v>
      </c>
      <c r="OG38" s="23">
        <f t="shared" si="567"/>
        <v>99832</v>
      </c>
      <c r="OH38" s="23">
        <f t="shared" si="567"/>
        <v>123807</v>
      </c>
      <c r="OI38" s="23">
        <f t="shared" si="567"/>
        <v>69901</v>
      </c>
      <c r="OJ38" s="23">
        <f t="shared" si="567"/>
        <v>1088</v>
      </c>
      <c r="OK38" s="23">
        <f t="shared" si="567"/>
        <v>44788</v>
      </c>
      <c r="OL38" s="23">
        <f t="shared" si="567"/>
        <v>46292</v>
      </c>
      <c r="OM38" s="23">
        <f t="shared" ref="OM38:OQ38" si="568">((OM3+OM4+OM5+OM6+OM7)*2)+OM8+((OM15+OM17)*2)+OM19+OM20+OM21+OM22+OM9</f>
        <v>40827</v>
      </c>
      <c r="ON38" s="23">
        <f t="shared" si="568"/>
        <v>47014</v>
      </c>
      <c r="OO38" s="23">
        <f t="shared" si="568"/>
        <v>50973</v>
      </c>
      <c r="OP38" s="23">
        <f t="shared" si="568"/>
        <v>42392</v>
      </c>
      <c r="OQ38" s="23">
        <f t="shared" si="568"/>
        <v>2037</v>
      </c>
      <c r="OR38" s="23">
        <f t="shared" ref="OR38:OX38" si="569">((OR3+OR4+OR5+OR6+OR7)*2)+OR8+((OR15+OR17)*2)+OR19+OR20+OR21+OR22+OR9</f>
        <v>32266</v>
      </c>
      <c r="OS38" s="23">
        <f t="shared" si="569"/>
        <v>123862</v>
      </c>
      <c r="OT38" s="23">
        <f t="shared" si="569"/>
        <v>88478</v>
      </c>
      <c r="OU38" s="23">
        <f t="shared" si="569"/>
        <v>8416</v>
      </c>
      <c r="OV38" s="23">
        <f t="shared" si="569"/>
        <v>103930</v>
      </c>
      <c r="OW38" s="23">
        <f t="shared" si="569"/>
        <v>84084</v>
      </c>
      <c r="OX38" s="23">
        <f t="shared" si="569"/>
        <v>2717</v>
      </c>
      <c r="OY38" s="23">
        <f t="shared" ref="OY38:PJ38" si="570">((OY3+OY4+OY5+OY6+OY7)*2)+OY8+((OY15+OY17)*2)+OY19+OY20+OY21+OY22+OY9</f>
        <v>106286</v>
      </c>
      <c r="OZ38" s="23">
        <f t="shared" si="570"/>
        <v>103552</v>
      </c>
      <c r="PA38" s="23">
        <f t="shared" si="570"/>
        <v>81596</v>
      </c>
      <c r="PB38" s="23">
        <f t="shared" si="570"/>
        <v>89951</v>
      </c>
      <c r="PC38" s="23">
        <f t="shared" si="570"/>
        <v>123867</v>
      </c>
      <c r="PD38" s="23">
        <f t="shared" si="570"/>
        <v>105747</v>
      </c>
      <c r="PE38" s="23">
        <f t="shared" si="570"/>
        <v>47373</v>
      </c>
      <c r="PF38" s="23">
        <f t="shared" si="570"/>
        <v>64147</v>
      </c>
      <c r="PG38" s="23">
        <f t="shared" si="570"/>
        <v>101371</v>
      </c>
      <c r="PH38" s="23">
        <f t="shared" si="570"/>
        <v>103799</v>
      </c>
      <c r="PI38" s="23">
        <f t="shared" si="570"/>
        <v>139712</v>
      </c>
      <c r="PJ38" s="23">
        <f t="shared" si="570"/>
        <v>122407</v>
      </c>
      <c r="PK38" s="23">
        <f t="shared" ref="PK38:PU38" si="571">((PK3+PK4+PK5+PK6+PK7)*2)+PK8+((PK15+PK17)*2)+PK19+PK20+PK21+PK22+PK9</f>
        <v>121613</v>
      </c>
      <c r="PL38" s="23">
        <f t="shared" si="571"/>
        <v>4209</v>
      </c>
      <c r="PM38" s="23">
        <f t="shared" si="571"/>
        <v>105945</v>
      </c>
      <c r="PN38" s="23">
        <f t="shared" si="571"/>
        <v>106276</v>
      </c>
      <c r="PO38" s="23">
        <f t="shared" si="571"/>
        <v>127784</v>
      </c>
      <c r="PP38" s="23">
        <f t="shared" si="571"/>
        <v>146767</v>
      </c>
      <c r="PQ38" s="23">
        <f t="shared" si="571"/>
        <v>112664</v>
      </c>
      <c r="PR38" s="23">
        <f t="shared" si="571"/>
        <v>80316</v>
      </c>
      <c r="PS38" s="23">
        <f t="shared" si="571"/>
        <v>31685</v>
      </c>
      <c r="PT38" s="23">
        <f t="shared" si="571"/>
        <v>3182</v>
      </c>
      <c r="PU38" s="23">
        <f t="shared" si="571"/>
        <v>0</v>
      </c>
      <c r="PV38" s="23">
        <f t="shared" ref="PV38:QB38" si="572">((PV3+PV4+PV5+PV6+PV7)*2)+PV8+((PV15+PV17)*2)+PV19+PV20+PV21+PV22+PV9</f>
        <v>0</v>
      </c>
      <c r="PW38" s="23">
        <f t="shared" si="572"/>
        <v>21219</v>
      </c>
      <c r="PX38" s="23">
        <f t="shared" si="572"/>
        <v>45995</v>
      </c>
      <c r="PY38" s="23">
        <f t="shared" si="572"/>
        <v>24958</v>
      </c>
      <c r="PZ38" s="23">
        <f t="shared" si="572"/>
        <v>647</v>
      </c>
      <c r="QA38" s="23">
        <f t="shared" si="572"/>
        <v>62926</v>
      </c>
      <c r="QB38" s="23">
        <f t="shared" si="572"/>
        <v>64945</v>
      </c>
      <c r="QC38" s="23">
        <f t="shared" ref="QC38:QI38" si="573">((QC3+QC4+QC5+QC6+QC7)*2)+QC8+((QC15+QC17)*2)+QC19+QC20+QC21+QC22+QC9</f>
        <v>139678</v>
      </c>
      <c r="QD38" s="23">
        <f t="shared" si="573"/>
        <v>149608</v>
      </c>
      <c r="QE38" s="23">
        <f t="shared" si="573"/>
        <v>129776</v>
      </c>
      <c r="QF38" s="23">
        <f t="shared" si="573"/>
        <v>93424</v>
      </c>
      <c r="QG38" s="23">
        <f t="shared" si="573"/>
        <v>2499</v>
      </c>
      <c r="QH38" s="23">
        <f t="shared" si="573"/>
        <v>102414</v>
      </c>
      <c r="QI38" s="23">
        <f t="shared" si="573"/>
        <v>105799</v>
      </c>
      <c r="QJ38" s="23">
        <f t="shared" ref="QJ38:QU38" si="574">((QJ3+QJ4+QJ5+QJ6+QJ7)*2)+QJ8+((QJ15+QJ17)*2)+QJ19+QJ20+QJ21+QJ22+QJ9</f>
        <v>103721</v>
      </c>
      <c r="QK38" s="23">
        <f t="shared" si="574"/>
        <v>121461</v>
      </c>
      <c r="QL38" s="23">
        <f t="shared" si="574"/>
        <v>109074</v>
      </c>
      <c r="QM38" s="23">
        <f t="shared" si="574"/>
        <v>102951</v>
      </c>
      <c r="QN38" s="23">
        <f t="shared" si="574"/>
        <v>1936</v>
      </c>
      <c r="QO38" s="23">
        <f t="shared" si="574"/>
        <v>93078</v>
      </c>
      <c r="QP38" s="23">
        <f t="shared" si="574"/>
        <v>100650</v>
      </c>
      <c r="QQ38" s="23">
        <f t="shared" si="574"/>
        <v>112685</v>
      </c>
      <c r="QR38" s="23">
        <f t="shared" si="574"/>
        <v>115960</v>
      </c>
      <c r="QS38" s="23">
        <f t="shared" si="574"/>
        <v>117336</v>
      </c>
      <c r="QT38" s="23">
        <f t="shared" si="574"/>
        <v>109746</v>
      </c>
      <c r="QU38" s="23">
        <f t="shared" si="574"/>
        <v>2949</v>
      </c>
      <c r="QV38" s="23">
        <f t="shared" ref="QV38:SA38" si="575">((QV3+QV4+QV5+QV6+QV7)*2)+QV8+((QV15+QV17)*2)+QV19+QV20+QV21+QV22+QV9</f>
        <v>87487</v>
      </c>
      <c r="QW38" s="23">
        <f t="shared" si="575"/>
        <v>89231</v>
      </c>
      <c r="QX38" s="23">
        <f t="shared" si="575"/>
        <v>74525</v>
      </c>
      <c r="QY38" s="23">
        <f t="shared" si="575"/>
        <v>113034</v>
      </c>
      <c r="QZ38" s="23">
        <f t="shared" si="575"/>
        <v>124484</v>
      </c>
      <c r="RA38" s="23">
        <f t="shared" si="575"/>
        <v>89410</v>
      </c>
      <c r="RB38" s="23">
        <f t="shared" si="575"/>
        <v>2570</v>
      </c>
      <c r="RC38" s="23">
        <f t="shared" si="575"/>
        <v>120617</v>
      </c>
      <c r="RD38" s="23">
        <f t="shared" si="575"/>
        <v>75466</v>
      </c>
      <c r="RE38" s="23">
        <f t="shared" si="575"/>
        <v>84933</v>
      </c>
      <c r="RF38" s="23">
        <f t="shared" si="575"/>
        <v>132715</v>
      </c>
      <c r="RG38" s="23">
        <f t="shared" si="575"/>
        <v>152337</v>
      </c>
      <c r="RH38" s="23">
        <f t="shared" si="575"/>
        <v>4076</v>
      </c>
      <c r="RI38" s="23">
        <f t="shared" si="575"/>
        <v>0</v>
      </c>
      <c r="RJ38" s="23">
        <f t="shared" si="575"/>
        <v>97969</v>
      </c>
      <c r="RK38" s="23">
        <f t="shared" si="575"/>
        <v>130547</v>
      </c>
      <c r="RL38" s="23">
        <f t="shared" si="575"/>
        <v>73446</v>
      </c>
      <c r="RM38" s="23">
        <f t="shared" si="575"/>
        <v>108955</v>
      </c>
      <c r="RN38" s="23">
        <f t="shared" si="575"/>
        <v>91555</v>
      </c>
      <c r="RO38" s="23">
        <f t="shared" si="575"/>
        <v>74073</v>
      </c>
      <c r="RP38" s="23">
        <f t="shared" si="575"/>
        <v>2175</v>
      </c>
      <c r="RQ38" s="23">
        <f t="shared" si="575"/>
        <v>90205</v>
      </c>
      <c r="RR38" s="23">
        <f t="shared" si="575"/>
        <v>109271</v>
      </c>
      <c r="RS38" s="23">
        <f t="shared" si="575"/>
        <v>113497</v>
      </c>
      <c r="RT38" s="23">
        <f t="shared" si="575"/>
        <v>118595</v>
      </c>
      <c r="RU38" s="23">
        <f t="shared" si="575"/>
        <v>100596</v>
      </c>
      <c r="RV38" s="23">
        <f t="shared" si="575"/>
        <v>94099</v>
      </c>
      <c r="RW38" s="23">
        <f t="shared" si="575"/>
        <v>3092</v>
      </c>
      <c r="RX38" s="23">
        <f t="shared" si="575"/>
        <v>98799</v>
      </c>
      <c r="RY38" s="23">
        <f t="shared" si="575"/>
        <v>83256</v>
      </c>
      <c r="RZ38" s="23">
        <f t="shared" si="575"/>
        <v>111936</v>
      </c>
      <c r="SA38" s="23">
        <f t="shared" si="575"/>
        <v>122788</v>
      </c>
      <c r="SB38" s="23">
        <f>((SB3+SB4+SB5+SB6+SB7)*2)+SB8+((SB15+SB17)*2)+SB19+SB20+SB21+SB22+SB9</f>
        <v>107063</v>
      </c>
      <c r="SC38" s="23">
        <f t="shared" ref="SC38:SO38" si="576">((SC3+SC4+SC5+SC6+SC7)*2)+SC8+((SC15+SC17)*2)+SC19+SC20+SC21+SC22+SC9</f>
        <v>88031</v>
      </c>
      <c r="SD38" s="23">
        <f t="shared" si="576"/>
        <v>2197</v>
      </c>
      <c r="SE38" s="23">
        <f>((SE3+SE4+SE5+SE6+SE7)*2)+SE8+((SE15+SE17)*2)+SE19+SE20+SE21+SE22+SE9</f>
        <v>55590</v>
      </c>
      <c r="SF38" s="23">
        <f t="shared" si="576"/>
        <v>79321</v>
      </c>
      <c r="SG38" s="23">
        <f t="shared" si="576"/>
        <v>86947</v>
      </c>
      <c r="SH38" s="23">
        <f t="shared" si="576"/>
        <v>113599</v>
      </c>
      <c r="SI38" s="23">
        <f t="shared" si="576"/>
        <v>130399</v>
      </c>
      <c r="SJ38" s="23">
        <f>((SJ3+SJ4+SJ5+SJ6+SJ7)*2)+SJ8+((SJ15+SJ17)*2)+SJ19+SJ20+SJ21+SJ22+SJ9</f>
        <v>127472</v>
      </c>
      <c r="SK38" s="23">
        <f t="shared" si="576"/>
        <v>1462</v>
      </c>
      <c r="SL38" s="23">
        <f t="shared" si="576"/>
        <v>84955</v>
      </c>
      <c r="SM38" s="23">
        <f t="shared" si="576"/>
        <v>74479</v>
      </c>
      <c r="SN38" s="23">
        <f t="shared" si="576"/>
        <v>99923</v>
      </c>
      <c r="SO38" s="23">
        <f t="shared" si="576"/>
        <v>90182</v>
      </c>
      <c r="SP38" s="23">
        <f t="shared" ref="SP38:SV38" si="577">((SP3+SP4+SP5+SP6+SP7)*2)+SP8+((SP15+SP17)*2)+SP19+SP20+SP21+SP22+SP9</f>
        <v>90938</v>
      </c>
      <c r="SQ38" s="23">
        <f t="shared" si="577"/>
        <v>105241</v>
      </c>
      <c r="SR38" s="23">
        <f t="shared" si="577"/>
        <v>1615</v>
      </c>
      <c r="SS38" s="23">
        <f t="shared" si="577"/>
        <v>81396</v>
      </c>
      <c r="ST38" s="23">
        <f t="shared" si="577"/>
        <v>89978</v>
      </c>
      <c r="SU38" s="23">
        <f t="shared" si="577"/>
        <v>97186</v>
      </c>
      <c r="SV38" s="23">
        <f t="shared" si="577"/>
        <v>126919</v>
      </c>
      <c r="SW38" s="23">
        <f t="shared" ref="SW38:TH38" si="578">((SW3+SW4+SW5+SW6+SW7)*2)+SW8+((SW15+SW17)*2)+SW19+SW20+SW21+SW22+SW9</f>
        <v>125057</v>
      </c>
      <c r="SX38" s="23">
        <f t="shared" si="578"/>
        <v>121323</v>
      </c>
      <c r="SY38" s="23">
        <f t="shared" si="578"/>
        <v>2039</v>
      </c>
      <c r="SZ38" s="23">
        <f t="shared" si="578"/>
        <v>115118</v>
      </c>
      <c r="TA38" s="23">
        <f t="shared" si="578"/>
        <v>153070</v>
      </c>
      <c r="TB38" s="23">
        <f t="shared" si="578"/>
        <v>114911</v>
      </c>
      <c r="TC38" s="23">
        <f t="shared" si="578"/>
        <v>95293</v>
      </c>
      <c r="TD38" s="23">
        <f t="shared" si="578"/>
        <v>107644</v>
      </c>
      <c r="TE38" s="23">
        <f t="shared" si="578"/>
        <v>78644</v>
      </c>
      <c r="TF38" s="23">
        <f t="shared" si="578"/>
        <v>1633</v>
      </c>
      <c r="TG38" s="23">
        <f t="shared" si="578"/>
        <v>62868</v>
      </c>
      <c r="TH38" s="23">
        <f t="shared" si="578"/>
        <v>52741</v>
      </c>
      <c r="TI38" s="23">
        <f t="shared" ref="TI38:TO38" si="579">((TI3+TI4+TI5+TI6+TI7)*2)+TI8+((TI15+TI17)*2)+TI19+TI20+TI21+TI22+TI9</f>
        <v>87700</v>
      </c>
      <c r="TJ38" s="23">
        <f t="shared" si="579"/>
        <v>73790</v>
      </c>
      <c r="TK38" s="23">
        <f t="shared" si="579"/>
        <v>71351</v>
      </c>
      <c r="TL38" s="23">
        <f t="shared" si="579"/>
        <v>65863</v>
      </c>
      <c r="TM38" s="23">
        <f t="shared" si="579"/>
        <v>3930</v>
      </c>
      <c r="TN38" s="23">
        <f t="shared" si="579"/>
        <v>0</v>
      </c>
      <c r="TO38" s="23">
        <f t="shared" si="579"/>
        <v>90719</v>
      </c>
      <c r="TP38" s="23">
        <f t="shared" ref="TP38:TX38" si="580">((TP3+TP4+TP5+TP6+TP7)*2)+TP8+((TP15+TP17)*2)+TP19+TP20+TP21+TP22+TP9</f>
        <v>107066</v>
      </c>
      <c r="TQ38" s="23">
        <f t="shared" si="580"/>
        <v>88291</v>
      </c>
      <c r="TR38" s="23">
        <f t="shared" si="580"/>
        <v>83406</v>
      </c>
      <c r="TS38" s="23">
        <f t="shared" si="580"/>
        <v>64342</v>
      </c>
      <c r="TT38" s="23">
        <f t="shared" si="580"/>
        <v>1418</v>
      </c>
      <c r="TU38" s="23">
        <f t="shared" si="580"/>
        <v>0</v>
      </c>
      <c r="TV38" s="23">
        <f t="shared" si="580"/>
        <v>0</v>
      </c>
      <c r="TW38" s="23">
        <f t="shared" si="580"/>
        <v>30949</v>
      </c>
      <c r="TX38" s="23">
        <f t="shared" si="580"/>
        <v>35897</v>
      </c>
      <c r="TY38" s="23">
        <f t="shared" ref="TY38:UC38" si="581">((TY3+TY4+TY5+TY6+TY7)*2)+TY8+((TY15+TY17)*2)+TY19+TY20+TY21+TY22+TY9</f>
        <v>69927</v>
      </c>
      <c r="TZ38" s="23">
        <f t="shared" si="581"/>
        <v>74553</v>
      </c>
      <c r="UA38" s="23">
        <f t="shared" si="581"/>
        <v>610</v>
      </c>
      <c r="UB38" s="23">
        <f t="shared" si="581"/>
        <v>76092</v>
      </c>
      <c r="UC38" s="23">
        <f t="shared" si="581"/>
        <v>67173</v>
      </c>
      <c r="UD38" s="23">
        <f t="shared" ref="UD38:UK38" si="582">((UD3+UD4+UD5+UD6+UD7)*2)+UD8+((UD15+UD17)*2)+UD19+UD20+UD21+UD22+UD9</f>
        <v>93901</v>
      </c>
      <c r="UE38" s="23">
        <f t="shared" si="582"/>
        <v>116532</v>
      </c>
      <c r="UF38" s="23">
        <f t="shared" si="582"/>
        <v>81514</v>
      </c>
      <c r="UG38" s="23">
        <f t="shared" si="582"/>
        <v>87926</v>
      </c>
      <c r="UH38" s="23">
        <f t="shared" si="582"/>
        <v>5186</v>
      </c>
      <c r="UI38" s="23">
        <f t="shared" si="582"/>
        <v>112403</v>
      </c>
      <c r="UJ38" s="23">
        <f t="shared" si="582"/>
        <v>71443</v>
      </c>
      <c r="UK38" s="23">
        <f t="shared" si="582"/>
        <v>84059</v>
      </c>
      <c r="UL38" s="23">
        <f t="shared" ref="UL38:VB38" si="583">((UL3+UL4+UL5+UL6+UL7)*2)+UL8+((UL15+UL17)*2)+UL19+UL20+UL21+UL22+UL9</f>
        <v>4646</v>
      </c>
      <c r="UM38" s="23">
        <f t="shared" si="583"/>
        <v>98625</v>
      </c>
      <c r="UN38" s="23">
        <f t="shared" si="583"/>
        <v>89879</v>
      </c>
      <c r="UO38" s="23">
        <f t="shared" si="583"/>
        <v>2612</v>
      </c>
      <c r="UP38" s="23">
        <f t="shared" si="583"/>
        <v>0</v>
      </c>
      <c r="UQ38" s="23">
        <f t="shared" si="583"/>
        <v>85748</v>
      </c>
      <c r="UR38" s="23">
        <f t="shared" si="583"/>
        <v>79680</v>
      </c>
      <c r="US38" s="23">
        <f t="shared" si="583"/>
        <v>85609</v>
      </c>
      <c r="UT38" s="23">
        <f t="shared" si="583"/>
        <v>114988</v>
      </c>
      <c r="UU38" s="23">
        <f t="shared" si="583"/>
        <v>93429</v>
      </c>
      <c r="UV38" s="23">
        <f t="shared" si="583"/>
        <v>3844</v>
      </c>
      <c r="UW38" s="23">
        <f t="shared" si="583"/>
        <v>0</v>
      </c>
      <c r="UX38" s="23">
        <f t="shared" si="583"/>
        <v>96957</v>
      </c>
      <c r="UY38" s="23">
        <f t="shared" si="583"/>
        <v>92629</v>
      </c>
      <c r="UZ38" s="23">
        <f t="shared" si="583"/>
        <v>96322</v>
      </c>
      <c r="VA38" s="23">
        <f t="shared" si="583"/>
        <v>98185</v>
      </c>
      <c r="VB38" s="23">
        <f t="shared" si="583"/>
        <v>70530</v>
      </c>
      <c r="VC38" s="23">
        <f t="shared" ref="VC38:VV38" si="584">((VC3+VC4+VC5+VC6+VC7)*2)+VC8+((VC15+VC17)*2)+VC19+VC20+VC21+VC22+VC9</f>
        <v>1885</v>
      </c>
      <c r="VD38" s="23">
        <f t="shared" si="584"/>
        <v>83264</v>
      </c>
      <c r="VE38" s="23">
        <f t="shared" si="584"/>
        <v>68625</v>
      </c>
      <c r="VF38" s="23">
        <f t="shared" si="584"/>
        <v>65744</v>
      </c>
      <c r="VG38" s="23">
        <f t="shared" si="584"/>
        <v>96299</v>
      </c>
      <c r="VH38" s="23">
        <f t="shared" si="584"/>
        <v>90357</v>
      </c>
      <c r="VI38" s="23">
        <f t="shared" si="584"/>
        <v>70669</v>
      </c>
      <c r="VJ38" s="23">
        <f t="shared" si="584"/>
        <v>2847</v>
      </c>
      <c r="VK38" s="23">
        <f t="shared" si="584"/>
        <v>129499</v>
      </c>
      <c r="VL38" s="23">
        <f t="shared" si="584"/>
        <v>79734</v>
      </c>
      <c r="VM38" s="23">
        <f t="shared" si="584"/>
        <v>96507</v>
      </c>
      <c r="VN38" s="23">
        <f t="shared" si="584"/>
        <v>109753</v>
      </c>
      <c r="VO38" s="23">
        <f t="shared" si="584"/>
        <v>77770</v>
      </c>
      <c r="VP38" s="23">
        <f t="shared" si="584"/>
        <v>75039</v>
      </c>
      <c r="VQ38" s="23">
        <f t="shared" si="584"/>
        <v>2186</v>
      </c>
      <c r="VR38" s="23">
        <f t="shared" si="584"/>
        <v>85335</v>
      </c>
      <c r="VS38" s="23">
        <f t="shared" si="584"/>
        <v>5580</v>
      </c>
      <c r="VT38" s="23">
        <f t="shared" si="584"/>
        <v>66295</v>
      </c>
      <c r="VU38" s="23">
        <f t="shared" si="584"/>
        <v>103327</v>
      </c>
      <c r="VV38" s="23">
        <f t="shared" si="584"/>
        <v>86407</v>
      </c>
      <c r="VW38" s="23">
        <f t="shared" ref="VW38:WB38" si="585">((VW3+VW4+VW5+VW6+VW7)*2)+VW8+((VW15+VW17)*2)+VW19+VW20+VW21+VW22+VW9</f>
        <v>70363</v>
      </c>
      <c r="VX38" s="23">
        <f t="shared" si="585"/>
        <v>2271</v>
      </c>
      <c r="VY38" s="23">
        <f t="shared" si="585"/>
        <v>96792</v>
      </c>
      <c r="VZ38" s="23">
        <f t="shared" si="585"/>
        <v>102366</v>
      </c>
      <c r="WA38" s="23">
        <f t="shared" si="585"/>
        <v>71098</v>
      </c>
      <c r="WB38" s="23">
        <f t="shared" si="585"/>
        <v>76651</v>
      </c>
      <c r="WC38" s="23">
        <f t="shared" ref="WC38:WK38" si="586">((WC3+WC4+WC5+WC6+WC7)*2)+WC8+((WC15+WC17)*2)+WC19+WC20+WC21+WC22+WC9</f>
        <v>104199</v>
      </c>
      <c r="WD38" s="23">
        <f t="shared" si="586"/>
        <v>86408</v>
      </c>
      <c r="WE38" s="23">
        <f t="shared" si="586"/>
        <v>1825</v>
      </c>
      <c r="WF38" s="23">
        <f t="shared" si="586"/>
        <v>63866</v>
      </c>
      <c r="WG38" s="23">
        <f t="shared" si="586"/>
        <v>39066</v>
      </c>
      <c r="WH38" s="23">
        <f t="shared" si="586"/>
        <v>62336</v>
      </c>
      <c r="WI38" s="23">
        <f t="shared" si="586"/>
        <v>80567</v>
      </c>
      <c r="WJ38" s="23">
        <f t="shared" si="586"/>
        <v>65216</v>
      </c>
      <c r="WK38" s="23">
        <f t="shared" si="586"/>
        <v>72856</v>
      </c>
      <c r="WL38" s="23">
        <f t="shared" ref="WL38:WW38" si="587">((WL3+WL4+WL5+WL6+WL7)*2)+WL8+((WL15+WL17)*2)+WL19+WL20+WL21+WL22+WL9</f>
        <v>1623</v>
      </c>
      <c r="WM38" s="23">
        <f t="shared" si="587"/>
        <v>64332</v>
      </c>
      <c r="WN38" s="23">
        <f t="shared" si="587"/>
        <v>77356</v>
      </c>
      <c r="WO38" s="23">
        <f t="shared" si="587"/>
        <v>63423</v>
      </c>
      <c r="WP38" s="23">
        <f t="shared" si="587"/>
        <v>93506</v>
      </c>
      <c r="WQ38" s="23">
        <f t="shared" si="587"/>
        <v>140100</v>
      </c>
      <c r="WR38" s="23">
        <f t="shared" si="587"/>
        <v>56156</v>
      </c>
      <c r="WS38" s="23">
        <f t="shared" si="587"/>
        <v>2242</v>
      </c>
      <c r="WT38" s="23">
        <f t="shared" si="587"/>
        <v>77597</v>
      </c>
      <c r="WU38" s="23">
        <f t="shared" si="587"/>
        <v>45305</v>
      </c>
      <c r="WV38" s="23">
        <f t="shared" si="587"/>
        <v>63415</v>
      </c>
      <c r="WW38" s="23">
        <f t="shared" si="587"/>
        <v>84731</v>
      </c>
      <c r="WX38" s="23">
        <f t="shared" ref="WX38:XG38" si="588">((WX3+WX4+WX5+WX6+WX7)*2)+WX8+((WX15+WX17)*2)+WX19+WX20+WX21+WX22+WX9</f>
        <v>88768</v>
      </c>
      <c r="WY38" s="23">
        <f t="shared" si="588"/>
        <v>64699</v>
      </c>
      <c r="WZ38" s="23">
        <f t="shared" si="588"/>
        <v>2148</v>
      </c>
      <c r="XA38" s="23">
        <f t="shared" si="588"/>
        <v>69726</v>
      </c>
      <c r="XB38" s="23">
        <f t="shared" si="588"/>
        <v>62826</v>
      </c>
      <c r="XC38" s="23">
        <f t="shared" si="588"/>
        <v>109413</v>
      </c>
      <c r="XD38" s="23">
        <f t="shared" si="588"/>
        <v>80966</v>
      </c>
      <c r="XE38" s="23">
        <f t="shared" si="588"/>
        <v>85458</v>
      </c>
      <c r="XF38" s="23">
        <f t="shared" si="588"/>
        <v>77211</v>
      </c>
      <c r="XG38" s="23">
        <f t="shared" si="588"/>
        <v>1760</v>
      </c>
      <c r="XH38" s="23">
        <f t="shared" ref="XH38:XL38" si="589">((XH3+XH4+XH5+XH6+XH7)*2)+XH8+((XH15+XH17)*2)+XH19+XH20+XH21+XH22+XH9</f>
        <v>97109</v>
      </c>
      <c r="XI38" s="23">
        <f t="shared" si="589"/>
        <v>58906</v>
      </c>
      <c r="XJ38" s="23">
        <f t="shared" si="589"/>
        <v>85646</v>
      </c>
      <c r="XK38" s="23">
        <f t="shared" si="589"/>
        <v>106085</v>
      </c>
      <c r="XL38" s="23">
        <f t="shared" si="589"/>
        <v>91320</v>
      </c>
      <c r="XM38" s="23">
        <f>((XM3+XM4+XM5+XM6+XM7)*2)+XM8+((XM15+XM17)*2)+XM19+XM20+XM21+XM22+XM9</f>
        <v>79199</v>
      </c>
      <c r="XN38" s="23">
        <f>((XN3+XN4+XN5+XN6+XN7)*2)+XN8+((XN15+XN17)*2)+XN19+XN20+XN21+XN22+XN9</f>
        <v>2115</v>
      </c>
      <c r="XO38" s="23">
        <f t="shared" ref="XO38:XW38" si="590">((XO3+XO4+XO5+XO6+XO7)*2)+XO8+((XO15+XO17)*2)+XO19+XO20+XO21+XO22+XO9</f>
        <v>68025</v>
      </c>
      <c r="XP38" s="23">
        <f t="shared" si="590"/>
        <v>59207</v>
      </c>
      <c r="XQ38" s="23">
        <f t="shared" si="590"/>
        <v>88415</v>
      </c>
      <c r="XR38" s="23">
        <f t="shared" si="590"/>
        <v>101951</v>
      </c>
      <c r="XS38" s="23">
        <f t="shared" si="590"/>
        <v>96301</v>
      </c>
      <c r="XT38" s="23">
        <f t="shared" si="590"/>
        <v>86366</v>
      </c>
      <c r="XU38" s="23">
        <f t="shared" si="590"/>
        <v>2030</v>
      </c>
      <c r="XV38" s="23">
        <f t="shared" si="590"/>
        <v>0</v>
      </c>
      <c r="XW38" s="23">
        <f t="shared" si="590"/>
        <v>88291</v>
      </c>
      <c r="XX38" s="23">
        <f t="shared" ref="XX38:YD38" si="591">((XX3+XX4+XX5+XX6+XX7)*2)+XX8+((XX15+XX17)*2)+XX19+XX20+XX21+XX22+XX9</f>
        <v>98108</v>
      </c>
      <c r="XY38" s="23">
        <f t="shared" si="591"/>
        <v>92087</v>
      </c>
      <c r="XZ38" s="23">
        <f t="shared" si="591"/>
        <v>80821</v>
      </c>
      <c r="YA38" s="23">
        <f t="shared" si="591"/>
        <v>76714</v>
      </c>
      <c r="YB38" s="23">
        <f t="shared" si="591"/>
        <v>611</v>
      </c>
      <c r="YC38" s="23">
        <f t="shared" si="591"/>
        <v>56654</v>
      </c>
      <c r="YD38" s="23">
        <f t="shared" si="591"/>
        <v>61442</v>
      </c>
      <c r="YE38" s="23">
        <f t="shared" ref="YE38:YI38" si="592">((YE3+YE4+YE5+YE6+YE7)*2)+YE8+((YE15+YE17)*2)+YE19+YE20+YE21+YE22+YE9</f>
        <v>89567</v>
      </c>
      <c r="YF38" s="23">
        <f t="shared" si="592"/>
        <v>132181</v>
      </c>
      <c r="YG38" s="23">
        <f t="shared" si="592"/>
        <v>99874</v>
      </c>
      <c r="YH38" s="23">
        <f t="shared" si="592"/>
        <v>71482</v>
      </c>
      <c r="YI38" s="23">
        <f t="shared" si="592"/>
        <v>2884</v>
      </c>
      <c r="YJ38" s="23">
        <f>((YJ3+YJ4+YJ5+YJ6+YJ7)*2)+YJ8+((YJ15+YJ17)*2)+YJ19+YJ20+YJ21+YJ22+YJ9</f>
        <v>66302</v>
      </c>
      <c r="YK38" s="23">
        <f>((YK3+YK4+YK5+YK6+YK7)*2)+YK8+((YK15+YK17)*2)+YK19+YK20+YK21+YK22+YK9</f>
        <v>4559</v>
      </c>
      <c r="YL38" s="23">
        <f>((YL3+YL4+YL5+YL6+YL7)*2)+YL8+((YL15+YL17)*2)+YL19+YL20+YL21+YL22+YL9</f>
        <v>89157</v>
      </c>
      <c r="YM38" s="23">
        <f>((YM3+YM4+YM5+YM6+YM7)*2)+YM8+((YM15+YM17)*2)+YM19+YM20+YM21+YM22+YM9</f>
        <v>95493</v>
      </c>
      <c r="YN38" s="23">
        <f t="shared" ref="YN38:YQ38" si="593">((YN3+YN4+YN5+YN6+YN7)*2)+YN8+((YN15+YN17)*2)+YN19+YN20+YN21+YN22+YN9</f>
        <v>83422</v>
      </c>
      <c r="YO38" s="23">
        <f t="shared" si="593"/>
        <v>67142</v>
      </c>
      <c r="YP38" s="23">
        <f t="shared" si="593"/>
        <v>1355</v>
      </c>
      <c r="YQ38" s="23">
        <f t="shared" si="593"/>
        <v>112840</v>
      </c>
      <c r="YR38" s="23">
        <f t="shared" ref="YR38:YS38" si="594">((YR3+YR4+YR5+YR6+YR7)*2)+YR8+((YR15+YR17)*2)+YR19+YR20+YR21+YR22+YR9</f>
        <v>79629</v>
      </c>
      <c r="YS38" s="23">
        <f t="shared" si="594"/>
        <v>104652</v>
      </c>
      <c r="YT38" s="23">
        <f t="shared" ref="YT38:ZC38" si="595">((YT3+YT4+YT5+YT6+YT7)*2)+YT8+((YT15+YT17)*2)+YT19+YT20+YT21+YT22+YT9</f>
        <v>113737</v>
      </c>
      <c r="YU38" s="23">
        <f t="shared" si="595"/>
        <v>89938</v>
      </c>
      <c r="YV38" s="23">
        <f t="shared" si="595"/>
        <v>112416</v>
      </c>
      <c r="YW38" s="23">
        <f t="shared" si="595"/>
        <v>2587</v>
      </c>
      <c r="YX38" s="23">
        <f t="shared" si="595"/>
        <v>78729</v>
      </c>
      <c r="YY38" s="23">
        <f t="shared" si="595"/>
        <v>110071</v>
      </c>
      <c r="YZ38" s="23">
        <f t="shared" si="595"/>
        <v>100138</v>
      </c>
      <c r="ZA38" s="23">
        <f t="shared" si="595"/>
        <v>119591</v>
      </c>
      <c r="ZB38" s="23">
        <f t="shared" si="595"/>
        <v>104139</v>
      </c>
      <c r="ZC38" s="23">
        <f t="shared" si="595"/>
        <v>78489</v>
      </c>
      <c r="ZD38" s="23">
        <f t="shared" ref="ZD38:ZS38" si="596">((ZD3+ZD4+ZD5+ZD6+ZD7)*2)+ZD8+((ZD15+ZD17)*2)+ZD19+ZD20+ZD21+ZD22+ZD9</f>
        <v>712</v>
      </c>
      <c r="ZE38" s="23">
        <f t="shared" si="596"/>
        <v>68998</v>
      </c>
      <c r="ZF38" s="23">
        <f t="shared" si="596"/>
        <v>57956</v>
      </c>
      <c r="ZG38" s="23">
        <f t="shared" si="596"/>
        <v>63029</v>
      </c>
      <c r="ZH38" s="23">
        <f t="shared" si="596"/>
        <v>101921</v>
      </c>
      <c r="ZI38" s="23">
        <f t="shared" si="596"/>
        <v>87449</v>
      </c>
      <c r="ZJ38" s="23">
        <f t="shared" si="596"/>
        <v>75259</v>
      </c>
      <c r="ZK38" s="23">
        <f t="shared" si="596"/>
        <v>1295</v>
      </c>
      <c r="ZL38" s="23">
        <f t="shared" si="596"/>
        <v>56056</v>
      </c>
      <c r="ZM38" s="23">
        <f t="shared" si="596"/>
        <v>72237</v>
      </c>
      <c r="ZN38" s="23">
        <f t="shared" si="596"/>
        <v>96227</v>
      </c>
      <c r="ZO38" s="23">
        <f t="shared" si="596"/>
        <v>95089</v>
      </c>
      <c r="ZP38" s="23">
        <f t="shared" si="596"/>
        <v>83005</v>
      </c>
      <c r="ZQ38" s="23">
        <f t="shared" si="596"/>
        <v>82148</v>
      </c>
      <c r="ZR38" s="23">
        <f t="shared" si="596"/>
        <v>1546</v>
      </c>
      <c r="ZS38" s="23">
        <f t="shared" si="596"/>
        <v>51188</v>
      </c>
      <c r="ZT38" s="23">
        <f t="shared" ref="ZT38:ZW38" si="597">((ZT3+ZT4+ZT5+ZT6+ZT7)*2)+ZT8+((ZT15+ZT17)*2)+ZT19+ZT20+ZT21+ZT22+ZT9</f>
        <v>131744</v>
      </c>
      <c r="ZU38" s="23">
        <f t="shared" si="597"/>
        <v>89747</v>
      </c>
      <c r="ZV38" s="23">
        <f t="shared" si="597"/>
        <v>103965</v>
      </c>
      <c r="ZW38" s="23">
        <f t="shared" si="597"/>
        <v>69650</v>
      </c>
      <c r="ZX38" s="23">
        <f t="shared" ref="ZX38:AAE38" si="598">((ZX3+ZX4+ZX5+ZX6+ZX7)*2)+ZX8+((ZX15+ZX17)*2)+ZX19+ZX20+ZX21+ZX22+ZX9</f>
        <v>84934</v>
      </c>
      <c r="ZY38" s="23">
        <f t="shared" si="598"/>
        <v>1595</v>
      </c>
      <c r="ZZ38" s="23">
        <f t="shared" si="598"/>
        <v>72502</v>
      </c>
      <c r="AAA38" s="23">
        <f t="shared" si="598"/>
        <v>80997</v>
      </c>
      <c r="AAB38" s="23">
        <f t="shared" si="598"/>
        <v>69078</v>
      </c>
      <c r="AAC38" s="23">
        <f t="shared" si="598"/>
        <v>97777</v>
      </c>
      <c r="AAD38" s="23">
        <f t="shared" si="598"/>
        <v>90160</v>
      </c>
      <c r="AAE38" s="23">
        <f t="shared" si="598"/>
        <v>81747</v>
      </c>
      <c r="AAF38" s="23">
        <f t="shared" ref="AAF38:AAQ38" si="599">((AAF3+AAF4+AAF5+AAF6+AAF7)*2)+AAF8+((AAF15+AAF17)*2)+AAF19+AAF20+AAF21+AAF22+AAF9</f>
        <v>1451</v>
      </c>
      <c r="AAG38" s="23">
        <f t="shared" si="599"/>
        <v>71354</v>
      </c>
      <c r="AAH38" s="23">
        <f t="shared" si="599"/>
        <v>122543</v>
      </c>
      <c r="AAI38" s="23">
        <f t="shared" si="599"/>
        <v>77888</v>
      </c>
      <c r="AAJ38" s="23">
        <f t="shared" si="599"/>
        <v>74158</v>
      </c>
      <c r="AAK38" s="23">
        <f t="shared" si="599"/>
        <v>125507</v>
      </c>
      <c r="AAL38" s="23">
        <f t="shared" si="599"/>
        <v>78640</v>
      </c>
      <c r="AAM38" s="23">
        <f t="shared" si="599"/>
        <v>1873</v>
      </c>
      <c r="AAN38" s="23">
        <f t="shared" si="599"/>
        <v>48582</v>
      </c>
      <c r="AAO38" s="23">
        <f t="shared" si="599"/>
        <v>78027</v>
      </c>
      <c r="AAP38" s="23">
        <f t="shared" si="599"/>
        <v>83532</v>
      </c>
      <c r="AAQ38" s="23">
        <f t="shared" si="599"/>
        <v>88997</v>
      </c>
      <c r="AAR38" s="23">
        <f t="shared" ref="AAR38:AAU38" si="600">((AAR3+AAR4+AAR5+AAR6+AAR7)*2)+AAR8+((AAR15+AAR17)*2)+AAR19+AAR20+AAR21+AAR22+AAR9</f>
        <v>105150</v>
      </c>
      <c r="AAS38" s="23">
        <f t="shared" si="600"/>
        <v>63009</v>
      </c>
      <c r="AAT38" s="23">
        <f t="shared" si="600"/>
        <v>3413</v>
      </c>
      <c r="AAU38" s="23">
        <f t="shared" si="600"/>
        <v>0</v>
      </c>
      <c r="AAV38" s="23">
        <f t="shared" ref="AAV38:ABB38" si="601">((AAV3+AAV4+AAV5+AAV6+AAV7)*2)+AAV8+((AAV15+AAV17)*2)+AAV19+AAV20+AAV21+AAV22+AAV9</f>
        <v>108428</v>
      </c>
      <c r="AAW38" s="23">
        <f t="shared" si="601"/>
        <v>77308</v>
      </c>
      <c r="AAX38" s="23">
        <f t="shared" si="601"/>
        <v>94125</v>
      </c>
      <c r="AAY38" s="23">
        <f t="shared" si="601"/>
        <v>100662</v>
      </c>
      <c r="AAZ38" s="23">
        <f t="shared" si="601"/>
        <v>94105</v>
      </c>
      <c r="ABA38" s="23">
        <f t="shared" si="601"/>
        <v>2505</v>
      </c>
      <c r="ABB38" s="23">
        <f t="shared" si="601"/>
        <v>90044</v>
      </c>
      <c r="ABC38" s="23">
        <f t="shared" ref="ABC38:ABF38" si="602">((ABC3+ABC4+ABC5+ABC6+ABC7)*2)+ABC8+((ABC15+ABC17)*2)+ABC19+ABC20+ABC21+ABC22+ABC9</f>
        <v>109988</v>
      </c>
      <c r="ABD38" s="23">
        <f t="shared" si="602"/>
        <v>108917</v>
      </c>
      <c r="ABE38" s="23">
        <f t="shared" si="602"/>
        <v>8945</v>
      </c>
      <c r="ABF38" s="23">
        <f t="shared" si="602"/>
        <v>93611</v>
      </c>
      <c r="ABG38" s="23">
        <f t="shared" ref="ABG38:ABM38" si="603">((ABG3+ABG4+ABG5+ABG6+ABG7)*2)+ABG8+((ABG15+ABG17)*2)+ABG19+ABG20+ABG21+ABG22+ABG9</f>
        <v>130714</v>
      </c>
      <c r="ABH38" s="23">
        <f t="shared" si="603"/>
        <v>4123</v>
      </c>
      <c r="ABI38" s="23">
        <f t="shared" si="603"/>
        <v>73236</v>
      </c>
      <c r="ABJ38" s="23">
        <f t="shared" si="603"/>
        <v>83920</v>
      </c>
      <c r="ABK38" s="23">
        <f t="shared" si="603"/>
        <v>58983</v>
      </c>
      <c r="ABL38" s="23">
        <f t="shared" si="603"/>
        <v>95131</v>
      </c>
      <c r="ABM38" s="23">
        <f t="shared" si="603"/>
        <v>81396</v>
      </c>
      <c r="ABN38" s="23">
        <f t="shared" ref="ABN38:ABO38" si="604">((ABN3+ABN4+ABN5+ABN6+ABN7)*2)+ABN8+((ABN15+ABN17)*2)+ABN19+ABN20+ABN21+ABN22+ABN9</f>
        <v>91918</v>
      </c>
      <c r="ABO38" s="23">
        <f t="shared" si="604"/>
        <v>3861</v>
      </c>
      <c r="ABP38" s="23">
        <f t="shared" ref="ABP38:ABU38" si="605">((ABP3+ABP4+ABP5+ABP6+ABP7)*2)+ABP8+((ABP15+ABP17)*2)+ABP19+ABP20+ABP21+ABP22+ABP9</f>
        <v>79737</v>
      </c>
      <c r="ABQ38" s="23">
        <f t="shared" si="605"/>
        <v>86137</v>
      </c>
      <c r="ABR38" s="23">
        <f t="shared" si="605"/>
        <v>81685</v>
      </c>
      <c r="ABS38" s="23">
        <f t="shared" si="605"/>
        <v>93359</v>
      </c>
      <c r="ABT38" s="23">
        <f t="shared" si="605"/>
        <v>117397</v>
      </c>
      <c r="ABU38" s="23">
        <f t="shared" si="605"/>
        <v>77742</v>
      </c>
      <c r="ABV38" s="23">
        <f t="shared" ref="ABV38:ACC38" si="606">((ABV3+ABV4+ABV5+ABV6+ABV7)*2)+ABV8+((ABV15+ABV17)*2)+ABV19+ABV20+ABV21+ABV22+ABV9</f>
        <v>4378</v>
      </c>
      <c r="ABW38" s="23">
        <f t="shared" si="606"/>
        <v>120441</v>
      </c>
      <c r="ABX38" s="23">
        <f t="shared" si="606"/>
        <v>101388</v>
      </c>
      <c r="ABY38" s="23">
        <f t="shared" si="606"/>
        <v>83546</v>
      </c>
      <c r="ABZ38" s="23">
        <f t="shared" si="606"/>
        <v>121477</v>
      </c>
      <c r="ACA38" s="23">
        <f t="shared" si="606"/>
        <v>103393</v>
      </c>
      <c r="ACB38" s="23">
        <f t="shared" si="606"/>
        <v>71326</v>
      </c>
      <c r="ACC38" s="23">
        <f t="shared" si="606"/>
        <v>2409</v>
      </c>
      <c r="ACD38" s="23">
        <f t="shared" ref="ACD38:ACN38" si="607">((ACD3+ACD4+ACD5+ACD6+ACD7)*2)+ACD8+((ACD15+ACD17)*2)+ACD19+ACD20+ACD21+ACD22+ACD9</f>
        <v>80226</v>
      </c>
      <c r="ACE38" s="23">
        <f t="shared" si="607"/>
        <v>81688</v>
      </c>
      <c r="ACF38" s="23">
        <f t="shared" si="607"/>
        <v>64372</v>
      </c>
      <c r="ACG38" s="23">
        <f t="shared" si="607"/>
        <v>90959</v>
      </c>
      <c r="ACH38" s="23">
        <f t="shared" si="607"/>
        <v>98355</v>
      </c>
      <c r="ACI38" s="23">
        <f t="shared" si="607"/>
        <v>59302</v>
      </c>
      <c r="ACJ38" s="23">
        <f t="shared" si="607"/>
        <v>1066</v>
      </c>
      <c r="ACK38" s="23">
        <f t="shared" si="607"/>
        <v>62997</v>
      </c>
      <c r="ACL38" s="23">
        <f t="shared" si="607"/>
        <v>86639</v>
      </c>
      <c r="ACM38" s="23">
        <f t="shared" si="607"/>
        <v>114917</v>
      </c>
      <c r="ACN38" s="23">
        <f t="shared" si="607"/>
        <v>72832</v>
      </c>
      <c r="ACO38" s="23">
        <f t="shared" ref="ACO38:ACU38" si="608">((ACO3+ACO4+ACO5+ACO6+ACO7)*2)+ACO8+((ACO15+ACO17)*2)+ACO19+ACO20+ACO21+ACO22+ACO9</f>
        <v>57576</v>
      </c>
      <c r="ACP38" s="23">
        <f t="shared" si="608"/>
        <v>114664</v>
      </c>
      <c r="ACQ38" s="23">
        <f t="shared" si="608"/>
        <v>1977</v>
      </c>
      <c r="ACR38" s="23">
        <f t="shared" si="608"/>
        <v>58805</v>
      </c>
      <c r="ACS38" s="23">
        <f t="shared" si="608"/>
        <v>54486</v>
      </c>
      <c r="ACT38" s="23">
        <f t="shared" si="608"/>
        <v>66630</v>
      </c>
      <c r="ACU38" s="23">
        <f t="shared" si="608"/>
        <v>102372</v>
      </c>
      <c r="ACV38" s="23">
        <f t="shared" ref="ACV38:ADD38" si="609">((ACV3+ACV4+ACV5+ACV6+ACV7)*2)+ACV8+((ACV15+ACV17)*2)+ACV19+ACV20+ACV21+ACV22+ACV9</f>
        <v>4266</v>
      </c>
      <c r="ACW38" s="23">
        <f t="shared" si="609"/>
        <v>83666</v>
      </c>
      <c r="ACX38" s="23">
        <f t="shared" si="609"/>
        <v>2544</v>
      </c>
      <c r="ACY38" s="23">
        <f t="shared" si="609"/>
        <v>66695</v>
      </c>
      <c r="ACZ38" s="23">
        <f t="shared" si="609"/>
        <v>69914</v>
      </c>
      <c r="ADA38" s="23">
        <f t="shared" si="609"/>
        <v>119815</v>
      </c>
      <c r="ADB38" s="23">
        <f t="shared" si="609"/>
        <v>86886</v>
      </c>
      <c r="ADC38" s="23">
        <f t="shared" si="609"/>
        <v>108959</v>
      </c>
      <c r="ADD38" s="23">
        <f t="shared" si="609"/>
        <v>84530</v>
      </c>
      <c r="ADE38" s="23">
        <f t="shared" ref="ADE38:ADR38" si="610">((ADE3+ADE4+ADE5+ADE6+ADE7)*2)+ADE8+((ADE15+ADE17)*2)+ADE19+ADE20+ADE21+ADE22+ADE9</f>
        <v>2255</v>
      </c>
      <c r="ADF38" s="23">
        <f t="shared" si="610"/>
        <v>81137</v>
      </c>
      <c r="ADG38" s="23">
        <f t="shared" si="610"/>
        <v>87842</v>
      </c>
      <c r="ADH38" s="23">
        <f t="shared" si="610"/>
        <v>104035</v>
      </c>
      <c r="ADI38" s="23">
        <f t="shared" si="610"/>
        <v>96369</v>
      </c>
      <c r="ADJ38" s="23">
        <f t="shared" si="610"/>
        <v>89725</v>
      </c>
      <c r="ADK38" s="23">
        <f t="shared" si="610"/>
        <v>143853</v>
      </c>
      <c r="ADL38" s="23">
        <f t="shared" si="610"/>
        <v>3497</v>
      </c>
      <c r="ADM38" s="23">
        <f t="shared" si="610"/>
        <v>97842</v>
      </c>
      <c r="ADN38" s="23">
        <f t="shared" si="610"/>
        <v>90875</v>
      </c>
      <c r="ADO38" s="23">
        <f t="shared" si="610"/>
        <v>88336</v>
      </c>
      <c r="ADP38" s="23">
        <f t="shared" si="610"/>
        <v>108295</v>
      </c>
      <c r="ADQ38" s="23">
        <f t="shared" si="610"/>
        <v>136644</v>
      </c>
      <c r="ADR38" s="23">
        <f t="shared" si="610"/>
        <v>99325</v>
      </c>
      <c r="ADS38" s="23">
        <f t="shared" ref="ADS38:ADX38" si="611">((ADS3+ADS4+ADS5+ADS6+ADS7)*2)+ADS8+((ADS15+ADS17)*2)+ADS19+ADS20+ADS21+ADS22+ADS9</f>
        <v>2770</v>
      </c>
      <c r="ADT38" s="23">
        <f t="shared" si="611"/>
        <v>64998</v>
      </c>
      <c r="ADU38" s="23">
        <f t="shared" si="611"/>
        <v>21147</v>
      </c>
      <c r="ADV38" s="23">
        <f t="shared" si="611"/>
        <v>0</v>
      </c>
      <c r="ADW38" s="23">
        <f t="shared" si="611"/>
        <v>0</v>
      </c>
      <c r="ADX38" s="23">
        <f t="shared" si="611"/>
        <v>6438</v>
      </c>
      <c r="ADY38" s="23">
        <f t="shared" ref="ADY38:AEG38" si="612">((ADY3+ADY4+ADY5+ADY6+ADY7)*2)+ADY8+((ADY15+ADY17)*2)+ADY19+ADY20+ADY21+ADY22+ADY9</f>
        <v>17773</v>
      </c>
      <c r="ADZ38" s="23">
        <f t="shared" si="612"/>
        <v>176</v>
      </c>
      <c r="AEA38" s="23">
        <f t="shared" si="612"/>
        <v>35366</v>
      </c>
      <c r="AEB38" s="23">
        <f t="shared" si="612"/>
        <v>39754</v>
      </c>
      <c r="AEC38" s="23">
        <f t="shared" si="612"/>
        <v>34137</v>
      </c>
      <c r="AED38" s="23">
        <f t="shared" si="612"/>
        <v>83369</v>
      </c>
      <c r="AEE38" s="23">
        <f t="shared" si="612"/>
        <v>112064</v>
      </c>
      <c r="AEF38" s="23">
        <f t="shared" si="612"/>
        <v>119813</v>
      </c>
      <c r="AEG38" s="23">
        <f t="shared" si="612"/>
        <v>2504</v>
      </c>
      <c r="AEH38" s="23">
        <f t="shared" ref="AEH38:AEW38" si="613">((AEH3+AEH4+AEH5+AEH6+AEH7)*2)+AEH8+((AEH15+AEH17)*2)+AEH19+AEH20+AEH21+AEH22+AEH9</f>
        <v>94782</v>
      </c>
      <c r="AEI38" s="23">
        <f t="shared" si="613"/>
        <v>100342</v>
      </c>
      <c r="AEJ38" s="23">
        <f t="shared" si="613"/>
        <v>76512</v>
      </c>
      <c r="AEK38" s="23">
        <f t="shared" si="613"/>
        <v>98296</v>
      </c>
      <c r="AEL38" s="23">
        <f t="shared" si="613"/>
        <v>97151</v>
      </c>
      <c r="AEM38" s="23">
        <f t="shared" si="613"/>
        <v>92765</v>
      </c>
      <c r="AEN38" s="23">
        <f t="shared" si="613"/>
        <v>3362</v>
      </c>
      <c r="AEO38" s="23">
        <f t="shared" si="613"/>
        <v>86311</v>
      </c>
      <c r="AEP38" s="23">
        <f t="shared" si="613"/>
        <v>93581</v>
      </c>
      <c r="AEQ38" s="23">
        <f t="shared" si="613"/>
        <v>89007</v>
      </c>
      <c r="AER38" s="23">
        <f t="shared" si="613"/>
        <v>110021</v>
      </c>
      <c r="AES38" s="23">
        <f t="shared" si="613"/>
        <v>124789</v>
      </c>
      <c r="AET38" s="23">
        <f t="shared" si="613"/>
        <v>79419</v>
      </c>
      <c r="AEU38" s="23">
        <f t="shared" si="613"/>
        <v>5365</v>
      </c>
      <c r="AEV38" s="23">
        <f t="shared" si="613"/>
        <v>130735</v>
      </c>
      <c r="AEW38" s="23">
        <f t="shared" si="613"/>
        <v>87106</v>
      </c>
      <c r="AEX38" s="23">
        <f t="shared" ref="AEX38:AFC38" si="614">((AEX3+AEX4+AEX5+AEX6+AEX7)*2)+AEX8+((AEX15+AEX17)*2)+AEX19+AEX20+AEX21+AEX22+AEX9</f>
        <v>82989</v>
      </c>
      <c r="AEY38" s="23">
        <f t="shared" si="614"/>
        <v>112029</v>
      </c>
      <c r="AEZ38" s="23">
        <f>((AEZ3+AEZ4+AEZ5+AEZ6+AEZ7)*2)+AEZ8+((AEZ15+AEZ17)*2)+AEZ19+AEZ20+AEZ21+AEZ22+AEZ9</f>
        <v>114440</v>
      </c>
      <c r="AFA38" s="23">
        <f t="shared" si="614"/>
        <v>90073</v>
      </c>
      <c r="AFB38" s="23">
        <f>((AFB3+AFB4+AFB5+AFB6+AFB7)*2)+AFB8+((AFB15+AFB17)*2)+AFB19+AFB20+AFB21+AFB22+AFB9</f>
        <v>1018</v>
      </c>
      <c r="AFC38" s="23">
        <f t="shared" si="614"/>
        <v>66250</v>
      </c>
      <c r="AFD38" s="23">
        <f t="shared" ref="AFD38:AFV38" si="615">((AFD3+AFD4+AFD5+AFD6+AFD7)*2)+AFD8+((AFD15+AFD17)*2)+AFD19+AFD20+AFD21+AFD22+AFD9</f>
        <v>44275</v>
      </c>
      <c r="AFE38" s="23">
        <f t="shared" si="615"/>
        <v>44937</v>
      </c>
      <c r="AFF38" s="23">
        <f t="shared" si="615"/>
        <v>120638</v>
      </c>
      <c r="AFG38" s="23">
        <f t="shared" si="615"/>
        <v>118700</v>
      </c>
      <c r="AFH38" s="23">
        <f t="shared" si="615"/>
        <v>90541</v>
      </c>
      <c r="AFI38" s="23">
        <f t="shared" si="615"/>
        <v>2998</v>
      </c>
      <c r="AFJ38" s="23">
        <f t="shared" si="615"/>
        <v>105224</v>
      </c>
      <c r="AFK38" s="23">
        <f t="shared" si="615"/>
        <v>95245</v>
      </c>
      <c r="AFL38" s="23">
        <f t="shared" si="615"/>
        <v>78855</v>
      </c>
      <c r="AFM38" s="23">
        <f t="shared" si="615"/>
        <v>92214</v>
      </c>
      <c r="AFN38" s="23">
        <f t="shared" si="615"/>
        <v>95012</v>
      </c>
      <c r="AFO38" s="23">
        <f t="shared" si="615"/>
        <v>72741</v>
      </c>
      <c r="AFP38" s="23">
        <f t="shared" si="615"/>
        <v>1786</v>
      </c>
      <c r="AFQ38" s="23">
        <f t="shared" si="615"/>
        <v>101391</v>
      </c>
      <c r="AFR38" s="23">
        <f t="shared" si="615"/>
        <v>59387</v>
      </c>
      <c r="AFS38" s="23">
        <f t="shared" si="615"/>
        <v>64967</v>
      </c>
      <c r="AFT38" s="23">
        <f t="shared" si="615"/>
        <v>67385</v>
      </c>
      <c r="AFU38" s="23">
        <f t="shared" si="615"/>
        <v>78781</v>
      </c>
      <c r="AFV38" s="23">
        <f t="shared" si="615"/>
        <v>64151</v>
      </c>
      <c r="AFW38" s="23">
        <f t="shared" ref="AFW38:AGC38" si="616">((AFW3+AFW4+AFW5+AFW6+AFW7)*2)+AFW8+((AFW15+AFW17)*2)+AFW19+AFW20+AFW21+AFW22+AFW9</f>
        <v>828</v>
      </c>
      <c r="AFX38" s="23">
        <f t="shared" si="616"/>
        <v>55584</v>
      </c>
      <c r="AFY38" s="23">
        <f t="shared" si="616"/>
        <v>66291</v>
      </c>
      <c r="AFZ38" s="23">
        <f t="shared" si="616"/>
        <v>85628</v>
      </c>
      <c r="AGA38" s="23">
        <f t="shared" si="616"/>
        <v>151148</v>
      </c>
      <c r="AGB38" s="23">
        <f t="shared" si="616"/>
        <v>67999</v>
      </c>
      <c r="AGC38" s="23">
        <f t="shared" si="616"/>
        <v>75544</v>
      </c>
      <c r="AGD38" s="23">
        <f t="shared" ref="AGD38:AGK38" si="617">((AGD3+AGD4+AGD5+AGD6+AGD7)*2)+AGD8+((AGD15+AGD17)*2)+AGD19+AGD20+AGD21+AGD22+AGD9</f>
        <v>1403</v>
      </c>
      <c r="AGE38" s="23">
        <f t="shared" si="617"/>
        <v>78232</v>
      </c>
      <c r="AGF38" s="23">
        <f t="shared" si="617"/>
        <v>49632</v>
      </c>
      <c r="AGG38" s="23">
        <f t="shared" si="617"/>
        <v>57326</v>
      </c>
      <c r="AGH38" s="23">
        <f t="shared" si="617"/>
        <v>72749</v>
      </c>
      <c r="AGI38" s="23">
        <f t="shared" si="617"/>
        <v>100346</v>
      </c>
      <c r="AGJ38" s="23">
        <f t="shared" si="617"/>
        <v>3422</v>
      </c>
      <c r="AGK38" s="23">
        <f t="shared" si="617"/>
        <v>0</v>
      </c>
      <c r="AGL38" s="23">
        <f t="shared" ref="AGL38:AGV38" si="618">((AGL3+AGL4+AGL5+AGL6+AGL7)*2)+AGL8+((AGL15+AGL17)*2)+AGL19+AGL20+AGL21+AGL22+AGL9</f>
        <v>81859</v>
      </c>
      <c r="AGM38" s="23">
        <f t="shared" si="618"/>
        <v>78171</v>
      </c>
      <c r="AGN38" s="23">
        <f t="shared" si="618"/>
        <v>92482</v>
      </c>
      <c r="AGO38" s="23">
        <f t="shared" si="618"/>
        <v>75503</v>
      </c>
      <c r="AGP38" s="23">
        <f t="shared" si="618"/>
        <v>105141</v>
      </c>
      <c r="AGQ38" s="23">
        <f t="shared" si="618"/>
        <v>117290</v>
      </c>
      <c r="AGR38" s="23">
        <f t="shared" si="618"/>
        <v>7170</v>
      </c>
      <c r="AGS38" s="23">
        <f t="shared" si="618"/>
        <v>59066</v>
      </c>
      <c r="AGT38" s="23">
        <f t="shared" si="618"/>
        <v>66101</v>
      </c>
      <c r="AGU38" s="23">
        <f t="shared" si="618"/>
        <v>80319</v>
      </c>
      <c r="AGV38" s="23">
        <f t="shared" si="618"/>
        <v>85958</v>
      </c>
      <c r="AGW38" s="23">
        <f t="shared" ref="AGW38:AGY38" si="619">((AGW3+AGW4+AGW5+AGW6+AGW7)*2)+AGW8+((AGW15+AGW17)*2)+AGW19+AGW20+AGW21+AGW22+AGW9</f>
        <v>172224</v>
      </c>
      <c r="AGX38" s="23">
        <f t="shared" si="619"/>
        <v>90833</v>
      </c>
      <c r="AGY38" s="23">
        <f t="shared" si="619"/>
        <v>842</v>
      </c>
      <c r="AGZ38" s="23">
        <f t="shared" ref="AGZ38:AHE38" si="620">((AGZ3+AGZ4+AGZ5+AGZ6+AGZ7)*2)+AGZ8+((AGZ15+AGZ17)*2)+AGZ19+AGZ20+AGZ21+AGZ22+AGZ9</f>
        <v>97410</v>
      </c>
      <c r="AHA38" s="23">
        <f t="shared" si="620"/>
        <v>51610</v>
      </c>
      <c r="AHB38" s="23">
        <f t="shared" si="620"/>
        <v>104421</v>
      </c>
      <c r="AHC38" s="23">
        <f t="shared" si="620"/>
        <v>77605</v>
      </c>
      <c r="AHD38" s="23">
        <f t="shared" si="620"/>
        <v>56666</v>
      </c>
      <c r="AHE38" s="23">
        <f t="shared" si="620"/>
        <v>36245</v>
      </c>
      <c r="AHF38" s="23">
        <f t="shared" ref="AHF38:AHL38" si="621">((AHF3+AHF4+AHF5+AHF6+AHF7)*2)+AHF8+((AHF15+AHF17)*2)+AHF19+AHF20+AHF21+AHF22+AHF9</f>
        <v>0</v>
      </c>
      <c r="AHG38" s="23">
        <f t="shared" si="621"/>
        <v>4219</v>
      </c>
      <c r="AHH38" s="23">
        <f t="shared" si="621"/>
        <v>0</v>
      </c>
      <c r="AHI38" s="23">
        <f t="shared" si="621"/>
        <v>73067</v>
      </c>
      <c r="AHJ38" s="23">
        <f t="shared" si="621"/>
        <v>97653</v>
      </c>
      <c r="AHK38" s="23">
        <f t="shared" si="621"/>
        <v>81779</v>
      </c>
      <c r="AHL38" s="23">
        <f t="shared" si="621"/>
        <v>135265</v>
      </c>
      <c r="AHM38" s="23">
        <f t="shared" ref="AHM38:AHZ38" si="622">((AHM3+AHM4+AHM5+AHM6+AHM7)*2)+AHM8+((AHM15+AHM17)*2)+AHM19+AHM20+AHM21+AHM22+AHM9</f>
        <v>1645</v>
      </c>
      <c r="AHN38" s="23">
        <f t="shared" si="622"/>
        <v>0</v>
      </c>
      <c r="AHO38" s="23">
        <f t="shared" si="622"/>
        <v>86804</v>
      </c>
      <c r="AHP38" s="23">
        <f t="shared" si="622"/>
        <v>109297</v>
      </c>
      <c r="AHQ38" s="23">
        <f t="shared" si="622"/>
        <v>98820</v>
      </c>
      <c r="AHR38" s="23">
        <f t="shared" si="622"/>
        <v>86781</v>
      </c>
      <c r="AHS38" s="23">
        <f t="shared" si="622"/>
        <v>69328</v>
      </c>
      <c r="AHT38" s="23">
        <f t="shared" si="622"/>
        <v>418</v>
      </c>
      <c r="AHU38" s="23">
        <f t="shared" si="622"/>
        <v>0</v>
      </c>
      <c r="AHV38" s="23">
        <f t="shared" si="622"/>
        <v>0</v>
      </c>
      <c r="AHW38" s="23">
        <f t="shared" si="622"/>
        <v>16526</v>
      </c>
      <c r="AHX38" s="23">
        <f t="shared" si="622"/>
        <v>29427</v>
      </c>
      <c r="AHY38" s="23">
        <f t="shared" si="622"/>
        <v>62132</v>
      </c>
      <c r="AHZ38" s="23">
        <f t="shared" si="622"/>
        <v>41236</v>
      </c>
      <c r="AIA38" s="23">
        <f t="shared" ref="AIA38:AIP38" si="623">((AIA3+AIA4+AIA5+AIA6+AIA7)*2)+AIA8+((AIA15+AIA17)*2)+AIA19+AIA20+AIA21+AIA22+AIA9</f>
        <v>1176</v>
      </c>
      <c r="AIB38" s="23">
        <f t="shared" si="623"/>
        <v>58287</v>
      </c>
      <c r="AIC38" s="23">
        <f t="shared" si="623"/>
        <v>57772</v>
      </c>
      <c r="AID38" s="23">
        <f t="shared" si="623"/>
        <v>61072</v>
      </c>
      <c r="AIE38" s="23">
        <f t="shared" si="623"/>
        <v>120629</v>
      </c>
      <c r="AIF38" s="23">
        <f t="shared" si="623"/>
        <v>97829</v>
      </c>
      <c r="AIG38" s="23">
        <f t="shared" si="623"/>
        <v>93303</v>
      </c>
      <c r="AIH38" s="23">
        <f t="shared" si="623"/>
        <v>2143</v>
      </c>
      <c r="AII38" s="23">
        <f t="shared" si="623"/>
        <v>76593</v>
      </c>
      <c r="AIJ38" s="23">
        <f t="shared" si="623"/>
        <v>81422</v>
      </c>
      <c r="AIK38" s="23">
        <f t="shared" si="623"/>
        <v>120219</v>
      </c>
      <c r="AIL38" s="23">
        <f t="shared" si="623"/>
        <v>73152</v>
      </c>
      <c r="AIM38" s="23">
        <f t="shared" si="623"/>
        <v>3876</v>
      </c>
      <c r="AIN38" s="23">
        <f t="shared" si="623"/>
        <v>61807</v>
      </c>
      <c r="AIO38" s="23">
        <f t="shared" si="623"/>
        <v>1616</v>
      </c>
      <c r="AIP38" s="23">
        <f t="shared" si="623"/>
        <v>0</v>
      </c>
      <c r="AIQ38" s="23">
        <f t="shared" ref="AIQ38:AJD38" si="624">((AIQ3+AIQ4+AIQ5+AIQ6+AIQ7)*2)+AIQ8+((AIQ15+AIQ17)*2)+AIQ19+AIQ20+AIQ21+AIQ22+AIQ9</f>
        <v>85316</v>
      </c>
      <c r="AIR38" s="23">
        <f t="shared" si="624"/>
        <v>84581</v>
      </c>
      <c r="AIS38" s="23">
        <f t="shared" si="624"/>
        <v>108652</v>
      </c>
      <c r="AIT38" s="23">
        <f t="shared" si="624"/>
        <v>90558</v>
      </c>
      <c r="AIU38" s="23">
        <f t="shared" si="624"/>
        <v>106028</v>
      </c>
      <c r="AIV38" s="23">
        <f t="shared" si="624"/>
        <v>1682</v>
      </c>
      <c r="AIW38" s="23">
        <f t="shared" si="624"/>
        <v>71149</v>
      </c>
      <c r="AIX38" s="23">
        <f t="shared" si="624"/>
        <v>85826</v>
      </c>
      <c r="AIY38" s="23">
        <f t="shared" si="624"/>
        <v>74187</v>
      </c>
      <c r="AIZ38" s="23">
        <f t="shared" si="624"/>
        <v>78052</v>
      </c>
      <c r="AJA38" s="23">
        <f t="shared" si="624"/>
        <v>83254</v>
      </c>
      <c r="AJB38" s="23">
        <f t="shared" si="624"/>
        <v>90326</v>
      </c>
      <c r="AJC38" s="23">
        <f t="shared" si="624"/>
        <v>2002</v>
      </c>
      <c r="AJD38" s="23">
        <f t="shared" si="624"/>
        <v>85724</v>
      </c>
      <c r="AJE38" s="23">
        <f t="shared" ref="AJE38:AJK38" si="625">((AJE3+AJE4+AJE5+AJE6+AJE7)*2)+AJE8+((AJE15+AJE17)*2)+AJE19+AJE20+AJE21+AJE22+AJE9</f>
        <v>71591</v>
      </c>
      <c r="AJF38" s="23">
        <f t="shared" si="625"/>
        <v>112132</v>
      </c>
      <c r="AJG38" s="23">
        <f t="shared" si="625"/>
        <v>83660</v>
      </c>
      <c r="AJH38" s="23">
        <f t="shared" si="625"/>
        <v>84993</v>
      </c>
      <c r="AJI38" s="23">
        <f t="shared" si="625"/>
        <v>71922</v>
      </c>
      <c r="AJJ38" s="23">
        <f t="shared" si="625"/>
        <v>1740</v>
      </c>
      <c r="AJK38" s="23">
        <f t="shared" si="625"/>
        <v>93040</v>
      </c>
      <c r="AJL38" s="23">
        <f t="shared" ref="AJL38:AJP38" si="626">((AJL3+AJL4+AJL5+AJL6+AJL7)*2)+AJL8+((AJL15+AJL17)*2)+AJL19+AJL20+AJL21+AJL22+AJL9</f>
        <v>78443</v>
      </c>
      <c r="AJM38" s="23">
        <f t="shared" si="626"/>
        <v>70509</v>
      </c>
      <c r="AJN38" s="23">
        <f t="shared" si="626"/>
        <v>97740</v>
      </c>
      <c r="AJO38" s="23">
        <f t="shared" si="626"/>
        <v>63094</v>
      </c>
      <c r="AJP38" s="23">
        <f t="shared" si="626"/>
        <v>46004</v>
      </c>
      <c r="AJQ38" s="23">
        <f t="shared" ref="AJQ38:AKA38" si="627">((AJQ3+AJQ4+AJQ5+AJQ6+AJQ7)*2)+AJQ8+((AJQ15+AJQ17)*2)+AJQ19+AJQ20+AJQ21+AJQ22+AJQ9</f>
        <v>0</v>
      </c>
      <c r="AJR38" s="23">
        <f t="shared" si="627"/>
        <v>0</v>
      </c>
      <c r="AJS38" s="23">
        <f t="shared" si="627"/>
        <v>99573</v>
      </c>
      <c r="AJT38" s="23">
        <f t="shared" si="627"/>
        <v>2162</v>
      </c>
      <c r="AJU38" s="23">
        <f t="shared" si="627"/>
        <v>58114</v>
      </c>
      <c r="AJV38" s="23">
        <f t="shared" si="627"/>
        <v>85833</v>
      </c>
      <c r="AJW38" s="23">
        <f t="shared" si="627"/>
        <v>61600</v>
      </c>
      <c r="AJX38" s="23">
        <f t="shared" si="627"/>
        <v>1707</v>
      </c>
      <c r="AJY38" s="23">
        <f t="shared" si="627"/>
        <v>70429</v>
      </c>
      <c r="AJZ38" s="23">
        <f t="shared" si="627"/>
        <v>78787</v>
      </c>
      <c r="AKA38" s="23">
        <f t="shared" si="627"/>
        <v>55241</v>
      </c>
      <c r="AKB38" s="23">
        <f t="shared" ref="AKB38:AKK38" si="628">((AKB3+AKB4+AKB5+AKB6+AKB7)*2)+AKB8+((AKB15+AKB17)*2)+AKB19+AKB20+AKB21+AKB22+AKB9</f>
        <v>83730</v>
      </c>
      <c r="AKC38" s="23">
        <f t="shared" si="628"/>
        <v>76299</v>
      </c>
      <c r="AKD38" s="23">
        <f t="shared" si="628"/>
        <v>73583</v>
      </c>
      <c r="AKE38" s="23">
        <f t="shared" si="628"/>
        <v>2489</v>
      </c>
      <c r="AKF38" s="23">
        <f t="shared" si="628"/>
        <v>53276</v>
      </c>
      <c r="AKG38" s="23">
        <f t="shared" si="628"/>
        <v>0</v>
      </c>
      <c r="AKH38" s="23">
        <f t="shared" si="628"/>
        <v>0</v>
      </c>
      <c r="AKI38" s="23">
        <f t="shared" si="628"/>
        <v>0</v>
      </c>
      <c r="AKJ38" s="23">
        <f t="shared" si="628"/>
        <v>0</v>
      </c>
      <c r="AKK38" s="23">
        <f t="shared" si="628"/>
        <v>0</v>
      </c>
    </row>
    <row r="39" spans="1:973">
      <c r="B39" s="1" t="s">
        <v>82</v>
      </c>
      <c r="C39" s="27">
        <v>99999</v>
      </c>
      <c r="D39" s="1" t="s">
        <v>8</v>
      </c>
      <c r="E39" s="1" t="s">
        <v>59</v>
      </c>
      <c r="F39" s="1" t="s">
        <v>21</v>
      </c>
      <c r="G39" s="1" t="s">
        <v>21</v>
      </c>
      <c r="H39" s="1" t="s">
        <v>21</v>
      </c>
      <c r="I39" s="1" t="s">
        <v>21</v>
      </c>
      <c r="J39" s="1" t="s">
        <v>21</v>
      </c>
      <c r="K39" s="23">
        <f>IFERROR((K24*2)+K25+K26,"")</f>
        <v>4836</v>
      </c>
      <c r="L39" s="23">
        <f t="shared" ref="L39:BW39" si="629">IFERROR((L24*2)+L25+L26,"")</f>
        <v>5080</v>
      </c>
      <c r="M39" s="23">
        <f t="shared" si="629"/>
        <v>4078</v>
      </c>
      <c r="N39" s="23">
        <f t="shared" si="629"/>
        <v>0</v>
      </c>
      <c r="O39" s="23">
        <f t="shared" si="629"/>
        <v>0</v>
      </c>
      <c r="P39" s="23">
        <f t="shared" si="629"/>
        <v>3474</v>
      </c>
      <c r="Q39" s="23">
        <f t="shared" si="629"/>
        <v>5792</v>
      </c>
      <c r="R39" s="23">
        <f t="shared" si="629"/>
        <v>5620</v>
      </c>
      <c r="S39" s="23">
        <f t="shared" si="629"/>
        <v>5197</v>
      </c>
      <c r="T39" s="23">
        <f t="shared" si="629"/>
        <v>3788</v>
      </c>
      <c r="U39" s="23" t="str">
        <f t="shared" si="629"/>
        <v/>
      </c>
      <c r="V39" s="23" t="str">
        <f t="shared" si="629"/>
        <v/>
      </c>
      <c r="W39" s="23">
        <f t="shared" si="629"/>
        <v>3006</v>
      </c>
      <c r="X39" s="23">
        <f t="shared" si="629"/>
        <v>6458</v>
      </c>
      <c r="Y39" s="23">
        <f t="shared" si="629"/>
        <v>5125</v>
      </c>
      <c r="Z39" s="23">
        <f t="shared" si="629"/>
        <v>2772</v>
      </c>
      <c r="AA39" s="23">
        <f t="shared" si="629"/>
        <v>4785</v>
      </c>
      <c r="AB39" s="23" t="str">
        <f t="shared" si="629"/>
        <v/>
      </c>
      <c r="AC39" s="23" t="str">
        <f t="shared" si="629"/>
        <v/>
      </c>
      <c r="AD39" s="23">
        <f t="shared" si="629"/>
        <v>4792</v>
      </c>
      <c r="AE39" s="23">
        <f t="shared" si="629"/>
        <v>7973</v>
      </c>
      <c r="AF39" s="23">
        <f t="shared" si="629"/>
        <v>3256</v>
      </c>
      <c r="AG39" s="23">
        <f t="shared" si="629"/>
        <v>6115</v>
      </c>
      <c r="AH39" s="23">
        <f t="shared" si="629"/>
        <v>5805</v>
      </c>
      <c r="AI39" s="23" t="str">
        <f t="shared" si="629"/>
        <v/>
      </c>
      <c r="AJ39" s="23" t="str">
        <f t="shared" si="629"/>
        <v/>
      </c>
      <c r="AK39" s="23">
        <f t="shared" si="629"/>
        <v>8639</v>
      </c>
      <c r="AL39" s="23">
        <f t="shared" si="629"/>
        <v>6200</v>
      </c>
      <c r="AM39" s="23">
        <f t="shared" si="629"/>
        <v>5950</v>
      </c>
      <c r="AN39" s="23">
        <f t="shared" si="629"/>
        <v>5836</v>
      </c>
      <c r="AO39" s="23">
        <f t="shared" si="629"/>
        <v>5482</v>
      </c>
      <c r="AP39" s="23" t="str">
        <f t="shared" si="629"/>
        <v/>
      </c>
      <c r="AQ39" s="23" t="str">
        <f t="shared" si="629"/>
        <v/>
      </c>
      <c r="AR39" s="23">
        <f t="shared" si="629"/>
        <v>5010</v>
      </c>
      <c r="AS39" s="23" t="str">
        <f t="shared" si="629"/>
        <v/>
      </c>
      <c r="AT39" s="23">
        <f t="shared" si="629"/>
        <v>7714</v>
      </c>
      <c r="AU39" s="23">
        <f t="shared" si="629"/>
        <v>3953</v>
      </c>
      <c r="AV39" s="23">
        <f t="shared" si="629"/>
        <v>3924</v>
      </c>
      <c r="AW39" s="23" t="str">
        <f t="shared" si="629"/>
        <v/>
      </c>
      <c r="AX39" s="23" t="str">
        <f t="shared" si="629"/>
        <v/>
      </c>
      <c r="AY39" s="23">
        <f t="shared" si="629"/>
        <v>3943</v>
      </c>
      <c r="AZ39" s="23">
        <f t="shared" si="629"/>
        <v>7938</v>
      </c>
      <c r="BA39" s="23">
        <f t="shared" si="629"/>
        <v>5802</v>
      </c>
      <c r="BB39" s="23">
        <f t="shared" si="629"/>
        <v>4933</v>
      </c>
      <c r="BC39" s="23">
        <f t="shared" si="629"/>
        <v>7055</v>
      </c>
      <c r="BD39" s="23">
        <f t="shared" si="629"/>
        <v>0</v>
      </c>
      <c r="BE39" s="23">
        <f t="shared" si="629"/>
        <v>0</v>
      </c>
      <c r="BF39" s="23">
        <f t="shared" si="629"/>
        <v>4779</v>
      </c>
      <c r="BG39" s="23">
        <f t="shared" si="629"/>
        <v>6811</v>
      </c>
      <c r="BH39" s="23">
        <f t="shared" si="629"/>
        <v>6287</v>
      </c>
      <c r="BI39" s="23">
        <f t="shared" si="629"/>
        <v>5364</v>
      </c>
      <c r="BJ39" s="23">
        <f t="shared" si="629"/>
        <v>4579</v>
      </c>
      <c r="BK39" s="23">
        <f t="shared" si="629"/>
        <v>0</v>
      </c>
      <c r="BL39" s="23">
        <f t="shared" si="629"/>
        <v>0</v>
      </c>
      <c r="BM39" s="23">
        <f t="shared" si="629"/>
        <v>7283</v>
      </c>
      <c r="BN39" s="23">
        <f t="shared" si="629"/>
        <v>6595</v>
      </c>
      <c r="BO39" s="23">
        <f t="shared" si="629"/>
        <v>9953</v>
      </c>
      <c r="BP39" s="23">
        <f t="shared" si="629"/>
        <v>7948</v>
      </c>
      <c r="BQ39" s="23">
        <f t="shared" si="629"/>
        <v>0</v>
      </c>
      <c r="BR39" s="23">
        <f t="shared" si="629"/>
        <v>0</v>
      </c>
      <c r="BS39" s="23">
        <f t="shared" si="629"/>
        <v>0</v>
      </c>
      <c r="BT39" s="23">
        <f t="shared" si="629"/>
        <v>0</v>
      </c>
      <c r="BU39" s="23">
        <f t="shared" si="629"/>
        <v>0</v>
      </c>
      <c r="BV39" s="23">
        <f t="shared" si="629"/>
        <v>953</v>
      </c>
      <c r="BW39" s="23">
        <f t="shared" si="629"/>
        <v>1646</v>
      </c>
      <c r="BX39" s="23">
        <f t="shared" ref="BX39:CD39" si="630">IFERROR((BX24*2)+BX25+BX26,"")</f>
        <v>3233</v>
      </c>
      <c r="BY39" s="23">
        <f t="shared" si="630"/>
        <v>0</v>
      </c>
      <c r="BZ39" s="23">
        <f t="shared" si="630"/>
        <v>0</v>
      </c>
      <c r="CA39" s="23">
        <f t="shared" si="630"/>
        <v>5615</v>
      </c>
      <c r="CB39" s="23">
        <f t="shared" si="630"/>
        <v>8074</v>
      </c>
      <c r="CC39" s="23">
        <f t="shared" si="630"/>
        <v>4673</v>
      </c>
      <c r="CD39" s="23">
        <f t="shared" si="630"/>
        <v>4704</v>
      </c>
      <c r="CE39" s="23">
        <f t="shared" ref="CE39:CH39" si="631">IFERROR((CE24*2)+CE25+CE26,"")</f>
        <v>7807</v>
      </c>
      <c r="CF39" s="23">
        <f t="shared" si="631"/>
        <v>0</v>
      </c>
      <c r="CG39" s="23">
        <f t="shared" si="631"/>
        <v>0</v>
      </c>
      <c r="CH39" s="23">
        <f t="shared" si="631"/>
        <v>8063</v>
      </c>
      <c r="CI39" s="23">
        <f t="shared" ref="CI39:CZ39" si="632">IFERROR((CI24*2)+CI25+CI26,"")</f>
        <v>6737</v>
      </c>
      <c r="CJ39" s="23">
        <f t="shared" si="632"/>
        <v>6229</v>
      </c>
      <c r="CK39" s="23">
        <f t="shared" si="632"/>
        <v>3846</v>
      </c>
      <c r="CL39" s="23">
        <f t="shared" si="632"/>
        <v>6164</v>
      </c>
      <c r="CM39" s="23">
        <f t="shared" si="632"/>
        <v>0</v>
      </c>
      <c r="CN39" s="23">
        <f t="shared" si="632"/>
        <v>0</v>
      </c>
      <c r="CO39" s="23">
        <f t="shared" si="632"/>
        <v>5624</v>
      </c>
      <c r="CP39" s="23">
        <f t="shared" si="632"/>
        <v>5392</v>
      </c>
      <c r="CQ39" s="23">
        <f t="shared" si="632"/>
        <v>6494</v>
      </c>
      <c r="CR39" s="23">
        <f t="shared" si="632"/>
        <v>4004</v>
      </c>
      <c r="CS39" s="23">
        <f t="shared" si="632"/>
        <v>5211</v>
      </c>
      <c r="CT39" s="23">
        <f t="shared" si="632"/>
        <v>0</v>
      </c>
      <c r="CU39" s="23">
        <f t="shared" si="632"/>
        <v>0</v>
      </c>
      <c r="CV39" s="23">
        <f t="shared" si="632"/>
        <v>5264</v>
      </c>
      <c r="CW39" s="23">
        <f t="shared" si="632"/>
        <v>4219</v>
      </c>
      <c r="CX39" s="23">
        <f t="shared" si="632"/>
        <v>4705</v>
      </c>
      <c r="CY39" s="23">
        <f t="shared" si="632"/>
        <v>2347</v>
      </c>
      <c r="CZ39" s="23">
        <f t="shared" si="632"/>
        <v>5483</v>
      </c>
      <c r="DA39" s="23">
        <f t="shared" ref="DA39:DL39" si="633">IFERROR((DA24*2)+DA25+DA26,"")</f>
        <v>0</v>
      </c>
      <c r="DB39" s="23">
        <f t="shared" si="633"/>
        <v>0</v>
      </c>
      <c r="DC39" s="23">
        <f t="shared" si="633"/>
        <v>5455</v>
      </c>
      <c r="DD39" s="23">
        <f t="shared" si="633"/>
        <v>5921</v>
      </c>
      <c r="DE39" s="23">
        <f t="shared" si="633"/>
        <v>5224</v>
      </c>
      <c r="DF39" s="23">
        <f t="shared" si="633"/>
        <v>3761</v>
      </c>
      <c r="DG39" s="23">
        <f t="shared" si="633"/>
        <v>3703</v>
      </c>
      <c r="DH39" s="23">
        <f t="shared" si="633"/>
        <v>0</v>
      </c>
      <c r="DI39" s="23">
        <f t="shared" si="633"/>
        <v>0</v>
      </c>
      <c r="DJ39" s="23">
        <f t="shared" si="633"/>
        <v>6606</v>
      </c>
      <c r="DK39" s="23">
        <f t="shared" si="633"/>
        <v>5790</v>
      </c>
      <c r="DL39" s="23">
        <f t="shared" si="633"/>
        <v>4615</v>
      </c>
      <c r="DM39" s="23">
        <f t="shared" ref="DM39:EI39" si="634">IFERROR((DM24*2)+DM25+DM26,"")</f>
        <v>2919</v>
      </c>
      <c r="DN39" s="23">
        <f t="shared" si="634"/>
        <v>6681</v>
      </c>
      <c r="DO39" s="23">
        <f t="shared" si="634"/>
        <v>0</v>
      </c>
      <c r="DP39" s="23">
        <f t="shared" si="634"/>
        <v>0</v>
      </c>
      <c r="DQ39" s="23">
        <f t="shared" si="634"/>
        <v>7846</v>
      </c>
      <c r="DR39" s="23">
        <f t="shared" si="634"/>
        <v>5938</v>
      </c>
      <c r="DS39" s="23">
        <f t="shared" si="634"/>
        <v>5297</v>
      </c>
      <c r="DT39" s="23">
        <f t="shared" si="634"/>
        <v>5032</v>
      </c>
      <c r="DU39" s="23">
        <f t="shared" si="634"/>
        <v>7833</v>
      </c>
      <c r="DV39" s="23">
        <f t="shared" si="634"/>
        <v>0</v>
      </c>
      <c r="DW39" s="23">
        <f t="shared" si="634"/>
        <v>0</v>
      </c>
      <c r="DX39" s="23">
        <f>IFERROR((DX24*2)+DX25+DX26,"")</f>
        <v>4123</v>
      </c>
      <c r="DY39" s="23">
        <f>IFERROR((DY24*2)+DY25+DY26,"")</f>
        <v>7569</v>
      </c>
      <c r="DZ39" s="23">
        <f>IFERROR((DZ24*2)+DZ25+DZ26,"")</f>
        <v>8171</v>
      </c>
      <c r="EA39" s="23">
        <f>IFERROR((EA24*2)+EA25+EA26,"")</f>
        <v>6092</v>
      </c>
      <c r="EB39" s="23">
        <f>IFERROR((EB24*2)+EB25+EB26,"")</f>
        <v>5818</v>
      </c>
      <c r="EC39" s="23">
        <f t="shared" si="634"/>
        <v>0</v>
      </c>
      <c r="ED39" s="23">
        <f t="shared" si="634"/>
        <v>0</v>
      </c>
      <c r="EE39" s="23">
        <f t="shared" si="634"/>
        <v>5718</v>
      </c>
      <c r="EF39" s="23">
        <f t="shared" si="634"/>
        <v>8112</v>
      </c>
      <c r="EG39" s="23">
        <f t="shared" si="634"/>
        <v>5170</v>
      </c>
      <c r="EH39" s="23">
        <f t="shared" si="634"/>
        <v>4463</v>
      </c>
      <c r="EI39" s="23">
        <f t="shared" si="634"/>
        <v>8587</v>
      </c>
      <c r="EJ39" s="23">
        <f t="shared" ref="EJ39:ER39" si="635">IFERROR((EJ24*2)+EJ25+EJ26,"")</f>
        <v>0</v>
      </c>
      <c r="EK39" s="23">
        <f t="shared" si="635"/>
        <v>0</v>
      </c>
      <c r="EL39" s="23">
        <f t="shared" si="635"/>
        <v>6898</v>
      </c>
      <c r="EM39" s="23">
        <f t="shared" si="635"/>
        <v>7412</v>
      </c>
      <c r="EN39" s="23">
        <f t="shared" si="635"/>
        <v>4670</v>
      </c>
      <c r="EO39" s="23">
        <f t="shared" si="635"/>
        <v>3954</v>
      </c>
      <c r="EP39" s="23">
        <f t="shared" si="635"/>
        <v>4314</v>
      </c>
      <c r="EQ39" s="23">
        <f t="shared" si="635"/>
        <v>0</v>
      </c>
      <c r="ER39" s="23">
        <f t="shared" si="635"/>
        <v>0</v>
      </c>
      <c r="ES39" s="23">
        <f t="shared" ref="ES39:EX39" si="636">IFERROR((ES24*2)+ES25+ES26,"")</f>
        <v>5395</v>
      </c>
      <c r="ET39" s="23">
        <f t="shared" si="636"/>
        <v>5720</v>
      </c>
      <c r="EU39" s="23">
        <f t="shared" si="636"/>
        <v>4798</v>
      </c>
      <c r="EV39" s="23">
        <f t="shared" si="636"/>
        <v>3466</v>
      </c>
      <c r="EW39" s="23">
        <f t="shared" si="636"/>
        <v>4944</v>
      </c>
      <c r="EX39" s="23">
        <f t="shared" si="636"/>
        <v>0</v>
      </c>
      <c r="EY39" s="23">
        <f t="shared" ref="EY39:FI39" si="637">IFERROR((EY24*2)+EY25+EY26,"")</f>
        <v>0</v>
      </c>
      <c r="EZ39" s="23">
        <f t="shared" si="637"/>
        <v>5427</v>
      </c>
      <c r="FA39" s="23">
        <f t="shared" si="637"/>
        <v>7056</v>
      </c>
      <c r="FB39" s="23">
        <f t="shared" si="637"/>
        <v>5628</v>
      </c>
      <c r="FC39" s="23">
        <f t="shared" si="637"/>
        <v>3865</v>
      </c>
      <c r="FD39" s="23">
        <f t="shared" si="637"/>
        <v>4459</v>
      </c>
      <c r="FE39" s="23">
        <f t="shared" si="637"/>
        <v>651</v>
      </c>
      <c r="FF39" s="23">
        <f t="shared" si="637"/>
        <v>0</v>
      </c>
      <c r="FG39" s="23">
        <f t="shared" si="637"/>
        <v>4859</v>
      </c>
      <c r="FH39" s="23">
        <f t="shared" si="637"/>
        <v>7165</v>
      </c>
      <c r="FI39" s="23">
        <f t="shared" si="637"/>
        <v>5353</v>
      </c>
      <c r="FJ39" s="23">
        <f t="shared" ref="FJ39:FX39" si="638">IFERROR((FJ24*2)+FJ25+FJ26,"")</f>
        <v>3331</v>
      </c>
      <c r="FK39" s="23">
        <f t="shared" si="638"/>
        <v>3574</v>
      </c>
      <c r="FL39" s="23">
        <f t="shared" si="638"/>
        <v>0</v>
      </c>
      <c r="FM39" s="23">
        <f t="shared" si="638"/>
        <v>0</v>
      </c>
      <c r="FN39" s="23">
        <f t="shared" si="638"/>
        <v>171</v>
      </c>
      <c r="FO39" s="23">
        <f t="shared" si="638"/>
        <v>6571</v>
      </c>
      <c r="FP39" s="23">
        <f t="shared" si="638"/>
        <v>7075</v>
      </c>
      <c r="FQ39" s="23">
        <f t="shared" si="638"/>
        <v>6252</v>
      </c>
      <c r="FR39" s="23">
        <f t="shared" si="638"/>
        <v>1767</v>
      </c>
      <c r="FS39" s="23">
        <f t="shared" si="638"/>
        <v>0</v>
      </c>
      <c r="FT39" s="23">
        <f t="shared" si="638"/>
        <v>0</v>
      </c>
      <c r="FU39" s="23">
        <f t="shared" si="638"/>
        <v>0</v>
      </c>
      <c r="FV39" s="23">
        <f t="shared" si="638"/>
        <v>0</v>
      </c>
      <c r="FW39" s="23">
        <f t="shared" si="638"/>
        <v>1312</v>
      </c>
      <c r="FX39" s="23">
        <f t="shared" si="638"/>
        <v>1743</v>
      </c>
      <c r="FY39" s="23">
        <f t="shared" ref="FY39:GH39" si="639">IFERROR((FY24*2)+FY25+FY26,"")</f>
        <v>4202</v>
      </c>
      <c r="FZ39" s="23">
        <f t="shared" si="639"/>
        <v>0</v>
      </c>
      <c r="GA39" s="23">
        <f t="shared" si="639"/>
        <v>0</v>
      </c>
      <c r="GB39" s="23">
        <f t="shared" si="639"/>
        <v>4045</v>
      </c>
      <c r="GC39" s="23">
        <f t="shared" si="639"/>
        <v>7568</v>
      </c>
      <c r="GD39" s="23">
        <f t="shared" si="639"/>
        <v>3593</v>
      </c>
      <c r="GE39" s="23">
        <f t="shared" si="639"/>
        <v>4550</v>
      </c>
      <c r="GF39" s="23">
        <f t="shared" si="639"/>
        <v>6340</v>
      </c>
      <c r="GG39" s="23">
        <f t="shared" si="639"/>
        <v>0</v>
      </c>
      <c r="GH39" s="23">
        <f t="shared" si="639"/>
        <v>0</v>
      </c>
      <c r="GI39" s="23">
        <f>IFERROR((GI24*2)+GI25+GI26,"")</f>
        <v>4420</v>
      </c>
      <c r="GJ39" s="23">
        <f>IFERROR((GJ24*2)+GJ25+GJ26,"")</f>
        <v>5934</v>
      </c>
      <c r="GK39" s="23">
        <f t="shared" ref="GK39:GU39" si="640">IFERROR((GK24*2)+GK25+GK26,"")</f>
        <v>0</v>
      </c>
      <c r="GL39" s="23">
        <f t="shared" si="640"/>
        <v>6747</v>
      </c>
      <c r="GM39" s="23">
        <f t="shared" si="640"/>
        <v>4129</v>
      </c>
      <c r="GN39" s="23">
        <f t="shared" si="640"/>
        <v>0</v>
      </c>
      <c r="GO39" s="23">
        <f t="shared" si="640"/>
        <v>0</v>
      </c>
      <c r="GP39" s="23">
        <f t="shared" si="640"/>
        <v>0</v>
      </c>
      <c r="GQ39" s="23">
        <f t="shared" si="640"/>
        <v>6870</v>
      </c>
      <c r="GR39" s="23">
        <f t="shared" si="640"/>
        <v>7315</v>
      </c>
      <c r="GS39" s="23">
        <f t="shared" si="640"/>
        <v>5275</v>
      </c>
      <c r="GT39" s="23">
        <f t="shared" si="640"/>
        <v>4999</v>
      </c>
      <c r="GU39" s="23">
        <f t="shared" si="640"/>
        <v>0</v>
      </c>
      <c r="GV39" s="23">
        <f t="shared" ref="GV39:HC39" si="641">IFERROR((GV24*2)+GV25+GV26,"")</f>
        <v>0</v>
      </c>
      <c r="GW39" s="23">
        <f t="shared" si="641"/>
        <v>4499</v>
      </c>
      <c r="GX39" s="23">
        <f t="shared" si="641"/>
        <v>5646</v>
      </c>
      <c r="GY39" s="23">
        <f t="shared" si="641"/>
        <v>4334</v>
      </c>
      <c r="GZ39" s="23">
        <f t="shared" si="641"/>
        <v>4171</v>
      </c>
      <c r="HA39" s="23">
        <f t="shared" si="641"/>
        <v>6517</v>
      </c>
      <c r="HB39" s="23">
        <f t="shared" si="641"/>
        <v>0</v>
      </c>
      <c r="HC39" s="23">
        <f t="shared" si="641"/>
        <v>0</v>
      </c>
      <c r="HD39" s="23">
        <f t="shared" ref="HD39:HP39" si="642">IFERROR((HD24*2)+HD25+HD26,"")</f>
        <v>5512</v>
      </c>
      <c r="HE39" s="23">
        <f t="shared" si="642"/>
        <v>7220</v>
      </c>
      <c r="HF39" s="23">
        <f t="shared" si="642"/>
        <v>0</v>
      </c>
      <c r="HG39" s="23">
        <f t="shared" si="642"/>
        <v>5626</v>
      </c>
      <c r="HH39" s="23">
        <f t="shared" si="642"/>
        <v>7001</v>
      </c>
      <c r="HI39" s="23">
        <f t="shared" si="642"/>
        <v>0</v>
      </c>
      <c r="HJ39" s="23">
        <f t="shared" si="642"/>
        <v>0</v>
      </c>
      <c r="HK39" s="23">
        <f t="shared" si="642"/>
        <v>5456</v>
      </c>
      <c r="HL39" s="23">
        <f t="shared" si="642"/>
        <v>6460</v>
      </c>
      <c r="HM39" s="23">
        <f t="shared" si="642"/>
        <v>7248</v>
      </c>
      <c r="HN39" s="23">
        <f t="shared" si="642"/>
        <v>5440</v>
      </c>
      <c r="HO39" s="23">
        <f t="shared" si="642"/>
        <v>7766</v>
      </c>
      <c r="HP39" s="23">
        <f t="shared" si="642"/>
        <v>0</v>
      </c>
      <c r="HQ39" s="23">
        <f t="shared" ref="HQ39:IX39" si="643">IFERROR((HQ24*2)+HQ25+HQ26,"")</f>
        <v>0</v>
      </c>
      <c r="HR39" s="23">
        <f t="shared" si="643"/>
        <v>0</v>
      </c>
      <c r="HS39" s="23">
        <f t="shared" si="643"/>
        <v>4917</v>
      </c>
      <c r="HT39" s="23">
        <f t="shared" si="643"/>
        <v>4337</v>
      </c>
      <c r="HU39" s="23">
        <f t="shared" si="643"/>
        <v>4535</v>
      </c>
      <c r="HV39" s="23">
        <f t="shared" si="643"/>
        <v>4636</v>
      </c>
      <c r="HW39" s="23">
        <f t="shared" si="643"/>
        <v>0</v>
      </c>
      <c r="HX39" s="23">
        <f t="shared" si="643"/>
        <v>0</v>
      </c>
      <c r="HY39" s="23">
        <f t="shared" si="643"/>
        <v>3946</v>
      </c>
      <c r="HZ39" s="23">
        <f t="shared" si="643"/>
        <v>4160</v>
      </c>
      <c r="IA39" s="23">
        <f t="shared" si="643"/>
        <v>2773</v>
      </c>
      <c r="IB39" s="23">
        <f t="shared" si="643"/>
        <v>2858</v>
      </c>
      <c r="IC39" s="23">
        <f t="shared" si="643"/>
        <v>7544</v>
      </c>
      <c r="ID39" s="23">
        <f t="shared" si="643"/>
        <v>0</v>
      </c>
      <c r="IE39" s="23">
        <f t="shared" si="643"/>
        <v>0</v>
      </c>
      <c r="IF39" s="23">
        <f t="shared" si="643"/>
        <v>6355</v>
      </c>
      <c r="IG39" s="23">
        <f t="shared" si="643"/>
        <v>6344</v>
      </c>
      <c r="IH39" s="23">
        <f t="shared" si="643"/>
        <v>6929</v>
      </c>
      <c r="II39" s="23">
        <f t="shared" si="643"/>
        <v>7067</v>
      </c>
      <c r="IJ39" s="23">
        <f t="shared" si="643"/>
        <v>6636</v>
      </c>
      <c r="IK39" s="23">
        <f t="shared" si="643"/>
        <v>0</v>
      </c>
      <c r="IL39" s="23">
        <f t="shared" si="643"/>
        <v>0</v>
      </c>
      <c r="IM39" s="23">
        <f t="shared" si="643"/>
        <v>4671</v>
      </c>
      <c r="IN39" s="23">
        <f t="shared" si="643"/>
        <v>5188</v>
      </c>
      <c r="IO39" s="23">
        <f t="shared" si="643"/>
        <v>4754</v>
      </c>
      <c r="IP39" s="23">
        <f t="shared" si="643"/>
        <v>4480</v>
      </c>
      <c r="IQ39" s="23">
        <f>IFERROR((IQ24*2)+IQ25+IQ26,"")</f>
        <v>5522</v>
      </c>
      <c r="IR39" s="23">
        <f t="shared" si="643"/>
        <v>0</v>
      </c>
      <c r="IS39" s="23">
        <f t="shared" si="643"/>
        <v>0</v>
      </c>
      <c r="IT39" s="23">
        <f t="shared" si="643"/>
        <v>7260</v>
      </c>
      <c r="IU39" s="23">
        <f t="shared" si="643"/>
        <v>6811</v>
      </c>
      <c r="IV39" s="23">
        <f t="shared" si="643"/>
        <v>5216</v>
      </c>
      <c r="IW39" s="23">
        <f t="shared" si="643"/>
        <v>3480</v>
      </c>
      <c r="IX39" s="23">
        <f t="shared" si="643"/>
        <v>5360</v>
      </c>
      <c r="IY39" s="23">
        <f t="shared" ref="IY39:JI39" si="644">IFERROR((IY24*2)+IY25+IY26,"")</f>
        <v>0</v>
      </c>
      <c r="IZ39" s="23">
        <f t="shared" si="644"/>
        <v>0</v>
      </c>
      <c r="JA39" s="23">
        <f t="shared" si="644"/>
        <v>4804</v>
      </c>
      <c r="JB39" s="23">
        <f t="shared" si="644"/>
        <v>4601</v>
      </c>
      <c r="JC39" s="23">
        <f t="shared" si="644"/>
        <v>2943</v>
      </c>
      <c r="JD39" s="23">
        <f t="shared" si="644"/>
        <v>2979</v>
      </c>
      <c r="JE39" s="23">
        <f t="shared" si="644"/>
        <v>4620</v>
      </c>
      <c r="JF39" s="23">
        <f t="shared" si="644"/>
        <v>0</v>
      </c>
      <c r="JG39" s="23">
        <f t="shared" si="644"/>
        <v>0</v>
      </c>
      <c r="JH39" s="23">
        <f t="shared" si="644"/>
        <v>5602</v>
      </c>
      <c r="JI39" s="23">
        <f t="shared" si="644"/>
        <v>4726</v>
      </c>
      <c r="JJ39" s="23">
        <f t="shared" ref="JJ39:JW39" si="645">IFERROR((JJ24*2)+JJ25+JJ26,"")</f>
        <v>4847</v>
      </c>
      <c r="JK39" s="23">
        <f t="shared" si="645"/>
        <v>5007</v>
      </c>
      <c r="JL39" s="23">
        <f t="shared" si="645"/>
        <v>5320</v>
      </c>
      <c r="JM39" s="23">
        <f t="shared" si="645"/>
        <v>0</v>
      </c>
      <c r="JN39" s="23">
        <f t="shared" si="645"/>
        <v>0</v>
      </c>
      <c r="JO39" s="23">
        <f t="shared" si="645"/>
        <v>3686</v>
      </c>
      <c r="JP39" s="23">
        <f t="shared" si="645"/>
        <v>5117</v>
      </c>
      <c r="JQ39" s="23">
        <f t="shared" si="645"/>
        <v>4224</v>
      </c>
      <c r="JR39" s="23">
        <f t="shared" si="645"/>
        <v>3759</v>
      </c>
      <c r="JS39" s="23">
        <f t="shared" si="645"/>
        <v>4370</v>
      </c>
      <c r="JT39" s="23">
        <f t="shared" si="645"/>
        <v>0</v>
      </c>
      <c r="JU39" s="23">
        <f t="shared" si="645"/>
        <v>0</v>
      </c>
      <c r="JV39" s="23">
        <f t="shared" si="645"/>
        <v>0</v>
      </c>
      <c r="JW39" s="23">
        <f t="shared" si="645"/>
        <v>8380</v>
      </c>
      <c r="JX39" s="23">
        <f t="shared" ref="JX39:KO39" si="646">IFERROR((JX24*2)+JX25+JX26,"")</f>
        <v>3832</v>
      </c>
      <c r="JY39" s="23">
        <f t="shared" si="646"/>
        <v>2051</v>
      </c>
      <c r="JZ39" s="23">
        <f t="shared" si="646"/>
        <v>4781</v>
      </c>
      <c r="KA39" s="23">
        <f t="shared" si="646"/>
        <v>0</v>
      </c>
      <c r="KB39" s="23">
        <f t="shared" si="646"/>
        <v>0</v>
      </c>
      <c r="KC39" s="23">
        <f t="shared" si="646"/>
        <v>4055</v>
      </c>
      <c r="KD39" s="23">
        <f t="shared" si="646"/>
        <v>7937</v>
      </c>
      <c r="KE39" s="23">
        <f t="shared" si="646"/>
        <v>3629</v>
      </c>
      <c r="KF39" s="23">
        <f t="shared" si="646"/>
        <v>3481</v>
      </c>
      <c r="KG39" s="23">
        <f t="shared" si="646"/>
        <v>6752</v>
      </c>
      <c r="KH39" s="23">
        <f t="shared" si="646"/>
        <v>0</v>
      </c>
      <c r="KI39" s="23">
        <f t="shared" si="646"/>
        <v>0</v>
      </c>
      <c r="KJ39" s="23">
        <f t="shared" si="646"/>
        <v>0</v>
      </c>
      <c r="KK39" s="23">
        <f t="shared" si="646"/>
        <v>7593</v>
      </c>
      <c r="KL39" s="23">
        <f t="shared" si="646"/>
        <v>3865</v>
      </c>
      <c r="KM39" s="23">
        <f t="shared" si="646"/>
        <v>3836</v>
      </c>
      <c r="KN39" s="23">
        <f t="shared" si="646"/>
        <v>4650</v>
      </c>
      <c r="KO39" s="23">
        <f t="shared" si="646"/>
        <v>0</v>
      </c>
      <c r="KP39" s="23">
        <f t="shared" ref="KP39:KV39" si="647">IFERROR((KP24*2)+KP25+KP26,"")</f>
        <v>0</v>
      </c>
      <c r="KQ39" s="23">
        <f t="shared" si="647"/>
        <v>4853</v>
      </c>
      <c r="KR39" s="23">
        <f t="shared" si="647"/>
        <v>3808</v>
      </c>
      <c r="KS39" s="23">
        <f t="shared" si="647"/>
        <v>3856</v>
      </c>
      <c r="KT39" s="23">
        <f t="shared" si="647"/>
        <v>3175</v>
      </c>
      <c r="KU39" s="23">
        <f t="shared" si="647"/>
        <v>4405</v>
      </c>
      <c r="KV39" s="23">
        <f t="shared" si="647"/>
        <v>0</v>
      </c>
      <c r="KW39" s="23">
        <f t="shared" ref="KW39:ML39" si="648">IFERROR((KW24*2)+KW25+KW26,"")</f>
        <v>0</v>
      </c>
      <c r="KX39" s="23">
        <f t="shared" si="648"/>
        <v>4900</v>
      </c>
      <c r="KY39" s="23">
        <f t="shared" si="648"/>
        <v>5077</v>
      </c>
      <c r="KZ39" s="23">
        <f t="shared" si="648"/>
        <v>3465</v>
      </c>
      <c r="LA39" s="23">
        <f t="shared" si="648"/>
        <v>4894</v>
      </c>
      <c r="LB39" s="23">
        <f t="shared" si="648"/>
        <v>4710</v>
      </c>
      <c r="LC39" s="23">
        <f t="shared" si="648"/>
        <v>0</v>
      </c>
      <c r="LD39" s="23">
        <f t="shared" si="648"/>
        <v>0</v>
      </c>
      <c r="LE39" s="23">
        <f t="shared" si="648"/>
        <v>4574</v>
      </c>
      <c r="LF39" s="23">
        <f t="shared" si="648"/>
        <v>3577</v>
      </c>
      <c r="LG39" s="23">
        <f t="shared" si="648"/>
        <v>4071</v>
      </c>
      <c r="LH39" s="23">
        <f t="shared" si="648"/>
        <v>3631</v>
      </c>
      <c r="LI39" s="23">
        <f t="shared" si="648"/>
        <v>5020</v>
      </c>
      <c r="LJ39" s="23">
        <f t="shared" si="648"/>
        <v>0</v>
      </c>
      <c r="LK39" s="23">
        <f t="shared" si="648"/>
        <v>0</v>
      </c>
      <c r="LL39" s="23">
        <f t="shared" si="648"/>
        <v>3643</v>
      </c>
      <c r="LM39" s="23">
        <f t="shared" si="648"/>
        <v>3953</v>
      </c>
      <c r="LN39" s="23">
        <f t="shared" si="648"/>
        <v>2220</v>
      </c>
      <c r="LO39" s="23">
        <f t="shared" si="648"/>
        <v>2260</v>
      </c>
      <c r="LP39" s="23">
        <f t="shared" si="648"/>
        <v>3655</v>
      </c>
      <c r="LQ39" s="23">
        <f t="shared" si="648"/>
        <v>0</v>
      </c>
      <c r="LR39" s="23">
        <f t="shared" si="648"/>
        <v>0</v>
      </c>
      <c r="LS39" s="23">
        <f>IFERROR((LS24*2)+LS25+LS26,"")</f>
        <v>5526</v>
      </c>
      <c r="LT39" s="23">
        <f>IFERROR((LT24*2)+LT25+LT26,"")</f>
        <v>4201</v>
      </c>
      <c r="LU39" s="23">
        <f>IFERROR((LU24*2)+LU25+LU26,"")</f>
        <v>5165</v>
      </c>
      <c r="LV39" s="23">
        <f>IFERROR((LV24*2)+LV25+LV26,"")</f>
        <v>3687</v>
      </c>
      <c r="LW39" s="23">
        <f>IFERROR((LW24*2)+LW25+LW26,"")</f>
        <v>4821</v>
      </c>
      <c r="LX39" s="23" t="str">
        <f>IFERROR((LX25*2)+#REF!+LX26,"")</f>
        <v/>
      </c>
      <c r="LY39" s="23">
        <f t="shared" si="648"/>
        <v>0</v>
      </c>
      <c r="LZ39" s="23">
        <f t="shared" si="648"/>
        <v>4342</v>
      </c>
      <c r="MA39" s="23">
        <f t="shared" si="648"/>
        <v>5880</v>
      </c>
      <c r="MB39" s="23">
        <f t="shared" si="648"/>
        <v>4954</v>
      </c>
      <c r="MC39" s="23">
        <f t="shared" si="648"/>
        <v>4246</v>
      </c>
      <c r="MD39" s="23">
        <f t="shared" si="648"/>
        <v>9011</v>
      </c>
      <c r="ME39" s="23">
        <f t="shared" si="648"/>
        <v>0</v>
      </c>
      <c r="MF39" s="23">
        <f t="shared" si="648"/>
        <v>0</v>
      </c>
      <c r="MG39" s="23">
        <f t="shared" si="648"/>
        <v>8606</v>
      </c>
      <c r="MH39" s="23">
        <f>IFERROR((MH24*2)+MH25+MH26,"")</f>
        <v>4463</v>
      </c>
      <c r="MI39" s="23">
        <f t="shared" si="648"/>
        <v>4012</v>
      </c>
      <c r="MJ39" s="23">
        <f t="shared" si="648"/>
        <v>2877</v>
      </c>
      <c r="MK39" s="23">
        <f t="shared" si="648"/>
        <v>3395</v>
      </c>
      <c r="ML39" s="23">
        <f t="shared" si="648"/>
        <v>0</v>
      </c>
      <c r="MM39" s="23">
        <f t="shared" ref="MM39:NK39" si="649">IFERROR((MM24*2)+MM25+MM26,"")</f>
        <v>0</v>
      </c>
      <c r="MN39" s="23">
        <f t="shared" si="649"/>
        <v>5782</v>
      </c>
      <c r="MO39" s="23">
        <f t="shared" si="649"/>
        <v>4987</v>
      </c>
      <c r="MP39" s="23">
        <f t="shared" si="649"/>
        <v>2725</v>
      </c>
      <c r="MQ39" s="23">
        <f t="shared" si="649"/>
        <v>4295</v>
      </c>
      <c r="MR39" s="23">
        <f t="shared" si="649"/>
        <v>2529</v>
      </c>
      <c r="MS39" s="23">
        <f t="shared" si="649"/>
        <v>0</v>
      </c>
      <c r="MT39" s="23">
        <f t="shared" si="649"/>
        <v>0</v>
      </c>
      <c r="MU39" s="23">
        <f t="shared" si="649"/>
        <v>0</v>
      </c>
      <c r="MV39" s="23">
        <f t="shared" si="649"/>
        <v>6985</v>
      </c>
      <c r="MW39" s="23">
        <f t="shared" si="649"/>
        <v>4025</v>
      </c>
      <c r="MX39" s="23">
        <f t="shared" si="649"/>
        <v>3021</v>
      </c>
      <c r="MY39" s="23">
        <f t="shared" si="649"/>
        <v>4394</v>
      </c>
      <c r="MZ39" s="23">
        <f t="shared" si="649"/>
        <v>0</v>
      </c>
      <c r="NA39" s="23">
        <f t="shared" si="649"/>
        <v>0</v>
      </c>
      <c r="NB39" s="23">
        <f t="shared" si="649"/>
        <v>5612</v>
      </c>
      <c r="NC39" s="23">
        <f t="shared" si="649"/>
        <v>5004</v>
      </c>
      <c r="ND39" s="23">
        <f t="shared" si="649"/>
        <v>0</v>
      </c>
      <c r="NE39" s="23">
        <f t="shared" si="649"/>
        <v>4231</v>
      </c>
      <c r="NF39" s="23">
        <f t="shared" si="649"/>
        <v>4069</v>
      </c>
      <c r="NG39" s="23">
        <f t="shared" si="649"/>
        <v>0</v>
      </c>
      <c r="NH39" s="23">
        <f t="shared" si="649"/>
        <v>0</v>
      </c>
      <c r="NI39" s="23">
        <f t="shared" si="649"/>
        <v>6567</v>
      </c>
      <c r="NJ39" s="23">
        <f t="shared" si="649"/>
        <v>6494</v>
      </c>
      <c r="NK39" s="23">
        <f t="shared" si="649"/>
        <v>4790</v>
      </c>
      <c r="NL39" s="23">
        <f t="shared" ref="NL39:NV39" si="650">IFERROR((NL24*2)+NL25+NL26,"")</f>
        <v>4226</v>
      </c>
      <c r="NM39" s="23">
        <f t="shared" si="650"/>
        <v>5299</v>
      </c>
      <c r="NN39" s="23">
        <f t="shared" si="650"/>
        <v>0</v>
      </c>
      <c r="NO39" s="23">
        <f t="shared" si="650"/>
        <v>188</v>
      </c>
      <c r="NP39" s="23">
        <f t="shared" si="650"/>
        <v>3815</v>
      </c>
      <c r="NQ39" s="23">
        <f t="shared" si="650"/>
        <v>5358</v>
      </c>
      <c r="NR39" s="23">
        <f t="shared" si="650"/>
        <v>3760</v>
      </c>
      <c r="NS39" s="23">
        <f t="shared" si="650"/>
        <v>3709</v>
      </c>
      <c r="NT39" s="23">
        <f t="shared" si="650"/>
        <v>3453</v>
      </c>
      <c r="NU39" s="23">
        <f t="shared" si="650"/>
        <v>0</v>
      </c>
      <c r="NV39" s="23">
        <f t="shared" si="650"/>
        <v>0</v>
      </c>
      <c r="NW39" s="23">
        <f t="shared" ref="NW39:OD39" si="651">IFERROR((NW24*2)+NW25+NW26,"")</f>
        <v>4060</v>
      </c>
      <c r="NX39" s="23">
        <f t="shared" si="651"/>
        <v>5987</v>
      </c>
      <c r="NY39" s="23">
        <f t="shared" si="651"/>
        <v>4275</v>
      </c>
      <c r="NZ39" s="23">
        <f t="shared" si="651"/>
        <v>3294</v>
      </c>
      <c r="OA39" s="23">
        <f t="shared" si="651"/>
        <v>4851</v>
      </c>
      <c r="OB39" s="23">
        <f t="shared" si="651"/>
        <v>0</v>
      </c>
      <c r="OC39" s="23">
        <f t="shared" si="651"/>
        <v>0</v>
      </c>
      <c r="OD39" s="23">
        <f t="shared" si="651"/>
        <v>4186</v>
      </c>
      <c r="OE39" s="23">
        <f t="shared" ref="OE39:OL39" si="652">IFERROR((OE24*2)+OE25+OE26,"")</f>
        <v>7121</v>
      </c>
      <c r="OF39" s="23">
        <f t="shared" si="652"/>
        <v>3505</v>
      </c>
      <c r="OG39" s="23">
        <f t="shared" si="652"/>
        <v>3138</v>
      </c>
      <c r="OH39" s="23">
        <f t="shared" si="652"/>
        <v>3000</v>
      </c>
      <c r="OI39" s="23">
        <f t="shared" si="652"/>
        <v>0</v>
      </c>
      <c r="OJ39" s="23">
        <f t="shared" si="652"/>
        <v>0</v>
      </c>
      <c r="OK39" s="23">
        <f t="shared" si="652"/>
        <v>5246</v>
      </c>
      <c r="OL39" s="23">
        <f t="shared" si="652"/>
        <v>7534</v>
      </c>
      <c r="OM39" s="23">
        <f t="shared" ref="OM39:OQ39" si="653">IFERROR((OM24*2)+OM25+OM26,"")</f>
        <v>3352</v>
      </c>
      <c r="ON39" s="23">
        <f t="shared" si="653"/>
        <v>3832</v>
      </c>
      <c r="OO39" s="23">
        <f t="shared" si="653"/>
        <v>4248</v>
      </c>
      <c r="OP39" s="23">
        <f t="shared" si="653"/>
        <v>0</v>
      </c>
      <c r="OQ39" s="23">
        <f t="shared" si="653"/>
        <v>0</v>
      </c>
      <c r="OR39" s="23">
        <f t="shared" ref="OR39:OX39" si="654">IFERROR((OR24*2)+OR25+OR26,"")</f>
        <v>4738</v>
      </c>
      <c r="OS39" s="23">
        <f t="shared" si="654"/>
        <v>4695</v>
      </c>
      <c r="OT39" s="23">
        <f t="shared" si="654"/>
        <v>3618</v>
      </c>
      <c r="OU39" s="23">
        <f t="shared" si="654"/>
        <v>0</v>
      </c>
      <c r="OV39" s="23">
        <f t="shared" si="654"/>
        <v>4731</v>
      </c>
      <c r="OW39" s="23">
        <f t="shared" si="654"/>
        <v>0</v>
      </c>
      <c r="OX39" s="23">
        <f t="shared" si="654"/>
        <v>0</v>
      </c>
      <c r="OY39" s="23">
        <f t="shared" ref="OY39:PJ39" si="655">IFERROR((OY24*2)+OY25+OY26,"")</f>
        <v>4825</v>
      </c>
      <c r="OZ39" s="23">
        <f t="shared" si="655"/>
        <v>5204</v>
      </c>
      <c r="PA39" s="23">
        <f t="shared" si="655"/>
        <v>4193</v>
      </c>
      <c r="PB39" s="23">
        <f t="shared" si="655"/>
        <v>5236</v>
      </c>
      <c r="PC39" s="23">
        <f t="shared" si="655"/>
        <v>3849</v>
      </c>
      <c r="PD39" s="23">
        <f t="shared" si="655"/>
        <v>0</v>
      </c>
      <c r="PE39" s="23">
        <f t="shared" si="655"/>
        <v>0</v>
      </c>
      <c r="PF39" s="23">
        <f t="shared" si="655"/>
        <v>5411</v>
      </c>
      <c r="PG39" s="23">
        <f t="shared" si="655"/>
        <v>7090</v>
      </c>
      <c r="PH39" s="23">
        <f t="shared" si="655"/>
        <v>4255</v>
      </c>
      <c r="PI39" s="23">
        <f t="shared" si="655"/>
        <v>4453</v>
      </c>
      <c r="PJ39" s="23">
        <f t="shared" si="655"/>
        <v>4453</v>
      </c>
      <c r="PK39" s="23">
        <f t="shared" ref="PK39:PU39" si="656">IFERROR((PK24*2)+PK25+PK26,"")</f>
        <v>0</v>
      </c>
      <c r="PL39" s="23">
        <f t="shared" si="656"/>
        <v>0</v>
      </c>
      <c r="PM39" s="23">
        <f t="shared" si="656"/>
        <v>7232</v>
      </c>
      <c r="PN39" s="23">
        <f t="shared" si="656"/>
        <v>7970</v>
      </c>
      <c r="PO39" s="23">
        <f t="shared" si="656"/>
        <v>6240</v>
      </c>
      <c r="PP39" s="23">
        <f t="shared" si="656"/>
        <v>7629</v>
      </c>
      <c r="PQ39" s="23">
        <f t="shared" si="656"/>
        <v>5702</v>
      </c>
      <c r="PR39" s="23">
        <f t="shared" si="656"/>
        <v>0</v>
      </c>
      <c r="PS39" s="23">
        <f t="shared" si="656"/>
        <v>0</v>
      </c>
      <c r="PT39" s="23">
        <f t="shared" si="656"/>
        <v>0</v>
      </c>
      <c r="PU39" s="23">
        <f t="shared" si="656"/>
        <v>0</v>
      </c>
      <c r="PV39" s="23">
        <f t="shared" ref="PV39:QB39" si="657">IFERROR((PV24*2)+PV25+PV26,"")</f>
        <v>0</v>
      </c>
      <c r="PW39" s="23">
        <f t="shared" si="657"/>
        <v>207</v>
      </c>
      <c r="PX39" s="23">
        <f t="shared" si="657"/>
        <v>1505</v>
      </c>
      <c r="PY39" s="23">
        <f t="shared" si="657"/>
        <v>0</v>
      </c>
      <c r="PZ39" s="23">
        <f t="shared" si="657"/>
        <v>0</v>
      </c>
      <c r="QA39" s="23">
        <f t="shared" si="657"/>
        <v>3362</v>
      </c>
      <c r="QB39" s="23">
        <f t="shared" si="657"/>
        <v>3590</v>
      </c>
      <c r="QC39" s="23">
        <f t="shared" ref="QC39:QI39" si="658">IFERROR((QC24*2)+QC25+QC26,"")</f>
        <v>5262</v>
      </c>
      <c r="QD39" s="23">
        <f t="shared" si="658"/>
        <v>4792</v>
      </c>
      <c r="QE39" s="23">
        <f t="shared" si="658"/>
        <v>4059</v>
      </c>
      <c r="QF39" s="23">
        <f t="shared" si="658"/>
        <v>0</v>
      </c>
      <c r="QG39" s="23">
        <f t="shared" si="658"/>
        <v>0</v>
      </c>
      <c r="QH39" s="23">
        <f t="shared" si="658"/>
        <v>6699</v>
      </c>
      <c r="QI39" s="23">
        <f t="shared" si="658"/>
        <v>6868</v>
      </c>
      <c r="QJ39" s="23">
        <f t="shared" ref="QJ39:QO39" si="659">IFERROR((QJ24*2)+QJ25+QJ26,"")</f>
        <v>5134</v>
      </c>
      <c r="QK39" s="23">
        <f t="shared" si="659"/>
        <v>5292</v>
      </c>
      <c r="QL39" s="23">
        <f t="shared" si="659"/>
        <v>6234</v>
      </c>
      <c r="QM39" s="23">
        <f t="shared" si="659"/>
        <v>0</v>
      </c>
      <c r="QN39" s="23">
        <f t="shared" si="659"/>
        <v>0</v>
      </c>
      <c r="QO39" s="23">
        <f t="shared" si="659"/>
        <v>5708</v>
      </c>
      <c r="QP39" s="23">
        <f t="shared" ref="QP39:QV39" si="660">IFERROR((QP24*2)+QP25+QP26,"")</f>
        <v>6299</v>
      </c>
      <c r="QQ39" s="23">
        <f t="shared" si="660"/>
        <v>5805</v>
      </c>
      <c r="QR39" s="23">
        <f t="shared" si="660"/>
        <v>3313</v>
      </c>
      <c r="QS39" s="23">
        <f t="shared" si="660"/>
        <v>4626</v>
      </c>
      <c r="QT39" s="23">
        <f t="shared" si="660"/>
        <v>0</v>
      </c>
      <c r="QU39" s="23">
        <f t="shared" si="660"/>
        <v>0</v>
      </c>
      <c r="QV39" s="23">
        <f t="shared" si="660"/>
        <v>6280</v>
      </c>
      <c r="QW39" s="23">
        <f t="shared" ref="QW39:SA39" si="661">IFERROR((QW24*2)+QW25+QW26,"")</f>
        <v>5179</v>
      </c>
      <c r="QX39" s="23">
        <f t="shared" si="661"/>
        <v>3154</v>
      </c>
      <c r="QY39" s="23">
        <f t="shared" si="661"/>
        <v>4908</v>
      </c>
      <c r="QZ39" s="23">
        <f t="shared" si="661"/>
        <v>2673</v>
      </c>
      <c r="RA39" s="23">
        <f t="shared" si="661"/>
        <v>0</v>
      </c>
      <c r="RB39" s="23">
        <f t="shared" si="661"/>
        <v>0</v>
      </c>
      <c r="RC39" s="23">
        <f t="shared" si="661"/>
        <v>5315</v>
      </c>
      <c r="RD39" s="23">
        <f t="shared" si="661"/>
        <v>6389</v>
      </c>
      <c r="RE39" s="23">
        <f t="shared" si="661"/>
        <v>3602</v>
      </c>
      <c r="RF39" s="23">
        <f t="shared" si="661"/>
        <v>2982</v>
      </c>
      <c r="RG39" s="23">
        <f t="shared" si="661"/>
        <v>3840</v>
      </c>
      <c r="RH39" s="23">
        <f t="shared" si="661"/>
        <v>0</v>
      </c>
      <c r="RI39" s="23">
        <f t="shared" si="661"/>
        <v>0</v>
      </c>
      <c r="RJ39" s="23">
        <f t="shared" si="661"/>
        <v>5440</v>
      </c>
      <c r="RK39" s="23">
        <f t="shared" si="661"/>
        <v>8231</v>
      </c>
      <c r="RL39" s="23">
        <f t="shared" si="661"/>
        <v>2524</v>
      </c>
      <c r="RM39" s="23">
        <f t="shared" si="661"/>
        <v>4734</v>
      </c>
      <c r="RN39" s="23">
        <f t="shared" si="661"/>
        <v>6989</v>
      </c>
      <c r="RO39" s="23">
        <f t="shared" si="661"/>
        <v>0</v>
      </c>
      <c r="RP39" s="23">
        <f t="shared" si="661"/>
        <v>0</v>
      </c>
      <c r="RQ39" s="23">
        <f t="shared" si="661"/>
        <v>4105</v>
      </c>
      <c r="RR39" s="23">
        <f t="shared" si="661"/>
        <v>6433</v>
      </c>
      <c r="RS39" s="23">
        <f t="shared" si="661"/>
        <v>3962</v>
      </c>
      <c r="RT39" s="23">
        <f t="shared" si="661"/>
        <v>4554</v>
      </c>
      <c r="RU39" s="23">
        <f t="shared" si="661"/>
        <v>5234</v>
      </c>
      <c r="RV39" s="23">
        <f t="shared" si="661"/>
        <v>0</v>
      </c>
      <c r="RW39" s="23">
        <f t="shared" si="661"/>
        <v>0</v>
      </c>
      <c r="RX39" s="23">
        <f t="shared" si="661"/>
        <v>5215</v>
      </c>
      <c r="RY39" s="23">
        <f t="shared" si="661"/>
        <v>7775</v>
      </c>
      <c r="RZ39" s="23">
        <f t="shared" si="661"/>
        <v>4712</v>
      </c>
      <c r="SA39" s="23">
        <f t="shared" si="661"/>
        <v>6731</v>
      </c>
      <c r="SB39" s="23">
        <f>IFERROR((SB24*2)+SB25+SB26,"")</f>
        <v>4860</v>
      </c>
      <c r="SC39" s="23">
        <f t="shared" ref="SC39:SO39" si="662">IFERROR((SC24*2)+SC25+SC26,"")</f>
        <v>0</v>
      </c>
      <c r="SD39" s="23">
        <f t="shared" si="662"/>
        <v>0</v>
      </c>
      <c r="SE39" s="23">
        <f>IFERROR((SE24*2)+SE25+SE26,"")</f>
        <v>5974</v>
      </c>
      <c r="SF39" s="23">
        <f t="shared" si="662"/>
        <v>3752</v>
      </c>
      <c r="SG39" s="23">
        <f t="shared" si="662"/>
        <v>4478</v>
      </c>
      <c r="SH39" s="23">
        <f t="shared" si="662"/>
        <v>3831</v>
      </c>
      <c r="SI39" s="23">
        <f t="shared" si="662"/>
        <v>4534</v>
      </c>
      <c r="SJ39" s="23">
        <f t="shared" si="662"/>
        <v>0</v>
      </c>
      <c r="SK39" s="23">
        <f t="shared" si="662"/>
        <v>0</v>
      </c>
      <c r="SL39" s="23">
        <f t="shared" si="662"/>
        <v>4323</v>
      </c>
      <c r="SM39" s="23">
        <f t="shared" si="662"/>
        <v>5847</v>
      </c>
      <c r="SN39" s="23">
        <f t="shared" si="662"/>
        <v>4784</v>
      </c>
      <c r="SO39" s="23">
        <f t="shared" si="662"/>
        <v>5007</v>
      </c>
      <c r="SP39" s="23">
        <f t="shared" ref="SP39:SV39" si="663">IFERROR((SP24*2)+SP25+SP26,"")</f>
        <v>4472</v>
      </c>
      <c r="SQ39" s="23">
        <f t="shared" si="663"/>
        <v>0</v>
      </c>
      <c r="SR39" s="23">
        <f t="shared" si="663"/>
        <v>0</v>
      </c>
      <c r="SS39" s="23">
        <f t="shared" si="663"/>
        <v>4481</v>
      </c>
      <c r="ST39" s="23">
        <f t="shared" si="663"/>
        <v>5242</v>
      </c>
      <c r="SU39" s="23">
        <f t="shared" si="663"/>
        <v>4630</v>
      </c>
      <c r="SV39" s="23">
        <f t="shared" si="663"/>
        <v>4163</v>
      </c>
      <c r="SW39" s="23">
        <f t="shared" ref="SW39:TH39" si="664">IFERROR((SW24*2)+SW25+SW26,"")</f>
        <v>4408</v>
      </c>
      <c r="SX39" s="23">
        <f t="shared" si="664"/>
        <v>702</v>
      </c>
      <c r="SY39" s="23">
        <f t="shared" si="664"/>
        <v>0</v>
      </c>
      <c r="SZ39" s="23">
        <f t="shared" si="664"/>
        <v>5197</v>
      </c>
      <c r="TA39" s="23">
        <f t="shared" si="664"/>
        <v>6603</v>
      </c>
      <c r="TB39" s="23">
        <f t="shared" si="664"/>
        <v>3720</v>
      </c>
      <c r="TC39" s="23">
        <f t="shared" si="664"/>
        <v>4207</v>
      </c>
      <c r="TD39" s="23">
        <f t="shared" si="664"/>
        <v>3972</v>
      </c>
      <c r="TE39" s="23">
        <f t="shared" si="664"/>
        <v>1272</v>
      </c>
      <c r="TF39" s="23">
        <f t="shared" si="664"/>
        <v>0</v>
      </c>
      <c r="TG39" s="23">
        <f t="shared" si="664"/>
        <v>3038</v>
      </c>
      <c r="TH39" s="23">
        <f t="shared" si="664"/>
        <v>4295</v>
      </c>
      <c r="TI39" s="23">
        <f t="shared" ref="TI39:TO39" si="665">IFERROR((TI24*2)+TI25+TI26,"")</f>
        <v>3980</v>
      </c>
      <c r="TJ39" s="23">
        <f t="shared" si="665"/>
        <v>3437</v>
      </c>
      <c r="TK39" s="23">
        <f t="shared" si="665"/>
        <v>2638</v>
      </c>
      <c r="TL39" s="23">
        <f t="shared" si="665"/>
        <v>0</v>
      </c>
      <c r="TM39" s="23">
        <f t="shared" si="665"/>
        <v>0</v>
      </c>
      <c r="TN39" s="23">
        <f t="shared" si="665"/>
        <v>0</v>
      </c>
      <c r="TO39" s="23">
        <f t="shared" si="665"/>
        <v>6731</v>
      </c>
      <c r="TP39" s="23">
        <f t="shared" ref="TP39:TX39" si="666">IFERROR((TP24*2)+TP25+TP26,"")</f>
        <v>3265</v>
      </c>
      <c r="TQ39" s="23">
        <f t="shared" si="666"/>
        <v>3310</v>
      </c>
      <c r="TR39" s="23">
        <f t="shared" si="666"/>
        <v>2908</v>
      </c>
      <c r="TS39" s="23">
        <f t="shared" si="666"/>
        <v>0</v>
      </c>
      <c r="TT39" s="23">
        <f t="shared" si="666"/>
        <v>0</v>
      </c>
      <c r="TU39" s="23">
        <f t="shared" si="666"/>
        <v>0</v>
      </c>
      <c r="TV39" s="23">
        <f t="shared" si="666"/>
        <v>0</v>
      </c>
      <c r="TW39" s="23">
        <f t="shared" si="666"/>
        <v>3342</v>
      </c>
      <c r="TX39" s="23">
        <f t="shared" si="666"/>
        <v>1737</v>
      </c>
      <c r="TY39" s="23">
        <f t="shared" ref="TY39:UC39" si="667">IFERROR((TY24*2)+TY25+TY26,"")</f>
        <v>3249</v>
      </c>
      <c r="TZ39" s="23">
        <f t="shared" si="667"/>
        <v>0</v>
      </c>
      <c r="UA39" s="23">
        <f t="shared" si="667"/>
        <v>0</v>
      </c>
      <c r="UB39" s="23">
        <f t="shared" si="667"/>
        <v>5180</v>
      </c>
      <c r="UC39" s="23">
        <f t="shared" si="667"/>
        <v>6572</v>
      </c>
      <c r="UD39" s="23">
        <f t="shared" ref="UD39:UK39" si="668">IFERROR((UD24*2)+UD25+UD26,"")</f>
        <v>5751</v>
      </c>
      <c r="UE39" s="23">
        <f t="shared" si="668"/>
        <v>5755</v>
      </c>
      <c r="UF39" s="23">
        <f t="shared" si="668"/>
        <v>4017</v>
      </c>
      <c r="UG39" s="23">
        <f t="shared" si="668"/>
        <v>0</v>
      </c>
      <c r="UH39" s="23">
        <f t="shared" si="668"/>
        <v>0</v>
      </c>
      <c r="UI39" s="23">
        <f t="shared" si="668"/>
        <v>5856</v>
      </c>
      <c r="UJ39" s="23">
        <f t="shared" si="668"/>
        <v>6863</v>
      </c>
      <c r="UK39" s="23">
        <f t="shared" si="668"/>
        <v>4713</v>
      </c>
      <c r="UL39" s="23">
        <f t="shared" ref="UL39:UU39" si="669">IFERROR((UL24*2)+UL25+UL26,"")</f>
        <v>0</v>
      </c>
      <c r="UM39" s="23">
        <f t="shared" si="669"/>
        <v>3567</v>
      </c>
      <c r="UN39" s="23">
        <f t="shared" si="669"/>
        <v>0</v>
      </c>
      <c r="UO39" s="23">
        <f t="shared" si="669"/>
        <v>0</v>
      </c>
      <c r="UP39" s="23">
        <f t="shared" si="669"/>
        <v>0</v>
      </c>
      <c r="UQ39" s="23">
        <f t="shared" si="669"/>
        <v>6757</v>
      </c>
      <c r="UR39" s="23">
        <f t="shared" si="669"/>
        <v>2329</v>
      </c>
      <c r="US39" s="23">
        <f t="shared" si="669"/>
        <v>6415</v>
      </c>
      <c r="UT39" s="23">
        <f t="shared" si="669"/>
        <v>3092</v>
      </c>
      <c r="UU39" s="23">
        <f t="shared" si="669"/>
        <v>0</v>
      </c>
      <c r="UV39" s="23">
        <f t="shared" ref="UV39:VB39" si="670">IFERROR((UV24*2)+UV25+UV26,"")</f>
        <v>0</v>
      </c>
      <c r="UW39" s="23">
        <f t="shared" si="670"/>
        <v>0</v>
      </c>
      <c r="UX39" s="23">
        <f t="shared" si="670"/>
        <v>8215</v>
      </c>
      <c r="UY39" s="23">
        <f t="shared" si="670"/>
        <v>5458</v>
      </c>
      <c r="UZ39" s="23">
        <f t="shared" si="670"/>
        <v>5396</v>
      </c>
      <c r="VA39" s="23">
        <f t="shared" si="670"/>
        <v>5480</v>
      </c>
      <c r="VB39" s="23">
        <f t="shared" si="670"/>
        <v>0</v>
      </c>
      <c r="VC39" s="23">
        <f t="shared" ref="VC39:VV39" si="671">IFERROR((VC24*2)+VC25+VC26,"")</f>
        <v>0</v>
      </c>
      <c r="VD39" s="23">
        <f t="shared" si="671"/>
        <v>4932</v>
      </c>
      <c r="VE39" s="23">
        <f t="shared" si="671"/>
        <v>5981</v>
      </c>
      <c r="VF39" s="23">
        <f t="shared" si="671"/>
        <v>4891</v>
      </c>
      <c r="VG39" s="23">
        <f t="shared" si="671"/>
        <v>3828</v>
      </c>
      <c r="VH39" s="23">
        <f t="shared" si="671"/>
        <v>3674</v>
      </c>
      <c r="VI39" s="23">
        <f t="shared" si="671"/>
        <v>0</v>
      </c>
      <c r="VJ39" s="23">
        <f t="shared" si="671"/>
        <v>0</v>
      </c>
      <c r="VK39" s="23">
        <f t="shared" si="671"/>
        <v>5896</v>
      </c>
      <c r="VL39" s="23">
        <f t="shared" si="671"/>
        <v>7323</v>
      </c>
      <c r="VM39" s="23">
        <f t="shared" si="671"/>
        <v>5473</v>
      </c>
      <c r="VN39" s="23">
        <f t="shared" si="671"/>
        <v>5565</v>
      </c>
      <c r="VO39" s="23">
        <f t="shared" si="671"/>
        <v>5714</v>
      </c>
      <c r="VP39" s="23">
        <f t="shared" si="671"/>
        <v>0</v>
      </c>
      <c r="VQ39" s="23">
        <f t="shared" si="671"/>
        <v>0</v>
      </c>
      <c r="VR39" s="23">
        <f t="shared" si="671"/>
        <v>4004</v>
      </c>
      <c r="VS39" s="23">
        <f t="shared" si="671"/>
        <v>0</v>
      </c>
      <c r="VT39" s="23">
        <f t="shared" si="671"/>
        <v>4227</v>
      </c>
      <c r="VU39" s="23">
        <f t="shared" si="671"/>
        <v>5381</v>
      </c>
      <c r="VV39" s="23">
        <f t="shared" si="671"/>
        <v>5483</v>
      </c>
      <c r="VW39" s="23">
        <f t="shared" ref="VW39:WB39" si="672">IFERROR((VW24*2)+VW25+VW26,"")</f>
        <v>0</v>
      </c>
      <c r="VX39" s="23">
        <f t="shared" si="672"/>
        <v>0</v>
      </c>
      <c r="VY39" s="23">
        <f t="shared" si="672"/>
        <v>5899</v>
      </c>
      <c r="VZ39" s="23">
        <f t="shared" si="672"/>
        <v>5883</v>
      </c>
      <c r="WA39" s="23">
        <f t="shared" si="672"/>
        <v>5651</v>
      </c>
      <c r="WB39" s="23">
        <f t="shared" si="672"/>
        <v>6242</v>
      </c>
      <c r="WC39" s="23">
        <f t="shared" ref="WC39:WK39" si="673">IFERROR((WC24*2)+WC25+WC26,"")</f>
        <v>4942</v>
      </c>
      <c r="WD39" s="23">
        <f t="shared" si="673"/>
        <v>0</v>
      </c>
      <c r="WE39" s="23">
        <f t="shared" si="673"/>
        <v>0</v>
      </c>
      <c r="WF39" s="23">
        <f t="shared" si="673"/>
        <v>4504</v>
      </c>
      <c r="WG39" s="23">
        <f t="shared" si="673"/>
        <v>5650</v>
      </c>
      <c r="WH39" s="23">
        <f t="shared" si="673"/>
        <v>2915</v>
      </c>
      <c r="WI39" s="23">
        <f t="shared" si="673"/>
        <v>4962</v>
      </c>
      <c r="WJ39" s="23">
        <f t="shared" si="673"/>
        <v>3941</v>
      </c>
      <c r="WK39" s="23">
        <f t="shared" si="673"/>
        <v>0</v>
      </c>
      <c r="WL39" s="23">
        <f t="shared" ref="WL39:WW39" si="674">IFERROR((WL24*2)+WL25+WL26,"")</f>
        <v>0</v>
      </c>
      <c r="WM39" s="23">
        <f t="shared" si="674"/>
        <v>4182</v>
      </c>
      <c r="WN39" s="23">
        <f t="shared" si="674"/>
        <v>5282</v>
      </c>
      <c r="WO39" s="23">
        <f t="shared" si="674"/>
        <v>3660</v>
      </c>
      <c r="WP39" s="23">
        <f t="shared" si="674"/>
        <v>4679</v>
      </c>
      <c r="WQ39" s="23">
        <f t="shared" si="674"/>
        <v>3760</v>
      </c>
      <c r="WR39" s="23">
        <f t="shared" si="674"/>
        <v>0</v>
      </c>
      <c r="WS39" s="23">
        <f t="shared" si="674"/>
        <v>0</v>
      </c>
      <c r="WT39" s="23">
        <f t="shared" si="674"/>
        <v>4898</v>
      </c>
      <c r="WU39" s="23">
        <f t="shared" si="674"/>
        <v>4732</v>
      </c>
      <c r="WV39" s="23">
        <f t="shared" si="674"/>
        <v>3295</v>
      </c>
      <c r="WW39" s="23">
        <f t="shared" si="674"/>
        <v>3616</v>
      </c>
      <c r="WX39" s="23">
        <f t="shared" ref="WX39:XG39" si="675">IFERROR((WX24*2)+WX25+WX26,"")</f>
        <v>5871</v>
      </c>
      <c r="WY39" s="23">
        <f t="shared" si="675"/>
        <v>0</v>
      </c>
      <c r="WZ39" s="23">
        <f t="shared" si="675"/>
        <v>0</v>
      </c>
      <c r="XA39" s="23">
        <f t="shared" si="675"/>
        <v>7361</v>
      </c>
      <c r="XB39" s="23">
        <f t="shared" si="675"/>
        <v>5748</v>
      </c>
      <c r="XC39" s="23">
        <f t="shared" si="675"/>
        <v>5728</v>
      </c>
      <c r="XD39" s="23">
        <f t="shared" si="675"/>
        <v>1922</v>
      </c>
      <c r="XE39" s="23">
        <f t="shared" si="675"/>
        <v>5783</v>
      </c>
      <c r="XF39" s="23">
        <f t="shared" si="675"/>
        <v>0</v>
      </c>
      <c r="XG39" s="23">
        <f t="shared" si="675"/>
        <v>0</v>
      </c>
      <c r="XH39" s="23">
        <f t="shared" ref="XH39:XL39" si="676">IFERROR((XH24*2)+XH25+XH26,"")</f>
        <v>5246</v>
      </c>
      <c r="XI39" s="23">
        <f t="shared" si="676"/>
        <v>6048</v>
      </c>
      <c r="XJ39" s="23">
        <f t="shared" si="676"/>
        <v>3204</v>
      </c>
      <c r="XK39" s="23">
        <f t="shared" si="676"/>
        <v>3349</v>
      </c>
      <c r="XL39" s="23">
        <f t="shared" si="676"/>
        <v>4254</v>
      </c>
      <c r="XM39" s="23">
        <f>IFERROR((XM24*2)+XM25+XM26,"")</f>
        <v>0</v>
      </c>
      <c r="XN39" s="23">
        <f>IFERROR((XN24*2)+XN25+XN26,"")</f>
        <v>0</v>
      </c>
      <c r="XO39" s="23">
        <f t="shared" ref="XO39:XW39" si="677">IFERROR((XO24*2)+XO25+XO26,"")</f>
        <v>5237</v>
      </c>
      <c r="XP39" s="23">
        <f t="shared" si="677"/>
        <v>4578</v>
      </c>
      <c r="XQ39" s="23">
        <f t="shared" si="677"/>
        <v>3454</v>
      </c>
      <c r="XR39" s="23">
        <f t="shared" si="677"/>
        <v>3999</v>
      </c>
      <c r="XS39" s="23">
        <f t="shared" si="677"/>
        <v>2601</v>
      </c>
      <c r="XT39" s="23">
        <f t="shared" si="677"/>
        <v>0</v>
      </c>
      <c r="XU39" s="23">
        <f t="shared" si="677"/>
        <v>0</v>
      </c>
      <c r="XV39" s="23">
        <f t="shared" si="677"/>
        <v>0</v>
      </c>
      <c r="XW39" s="23">
        <f t="shared" si="677"/>
        <v>7341</v>
      </c>
      <c r="XX39" s="23">
        <f t="shared" ref="XX39:YD39" si="678">IFERROR((XX24*2)+XX25+XX26,"")</f>
        <v>5763</v>
      </c>
      <c r="XY39" s="23">
        <f t="shared" si="678"/>
        <v>3279</v>
      </c>
      <c r="XZ39" s="23">
        <f t="shared" si="678"/>
        <v>2807</v>
      </c>
      <c r="YA39" s="23">
        <f t="shared" si="678"/>
        <v>0</v>
      </c>
      <c r="YB39" s="23">
        <f t="shared" si="678"/>
        <v>0</v>
      </c>
      <c r="YC39" s="23">
        <f t="shared" si="678"/>
        <v>3477</v>
      </c>
      <c r="YD39" s="23">
        <f t="shared" si="678"/>
        <v>5631</v>
      </c>
      <c r="YE39" s="23">
        <f t="shared" ref="YE39:YI39" si="679">IFERROR((YE24*2)+YE25+YE26,"")</f>
        <v>3102</v>
      </c>
      <c r="YF39" s="23">
        <f t="shared" si="679"/>
        <v>2383</v>
      </c>
      <c r="YG39" s="23">
        <f t="shared" si="679"/>
        <v>3275</v>
      </c>
      <c r="YH39" s="23">
        <f t="shared" si="679"/>
        <v>0</v>
      </c>
      <c r="YI39" s="23">
        <f t="shared" si="679"/>
        <v>0</v>
      </c>
      <c r="YJ39" s="23">
        <f>IFERROR((YJ24*2)+YJ25+YJ26,"")</f>
        <v>3399</v>
      </c>
      <c r="YK39" s="23">
        <f>IFERROR((YK24*2)+YK25+YK26,"")</f>
        <v>0</v>
      </c>
      <c r="YL39" s="23">
        <f>IFERROR((YL24*2)+YL25+YL26,"")</f>
        <v>3784</v>
      </c>
      <c r="YM39" s="23">
        <f>IFERROR((YM24*2)+YM25+YM26,"")</f>
        <v>3104</v>
      </c>
      <c r="YN39" s="23">
        <f t="shared" ref="YN39:YQ39" si="680">IFERROR((YN24*2)+YN25+YN26,"")</f>
        <v>3314</v>
      </c>
      <c r="YO39" s="23">
        <f t="shared" si="680"/>
        <v>0</v>
      </c>
      <c r="YP39" s="23">
        <f t="shared" si="680"/>
        <v>0</v>
      </c>
      <c r="YQ39" s="23">
        <f t="shared" si="680"/>
        <v>6283</v>
      </c>
      <c r="YR39" s="23">
        <f t="shared" ref="YR39:YS39" si="681">IFERROR((YR24*2)+YR25+YR26,"")</f>
        <v>6985</v>
      </c>
      <c r="YS39" s="23">
        <f t="shared" si="681"/>
        <v>4993</v>
      </c>
      <c r="YT39" s="23">
        <f t="shared" ref="YT39:ZC39" si="682">IFERROR((YT24*2)+YT25+YT26,"")</f>
        <v>4400</v>
      </c>
      <c r="YU39" s="23">
        <f t="shared" si="682"/>
        <v>4455</v>
      </c>
      <c r="YV39" s="23">
        <f t="shared" si="682"/>
        <v>0</v>
      </c>
      <c r="YW39" s="23">
        <f t="shared" si="682"/>
        <v>0</v>
      </c>
      <c r="YX39" s="23">
        <f t="shared" si="682"/>
        <v>5683</v>
      </c>
      <c r="YY39" s="23">
        <f t="shared" si="682"/>
        <v>5417</v>
      </c>
      <c r="YZ39" s="23">
        <f t="shared" si="682"/>
        <v>4110</v>
      </c>
      <c r="ZA39" s="23">
        <f t="shared" si="682"/>
        <v>3257</v>
      </c>
      <c r="ZB39" s="23">
        <f t="shared" si="682"/>
        <v>2505</v>
      </c>
      <c r="ZC39" s="23">
        <f t="shared" si="682"/>
        <v>0</v>
      </c>
      <c r="ZD39" s="23">
        <f t="shared" ref="ZD39:ZS39" si="683">IFERROR((ZD24*2)+ZD25+ZD26,"")</f>
        <v>0</v>
      </c>
      <c r="ZE39" s="23">
        <f t="shared" si="683"/>
        <v>4031</v>
      </c>
      <c r="ZF39" s="23">
        <f t="shared" si="683"/>
        <v>5561</v>
      </c>
      <c r="ZG39" s="23">
        <f t="shared" si="683"/>
        <v>2404</v>
      </c>
      <c r="ZH39" s="23">
        <f t="shared" si="683"/>
        <v>3963</v>
      </c>
      <c r="ZI39" s="23">
        <f t="shared" si="683"/>
        <v>4406</v>
      </c>
      <c r="ZJ39" s="23">
        <f t="shared" si="683"/>
        <v>0</v>
      </c>
      <c r="ZK39" s="23">
        <f t="shared" si="683"/>
        <v>0</v>
      </c>
      <c r="ZL39" s="23">
        <f t="shared" si="683"/>
        <v>3436</v>
      </c>
      <c r="ZM39" s="23">
        <f t="shared" si="683"/>
        <v>3388</v>
      </c>
      <c r="ZN39" s="23">
        <f t="shared" si="683"/>
        <v>3188</v>
      </c>
      <c r="ZO39" s="23">
        <f t="shared" si="683"/>
        <v>3797</v>
      </c>
      <c r="ZP39" s="23">
        <f t="shared" si="683"/>
        <v>1906</v>
      </c>
      <c r="ZQ39" s="23">
        <f t="shared" si="683"/>
        <v>0</v>
      </c>
      <c r="ZR39" s="23">
        <f t="shared" si="683"/>
        <v>0</v>
      </c>
      <c r="ZS39" s="23">
        <f t="shared" si="683"/>
        <v>5352</v>
      </c>
      <c r="ZT39" s="23">
        <f t="shared" ref="ZT39:ZW39" si="684">IFERROR((ZT24*2)+ZT25+ZT26,"")</f>
        <v>5252</v>
      </c>
      <c r="ZU39" s="23">
        <f t="shared" si="684"/>
        <v>2114</v>
      </c>
      <c r="ZV39" s="23">
        <f t="shared" si="684"/>
        <v>3781</v>
      </c>
      <c r="ZW39" s="23">
        <f t="shared" si="684"/>
        <v>3320</v>
      </c>
      <c r="ZX39" s="23">
        <f t="shared" ref="ZX39:AAE39" si="685">IFERROR((ZX24*2)+ZX25+ZX26,"")</f>
        <v>0</v>
      </c>
      <c r="ZY39" s="23">
        <f t="shared" si="685"/>
        <v>0</v>
      </c>
      <c r="ZZ39" s="23">
        <f t="shared" si="685"/>
        <v>4664</v>
      </c>
      <c r="AAA39" s="23">
        <f t="shared" si="685"/>
        <v>5836</v>
      </c>
      <c r="AAB39" s="23">
        <f t="shared" si="685"/>
        <v>3670</v>
      </c>
      <c r="AAC39" s="23">
        <f t="shared" si="685"/>
        <v>4125</v>
      </c>
      <c r="AAD39" s="23">
        <f t="shared" si="685"/>
        <v>234</v>
      </c>
      <c r="AAE39" s="23">
        <f t="shared" si="685"/>
        <v>0</v>
      </c>
      <c r="AAF39" s="23">
        <f t="shared" ref="AAF39:AAQ39" si="686">IFERROR((AAF24*2)+AAF25+AAF26,"")</f>
        <v>0</v>
      </c>
      <c r="AAG39" s="23">
        <f t="shared" si="686"/>
        <v>4985</v>
      </c>
      <c r="AAH39" s="23">
        <f t="shared" si="686"/>
        <v>5706</v>
      </c>
      <c r="AAI39" s="23">
        <f t="shared" si="686"/>
        <v>5424</v>
      </c>
      <c r="AAJ39" s="23">
        <f t="shared" si="686"/>
        <v>3437</v>
      </c>
      <c r="AAK39" s="23">
        <f t="shared" si="686"/>
        <v>3652</v>
      </c>
      <c r="AAL39" s="23">
        <f t="shared" si="686"/>
        <v>0</v>
      </c>
      <c r="AAM39" s="23">
        <f t="shared" si="686"/>
        <v>0</v>
      </c>
      <c r="AAN39" s="23">
        <f t="shared" si="686"/>
        <v>3926</v>
      </c>
      <c r="AAO39" s="23">
        <f t="shared" si="686"/>
        <v>5515</v>
      </c>
      <c r="AAP39" s="23">
        <f t="shared" si="686"/>
        <v>3960</v>
      </c>
      <c r="AAQ39" s="23">
        <f t="shared" si="686"/>
        <v>3336</v>
      </c>
      <c r="AAR39" s="23">
        <f t="shared" ref="AAR39:AAU39" si="687">IFERROR((AAR24*2)+AAR25+AAR26,"")</f>
        <v>3527</v>
      </c>
      <c r="AAS39" s="23">
        <f t="shared" si="687"/>
        <v>1717</v>
      </c>
      <c r="AAT39" s="23">
        <f t="shared" si="687"/>
        <v>0</v>
      </c>
      <c r="AAU39" s="23">
        <f t="shared" si="687"/>
        <v>0</v>
      </c>
      <c r="AAV39" s="23">
        <f t="shared" ref="AAV39:ABB39" si="688">IFERROR((AAV24*2)+AAV25+AAV26,"")</f>
        <v>6151</v>
      </c>
      <c r="AAW39" s="23">
        <f t="shared" si="688"/>
        <v>4146</v>
      </c>
      <c r="AAX39" s="23">
        <f t="shared" si="688"/>
        <v>2642</v>
      </c>
      <c r="AAY39" s="23">
        <f t="shared" si="688"/>
        <v>3491</v>
      </c>
      <c r="AAZ39" s="23">
        <f t="shared" si="688"/>
        <v>0</v>
      </c>
      <c r="ABA39" s="23">
        <f t="shared" si="688"/>
        <v>0</v>
      </c>
      <c r="ABB39" s="23">
        <f t="shared" si="688"/>
        <v>5373</v>
      </c>
      <c r="ABC39" s="23">
        <f t="shared" ref="ABC39:ABL39" si="689">IFERROR((ABC24*2)+ABC25+ABC26,"")</f>
        <v>5777</v>
      </c>
      <c r="ABD39" s="23">
        <f t="shared" si="689"/>
        <v>3692</v>
      </c>
      <c r="ABE39" s="23">
        <f t="shared" si="689"/>
        <v>4576</v>
      </c>
      <c r="ABF39" s="23">
        <f t="shared" si="689"/>
        <v>359</v>
      </c>
      <c r="ABG39" s="23">
        <f t="shared" si="689"/>
        <v>0</v>
      </c>
      <c r="ABH39" s="23">
        <f t="shared" si="689"/>
        <v>0</v>
      </c>
      <c r="ABI39" s="23">
        <f t="shared" si="689"/>
        <v>4331</v>
      </c>
      <c r="ABJ39" s="23">
        <f t="shared" si="689"/>
        <v>5077</v>
      </c>
      <c r="ABK39" s="23">
        <f t="shared" si="689"/>
        <v>2606</v>
      </c>
      <c r="ABL39" s="23">
        <f t="shared" si="689"/>
        <v>3886</v>
      </c>
      <c r="ABM39" s="23">
        <f t="shared" ref="ABM39:ABO39" si="690">IFERROR((ABM24*2)+ABM25+ABM26,"")</f>
        <v>3841</v>
      </c>
      <c r="ABN39" s="23">
        <f t="shared" si="690"/>
        <v>0</v>
      </c>
      <c r="ABO39" s="23">
        <f t="shared" si="690"/>
        <v>0</v>
      </c>
      <c r="ABP39" s="23">
        <f t="shared" ref="ABP39:ABU39" si="691">IFERROR((ABP24*2)+ABP25+ABP26,"")</f>
        <v>10617</v>
      </c>
      <c r="ABQ39" s="23">
        <f t="shared" si="691"/>
        <v>7632</v>
      </c>
      <c r="ABR39" s="23">
        <f t="shared" si="691"/>
        <v>5637</v>
      </c>
      <c r="ABS39" s="23">
        <f t="shared" si="691"/>
        <v>4926</v>
      </c>
      <c r="ABT39" s="23">
        <f t="shared" si="691"/>
        <v>6772</v>
      </c>
      <c r="ABU39" s="23">
        <f t="shared" si="691"/>
        <v>0</v>
      </c>
      <c r="ABV39" s="23">
        <f t="shared" ref="ABV39:ACC39" si="692">IFERROR((ABV24*2)+ABV25+ABV26,"")</f>
        <v>0</v>
      </c>
      <c r="ABW39" s="23">
        <f t="shared" si="692"/>
        <v>7704</v>
      </c>
      <c r="ABX39" s="23">
        <f t="shared" si="692"/>
        <v>5203</v>
      </c>
      <c r="ABY39" s="23">
        <f t="shared" si="692"/>
        <v>3146</v>
      </c>
      <c r="ABZ39" s="23">
        <f t="shared" si="692"/>
        <v>2807</v>
      </c>
      <c r="ACA39" s="23">
        <f t="shared" si="692"/>
        <v>1792</v>
      </c>
      <c r="ACB39" s="23">
        <f t="shared" si="692"/>
        <v>0</v>
      </c>
      <c r="ACC39" s="23">
        <f t="shared" si="692"/>
        <v>0</v>
      </c>
      <c r="ACD39" s="23">
        <f t="shared" ref="ACD39:ACN39" si="693">IFERROR((ACD24*2)+ACD25+ACD26,"")</f>
        <v>4757</v>
      </c>
      <c r="ACE39" s="23">
        <f t="shared" si="693"/>
        <v>5391</v>
      </c>
      <c r="ACF39" s="23">
        <f t="shared" si="693"/>
        <v>4457</v>
      </c>
      <c r="ACG39" s="23">
        <f t="shared" si="693"/>
        <v>4483</v>
      </c>
      <c r="ACH39" s="23">
        <f t="shared" si="693"/>
        <v>3347</v>
      </c>
      <c r="ACI39" s="23">
        <f t="shared" si="693"/>
        <v>0</v>
      </c>
      <c r="ACJ39" s="23">
        <f t="shared" si="693"/>
        <v>0</v>
      </c>
      <c r="ACK39" s="23">
        <f t="shared" si="693"/>
        <v>4821</v>
      </c>
      <c r="ACL39" s="23">
        <f t="shared" si="693"/>
        <v>5424</v>
      </c>
      <c r="ACM39" s="23">
        <f t="shared" si="693"/>
        <v>5099</v>
      </c>
      <c r="ACN39" s="23">
        <f t="shared" si="693"/>
        <v>3694</v>
      </c>
      <c r="ACO39" s="23">
        <f t="shared" ref="ACO39:ACU39" si="694">IFERROR((ACO24*2)+ACO25+ACO26,"")</f>
        <v>4891</v>
      </c>
      <c r="ACP39" s="23">
        <f t="shared" si="694"/>
        <v>0</v>
      </c>
      <c r="ACQ39" s="23">
        <f t="shared" si="694"/>
        <v>0</v>
      </c>
      <c r="ACR39" s="23">
        <f t="shared" si="694"/>
        <v>5512</v>
      </c>
      <c r="ACS39" s="23">
        <f t="shared" si="694"/>
        <v>4566</v>
      </c>
      <c r="ACT39" s="23">
        <f t="shared" si="694"/>
        <v>3170</v>
      </c>
      <c r="ACU39" s="23">
        <f t="shared" si="694"/>
        <v>3721</v>
      </c>
      <c r="ACV39" s="23">
        <f t="shared" ref="ACV39:ADD39" si="695">IFERROR((ACV24*2)+ACV25+ACV26,"")</f>
        <v>0</v>
      </c>
      <c r="ACW39" s="23">
        <f t="shared" si="695"/>
        <v>0</v>
      </c>
      <c r="ACX39" s="23">
        <f t="shared" si="695"/>
        <v>0</v>
      </c>
      <c r="ACY39" s="23">
        <f t="shared" si="695"/>
        <v>5568</v>
      </c>
      <c r="ACZ39" s="23">
        <f t="shared" si="695"/>
        <v>4745</v>
      </c>
      <c r="ADA39" s="23">
        <f t="shared" si="695"/>
        <v>2031</v>
      </c>
      <c r="ADB39" s="23">
        <f t="shared" si="695"/>
        <v>3474</v>
      </c>
      <c r="ADC39" s="23">
        <f t="shared" si="695"/>
        <v>148</v>
      </c>
      <c r="ADD39" s="23">
        <f t="shared" si="695"/>
        <v>0</v>
      </c>
      <c r="ADE39" s="23">
        <f t="shared" ref="ADE39:ADR39" si="696">IFERROR((ADE24*2)+ADE25+ADE26,"")</f>
        <v>0</v>
      </c>
      <c r="ADF39" s="23">
        <f t="shared" si="696"/>
        <v>6020</v>
      </c>
      <c r="ADG39" s="23">
        <f t="shared" si="696"/>
        <v>5470</v>
      </c>
      <c r="ADH39" s="23">
        <f t="shared" si="696"/>
        <v>5860</v>
      </c>
      <c r="ADI39" s="23">
        <f t="shared" si="696"/>
        <v>6360</v>
      </c>
      <c r="ADJ39" s="23">
        <f t="shared" si="696"/>
        <v>7269</v>
      </c>
      <c r="ADK39" s="23">
        <f t="shared" si="696"/>
        <v>516</v>
      </c>
      <c r="ADL39" s="23">
        <f t="shared" si="696"/>
        <v>0</v>
      </c>
      <c r="ADM39" s="23">
        <f t="shared" si="696"/>
        <v>5058</v>
      </c>
      <c r="ADN39" s="23">
        <f t="shared" si="696"/>
        <v>5301</v>
      </c>
      <c r="ADO39" s="23">
        <f t="shared" si="696"/>
        <v>5326</v>
      </c>
      <c r="ADP39" s="23">
        <f t="shared" si="696"/>
        <v>6124</v>
      </c>
      <c r="ADQ39" s="23">
        <f t="shared" si="696"/>
        <v>5197</v>
      </c>
      <c r="ADR39" s="23">
        <f t="shared" si="696"/>
        <v>0</v>
      </c>
      <c r="ADS39" s="23">
        <f t="shared" ref="ADS39:ADX39" si="697">IFERROR((ADS24*2)+ADS25+ADS26,"")</f>
        <v>0</v>
      </c>
      <c r="ADT39" s="23">
        <f t="shared" si="697"/>
        <v>3129</v>
      </c>
      <c r="ADU39" s="23">
        <f t="shared" si="697"/>
        <v>242</v>
      </c>
      <c r="ADV39" s="23">
        <f t="shared" si="697"/>
        <v>0</v>
      </c>
      <c r="ADW39" s="23">
        <f t="shared" si="697"/>
        <v>0</v>
      </c>
      <c r="ADX39" s="23">
        <f t="shared" si="697"/>
        <v>0</v>
      </c>
      <c r="ADY39" s="23">
        <f t="shared" ref="ADY39:AEG39" si="698">IFERROR((ADY24*2)+ADY25+ADY26,"")</f>
        <v>0</v>
      </c>
      <c r="ADZ39" s="23">
        <f t="shared" si="698"/>
        <v>0</v>
      </c>
      <c r="AEA39" s="23">
        <f t="shared" si="698"/>
        <v>3647</v>
      </c>
      <c r="AEB39" s="23">
        <f t="shared" si="698"/>
        <v>1685</v>
      </c>
      <c r="AEC39" s="23">
        <f t="shared" si="698"/>
        <v>2019</v>
      </c>
      <c r="AED39" s="23">
        <f t="shared" si="698"/>
        <v>3547</v>
      </c>
      <c r="AEE39" s="23">
        <f t="shared" si="698"/>
        <v>5739</v>
      </c>
      <c r="AEF39" s="23">
        <f t="shared" si="698"/>
        <v>0</v>
      </c>
      <c r="AEG39" s="23">
        <f t="shared" si="698"/>
        <v>0</v>
      </c>
      <c r="AEH39" s="23">
        <f t="shared" ref="AEH39:AEW39" si="699">IFERROR((AEH24*2)+AEH25+AEH26,"")</f>
        <v>5555</v>
      </c>
      <c r="AEI39" s="23">
        <f t="shared" si="699"/>
        <v>5950</v>
      </c>
      <c r="AEJ39" s="23">
        <f t="shared" si="699"/>
        <v>5757</v>
      </c>
      <c r="AEK39" s="23">
        <f t="shared" si="699"/>
        <v>5153</v>
      </c>
      <c r="AEL39" s="23">
        <f t="shared" si="699"/>
        <v>6019</v>
      </c>
      <c r="AEM39" s="23">
        <f t="shared" si="699"/>
        <v>0</v>
      </c>
      <c r="AEN39" s="23">
        <f t="shared" si="699"/>
        <v>0</v>
      </c>
      <c r="AEO39" s="23">
        <f t="shared" si="699"/>
        <v>5466</v>
      </c>
      <c r="AEP39" s="23">
        <f t="shared" si="699"/>
        <v>7760</v>
      </c>
      <c r="AEQ39" s="23">
        <f t="shared" si="699"/>
        <v>7056</v>
      </c>
      <c r="AER39" s="23">
        <f t="shared" si="699"/>
        <v>3197</v>
      </c>
      <c r="AES39" s="23">
        <f t="shared" si="699"/>
        <v>4159</v>
      </c>
      <c r="AET39" s="23">
        <f t="shared" si="699"/>
        <v>0</v>
      </c>
      <c r="AEU39" s="23">
        <f t="shared" si="699"/>
        <v>0</v>
      </c>
      <c r="AEV39" s="23">
        <f t="shared" si="699"/>
        <v>5930</v>
      </c>
      <c r="AEW39" s="23">
        <f t="shared" si="699"/>
        <v>6323</v>
      </c>
      <c r="AEX39" s="23">
        <f t="shared" ref="AEX39:AFC39" si="700">IFERROR((AEX24*2)+AEX25+AEX26,"")</f>
        <v>4692</v>
      </c>
      <c r="AEY39" s="23">
        <f t="shared" si="700"/>
        <v>3422</v>
      </c>
      <c r="AEZ39" s="23">
        <f t="shared" si="700"/>
        <v>2684</v>
      </c>
      <c r="AFA39" s="23">
        <f t="shared" si="700"/>
        <v>0</v>
      </c>
      <c r="AFB39" s="23">
        <f t="shared" si="700"/>
        <v>0</v>
      </c>
      <c r="AFC39" s="23">
        <f t="shared" si="700"/>
        <v>5449</v>
      </c>
      <c r="AFD39" s="23">
        <f t="shared" ref="AFD39:AFV39" si="701">IFERROR((AFD24*2)+AFD25+AFD26,"")</f>
        <v>6246</v>
      </c>
      <c r="AFE39" s="23">
        <f t="shared" si="701"/>
        <v>3514</v>
      </c>
      <c r="AFF39" s="23">
        <f t="shared" si="701"/>
        <v>2578</v>
      </c>
      <c r="AFG39" s="23">
        <f t="shared" si="701"/>
        <v>4236</v>
      </c>
      <c r="AFH39" s="23">
        <f t="shared" si="701"/>
        <v>0</v>
      </c>
      <c r="AFI39" s="23">
        <f t="shared" si="701"/>
        <v>0</v>
      </c>
      <c r="AFJ39" s="23">
        <f t="shared" si="701"/>
        <v>5540</v>
      </c>
      <c r="AFK39" s="23">
        <f t="shared" si="701"/>
        <v>5781</v>
      </c>
      <c r="AFL39" s="23">
        <f t="shared" si="701"/>
        <v>6104</v>
      </c>
      <c r="AFM39" s="23">
        <f t="shared" si="701"/>
        <v>2805</v>
      </c>
      <c r="AFN39" s="23">
        <f t="shared" si="701"/>
        <v>5734</v>
      </c>
      <c r="AFO39" s="23">
        <f t="shared" si="701"/>
        <v>0</v>
      </c>
      <c r="AFP39" s="23">
        <f t="shared" si="701"/>
        <v>0</v>
      </c>
      <c r="AFQ39" s="23">
        <f t="shared" si="701"/>
        <v>5446</v>
      </c>
      <c r="AFR39" s="23">
        <f t="shared" si="701"/>
        <v>6087</v>
      </c>
      <c r="AFS39" s="23">
        <f t="shared" si="701"/>
        <v>3475</v>
      </c>
      <c r="AFT39" s="23">
        <f t="shared" si="701"/>
        <v>5113</v>
      </c>
      <c r="AFU39" s="23">
        <f t="shared" si="701"/>
        <v>2623</v>
      </c>
      <c r="AFV39" s="23">
        <f t="shared" si="701"/>
        <v>0</v>
      </c>
      <c r="AFW39" s="23">
        <f t="shared" ref="AFW39:AGC39" si="702">IFERROR((AFW24*2)+AFW25+AFW26,"")</f>
        <v>0</v>
      </c>
      <c r="AFX39" s="23">
        <f t="shared" si="702"/>
        <v>5272</v>
      </c>
      <c r="AFY39" s="23">
        <f t="shared" si="702"/>
        <v>5768</v>
      </c>
      <c r="AFZ39" s="23">
        <f t="shared" si="702"/>
        <v>4042</v>
      </c>
      <c r="AGA39" s="23">
        <f t="shared" si="702"/>
        <v>3588</v>
      </c>
      <c r="AGB39" s="23">
        <f t="shared" si="702"/>
        <v>2541</v>
      </c>
      <c r="AGC39" s="23">
        <f t="shared" si="702"/>
        <v>0</v>
      </c>
      <c r="AGD39" s="23">
        <f t="shared" ref="AGD39:AGK39" si="703">IFERROR((AGD24*2)+AGD25+AGD26,"")</f>
        <v>0</v>
      </c>
      <c r="AGE39" s="23">
        <f t="shared" si="703"/>
        <v>5755</v>
      </c>
      <c r="AGF39" s="23">
        <f t="shared" si="703"/>
        <v>4585</v>
      </c>
      <c r="AGG39" s="23">
        <f t="shared" si="703"/>
        <v>4245</v>
      </c>
      <c r="AGH39" s="23">
        <f t="shared" si="703"/>
        <v>5906</v>
      </c>
      <c r="AGI39" s="23">
        <f t="shared" si="703"/>
        <v>2000</v>
      </c>
      <c r="AGJ39" s="23">
        <f t="shared" si="703"/>
        <v>0</v>
      </c>
      <c r="AGK39" s="23">
        <f t="shared" si="703"/>
        <v>0</v>
      </c>
      <c r="AGL39" s="23">
        <f t="shared" ref="AGL39:AGV39" si="704">IFERROR((AGL24*2)+AGL25+AGL26,"")</f>
        <v>4517</v>
      </c>
      <c r="AGM39" s="23">
        <f t="shared" si="704"/>
        <v>5639</v>
      </c>
      <c r="AGN39" s="23">
        <f t="shared" si="704"/>
        <v>6069</v>
      </c>
      <c r="AGO39" s="23">
        <f t="shared" si="704"/>
        <v>4162</v>
      </c>
      <c r="AGP39" s="23">
        <f t="shared" si="704"/>
        <v>3438</v>
      </c>
      <c r="AGQ39" s="23">
        <f t="shared" si="704"/>
        <v>0</v>
      </c>
      <c r="AGR39" s="23">
        <f t="shared" si="704"/>
        <v>0</v>
      </c>
      <c r="AGS39" s="23">
        <f t="shared" si="704"/>
        <v>6086</v>
      </c>
      <c r="AGT39" s="23">
        <f t="shared" si="704"/>
        <v>5763</v>
      </c>
      <c r="AGU39" s="23">
        <f t="shared" si="704"/>
        <v>4041</v>
      </c>
      <c r="AGV39" s="23">
        <f t="shared" si="704"/>
        <v>3717</v>
      </c>
      <c r="AGW39" s="23">
        <f t="shared" ref="AGW39:AGY39" si="705">IFERROR((AGW24*2)+AGW25+AGW26,"")</f>
        <v>3173</v>
      </c>
      <c r="AGX39" s="23">
        <f t="shared" si="705"/>
        <v>0</v>
      </c>
      <c r="AGY39" s="23">
        <f t="shared" si="705"/>
        <v>0</v>
      </c>
      <c r="AGZ39" s="23">
        <f t="shared" ref="AGZ39:AHE39" si="706">IFERROR((AGZ24*2)+AGZ25+AGZ26,"")</f>
        <v>4976</v>
      </c>
      <c r="AHA39" s="23">
        <f t="shared" si="706"/>
        <v>5948</v>
      </c>
      <c r="AHB39" s="23">
        <f t="shared" si="706"/>
        <v>4264</v>
      </c>
      <c r="AHC39" s="23">
        <f t="shared" si="706"/>
        <v>4661</v>
      </c>
      <c r="AHD39" s="23">
        <f t="shared" si="706"/>
        <v>2754</v>
      </c>
      <c r="AHE39" s="23">
        <f t="shared" si="706"/>
        <v>0</v>
      </c>
      <c r="AHF39" s="23">
        <f t="shared" ref="AHF39:AHL39" si="707">IFERROR((AHF24*2)+AHF25+AHF26,"")</f>
        <v>0</v>
      </c>
      <c r="AHG39" s="23">
        <f t="shared" si="707"/>
        <v>5910</v>
      </c>
      <c r="AHH39" s="23">
        <f t="shared" si="707"/>
        <v>6436</v>
      </c>
      <c r="AHI39" s="23">
        <f t="shared" si="707"/>
        <v>4910</v>
      </c>
      <c r="AHJ39" s="23">
        <f t="shared" si="707"/>
        <v>3646</v>
      </c>
      <c r="AHK39" s="23">
        <f t="shared" si="707"/>
        <v>4493</v>
      </c>
      <c r="AHL39" s="23">
        <f t="shared" si="707"/>
        <v>0</v>
      </c>
      <c r="AHM39" s="23">
        <f t="shared" ref="AHM39:AIF39" si="708">IFERROR((AHM24*2)+AHM25+AHM26,"")</f>
        <v>0</v>
      </c>
      <c r="AHN39" s="23">
        <f t="shared" si="708"/>
        <v>0</v>
      </c>
      <c r="AHO39" s="23">
        <f t="shared" si="708"/>
        <v>6193</v>
      </c>
      <c r="AHP39" s="23">
        <f t="shared" si="708"/>
        <v>6719</v>
      </c>
      <c r="AHQ39" s="23">
        <f t="shared" si="708"/>
        <v>5063</v>
      </c>
      <c r="AHR39" s="23">
        <f t="shared" si="708"/>
        <v>3025</v>
      </c>
      <c r="AHS39" s="23">
        <f t="shared" si="708"/>
        <v>0</v>
      </c>
      <c r="AHT39" s="23">
        <f t="shared" si="708"/>
        <v>0</v>
      </c>
      <c r="AHU39" s="23">
        <f t="shared" si="708"/>
        <v>0</v>
      </c>
      <c r="AHV39" s="23">
        <f t="shared" si="708"/>
        <v>0</v>
      </c>
      <c r="AHW39" s="23">
        <f t="shared" si="708"/>
        <v>0</v>
      </c>
      <c r="AHX39" s="23">
        <f t="shared" si="708"/>
        <v>1638</v>
      </c>
      <c r="AHY39" s="23">
        <f t="shared" si="708"/>
        <v>2270</v>
      </c>
      <c r="AHZ39" s="23">
        <f t="shared" si="708"/>
        <v>0</v>
      </c>
      <c r="AIA39" s="23">
        <f t="shared" si="708"/>
        <v>0</v>
      </c>
      <c r="AIB39" s="23">
        <f t="shared" si="708"/>
        <v>5495</v>
      </c>
      <c r="AIC39" s="23">
        <f t="shared" si="708"/>
        <v>6102</v>
      </c>
      <c r="AID39" s="23">
        <f t="shared" si="708"/>
        <v>3261</v>
      </c>
      <c r="AIE39" s="23">
        <f t="shared" si="708"/>
        <v>3657</v>
      </c>
      <c r="AIF39" s="23">
        <f t="shared" si="708"/>
        <v>4323</v>
      </c>
      <c r="AIG39" s="23">
        <f t="shared" ref="AIG39:AIP39" si="709">IFERROR((AIG24*2)+AIG25+AIG26,"")</f>
        <v>358</v>
      </c>
      <c r="AIH39" s="23">
        <f t="shared" si="709"/>
        <v>0</v>
      </c>
      <c r="AII39" s="23">
        <f t="shared" si="709"/>
        <v>0</v>
      </c>
      <c r="AIJ39" s="23">
        <f t="shared" si="709"/>
        <v>0</v>
      </c>
      <c r="AIK39" s="23">
        <f t="shared" si="709"/>
        <v>0</v>
      </c>
      <c r="AIL39" s="23">
        <f t="shared" si="709"/>
        <v>0</v>
      </c>
      <c r="AIM39" s="23">
        <f t="shared" si="709"/>
        <v>0</v>
      </c>
      <c r="AIN39" s="23">
        <f t="shared" si="709"/>
        <v>0</v>
      </c>
      <c r="AIO39" s="23">
        <f t="shared" si="709"/>
        <v>0</v>
      </c>
      <c r="AIP39" s="23">
        <f t="shared" si="709"/>
        <v>0</v>
      </c>
      <c r="AIQ39" s="23">
        <f t="shared" ref="AIQ39:AJD39" si="710">IFERROR((AIQ24*2)+AIQ25+AIQ26,"")</f>
        <v>4296</v>
      </c>
      <c r="AIR39" s="23">
        <f t="shared" si="710"/>
        <v>4894</v>
      </c>
      <c r="AIS39" s="23">
        <f t="shared" si="710"/>
        <v>3807</v>
      </c>
      <c r="AIT39" s="23">
        <f t="shared" si="710"/>
        <v>4326</v>
      </c>
      <c r="AIU39" s="23">
        <f t="shared" si="710"/>
        <v>0</v>
      </c>
      <c r="AIV39" s="23">
        <f t="shared" si="710"/>
        <v>0</v>
      </c>
      <c r="AIW39" s="23">
        <f t="shared" si="710"/>
        <v>4773</v>
      </c>
      <c r="AIX39" s="23">
        <f t="shared" si="710"/>
        <v>2996</v>
      </c>
      <c r="AIY39" s="23">
        <f t="shared" si="710"/>
        <v>4232</v>
      </c>
      <c r="AIZ39" s="23">
        <f t="shared" si="710"/>
        <v>2959</v>
      </c>
      <c r="AJA39" s="23">
        <f t="shared" si="710"/>
        <v>3117</v>
      </c>
      <c r="AJB39" s="23">
        <f t="shared" si="710"/>
        <v>0</v>
      </c>
      <c r="AJC39" s="23">
        <f t="shared" si="710"/>
        <v>0</v>
      </c>
      <c r="AJD39" s="23">
        <f t="shared" si="710"/>
        <v>5134</v>
      </c>
      <c r="AJE39" s="23">
        <f t="shared" ref="AJE39:AJK39" si="711">IFERROR((AJE24*2)+AJE25+AJE26,"")</f>
        <v>4246</v>
      </c>
      <c r="AJF39" s="23">
        <f t="shared" si="711"/>
        <v>4814</v>
      </c>
      <c r="AJG39" s="23">
        <f t="shared" si="711"/>
        <v>3659</v>
      </c>
      <c r="AJH39" s="23">
        <f t="shared" si="711"/>
        <v>3003</v>
      </c>
      <c r="AJI39" s="23">
        <f t="shared" si="711"/>
        <v>0</v>
      </c>
      <c r="AJJ39" s="23">
        <f t="shared" si="711"/>
        <v>0</v>
      </c>
      <c r="AJK39" s="23">
        <f t="shared" si="711"/>
        <v>4582</v>
      </c>
      <c r="AJL39" s="23">
        <f t="shared" ref="AJL39:AJP39" si="712">IFERROR((AJL24*2)+AJL25+AJL26,"")</f>
        <v>5541</v>
      </c>
      <c r="AJM39" s="23">
        <f t="shared" si="712"/>
        <v>3529</v>
      </c>
      <c r="AJN39" s="23">
        <f t="shared" si="712"/>
        <v>3370</v>
      </c>
      <c r="AJO39" s="23">
        <f t="shared" si="712"/>
        <v>3601</v>
      </c>
      <c r="AJP39" s="23">
        <f t="shared" si="712"/>
        <v>519</v>
      </c>
      <c r="AJQ39" s="23">
        <f t="shared" ref="AJQ39:AKA39" si="713">IFERROR((AJQ24*2)+AJQ25+AJQ26,"")</f>
        <v>0</v>
      </c>
      <c r="AJR39" s="23">
        <f t="shared" si="713"/>
        <v>0</v>
      </c>
      <c r="AJS39" s="23">
        <f t="shared" si="713"/>
        <v>4874</v>
      </c>
      <c r="AJT39" s="23">
        <f t="shared" si="713"/>
        <v>0</v>
      </c>
      <c r="AJU39" s="23">
        <f t="shared" si="713"/>
        <v>4479</v>
      </c>
      <c r="AJV39" s="23">
        <f t="shared" si="713"/>
        <v>3158</v>
      </c>
      <c r="AJW39" s="23">
        <f t="shared" si="713"/>
        <v>0</v>
      </c>
      <c r="AJX39" s="23">
        <f t="shared" si="713"/>
        <v>0</v>
      </c>
      <c r="AJY39" s="23">
        <f t="shared" si="713"/>
        <v>4717</v>
      </c>
      <c r="AJZ39" s="23">
        <f t="shared" si="713"/>
        <v>5035</v>
      </c>
      <c r="AKA39" s="23">
        <f t="shared" si="713"/>
        <v>4987</v>
      </c>
      <c r="AKB39" s="23">
        <f t="shared" ref="AKB39:AKK39" si="714">IFERROR((AKB24*2)+AKB25+AKB26,"")</f>
        <v>3316</v>
      </c>
      <c r="AKC39" s="23">
        <f t="shared" si="714"/>
        <v>4133</v>
      </c>
      <c r="AKD39" s="23">
        <f t="shared" si="714"/>
        <v>0</v>
      </c>
      <c r="AKE39" s="23">
        <f t="shared" si="714"/>
        <v>0</v>
      </c>
      <c r="AKF39" s="23">
        <f t="shared" si="714"/>
        <v>4702</v>
      </c>
      <c r="AKG39" s="23">
        <f t="shared" si="714"/>
        <v>0</v>
      </c>
      <c r="AKH39" s="23">
        <f t="shared" si="714"/>
        <v>0</v>
      </c>
      <c r="AKI39" s="23">
        <f t="shared" si="714"/>
        <v>0</v>
      </c>
      <c r="AKJ39" s="23">
        <f t="shared" si="714"/>
        <v>0</v>
      </c>
      <c r="AKK39" s="23">
        <f t="shared" si="714"/>
        <v>0</v>
      </c>
    </row>
    <row r="40" spans="1:973">
      <c r="B40" s="1" t="s">
        <v>83</v>
      </c>
      <c r="C40" s="27">
        <v>99999</v>
      </c>
      <c r="D40" s="1" t="s">
        <v>8</v>
      </c>
      <c r="E40" s="1" t="s">
        <v>69</v>
      </c>
      <c r="F40" s="1" t="s">
        <v>21</v>
      </c>
      <c r="G40" s="1" t="s">
        <v>21</v>
      </c>
      <c r="H40" s="1" t="s">
        <v>21</v>
      </c>
      <c r="I40" s="1" t="s">
        <v>21</v>
      </c>
      <c r="J40" s="1" t="s">
        <v>21</v>
      </c>
      <c r="K40" s="23">
        <f>IFERROR((K28*2)+K29+K30,"")</f>
        <v>10806</v>
      </c>
      <c r="L40" s="23">
        <f t="shared" ref="L40:BW40" si="715">IFERROR((L28*2)+L29+L30,"")</f>
        <v>9309</v>
      </c>
      <c r="M40" s="23">
        <f t="shared" si="715"/>
        <v>11120</v>
      </c>
      <c r="N40" s="23">
        <f t="shared" si="715"/>
        <v>11221</v>
      </c>
      <c r="O40" s="23">
        <f t="shared" si="715"/>
        <v>3501</v>
      </c>
      <c r="P40" s="23">
        <f t="shared" si="715"/>
        <v>6238</v>
      </c>
      <c r="Q40" s="23">
        <f t="shared" si="715"/>
        <v>11065</v>
      </c>
      <c r="R40" s="23">
        <f t="shared" si="715"/>
        <v>7150</v>
      </c>
      <c r="S40" s="23">
        <f t="shared" si="715"/>
        <v>13866</v>
      </c>
      <c r="T40" s="23">
        <f t="shared" si="715"/>
        <v>12724</v>
      </c>
      <c r="U40" s="23">
        <f t="shared" si="715"/>
        <v>7111</v>
      </c>
      <c r="V40" s="23" t="str">
        <f t="shared" si="715"/>
        <v/>
      </c>
      <c r="W40" s="23">
        <f t="shared" si="715"/>
        <v>7841</v>
      </c>
      <c r="X40" s="23">
        <f t="shared" si="715"/>
        <v>9504</v>
      </c>
      <c r="Y40" s="23">
        <f t="shared" si="715"/>
        <v>8094</v>
      </c>
      <c r="Z40" s="23">
        <f t="shared" si="715"/>
        <v>11814</v>
      </c>
      <c r="AA40" s="23">
        <f t="shared" si="715"/>
        <v>7474</v>
      </c>
      <c r="AB40" s="23">
        <f t="shared" si="715"/>
        <v>5340</v>
      </c>
      <c r="AC40" s="23" t="str">
        <f t="shared" si="715"/>
        <v/>
      </c>
      <c r="AD40" s="23">
        <f t="shared" si="715"/>
        <v>8167</v>
      </c>
      <c r="AE40" s="23">
        <f t="shared" si="715"/>
        <v>10326</v>
      </c>
      <c r="AF40" s="23">
        <f t="shared" si="715"/>
        <v>9701</v>
      </c>
      <c r="AG40" s="23">
        <f t="shared" si="715"/>
        <v>11527</v>
      </c>
      <c r="AH40" s="23">
        <f t="shared" si="715"/>
        <v>15094</v>
      </c>
      <c r="AI40" s="23">
        <f t="shared" si="715"/>
        <v>11412</v>
      </c>
      <c r="AJ40" s="23" t="str">
        <f t="shared" si="715"/>
        <v/>
      </c>
      <c r="AK40" s="23">
        <f t="shared" si="715"/>
        <v>12448</v>
      </c>
      <c r="AL40" s="23">
        <f t="shared" si="715"/>
        <v>11111</v>
      </c>
      <c r="AM40" s="23">
        <f t="shared" si="715"/>
        <v>13078</v>
      </c>
      <c r="AN40" s="23">
        <f t="shared" si="715"/>
        <v>17304</v>
      </c>
      <c r="AO40" s="23">
        <f t="shared" si="715"/>
        <v>12204</v>
      </c>
      <c r="AP40" s="23">
        <f t="shared" si="715"/>
        <v>7960</v>
      </c>
      <c r="AQ40" s="23" t="str">
        <f t="shared" si="715"/>
        <v/>
      </c>
      <c r="AR40" s="23">
        <f t="shared" si="715"/>
        <v>9378</v>
      </c>
      <c r="AS40" s="23" t="str">
        <f t="shared" si="715"/>
        <v/>
      </c>
      <c r="AT40" s="23">
        <f t="shared" si="715"/>
        <v>12767</v>
      </c>
      <c r="AU40" s="23">
        <f t="shared" si="715"/>
        <v>9663</v>
      </c>
      <c r="AV40" s="23">
        <f t="shared" si="715"/>
        <v>9116</v>
      </c>
      <c r="AW40" s="23">
        <f t="shared" si="715"/>
        <v>8766</v>
      </c>
      <c r="AX40" s="23" t="str">
        <f t="shared" si="715"/>
        <v/>
      </c>
      <c r="AY40" s="23">
        <f t="shared" si="715"/>
        <v>8325</v>
      </c>
      <c r="AZ40" s="23">
        <f t="shared" si="715"/>
        <v>8950</v>
      </c>
      <c r="BA40" s="23">
        <f t="shared" si="715"/>
        <v>13674</v>
      </c>
      <c r="BB40" s="23">
        <f t="shared" si="715"/>
        <v>12456</v>
      </c>
      <c r="BC40" s="23">
        <f t="shared" si="715"/>
        <v>12305</v>
      </c>
      <c r="BD40" s="23">
        <f t="shared" si="715"/>
        <v>11619</v>
      </c>
      <c r="BE40" s="23" t="str">
        <f t="shared" si="715"/>
        <v/>
      </c>
      <c r="BF40" s="23">
        <f t="shared" si="715"/>
        <v>9732</v>
      </c>
      <c r="BG40" s="23">
        <f t="shared" si="715"/>
        <v>13253</v>
      </c>
      <c r="BH40" s="23">
        <f t="shared" si="715"/>
        <v>8533</v>
      </c>
      <c r="BI40" s="23">
        <f t="shared" si="715"/>
        <v>14424</v>
      </c>
      <c r="BJ40" s="23">
        <f t="shared" si="715"/>
        <v>15950</v>
      </c>
      <c r="BK40" s="23">
        <f t="shared" si="715"/>
        <v>12616</v>
      </c>
      <c r="BL40" s="23">
        <f t="shared" si="715"/>
        <v>0</v>
      </c>
      <c r="BM40" s="23">
        <f t="shared" si="715"/>
        <v>13033</v>
      </c>
      <c r="BN40" s="23">
        <f t="shared" si="715"/>
        <v>13463</v>
      </c>
      <c r="BO40" s="23">
        <f t="shared" si="715"/>
        <v>14818</v>
      </c>
      <c r="BP40" s="23">
        <f t="shared" si="715"/>
        <v>12105</v>
      </c>
      <c r="BQ40" s="23">
        <f t="shared" si="715"/>
        <v>4308</v>
      </c>
      <c r="BR40" s="23">
        <f t="shared" si="715"/>
        <v>0</v>
      </c>
      <c r="BS40" s="23">
        <f t="shared" si="715"/>
        <v>0</v>
      </c>
      <c r="BT40" s="23">
        <f t="shared" si="715"/>
        <v>0</v>
      </c>
      <c r="BU40" s="23">
        <f t="shared" si="715"/>
        <v>0</v>
      </c>
      <c r="BV40" s="23">
        <f t="shared" si="715"/>
        <v>2912</v>
      </c>
      <c r="BW40" s="23">
        <f t="shared" si="715"/>
        <v>2393</v>
      </c>
      <c r="BX40" s="23">
        <f t="shared" ref="BX40:CD40" si="716">IFERROR((BX28*2)+BX29+BX30,"")</f>
        <v>7887</v>
      </c>
      <c r="BY40" s="23">
        <f t="shared" si="716"/>
        <v>8639</v>
      </c>
      <c r="BZ40" s="23">
        <f>IFERROR((BZ28*2)+BZ29+BZ30,"")</f>
        <v>0</v>
      </c>
      <c r="CA40" s="23">
        <f t="shared" si="716"/>
        <v>9053</v>
      </c>
      <c r="CB40" s="23">
        <f t="shared" si="716"/>
        <v>8051</v>
      </c>
      <c r="CC40" s="23">
        <f t="shared" si="716"/>
        <v>11397</v>
      </c>
      <c r="CD40" s="23">
        <f t="shared" si="716"/>
        <v>11846</v>
      </c>
      <c r="CE40" s="23">
        <f t="shared" ref="CE40:CH40" si="717">IFERROR((CE28*2)+CE29+CE30,"")</f>
        <v>11108</v>
      </c>
      <c r="CF40" s="23">
        <f t="shared" si="717"/>
        <v>10324</v>
      </c>
      <c r="CG40" s="23">
        <f t="shared" si="717"/>
        <v>0</v>
      </c>
      <c r="CH40" s="23">
        <f t="shared" si="717"/>
        <v>9324</v>
      </c>
      <c r="CI40" s="23">
        <f t="shared" ref="CI40:CZ40" si="718">IFERROR((CI28*2)+CI29+CI30,"")</f>
        <v>9957</v>
      </c>
      <c r="CJ40" s="23">
        <f t="shared" si="718"/>
        <v>10279</v>
      </c>
      <c r="CK40" s="23">
        <f t="shared" si="718"/>
        <v>8862</v>
      </c>
      <c r="CL40" s="23">
        <f t="shared" si="718"/>
        <v>12988</v>
      </c>
      <c r="CM40" s="23">
        <f t="shared" si="718"/>
        <v>0</v>
      </c>
      <c r="CN40" s="23">
        <f t="shared" si="718"/>
        <v>0</v>
      </c>
      <c r="CO40" s="23">
        <f t="shared" si="718"/>
        <v>13889</v>
      </c>
      <c r="CP40" s="23">
        <f t="shared" si="718"/>
        <v>10523</v>
      </c>
      <c r="CQ40" s="23">
        <f t="shared" si="718"/>
        <v>13955</v>
      </c>
      <c r="CR40" s="23">
        <f t="shared" si="718"/>
        <v>12602</v>
      </c>
      <c r="CS40" s="23">
        <f t="shared" si="718"/>
        <v>13288</v>
      </c>
      <c r="CT40" s="23">
        <f t="shared" si="718"/>
        <v>12882</v>
      </c>
      <c r="CU40" s="23">
        <f t="shared" si="718"/>
        <v>0</v>
      </c>
      <c r="CV40" s="23">
        <f t="shared" si="718"/>
        <v>8658</v>
      </c>
      <c r="CW40" s="23">
        <f t="shared" si="718"/>
        <v>10340</v>
      </c>
      <c r="CX40" s="23">
        <f t="shared" si="718"/>
        <v>14145</v>
      </c>
      <c r="CY40" s="23">
        <f t="shared" si="718"/>
        <v>12306</v>
      </c>
      <c r="CZ40" s="23">
        <f t="shared" si="718"/>
        <v>10904</v>
      </c>
      <c r="DA40" s="23">
        <f t="shared" ref="DA40:DL40" si="719">IFERROR((DA28*2)+DA29+DA30,"")</f>
        <v>11000</v>
      </c>
      <c r="DB40" s="23">
        <f t="shared" si="719"/>
        <v>0</v>
      </c>
      <c r="DC40" s="23">
        <f t="shared" si="719"/>
        <v>9438</v>
      </c>
      <c r="DD40" s="23">
        <f t="shared" si="719"/>
        <v>10535</v>
      </c>
      <c r="DE40" s="23">
        <f t="shared" si="719"/>
        <v>14517</v>
      </c>
      <c r="DF40" s="23">
        <f t="shared" si="719"/>
        <v>14844</v>
      </c>
      <c r="DG40" s="23">
        <f t="shared" si="719"/>
        <v>8841</v>
      </c>
      <c r="DH40" s="23">
        <f t="shared" si="719"/>
        <v>11750</v>
      </c>
      <c r="DI40" s="23">
        <f t="shared" si="719"/>
        <v>0</v>
      </c>
      <c r="DJ40" s="23">
        <f t="shared" si="719"/>
        <v>7288</v>
      </c>
      <c r="DK40" s="23">
        <f t="shared" si="719"/>
        <v>10386</v>
      </c>
      <c r="DL40" s="23">
        <f t="shared" si="719"/>
        <v>11901</v>
      </c>
      <c r="DM40" s="23">
        <f t="shared" ref="DM40:EI40" si="720">IFERROR((DM28*2)+DM29+DM30,"")</f>
        <v>12743</v>
      </c>
      <c r="DN40" s="23">
        <f t="shared" si="720"/>
        <v>11125</v>
      </c>
      <c r="DO40" s="23">
        <f t="shared" si="720"/>
        <v>11861</v>
      </c>
      <c r="DP40" s="23">
        <f t="shared" si="720"/>
        <v>0</v>
      </c>
      <c r="DQ40" s="23">
        <f t="shared" si="720"/>
        <v>9835</v>
      </c>
      <c r="DR40" s="23">
        <f t="shared" si="720"/>
        <v>10104</v>
      </c>
      <c r="DS40" s="23">
        <f t="shared" si="720"/>
        <v>13218</v>
      </c>
      <c r="DT40" s="23">
        <f t="shared" si="720"/>
        <v>14603</v>
      </c>
      <c r="DU40" s="23">
        <f t="shared" si="720"/>
        <v>15488</v>
      </c>
      <c r="DV40" s="23">
        <f t="shared" si="720"/>
        <v>6860</v>
      </c>
      <c r="DW40" s="23">
        <f t="shared" si="720"/>
        <v>0</v>
      </c>
      <c r="DX40" s="23">
        <f t="shared" si="720"/>
        <v>5833</v>
      </c>
      <c r="DY40" s="23">
        <f t="shared" si="720"/>
        <v>13404</v>
      </c>
      <c r="DZ40" s="23">
        <f t="shared" si="720"/>
        <v>14267</v>
      </c>
      <c r="EA40" s="23">
        <f t="shared" si="720"/>
        <v>16185</v>
      </c>
      <c r="EB40" s="23">
        <f t="shared" si="720"/>
        <v>13833</v>
      </c>
      <c r="EC40" s="23">
        <f t="shared" si="720"/>
        <v>11472</v>
      </c>
      <c r="ED40" s="23">
        <f t="shared" si="720"/>
        <v>0</v>
      </c>
      <c r="EE40" s="23">
        <f t="shared" si="720"/>
        <v>11790</v>
      </c>
      <c r="EF40" s="23">
        <f t="shared" si="720"/>
        <v>10066</v>
      </c>
      <c r="EG40" s="23">
        <f t="shared" si="720"/>
        <v>12860</v>
      </c>
      <c r="EH40" s="23">
        <f t="shared" si="720"/>
        <v>11616</v>
      </c>
      <c r="EI40" s="23">
        <f t="shared" si="720"/>
        <v>8102</v>
      </c>
      <c r="EJ40" s="23">
        <f t="shared" ref="EJ40:ER40" si="721">IFERROR((EJ28*2)+EJ29+EJ30,"")</f>
        <v>8594</v>
      </c>
      <c r="EK40" s="23">
        <f t="shared" si="721"/>
        <v>0</v>
      </c>
      <c r="EL40" s="23">
        <f t="shared" si="721"/>
        <v>8895</v>
      </c>
      <c r="EM40" s="23">
        <f t="shared" si="721"/>
        <v>9307</v>
      </c>
      <c r="EN40" s="23">
        <f t="shared" si="721"/>
        <v>13582</v>
      </c>
      <c r="EO40" s="23">
        <f t="shared" si="721"/>
        <v>12636</v>
      </c>
      <c r="EP40" s="23">
        <f t="shared" si="721"/>
        <v>11556</v>
      </c>
      <c r="EQ40" s="23">
        <f t="shared" si="721"/>
        <v>8845</v>
      </c>
      <c r="ER40" s="23">
        <f t="shared" si="721"/>
        <v>0</v>
      </c>
      <c r="ES40" s="23">
        <f t="shared" ref="ES40:EX40" si="722">IFERROR((ES28*2)+ES29+ES30,"")</f>
        <v>7438</v>
      </c>
      <c r="ET40" s="23">
        <f t="shared" si="722"/>
        <v>11537</v>
      </c>
      <c r="EU40" s="23">
        <f t="shared" si="722"/>
        <v>13088</v>
      </c>
      <c r="EV40" s="23">
        <f t="shared" si="722"/>
        <v>10399</v>
      </c>
      <c r="EW40" s="23">
        <f t="shared" si="722"/>
        <v>11568</v>
      </c>
      <c r="EX40" s="23">
        <f t="shared" si="722"/>
        <v>7605</v>
      </c>
      <c r="EY40" s="23">
        <f t="shared" ref="EY40:FI40" si="723">IFERROR((EY28*2)+EY29+EY30,"")</f>
        <v>0</v>
      </c>
      <c r="EZ40" s="23">
        <f t="shared" si="723"/>
        <v>11051</v>
      </c>
      <c r="FA40" s="23">
        <f t="shared" si="723"/>
        <v>7869</v>
      </c>
      <c r="FB40" s="23">
        <f t="shared" si="723"/>
        <v>13099</v>
      </c>
      <c r="FC40" s="23">
        <f t="shared" si="723"/>
        <v>13770</v>
      </c>
      <c r="FD40" s="23">
        <f t="shared" si="723"/>
        <v>14772</v>
      </c>
      <c r="FE40" s="23">
        <f t="shared" si="723"/>
        <v>10674</v>
      </c>
      <c r="FF40" s="23">
        <f t="shared" si="723"/>
        <v>0</v>
      </c>
      <c r="FG40" s="23">
        <f t="shared" si="723"/>
        <v>8072</v>
      </c>
      <c r="FH40" s="23">
        <f t="shared" si="723"/>
        <v>10151</v>
      </c>
      <c r="FI40" s="23">
        <f t="shared" si="723"/>
        <v>10629</v>
      </c>
      <c r="FJ40" s="23">
        <f t="shared" ref="FJ40:FX40" si="724">IFERROR((FJ28*2)+FJ29+FJ30,"")</f>
        <v>9252</v>
      </c>
      <c r="FK40" s="23">
        <f t="shared" si="724"/>
        <v>11566</v>
      </c>
      <c r="FL40" s="23">
        <f t="shared" si="724"/>
        <v>0</v>
      </c>
      <c r="FM40" s="23">
        <f t="shared" si="724"/>
        <v>0</v>
      </c>
      <c r="FN40" s="23">
        <f t="shared" si="724"/>
        <v>7685</v>
      </c>
      <c r="FO40" s="23">
        <f t="shared" si="724"/>
        <v>10707</v>
      </c>
      <c r="FP40" s="23">
        <f t="shared" si="724"/>
        <v>12120</v>
      </c>
      <c r="FQ40" s="23">
        <f t="shared" si="724"/>
        <v>15204</v>
      </c>
      <c r="FR40" s="23">
        <f t="shared" si="724"/>
        <v>7742</v>
      </c>
      <c r="FS40" s="23">
        <f t="shared" si="724"/>
        <v>0</v>
      </c>
      <c r="FT40" s="23">
        <f t="shared" si="724"/>
        <v>0</v>
      </c>
      <c r="FU40" s="23">
        <f t="shared" si="724"/>
        <v>0</v>
      </c>
      <c r="FV40" s="23">
        <f t="shared" si="724"/>
        <v>1957</v>
      </c>
      <c r="FW40" s="23">
        <f t="shared" si="724"/>
        <v>5486</v>
      </c>
      <c r="FX40" s="23">
        <f t="shared" si="724"/>
        <v>6093</v>
      </c>
      <c r="FY40" s="23">
        <f t="shared" ref="FY40:GH40" si="725">IFERROR((FY28*2)+FY29+FY30,"")</f>
        <v>7834</v>
      </c>
      <c r="FZ40" s="23">
        <f t="shared" si="725"/>
        <v>9729</v>
      </c>
      <c r="GA40" s="23">
        <f t="shared" si="725"/>
        <v>0</v>
      </c>
      <c r="GB40" s="23">
        <f t="shared" si="725"/>
        <v>7198</v>
      </c>
      <c r="GC40" s="23">
        <f t="shared" si="725"/>
        <v>9754</v>
      </c>
      <c r="GD40" s="23">
        <f t="shared" si="725"/>
        <v>12821</v>
      </c>
      <c r="GE40" s="23">
        <f t="shared" si="725"/>
        <v>15123</v>
      </c>
      <c r="GF40" s="23">
        <f t="shared" si="725"/>
        <v>13068</v>
      </c>
      <c r="GG40" s="23">
        <f t="shared" si="725"/>
        <v>8966</v>
      </c>
      <c r="GH40" s="23">
        <f t="shared" si="725"/>
        <v>0</v>
      </c>
      <c r="GI40" s="23">
        <f>IFERROR((GI28*2)+GI29+GI30,"")</f>
        <v>9190</v>
      </c>
      <c r="GJ40" s="23">
        <f>IFERROR((GJ28*2)+GJ29+GJ30,"")</f>
        <v>11176</v>
      </c>
      <c r="GK40" s="23">
        <f t="shared" ref="GK40:GU40" si="726">IFERROR((GK28*2)+GK29+GK30,"")</f>
        <v>0</v>
      </c>
      <c r="GL40" s="23">
        <f t="shared" si="726"/>
        <v>14382</v>
      </c>
      <c r="GM40" s="23">
        <f t="shared" si="726"/>
        <v>9021</v>
      </c>
      <c r="GN40" s="23">
        <f t="shared" si="726"/>
        <v>1317</v>
      </c>
      <c r="GO40" s="23">
        <f t="shared" si="726"/>
        <v>1074</v>
      </c>
      <c r="GP40" s="23">
        <f t="shared" si="726"/>
        <v>8620</v>
      </c>
      <c r="GQ40" s="23">
        <f t="shared" si="726"/>
        <v>9485</v>
      </c>
      <c r="GR40" s="23">
        <f t="shared" si="726"/>
        <v>15452</v>
      </c>
      <c r="GS40" s="23">
        <f t="shared" si="726"/>
        <v>13166</v>
      </c>
      <c r="GT40" s="23">
        <f t="shared" si="726"/>
        <v>16001</v>
      </c>
      <c r="GU40" s="23">
        <f t="shared" si="726"/>
        <v>7424</v>
      </c>
      <c r="GV40" s="23">
        <f t="shared" ref="GV40:HC40" si="727">IFERROR((GV28*2)+GV29+GV30,"")</f>
        <v>0</v>
      </c>
      <c r="GW40" s="23">
        <f t="shared" si="727"/>
        <v>12573</v>
      </c>
      <c r="GX40" s="23">
        <f t="shared" si="727"/>
        <v>7308</v>
      </c>
      <c r="GY40" s="23">
        <f t="shared" si="727"/>
        <v>12466</v>
      </c>
      <c r="GZ40" s="23">
        <f t="shared" si="727"/>
        <v>15235</v>
      </c>
      <c r="HA40" s="23">
        <f t="shared" si="727"/>
        <v>13811</v>
      </c>
      <c r="HB40" s="23">
        <f t="shared" si="727"/>
        <v>9654</v>
      </c>
      <c r="HC40" s="23">
        <f t="shared" si="727"/>
        <v>0</v>
      </c>
      <c r="HD40" s="23">
        <f t="shared" ref="HD40:HP40" si="728">IFERROR((HD28*2)+HD29+HD30,"")</f>
        <v>10310</v>
      </c>
      <c r="HE40" s="23">
        <f t="shared" si="728"/>
        <v>13695</v>
      </c>
      <c r="HF40" s="23">
        <f t="shared" si="728"/>
        <v>2183</v>
      </c>
      <c r="HG40" s="23">
        <f t="shared" si="728"/>
        <v>13918</v>
      </c>
      <c r="HH40" s="23">
        <f t="shared" si="728"/>
        <v>15379</v>
      </c>
      <c r="HI40" s="23">
        <f t="shared" si="728"/>
        <v>9682</v>
      </c>
      <c r="HJ40" s="23">
        <f t="shared" si="728"/>
        <v>0</v>
      </c>
      <c r="HK40" s="23">
        <f t="shared" si="728"/>
        <v>11610</v>
      </c>
      <c r="HL40" s="23">
        <f t="shared" si="728"/>
        <v>12255</v>
      </c>
      <c r="HM40" s="23">
        <f t="shared" si="728"/>
        <v>12994</v>
      </c>
      <c r="HN40" s="23">
        <f t="shared" si="728"/>
        <v>14625</v>
      </c>
      <c r="HO40" s="23">
        <f t="shared" si="728"/>
        <v>12714</v>
      </c>
      <c r="HP40" s="23">
        <f t="shared" si="728"/>
        <v>12059</v>
      </c>
      <c r="HQ40" s="23">
        <f t="shared" ref="HQ40:IX40" si="729">IFERROR((HQ28*2)+HQ29+HQ30,"")</f>
        <v>0</v>
      </c>
      <c r="HR40" s="23">
        <f t="shared" si="729"/>
        <v>0</v>
      </c>
      <c r="HS40" s="23">
        <f t="shared" si="729"/>
        <v>12739</v>
      </c>
      <c r="HT40" s="23">
        <f t="shared" si="729"/>
        <v>11420</v>
      </c>
      <c r="HU40" s="23">
        <f t="shared" si="729"/>
        <v>12496</v>
      </c>
      <c r="HV40" s="23">
        <f t="shared" si="729"/>
        <v>11048</v>
      </c>
      <c r="HW40" s="23">
        <f t="shared" si="729"/>
        <v>10791</v>
      </c>
      <c r="HX40" s="23">
        <f t="shared" si="729"/>
        <v>0</v>
      </c>
      <c r="HY40" s="23">
        <f t="shared" si="729"/>
        <v>7282</v>
      </c>
      <c r="HZ40" s="23">
        <f t="shared" si="729"/>
        <v>6264</v>
      </c>
      <c r="IA40" s="23">
        <f t="shared" si="729"/>
        <v>7774</v>
      </c>
      <c r="IB40" s="23">
        <f t="shared" si="729"/>
        <v>11214</v>
      </c>
      <c r="IC40" s="23">
        <f t="shared" si="729"/>
        <v>9802</v>
      </c>
      <c r="ID40" s="23">
        <f t="shared" si="729"/>
        <v>5390</v>
      </c>
      <c r="IE40" s="23">
        <f t="shared" si="729"/>
        <v>0</v>
      </c>
      <c r="IF40" s="23">
        <f t="shared" si="729"/>
        <v>9380</v>
      </c>
      <c r="IG40" s="23">
        <f t="shared" si="729"/>
        <v>15537</v>
      </c>
      <c r="IH40" s="23">
        <f t="shared" si="729"/>
        <v>12290</v>
      </c>
      <c r="II40" s="23">
        <f t="shared" si="729"/>
        <v>12846</v>
      </c>
      <c r="IJ40" s="23">
        <f t="shared" si="729"/>
        <v>9917</v>
      </c>
      <c r="IK40" s="23">
        <f t="shared" si="729"/>
        <v>9610</v>
      </c>
      <c r="IL40" s="23">
        <f t="shared" si="729"/>
        <v>0</v>
      </c>
      <c r="IM40" s="23">
        <f t="shared" si="729"/>
        <v>7354</v>
      </c>
      <c r="IN40" s="23">
        <f t="shared" si="729"/>
        <v>11133</v>
      </c>
      <c r="IO40" s="23">
        <f t="shared" si="729"/>
        <v>12804</v>
      </c>
      <c r="IP40" s="23">
        <f t="shared" si="729"/>
        <v>15364</v>
      </c>
      <c r="IQ40" s="23">
        <f>IFERROR((IQ28*2)+IQ29+IQ30,"")</f>
        <v>11728</v>
      </c>
      <c r="IR40" s="23">
        <f t="shared" si="729"/>
        <v>10742</v>
      </c>
      <c r="IS40" s="23">
        <f t="shared" si="729"/>
        <v>0</v>
      </c>
      <c r="IT40" s="23">
        <f t="shared" si="729"/>
        <v>6622</v>
      </c>
      <c r="IU40" s="23">
        <f t="shared" si="729"/>
        <v>8183</v>
      </c>
      <c r="IV40" s="23">
        <f t="shared" si="729"/>
        <v>11128</v>
      </c>
      <c r="IW40" s="23">
        <f t="shared" si="729"/>
        <v>12361</v>
      </c>
      <c r="IX40" s="23">
        <f t="shared" si="729"/>
        <v>10045</v>
      </c>
      <c r="IY40" s="23">
        <f t="shared" ref="IY40:JI40" si="730">IFERROR((IY28*2)+IY29+IY30,"")</f>
        <v>6018</v>
      </c>
      <c r="IZ40" s="23">
        <f t="shared" si="730"/>
        <v>0</v>
      </c>
      <c r="JA40" s="23">
        <f t="shared" si="730"/>
        <v>7851</v>
      </c>
      <c r="JB40" s="23">
        <f t="shared" si="730"/>
        <v>6739</v>
      </c>
      <c r="JC40" s="23">
        <f t="shared" si="730"/>
        <v>11141</v>
      </c>
      <c r="JD40" s="23">
        <f t="shared" si="730"/>
        <v>12284</v>
      </c>
      <c r="JE40" s="23">
        <f t="shared" si="730"/>
        <v>10312</v>
      </c>
      <c r="JF40" s="23">
        <f t="shared" si="730"/>
        <v>7129</v>
      </c>
      <c r="JG40" s="23">
        <f t="shared" si="730"/>
        <v>0</v>
      </c>
      <c r="JH40" s="23">
        <f t="shared" si="730"/>
        <v>5985</v>
      </c>
      <c r="JI40" s="23">
        <f t="shared" si="730"/>
        <v>8924</v>
      </c>
      <c r="JJ40" s="23">
        <f t="shared" ref="JJ40:JW40" si="731">IFERROR((JJ28*2)+JJ29+JJ30,"")</f>
        <v>12864</v>
      </c>
      <c r="JK40" s="23">
        <f t="shared" si="731"/>
        <v>13957</v>
      </c>
      <c r="JL40" s="23">
        <f t="shared" si="731"/>
        <v>11154</v>
      </c>
      <c r="JM40" s="23">
        <f t="shared" si="731"/>
        <v>5817</v>
      </c>
      <c r="JN40" s="23">
        <f t="shared" si="731"/>
        <v>1953</v>
      </c>
      <c r="JO40" s="23">
        <f t="shared" si="731"/>
        <v>8453</v>
      </c>
      <c r="JP40" s="23">
        <f t="shared" si="731"/>
        <v>5714</v>
      </c>
      <c r="JQ40" s="23">
        <f t="shared" si="731"/>
        <v>10920</v>
      </c>
      <c r="JR40" s="23">
        <f t="shared" si="731"/>
        <v>13458</v>
      </c>
      <c r="JS40" s="23">
        <f t="shared" si="731"/>
        <v>9467</v>
      </c>
      <c r="JT40" s="23">
        <f t="shared" si="731"/>
        <v>6544</v>
      </c>
      <c r="JU40" s="23">
        <f t="shared" si="731"/>
        <v>0</v>
      </c>
      <c r="JV40" s="23">
        <f t="shared" si="731"/>
        <v>0</v>
      </c>
      <c r="JW40" s="23">
        <f t="shared" si="731"/>
        <v>10436</v>
      </c>
      <c r="JX40" s="23">
        <f t="shared" ref="JX40:KO40" si="732">IFERROR((JX28*2)+JX29+JX30,"")</f>
        <v>10032</v>
      </c>
      <c r="JY40" s="23">
        <f t="shared" si="732"/>
        <v>11203</v>
      </c>
      <c r="JZ40" s="23">
        <f t="shared" si="732"/>
        <v>10843</v>
      </c>
      <c r="KA40" s="23">
        <f t="shared" si="732"/>
        <v>6620</v>
      </c>
      <c r="KB40" s="23">
        <f t="shared" si="732"/>
        <v>0</v>
      </c>
      <c r="KC40" s="23">
        <f t="shared" si="732"/>
        <v>6635</v>
      </c>
      <c r="KD40" s="23">
        <f t="shared" si="732"/>
        <v>5894</v>
      </c>
      <c r="KE40" s="23">
        <f t="shared" si="732"/>
        <v>9667</v>
      </c>
      <c r="KF40" s="23">
        <f t="shared" si="732"/>
        <v>13169</v>
      </c>
      <c r="KG40" s="23">
        <f t="shared" si="732"/>
        <v>9435</v>
      </c>
      <c r="KH40" s="23">
        <f t="shared" si="732"/>
        <v>6238</v>
      </c>
      <c r="KI40" s="23">
        <f t="shared" si="732"/>
        <v>0</v>
      </c>
      <c r="KJ40" s="23">
        <f t="shared" si="732"/>
        <v>0</v>
      </c>
      <c r="KK40" s="23">
        <f t="shared" si="732"/>
        <v>9404</v>
      </c>
      <c r="KL40" s="23">
        <f t="shared" si="732"/>
        <v>8588</v>
      </c>
      <c r="KM40" s="23">
        <f t="shared" si="732"/>
        <v>11386</v>
      </c>
      <c r="KN40" s="23">
        <f t="shared" si="732"/>
        <v>9035</v>
      </c>
      <c r="KO40" s="23">
        <f t="shared" si="732"/>
        <v>6035</v>
      </c>
      <c r="KP40" s="23">
        <f t="shared" ref="KP40:KV40" si="733">IFERROR((KP28*2)+KP29+KP30,"")</f>
        <v>0</v>
      </c>
      <c r="KQ40" s="23">
        <f t="shared" si="733"/>
        <v>8691</v>
      </c>
      <c r="KR40" s="23">
        <f t="shared" si="733"/>
        <v>9067</v>
      </c>
      <c r="KS40" s="23">
        <f t="shared" si="733"/>
        <v>9653</v>
      </c>
      <c r="KT40" s="23">
        <f t="shared" si="733"/>
        <v>15873</v>
      </c>
      <c r="KU40" s="23">
        <f t="shared" si="733"/>
        <v>13055</v>
      </c>
      <c r="KV40" s="23">
        <f t="shared" si="733"/>
        <v>8202</v>
      </c>
      <c r="KW40" s="23">
        <f t="shared" ref="KW40:ML40" si="734">IFERROR((KW28*2)+KW29+KW30,"")</f>
        <v>1049</v>
      </c>
      <c r="KX40" s="23">
        <f t="shared" si="734"/>
        <v>10484</v>
      </c>
      <c r="KY40" s="23">
        <f t="shared" si="734"/>
        <v>11153</v>
      </c>
      <c r="KZ40" s="23">
        <f t="shared" si="734"/>
        <v>7003</v>
      </c>
      <c r="LA40" s="23">
        <f t="shared" si="734"/>
        <v>12078</v>
      </c>
      <c r="LB40" s="23">
        <f t="shared" si="734"/>
        <v>11688</v>
      </c>
      <c r="LC40" s="23">
        <f t="shared" si="734"/>
        <v>8747</v>
      </c>
      <c r="LD40" s="23">
        <f t="shared" si="734"/>
        <v>0</v>
      </c>
      <c r="LE40" s="23">
        <f t="shared" si="734"/>
        <v>8028</v>
      </c>
      <c r="LF40" s="23">
        <f t="shared" si="734"/>
        <v>5549</v>
      </c>
      <c r="LG40" s="23">
        <f t="shared" si="734"/>
        <v>10127</v>
      </c>
      <c r="LH40" s="23">
        <f t="shared" si="734"/>
        <v>12127</v>
      </c>
      <c r="LI40" s="23">
        <f t="shared" si="734"/>
        <v>10917</v>
      </c>
      <c r="LJ40" s="23">
        <f t="shared" si="734"/>
        <v>6902</v>
      </c>
      <c r="LK40" s="23">
        <f t="shared" si="734"/>
        <v>0</v>
      </c>
      <c r="LL40" s="23">
        <f t="shared" si="734"/>
        <v>12390</v>
      </c>
      <c r="LM40" s="23">
        <f t="shared" si="734"/>
        <v>9562</v>
      </c>
      <c r="LN40" s="23">
        <f t="shared" si="734"/>
        <v>14919</v>
      </c>
      <c r="LO40" s="23">
        <f t="shared" si="734"/>
        <v>11493</v>
      </c>
      <c r="LP40" s="23">
        <f t="shared" si="734"/>
        <v>8563</v>
      </c>
      <c r="LQ40" s="23">
        <f t="shared" si="734"/>
        <v>1878</v>
      </c>
      <c r="LR40" s="23">
        <f t="shared" si="734"/>
        <v>0</v>
      </c>
      <c r="LS40" s="23">
        <f t="shared" si="734"/>
        <v>7916</v>
      </c>
      <c r="LT40" s="23">
        <f t="shared" si="734"/>
        <v>8172</v>
      </c>
      <c r="LU40" s="23">
        <f t="shared" si="734"/>
        <v>9105</v>
      </c>
      <c r="LV40" s="23">
        <f t="shared" si="734"/>
        <v>14908</v>
      </c>
      <c r="LW40" s="23">
        <f t="shared" si="734"/>
        <v>10805</v>
      </c>
      <c r="LX40" s="23">
        <f t="shared" si="734"/>
        <v>8985</v>
      </c>
      <c r="LY40" s="23">
        <f t="shared" si="734"/>
        <v>0</v>
      </c>
      <c r="LZ40" s="23">
        <f t="shared" si="734"/>
        <v>8605</v>
      </c>
      <c r="MA40" s="23">
        <f t="shared" si="734"/>
        <v>7267</v>
      </c>
      <c r="MB40" s="23">
        <f t="shared" si="734"/>
        <v>8574</v>
      </c>
      <c r="MC40" s="23">
        <f t="shared" si="734"/>
        <v>14016</v>
      </c>
      <c r="MD40" s="23">
        <f t="shared" si="734"/>
        <v>10289</v>
      </c>
      <c r="ME40" s="23">
        <f t="shared" si="734"/>
        <v>9437</v>
      </c>
      <c r="MF40" s="23">
        <f t="shared" si="734"/>
        <v>0</v>
      </c>
      <c r="MG40" s="23">
        <f t="shared" si="734"/>
        <v>8915</v>
      </c>
      <c r="MH40" s="23">
        <f t="shared" si="734"/>
        <v>7217</v>
      </c>
      <c r="MI40" s="23">
        <f t="shared" si="734"/>
        <v>11728</v>
      </c>
      <c r="MJ40" s="23">
        <f t="shared" si="734"/>
        <v>14330</v>
      </c>
      <c r="MK40" s="23">
        <f t="shared" si="734"/>
        <v>11121</v>
      </c>
      <c r="ML40" s="23">
        <f t="shared" si="734"/>
        <v>4936</v>
      </c>
      <c r="MM40" s="23">
        <f t="shared" ref="MM40:NK40" si="735">IFERROR((MM28*2)+MM29+MM30,"")</f>
        <v>0</v>
      </c>
      <c r="MN40" s="23">
        <f t="shared" si="735"/>
        <v>7651</v>
      </c>
      <c r="MO40" s="23">
        <f t="shared" si="735"/>
        <v>6759</v>
      </c>
      <c r="MP40" s="23">
        <f t="shared" si="735"/>
        <v>8202</v>
      </c>
      <c r="MQ40" s="23">
        <f t="shared" si="735"/>
        <v>12207</v>
      </c>
      <c r="MR40" s="23">
        <f t="shared" si="735"/>
        <v>5383</v>
      </c>
      <c r="MS40" s="23">
        <f t="shared" si="735"/>
        <v>6979</v>
      </c>
      <c r="MT40" s="23">
        <f t="shared" si="735"/>
        <v>0</v>
      </c>
      <c r="MU40" s="23">
        <f t="shared" si="735"/>
        <v>0</v>
      </c>
      <c r="MV40" s="23">
        <f t="shared" si="735"/>
        <v>10798</v>
      </c>
      <c r="MW40" s="23">
        <f t="shared" si="735"/>
        <v>5530</v>
      </c>
      <c r="MX40" s="23">
        <f t="shared" si="735"/>
        <v>13151</v>
      </c>
      <c r="MY40" s="23">
        <f t="shared" si="735"/>
        <v>10500</v>
      </c>
      <c r="MZ40" s="23">
        <f t="shared" si="735"/>
        <v>5577</v>
      </c>
      <c r="NA40" s="23">
        <f t="shared" si="735"/>
        <v>0</v>
      </c>
      <c r="NB40" s="23">
        <f t="shared" si="735"/>
        <v>10424</v>
      </c>
      <c r="NC40" s="23">
        <f t="shared" si="735"/>
        <v>9168</v>
      </c>
      <c r="ND40" s="23">
        <f t="shared" si="735"/>
        <v>0</v>
      </c>
      <c r="NE40" s="23">
        <f t="shared" si="735"/>
        <v>13362</v>
      </c>
      <c r="NF40" s="23">
        <f t="shared" si="735"/>
        <v>10015</v>
      </c>
      <c r="NG40" s="23">
        <f t="shared" si="735"/>
        <v>7406</v>
      </c>
      <c r="NH40" s="23">
        <f t="shared" si="735"/>
        <v>0</v>
      </c>
      <c r="NI40" s="23">
        <f t="shared" si="735"/>
        <v>7729</v>
      </c>
      <c r="NJ40" s="23">
        <f t="shared" si="735"/>
        <v>9010</v>
      </c>
      <c r="NK40" s="23">
        <f t="shared" si="735"/>
        <v>10388</v>
      </c>
      <c r="NL40" s="23">
        <f t="shared" ref="NL40:NV40" si="736">IFERROR((NL28*2)+NL29+NL30,"")</f>
        <v>13976</v>
      </c>
      <c r="NM40" s="23">
        <f t="shared" si="736"/>
        <v>11193</v>
      </c>
      <c r="NN40" s="23">
        <f t="shared" si="736"/>
        <v>6547</v>
      </c>
      <c r="NO40" s="23">
        <f t="shared" si="736"/>
        <v>0</v>
      </c>
      <c r="NP40" s="23">
        <f t="shared" si="736"/>
        <v>7330</v>
      </c>
      <c r="NQ40" s="23">
        <f t="shared" si="736"/>
        <v>7749</v>
      </c>
      <c r="NR40" s="23">
        <f t="shared" si="736"/>
        <v>11998</v>
      </c>
      <c r="NS40" s="23">
        <f t="shared" si="736"/>
        <v>13306</v>
      </c>
      <c r="NT40" s="23">
        <f t="shared" si="736"/>
        <v>10259</v>
      </c>
      <c r="NU40" s="23">
        <f t="shared" si="736"/>
        <v>8303</v>
      </c>
      <c r="NV40" s="23">
        <f t="shared" si="736"/>
        <v>0</v>
      </c>
      <c r="NW40" s="23">
        <f t="shared" ref="NW40:OD40" si="737">IFERROR((NW28*2)+NW29+NW30,"")</f>
        <v>6272</v>
      </c>
      <c r="NX40" s="23">
        <f t="shared" si="737"/>
        <v>7888</v>
      </c>
      <c r="NY40" s="23">
        <f t="shared" si="737"/>
        <v>9363</v>
      </c>
      <c r="NZ40" s="23">
        <f t="shared" si="737"/>
        <v>10124</v>
      </c>
      <c r="OA40" s="23">
        <f t="shared" si="737"/>
        <v>8619</v>
      </c>
      <c r="OB40" s="23">
        <f t="shared" si="737"/>
        <v>4942</v>
      </c>
      <c r="OC40" s="23">
        <f t="shared" si="737"/>
        <v>0</v>
      </c>
      <c r="OD40" s="23">
        <f t="shared" si="737"/>
        <v>5472</v>
      </c>
      <c r="OE40" s="23">
        <f t="shared" ref="OE40:OL40" si="738">IFERROR((OE28*2)+OE29+OE30,"")</f>
        <v>10095</v>
      </c>
      <c r="OF40" s="23">
        <f t="shared" si="738"/>
        <v>10202</v>
      </c>
      <c r="OG40" s="23">
        <f t="shared" si="738"/>
        <v>12608</v>
      </c>
      <c r="OH40" s="23">
        <f t="shared" si="738"/>
        <v>9415</v>
      </c>
      <c r="OI40" s="23">
        <f t="shared" si="738"/>
        <v>8566</v>
      </c>
      <c r="OJ40" s="23">
        <f t="shared" si="738"/>
        <v>0</v>
      </c>
      <c r="OK40" s="23">
        <f t="shared" si="738"/>
        <v>8586</v>
      </c>
      <c r="OL40" s="23">
        <f t="shared" si="738"/>
        <v>10103</v>
      </c>
      <c r="OM40" s="23">
        <f t="shared" ref="OM40:OQ40" si="739">IFERROR((OM28*2)+OM29+OM30,"")</f>
        <v>18427</v>
      </c>
      <c r="ON40" s="23">
        <f t="shared" si="739"/>
        <v>22693</v>
      </c>
      <c r="OO40" s="23">
        <f t="shared" si="739"/>
        <v>11772</v>
      </c>
      <c r="OP40" s="23">
        <f t="shared" si="739"/>
        <v>10236</v>
      </c>
      <c r="OQ40" s="23">
        <f t="shared" si="739"/>
        <v>0</v>
      </c>
      <c r="OR40" s="23">
        <f t="shared" ref="OR40:OX40" si="740">IFERROR((OR28*2)+OR29+OR30,"")</f>
        <v>5592</v>
      </c>
      <c r="OS40" s="23">
        <f t="shared" si="740"/>
        <v>8956</v>
      </c>
      <c r="OT40" s="23">
        <f t="shared" si="740"/>
        <v>10924</v>
      </c>
      <c r="OU40" s="23">
        <f t="shared" si="740"/>
        <v>0</v>
      </c>
      <c r="OV40" s="23">
        <f t="shared" si="740"/>
        <v>13127</v>
      </c>
      <c r="OW40" s="23">
        <f t="shared" si="740"/>
        <v>7044</v>
      </c>
      <c r="OX40" s="23">
        <f t="shared" si="740"/>
        <v>0</v>
      </c>
      <c r="OY40" s="23">
        <f t="shared" ref="OY40:PJ40" si="741">IFERROR((OY28*2)+OY29+OY30,"")</f>
        <v>9343</v>
      </c>
      <c r="OZ40" s="23">
        <f t="shared" si="741"/>
        <v>8139</v>
      </c>
      <c r="PA40" s="23">
        <f t="shared" si="741"/>
        <v>13313</v>
      </c>
      <c r="PB40" s="23">
        <f t="shared" si="741"/>
        <v>15270</v>
      </c>
      <c r="PC40" s="23">
        <f t="shared" si="741"/>
        <v>14537</v>
      </c>
      <c r="PD40" s="23">
        <f t="shared" si="741"/>
        <v>7334</v>
      </c>
      <c r="PE40" s="23">
        <f t="shared" si="741"/>
        <v>0</v>
      </c>
      <c r="PF40" s="23">
        <f t="shared" si="741"/>
        <v>7286</v>
      </c>
      <c r="PG40" s="23">
        <f t="shared" si="741"/>
        <v>10056</v>
      </c>
      <c r="PH40" s="23">
        <f t="shared" si="741"/>
        <v>10190</v>
      </c>
      <c r="PI40" s="23">
        <f t="shared" si="741"/>
        <v>14155</v>
      </c>
      <c r="PJ40" s="23">
        <f t="shared" si="741"/>
        <v>8616</v>
      </c>
      <c r="PK40" s="23">
        <f t="shared" ref="PK40:PU40" si="742">IFERROR((PK28*2)+PK29+PK30,"")</f>
        <v>6680</v>
      </c>
      <c r="PL40" s="23">
        <f t="shared" si="742"/>
        <v>0</v>
      </c>
      <c r="PM40" s="23">
        <f t="shared" si="742"/>
        <v>19156</v>
      </c>
      <c r="PN40" s="23">
        <f t="shared" si="742"/>
        <v>22363</v>
      </c>
      <c r="PO40" s="23">
        <f t="shared" si="742"/>
        <v>24024</v>
      </c>
      <c r="PP40" s="23">
        <f t="shared" si="742"/>
        <v>26297</v>
      </c>
      <c r="PQ40" s="23">
        <f t="shared" si="742"/>
        <v>21130</v>
      </c>
      <c r="PR40" s="23">
        <f t="shared" si="742"/>
        <v>16571</v>
      </c>
      <c r="PS40" s="23">
        <f t="shared" si="742"/>
        <v>0</v>
      </c>
      <c r="PT40" s="23">
        <f t="shared" si="742"/>
        <v>0</v>
      </c>
      <c r="PU40" s="23">
        <f t="shared" si="742"/>
        <v>0</v>
      </c>
      <c r="PV40" s="23">
        <f t="shared" ref="PV40:QB40" si="743">IFERROR((PV28*2)+PV29+PV30,"")</f>
        <v>0</v>
      </c>
      <c r="PW40" s="23">
        <f>IFERROR((PW28*2)+PW29+PW30,"")</f>
        <v>12158</v>
      </c>
      <c r="PX40" s="23">
        <f t="shared" si="743"/>
        <v>3926</v>
      </c>
      <c r="PY40" s="23">
        <f t="shared" si="743"/>
        <v>5950</v>
      </c>
      <c r="PZ40" s="23">
        <f t="shared" si="743"/>
        <v>0</v>
      </c>
      <c r="QA40" s="23">
        <f t="shared" si="743"/>
        <v>3985</v>
      </c>
      <c r="QB40" s="23">
        <f t="shared" si="743"/>
        <v>4902</v>
      </c>
      <c r="QC40" s="23">
        <f t="shared" ref="QC40:QI40" si="744">IFERROR((QC28*2)+QC29+QC30,"")</f>
        <v>6481</v>
      </c>
      <c r="QD40" s="23">
        <f t="shared" si="744"/>
        <v>9637</v>
      </c>
      <c r="QE40" s="23">
        <f t="shared" si="744"/>
        <v>7876</v>
      </c>
      <c r="QF40" s="23">
        <f t="shared" si="744"/>
        <v>10820</v>
      </c>
      <c r="QG40" s="23">
        <f t="shared" si="744"/>
        <v>0</v>
      </c>
      <c r="QH40" s="23">
        <f t="shared" si="744"/>
        <v>8110</v>
      </c>
      <c r="QI40" s="23">
        <f t="shared" si="744"/>
        <v>11023</v>
      </c>
      <c r="QJ40" s="23">
        <f t="shared" ref="QJ40:QO40" si="745">IFERROR((QJ28*2)+QJ29+QJ30,"")</f>
        <v>10869</v>
      </c>
      <c r="QK40" s="23">
        <f t="shared" si="745"/>
        <v>16100</v>
      </c>
      <c r="QL40" s="23">
        <f t="shared" si="745"/>
        <v>10149</v>
      </c>
      <c r="QM40" s="23">
        <f t="shared" si="745"/>
        <v>9924</v>
      </c>
      <c r="QN40" s="23">
        <f t="shared" si="745"/>
        <v>0</v>
      </c>
      <c r="QO40" s="23">
        <f t="shared" si="745"/>
        <v>7499</v>
      </c>
      <c r="QP40" s="23">
        <f t="shared" ref="QP40:QV40" si="746">IFERROR((QP28*2)+QP29+QP30,"")</f>
        <v>10350</v>
      </c>
      <c r="QQ40" s="23">
        <f t="shared" si="746"/>
        <v>13797</v>
      </c>
      <c r="QR40" s="23">
        <f t="shared" si="746"/>
        <v>14242</v>
      </c>
      <c r="QS40" s="23">
        <f t="shared" si="746"/>
        <v>9988</v>
      </c>
      <c r="QT40" s="23">
        <f t="shared" si="746"/>
        <v>7897</v>
      </c>
      <c r="QU40" s="23">
        <f t="shared" si="746"/>
        <v>0</v>
      </c>
      <c r="QV40" s="23">
        <f t="shared" si="746"/>
        <v>8339</v>
      </c>
      <c r="QW40" s="23">
        <f t="shared" ref="QW40:SA40" si="747">IFERROR((QW28*2)+QW29+QW30,"")</f>
        <v>8034</v>
      </c>
      <c r="QX40" s="23">
        <f t="shared" si="747"/>
        <v>10644</v>
      </c>
      <c r="QY40" s="23">
        <f t="shared" si="747"/>
        <v>16446</v>
      </c>
      <c r="QZ40" s="23">
        <f t="shared" si="747"/>
        <v>11965</v>
      </c>
      <c r="RA40" s="23">
        <f t="shared" si="747"/>
        <v>4793</v>
      </c>
      <c r="RB40" s="23">
        <f t="shared" si="747"/>
        <v>0</v>
      </c>
      <c r="RC40" s="23">
        <f t="shared" si="747"/>
        <v>9805</v>
      </c>
      <c r="RD40" s="23">
        <f t="shared" si="747"/>
        <v>7314</v>
      </c>
      <c r="RE40" s="23">
        <f t="shared" si="747"/>
        <v>8650</v>
      </c>
      <c r="RF40" s="23">
        <f t="shared" si="747"/>
        <v>14960</v>
      </c>
      <c r="RG40" s="23">
        <f t="shared" si="747"/>
        <v>9585</v>
      </c>
      <c r="RH40" s="23">
        <f t="shared" si="747"/>
        <v>0</v>
      </c>
      <c r="RI40" s="23">
        <f t="shared" si="747"/>
        <v>0</v>
      </c>
      <c r="RJ40" s="23">
        <f t="shared" si="747"/>
        <v>6806</v>
      </c>
      <c r="RK40" s="23">
        <f t="shared" si="747"/>
        <v>6811</v>
      </c>
      <c r="RL40" s="23">
        <f t="shared" si="747"/>
        <v>5085</v>
      </c>
      <c r="RM40" s="23">
        <f t="shared" si="747"/>
        <v>8893</v>
      </c>
      <c r="RN40" s="23">
        <f t="shared" si="747"/>
        <v>7058</v>
      </c>
      <c r="RO40" s="23">
        <f t="shared" si="747"/>
        <v>6672</v>
      </c>
      <c r="RP40" s="23">
        <f t="shared" si="747"/>
        <v>0</v>
      </c>
      <c r="RQ40" s="23">
        <f t="shared" si="747"/>
        <v>9887</v>
      </c>
      <c r="RR40" s="23">
        <f t="shared" si="747"/>
        <v>10311</v>
      </c>
      <c r="RS40" s="23">
        <f t="shared" si="747"/>
        <v>12697</v>
      </c>
      <c r="RT40" s="23">
        <f t="shared" si="747"/>
        <v>13104</v>
      </c>
      <c r="RU40" s="23">
        <f t="shared" si="747"/>
        <v>11215</v>
      </c>
      <c r="RV40" s="23">
        <f t="shared" si="747"/>
        <v>5215</v>
      </c>
      <c r="RW40" s="23">
        <f t="shared" si="747"/>
        <v>0</v>
      </c>
      <c r="RX40" s="23">
        <f t="shared" si="747"/>
        <v>9245</v>
      </c>
      <c r="RY40" s="23">
        <f t="shared" si="747"/>
        <v>10199</v>
      </c>
      <c r="RZ40" s="23">
        <f t="shared" si="747"/>
        <v>11072</v>
      </c>
      <c r="SA40" s="23">
        <f t="shared" si="747"/>
        <v>14609</v>
      </c>
      <c r="SB40" s="23">
        <f>IFERROR((SB28*2)+SB29+SB30,"")</f>
        <v>0</v>
      </c>
      <c r="SC40" s="23">
        <f t="shared" ref="SC40:SO40" si="748">IFERROR((SC28*2)+SC29+SC30,"")</f>
        <v>6743</v>
      </c>
      <c r="SD40" s="23">
        <f t="shared" si="748"/>
        <v>0</v>
      </c>
      <c r="SE40" s="23">
        <f t="shared" si="748"/>
        <v>5632</v>
      </c>
      <c r="SF40" s="23">
        <f t="shared" si="748"/>
        <v>6967</v>
      </c>
      <c r="SG40" s="23">
        <f t="shared" si="748"/>
        <v>11804</v>
      </c>
      <c r="SH40" s="23">
        <f t="shared" si="748"/>
        <v>11644</v>
      </c>
      <c r="SI40" s="23">
        <f t="shared" si="748"/>
        <v>11326</v>
      </c>
      <c r="SJ40" s="23">
        <f t="shared" si="748"/>
        <v>6805</v>
      </c>
      <c r="SK40" s="23">
        <f t="shared" si="748"/>
        <v>0</v>
      </c>
      <c r="SL40" s="23">
        <f t="shared" si="748"/>
        <v>9712</v>
      </c>
      <c r="SM40" s="23">
        <f t="shared" si="748"/>
        <v>7321</v>
      </c>
      <c r="SN40" s="23">
        <f t="shared" si="748"/>
        <v>8613</v>
      </c>
      <c r="SO40" s="23">
        <f t="shared" si="748"/>
        <v>12677</v>
      </c>
      <c r="SP40" s="23">
        <f t="shared" ref="SP40:SV40" si="749">IFERROR((SP28*2)+SP29+SP30,"")</f>
        <v>11025</v>
      </c>
      <c r="SQ40" s="23">
        <f t="shared" si="749"/>
        <v>7968</v>
      </c>
      <c r="SR40" s="23">
        <f t="shared" si="749"/>
        <v>1279</v>
      </c>
      <c r="SS40" s="23">
        <f t="shared" si="749"/>
        <v>8358</v>
      </c>
      <c r="ST40" s="23">
        <f t="shared" si="749"/>
        <v>8965</v>
      </c>
      <c r="SU40" s="23">
        <f t="shared" si="749"/>
        <v>8354</v>
      </c>
      <c r="SV40" s="23">
        <f t="shared" si="749"/>
        <v>16871</v>
      </c>
      <c r="SW40" s="23">
        <f t="shared" ref="SW40:TH40" si="750">IFERROR((SW28*2)+SW29+SW30,"")</f>
        <v>9115</v>
      </c>
      <c r="SX40" s="23">
        <f t="shared" si="750"/>
        <v>5515</v>
      </c>
      <c r="SY40" s="23">
        <f t="shared" si="750"/>
        <v>0</v>
      </c>
      <c r="SZ40" s="23">
        <f t="shared" si="750"/>
        <v>6755</v>
      </c>
      <c r="TA40" s="23">
        <f t="shared" si="750"/>
        <v>10652</v>
      </c>
      <c r="TB40" s="23">
        <f t="shared" si="750"/>
        <v>9603</v>
      </c>
      <c r="TC40" s="23">
        <f t="shared" si="750"/>
        <v>12398</v>
      </c>
      <c r="TD40" s="23">
        <f t="shared" si="750"/>
        <v>7398</v>
      </c>
      <c r="TE40" s="23">
        <f t="shared" si="750"/>
        <v>5349</v>
      </c>
      <c r="TF40" s="23">
        <f t="shared" si="750"/>
        <v>0</v>
      </c>
      <c r="TG40" s="23">
        <f t="shared" si="750"/>
        <v>8386</v>
      </c>
      <c r="TH40" s="23">
        <f t="shared" si="750"/>
        <v>5744</v>
      </c>
      <c r="TI40" s="23">
        <f t="shared" ref="TI40:TO40" si="751">IFERROR((TI28*2)+TI29+TI30,"")</f>
        <v>8657</v>
      </c>
      <c r="TJ40" s="23">
        <f t="shared" si="751"/>
        <v>12129</v>
      </c>
      <c r="TK40" s="23">
        <f t="shared" si="751"/>
        <v>9664</v>
      </c>
      <c r="TL40" s="23">
        <f t="shared" si="751"/>
        <v>10232</v>
      </c>
      <c r="TM40" s="23">
        <f t="shared" si="751"/>
        <v>0</v>
      </c>
      <c r="TN40" s="23">
        <f t="shared" si="751"/>
        <v>0</v>
      </c>
      <c r="TO40" s="23">
        <f t="shared" si="751"/>
        <v>8568</v>
      </c>
      <c r="TP40" s="23">
        <f t="shared" ref="TP40:TX40" si="752">IFERROR((TP28*2)+TP29+TP30,"")</f>
        <v>8602</v>
      </c>
      <c r="TQ40" s="23">
        <f t="shared" si="752"/>
        <v>14086</v>
      </c>
      <c r="TR40" s="23">
        <f t="shared" si="752"/>
        <v>9663</v>
      </c>
      <c r="TS40" s="23">
        <f t="shared" si="752"/>
        <v>6158</v>
      </c>
      <c r="TT40" s="23">
        <f t="shared" si="752"/>
        <v>0</v>
      </c>
      <c r="TU40" s="23">
        <f t="shared" si="752"/>
        <v>0</v>
      </c>
      <c r="TV40" s="23">
        <f t="shared" si="752"/>
        <v>0</v>
      </c>
      <c r="TW40" s="23">
        <f t="shared" si="752"/>
        <v>3180</v>
      </c>
      <c r="TX40" s="23">
        <f t="shared" si="752"/>
        <v>4867</v>
      </c>
      <c r="TY40" s="23">
        <f t="shared" ref="TY40:UC40" si="753">IFERROR((TY28*2)+TY29+TY30,"")</f>
        <v>7806</v>
      </c>
      <c r="TZ40" s="23">
        <f t="shared" si="753"/>
        <v>6824</v>
      </c>
      <c r="UA40" s="23">
        <f t="shared" si="753"/>
        <v>0</v>
      </c>
      <c r="UB40" s="23">
        <f t="shared" si="753"/>
        <v>5853</v>
      </c>
      <c r="UC40" s="23">
        <f t="shared" si="753"/>
        <v>9446</v>
      </c>
      <c r="UD40" s="23">
        <f t="shared" ref="UD40:UK40" si="754">IFERROR((UD28*2)+UD29+UD30,"")</f>
        <v>11094</v>
      </c>
      <c r="UE40" s="23">
        <f t="shared" si="754"/>
        <v>14134</v>
      </c>
      <c r="UF40" s="23">
        <f t="shared" si="754"/>
        <v>9536</v>
      </c>
      <c r="UG40" s="23">
        <f t="shared" si="754"/>
        <v>8007</v>
      </c>
      <c r="UH40" s="23">
        <f t="shared" si="754"/>
        <v>0</v>
      </c>
      <c r="UI40" s="23">
        <f t="shared" si="754"/>
        <v>8565</v>
      </c>
      <c r="UJ40" s="23">
        <f t="shared" si="754"/>
        <v>9963</v>
      </c>
      <c r="UK40" s="23">
        <f t="shared" si="754"/>
        <v>15843</v>
      </c>
      <c r="UL40" s="23">
        <f t="shared" ref="UL40:UU40" si="755">IFERROR((UL28*2)+UL29+UL30,"")</f>
        <v>0</v>
      </c>
      <c r="UM40" s="23">
        <f t="shared" si="755"/>
        <v>13276</v>
      </c>
      <c r="UN40" s="23">
        <f t="shared" si="755"/>
        <v>8944</v>
      </c>
      <c r="UO40" s="23">
        <f t="shared" si="755"/>
        <v>0</v>
      </c>
      <c r="UP40" s="23">
        <f t="shared" si="755"/>
        <v>0</v>
      </c>
      <c r="UQ40" s="23">
        <f t="shared" si="755"/>
        <v>13162</v>
      </c>
      <c r="UR40" s="23">
        <f t="shared" si="755"/>
        <v>12468</v>
      </c>
      <c r="US40" s="23">
        <f t="shared" si="755"/>
        <v>11022</v>
      </c>
      <c r="UT40" s="23">
        <f t="shared" si="755"/>
        <v>12382</v>
      </c>
      <c r="UU40" s="23">
        <f t="shared" si="755"/>
        <v>10088</v>
      </c>
      <c r="UV40" s="23">
        <f t="shared" ref="UV40:VB40" si="756">IFERROR((UV28*2)+UV29+UV30,"")</f>
        <v>0</v>
      </c>
      <c r="UW40" s="23">
        <f t="shared" si="756"/>
        <v>0</v>
      </c>
      <c r="UX40" s="23">
        <f t="shared" si="756"/>
        <v>9010</v>
      </c>
      <c r="UY40" s="23">
        <f t="shared" si="756"/>
        <v>9374</v>
      </c>
      <c r="UZ40" s="23">
        <f t="shared" si="756"/>
        <v>14947</v>
      </c>
      <c r="VA40" s="23">
        <f t="shared" si="756"/>
        <v>10910</v>
      </c>
      <c r="VB40" s="23">
        <f t="shared" si="756"/>
        <v>8401</v>
      </c>
      <c r="VC40" s="23">
        <f t="shared" ref="VC40:VV40" si="757">IFERROR((VC28*2)+VC29+VC30,"")</f>
        <v>0</v>
      </c>
      <c r="VD40" s="23">
        <f t="shared" si="757"/>
        <v>7406</v>
      </c>
      <c r="VE40" s="23">
        <f t="shared" si="757"/>
        <v>8304</v>
      </c>
      <c r="VF40" s="23">
        <f t="shared" si="757"/>
        <v>14173</v>
      </c>
      <c r="VG40" s="23">
        <f t="shared" si="757"/>
        <v>14245</v>
      </c>
      <c r="VH40" s="23">
        <f t="shared" si="757"/>
        <v>10379</v>
      </c>
      <c r="VI40" s="23">
        <f t="shared" si="757"/>
        <v>3795</v>
      </c>
      <c r="VJ40" s="23">
        <f t="shared" si="757"/>
        <v>0</v>
      </c>
      <c r="VK40" s="23">
        <f t="shared" si="757"/>
        <v>9620</v>
      </c>
      <c r="VL40" s="23">
        <f t="shared" si="757"/>
        <v>12070</v>
      </c>
      <c r="VM40" s="23">
        <f t="shared" si="757"/>
        <v>12420</v>
      </c>
      <c r="VN40" s="23">
        <f t="shared" si="757"/>
        <v>14244</v>
      </c>
      <c r="VO40" s="23">
        <f t="shared" si="757"/>
        <v>12138</v>
      </c>
      <c r="VP40" s="23">
        <f t="shared" si="757"/>
        <v>2805</v>
      </c>
      <c r="VQ40" s="23">
        <f t="shared" si="757"/>
        <v>0</v>
      </c>
      <c r="VR40" s="23">
        <f t="shared" si="757"/>
        <v>10787</v>
      </c>
      <c r="VS40" s="23">
        <f t="shared" si="757"/>
        <v>0</v>
      </c>
      <c r="VT40" s="23">
        <f t="shared" si="757"/>
        <v>11439</v>
      </c>
      <c r="VU40" s="23">
        <f t="shared" si="757"/>
        <v>12360</v>
      </c>
      <c r="VV40" s="23">
        <f t="shared" si="757"/>
        <v>10940</v>
      </c>
      <c r="VW40" s="23">
        <f t="shared" ref="VW40:WB40" si="758">IFERROR((VW28*2)+VW29+VW30,"")</f>
        <v>1242</v>
      </c>
      <c r="VX40" s="23">
        <f t="shared" si="758"/>
        <v>0</v>
      </c>
      <c r="VY40" s="23">
        <f t="shared" si="758"/>
        <v>11323</v>
      </c>
      <c r="VZ40" s="23">
        <f t="shared" si="758"/>
        <v>9153</v>
      </c>
      <c r="WA40" s="23">
        <f t="shared" si="758"/>
        <v>14284</v>
      </c>
      <c r="WB40" s="23">
        <f t="shared" si="758"/>
        <v>12027</v>
      </c>
      <c r="WC40" s="23">
        <f t="shared" ref="WC40:WK40" si="759">IFERROR((WC28*2)+WC29+WC30,"")</f>
        <v>12000</v>
      </c>
      <c r="WD40" s="23">
        <f t="shared" si="759"/>
        <v>973</v>
      </c>
      <c r="WE40" s="23">
        <f t="shared" si="759"/>
        <v>0</v>
      </c>
      <c r="WF40" s="23">
        <f t="shared" si="759"/>
        <v>10070</v>
      </c>
      <c r="WG40" s="23">
        <f t="shared" si="759"/>
        <v>7361</v>
      </c>
      <c r="WH40" s="23">
        <f t="shared" si="759"/>
        <v>14009</v>
      </c>
      <c r="WI40" s="23">
        <f t="shared" si="759"/>
        <v>14585</v>
      </c>
      <c r="WJ40" s="23">
        <f t="shared" si="759"/>
        <v>8894</v>
      </c>
      <c r="WK40" s="23">
        <f t="shared" si="759"/>
        <v>802</v>
      </c>
      <c r="WL40" s="23">
        <f t="shared" ref="WL40:WW40" si="760">IFERROR((WL28*2)+WL29+WL30,"")</f>
        <v>0</v>
      </c>
      <c r="WM40" s="23">
        <f t="shared" si="760"/>
        <v>8191</v>
      </c>
      <c r="WN40" s="23">
        <f t="shared" si="760"/>
        <v>7396</v>
      </c>
      <c r="WO40" s="23">
        <f t="shared" si="760"/>
        <v>9111</v>
      </c>
      <c r="WP40" s="23">
        <f t="shared" si="760"/>
        <v>11701</v>
      </c>
      <c r="WQ40" s="23">
        <f t="shared" si="760"/>
        <v>12436</v>
      </c>
      <c r="WR40" s="23">
        <f t="shared" si="760"/>
        <v>722</v>
      </c>
      <c r="WS40" s="23">
        <f t="shared" si="760"/>
        <v>0</v>
      </c>
      <c r="WT40" s="23">
        <f t="shared" si="760"/>
        <v>10365</v>
      </c>
      <c r="WU40" s="23">
        <f t="shared" si="760"/>
        <v>6206</v>
      </c>
      <c r="WV40" s="23">
        <f t="shared" si="760"/>
        <v>9520</v>
      </c>
      <c r="WW40" s="23">
        <f t="shared" si="760"/>
        <v>10652</v>
      </c>
      <c r="WX40" s="23">
        <f t="shared" ref="WX40:XG40" si="761">IFERROR((WX28*2)+WX29+WX30,"")</f>
        <v>10217</v>
      </c>
      <c r="WY40" s="23">
        <f t="shared" si="761"/>
        <v>0</v>
      </c>
      <c r="WZ40" s="23">
        <f t="shared" si="761"/>
        <v>0</v>
      </c>
      <c r="XA40" s="23">
        <f t="shared" si="761"/>
        <v>8615</v>
      </c>
      <c r="XB40" s="23">
        <f t="shared" si="761"/>
        <v>9006</v>
      </c>
      <c r="XC40" s="23">
        <f t="shared" si="761"/>
        <v>13631</v>
      </c>
      <c r="XD40" s="23">
        <f t="shared" si="761"/>
        <v>8165</v>
      </c>
      <c r="XE40" s="23">
        <f t="shared" si="761"/>
        <v>9389</v>
      </c>
      <c r="XF40" s="23">
        <f t="shared" si="761"/>
        <v>1080</v>
      </c>
      <c r="XG40" s="23">
        <f t="shared" si="761"/>
        <v>0</v>
      </c>
      <c r="XH40" s="23">
        <f t="shared" ref="XH40:XL40" si="762">IFERROR((XH28*2)+XH29+XH30,"")</f>
        <v>13075</v>
      </c>
      <c r="XI40" s="23">
        <f t="shared" si="762"/>
        <v>7575</v>
      </c>
      <c r="XJ40" s="23">
        <f t="shared" si="762"/>
        <v>12926</v>
      </c>
      <c r="XK40" s="23">
        <f t="shared" si="762"/>
        <v>13164</v>
      </c>
      <c r="XL40" s="23">
        <f t="shared" si="762"/>
        <v>14838</v>
      </c>
      <c r="XM40" s="23">
        <f>IFERROR((XM28*2)+XM29+XM30,"")</f>
        <v>1006</v>
      </c>
      <c r="XN40" s="23">
        <f>IFERROR((XN28*2)+XN29+XN30,"")</f>
        <v>0</v>
      </c>
      <c r="XO40" s="23">
        <f t="shared" ref="XO40:XW40" si="763">IFERROR((XO28*2)+XO29+XO30,"")</f>
        <v>14406</v>
      </c>
      <c r="XP40" s="23">
        <f t="shared" si="763"/>
        <v>7238</v>
      </c>
      <c r="XQ40" s="23">
        <f t="shared" si="763"/>
        <v>10152</v>
      </c>
      <c r="XR40" s="23">
        <f t="shared" si="763"/>
        <v>10270</v>
      </c>
      <c r="XS40" s="23">
        <f t="shared" si="763"/>
        <v>9794</v>
      </c>
      <c r="XT40" s="23">
        <f t="shared" si="763"/>
        <v>1744</v>
      </c>
      <c r="XU40" s="23">
        <f t="shared" si="763"/>
        <v>0</v>
      </c>
      <c r="XV40" s="23">
        <f t="shared" si="763"/>
        <v>0</v>
      </c>
      <c r="XW40" s="23">
        <f t="shared" si="763"/>
        <v>10055</v>
      </c>
      <c r="XX40" s="23">
        <f t="shared" ref="XX40:YD40" si="764">IFERROR((XX28*2)+XX29+XX30,"")</f>
        <v>13324</v>
      </c>
      <c r="XY40" s="23">
        <f t="shared" si="764"/>
        <v>13076</v>
      </c>
      <c r="XZ40" s="23">
        <f t="shared" si="764"/>
        <v>11754</v>
      </c>
      <c r="YA40" s="23">
        <f t="shared" si="764"/>
        <v>1897</v>
      </c>
      <c r="YB40" s="23">
        <f t="shared" si="764"/>
        <v>0</v>
      </c>
      <c r="YC40" s="23">
        <f t="shared" si="764"/>
        <v>5128</v>
      </c>
      <c r="YD40" s="23">
        <f t="shared" si="764"/>
        <v>7737</v>
      </c>
      <c r="YE40" s="23">
        <f t="shared" ref="YE40:YI40" si="765">IFERROR((YE28*2)+YE29+YE30,"")</f>
        <v>6959</v>
      </c>
      <c r="YF40" s="23">
        <f t="shared" si="765"/>
        <v>10658</v>
      </c>
      <c r="YG40" s="23">
        <f t="shared" si="765"/>
        <v>9224</v>
      </c>
      <c r="YH40" s="23">
        <f t="shared" si="765"/>
        <v>9616</v>
      </c>
      <c r="YI40" s="23">
        <f t="shared" si="765"/>
        <v>0</v>
      </c>
      <c r="YJ40" s="23">
        <f>IFERROR((YJ28*2)+YJ29+YJ30,"")</f>
        <v>8313</v>
      </c>
      <c r="YK40" s="23">
        <f>IFERROR((YK28*2)+YK29+YK30,"")</f>
        <v>0</v>
      </c>
      <c r="YL40" s="23">
        <f>IFERROR((YL28*2)+YL29+YL30,"")</f>
        <v>9606</v>
      </c>
      <c r="YM40" s="23">
        <f>IFERROR((YM28*2)+YM29+YM30,"")</f>
        <v>12098</v>
      </c>
      <c r="YN40" s="23">
        <f t="shared" ref="YN40:YQ40" si="766">IFERROR((YN28*2)+YN29+YN30,"")</f>
        <v>9169</v>
      </c>
      <c r="YO40" s="23">
        <f t="shared" si="766"/>
        <v>1716</v>
      </c>
      <c r="YP40" s="23">
        <f t="shared" si="766"/>
        <v>0</v>
      </c>
      <c r="YQ40" s="23">
        <f t="shared" si="766"/>
        <v>11339</v>
      </c>
      <c r="YR40" s="23">
        <f t="shared" ref="YR40:YS40" si="767">IFERROR((YR28*2)+YR29+YR30,"")</f>
        <v>5392</v>
      </c>
      <c r="YS40" s="23">
        <f t="shared" si="767"/>
        <v>8789</v>
      </c>
      <c r="YT40" s="23">
        <f t="shared" ref="YT40:ZC40" si="768">IFERROR((YT28*2)+YT29+YT30,"")</f>
        <v>12725</v>
      </c>
      <c r="YU40" s="23">
        <f t="shared" si="768"/>
        <v>13577</v>
      </c>
      <c r="YV40" s="23">
        <f t="shared" si="768"/>
        <v>1633</v>
      </c>
      <c r="YW40" s="23">
        <f t="shared" si="768"/>
        <v>0</v>
      </c>
      <c r="YX40" s="23">
        <f t="shared" si="768"/>
        <v>9506</v>
      </c>
      <c r="YY40" s="23">
        <f t="shared" si="768"/>
        <v>6843</v>
      </c>
      <c r="YZ40" s="23">
        <f t="shared" si="768"/>
        <v>10210</v>
      </c>
      <c r="ZA40" s="23">
        <f t="shared" si="768"/>
        <v>12914</v>
      </c>
      <c r="ZB40" s="23">
        <f t="shared" si="768"/>
        <v>11622</v>
      </c>
      <c r="ZC40" s="23">
        <f t="shared" si="768"/>
        <v>678</v>
      </c>
      <c r="ZD40" s="23">
        <f t="shared" ref="ZD40:ZS40" si="769">IFERROR((ZD28*2)+ZD29+ZD30,"")</f>
        <v>0</v>
      </c>
      <c r="ZE40" s="23">
        <f t="shared" si="769"/>
        <v>9441</v>
      </c>
      <c r="ZF40" s="23">
        <f t="shared" si="769"/>
        <v>5209</v>
      </c>
      <c r="ZG40" s="23">
        <f t="shared" si="769"/>
        <v>9480</v>
      </c>
      <c r="ZH40" s="23">
        <f t="shared" si="769"/>
        <v>9493</v>
      </c>
      <c r="ZI40" s="23">
        <f t="shared" si="769"/>
        <v>14037</v>
      </c>
      <c r="ZJ40" s="23">
        <f t="shared" si="769"/>
        <v>380</v>
      </c>
      <c r="ZK40" s="23">
        <f t="shared" si="769"/>
        <v>0</v>
      </c>
      <c r="ZL40" s="23">
        <f t="shared" si="769"/>
        <v>7656</v>
      </c>
      <c r="ZM40" s="23">
        <f t="shared" si="769"/>
        <v>6129</v>
      </c>
      <c r="ZN40" s="23">
        <f t="shared" si="769"/>
        <v>8236</v>
      </c>
      <c r="ZO40" s="23">
        <f t="shared" si="769"/>
        <v>7075</v>
      </c>
      <c r="ZP40" s="23">
        <f t="shared" si="769"/>
        <v>11722</v>
      </c>
      <c r="ZQ40" s="23">
        <f t="shared" si="769"/>
        <v>769</v>
      </c>
      <c r="ZR40" s="23">
        <f t="shared" si="769"/>
        <v>0</v>
      </c>
      <c r="ZS40" s="23">
        <f t="shared" si="769"/>
        <v>7823</v>
      </c>
      <c r="ZT40" s="23">
        <f t="shared" ref="ZT40:ZW40" si="770">IFERROR((ZT28*2)+ZT29+ZT30,"")</f>
        <v>7494</v>
      </c>
      <c r="ZU40" s="23">
        <f t="shared" si="770"/>
        <v>13200</v>
      </c>
      <c r="ZV40" s="23">
        <f t="shared" si="770"/>
        <v>9404</v>
      </c>
      <c r="ZW40" s="23">
        <f t="shared" si="770"/>
        <v>14184</v>
      </c>
      <c r="ZX40" s="23">
        <f t="shared" ref="ZX40:AAE40" si="771">IFERROR((ZX28*2)+ZX29+ZX30,"")</f>
        <v>1090</v>
      </c>
      <c r="ZY40" s="23">
        <f t="shared" si="771"/>
        <v>0</v>
      </c>
      <c r="ZZ40" s="23">
        <f t="shared" si="771"/>
        <v>10375</v>
      </c>
      <c r="AAA40" s="23">
        <f t="shared" si="771"/>
        <v>7175</v>
      </c>
      <c r="AAB40" s="23">
        <f t="shared" si="771"/>
        <v>12456</v>
      </c>
      <c r="AAC40" s="23">
        <f t="shared" si="771"/>
        <v>12787</v>
      </c>
      <c r="AAD40" s="23">
        <f t="shared" si="771"/>
        <v>3679</v>
      </c>
      <c r="AAE40" s="23">
        <f t="shared" si="771"/>
        <v>1393</v>
      </c>
      <c r="AAF40" s="23">
        <f t="shared" ref="AAF40:AAQ40" si="772">IFERROR((AAF28*2)+AAF29+AAF30,"")</f>
        <v>0</v>
      </c>
      <c r="AAG40" s="23">
        <f t="shared" si="772"/>
        <v>9622</v>
      </c>
      <c r="AAH40" s="23">
        <f t="shared" si="772"/>
        <v>9033</v>
      </c>
      <c r="AAI40" s="23">
        <f t="shared" si="772"/>
        <v>11345</v>
      </c>
      <c r="AAJ40" s="23">
        <f t="shared" si="772"/>
        <v>12920</v>
      </c>
      <c r="AAK40" s="23">
        <f t="shared" si="772"/>
        <v>12605</v>
      </c>
      <c r="AAL40" s="23">
        <f t="shared" si="772"/>
        <v>869</v>
      </c>
      <c r="AAM40" s="23">
        <f t="shared" si="772"/>
        <v>0</v>
      </c>
      <c r="AAN40" s="23">
        <f t="shared" si="772"/>
        <v>10184</v>
      </c>
      <c r="AAO40" s="23">
        <f t="shared" si="772"/>
        <v>9332</v>
      </c>
      <c r="AAP40" s="23">
        <f t="shared" si="772"/>
        <v>9294</v>
      </c>
      <c r="AAQ40" s="23">
        <f t="shared" si="772"/>
        <v>11412</v>
      </c>
      <c r="AAR40" s="23">
        <f t="shared" ref="AAR40:AAU40" si="773">IFERROR((AAR28*2)+AAR29+AAR30,"")</f>
        <v>12323</v>
      </c>
      <c r="AAS40" s="23">
        <f t="shared" si="773"/>
        <v>100</v>
      </c>
      <c r="AAT40" s="23">
        <f t="shared" si="773"/>
        <v>0</v>
      </c>
      <c r="AAU40" s="23">
        <f t="shared" si="773"/>
        <v>1002</v>
      </c>
      <c r="AAV40" s="23">
        <f t="shared" ref="AAV40:ABB40" si="774">IFERROR((AAV28*2)+AAV29+AAV30,"")</f>
        <v>8847</v>
      </c>
      <c r="AAW40" s="23">
        <f t="shared" si="774"/>
        <v>11646</v>
      </c>
      <c r="AAX40" s="23">
        <f t="shared" si="774"/>
        <v>13969</v>
      </c>
      <c r="AAY40" s="23">
        <f t="shared" si="774"/>
        <v>6897</v>
      </c>
      <c r="AAZ40" s="23">
        <f t="shared" si="774"/>
        <v>1166</v>
      </c>
      <c r="ABA40" s="23">
        <f t="shared" si="774"/>
        <v>11960</v>
      </c>
      <c r="ABB40" s="23">
        <f t="shared" si="774"/>
        <v>11060</v>
      </c>
      <c r="ABC40" s="23">
        <f t="shared" ref="ABC40:ABL40" si="775">IFERROR((ABC28*2)+ABC29+ABC30,"")</f>
        <v>13038</v>
      </c>
      <c r="ABD40" s="23">
        <f t="shared" si="775"/>
        <v>14076</v>
      </c>
      <c r="ABE40" s="23">
        <f t="shared" si="775"/>
        <v>0</v>
      </c>
      <c r="ABF40" s="23">
        <f t="shared" si="775"/>
        <v>11695</v>
      </c>
      <c r="ABG40" s="23">
        <f t="shared" si="775"/>
        <v>1780</v>
      </c>
      <c r="ABH40" s="23">
        <f t="shared" si="775"/>
        <v>0</v>
      </c>
      <c r="ABI40" s="23">
        <f t="shared" si="775"/>
        <v>10649</v>
      </c>
      <c r="ABJ40" s="23">
        <f t="shared" si="775"/>
        <v>8081</v>
      </c>
      <c r="ABK40" s="23">
        <f t="shared" si="775"/>
        <v>12289</v>
      </c>
      <c r="ABL40" s="23">
        <f t="shared" si="775"/>
        <v>12789</v>
      </c>
      <c r="ABM40" s="23">
        <f t="shared" ref="ABM40:ABO40" si="776">IFERROR((ABM28*2)+ABM29+ABM30,"")</f>
        <v>15735</v>
      </c>
      <c r="ABN40" s="23">
        <f t="shared" si="776"/>
        <v>1247</v>
      </c>
      <c r="ABO40" s="23">
        <f t="shared" si="776"/>
        <v>0</v>
      </c>
      <c r="ABP40" s="23">
        <f t="shared" ref="ABP40:ABU40" si="777">IFERROR((ABP28*2)+ABP29+ABP30,"")</f>
        <v>10238</v>
      </c>
      <c r="ABQ40" s="23">
        <f t="shared" si="777"/>
        <v>8481</v>
      </c>
      <c r="ABR40" s="23">
        <f t="shared" si="777"/>
        <v>12095</v>
      </c>
      <c r="ABS40" s="23">
        <f t="shared" si="777"/>
        <v>11269</v>
      </c>
      <c r="ABT40" s="23">
        <f t="shared" si="777"/>
        <v>14610</v>
      </c>
      <c r="ABU40" s="23">
        <f t="shared" si="777"/>
        <v>2073</v>
      </c>
      <c r="ABV40" s="23">
        <f t="shared" ref="ABV40:ACC40" si="778">IFERROR((ABV28*2)+ABV29+ABV30,"")</f>
        <v>0</v>
      </c>
      <c r="ABW40" s="23">
        <f t="shared" si="778"/>
        <v>12689</v>
      </c>
      <c r="ABX40" s="23">
        <f t="shared" si="778"/>
        <v>12340</v>
      </c>
      <c r="ABY40" s="23">
        <f t="shared" si="778"/>
        <v>14625</v>
      </c>
      <c r="ABZ40" s="23">
        <f t="shared" si="778"/>
        <v>14499</v>
      </c>
      <c r="ACA40" s="23">
        <f t="shared" si="778"/>
        <v>7776</v>
      </c>
      <c r="ACB40" s="23">
        <f t="shared" si="778"/>
        <v>0</v>
      </c>
      <c r="ACC40" s="23">
        <f t="shared" si="778"/>
        <v>0</v>
      </c>
      <c r="ACD40" s="23">
        <f t="shared" ref="ACD40:ACN40" si="779">IFERROR((ACD28*2)+ACD29+ACD30,"")</f>
        <v>8122</v>
      </c>
      <c r="ACE40" s="23">
        <f t="shared" si="779"/>
        <v>6767</v>
      </c>
      <c r="ACF40" s="23">
        <f t="shared" si="779"/>
        <v>11207</v>
      </c>
      <c r="ACG40" s="23">
        <f t="shared" si="779"/>
        <v>11298</v>
      </c>
      <c r="ACH40" s="23">
        <f t="shared" si="779"/>
        <v>11405</v>
      </c>
      <c r="ACI40" s="23">
        <f t="shared" si="779"/>
        <v>2411</v>
      </c>
      <c r="ACJ40" s="23">
        <f t="shared" si="779"/>
        <v>0</v>
      </c>
      <c r="ACK40" s="23">
        <f t="shared" si="779"/>
        <v>10341</v>
      </c>
      <c r="ACL40" s="23">
        <f t="shared" si="779"/>
        <v>8749</v>
      </c>
      <c r="ACM40" s="23">
        <f t="shared" si="779"/>
        <v>12408</v>
      </c>
      <c r="ACN40" s="23">
        <f t="shared" si="779"/>
        <v>11737</v>
      </c>
      <c r="ACO40" s="23">
        <f t="shared" ref="ACO40:ACU40" si="780">IFERROR((ACO28*2)+ACO29+ACO30,"")</f>
        <v>1794</v>
      </c>
      <c r="ACP40" s="23">
        <f t="shared" si="780"/>
        <v>1242</v>
      </c>
      <c r="ACQ40" s="23">
        <f t="shared" si="780"/>
        <v>0</v>
      </c>
      <c r="ACR40" s="23">
        <f t="shared" si="780"/>
        <v>10727</v>
      </c>
      <c r="ACS40" s="23">
        <f t="shared" si="780"/>
        <v>8125</v>
      </c>
      <c r="ACT40" s="23">
        <f t="shared" si="780"/>
        <v>11740</v>
      </c>
      <c r="ACU40" s="23">
        <f t="shared" si="780"/>
        <v>14929</v>
      </c>
      <c r="ACV40" s="23">
        <f t="shared" ref="ACV40:ADD40" si="781">IFERROR((ACV28*2)+ACV29+ACV30,"")</f>
        <v>0</v>
      </c>
      <c r="ACW40" s="23">
        <f t="shared" si="781"/>
        <v>2316</v>
      </c>
      <c r="ACX40" s="23">
        <f t="shared" si="781"/>
        <v>0</v>
      </c>
      <c r="ACY40" s="23">
        <f t="shared" si="781"/>
        <v>16437</v>
      </c>
      <c r="ACZ40" s="23">
        <f t="shared" si="781"/>
        <v>9689</v>
      </c>
      <c r="ADA40" s="23">
        <f t="shared" si="781"/>
        <v>12765</v>
      </c>
      <c r="ADB40" s="23">
        <f t="shared" si="781"/>
        <v>12126</v>
      </c>
      <c r="ADC40" s="23">
        <f t="shared" si="781"/>
        <v>5546</v>
      </c>
      <c r="ADD40" s="23">
        <f t="shared" si="781"/>
        <v>0</v>
      </c>
      <c r="ADE40" s="23">
        <f t="shared" ref="ADE40:ADR40" si="782">IFERROR((ADE28*2)+ADE29+ADE30,"")</f>
        <v>0</v>
      </c>
      <c r="ADF40" s="23">
        <f t="shared" si="782"/>
        <v>15796</v>
      </c>
      <c r="ADG40" s="23">
        <f t="shared" si="782"/>
        <v>8982</v>
      </c>
      <c r="ADH40" s="23">
        <f t="shared" si="782"/>
        <v>10227</v>
      </c>
      <c r="ADI40" s="23">
        <f t="shared" si="782"/>
        <v>14248</v>
      </c>
      <c r="ADJ40" s="23">
        <f t="shared" si="782"/>
        <v>11304</v>
      </c>
      <c r="ADK40" s="23">
        <f t="shared" si="782"/>
        <v>2698</v>
      </c>
      <c r="ADL40" s="23">
        <f t="shared" si="782"/>
        <v>0</v>
      </c>
      <c r="ADM40" s="23">
        <f t="shared" si="782"/>
        <v>13949</v>
      </c>
      <c r="ADN40" s="23">
        <f t="shared" si="782"/>
        <v>12509</v>
      </c>
      <c r="ADO40" s="23">
        <f t="shared" si="782"/>
        <v>11843</v>
      </c>
      <c r="ADP40" s="23">
        <f t="shared" si="782"/>
        <v>17841</v>
      </c>
      <c r="ADQ40" s="23">
        <f t="shared" si="782"/>
        <v>16343</v>
      </c>
      <c r="ADR40" s="23">
        <f t="shared" si="782"/>
        <v>2029</v>
      </c>
      <c r="ADS40" s="23">
        <f t="shared" ref="ADS40:ADX40" si="783">IFERROR((ADS28*2)+ADS29+ADS30,"")</f>
        <v>0</v>
      </c>
      <c r="ADT40" s="23">
        <f t="shared" si="783"/>
        <v>16436</v>
      </c>
      <c r="ADU40" s="23">
        <f t="shared" si="783"/>
        <v>10533</v>
      </c>
      <c r="ADV40" s="23">
        <f t="shared" si="783"/>
        <v>0</v>
      </c>
      <c r="ADW40" s="23">
        <f t="shared" si="783"/>
        <v>1885</v>
      </c>
      <c r="ADX40" s="23">
        <f t="shared" si="783"/>
        <v>990</v>
      </c>
      <c r="ADY40" s="23">
        <f t="shared" ref="ADY40:AEG40" si="784">IFERROR((ADY28*2)+ADY29+ADY30,"")</f>
        <v>0</v>
      </c>
      <c r="ADZ40" s="23">
        <f t="shared" si="784"/>
        <v>0</v>
      </c>
      <c r="AEA40" s="23">
        <f t="shared" si="784"/>
        <v>5934</v>
      </c>
      <c r="AEB40" s="23">
        <f t="shared" si="784"/>
        <v>4114</v>
      </c>
      <c r="AEC40" s="23">
        <f t="shared" si="784"/>
        <v>3767</v>
      </c>
      <c r="AED40" s="23">
        <f t="shared" si="784"/>
        <v>8135</v>
      </c>
      <c r="AEE40" s="23">
        <f t="shared" si="784"/>
        <v>13282</v>
      </c>
      <c r="AEF40" s="23">
        <f t="shared" si="784"/>
        <v>1513</v>
      </c>
      <c r="AEG40" s="23">
        <f t="shared" si="784"/>
        <v>0</v>
      </c>
      <c r="AEH40" s="23">
        <f t="shared" ref="AEH40:AEW40" si="785">IFERROR((AEH28*2)+AEH29+AEH30,"")</f>
        <v>10460</v>
      </c>
      <c r="AEI40" s="23">
        <f t="shared" si="785"/>
        <v>9765</v>
      </c>
      <c r="AEJ40" s="23">
        <f t="shared" si="785"/>
        <v>15804</v>
      </c>
      <c r="AEK40" s="23">
        <f t="shared" si="785"/>
        <v>13675</v>
      </c>
      <c r="AEL40" s="23">
        <f t="shared" si="785"/>
        <v>14121</v>
      </c>
      <c r="AEM40" s="23">
        <f t="shared" si="785"/>
        <v>1572</v>
      </c>
      <c r="AEN40" s="23">
        <f t="shared" si="785"/>
        <v>0</v>
      </c>
      <c r="AEO40" s="23">
        <f t="shared" si="785"/>
        <v>11257</v>
      </c>
      <c r="AEP40" s="23">
        <f t="shared" si="785"/>
        <v>5605</v>
      </c>
      <c r="AEQ40" s="23">
        <f t="shared" si="785"/>
        <v>12953</v>
      </c>
      <c r="AER40" s="23">
        <f t="shared" si="785"/>
        <v>14534</v>
      </c>
      <c r="AES40" s="23">
        <f t="shared" si="785"/>
        <v>12107</v>
      </c>
      <c r="AET40" s="23">
        <f t="shared" si="785"/>
        <v>1295</v>
      </c>
      <c r="AEU40" s="23">
        <f t="shared" si="785"/>
        <v>0</v>
      </c>
      <c r="AEV40" s="23">
        <f t="shared" si="785"/>
        <v>9317</v>
      </c>
      <c r="AEW40" s="23">
        <f t="shared" si="785"/>
        <v>10889</v>
      </c>
      <c r="AEX40" s="23">
        <f t="shared" ref="AEX40:AFC40" si="786">IFERROR((AEX28*2)+AEX29+AEX30,"")</f>
        <v>11134</v>
      </c>
      <c r="AEY40" s="23">
        <f t="shared" si="786"/>
        <v>15003</v>
      </c>
      <c r="AEZ40" s="23">
        <f t="shared" si="786"/>
        <v>13922</v>
      </c>
      <c r="AFA40" s="23">
        <f t="shared" si="786"/>
        <v>1884</v>
      </c>
      <c r="AFB40" s="23">
        <f t="shared" si="786"/>
        <v>0</v>
      </c>
      <c r="AFC40" s="23">
        <f t="shared" si="786"/>
        <v>9713</v>
      </c>
      <c r="AFD40" s="23">
        <f t="shared" ref="AFD40:AFV40" si="787">IFERROR((AFD28*2)+AFD29+AFD30,"")</f>
        <v>8043</v>
      </c>
      <c r="AFE40" s="23">
        <f t="shared" si="787"/>
        <v>11221</v>
      </c>
      <c r="AFF40" s="23">
        <f t="shared" si="787"/>
        <v>11693</v>
      </c>
      <c r="AFG40" s="23">
        <f t="shared" si="787"/>
        <v>11673</v>
      </c>
      <c r="AFH40" s="23">
        <f t="shared" si="787"/>
        <v>1285</v>
      </c>
      <c r="AFI40" s="23">
        <f t="shared" si="787"/>
        <v>0</v>
      </c>
      <c r="AFJ40" s="23">
        <f t="shared" si="787"/>
        <v>10053</v>
      </c>
      <c r="AFK40" s="23">
        <f t="shared" si="787"/>
        <v>10534</v>
      </c>
      <c r="AFL40" s="23">
        <f t="shared" si="787"/>
        <v>11064</v>
      </c>
      <c r="AFM40" s="23">
        <f t="shared" si="787"/>
        <v>9850</v>
      </c>
      <c r="AFN40" s="23">
        <f t="shared" si="787"/>
        <v>11932</v>
      </c>
      <c r="AFO40" s="23">
        <f t="shared" si="787"/>
        <v>1059</v>
      </c>
      <c r="AFP40" s="23">
        <f t="shared" si="787"/>
        <v>0</v>
      </c>
      <c r="AFQ40" s="23">
        <f t="shared" si="787"/>
        <v>8019</v>
      </c>
      <c r="AFR40" s="23">
        <f t="shared" si="787"/>
        <v>5928</v>
      </c>
      <c r="AFS40" s="23">
        <f t="shared" si="787"/>
        <v>6987</v>
      </c>
      <c r="AFT40" s="23">
        <f t="shared" si="787"/>
        <v>12928</v>
      </c>
      <c r="AFU40" s="23">
        <f t="shared" si="787"/>
        <v>12238</v>
      </c>
      <c r="AFV40" s="23">
        <f t="shared" si="787"/>
        <v>1312</v>
      </c>
      <c r="AFW40" s="23">
        <f t="shared" ref="AFW40:AGC40" si="788">IFERROR((AFW28*2)+AFW29+AFW30,"")</f>
        <v>0</v>
      </c>
      <c r="AFX40" s="23">
        <f t="shared" si="788"/>
        <v>12346</v>
      </c>
      <c r="AFY40" s="23">
        <f t="shared" si="788"/>
        <v>8462</v>
      </c>
      <c r="AFZ40" s="23">
        <f t="shared" si="788"/>
        <v>10449</v>
      </c>
      <c r="AGA40" s="23">
        <f t="shared" si="788"/>
        <v>11391</v>
      </c>
      <c r="AGB40" s="23">
        <f t="shared" si="788"/>
        <v>14054</v>
      </c>
      <c r="AGC40" s="23">
        <f t="shared" si="788"/>
        <v>1390</v>
      </c>
      <c r="AGD40" s="23">
        <f t="shared" ref="AGD40:AGK40" si="789">IFERROR((AGD28*2)+AGD29+AGD30,"")</f>
        <v>0</v>
      </c>
      <c r="AGE40" s="23">
        <f t="shared" si="789"/>
        <v>8424</v>
      </c>
      <c r="AGF40" s="23">
        <f t="shared" si="789"/>
        <v>7188</v>
      </c>
      <c r="AGG40" s="23">
        <f t="shared" si="789"/>
        <v>6497</v>
      </c>
      <c r="AGH40" s="23">
        <f t="shared" si="789"/>
        <v>11218</v>
      </c>
      <c r="AGI40" s="23">
        <f t="shared" si="789"/>
        <v>11872</v>
      </c>
      <c r="AGJ40" s="23">
        <f t="shared" si="789"/>
        <v>0</v>
      </c>
      <c r="AGK40" s="23">
        <f t="shared" si="789"/>
        <v>0</v>
      </c>
      <c r="AGL40" s="23">
        <f t="shared" ref="AGL40:AGV40" si="790">IFERROR((AGL28*2)+AGL29+AGL30,"")</f>
        <v>9398</v>
      </c>
      <c r="AGM40" s="23">
        <f t="shared" si="790"/>
        <v>9568</v>
      </c>
      <c r="AGN40" s="23">
        <f t="shared" si="790"/>
        <v>12534</v>
      </c>
      <c r="AGO40" s="23">
        <f t="shared" si="790"/>
        <v>11277</v>
      </c>
      <c r="AGP40" s="23">
        <f t="shared" si="790"/>
        <v>14002</v>
      </c>
      <c r="AGQ40" s="23">
        <f t="shared" si="790"/>
        <v>9284</v>
      </c>
      <c r="AGR40" s="23">
        <f t="shared" si="790"/>
        <v>0</v>
      </c>
      <c r="AGS40" s="23">
        <f t="shared" si="790"/>
        <v>8898</v>
      </c>
      <c r="AGT40" s="23">
        <f t="shared" si="790"/>
        <v>11615</v>
      </c>
      <c r="AGU40" s="23">
        <f t="shared" si="790"/>
        <v>12092</v>
      </c>
      <c r="AGV40" s="23">
        <f t="shared" si="790"/>
        <v>12237</v>
      </c>
      <c r="AGW40" s="23">
        <f t="shared" ref="AGW40:AGY40" si="791">IFERROR((AGW28*2)+AGW29+AGW30,"")</f>
        <v>13455</v>
      </c>
      <c r="AGX40" s="23">
        <f t="shared" si="791"/>
        <v>2552</v>
      </c>
      <c r="AGY40" s="23">
        <f t="shared" si="791"/>
        <v>0</v>
      </c>
      <c r="AGZ40" s="23">
        <f t="shared" ref="AGZ40:AHE40" si="792">IFERROR((AGZ28*2)+AGZ29+AGZ30,"")</f>
        <v>12064</v>
      </c>
      <c r="AHA40" s="23">
        <f t="shared" si="792"/>
        <v>8788</v>
      </c>
      <c r="AHB40" s="23">
        <f t="shared" si="792"/>
        <v>11528</v>
      </c>
      <c r="AHC40" s="23">
        <f t="shared" si="792"/>
        <v>14456</v>
      </c>
      <c r="AHD40" s="23">
        <f t="shared" si="792"/>
        <v>12600</v>
      </c>
      <c r="AHE40" s="23">
        <f t="shared" si="792"/>
        <v>2071</v>
      </c>
      <c r="AHF40" s="23">
        <f t="shared" ref="AHF40:AHL40" si="793">IFERROR((AHF28*2)+AHF29+AHF30,"")</f>
        <v>0</v>
      </c>
      <c r="AHG40" s="23">
        <f t="shared" si="793"/>
        <v>11853</v>
      </c>
      <c r="AHH40" s="23">
        <f t="shared" si="793"/>
        <v>11900</v>
      </c>
      <c r="AHI40" s="23">
        <f t="shared" si="793"/>
        <v>14586</v>
      </c>
      <c r="AHJ40" s="23">
        <f t="shared" si="793"/>
        <v>9485</v>
      </c>
      <c r="AHK40" s="23">
        <f t="shared" si="793"/>
        <v>13605</v>
      </c>
      <c r="AHL40" s="23">
        <f t="shared" si="793"/>
        <v>1922</v>
      </c>
      <c r="AHM40" s="23">
        <f t="shared" ref="AHM40:AIF40" si="794">IFERROR((AHM28*2)+AHM29+AHM30,"")</f>
        <v>0</v>
      </c>
      <c r="AHN40" s="23">
        <f t="shared" si="794"/>
        <v>0</v>
      </c>
      <c r="AHO40" s="23">
        <f t="shared" si="794"/>
        <v>12729</v>
      </c>
      <c r="AHP40" s="23">
        <f t="shared" si="794"/>
        <v>12472</v>
      </c>
      <c r="AHQ40" s="23">
        <f t="shared" si="794"/>
        <v>15640</v>
      </c>
      <c r="AHR40" s="23">
        <f t="shared" si="794"/>
        <v>13763</v>
      </c>
      <c r="AHS40" s="23">
        <f t="shared" si="794"/>
        <v>2482</v>
      </c>
      <c r="AHT40" s="23">
        <f t="shared" si="794"/>
        <v>0</v>
      </c>
      <c r="AHU40" s="23">
        <f t="shared" si="794"/>
        <v>0</v>
      </c>
      <c r="AHV40" s="23">
        <f t="shared" si="794"/>
        <v>0</v>
      </c>
      <c r="AHW40" s="23">
        <f t="shared" si="794"/>
        <v>0</v>
      </c>
      <c r="AHX40" s="23">
        <f t="shared" si="794"/>
        <v>6571</v>
      </c>
      <c r="AHY40" s="23">
        <f t="shared" si="794"/>
        <v>10472</v>
      </c>
      <c r="AHZ40" s="23">
        <f t="shared" si="794"/>
        <v>2414</v>
      </c>
      <c r="AIA40" s="23">
        <f t="shared" si="794"/>
        <v>0</v>
      </c>
      <c r="AIB40" s="23">
        <f t="shared" si="794"/>
        <v>9783</v>
      </c>
      <c r="AIC40" s="23">
        <f t="shared" si="794"/>
        <v>9229</v>
      </c>
      <c r="AID40" s="23">
        <f t="shared" si="794"/>
        <v>10780</v>
      </c>
      <c r="AIE40" s="23">
        <f t="shared" si="794"/>
        <v>11115</v>
      </c>
      <c r="AIF40" s="23">
        <f t="shared" si="794"/>
        <v>13986</v>
      </c>
      <c r="AIG40" s="23">
        <f t="shared" ref="AIG40:AIP40" si="795">IFERROR((AIG28*2)+AIG29+AIG30,"")</f>
        <v>2414</v>
      </c>
      <c r="AIH40" s="23">
        <f t="shared" si="795"/>
        <v>0</v>
      </c>
      <c r="AII40" s="23">
        <f t="shared" si="795"/>
        <v>0</v>
      </c>
      <c r="AIJ40" s="23">
        <f t="shared" si="795"/>
        <v>0</v>
      </c>
      <c r="AIK40" s="23">
        <f t="shared" si="795"/>
        <v>0</v>
      </c>
      <c r="AIL40" s="23">
        <f t="shared" si="795"/>
        <v>0</v>
      </c>
      <c r="AIM40" s="23">
        <f t="shared" si="795"/>
        <v>0</v>
      </c>
      <c r="AIN40" s="23">
        <f t="shared" si="795"/>
        <v>1834</v>
      </c>
      <c r="AIO40" s="23">
        <f t="shared" si="795"/>
        <v>0</v>
      </c>
      <c r="AIP40" s="23">
        <f t="shared" si="795"/>
        <v>0</v>
      </c>
      <c r="AIQ40" s="23">
        <f t="shared" ref="AIQ40:AJD40" si="796">IFERROR((AIQ28*2)+AIQ29+AIQ30,"")</f>
        <v>13571</v>
      </c>
      <c r="AIR40" s="23">
        <f t="shared" si="796"/>
        <v>11685</v>
      </c>
      <c r="AIS40" s="23">
        <f t="shared" si="796"/>
        <v>13454</v>
      </c>
      <c r="AIT40" s="23">
        <f t="shared" si="796"/>
        <v>12410</v>
      </c>
      <c r="AIU40" s="23">
        <f t="shared" si="796"/>
        <v>1986</v>
      </c>
      <c r="AIV40" s="23">
        <f t="shared" si="796"/>
        <v>0</v>
      </c>
      <c r="AIW40" s="23">
        <f t="shared" si="796"/>
        <v>10684</v>
      </c>
      <c r="AIX40" s="23">
        <f t="shared" si="796"/>
        <v>9756</v>
      </c>
      <c r="AIY40" s="23">
        <f t="shared" si="796"/>
        <v>11717</v>
      </c>
      <c r="AIZ40" s="23">
        <f t="shared" si="796"/>
        <v>13252</v>
      </c>
      <c r="AJA40" s="23">
        <f t="shared" si="796"/>
        <v>14093</v>
      </c>
      <c r="AJB40" s="23">
        <f t="shared" si="796"/>
        <v>2660</v>
      </c>
      <c r="AJC40" s="23">
        <f t="shared" si="796"/>
        <v>0</v>
      </c>
      <c r="AJD40" s="23">
        <f t="shared" si="796"/>
        <v>10654</v>
      </c>
      <c r="AJE40" s="23">
        <f t="shared" ref="AJE40:AJK40" si="797">IFERROR((AJE28*2)+AJE29+AJE30,"")</f>
        <v>8704</v>
      </c>
      <c r="AJF40" s="23">
        <f t="shared" si="797"/>
        <v>13885</v>
      </c>
      <c r="AJG40" s="23">
        <f t="shared" si="797"/>
        <v>13961</v>
      </c>
      <c r="AJH40" s="23">
        <f t="shared" si="797"/>
        <v>15108</v>
      </c>
      <c r="AJI40" s="23">
        <f t="shared" si="797"/>
        <v>3720</v>
      </c>
      <c r="AJJ40" s="23">
        <f t="shared" si="797"/>
        <v>0</v>
      </c>
      <c r="AJK40" s="23">
        <f t="shared" si="797"/>
        <v>10973</v>
      </c>
      <c r="AJL40" s="23">
        <f t="shared" ref="AJL40:AJP40" si="798">IFERROR((AJL28*2)+AJL29+AJL30,"")</f>
        <v>8750</v>
      </c>
      <c r="AJM40" s="23">
        <f t="shared" si="798"/>
        <v>11038</v>
      </c>
      <c r="AJN40" s="23">
        <f t="shared" si="798"/>
        <v>11835</v>
      </c>
      <c r="AJO40" s="23">
        <f t="shared" si="798"/>
        <v>13704</v>
      </c>
      <c r="AJP40" s="23">
        <f t="shared" si="798"/>
        <v>10407</v>
      </c>
      <c r="AJQ40" s="23">
        <f t="shared" ref="AJQ40:AKA40" si="799">IFERROR((AJQ28*2)+AJQ29+AJQ30,"")</f>
        <v>0</v>
      </c>
      <c r="AJR40" s="23">
        <f t="shared" si="799"/>
        <v>0</v>
      </c>
      <c r="AJS40" s="23">
        <f t="shared" si="799"/>
        <v>12532</v>
      </c>
      <c r="AJT40" s="23">
        <f t="shared" si="799"/>
        <v>1306</v>
      </c>
      <c r="AJU40" s="23">
        <f t="shared" si="799"/>
        <v>12170</v>
      </c>
      <c r="AJV40" s="23">
        <f t="shared" si="799"/>
        <v>13536</v>
      </c>
      <c r="AJW40" s="23">
        <f t="shared" si="799"/>
        <v>2068</v>
      </c>
      <c r="AJX40" s="23">
        <f t="shared" si="799"/>
        <v>1684</v>
      </c>
      <c r="AJY40" s="23">
        <f t="shared" si="799"/>
        <v>10734</v>
      </c>
      <c r="AJZ40" s="23">
        <f t="shared" si="799"/>
        <v>9804</v>
      </c>
      <c r="AKA40" s="23">
        <f t="shared" si="799"/>
        <v>13625</v>
      </c>
      <c r="AKB40" s="23">
        <f t="shared" ref="AKB40:AKK40" si="800">IFERROR((AKB28*2)+AKB29+AKB30,"")</f>
        <v>15345</v>
      </c>
      <c r="AKC40" s="23">
        <f t="shared" si="800"/>
        <v>14016</v>
      </c>
      <c r="AKD40" s="23">
        <f t="shared" si="800"/>
        <v>878</v>
      </c>
      <c r="AKE40" s="23">
        <f t="shared" si="800"/>
        <v>2095</v>
      </c>
      <c r="AKF40" s="23">
        <f t="shared" si="800"/>
        <v>10586</v>
      </c>
      <c r="AKG40" s="23">
        <f t="shared" si="800"/>
        <v>0</v>
      </c>
      <c r="AKH40" s="23">
        <f t="shared" si="800"/>
        <v>0</v>
      </c>
      <c r="AKI40" s="23">
        <f t="shared" si="800"/>
        <v>0</v>
      </c>
      <c r="AKJ40" s="23">
        <f t="shared" si="800"/>
        <v>0</v>
      </c>
      <c r="AKK40" s="23">
        <f t="shared" si="800"/>
        <v>0</v>
      </c>
    </row>
    <row r="41" spans="1:973">
      <c r="B41" s="1" t="s">
        <v>84</v>
      </c>
      <c r="C41" s="27">
        <v>99999</v>
      </c>
      <c r="D41" s="1" t="s">
        <v>8</v>
      </c>
      <c r="E41" s="1" t="s">
        <v>85</v>
      </c>
      <c r="F41" s="1" t="s">
        <v>21</v>
      </c>
      <c r="G41" s="1" t="s">
        <v>21</v>
      </c>
      <c r="H41" s="1" t="s">
        <v>21</v>
      </c>
      <c r="I41" s="1" t="s">
        <v>21</v>
      </c>
      <c r="J41" s="1" t="s">
        <v>21</v>
      </c>
      <c r="K41" s="23">
        <f>((K32+K33)*2)+K34+K35</f>
        <v>2256</v>
      </c>
      <c r="L41" s="23">
        <f t="shared" ref="L41:BV41" si="801">((L32+L33)*2)+L34+L35</f>
        <v>55484</v>
      </c>
      <c r="M41" s="23">
        <f t="shared" si="801"/>
        <v>24140</v>
      </c>
      <c r="N41" s="23">
        <f t="shared" si="801"/>
        <v>588</v>
      </c>
      <c r="O41" s="23">
        <f t="shared" si="801"/>
        <v>192</v>
      </c>
      <c r="P41" s="23">
        <f t="shared" si="801"/>
        <v>23960</v>
      </c>
      <c r="Q41" s="23">
        <f t="shared" si="801"/>
        <v>23639</v>
      </c>
      <c r="R41" s="23">
        <f t="shared" si="801"/>
        <v>9937</v>
      </c>
      <c r="S41" s="23">
        <f t="shared" si="801"/>
        <v>35609</v>
      </c>
      <c r="T41" s="23">
        <f t="shared" si="801"/>
        <v>13060</v>
      </c>
      <c r="U41" s="23">
        <f t="shared" si="801"/>
        <v>273</v>
      </c>
      <c r="V41" s="23">
        <f t="shared" si="801"/>
        <v>54</v>
      </c>
      <c r="W41" s="23">
        <f t="shared" si="801"/>
        <v>19331</v>
      </c>
      <c r="X41" s="23">
        <f t="shared" si="801"/>
        <v>25994</v>
      </c>
      <c r="Y41" s="23">
        <f t="shared" si="801"/>
        <v>10685</v>
      </c>
      <c r="Z41" s="23">
        <f t="shared" si="801"/>
        <v>8966</v>
      </c>
      <c r="AA41" s="23">
        <f t="shared" si="801"/>
        <v>42941</v>
      </c>
      <c r="AB41" s="23">
        <f t="shared" si="801"/>
        <v>1726</v>
      </c>
      <c r="AC41" s="23">
        <f t="shared" si="801"/>
        <v>168</v>
      </c>
      <c r="AD41" s="23">
        <f t="shared" si="801"/>
        <v>10203</v>
      </c>
      <c r="AE41" s="23">
        <f t="shared" si="801"/>
        <v>22786</v>
      </c>
      <c r="AF41" s="23">
        <f t="shared" si="801"/>
        <v>2497</v>
      </c>
      <c r="AG41" s="23">
        <f t="shared" si="801"/>
        <v>1588</v>
      </c>
      <c r="AH41" s="23">
        <f t="shared" si="801"/>
        <v>19034</v>
      </c>
      <c r="AI41" s="23">
        <f t="shared" si="801"/>
        <v>439</v>
      </c>
      <c r="AJ41" s="23">
        <f t="shared" si="801"/>
        <v>194</v>
      </c>
      <c r="AK41" s="23">
        <f t="shared" si="801"/>
        <v>40940</v>
      </c>
      <c r="AL41" s="23">
        <f t="shared" si="801"/>
        <v>15618</v>
      </c>
      <c r="AM41" s="23">
        <f t="shared" si="801"/>
        <v>17469</v>
      </c>
      <c r="AN41" s="23">
        <f t="shared" si="801"/>
        <v>5895</v>
      </c>
      <c r="AO41" s="23">
        <f t="shared" si="801"/>
        <v>3532</v>
      </c>
      <c r="AP41" s="23">
        <f t="shared" si="801"/>
        <v>170</v>
      </c>
      <c r="AQ41" s="23">
        <f t="shared" si="801"/>
        <v>170</v>
      </c>
      <c r="AR41" s="23">
        <f t="shared" si="801"/>
        <v>20171</v>
      </c>
      <c r="AS41" s="23">
        <f t="shared" si="801"/>
        <v>254</v>
      </c>
      <c r="AT41" s="23">
        <f t="shared" si="801"/>
        <v>36602</v>
      </c>
      <c r="AU41" s="23">
        <f t="shared" si="801"/>
        <v>28373</v>
      </c>
      <c r="AV41" s="23">
        <f t="shared" si="801"/>
        <v>31442</v>
      </c>
      <c r="AW41" s="23">
        <f t="shared" si="801"/>
        <v>230</v>
      </c>
      <c r="AX41" s="23">
        <f t="shared" si="801"/>
        <v>150</v>
      </c>
      <c r="AY41" s="23">
        <f t="shared" si="801"/>
        <v>1314</v>
      </c>
      <c r="AZ41" s="23">
        <f t="shared" si="801"/>
        <v>2430</v>
      </c>
      <c r="BA41" s="23">
        <f t="shared" si="801"/>
        <v>13912</v>
      </c>
      <c r="BB41" s="23">
        <f t="shared" si="801"/>
        <v>19712</v>
      </c>
      <c r="BC41" s="23">
        <f t="shared" si="801"/>
        <v>8222</v>
      </c>
      <c r="BD41" s="23">
        <f t="shared" si="801"/>
        <v>128</v>
      </c>
      <c r="BE41" s="23">
        <f t="shared" si="801"/>
        <v>58</v>
      </c>
      <c r="BF41" s="23">
        <f t="shared" si="801"/>
        <v>3524</v>
      </c>
      <c r="BG41" s="23">
        <f t="shared" si="801"/>
        <v>4227</v>
      </c>
      <c r="BH41" s="23">
        <f t="shared" si="801"/>
        <v>3661</v>
      </c>
      <c r="BI41" s="23">
        <f t="shared" si="801"/>
        <v>15094</v>
      </c>
      <c r="BJ41" s="23">
        <f t="shared" si="801"/>
        <v>21880</v>
      </c>
      <c r="BK41" s="23">
        <f t="shared" si="801"/>
        <v>198</v>
      </c>
      <c r="BL41" s="23">
        <f t="shared" si="801"/>
        <v>144</v>
      </c>
      <c r="BM41" s="23">
        <f t="shared" si="801"/>
        <v>473</v>
      </c>
      <c r="BN41" s="23">
        <f t="shared" si="801"/>
        <v>36568</v>
      </c>
      <c r="BO41" s="23">
        <f t="shared" si="801"/>
        <v>5961</v>
      </c>
      <c r="BP41" s="23">
        <f t="shared" si="801"/>
        <v>106</v>
      </c>
      <c r="BQ41" s="23">
        <f t="shared" si="801"/>
        <v>108</v>
      </c>
      <c r="BR41" s="23">
        <f t="shared" si="801"/>
        <v>0</v>
      </c>
      <c r="BS41" s="23">
        <f t="shared" si="801"/>
        <v>0</v>
      </c>
      <c r="BT41" s="23">
        <f t="shared" si="801"/>
        <v>0</v>
      </c>
      <c r="BU41" s="23">
        <f t="shared" si="801"/>
        <v>0</v>
      </c>
      <c r="BV41" s="23">
        <f t="shared" si="801"/>
        <v>0</v>
      </c>
      <c r="BW41" s="23">
        <f>((BW32+BW33)*2)+BW34+BW35</f>
        <v>17036</v>
      </c>
      <c r="BX41" s="23">
        <f>((BX32+BX33)*2)+BX34+BX35</f>
        <v>56592</v>
      </c>
      <c r="BY41" s="23">
        <f t="shared" ref="BY41:CD41" si="802">((BY32+BY33)*2)+BY34+BY35</f>
        <v>15680</v>
      </c>
      <c r="BZ41" s="23">
        <f t="shared" si="802"/>
        <v>0</v>
      </c>
      <c r="CA41" s="23">
        <f>((CA32+CA33)*2)+CA34+CA35</f>
        <v>22534</v>
      </c>
      <c r="CB41" s="23">
        <f t="shared" si="802"/>
        <v>36514</v>
      </c>
      <c r="CC41" s="23">
        <f t="shared" si="802"/>
        <v>32538</v>
      </c>
      <c r="CD41" s="23">
        <f t="shared" si="802"/>
        <v>25630</v>
      </c>
      <c r="CE41" s="23">
        <f t="shared" ref="CE41:CH41" si="803">((CE32+CE33)*2)+CE34+CE35</f>
        <v>9464</v>
      </c>
      <c r="CF41" s="23">
        <f t="shared" si="803"/>
        <v>232</v>
      </c>
      <c r="CG41" s="23">
        <f t="shared" si="803"/>
        <v>152</v>
      </c>
      <c r="CH41" s="23">
        <f t="shared" si="803"/>
        <v>16276</v>
      </c>
      <c r="CI41" s="23">
        <f t="shared" ref="CI41:CY41" si="804">((CI32+CI33)*2)+CI34+CI35</f>
        <v>5260</v>
      </c>
      <c r="CJ41" s="23">
        <f t="shared" si="804"/>
        <v>32500</v>
      </c>
      <c r="CK41" s="23">
        <f t="shared" si="804"/>
        <v>28561</v>
      </c>
      <c r="CL41" s="23">
        <f t="shared" si="804"/>
        <v>13663</v>
      </c>
      <c r="CM41" s="23">
        <f t="shared" si="804"/>
        <v>314</v>
      </c>
      <c r="CN41" s="23">
        <f t="shared" si="804"/>
        <v>0</v>
      </c>
      <c r="CO41" s="23">
        <f t="shared" si="804"/>
        <v>4390</v>
      </c>
      <c r="CP41" s="23">
        <f t="shared" si="804"/>
        <v>6904</v>
      </c>
      <c r="CQ41" s="23">
        <f t="shared" si="804"/>
        <v>42349</v>
      </c>
      <c r="CR41" s="23">
        <f t="shared" si="804"/>
        <v>29485</v>
      </c>
      <c r="CS41" s="23">
        <f t="shared" si="804"/>
        <v>23509</v>
      </c>
      <c r="CT41" s="23">
        <f t="shared" si="804"/>
        <v>832</v>
      </c>
      <c r="CU41" s="23">
        <f t="shared" si="804"/>
        <v>554</v>
      </c>
      <c r="CV41" s="23">
        <f t="shared" si="804"/>
        <v>3192</v>
      </c>
      <c r="CW41" s="23">
        <f t="shared" si="804"/>
        <v>32589</v>
      </c>
      <c r="CX41" s="23">
        <f t="shared" si="804"/>
        <v>5244</v>
      </c>
      <c r="CY41" s="23">
        <f t="shared" si="804"/>
        <v>1827</v>
      </c>
      <c r="CZ41" s="23">
        <f t="shared" ref="CZ41:DL41" si="805">((CZ32+CZ33)*2)+CZ34+CZ35</f>
        <v>11784</v>
      </c>
      <c r="DA41" s="23">
        <f t="shared" si="805"/>
        <v>89</v>
      </c>
      <c r="DB41" s="23">
        <f t="shared" si="805"/>
        <v>0</v>
      </c>
      <c r="DC41" s="23">
        <f t="shared" si="805"/>
        <v>11584</v>
      </c>
      <c r="DD41" s="23">
        <f t="shared" si="805"/>
        <v>22461</v>
      </c>
      <c r="DE41" s="23">
        <f t="shared" si="805"/>
        <v>15236</v>
      </c>
      <c r="DF41" s="23">
        <f t="shared" si="805"/>
        <v>28199</v>
      </c>
      <c r="DG41" s="23">
        <f t="shared" si="805"/>
        <v>23946</v>
      </c>
      <c r="DH41" s="23">
        <f t="shared" si="805"/>
        <v>0</v>
      </c>
      <c r="DI41" s="23">
        <f t="shared" si="805"/>
        <v>0</v>
      </c>
      <c r="DJ41" s="23">
        <f t="shared" si="805"/>
        <v>24160</v>
      </c>
      <c r="DK41" s="23">
        <f t="shared" si="805"/>
        <v>16136</v>
      </c>
      <c r="DL41" s="23">
        <f t="shared" si="805"/>
        <v>21630</v>
      </c>
      <c r="DM41" s="23">
        <f t="shared" ref="DM41:EI41" si="806">((DM32+DM33)*2)+DM34+DM35</f>
        <v>44670</v>
      </c>
      <c r="DN41" s="23">
        <f t="shared" si="806"/>
        <v>16925</v>
      </c>
      <c r="DO41" s="23">
        <f t="shared" si="806"/>
        <v>0</v>
      </c>
      <c r="DP41" s="23">
        <f t="shared" si="806"/>
        <v>0</v>
      </c>
      <c r="DQ41" s="23">
        <f t="shared" si="806"/>
        <v>3304</v>
      </c>
      <c r="DR41" s="23">
        <f t="shared" si="806"/>
        <v>6466</v>
      </c>
      <c r="DS41" s="23">
        <f t="shared" si="806"/>
        <v>3138</v>
      </c>
      <c r="DT41" s="23">
        <f t="shared" si="806"/>
        <v>1082</v>
      </c>
      <c r="DU41" s="23">
        <f t="shared" si="806"/>
        <v>1650</v>
      </c>
      <c r="DV41" s="23">
        <f t="shared" si="806"/>
        <v>0</v>
      </c>
      <c r="DW41" s="23">
        <f t="shared" si="806"/>
        <v>0</v>
      </c>
      <c r="DX41" s="23">
        <f t="shared" si="806"/>
        <v>10296</v>
      </c>
      <c r="DY41" s="23">
        <f t="shared" si="806"/>
        <v>13614</v>
      </c>
      <c r="DZ41" s="23">
        <f t="shared" si="806"/>
        <v>28250</v>
      </c>
      <c r="EA41" s="23">
        <f t="shared" si="806"/>
        <v>2312</v>
      </c>
      <c r="EB41" s="23">
        <f t="shared" si="806"/>
        <v>2400</v>
      </c>
      <c r="EC41" s="23">
        <f t="shared" si="806"/>
        <v>0</v>
      </c>
      <c r="ED41" s="23">
        <f t="shared" si="806"/>
        <v>0</v>
      </c>
      <c r="EE41" s="23">
        <f t="shared" si="806"/>
        <v>13406</v>
      </c>
      <c r="EF41" s="23">
        <f t="shared" si="806"/>
        <v>14283</v>
      </c>
      <c r="EG41" s="23">
        <f t="shared" si="806"/>
        <v>37961</v>
      </c>
      <c r="EH41" s="23">
        <f t="shared" si="806"/>
        <v>41725</v>
      </c>
      <c r="EI41" s="23">
        <f t="shared" si="806"/>
        <v>28493</v>
      </c>
      <c r="EJ41" s="23">
        <f t="shared" ref="EJ41:ER41" si="807">((EJ32+EJ33)*2)+EJ34+EJ35</f>
        <v>0</v>
      </c>
      <c r="EK41" s="23">
        <f t="shared" si="807"/>
        <v>0</v>
      </c>
      <c r="EL41" s="23">
        <f t="shared" si="807"/>
        <v>25745</v>
      </c>
      <c r="EM41" s="23">
        <f t="shared" si="807"/>
        <v>29978</v>
      </c>
      <c r="EN41" s="23">
        <f t="shared" si="807"/>
        <v>24900</v>
      </c>
      <c r="EO41" s="23">
        <f t="shared" si="807"/>
        <v>2634</v>
      </c>
      <c r="EP41" s="23">
        <f t="shared" si="807"/>
        <v>14288</v>
      </c>
      <c r="EQ41" s="23">
        <f t="shared" si="807"/>
        <v>988</v>
      </c>
      <c r="ER41" s="23">
        <f t="shared" si="807"/>
        <v>366</v>
      </c>
      <c r="ES41" s="23">
        <f t="shared" ref="ES41:EX41" si="808">((ES32+ES33)*2)+ES34+ES35</f>
        <v>9230</v>
      </c>
      <c r="ET41" s="23">
        <f t="shared" si="808"/>
        <v>28646</v>
      </c>
      <c r="EU41" s="23">
        <f t="shared" si="808"/>
        <v>8410</v>
      </c>
      <c r="EV41" s="23">
        <f t="shared" si="808"/>
        <v>17218</v>
      </c>
      <c r="EW41" s="23">
        <f t="shared" si="808"/>
        <v>6744</v>
      </c>
      <c r="EX41" s="23">
        <f t="shared" si="808"/>
        <v>1394</v>
      </c>
      <c r="EY41" s="23">
        <f t="shared" ref="EY41:FI41" si="809">((EY32+EY33)*2)+EY34+EY35</f>
        <v>512</v>
      </c>
      <c r="EZ41" s="23">
        <f t="shared" si="809"/>
        <v>16034</v>
      </c>
      <c r="FA41" s="23">
        <f t="shared" si="809"/>
        <v>6814</v>
      </c>
      <c r="FB41" s="23">
        <f t="shared" si="809"/>
        <v>8124</v>
      </c>
      <c r="FC41" s="23">
        <f t="shared" si="809"/>
        <v>1650</v>
      </c>
      <c r="FD41" s="23">
        <f t="shared" si="809"/>
        <v>15736</v>
      </c>
      <c r="FE41" s="23">
        <f t="shared" si="809"/>
        <v>452</v>
      </c>
      <c r="FF41" s="23">
        <f t="shared" si="809"/>
        <v>0</v>
      </c>
      <c r="FG41" s="23">
        <f t="shared" si="809"/>
        <v>426</v>
      </c>
      <c r="FH41" s="23">
        <f t="shared" si="809"/>
        <v>1680</v>
      </c>
      <c r="FI41" s="23">
        <f t="shared" si="809"/>
        <v>17574</v>
      </c>
      <c r="FJ41" s="23">
        <f t="shared" ref="FJ41:FX41" si="810">((FJ32+FJ33)*2)+FJ34+FJ35</f>
        <v>20986</v>
      </c>
      <c r="FK41" s="23">
        <f t="shared" si="810"/>
        <v>20948</v>
      </c>
      <c r="FL41" s="23">
        <f t="shared" si="810"/>
        <v>152</v>
      </c>
      <c r="FM41" s="23">
        <f t="shared" si="810"/>
        <v>0</v>
      </c>
      <c r="FN41" s="23">
        <f t="shared" si="810"/>
        <v>7936</v>
      </c>
      <c r="FO41" s="23">
        <f t="shared" si="810"/>
        <v>37454</v>
      </c>
      <c r="FP41" s="23">
        <f t="shared" si="810"/>
        <v>6668</v>
      </c>
      <c r="FQ41" s="23">
        <f t="shared" si="810"/>
        <v>11736</v>
      </c>
      <c r="FR41" s="23">
        <f t="shared" si="810"/>
        <v>2406</v>
      </c>
      <c r="FS41" s="23">
        <f>((FS32+FS33)*2)+FS34+FS35</f>
        <v>0</v>
      </c>
      <c r="FT41" s="23">
        <f>((FT32+FT33)*2)+FT34+FT35</f>
        <v>0</v>
      </c>
      <c r="FU41" s="23">
        <f t="shared" si="810"/>
        <v>0</v>
      </c>
      <c r="FV41" s="23">
        <f t="shared" si="810"/>
        <v>378</v>
      </c>
      <c r="FW41" s="23">
        <f t="shared" si="810"/>
        <v>1011</v>
      </c>
      <c r="FX41" s="23">
        <f t="shared" si="810"/>
        <v>1828</v>
      </c>
      <c r="FY41" s="23">
        <f t="shared" ref="FY41:GH41" si="811">((FY32+FY33)*2)+FY34+FY35</f>
        <v>62420</v>
      </c>
      <c r="FZ41" s="23">
        <f t="shared" si="811"/>
        <v>656</v>
      </c>
      <c r="GA41" s="23">
        <f t="shared" si="811"/>
        <v>460</v>
      </c>
      <c r="GB41" s="23">
        <f t="shared" si="811"/>
        <v>22800</v>
      </c>
      <c r="GC41" s="23">
        <f t="shared" si="811"/>
        <v>56194</v>
      </c>
      <c r="GD41" s="23">
        <f t="shared" si="811"/>
        <v>21650</v>
      </c>
      <c r="GE41" s="23">
        <f t="shared" si="811"/>
        <v>14849</v>
      </c>
      <c r="GF41" s="23">
        <f t="shared" si="811"/>
        <v>48220</v>
      </c>
      <c r="GG41" s="23">
        <f t="shared" si="811"/>
        <v>3482</v>
      </c>
      <c r="GH41" s="23">
        <f t="shared" si="811"/>
        <v>210</v>
      </c>
      <c r="GI41" s="23">
        <f>((GI32+GI33)*2)+GI34+GI35</f>
        <v>14180</v>
      </c>
      <c r="GJ41" s="23">
        <f>((GJ32+GJ33)*2)+GJ34+GJ35</f>
        <v>7194</v>
      </c>
      <c r="GK41" s="23">
        <f t="shared" ref="GK41:GU41" si="812">((GK32+GK33)*2)+GK34+GK35</f>
        <v>318</v>
      </c>
      <c r="GL41" s="23">
        <f t="shared" si="812"/>
        <v>934</v>
      </c>
      <c r="GM41" s="23">
        <f t="shared" si="812"/>
        <v>20516</v>
      </c>
      <c r="GN41" s="23">
        <f t="shared" si="812"/>
        <v>230</v>
      </c>
      <c r="GO41" s="23">
        <f t="shared" si="812"/>
        <v>144</v>
      </c>
      <c r="GP41" s="23">
        <f t="shared" si="812"/>
        <v>366</v>
      </c>
      <c r="GQ41" s="23">
        <f t="shared" si="812"/>
        <v>7042</v>
      </c>
      <c r="GR41" s="23">
        <f t="shared" si="812"/>
        <v>14864</v>
      </c>
      <c r="GS41" s="23">
        <f t="shared" si="812"/>
        <v>594</v>
      </c>
      <c r="GT41" s="23">
        <f t="shared" si="812"/>
        <v>5604</v>
      </c>
      <c r="GU41" s="23">
        <f t="shared" si="812"/>
        <v>266</v>
      </c>
      <c r="GV41" s="23">
        <f t="shared" ref="GV41:HC41" si="813">((GV32+GV33)*2)+GV34+GV35</f>
        <v>690</v>
      </c>
      <c r="GW41" s="23">
        <f t="shared" si="813"/>
        <v>15595</v>
      </c>
      <c r="GX41" s="23">
        <f t="shared" si="813"/>
        <v>6514</v>
      </c>
      <c r="GY41" s="23">
        <f t="shared" si="813"/>
        <v>42827</v>
      </c>
      <c r="GZ41" s="23">
        <f t="shared" si="813"/>
        <v>2630</v>
      </c>
      <c r="HA41" s="23">
        <f t="shared" si="813"/>
        <v>2610</v>
      </c>
      <c r="HB41" s="23">
        <f t="shared" si="813"/>
        <v>780</v>
      </c>
      <c r="HC41" s="23">
        <f t="shared" si="813"/>
        <v>938</v>
      </c>
      <c r="HD41" s="23">
        <f t="shared" ref="HD41:HP41" si="814">((HD32+HD33)*2)+HD34+HD35</f>
        <v>12722</v>
      </c>
      <c r="HE41" s="23">
        <f t="shared" si="814"/>
        <v>40594</v>
      </c>
      <c r="HF41" s="23">
        <f t="shared" si="814"/>
        <v>600</v>
      </c>
      <c r="HG41" s="23">
        <f t="shared" si="814"/>
        <v>39256</v>
      </c>
      <c r="HH41" s="23">
        <f t="shared" si="814"/>
        <v>30274</v>
      </c>
      <c r="HI41" s="23">
        <f t="shared" si="814"/>
        <v>2214</v>
      </c>
      <c r="HJ41" s="23">
        <f t="shared" si="814"/>
        <v>0</v>
      </c>
      <c r="HK41" s="23">
        <f t="shared" si="814"/>
        <v>11664</v>
      </c>
      <c r="HL41" s="23">
        <f t="shared" si="814"/>
        <v>45220</v>
      </c>
      <c r="HM41" s="23">
        <f t="shared" si="814"/>
        <v>38624</v>
      </c>
      <c r="HN41" s="23">
        <f t="shared" si="814"/>
        <v>16138</v>
      </c>
      <c r="HO41" s="23">
        <f t="shared" si="814"/>
        <v>12700</v>
      </c>
      <c r="HP41" s="23">
        <f t="shared" si="814"/>
        <v>254</v>
      </c>
      <c r="HQ41" s="23">
        <f t="shared" ref="HQ41:IX41" si="815">((HQ32+HQ33)*2)+HQ34+HQ35</f>
        <v>108</v>
      </c>
      <c r="HR41" s="23">
        <f t="shared" si="815"/>
        <v>58</v>
      </c>
      <c r="HS41" s="23">
        <f t="shared" si="815"/>
        <v>1909</v>
      </c>
      <c r="HT41" s="23">
        <f t="shared" si="815"/>
        <v>16594</v>
      </c>
      <c r="HU41" s="23">
        <f t="shared" si="815"/>
        <v>34404</v>
      </c>
      <c r="HV41" s="23">
        <f t="shared" si="815"/>
        <v>4489</v>
      </c>
      <c r="HW41" s="23">
        <f t="shared" si="815"/>
        <v>1434</v>
      </c>
      <c r="HX41" s="23">
        <f t="shared" si="815"/>
        <v>90</v>
      </c>
      <c r="HY41" s="23">
        <f t="shared" si="815"/>
        <v>10614</v>
      </c>
      <c r="HZ41" s="23">
        <f t="shared" si="815"/>
        <v>20877</v>
      </c>
      <c r="IA41" s="23">
        <f t="shared" si="815"/>
        <v>46370</v>
      </c>
      <c r="IB41" s="23">
        <f t="shared" si="815"/>
        <v>20130</v>
      </c>
      <c r="IC41" s="23">
        <f t="shared" si="815"/>
        <v>5687</v>
      </c>
      <c r="ID41" s="23">
        <f t="shared" si="815"/>
        <v>294</v>
      </c>
      <c r="IE41" s="23">
        <f t="shared" si="815"/>
        <v>250</v>
      </c>
      <c r="IF41" s="23">
        <f t="shared" si="815"/>
        <v>1055</v>
      </c>
      <c r="IG41" s="23">
        <f t="shared" si="815"/>
        <v>41238</v>
      </c>
      <c r="IH41" s="23">
        <f t="shared" si="815"/>
        <v>14914</v>
      </c>
      <c r="II41" s="23">
        <f t="shared" si="815"/>
        <v>18689</v>
      </c>
      <c r="IJ41" s="23">
        <f t="shared" si="815"/>
        <v>11920</v>
      </c>
      <c r="IK41" s="23">
        <f t="shared" si="815"/>
        <v>1348</v>
      </c>
      <c r="IL41" s="23">
        <f t="shared" si="815"/>
        <v>426</v>
      </c>
      <c r="IM41" s="23">
        <f t="shared" si="815"/>
        <v>2594</v>
      </c>
      <c r="IN41" s="23">
        <f t="shared" si="815"/>
        <v>37533</v>
      </c>
      <c r="IO41" s="23">
        <f t="shared" si="815"/>
        <v>58019</v>
      </c>
      <c r="IP41" s="23">
        <f t="shared" si="815"/>
        <v>30414</v>
      </c>
      <c r="IQ41" s="23">
        <f>((IQ32+IQ33)*2)+IQ34+IQ35</f>
        <v>21783</v>
      </c>
      <c r="IR41" s="23">
        <f t="shared" si="815"/>
        <v>352</v>
      </c>
      <c r="IS41" s="23">
        <f t="shared" si="815"/>
        <v>182</v>
      </c>
      <c r="IT41" s="23">
        <f t="shared" si="815"/>
        <v>1772</v>
      </c>
      <c r="IU41" s="23">
        <f t="shared" si="815"/>
        <v>561</v>
      </c>
      <c r="IV41" s="23">
        <f t="shared" si="815"/>
        <v>26142</v>
      </c>
      <c r="IW41" s="23">
        <f t="shared" si="815"/>
        <v>12705</v>
      </c>
      <c r="IX41" s="23">
        <f t="shared" si="815"/>
        <v>17916</v>
      </c>
      <c r="IY41" s="23">
        <f t="shared" ref="IY41:JI41" si="816">((IY32+IY33)*2)+IY34+IY35</f>
        <v>292</v>
      </c>
      <c r="IZ41" s="23">
        <f t="shared" si="816"/>
        <v>64</v>
      </c>
      <c r="JA41" s="23">
        <f t="shared" si="816"/>
        <v>11512</v>
      </c>
      <c r="JB41" s="23">
        <f t="shared" si="816"/>
        <v>3386</v>
      </c>
      <c r="JC41" s="23">
        <f t="shared" si="816"/>
        <v>31318</v>
      </c>
      <c r="JD41" s="23">
        <f t="shared" si="816"/>
        <v>40130</v>
      </c>
      <c r="JE41" s="23">
        <f t="shared" si="816"/>
        <v>29438</v>
      </c>
      <c r="JF41" s="23">
        <f t="shared" si="816"/>
        <v>748</v>
      </c>
      <c r="JG41" s="23">
        <f t="shared" si="816"/>
        <v>188</v>
      </c>
      <c r="JH41" s="23">
        <f t="shared" si="816"/>
        <v>27216</v>
      </c>
      <c r="JI41" s="23">
        <f t="shared" si="816"/>
        <v>17403</v>
      </c>
      <c r="JJ41" s="23">
        <f t="shared" ref="JJ41:JW41" si="817">((JJ32+JJ33)*2)+JJ34+JJ35</f>
        <v>24220</v>
      </c>
      <c r="JK41" s="23">
        <f t="shared" si="817"/>
        <v>31931</v>
      </c>
      <c r="JL41" s="23">
        <f t="shared" si="817"/>
        <v>16096</v>
      </c>
      <c r="JM41" s="23">
        <f t="shared" si="817"/>
        <v>1156</v>
      </c>
      <c r="JN41" s="23">
        <f t="shared" si="817"/>
        <v>492</v>
      </c>
      <c r="JO41" s="23">
        <f t="shared" si="817"/>
        <v>30376</v>
      </c>
      <c r="JP41" s="23">
        <f t="shared" si="817"/>
        <v>39676</v>
      </c>
      <c r="JQ41" s="23">
        <f t="shared" si="817"/>
        <v>37534</v>
      </c>
      <c r="JR41" s="23">
        <f t="shared" si="817"/>
        <v>37702</v>
      </c>
      <c r="JS41" s="23">
        <f t="shared" si="817"/>
        <v>26126</v>
      </c>
      <c r="JT41" s="23">
        <f t="shared" si="817"/>
        <v>0</v>
      </c>
      <c r="JU41" s="23">
        <f t="shared" si="817"/>
        <v>0</v>
      </c>
      <c r="JV41" s="23">
        <f t="shared" si="817"/>
        <v>0</v>
      </c>
      <c r="JW41" s="23">
        <f t="shared" si="817"/>
        <v>0</v>
      </c>
      <c r="JX41" s="23">
        <f t="shared" ref="JX41:KO41" si="818">((JX32+JX33)*2)+JX34+JX35</f>
        <v>0</v>
      </c>
      <c r="JY41" s="23">
        <f t="shared" si="818"/>
        <v>56</v>
      </c>
      <c r="JZ41" s="23">
        <f t="shared" si="818"/>
        <v>6196</v>
      </c>
      <c r="KA41" s="23">
        <f t="shared" si="818"/>
        <v>0</v>
      </c>
      <c r="KB41" s="23">
        <f t="shared" si="818"/>
        <v>0</v>
      </c>
      <c r="KC41" s="23">
        <f t="shared" si="818"/>
        <v>5020</v>
      </c>
      <c r="KD41" s="23">
        <f t="shared" si="818"/>
        <v>16760</v>
      </c>
      <c r="KE41" s="23">
        <f t="shared" si="818"/>
        <v>5254</v>
      </c>
      <c r="KF41" s="23">
        <f t="shared" si="818"/>
        <v>8236</v>
      </c>
      <c r="KG41" s="23">
        <f t="shared" si="818"/>
        <v>23752</v>
      </c>
      <c r="KH41" s="23">
        <f t="shared" si="818"/>
        <v>0</v>
      </c>
      <c r="KI41" s="23">
        <f t="shared" si="818"/>
        <v>0</v>
      </c>
      <c r="KJ41" s="23">
        <f t="shared" si="818"/>
        <v>0</v>
      </c>
      <c r="KK41" s="23">
        <f t="shared" si="818"/>
        <v>15842</v>
      </c>
      <c r="KL41" s="23">
        <f t="shared" si="818"/>
        <v>38552</v>
      </c>
      <c r="KM41" s="23">
        <f t="shared" si="818"/>
        <v>22012</v>
      </c>
      <c r="KN41" s="23">
        <f t="shared" si="818"/>
        <v>25292</v>
      </c>
      <c r="KO41" s="23">
        <f t="shared" si="818"/>
        <v>2644</v>
      </c>
      <c r="KP41" s="23">
        <f t="shared" ref="KP41:KV41" si="819">((KP32+KP33)*2)+KP34+KP35</f>
        <v>0</v>
      </c>
      <c r="KQ41" s="23">
        <f t="shared" si="819"/>
        <v>29828</v>
      </c>
      <c r="KR41" s="23">
        <f t="shared" si="819"/>
        <v>13586</v>
      </c>
      <c r="KS41" s="23">
        <f t="shared" si="819"/>
        <v>10448</v>
      </c>
      <c r="KT41" s="23">
        <f t="shared" si="819"/>
        <v>4622</v>
      </c>
      <c r="KU41" s="23">
        <f t="shared" si="819"/>
        <v>23442</v>
      </c>
      <c r="KV41" s="23">
        <f t="shared" si="819"/>
        <v>46</v>
      </c>
      <c r="KW41" s="23">
        <f t="shared" ref="KW41:ML41" si="820">((KW32+KW33)*2)+KW34+KW35</f>
        <v>0</v>
      </c>
      <c r="KX41" s="23">
        <f t="shared" si="820"/>
        <v>58516</v>
      </c>
      <c r="KY41" s="23">
        <f t="shared" si="820"/>
        <v>60384</v>
      </c>
      <c r="KZ41" s="23">
        <f t="shared" si="820"/>
        <v>44902</v>
      </c>
      <c r="LA41" s="23">
        <f t="shared" si="820"/>
        <v>21778</v>
      </c>
      <c r="LB41" s="23">
        <f t="shared" si="820"/>
        <v>39264</v>
      </c>
      <c r="LC41" s="23">
        <f t="shared" si="820"/>
        <v>0</v>
      </c>
      <c r="LD41" s="23">
        <f t="shared" si="820"/>
        <v>126</v>
      </c>
      <c r="LE41" s="23">
        <f t="shared" si="820"/>
        <v>578</v>
      </c>
      <c r="LF41" s="23">
        <f t="shared" si="820"/>
        <v>10214</v>
      </c>
      <c r="LG41" s="23">
        <f t="shared" si="820"/>
        <v>1902</v>
      </c>
      <c r="LH41" s="23">
        <f t="shared" si="820"/>
        <v>7298</v>
      </c>
      <c r="LI41" s="23">
        <f t="shared" si="820"/>
        <v>9084</v>
      </c>
      <c r="LJ41" s="23">
        <f t="shared" si="820"/>
        <v>504</v>
      </c>
      <c r="LK41" s="23">
        <f t="shared" si="820"/>
        <v>120</v>
      </c>
      <c r="LL41" s="23">
        <f t="shared" si="820"/>
        <v>8096</v>
      </c>
      <c r="LM41" s="23">
        <f t="shared" si="820"/>
        <v>44924</v>
      </c>
      <c r="LN41" s="23">
        <f t="shared" si="820"/>
        <v>19324</v>
      </c>
      <c r="LO41" s="23">
        <f t="shared" si="820"/>
        <v>2668</v>
      </c>
      <c r="LP41" s="23">
        <f t="shared" si="820"/>
        <v>29592</v>
      </c>
      <c r="LQ41" s="23">
        <f t="shared" si="820"/>
        <v>552</v>
      </c>
      <c r="LR41" s="23">
        <f t="shared" si="820"/>
        <v>718</v>
      </c>
      <c r="LS41" s="23">
        <f t="shared" si="820"/>
        <v>18966</v>
      </c>
      <c r="LT41" s="23">
        <f t="shared" si="820"/>
        <v>10662</v>
      </c>
      <c r="LU41" s="23">
        <f t="shared" si="820"/>
        <v>13836</v>
      </c>
      <c r="LV41" s="23">
        <f t="shared" si="820"/>
        <v>6250</v>
      </c>
      <c r="LW41" s="23">
        <f t="shared" si="820"/>
        <v>4122</v>
      </c>
      <c r="LX41" s="23">
        <f t="shared" si="820"/>
        <v>1392</v>
      </c>
      <c r="LY41" s="23">
        <f t="shared" si="820"/>
        <v>864</v>
      </c>
      <c r="LZ41" s="23">
        <f t="shared" si="820"/>
        <v>5604</v>
      </c>
      <c r="MA41" s="23">
        <f t="shared" si="820"/>
        <v>21226</v>
      </c>
      <c r="MB41" s="23">
        <f t="shared" si="820"/>
        <v>13280</v>
      </c>
      <c r="MC41" s="23">
        <f t="shared" si="820"/>
        <v>9280</v>
      </c>
      <c r="MD41" s="23">
        <f t="shared" si="820"/>
        <v>16268</v>
      </c>
      <c r="ME41" s="23">
        <f t="shared" si="820"/>
        <v>838</v>
      </c>
      <c r="MF41" s="23">
        <f t="shared" si="820"/>
        <v>104</v>
      </c>
      <c r="MG41" s="23">
        <f t="shared" si="820"/>
        <v>1727</v>
      </c>
      <c r="MH41" s="23">
        <f t="shared" si="820"/>
        <v>597</v>
      </c>
      <c r="MI41" s="23">
        <f t="shared" si="820"/>
        <v>954</v>
      </c>
      <c r="MJ41" s="23">
        <f t="shared" si="820"/>
        <v>35016</v>
      </c>
      <c r="MK41" s="23">
        <f t="shared" si="820"/>
        <v>18466</v>
      </c>
      <c r="ML41" s="23">
        <f t="shared" si="820"/>
        <v>17150</v>
      </c>
      <c r="MM41" s="23">
        <f t="shared" ref="MM41:NK41" si="821">((MM32+MM33)*2)+MM34+MM35</f>
        <v>0</v>
      </c>
      <c r="MN41" s="23">
        <f t="shared" si="821"/>
        <v>19587</v>
      </c>
      <c r="MO41" s="23">
        <f t="shared" si="821"/>
        <v>3687</v>
      </c>
      <c r="MP41" s="23">
        <f t="shared" si="821"/>
        <v>26814</v>
      </c>
      <c r="MQ41" s="23">
        <f t="shared" si="821"/>
        <v>25894</v>
      </c>
      <c r="MR41" s="23">
        <f t="shared" si="821"/>
        <v>12642</v>
      </c>
      <c r="MS41" s="23">
        <f t="shared" si="821"/>
        <v>4</v>
      </c>
      <c r="MT41" s="23">
        <f t="shared" si="821"/>
        <v>0</v>
      </c>
      <c r="MU41" s="23">
        <f t="shared" si="821"/>
        <v>0</v>
      </c>
      <c r="MV41" s="23">
        <f t="shared" si="821"/>
        <v>10593</v>
      </c>
      <c r="MW41" s="23">
        <f t="shared" si="821"/>
        <v>26066</v>
      </c>
      <c r="MX41" s="23">
        <f t="shared" si="821"/>
        <v>11428</v>
      </c>
      <c r="MY41" s="23">
        <f t="shared" si="821"/>
        <v>14187</v>
      </c>
      <c r="MZ41" s="23">
        <f t="shared" si="821"/>
        <v>0</v>
      </c>
      <c r="NA41" s="23">
        <f t="shared" si="821"/>
        <v>0</v>
      </c>
      <c r="NB41" s="23">
        <f t="shared" si="821"/>
        <v>5811</v>
      </c>
      <c r="NC41" s="23">
        <f t="shared" si="821"/>
        <v>15886</v>
      </c>
      <c r="ND41" s="23">
        <f t="shared" si="821"/>
        <v>0</v>
      </c>
      <c r="NE41" s="23">
        <f t="shared" si="821"/>
        <v>17174</v>
      </c>
      <c r="NF41" s="23">
        <f t="shared" si="821"/>
        <v>24105</v>
      </c>
      <c r="NG41" s="23">
        <f t="shared" si="821"/>
        <v>27</v>
      </c>
      <c r="NH41" s="23">
        <f t="shared" si="821"/>
        <v>0</v>
      </c>
      <c r="NI41" s="23">
        <f t="shared" si="821"/>
        <v>2296</v>
      </c>
      <c r="NJ41" s="23">
        <f t="shared" si="821"/>
        <v>2016</v>
      </c>
      <c r="NK41" s="23">
        <f t="shared" si="821"/>
        <v>1508</v>
      </c>
      <c r="NL41" s="23">
        <f t="shared" ref="NL41:NV41" si="822">((NL32+NL33)*2)+NL34+NL35</f>
        <v>534</v>
      </c>
      <c r="NM41" s="23">
        <f t="shared" si="822"/>
        <v>782</v>
      </c>
      <c r="NN41" s="23">
        <f t="shared" si="822"/>
        <v>35</v>
      </c>
      <c r="NO41" s="23">
        <f t="shared" si="822"/>
        <v>0</v>
      </c>
      <c r="NP41" s="23">
        <f t="shared" si="822"/>
        <v>13224</v>
      </c>
      <c r="NQ41" s="23">
        <f t="shared" si="822"/>
        <v>20695</v>
      </c>
      <c r="NR41" s="23">
        <f t="shared" si="822"/>
        <v>13396</v>
      </c>
      <c r="NS41" s="23">
        <f t="shared" si="822"/>
        <v>2610</v>
      </c>
      <c r="NT41" s="23">
        <f t="shared" si="822"/>
        <v>23744</v>
      </c>
      <c r="NU41" s="23">
        <f t="shared" si="822"/>
        <v>105</v>
      </c>
      <c r="NV41" s="23">
        <f t="shared" si="822"/>
        <v>0</v>
      </c>
      <c r="NW41" s="23">
        <f t="shared" ref="NW41:OD41" si="823">((NW32+NW33)*2)+NW34+NW35</f>
        <v>10760</v>
      </c>
      <c r="NX41" s="23">
        <f t="shared" si="823"/>
        <v>3686</v>
      </c>
      <c r="NY41" s="23">
        <f t="shared" si="823"/>
        <v>14716</v>
      </c>
      <c r="NZ41" s="23">
        <f t="shared" si="823"/>
        <v>4287</v>
      </c>
      <c r="OA41" s="23">
        <f t="shared" si="823"/>
        <v>46470</v>
      </c>
      <c r="OB41" s="23">
        <f t="shared" si="823"/>
        <v>0</v>
      </c>
      <c r="OC41" s="23">
        <f t="shared" si="823"/>
        <v>0</v>
      </c>
      <c r="OD41" s="23">
        <f t="shared" si="823"/>
        <v>11588</v>
      </c>
      <c r="OE41" s="23">
        <f t="shared" ref="OE41:OL41" si="824">((OE32+OE33)*2)+OE34+OE35</f>
        <v>22795</v>
      </c>
      <c r="OF41" s="23">
        <f t="shared" si="824"/>
        <v>15415</v>
      </c>
      <c r="OG41" s="23">
        <f t="shared" si="824"/>
        <v>47905</v>
      </c>
      <c r="OH41" s="23">
        <f t="shared" si="824"/>
        <v>11092</v>
      </c>
      <c r="OI41" s="23">
        <f t="shared" si="824"/>
        <v>133</v>
      </c>
      <c r="OJ41" s="23">
        <f t="shared" si="824"/>
        <v>0</v>
      </c>
      <c r="OK41" s="23">
        <f t="shared" si="824"/>
        <v>9241</v>
      </c>
      <c r="OL41" s="23">
        <f t="shared" si="824"/>
        <v>35739</v>
      </c>
      <c r="OM41" s="23">
        <f t="shared" ref="OM41:OQ41" si="825">((OM32+OM33)*2)+OM34+OM35</f>
        <v>62871</v>
      </c>
      <c r="ON41" s="23">
        <f t="shared" si="825"/>
        <v>26089</v>
      </c>
      <c r="OO41" s="23">
        <f t="shared" si="825"/>
        <v>30873</v>
      </c>
      <c r="OP41" s="23">
        <f t="shared" si="825"/>
        <v>75</v>
      </c>
      <c r="OQ41" s="23">
        <f t="shared" si="825"/>
        <v>5748</v>
      </c>
      <c r="OR41" s="23">
        <f t="shared" ref="OR41:OX41" si="826">((OR32+OR33)*2)+OR34+OR35</f>
        <v>7402</v>
      </c>
      <c r="OS41" s="23">
        <f t="shared" si="826"/>
        <v>1466</v>
      </c>
      <c r="OT41" s="23">
        <f t="shared" si="826"/>
        <v>0</v>
      </c>
      <c r="OU41" s="23">
        <f t="shared" si="826"/>
        <v>6446</v>
      </c>
      <c r="OV41" s="23">
        <f t="shared" si="826"/>
        <v>75</v>
      </c>
      <c r="OW41" s="23">
        <f t="shared" si="826"/>
        <v>17</v>
      </c>
      <c r="OX41" s="23">
        <f t="shared" si="826"/>
        <v>0</v>
      </c>
      <c r="OY41" s="23">
        <f t="shared" ref="OY41:PJ41" si="827">((OY32+OY33)*2)+OY34+OY35</f>
        <v>14129</v>
      </c>
      <c r="OZ41" s="23">
        <f t="shared" si="827"/>
        <v>2490</v>
      </c>
      <c r="PA41" s="23">
        <f t="shared" si="827"/>
        <v>9106</v>
      </c>
      <c r="PB41" s="23">
        <f t="shared" si="827"/>
        <v>55291</v>
      </c>
      <c r="PC41" s="23">
        <f t="shared" si="827"/>
        <v>22042</v>
      </c>
      <c r="PD41" s="23">
        <f t="shared" si="827"/>
        <v>0</v>
      </c>
      <c r="PE41" s="23">
        <f t="shared" si="827"/>
        <v>0</v>
      </c>
      <c r="PF41" s="23">
        <f t="shared" si="827"/>
        <v>14829</v>
      </c>
      <c r="PG41" s="23">
        <f t="shared" si="827"/>
        <v>20840</v>
      </c>
      <c r="PH41" s="23">
        <f t="shared" si="827"/>
        <v>36275</v>
      </c>
      <c r="PI41" s="23">
        <f t="shared" si="827"/>
        <v>19687</v>
      </c>
      <c r="PJ41" s="23">
        <f t="shared" si="827"/>
        <v>57271</v>
      </c>
      <c r="PK41" s="23">
        <f t="shared" ref="PK41:PU41" si="828">((PK32+PK33)*2)+PK34+PK35</f>
        <v>23430</v>
      </c>
      <c r="PL41" s="23">
        <f t="shared" si="828"/>
        <v>0</v>
      </c>
      <c r="PM41" s="23">
        <f t="shared" si="828"/>
        <v>93396</v>
      </c>
      <c r="PN41" s="23">
        <f t="shared" si="828"/>
        <v>22</v>
      </c>
      <c r="PO41" s="23">
        <f t="shared" si="828"/>
        <v>52</v>
      </c>
      <c r="PP41" s="23">
        <f t="shared" si="828"/>
        <v>0</v>
      </c>
      <c r="PQ41" s="23">
        <f t="shared" si="828"/>
        <v>0</v>
      </c>
      <c r="PR41" s="23">
        <f t="shared" si="828"/>
        <v>0</v>
      </c>
      <c r="PS41" s="23">
        <f t="shared" si="828"/>
        <v>0</v>
      </c>
      <c r="PT41" s="23">
        <f t="shared" si="828"/>
        <v>0</v>
      </c>
      <c r="PU41" s="23">
        <f t="shared" si="828"/>
        <v>0</v>
      </c>
      <c r="PV41" s="23">
        <f t="shared" ref="PV41:QB41" si="829">((PV32+PV33)*2)+PV34+PV35</f>
        <v>0</v>
      </c>
      <c r="PW41" s="23">
        <f t="shared" si="829"/>
        <v>0</v>
      </c>
      <c r="PX41" s="23">
        <f t="shared" si="829"/>
        <v>6305</v>
      </c>
      <c r="PY41" s="23">
        <f t="shared" si="829"/>
        <v>0</v>
      </c>
      <c r="PZ41" s="23">
        <f t="shared" si="829"/>
        <v>0</v>
      </c>
      <c r="QA41" s="23">
        <f t="shared" si="829"/>
        <v>22563</v>
      </c>
      <c r="QB41" s="23">
        <f t="shared" si="829"/>
        <v>28284</v>
      </c>
      <c r="QC41" s="23">
        <f t="shared" ref="QC41:QI41" si="830">((QC32+QC33)*2)+QC34+QC35</f>
        <v>60100</v>
      </c>
      <c r="QD41" s="23">
        <f t="shared" si="830"/>
        <v>2924</v>
      </c>
      <c r="QE41" s="23">
        <f t="shared" si="830"/>
        <v>63952</v>
      </c>
      <c r="QF41" s="23">
        <f t="shared" si="830"/>
        <v>6</v>
      </c>
      <c r="QG41" s="23">
        <f t="shared" si="830"/>
        <v>0</v>
      </c>
      <c r="QH41" s="23">
        <f t="shared" si="830"/>
        <v>26905</v>
      </c>
      <c r="QI41" s="23">
        <f t="shared" si="830"/>
        <v>944</v>
      </c>
      <c r="QJ41" s="23">
        <f t="shared" ref="QJ41:QO41" si="831">((QJ32+QJ33)*2)+QJ34+QJ35</f>
        <v>4822</v>
      </c>
      <c r="QK41" s="23">
        <f t="shared" si="831"/>
        <v>27222</v>
      </c>
      <c r="QL41" s="23">
        <f t="shared" si="831"/>
        <v>26978</v>
      </c>
      <c r="QM41" s="23">
        <f t="shared" si="831"/>
        <v>0</v>
      </c>
      <c r="QN41" s="23">
        <f t="shared" si="831"/>
        <v>0</v>
      </c>
      <c r="QO41" s="23">
        <f t="shared" si="831"/>
        <v>9034</v>
      </c>
      <c r="QP41" s="23">
        <f t="shared" ref="QP41:QV41" si="832">((QP32+QP33)*2)+QP34+QP35</f>
        <v>12419</v>
      </c>
      <c r="QQ41" s="23">
        <f t="shared" si="832"/>
        <v>30887</v>
      </c>
      <c r="QR41" s="23">
        <f t="shared" si="832"/>
        <v>37032</v>
      </c>
      <c r="QS41" s="23">
        <f t="shared" si="832"/>
        <v>30924</v>
      </c>
      <c r="QT41" s="23">
        <f t="shared" si="832"/>
        <v>30</v>
      </c>
      <c r="QU41" s="23">
        <f t="shared" si="832"/>
        <v>0</v>
      </c>
      <c r="QV41" s="23">
        <f t="shared" si="832"/>
        <v>18144</v>
      </c>
      <c r="QW41" s="23">
        <f t="shared" ref="QW41:SA41" si="833">((QW32+QW33)*2)+QW34+QW35</f>
        <v>60059</v>
      </c>
      <c r="QX41" s="23">
        <f t="shared" si="833"/>
        <v>42233</v>
      </c>
      <c r="QY41" s="23">
        <f t="shared" si="833"/>
        <v>13149</v>
      </c>
      <c r="QZ41" s="23">
        <f t="shared" si="833"/>
        <v>11870</v>
      </c>
      <c r="RA41" s="23">
        <f t="shared" si="833"/>
        <v>25</v>
      </c>
      <c r="RB41" s="23">
        <f t="shared" si="833"/>
        <v>0</v>
      </c>
      <c r="RC41" s="23">
        <f t="shared" si="833"/>
        <v>16394</v>
      </c>
      <c r="RD41" s="23">
        <f t="shared" si="833"/>
        <v>40642</v>
      </c>
      <c r="RE41" s="23">
        <f t="shared" si="833"/>
        <v>12972</v>
      </c>
      <c r="RF41" s="23">
        <f t="shared" si="833"/>
        <v>3907</v>
      </c>
      <c r="RG41" s="23">
        <f t="shared" si="833"/>
        <v>8342</v>
      </c>
      <c r="RH41" s="23">
        <f t="shared" si="833"/>
        <v>0</v>
      </c>
      <c r="RI41" s="23">
        <f t="shared" si="833"/>
        <v>0</v>
      </c>
      <c r="RJ41" s="23">
        <f t="shared" si="833"/>
        <v>29614</v>
      </c>
      <c r="RK41" s="23">
        <f t="shared" si="833"/>
        <v>17828</v>
      </c>
      <c r="RL41" s="23">
        <f t="shared" si="833"/>
        <v>2526</v>
      </c>
      <c r="RM41" s="23">
        <f t="shared" si="833"/>
        <v>30027</v>
      </c>
      <c r="RN41" s="23">
        <f t="shared" si="833"/>
        <v>31695</v>
      </c>
      <c r="RO41" s="23">
        <f t="shared" si="833"/>
        <v>0</v>
      </c>
      <c r="RP41" s="23">
        <f t="shared" si="833"/>
        <v>0</v>
      </c>
      <c r="RQ41" s="23">
        <f t="shared" si="833"/>
        <v>24269</v>
      </c>
      <c r="RR41" s="23">
        <f t="shared" si="833"/>
        <v>52462</v>
      </c>
      <c r="RS41" s="23">
        <f t="shared" si="833"/>
        <v>10010</v>
      </c>
      <c r="RT41" s="23">
        <f t="shared" si="833"/>
        <v>42806</v>
      </c>
      <c r="RU41" s="23">
        <f t="shared" si="833"/>
        <v>50640</v>
      </c>
      <c r="RV41" s="23">
        <f t="shared" si="833"/>
        <v>3426</v>
      </c>
      <c r="RW41" s="23">
        <f t="shared" si="833"/>
        <v>0</v>
      </c>
      <c r="RX41" s="23">
        <f t="shared" si="833"/>
        <v>8548</v>
      </c>
      <c r="RY41" s="23">
        <f t="shared" si="833"/>
        <v>7352</v>
      </c>
      <c r="RZ41" s="23">
        <f t="shared" si="833"/>
        <v>5084</v>
      </c>
      <c r="SA41" s="23">
        <f t="shared" si="833"/>
        <v>9273</v>
      </c>
      <c r="SB41" s="23">
        <f>((SB32+SB33)*2)+SB34+SB35</f>
        <v>1550</v>
      </c>
      <c r="SC41" s="23">
        <f t="shared" ref="SC41:SO41" si="834">((SC32+SC33)*2)+SC34+SC35</f>
        <v>0</v>
      </c>
      <c r="SD41" s="23">
        <f t="shared" si="834"/>
        <v>0</v>
      </c>
      <c r="SE41" s="23">
        <f t="shared" si="834"/>
        <v>4287</v>
      </c>
      <c r="SF41" s="23">
        <f t="shared" si="834"/>
        <v>6495</v>
      </c>
      <c r="SG41" s="23">
        <f t="shared" si="834"/>
        <v>16802</v>
      </c>
      <c r="SH41" s="23">
        <f t="shared" si="834"/>
        <v>5138</v>
      </c>
      <c r="SI41" s="23">
        <f t="shared" si="834"/>
        <v>43980</v>
      </c>
      <c r="SJ41" s="23">
        <f t="shared" si="834"/>
        <v>112</v>
      </c>
      <c r="SK41" s="23">
        <f t="shared" si="834"/>
        <v>0</v>
      </c>
      <c r="SL41" s="23">
        <f t="shared" si="834"/>
        <v>18562</v>
      </c>
      <c r="SM41" s="23">
        <f t="shared" si="834"/>
        <v>13389</v>
      </c>
      <c r="SN41" s="23">
        <f t="shared" si="834"/>
        <v>52742</v>
      </c>
      <c r="SO41" s="23">
        <f t="shared" si="834"/>
        <v>29764</v>
      </c>
      <c r="SP41" s="23">
        <f t="shared" ref="SP41:SV41" si="835">((SP32+SP33)*2)+SP34+SP35</f>
        <v>20514</v>
      </c>
      <c r="SQ41" s="23">
        <f t="shared" si="835"/>
        <v>0</v>
      </c>
      <c r="SR41" s="23">
        <f t="shared" si="835"/>
        <v>0</v>
      </c>
      <c r="SS41" s="23">
        <f t="shared" si="835"/>
        <v>20950</v>
      </c>
      <c r="ST41" s="23">
        <f t="shared" si="835"/>
        <v>43715</v>
      </c>
      <c r="SU41" s="23">
        <f t="shared" si="835"/>
        <v>28986</v>
      </c>
      <c r="SV41" s="23">
        <f t="shared" si="835"/>
        <v>10518</v>
      </c>
      <c r="SW41" s="23">
        <f t="shared" ref="SW41:TH41" si="836">((SW32+SW33)*2)+SW34+SW35</f>
        <v>19216</v>
      </c>
      <c r="SX41" s="23">
        <f t="shared" si="836"/>
        <v>0</v>
      </c>
      <c r="SY41" s="23">
        <f t="shared" si="836"/>
        <v>0</v>
      </c>
      <c r="SZ41" s="23">
        <f t="shared" si="836"/>
        <v>4024</v>
      </c>
      <c r="TA41" s="23">
        <f t="shared" si="836"/>
        <v>6952</v>
      </c>
      <c r="TB41" s="23">
        <f t="shared" si="836"/>
        <v>15610</v>
      </c>
      <c r="TC41" s="23">
        <f t="shared" si="836"/>
        <v>35026</v>
      </c>
      <c r="TD41" s="23">
        <f t="shared" si="836"/>
        <v>21091</v>
      </c>
      <c r="TE41" s="23">
        <f t="shared" si="836"/>
        <v>50</v>
      </c>
      <c r="TF41" s="23">
        <f t="shared" si="836"/>
        <v>0</v>
      </c>
      <c r="TG41" s="23">
        <f t="shared" si="836"/>
        <v>7</v>
      </c>
      <c r="TH41" s="23">
        <f t="shared" si="836"/>
        <v>638</v>
      </c>
      <c r="TI41" s="23">
        <f t="shared" ref="TI41:TO41" si="837">((TI32+TI33)*2)+TI34+TI35</f>
        <v>1077</v>
      </c>
      <c r="TJ41" s="23">
        <f t="shared" si="837"/>
        <v>11331</v>
      </c>
      <c r="TK41" s="23">
        <f t="shared" si="837"/>
        <v>7954</v>
      </c>
      <c r="TL41" s="23">
        <f t="shared" si="837"/>
        <v>589</v>
      </c>
      <c r="TM41" s="23">
        <f t="shared" si="837"/>
        <v>0</v>
      </c>
      <c r="TN41" s="23">
        <f t="shared" si="837"/>
        <v>0</v>
      </c>
      <c r="TO41" s="23">
        <f t="shared" si="837"/>
        <v>2323</v>
      </c>
      <c r="TP41" s="23">
        <f t="shared" ref="TP41:TX41" si="838">((TP32+TP33)*2)+TP34+TP35</f>
        <v>6761</v>
      </c>
      <c r="TQ41" s="23">
        <f t="shared" si="838"/>
        <v>13502</v>
      </c>
      <c r="TR41" s="23">
        <f t="shared" si="838"/>
        <v>7206</v>
      </c>
      <c r="TS41" s="23">
        <f t="shared" si="838"/>
        <v>0</v>
      </c>
      <c r="TT41" s="23">
        <f t="shared" si="838"/>
        <v>0</v>
      </c>
      <c r="TU41" s="23">
        <f t="shared" si="838"/>
        <v>0</v>
      </c>
      <c r="TV41" s="23">
        <f t="shared" si="838"/>
        <v>0</v>
      </c>
      <c r="TW41" s="23">
        <f t="shared" si="838"/>
        <v>126</v>
      </c>
      <c r="TX41" s="23">
        <f t="shared" si="838"/>
        <v>3220</v>
      </c>
      <c r="TY41" s="23">
        <f t="shared" ref="TY41:UC41" si="839">((TY32+TY33)*2)+TY34+TY35</f>
        <v>18187</v>
      </c>
      <c r="TZ41" s="23">
        <f t="shared" si="839"/>
        <v>0</v>
      </c>
      <c r="UA41" s="23">
        <f t="shared" si="839"/>
        <v>0</v>
      </c>
      <c r="UB41" s="23">
        <f t="shared" si="839"/>
        <v>22734</v>
      </c>
      <c r="UC41" s="23">
        <f t="shared" si="839"/>
        <v>23748</v>
      </c>
      <c r="UD41" s="23">
        <f t="shared" ref="UD41:UK41" si="840">((UD32+UD33)*2)+UD34+UD35</f>
        <v>20670</v>
      </c>
      <c r="UE41" s="23">
        <f t="shared" si="840"/>
        <v>25970</v>
      </c>
      <c r="UF41" s="23">
        <f t="shared" si="840"/>
        <v>63685</v>
      </c>
      <c r="UG41" s="23">
        <f t="shared" si="840"/>
        <v>316</v>
      </c>
      <c r="UH41" s="23">
        <f t="shared" si="840"/>
        <v>0</v>
      </c>
      <c r="UI41" s="23">
        <f t="shared" si="840"/>
        <v>20850</v>
      </c>
      <c r="UJ41" s="23">
        <f t="shared" si="840"/>
        <v>23581</v>
      </c>
      <c r="UK41" s="23">
        <f t="shared" si="840"/>
        <v>22365</v>
      </c>
      <c r="UL41" s="23">
        <f t="shared" ref="UL41:UU41" si="841">((UL32+UL33)*2)+UL34+UL35</f>
        <v>0</v>
      </c>
      <c r="UM41" s="23">
        <f t="shared" si="841"/>
        <v>435</v>
      </c>
      <c r="UN41" s="23">
        <f t="shared" si="841"/>
        <v>111</v>
      </c>
      <c r="UO41" s="23">
        <f t="shared" si="841"/>
        <v>0</v>
      </c>
      <c r="UP41" s="23">
        <f t="shared" si="841"/>
        <v>0</v>
      </c>
      <c r="UQ41" s="23">
        <f t="shared" si="841"/>
        <v>11261</v>
      </c>
      <c r="UR41" s="23">
        <f t="shared" si="841"/>
        <v>19899</v>
      </c>
      <c r="US41" s="23">
        <f t="shared" si="841"/>
        <v>20081</v>
      </c>
      <c r="UT41" s="23">
        <f t="shared" si="841"/>
        <v>21816</v>
      </c>
      <c r="UU41" s="23">
        <f t="shared" si="841"/>
        <v>47</v>
      </c>
      <c r="UV41" s="23">
        <f t="shared" ref="UV41:VB41" si="842">((UV32+UV33)*2)+UV34+UV35</f>
        <v>0</v>
      </c>
      <c r="UW41" s="23">
        <f t="shared" si="842"/>
        <v>0</v>
      </c>
      <c r="UX41" s="23">
        <f t="shared" si="842"/>
        <v>20949</v>
      </c>
      <c r="UY41" s="23">
        <f t="shared" si="842"/>
        <v>38234</v>
      </c>
      <c r="UZ41" s="23">
        <f t="shared" si="842"/>
        <v>32351</v>
      </c>
      <c r="VA41" s="23">
        <f t="shared" si="842"/>
        <v>20569</v>
      </c>
      <c r="VB41" s="23">
        <f t="shared" si="842"/>
        <v>57</v>
      </c>
      <c r="VC41" s="23">
        <f t="shared" ref="VC41:VP41" si="843">((VC32+VC33)*2)+VC34+VC35</f>
        <v>0</v>
      </c>
      <c r="VD41" s="23">
        <f t="shared" si="843"/>
        <v>17094</v>
      </c>
      <c r="VE41" s="23">
        <f t="shared" si="843"/>
        <v>25270</v>
      </c>
      <c r="VF41" s="23">
        <f t="shared" si="843"/>
        <v>38483</v>
      </c>
      <c r="VG41" s="23">
        <f t="shared" si="843"/>
        <v>3606</v>
      </c>
      <c r="VH41" s="23">
        <f t="shared" si="843"/>
        <v>2683</v>
      </c>
      <c r="VI41" s="23">
        <f t="shared" si="843"/>
        <v>0</v>
      </c>
      <c r="VJ41" s="23">
        <f t="shared" si="843"/>
        <v>0</v>
      </c>
      <c r="VK41" s="23">
        <f t="shared" si="843"/>
        <v>32200</v>
      </c>
      <c r="VL41" s="23">
        <f t="shared" si="843"/>
        <v>43730</v>
      </c>
      <c r="VM41" s="23">
        <f t="shared" si="843"/>
        <v>33003</v>
      </c>
      <c r="VN41" s="23">
        <f t="shared" si="843"/>
        <v>7422</v>
      </c>
      <c r="VO41" s="23">
        <f t="shared" si="843"/>
        <v>23072</v>
      </c>
      <c r="VP41" s="23">
        <f t="shared" si="843"/>
        <v>56</v>
      </c>
      <c r="VQ41" s="23">
        <f t="shared" ref="VQ41:WB41" si="844">((VQ32+VQ33)*2)+VQ34+VQ35</f>
        <v>0</v>
      </c>
      <c r="VR41" s="23">
        <f t="shared" si="844"/>
        <v>1234</v>
      </c>
      <c r="VS41" s="23">
        <f t="shared" si="844"/>
        <v>0</v>
      </c>
      <c r="VT41" s="23">
        <f t="shared" si="844"/>
        <v>8094</v>
      </c>
      <c r="VU41" s="23">
        <f t="shared" si="844"/>
        <v>18751</v>
      </c>
      <c r="VV41" s="23">
        <f t="shared" si="844"/>
        <v>17938</v>
      </c>
      <c r="VW41" s="23">
        <f t="shared" si="844"/>
        <v>4</v>
      </c>
      <c r="VX41" s="23">
        <f t="shared" si="844"/>
        <v>0</v>
      </c>
      <c r="VY41" s="23">
        <f t="shared" si="844"/>
        <v>19356</v>
      </c>
      <c r="VZ41" s="23">
        <f t="shared" si="844"/>
        <v>3574</v>
      </c>
      <c r="WA41" s="23">
        <f t="shared" si="844"/>
        <v>11628</v>
      </c>
      <c r="WB41" s="23">
        <f t="shared" si="844"/>
        <v>71484</v>
      </c>
      <c r="WC41" s="23">
        <f t="shared" ref="WC41:WK41" si="845">((WC32+WC33)*2)+WC34+WC35</f>
        <v>18294</v>
      </c>
      <c r="WD41" s="23">
        <f t="shared" si="845"/>
        <v>11</v>
      </c>
      <c r="WE41" s="23">
        <f t="shared" si="845"/>
        <v>0</v>
      </c>
      <c r="WF41" s="23">
        <f t="shared" si="845"/>
        <v>25530</v>
      </c>
      <c r="WG41" s="23">
        <f t="shared" si="845"/>
        <v>26544</v>
      </c>
      <c r="WH41" s="23">
        <f t="shared" si="845"/>
        <v>8204</v>
      </c>
      <c r="WI41" s="23">
        <f t="shared" si="845"/>
        <v>8298</v>
      </c>
      <c r="WJ41" s="23">
        <f t="shared" si="845"/>
        <v>20858</v>
      </c>
      <c r="WK41" s="23">
        <f t="shared" si="845"/>
        <v>3</v>
      </c>
      <c r="WL41" s="23">
        <f t="shared" ref="WL41:WW41" si="846">((WL32+WL33)*2)+WL34+WL35</f>
        <v>0</v>
      </c>
      <c r="WM41" s="23">
        <f t="shared" si="846"/>
        <v>11718</v>
      </c>
      <c r="WN41" s="23">
        <f t="shared" si="846"/>
        <v>13674</v>
      </c>
      <c r="WO41" s="23">
        <f t="shared" si="846"/>
        <v>45177</v>
      </c>
      <c r="WP41" s="23">
        <f t="shared" si="846"/>
        <v>60023</v>
      </c>
      <c r="WQ41" s="23">
        <f t="shared" si="846"/>
        <v>46300</v>
      </c>
      <c r="WR41" s="23">
        <f t="shared" si="846"/>
        <v>2</v>
      </c>
      <c r="WS41" s="23">
        <f t="shared" si="846"/>
        <v>0</v>
      </c>
      <c r="WT41" s="23">
        <f t="shared" si="846"/>
        <v>65992</v>
      </c>
      <c r="WU41" s="23">
        <f t="shared" si="846"/>
        <v>7677</v>
      </c>
      <c r="WV41" s="23">
        <f t="shared" si="846"/>
        <v>16382</v>
      </c>
      <c r="WW41" s="23">
        <f t="shared" si="846"/>
        <v>14387</v>
      </c>
      <c r="WX41" s="23">
        <f t="shared" ref="WX41:XG41" si="847">((WX32+WX33)*2)+WX34+WX35</f>
        <v>31243</v>
      </c>
      <c r="WY41" s="23">
        <f t="shared" si="847"/>
        <v>2257</v>
      </c>
      <c r="WZ41" s="23">
        <f t="shared" si="847"/>
        <v>0</v>
      </c>
      <c r="XA41" s="23">
        <f t="shared" si="847"/>
        <v>47978</v>
      </c>
      <c r="XB41" s="23">
        <f t="shared" si="847"/>
        <v>51464</v>
      </c>
      <c r="XC41" s="23">
        <f t="shared" si="847"/>
        <v>33929</v>
      </c>
      <c r="XD41" s="23">
        <f t="shared" si="847"/>
        <v>2512</v>
      </c>
      <c r="XE41" s="23">
        <f t="shared" si="847"/>
        <v>17785</v>
      </c>
      <c r="XF41" s="23">
        <f t="shared" si="847"/>
        <v>166</v>
      </c>
      <c r="XG41" s="23">
        <f t="shared" si="847"/>
        <v>0</v>
      </c>
      <c r="XH41" s="23">
        <f t="shared" ref="XH41:XL41" si="848">((XH32+XH33)*2)+XH34+XH35</f>
        <v>3300</v>
      </c>
      <c r="XI41" s="23">
        <f t="shared" si="848"/>
        <v>67157</v>
      </c>
      <c r="XJ41" s="23">
        <f t="shared" si="848"/>
        <v>62198</v>
      </c>
      <c r="XK41" s="23">
        <f t="shared" si="848"/>
        <v>54348</v>
      </c>
      <c r="XL41" s="23">
        <f t="shared" si="848"/>
        <v>40755</v>
      </c>
      <c r="XM41" s="23">
        <f>((XM32+XM33)*2)+XM34+XM35</f>
        <v>50</v>
      </c>
      <c r="XN41" s="23">
        <f>((XN32+XN33)*2)+XN34+XN35</f>
        <v>0</v>
      </c>
      <c r="XO41" s="23">
        <f t="shared" ref="XO41:XW41" si="849">((XO32+XO33)*2)+XO34+XO35</f>
        <v>3388</v>
      </c>
      <c r="XP41" s="23">
        <f t="shared" si="849"/>
        <v>42533</v>
      </c>
      <c r="XQ41" s="23">
        <f t="shared" si="849"/>
        <v>8695</v>
      </c>
      <c r="XR41" s="23">
        <f t="shared" si="849"/>
        <v>24882</v>
      </c>
      <c r="XS41" s="23">
        <f t="shared" si="849"/>
        <v>24279</v>
      </c>
      <c r="XT41" s="23">
        <f t="shared" si="849"/>
        <v>87</v>
      </c>
      <c r="XU41" s="23">
        <f t="shared" si="849"/>
        <v>0</v>
      </c>
      <c r="XV41" s="23">
        <f t="shared" si="849"/>
        <v>0</v>
      </c>
      <c r="XW41" s="23">
        <f t="shared" si="849"/>
        <v>11420</v>
      </c>
      <c r="XX41" s="23">
        <f t="shared" ref="XX41:YD41" si="850">((XX32+XX33)*2)+XX34+XX35</f>
        <v>12008</v>
      </c>
      <c r="XY41" s="23">
        <f t="shared" si="850"/>
        <v>14579</v>
      </c>
      <c r="XZ41" s="23">
        <f t="shared" si="850"/>
        <v>6099</v>
      </c>
      <c r="YA41" s="23">
        <f t="shared" si="850"/>
        <v>0</v>
      </c>
      <c r="YB41" s="23">
        <f t="shared" si="850"/>
        <v>0</v>
      </c>
      <c r="YC41" s="23">
        <f t="shared" si="850"/>
        <v>34821</v>
      </c>
      <c r="YD41" s="23">
        <f t="shared" si="850"/>
        <v>70640</v>
      </c>
      <c r="YE41" s="23">
        <f t="shared" ref="YE41:YI41" si="851">((YE32+YE33)*2)+YE34+YE35</f>
        <v>60610</v>
      </c>
      <c r="YF41" s="23">
        <f t="shared" si="851"/>
        <v>48608</v>
      </c>
      <c r="YG41" s="23">
        <f t="shared" si="851"/>
        <v>62663</v>
      </c>
      <c r="YH41" s="23">
        <f t="shared" si="851"/>
        <v>28</v>
      </c>
      <c r="YI41" s="23">
        <f t="shared" si="851"/>
        <v>0</v>
      </c>
      <c r="YJ41" s="23">
        <f>((YJ32+YJ33)*2)+YJ34+YJ35</f>
        <v>18418</v>
      </c>
      <c r="YK41" s="23">
        <f>((YK32+YK33)*2)+YK34+YK35</f>
        <v>0</v>
      </c>
      <c r="YL41" s="23">
        <f>((YL32+YL33)*2)+YL34+YL35</f>
        <v>18418</v>
      </c>
      <c r="YM41" s="23">
        <f>((YM32+YM33)*2)+YM34+YM35</f>
        <v>8993</v>
      </c>
      <c r="YN41" s="23">
        <f t="shared" ref="YN41:YQ41" si="852">((YN32+YN33)*2)+YN34+YN35</f>
        <v>4784</v>
      </c>
      <c r="YO41" s="23">
        <f t="shared" si="852"/>
        <v>0</v>
      </c>
      <c r="YP41" s="23">
        <f t="shared" si="852"/>
        <v>0</v>
      </c>
      <c r="YQ41" s="23">
        <f t="shared" si="852"/>
        <v>29385</v>
      </c>
      <c r="YR41" s="23">
        <f t="shared" ref="YR41:YS41" si="853">((YR32+YR33)*2)+YR34+YR35</f>
        <v>10558</v>
      </c>
      <c r="YS41" s="23">
        <f t="shared" si="853"/>
        <v>7235</v>
      </c>
      <c r="YT41" s="23">
        <f t="shared" ref="YT41:ZC41" si="854">((YT32+YT33)*2)+YT34+YT35</f>
        <v>12682</v>
      </c>
      <c r="YU41" s="23">
        <f t="shared" si="854"/>
        <v>10173</v>
      </c>
      <c r="YV41" s="23">
        <f t="shared" si="854"/>
        <v>11</v>
      </c>
      <c r="YW41" s="23">
        <f t="shared" si="854"/>
        <v>0</v>
      </c>
      <c r="YX41" s="23">
        <f t="shared" si="854"/>
        <v>27031</v>
      </c>
      <c r="YY41" s="23">
        <f t="shared" si="854"/>
        <v>5723</v>
      </c>
      <c r="YZ41" s="23">
        <f t="shared" si="854"/>
        <v>23034</v>
      </c>
      <c r="ZA41" s="23">
        <f t="shared" si="854"/>
        <v>23270</v>
      </c>
      <c r="ZB41" s="23">
        <f t="shared" si="854"/>
        <v>7862</v>
      </c>
      <c r="ZC41" s="23">
        <f t="shared" si="854"/>
        <v>0</v>
      </c>
      <c r="ZD41" s="23">
        <f t="shared" ref="ZD41:ZS41" si="855">((ZD32+ZD33)*2)+ZD34+ZD35</f>
        <v>0</v>
      </c>
      <c r="ZE41" s="23">
        <f t="shared" si="855"/>
        <v>3716</v>
      </c>
      <c r="ZF41" s="23">
        <f t="shared" si="855"/>
        <v>1683</v>
      </c>
      <c r="ZG41" s="23">
        <f t="shared" si="855"/>
        <v>27557</v>
      </c>
      <c r="ZH41" s="23">
        <f t="shared" si="855"/>
        <v>8686</v>
      </c>
      <c r="ZI41" s="23">
        <f t="shared" si="855"/>
        <v>29796</v>
      </c>
      <c r="ZJ41" s="23">
        <f t="shared" si="855"/>
        <v>5</v>
      </c>
      <c r="ZK41" s="23">
        <f t="shared" si="855"/>
        <v>0</v>
      </c>
      <c r="ZL41" s="23">
        <f t="shared" si="855"/>
        <v>9658</v>
      </c>
      <c r="ZM41" s="23">
        <f t="shared" si="855"/>
        <v>58546</v>
      </c>
      <c r="ZN41" s="23">
        <f t="shared" si="855"/>
        <v>34321</v>
      </c>
      <c r="ZO41" s="23">
        <f t="shared" si="855"/>
        <v>21553</v>
      </c>
      <c r="ZP41" s="23">
        <f t="shared" si="855"/>
        <v>31780</v>
      </c>
      <c r="ZQ41" s="23">
        <f t="shared" si="855"/>
        <v>52</v>
      </c>
      <c r="ZR41" s="23">
        <f t="shared" si="855"/>
        <v>0</v>
      </c>
      <c r="ZS41" s="23">
        <f t="shared" si="855"/>
        <v>26677</v>
      </c>
      <c r="ZT41" s="23">
        <f t="shared" ref="ZT41:ZW41" si="856">((ZT32+ZT33)*2)+ZT34+ZT35</f>
        <v>14159</v>
      </c>
      <c r="ZU41" s="23">
        <f t="shared" si="856"/>
        <v>16194</v>
      </c>
      <c r="ZV41" s="23">
        <f t="shared" si="856"/>
        <v>8895</v>
      </c>
      <c r="ZW41" s="23">
        <f t="shared" si="856"/>
        <v>18323</v>
      </c>
      <c r="ZX41" s="23">
        <f t="shared" ref="ZX41:AAE41" si="857">((ZX32+ZX33)*2)+ZX34+ZX35</f>
        <v>107</v>
      </c>
      <c r="ZY41" s="23">
        <f t="shared" si="857"/>
        <v>0</v>
      </c>
      <c r="ZZ41" s="23">
        <f t="shared" si="857"/>
        <v>10468</v>
      </c>
      <c r="AAA41" s="23">
        <f t="shared" si="857"/>
        <v>64544</v>
      </c>
      <c r="AAB41" s="23">
        <f t="shared" si="857"/>
        <v>48266</v>
      </c>
      <c r="AAC41" s="23">
        <f t="shared" si="857"/>
        <v>41358</v>
      </c>
      <c r="AAD41" s="23">
        <f t="shared" si="857"/>
        <v>4374</v>
      </c>
      <c r="AAE41" s="23">
        <f t="shared" si="857"/>
        <v>86</v>
      </c>
      <c r="AAF41" s="23">
        <f t="shared" ref="AAF41:AAQ41" si="858">((AAF32+AAF33)*2)+AAF34+AAF35</f>
        <v>0</v>
      </c>
      <c r="AAG41" s="23">
        <f t="shared" si="858"/>
        <v>11904</v>
      </c>
      <c r="AAH41" s="23">
        <f t="shared" si="858"/>
        <v>474</v>
      </c>
      <c r="AAI41" s="23">
        <f t="shared" si="858"/>
        <v>17199</v>
      </c>
      <c r="AAJ41" s="23">
        <f t="shared" si="858"/>
        <v>2200</v>
      </c>
      <c r="AAK41" s="23">
        <f t="shared" si="858"/>
        <v>19788</v>
      </c>
      <c r="AAL41" s="23">
        <f t="shared" si="858"/>
        <v>27512</v>
      </c>
      <c r="AAM41" s="23">
        <f t="shared" si="858"/>
        <v>0</v>
      </c>
      <c r="AAN41" s="23">
        <f t="shared" si="858"/>
        <v>19646</v>
      </c>
      <c r="AAO41" s="23">
        <f t="shared" si="858"/>
        <v>53889</v>
      </c>
      <c r="AAP41" s="23">
        <f t="shared" si="858"/>
        <v>52834</v>
      </c>
      <c r="AAQ41" s="23">
        <f t="shared" si="858"/>
        <v>28574</v>
      </c>
      <c r="AAR41" s="23">
        <f t="shared" ref="AAR41:AAU41" si="859">((AAR32+AAR33)*2)+AAR34+AAR35</f>
        <v>29464</v>
      </c>
      <c r="AAS41" s="23">
        <f t="shared" si="859"/>
        <v>19</v>
      </c>
      <c r="AAT41" s="23">
        <f t="shared" si="859"/>
        <v>0</v>
      </c>
      <c r="AAU41" s="23">
        <f t="shared" si="859"/>
        <v>0</v>
      </c>
      <c r="AAV41" s="23">
        <f t="shared" ref="AAV41:ABB41" si="860">((AAV32+AAV33)*2)+AAV34+AAV35</f>
        <v>17700</v>
      </c>
      <c r="AAW41" s="23">
        <f t="shared" si="860"/>
        <v>18665</v>
      </c>
      <c r="AAX41" s="23">
        <f t="shared" si="860"/>
        <v>15418</v>
      </c>
      <c r="AAY41" s="23">
        <f t="shared" si="860"/>
        <v>27214</v>
      </c>
      <c r="AAZ41" s="23">
        <f t="shared" si="860"/>
        <v>9</v>
      </c>
      <c r="ABA41" s="23">
        <f t="shared" si="860"/>
        <v>0</v>
      </c>
      <c r="ABB41" s="23">
        <f t="shared" si="860"/>
        <v>27529</v>
      </c>
      <c r="ABC41" s="23">
        <f t="shared" ref="ABC41:ABL41" si="861">((ABC32+ABC33)*2)+ABC34+ABC35</f>
        <v>11290</v>
      </c>
      <c r="ABD41" s="23">
        <f t="shared" si="861"/>
        <v>19189</v>
      </c>
      <c r="ABE41" s="23">
        <f t="shared" si="861"/>
        <v>0</v>
      </c>
      <c r="ABF41" s="23">
        <f t="shared" si="861"/>
        <v>58167</v>
      </c>
      <c r="ABG41" s="23">
        <f t="shared" si="861"/>
        <v>122</v>
      </c>
      <c r="ABH41" s="23">
        <f t="shared" si="861"/>
        <v>0</v>
      </c>
      <c r="ABI41" s="23">
        <f t="shared" si="861"/>
        <v>39110</v>
      </c>
      <c r="ABJ41" s="23">
        <f t="shared" si="861"/>
        <v>40312</v>
      </c>
      <c r="ABK41" s="23">
        <f t="shared" si="861"/>
        <v>801</v>
      </c>
      <c r="ABL41" s="23">
        <f t="shared" si="861"/>
        <v>447</v>
      </c>
      <c r="ABM41" s="23">
        <f t="shared" ref="ABM41:ABO41" si="862">((ABM32+ABM33)*2)+ABM34+ABM35</f>
        <v>607</v>
      </c>
      <c r="ABN41" s="23">
        <f t="shared" si="862"/>
        <v>0</v>
      </c>
      <c r="ABO41" s="23">
        <f t="shared" si="862"/>
        <v>0</v>
      </c>
      <c r="ABP41" s="23">
        <f t="shared" ref="ABP41:ABU41" si="863">((ABP32+ABP33)*2)+ABP34+ABP35</f>
        <v>21594</v>
      </c>
      <c r="ABQ41" s="23">
        <f t="shared" si="863"/>
        <v>33354</v>
      </c>
      <c r="ABR41" s="23">
        <f t="shared" si="863"/>
        <v>10164</v>
      </c>
      <c r="ABS41" s="23">
        <f t="shared" si="863"/>
        <v>14716</v>
      </c>
      <c r="ABT41" s="23">
        <f t="shared" si="863"/>
        <v>16424</v>
      </c>
      <c r="ABU41" s="23">
        <f t="shared" si="863"/>
        <v>35</v>
      </c>
      <c r="ABV41" s="23">
        <f t="shared" ref="ABV41:ACC41" si="864">((ABV32+ABV33)*2)+ABV34+ABV35</f>
        <v>0</v>
      </c>
      <c r="ABW41" s="23">
        <f t="shared" si="864"/>
        <v>3534</v>
      </c>
      <c r="ABX41" s="23">
        <f t="shared" si="864"/>
        <v>14841</v>
      </c>
      <c r="ABY41" s="23">
        <f t="shared" si="864"/>
        <v>47118</v>
      </c>
      <c r="ABZ41" s="23">
        <f t="shared" si="864"/>
        <v>36856</v>
      </c>
      <c r="ACA41" s="23">
        <f t="shared" si="864"/>
        <v>27625</v>
      </c>
      <c r="ACB41" s="23">
        <f t="shared" si="864"/>
        <v>55</v>
      </c>
      <c r="ACC41" s="23">
        <f t="shared" si="864"/>
        <v>0</v>
      </c>
      <c r="ACD41" s="23">
        <f t="shared" ref="ACD41:ACN41" si="865">((ACD32+ACD33)*2)+ACD34+ACD35</f>
        <v>8438</v>
      </c>
      <c r="ACE41" s="23">
        <f t="shared" si="865"/>
        <v>13706</v>
      </c>
      <c r="ACF41" s="23">
        <f t="shared" si="865"/>
        <v>20712</v>
      </c>
      <c r="ACG41" s="23">
        <f t="shared" si="865"/>
        <v>13539</v>
      </c>
      <c r="ACH41" s="23">
        <f t="shared" si="865"/>
        <v>12291</v>
      </c>
      <c r="ACI41" s="23">
        <f t="shared" si="865"/>
        <v>87</v>
      </c>
      <c r="ACJ41" s="23">
        <f t="shared" si="865"/>
        <v>0</v>
      </c>
      <c r="ACK41" s="23">
        <f t="shared" si="865"/>
        <v>40836</v>
      </c>
      <c r="ACL41" s="23">
        <f t="shared" si="865"/>
        <v>67063</v>
      </c>
      <c r="ACM41" s="23">
        <f t="shared" si="865"/>
        <v>427</v>
      </c>
      <c r="ACN41" s="23">
        <f t="shared" si="865"/>
        <v>410</v>
      </c>
      <c r="ACO41" s="23">
        <f t="shared" ref="ACO41:ACU41" si="866">((ACO32+ACO33)*2)+ACO34+ACO35</f>
        <v>838</v>
      </c>
      <c r="ACP41" s="23">
        <f t="shared" si="866"/>
        <v>6284</v>
      </c>
      <c r="ACQ41" s="23">
        <f t="shared" si="866"/>
        <v>11918</v>
      </c>
      <c r="ACR41" s="23">
        <f t="shared" si="866"/>
        <v>6288</v>
      </c>
      <c r="ACS41" s="23">
        <f t="shared" si="866"/>
        <v>11962</v>
      </c>
      <c r="ACT41" s="23">
        <f t="shared" si="866"/>
        <v>22533</v>
      </c>
      <c r="ACU41" s="23">
        <f t="shared" si="866"/>
        <v>16284</v>
      </c>
      <c r="ACV41" s="23">
        <f t="shared" ref="ACV41:ADD41" si="867">((ACV32+ACV33)*2)+ACV34+ACV35</f>
        <v>0</v>
      </c>
      <c r="ACW41" s="23">
        <f t="shared" si="867"/>
        <v>166</v>
      </c>
      <c r="ACX41" s="23">
        <f t="shared" si="867"/>
        <v>0</v>
      </c>
      <c r="ACY41" s="23">
        <f t="shared" si="867"/>
        <v>1648</v>
      </c>
      <c r="ACZ41" s="23">
        <f t="shared" si="867"/>
        <v>50649</v>
      </c>
      <c r="ADA41" s="23">
        <f t="shared" si="867"/>
        <v>4711</v>
      </c>
      <c r="ADB41" s="23">
        <f t="shared" si="867"/>
        <v>15423</v>
      </c>
      <c r="ADC41" s="23">
        <f t="shared" si="867"/>
        <v>15486</v>
      </c>
      <c r="ADD41" s="23">
        <f t="shared" si="867"/>
        <v>17</v>
      </c>
      <c r="ADE41" s="23">
        <f t="shared" ref="ADE41:ADR41" si="868">((ADE32+ADE33)*2)+ADE34+ADE35</f>
        <v>0</v>
      </c>
      <c r="ADF41" s="23">
        <f t="shared" si="868"/>
        <v>9810</v>
      </c>
      <c r="ADG41" s="23">
        <f t="shared" si="868"/>
        <v>36259</v>
      </c>
      <c r="ADH41" s="23">
        <f t="shared" si="868"/>
        <v>14528</v>
      </c>
      <c r="ADI41" s="23">
        <f t="shared" si="868"/>
        <v>21438</v>
      </c>
      <c r="ADJ41" s="23">
        <f t="shared" si="868"/>
        <v>30294</v>
      </c>
      <c r="ADK41" s="23">
        <f t="shared" si="868"/>
        <v>68</v>
      </c>
      <c r="ADL41" s="23">
        <f t="shared" si="868"/>
        <v>0</v>
      </c>
      <c r="ADM41" s="23">
        <f t="shared" si="868"/>
        <v>25</v>
      </c>
      <c r="ADN41" s="23">
        <f t="shared" si="868"/>
        <v>5768</v>
      </c>
      <c r="ADO41" s="23">
        <f t="shared" si="868"/>
        <v>5760</v>
      </c>
      <c r="ADP41" s="23">
        <f t="shared" si="868"/>
        <v>5765</v>
      </c>
      <c r="ADQ41" s="23">
        <f t="shared" si="868"/>
        <v>5845</v>
      </c>
      <c r="ADR41" s="23">
        <f t="shared" si="868"/>
        <v>5742</v>
      </c>
      <c r="ADS41" s="23">
        <f t="shared" ref="ADS41:ADX41" si="869">((ADS32+ADS33)*2)+ADS34+ADS35</f>
        <v>0</v>
      </c>
      <c r="ADT41" s="23">
        <f t="shared" si="869"/>
        <v>0</v>
      </c>
      <c r="ADU41" s="23">
        <f t="shared" si="869"/>
        <v>0</v>
      </c>
      <c r="ADV41" s="23">
        <f t="shared" si="869"/>
        <v>0</v>
      </c>
      <c r="ADW41" s="23">
        <f t="shared" si="869"/>
        <v>0</v>
      </c>
      <c r="ADX41" s="23">
        <f t="shared" si="869"/>
        <v>2606</v>
      </c>
      <c r="ADY41" s="23">
        <f t="shared" ref="ADY41:AEG41" si="870">((ADY32+ADY33)*2)+ADY34+ADY35</f>
        <v>0</v>
      </c>
      <c r="ADZ41" s="23">
        <f t="shared" si="870"/>
        <v>0</v>
      </c>
      <c r="AEA41" s="23">
        <f t="shared" si="870"/>
        <v>7582</v>
      </c>
      <c r="AEB41" s="23">
        <f t="shared" si="870"/>
        <v>3220</v>
      </c>
      <c r="AEC41" s="23">
        <f t="shared" si="870"/>
        <v>51974</v>
      </c>
      <c r="AED41" s="23">
        <f t="shared" si="870"/>
        <v>43732</v>
      </c>
      <c r="AEE41" s="23">
        <f t="shared" si="870"/>
        <v>74294</v>
      </c>
      <c r="AEF41" s="23">
        <f t="shared" si="870"/>
        <v>2</v>
      </c>
      <c r="AEG41" s="23">
        <f t="shared" si="870"/>
        <v>0</v>
      </c>
      <c r="AEH41" s="23">
        <f t="shared" ref="AEH41:AEW41" si="871">((AEH32+AEH33)*2)+AEH34+AEH35</f>
        <v>49539</v>
      </c>
      <c r="AEI41" s="23">
        <f t="shared" si="871"/>
        <v>60156</v>
      </c>
      <c r="AEJ41" s="23">
        <f t="shared" si="871"/>
        <v>21314</v>
      </c>
      <c r="AEK41" s="23">
        <f t="shared" si="871"/>
        <v>11106</v>
      </c>
      <c r="AEL41" s="23">
        <f t="shared" si="871"/>
        <v>12300</v>
      </c>
      <c r="AEM41" s="23">
        <f t="shared" si="871"/>
        <v>59</v>
      </c>
      <c r="AEN41" s="23">
        <f t="shared" si="871"/>
        <v>0</v>
      </c>
      <c r="AEO41" s="23">
        <f t="shared" si="871"/>
        <v>31078</v>
      </c>
      <c r="AEP41" s="23">
        <f t="shared" si="871"/>
        <v>34396</v>
      </c>
      <c r="AEQ41" s="23">
        <f t="shared" si="871"/>
        <v>31240</v>
      </c>
      <c r="AER41" s="23">
        <f t="shared" si="871"/>
        <v>15340</v>
      </c>
      <c r="AES41" s="23">
        <f t="shared" si="871"/>
        <v>15346</v>
      </c>
      <c r="AET41" s="23">
        <f t="shared" si="871"/>
        <v>67</v>
      </c>
      <c r="AEU41" s="23">
        <f t="shared" si="871"/>
        <v>0</v>
      </c>
      <c r="AEV41" s="23">
        <f t="shared" si="871"/>
        <v>11040</v>
      </c>
      <c r="AEW41" s="23">
        <f t="shared" si="871"/>
        <v>11027</v>
      </c>
      <c r="AEX41" s="23">
        <f t="shared" ref="AEX41:AFC41" si="872">((AEX32+AEX33)*2)+AEX34+AEX35</f>
        <v>21916</v>
      </c>
      <c r="AEY41" s="23">
        <f t="shared" si="872"/>
        <v>10928</v>
      </c>
      <c r="AEZ41" s="23">
        <f t="shared" si="872"/>
        <v>21969</v>
      </c>
      <c r="AFA41" s="23">
        <f t="shared" si="872"/>
        <v>28</v>
      </c>
      <c r="AFB41" s="23">
        <f t="shared" si="872"/>
        <v>0</v>
      </c>
      <c r="AFC41" s="23">
        <f t="shared" si="872"/>
        <v>371</v>
      </c>
      <c r="AFD41" s="23">
        <f t="shared" ref="AFD41:AFV41" si="873">((AFD32+AFD33)*2)+AFD34+AFD35</f>
        <v>35809</v>
      </c>
      <c r="AFE41" s="23">
        <f t="shared" si="873"/>
        <v>37255</v>
      </c>
      <c r="AFF41" s="23">
        <f t="shared" si="873"/>
        <v>26179</v>
      </c>
      <c r="AFG41" s="23">
        <f t="shared" si="873"/>
        <v>13486</v>
      </c>
      <c r="AFH41" s="23">
        <f t="shared" si="873"/>
        <v>0</v>
      </c>
      <c r="AFI41" s="23">
        <f t="shared" si="873"/>
        <v>0</v>
      </c>
      <c r="AFJ41" s="23">
        <f t="shared" si="873"/>
        <v>16126</v>
      </c>
      <c r="AFK41" s="23">
        <f t="shared" si="873"/>
        <v>25430</v>
      </c>
      <c r="AFL41" s="23">
        <f t="shared" si="873"/>
        <v>26995</v>
      </c>
      <c r="AFM41" s="23">
        <f t="shared" si="873"/>
        <v>13925</v>
      </c>
      <c r="AFN41" s="23">
        <f t="shared" si="873"/>
        <v>5542</v>
      </c>
      <c r="AFO41" s="23">
        <f t="shared" si="873"/>
        <v>4</v>
      </c>
      <c r="AFP41" s="23">
        <f t="shared" si="873"/>
        <v>0</v>
      </c>
      <c r="AFQ41" s="23">
        <f t="shared" si="873"/>
        <v>19186</v>
      </c>
      <c r="AFR41" s="23">
        <f t="shared" si="873"/>
        <v>6887</v>
      </c>
      <c r="AFS41" s="23">
        <f t="shared" si="873"/>
        <v>19813</v>
      </c>
      <c r="AFT41" s="23">
        <f t="shared" si="873"/>
        <v>14642</v>
      </c>
      <c r="AFU41" s="23">
        <f t="shared" si="873"/>
        <v>21362</v>
      </c>
      <c r="AFV41" s="23">
        <f t="shared" si="873"/>
        <v>47</v>
      </c>
      <c r="AFW41" s="23">
        <f t="shared" ref="AFW41:AGC41" si="874">((AFW32+AFW33)*2)+AFW34+AFW35</f>
        <v>0</v>
      </c>
      <c r="AFX41" s="23">
        <f t="shared" si="874"/>
        <v>142</v>
      </c>
      <c r="AFY41" s="23">
        <f t="shared" si="874"/>
        <v>24</v>
      </c>
      <c r="AFZ41" s="23">
        <f t="shared" si="874"/>
        <v>63</v>
      </c>
      <c r="AGA41" s="23">
        <f t="shared" si="874"/>
        <v>51</v>
      </c>
      <c r="AGB41" s="23">
        <f t="shared" si="874"/>
        <v>1</v>
      </c>
      <c r="AGC41" s="23">
        <f t="shared" si="874"/>
        <v>11</v>
      </c>
      <c r="AGD41" s="23">
        <f t="shared" ref="AGD41:AGK41" si="875">((AGD32+AGD33)*2)+AGD34+AGD35</f>
        <v>0</v>
      </c>
      <c r="AGE41" s="23">
        <f t="shared" si="875"/>
        <v>13549</v>
      </c>
      <c r="AGF41" s="23">
        <f t="shared" si="875"/>
        <v>216</v>
      </c>
      <c r="AGG41" s="23">
        <f t="shared" si="875"/>
        <v>51140</v>
      </c>
      <c r="AGH41" s="23">
        <f t="shared" si="875"/>
        <v>41492</v>
      </c>
      <c r="AGI41" s="23">
        <f t="shared" si="875"/>
        <v>26272</v>
      </c>
      <c r="AGJ41" s="23">
        <f t="shared" si="875"/>
        <v>0</v>
      </c>
      <c r="AGK41" s="23">
        <f t="shared" si="875"/>
        <v>0</v>
      </c>
      <c r="AGL41" s="23">
        <f t="shared" ref="AGL41:AGV41" si="876">((AGL32+AGL33)*2)+AGL34+AGL35</f>
        <v>49966</v>
      </c>
      <c r="AGM41" s="23">
        <f t="shared" si="876"/>
        <v>31632</v>
      </c>
      <c r="AGN41" s="23">
        <f t="shared" si="876"/>
        <v>49401</v>
      </c>
      <c r="AGO41" s="23">
        <f t="shared" si="876"/>
        <v>22068</v>
      </c>
      <c r="AGP41" s="23">
        <f t="shared" si="876"/>
        <v>23924</v>
      </c>
      <c r="AGQ41" s="23">
        <f t="shared" si="876"/>
        <v>0</v>
      </c>
      <c r="AGR41" s="23">
        <f t="shared" si="876"/>
        <v>0</v>
      </c>
      <c r="AGS41" s="23">
        <f t="shared" si="876"/>
        <v>11530</v>
      </c>
      <c r="AGT41" s="23">
        <f t="shared" si="876"/>
        <v>13566</v>
      </c>
      <c r="AGU41" s="23">
        <f t="shared" si="876"/>
        <v>29870</v>
      </c>
      <c r="AGV41" s="23">
        <f t="shared" si="876"/>
        <v>19895</v>
      </c>
      <c r="AGW41" s="23">
        <f t="shared" ref="AGW41:AGY41" si="877">((AGW32+AGW33)*2)+AGW34+AGW35</f>
        <v>22059</v>
      </c>
      <c r="AGX41" s="23">
        <f t="shared" si="877"/>
        <v>0</v>
      </c>
      <c r="AGY41" s="23">
        <f t="shared" si="877"/>
        <v>0</v>
      </c>
      <c r="AGZ41" s="23">
        <f t="shared" ref="AGZ41:AHE41" si="878">((AGZ32+AGZ33)*2)+AGZ34+AGZ35</f>
        <v>22</v>
      </c>
      <c r="AHA41" s="23">
        <f t="shared" si="878"/>
        <v>62</v>
      </c>
      <c r="AHB41" s="23">
        <f t="shared" si="878"/>
        <v>0</v>
      </c>
      <c r="AHC41" s="23">
        <f t="shared" si="878"/>
        <v>76</v>
      </c>
      <c r="AHD41" s="23">
        <f t="shared" si="878"/>
        <v>41</v>
      </c>
      <c r="AHE41" s="23">
        <f t="shared" si="878"/>
        <v>0</v>
      </c>
      <c r="AHF41" s="23">
        <f t="shared" ref="AHF41:AHL41" si="879">((AHF32+AHF33)*2)+AHF34+AHF35</f>
        <v>0</v>
      </c>
      <c r="AHG41" s="23">
        <f t="shared" si="879"/>
        <v>97</v>
      </c>
      <c r="AHH41" s="23">
        <f t="shared" si="879"/>
        <v>0</v>
      </c>
      <c r="AHI41" s="23">
        <f t="shared" si="879"/>
        <v>3115</v>
      </c>
      <c r="AHJ41" s="23">
        <f t="shared" si="879"/>
        <v>2207</v>
      </c>
      <c r="AHK41" s="23">
        <f t="shared" si="879"/>
        <v>30491</v>
      </c>
      <c r="AHL41" s="23">
        <f t="shared" si="879"/>
        <v>7405</v>
      </c>
      <c r="AHM41" s="23">
        <f t="shared" ref="AHM41:AIF41" si="880">((AHM32+AHM33)*2)+AHM34+AHM35</f>
        <v>0</v>
      </c>
      <c r="AHN41" s="23">
        <f>((AHN32+AHN33)*2)+AHN34+AHN35</f>
        <v>0</v>
      </c>
      <c r="AHO41" s="23">
        <f t="shared" si="880"/>
        <v>47864</v>
      </c>
      <c r="AHP41" s="23">
        <f t="shared" si="880"/>
        <v>33689</v>
      </c>
      <c r="AHQ41" s="23">
        <f t="shared" si="880"/>
        <v>50540</v>
      </c>
      <c r="AHR41" s="23">
        <f t="shared" si="880"/>
        <v>63897</v>
      </c>
      <c r="AHS41" s="23">
        <f t="shared" si="880"/>
        <v>0</v>
      </c>
      <c r="AHT41" s="23">
        <f t="shared" si="880"/>
        <v>0</v>
      </c>
      <c r="AHU41" s="23">
        <f t="shared" si="880"/>
        <v>0</v>
      </c>
      <c r="AHV41" s="23">
        <f t="shared" si="880"/>
        <v>0</v>
      </c>
      <c r="AHW41" s="23">
        <f t="shared" si="880"/>
        <v>0</v>
      </c>
      <c r="AHX41" s="23">
        <f t="shared" si="880"/>
        <v>8795</v>
      </c>
      <c r="AHY41" s="23">
        <f t="shared" si="880"/>
        <v>24187</v>
      </c>
      <c r="AHZ41" s="23">
        <f t="shared" si="880"/>
        <v>41</v>
      </c>
      <c r="AIA41" s="23">
        <f t="shared" si="880"/>
        <v>0</v>
      </c>
      <c r="AIB41" s="23">
        <f t="shared" si="880"/>
        <v>6676</v>
      </c>
      <c r="AIC41" s="23">
        <f t="shared" si="880"/>
        <v>27556</v>
      </c>
      <c r="AID41" s="23">
        <f t="shared" si="880"/>
        <v>27453</v>
      </c>
      <c r="AIE41" s="23">
        <f t="shared" si="880"/>
        <v>18659</v>
      </c>
      <c r="AIF41" s="23">
        <f t="shared" si="880"/>
        <v>52765</v>
      </c>
      <c r="AIG41" s="23">
        <f t="shared" ref="AIG41:AIP41" si="881">((AIG32+AIG33)*2)+AIG34+AIG35</f>
        <v>131</v>
      </c>
      <c r="AIH41" s="23">
        <f t="shared" si="881"/>
        <v>0</v>
      </c>
      <c r="AII41" s="23">
        <f t="shared" si="881"/>
        <v>52693</v>
      </c>
      <c r="AIJ41" s="23">
        <f t="shared" si="881"/>
        <v>10</v>
      </c>
      <c r="AIK41" s="23">
        <f t="shared" si="881"/>
        <v>0</v>
      </c>
      <c r="AIL41" s="23">
        <f t="shared" si="881"/>
        <v>0</v>
      </c>
      <c r="AIM41" s="23">
        <f t="shared" si="881"/>
        <v>0</v>
      </c>
      <c r="AIN41" s="23">
        <f t="shared" si="881"/>
        <v>733</v>
      </c>
      <c r="AIO41" s="23">
        <f t="shared" si="881"/>
        <v>0</v>
      </c>
      <c r="AIP41" s="23">
        <f t="shared" si="881"/>
        <v>0</v>
      </c>
      <c r="AIQ41" s="23">
        <f t="shared" ref="AIQ41:AJD41" si="882">((AIQ32+AIQ33)*2)+AIQ34+AIQ35</f>
        <v>32262</v>
      </c>
      <c r="AIR41" s="23">
        <f t="shared" si="882"/>
        <v>19651</v>
      </c>
      <c r="AIS41" s="23">
        <f t="shared" si="882"/>
        <v>21216</v>
      </c>
      <c r="AIT41" s="23">
        <f t="shared" si="882"/>
        <v>60372</v>
      </c>
      <c r="AIU41" s="23">
        <f t="shared" si="882"/>
        <v>261</v>
      </c>
      <c r="AIV41" s="23">
        <f t="shared" si="882"/>
        <v>0</v>
      </c>
      <c r="AIW41" s="23">
        <f t="shared" si="882"/>
        <v>34913</v>
      </c>
      <c r="AIX41" s="23">
        <f t="shared" si="882"/>
        <v>47351</v>
      </c>
      <c r="AIY41" s="23">
        <f t="shared" si="882"/>
        <v>14986</v>
      </c>
      <c r="AIZ41" s="23">
        <f t="shared" si="882"/>
        <v>9833</v>
      </c>
      <c r="AJA41" s="23">
        <f t="shared" si="882"/>
        <v>39601</v>
      </c>
      <c r="AJB41" s="23">
        <f t="shared" si="882"/>
        <v>48</v>
      </c>
      <c r="AJC41" s="23">
        <f t="shared" si="882"/>
        <v>0</v>
      </c>
      <c r="AJD41" s="23">
        <f t="shared" si="882"/>
        <v>15715</v>
      </c>
      <c r="AJE41" s="23">
        <f t="shared" ref="AJE41:AJK41" si="883">((AJE32+AJE33)*2)+AJE34+AJE35</f>
        <v>33669</v>
      </c>
      <c r="AJF41" s="23">
        <f t="shared" si="883"/>
        <v>39754</v>
      </c>
      <c r="AJG41" s="23">
        <f t="shared" si="883"/>
        <v>5622</v>
      </c>
      <c r="AJH41" s="23">
        <f t="shared" si="883"/>
        <v>45442</v>
      </c>
      <c r="AJI41" s="23">
        <f t="shared" si="883"/>
        <v>18248</v>
      </c>
      <c r="AJJ41" s="23">
        <f t="shared" si="883"/>
        <v>0</v>
      </c>
      <c r="AJK41" s="23">
        <f t="shared" si="883"/>
        <v>69586</v>
      </c>
      <c r="AJL41" s="23">
        <f t="shared" ref="AJL41:AJP41" si="884">((AJL32+AJL33)*2)+AJL34+AJL35</f>
        <v>53213</v>
      </c>
      <c r="AJM41" s="23">
        <f t="shared" si="884"/>
        <v>22687</v>
      </c>
      <c r="AJN41" s="23">
        <f t="shared" si="884"/>
        <v>2319</v>
      </c>
      <c r="AJO41" s="23">
        <f t="shared" si="884"/>
        <v>13129</v>
      </c>
      <c r="AJP41" s="23">
        <f t="shared" si="884"/>
        <v>63</v>
      </c>
      <c r="AJQ41" s="23">
        <f t="shared" ref="AJQ41:AKA41" si="885">((AJQ32+AJQ33)*2)+AJQ34+AJQ35</f>
        <v>0</v>
      </c>
      <c r="AJR41" s="23">
        <f t="shared" si="885"/>
        <v>0</v>
      </c>
      <c r="AJS41" s="23">
        <f t="shared" si="885"/>
        <v>4373</v>
      </c>
      <c r="AJT41" s="23">
        <f t="shared" si="885"/>
        <v>0</v>
      </c>
      <c r="AJU41" s="23">
        <f t="shared" si="885"/>
        <v>20316</v>
      </c>
      <c r="AJV41" s="23">
        <f t="shared" si="885"/>
        <v>44798</v>
      </c>
      <c r="AJW41" s="23">
        <f t="shared" si="885"/>
        <v>0</v>
      </c>
      <c r="AJX41" s="23">
        <f t="shared" si="885"/>
        <v>0</v>
      </c>
      <c r="AJY41" s="23">
        <f t="shared" si="885"/>
        <v>35280</v>
      </c>
      <c r="AJZ41" s="23">
        <f t="shared" si="885"/>
        <v>11074</v>
      </c>
      <c r="AKA41" s="23">
        <f t="shared" si="885"/>
        <v>26531</v>
      </c>
      <c r="AKB41" s="23">
        <f>((AKB32+AKB33)*2)+AKB34+AKB35</f>
        <v>15451</v>
      </c>
      <c r="AKC41" s="23">
        <f>((AKC32+AKC33)*2)+AKC34+AKC35</f>
        <v>64517</v>
      </c>
      <c r="AKD41" s="23">
        <f t="shared" ref="AKB41:AKK41" si="886">((AKD32+AKD33)*2)+AKD34+AKD35</f>
        <v>45</v>
      </c>
      <c r="AKE41" s="23">
        <f t="shared" si="886"/>
        <v>0</v>
      </c>
      <c r="AKF41" s="23">
        <f t="shared" si="886"/>
        <v>168</v>
      </c>
      <c r="AKG41" s="23">
        <f t="shared" si="886"/>
        <v>0</v>
      </c>
      <c r="AKH41" s="23">
        <f t="shared" si="886"/>
        <v>0</v>
      </c>
      <c r="AKI41" s="23">
        <f t="shared" si="886"/>
        <v>0</v>
      </c>
      <c r="AKJ41" s="23">
        <f t="shared" si="886"/>
        <v>0</v>
      </c>
      <c r="AKK41" s="23">
        <f t="shared" si="886"/>
        <v>0</v>
      </c>
    </row>
    <row r="42" spans="1:973"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</row>
    <row r="43" spans="1:973"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</row>
    <row r="44" spans="1:973"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I44" s="23"/>
      <c r="MH44" s="29"/>
    </row>
    <row r="45" spans="1:973"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MH45" s="29"/>
      <c r="MI45" s="66"/>
    </row>
    <row r="46" spans="1:973"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XY46" s="79"/>
      <c r="ACR46" s="131"/>
    </row>
    <row r="47" spans="1:973"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XY47" s="79"/>
      <c r="ACR47" s="131"/>
    </row>
    <row r="48" spans="1:973"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YM48" s="79"/>
      <c r="ZF48" s="79"/>
      <c r="ACR48" s="131"/>
    </row>
    <row r="49" spans="11:682"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YH49" s="79"/>
    </row>
    <row r="50" spans="11:682"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</row>
    <row r="51" spans="11:682"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</row>
    <row r="52" spans="11:682"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</row>
    <row r="53" spans="11:682"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XY53" s="79"/>
    </row>
    <row r="54" spans="11:682"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</row>
    <row r="55" spans="11:682"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ZF55" s="79"/>
    </row>
    <row r="56" spans="11:682"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</row>
    <row r="57" spans="11:682"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</row>
    <row r="58" spans="11:682"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</row>
    <row r="59" spans="11:682"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</row>
    <row r="60" spans="11:682"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</row>
    <row r="61" spans="11:682"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</row>
    <row r="62" spans="11:682"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</row>
    <row r="63" spans="11:682"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</row>
    <row r="64" spans="11:682"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</row>
    <row r="65" spans="11:78"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</row>
    <row r="66" spans="11:78"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</row>
    <row r="67" spans="11:78"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</row>
    <row r="68" spans="11:78"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</row>
  </sheetData>
  <phoneticPr fontId="9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714DD-523F-4638-9E7E-242A72EC2A04}">
  <sheetPr>
    <tabColor theme="4" tint="-0.249977111117893"/>
  </sheetPr>
  <dimension ref="A1:ALV62"/>
  <sheetViews>
    <sheetView showGridLines="0" zoomScale="70" zoomScaleNormal="70" workbookViewId="0">
      <pane xSplit="10" ySplit="2" topLeftCell="AIA21" activePane="bottomRight" state="frozen"/>
      <selection pane="topRight" activeCell="K1" sqref="K1"/>
      <selection pane="bottomLeft" activeCell="A3" sqref="A3"/>
      <selection pane="bottomRight" activeCell="ALT23" sqref="ALT23"/>
    </sheetView>
  </sheetViews>
  <sheetFormatPr defaultRowHeight="14.5" outlineLevelCol="1"/>
  <cols>
    <col min="1" max="1" width="3.26953125" bestFit="1" customWidth="1"/>
    <col min="2" max="2" width="10.08984375" bestFit="1" customWidth="1"/>
    <col min="3" max="3" width="10.36328125" bestFit="1" customWidth="1"/>
    <col min="4" max="4" width="13.90625" bestFit="1" customWidth="1"/>
    <col min="5" max="5" width="31.7265625" style="1" customWidth="1"/>
    <col min="6" max="6" width="15.08984375" style="1" bestFit="1" customWidth="1" outlineLevel="1"/>
    <col min="7" max="7" width="11.08984375" style="1" bestFit="1" customWidth="1" outlineLevel="1"/>
    <col min="8" max="8" width="26.90625" style="1" bestFit="1" customWidth="1" outlineLevel="1"/>
    <col min="9" max="9" width="16.36328125" style="1" bestFit="1" customWidth="1" outlineLevel="1"/>
    <col min="10" max="10" width="11.08984375" bestFit="1" customWidth="1"/>
    <col min="11" max="346" width="16.36328125" bestFit="1" customWidth="1"/>
    <col min="347" max="700" width="11" bestFit="1" customWidth="1"/>
    <col min="701" max="701" width="12.26953125" bestFit="1" customWidth="1"/>
    <col min="702" max="703" width="11" bestFit="1" customWidth="1"/>
    <col min="704" max="704" width="10.6328125" bestFit="1" customWidth="1"/>
    <col min="705" max="707" width="11" bestFit="1" customWidth="1"/>
    <col min="708" max="719" width="10.6328125" bestFit="1" customWidth="1"/>
    <col min="720" max="750" width="10.36328125" bestFit="1" customWidth="1"/>
    <col min="751" max="771" width="10.90625" bestFit="1" customWidth="1"/>
    <col min="772" max="774" width="10.36328125" bestFit="1" customWidth="1"/>
    <col min="775" max="780" width="10.90625" bestFit="1" customWidth="1"/>
    <col min="781" max="802" width="12.90625" bestFit="1" customWidth="1"/>
    <col min="803" max="803" width="10.90625" bestFit="1" customWidth="1"/>
    <col min="804" max="809" width="10.36328125" bestFit="1" customWidth="1"/>
    <col min="810" max="810" width="10.90625" bestFit="1" customWidth="1"/>
    <col min="811" max="811" width="10.36328125" bestFit="1" customWidth="1"/>
    <col min="812" max="814" width="11.453125" bestFit="1" customWidth="1"/>
    <col min="815" max="825" width="10.90625" bestFit="1" customWidth="1"/>
    <col min="826" max="826" width="9.90625" bestFit="1" customWidth="1"/>
    <col min="827" max="837" width="10.90625" bestFit="1" customWidth="1"/>
    <col min="838" max="841" width="8.7265625" bestFit="1" customWidth="1"/>
    <col min="842" max="861" width="10.6328125" bestFit="1" customWidth="1"/>
    <col min="862" max="870" width="8.7265625" bestFit="1" customWidth="1"/>
    <col min="871" max="875" width="10.90625" bestFit="1" customWidth="1"/>
    <col min="876" max="876" width="12.26953125" bestFit="1" customWidth="1"/>
    <col min="877" max="879" width="10.90625" bestFit="1" customWidth="1"/>
    <col min="880" max="890" width="9.90625" bestFit="1" customWidth="1"/>
    <col min="891" max="893" width="10.6328125" bestFit="1" customWidth="1"/>
    <col min="894" max="901" width="8.7265625" bestFit="1" customWidth="1"/>
    <col min="902" max="902" width="10.6328125" bestFit="1" customWidth="1"/>
    <col min="903" max="914" width="9.90625" bestFit="1" customWidth="1"/>
    <col min="915" max="922" width="10.6328125" bestFit="1" customWidth="1"/>
    <col min="923" max="931" width="8.7265625" bestFit="1" customWidth="1"/>
    <col min="932" max="933" width="10.6328125" bestFit="1" customWidth="1"/>
    <col min="934" max="972" width="10.90625" customWidth="1"/>
    <col min="973" max="973" width="9.81640625" bestFit="1" customWidth="1"/>
    <col min="993" max="994" width="9.81640625" bestFit="1" customWidth="1"/>
    <col min="1010" max="1010" width="9.81640625" bestFit="1" customWidth="1"/>
  </cols>
  <sheetData>
    <row r="1" spans="1:1010" s="59" customFormat="1" ht="26.25" customHeight="1">
      <c r="C1" s="60" t="s">
        <v>0</v>
      </c>
      <c r="D1" s="60" t="s">
        <v>1</v>
      </c>
      <c r="E1" s="60" t="s">
        <v>2</v>
      </c>
      <c r="F1" s="60" t="s">
        <v>3</v>
      </c>
      <c r="G1" s="60" t="s">
        <v>4</v>
      </c>
      <c r="H1" s="60" t="s">
        <v>5</v>
      </c>
      <c r="I1" s="60" t="s">
        <v>6</v>
      </c>
      <c r="J1" s="60" t="s">
        <v>7</v>
      </c>
      <c r="K1" s="61">
        <v>45231</v>
      </c>
      <c r="L1" s="61">
        <v>45232</v>
      </c>
      <c r="M1" s="61">
        <v>45233</v>
      </c>
      <c r="N1" s="61">
        <v>45234</v>
      </c>
      <c r="O1" s="61">
        <v>45235</v>
      </c>
      <c r="P1" s="61">
        <v>45236</v>
      </c>
      <c r="Q1" s="61">
        <v>45237</v>
      </c>
      <c r="R1" s="61">
        <v>45238</v>
      </c>
      <c r="S1" s="61">
        <v>45239</v>
      </c>
      <c r="T1" s="61">
        <v>45240</v>
      </c>
      <c r="U1" s="61">
        <v>45241</v>
      </c>
      <c r="V1" s="61">
        <v>45242</v>
      </c>
      <c r="W1" s="61">
        <v>45243</v>
      </c>
      <c r="X1" s="61">
        <v>45244</v>
      </c>
      <c r="Y1" s="61">
        <v>45245</v>
      </c>
      <c r="Z1" s="61">
        <v>45246</v>
      </c>
      <c r="AA1" s="61">
        <v>45247</v>
      </c>
      <c r="AB1" s="61">
        <v>45248</v>
      </c>
      <c r="AC1" s="61">
        <v>45249</v>
      </c>
      <c r="AD1" s="61">
        <v>45250</v>
      </c>
      <c r="AE1" s="61">
        <v>45251</v>
      </c>
      <c r="AF1" s="61">
        <v>45252</v>
      </c>
      <c r="AG1" s="61">
        <v>45253</v>
      </c>
      <c r="AH1" s="61">
        <v>45254</v>
      </c>
      <c r="AI1" s="61">
        <v>45255</v>
      </c>
      <c r="AJ1" s="61">
        <v>45256</v>
      </c>
      <c r="AK1" s="61">
        <v>45257</v>
      </c>
      <c r="AL1" s="61">
        <v>45258</v>
      </c>
      <c r="AM1" s="61">
        <v>45259</v>
      </c>
      <c r="AN1" s="61">
        <v>45260</v>
      </c>
      <c r="AO1" s="61">
        <f t="shared" ref="AO1" si="0">AN1+1</f>
        <v>45261</v>
      </c>
      <c r="AP1" s="61">
        <f t="shared" ref="AP1" si="1">AO1+1</f>
        <v>45262</v>
      </c>
      <c r="AQ1" s="61">
        <f t="shared" ref="AQ1" si="2">AP1+1</f>
        <v>45263</v>
      </c>
      <c r="AR1" s="61">
        <f t="shared" ref="AR1" si="3">AQ1+1</f>
        <v>45264</v>
      </c>
      <c r="AS1" s="61">
        <f t="shared" ref="AS1" si="4">AR1+1</f>
        <v>45265</v>
      </c>
      <c r="AT1" s="61">
        <f t="shared" ref="AT1" si="5">AS1+1</f>
        <v>45266</v>
      </c>
      <c r="AU1" s="61">
        <f t="shared" ref="AU1" si="6">AT1+1</f>
        <v>45267</v>
      </c>
      <c r="AV1" s="61">
        <f t="shared" ref="AV1" si="7">AU1+1</f>
        <v>45268</v>
      </c>
      <c r="AW1" s="61">
        <f t="shared" ref="AW1" si="8">AV1+1</f>
        <v>45269</v>
      </c>
      <c r="AX1" s="61">
        <f t="shared" ref="AX1" si="9">AW1+1</f>
        <v>45270</v>
      </c>
      <c r="AY1" s="61">
        <f t="shared" ref="AY1" si="10">AX1+1</f>
        <v>45271</v>
      </c>
      <c r="AZ1" s="61">
        <f t="shared" ref="AZ1" si="11">AY1+1</f>
        <v>45272</v>
      </c>
      <c r="BA1" s="61">
        <f t="shared" ref="BA1" si="12">AZ1+1</f>
        <v>45273</v>
      </c>
      <c r="BB1" s="61">
        <f t="shared" ref="BB1" si="13">BA1+1</f>
        <v>45274</v>
      </c>
      <c r="BC1" s="61">
        <f t="shared" ref="BC1" si="14">BB1+1</f>
        <v>45275</v>
      </c>
      <c r="BD1" s="61">
        <f t="shared" ref="BD1" si="15">BC1+1</f>
        <v>45276</v>
      </c>
      <c r="BE1" s="61">
        <f t="shared" ref="BE1" si="16">BD1+1</f>
        <v>45277</v>
      </c>
      <c r="BF1" s="61">
        <f t="shared" ref="BF1" si="17">BE1+1</f>
        <v>45278</v>
      </c>
      <c r="BG1" s="61">
        <f t="shared" ref="BG1" si="18">BF1+1</f>
        <v>45279</v>
      </c>
      <c r="BH1" s="61">
        <f t="shared" ref="BH1" si="19">BG1+1</f>
        <v>45280</v>
      </c>
      <c r="BI1" s="61">
        <f t="shared" ref="BI1" si="20">BH1+1</f>
        <v>45281</v>
      </c>
      <c r="BJ1" s="61">
        <f t="shared" ref="BJ1" si="21">BI1+1</f>
        <v>45282</v>
      </c>
      <c r="BK1" s="61">
        <f t="shared" ref="BK1" si="22">BJ1+1</f>
        <v>45283</v>
      </c>
      <c r="BL1" s="61">
        <f t="shared" ref="BL1" si="23">BK1+1</f>
        <v>45284</v>
      </c>
      <c r="BM1" s="61">
        <f t="shared" ref="BM1" si="24">BL1+1</f>
        <v>45285</v>
      </c>
      <c r="BN1" s="61">
        <f t="shared" ref="BN1" si="25">BM1+1</f>
        <v>45286</v>
      </c>
      <c r="BO1" s="61">
        <f t="shared" ref="BO1" si="26">BN1+1</f>
        <v>45287</v>
      </c>
      <c r="BP1" s="61">
        <f t="shared" ref="BP1" si="27">BO1+1</f>
        <v>45288</v>
      </c>
      <c r="BQ1" s="61">
        <f t="shared" ref="BQ1" si="28">BP1+1</f>
        <v>45289</v>
      </c>
      <c r="BR1" s="61">
        <f t="shared" ref="BR1" si="29">BQ1+1</f>
        <v>45290</v>
      </c>
      <c r="BS1" s="61">
        <f t="shared" ref="BS1" si="30">BR1+1</f>
        <v>45291</v>
      </c>
      <c r="BT1" s="61">
        <f t="shared" ref="BT1" si="31">BS1+1</f>
        <v>45292</v>
      </c>
      <c r="BU1" s="61">
        <f t="shared" ref="BU1" si="32">BT1+1</f>
        <v>45293</v>
      </c>
      <c r="BV1" s="61">
        <f t="shared" ref="BV1" si="33">BU1+1</f>
        <v>45294</v>
      </c>
      <c r="BW1" s="61">
        <f t="shared" ref="BW1" si="34">BV1+1</f>
        <v>45295</v>
      </c>
      <c r="BX1" s="61">
        <f t="shared" ref="BX1" si="35">BW1+1</f>
        <v>45296</v>
      </c>
      <c r="BY1" s="61">
        <f t="shared" ref="BY1" si="36">BX1+1</f>
        <v>45297</v>
      </c>
      <c r="BZ1" s="61">
        <f t="shared" ref="BZ1" si="37">BY1+1</f>
        <v>45298</v>
      </c>
      <c r="CA1" s="61">
        <f t="shared" ref="CA1" si="38">BZ1+1</f>
        <v>45299</v>
      </c>
      <c r="CB1" s="61">
        <f t="shared" ref="CB1" si="39">CA1+1</f>
        <v>45300</v>
      </c>
      <c r="CC1" s="61">
        <f t="shared" ref="CC1" si="40">CB1+1</f>
        <v>45301</v>
      </c>
      <c r="CD1" s="61">
        <f t="shared" ref="CD1" si="41">CC1+1</f>
        <v>45302</v>
      </c>
      <c r="CE1" s="61">
        <f t="shared" ref="CE1" si="42">CD1+1</f>
        <v>45303</v>
      </c>
      <c r="CF1" s="61">
        <f t="shared" ref="CF1" si="43">CE1+1</f>
        <v>45304</v>
      </c>
      <c r="CG1" s="61">
        <f t="shared" ref="CG1" si="44">CF1+1</f>
        <v>45305</v>
      </c>
      <c r="CH1" s="61">
        <f t="shared" ref="CH1" si="45">CG1+1</f>
        <v>45306</v>
      </c>
      <c r="CI1" s="61">
        <f t="shared" ref="CI1" si="46">CH1+1</f>
        <v>45307</v>
      </c>
      <c r="CJ1" s="61">
        <f t="shared" ref="CJ1" si="47">CI1+1</f>
        <v>45308</v>
      </c>
      <c r="CK1" s="61">
        <f t="shared" ref="CK1" si="48">CJ1+1</f>
        <v>45309</v>
      </c>
      <c r="CL1" s="61">
        <f t="shared" ref="CL1" si="49">CK1+1</f>
        <v>45310</v>
      </c>
      <c r="CM1" s="61">
        <f t="shared" ref="CM1" si="50">CL1+1</f>
        <v>45311</v>
      </c>
      <c r="CN1" s="61">
        <f t="shared" ref="CN1" si="51">CM1+1</f>
        <v>45312</v>
      </c>
      <c r="CO1" s="61">
        <f t="shared" ref="CO1" si="52">CN1+1</f>
        <v>45313</v>
      </c>
      <c r="CP1" s="61">
        <f t="shared" ref="CP1" si="53">CO1+1</f>
        <v>45314</v>
      </c>
      <c r="CQ1" s="61">
        <f t="shared" ref="CQ1" si="54">CP1+1</f>
        <v>45315</v>
      </c>
      <c r="CR1" s="61">
        <f t="shared" ref="CR1" si="55">CQ1+1</f>
        <v>45316</v>
      </c>
      <c r="CS1" s="61">
        <f t="shared" ref="CS1" si="56">CR1+1</f>
        <v>45317</v>
      </c>
      <c r="CT1" s="61">
        <f t="shared" ref="CT1" si="57">CS1+1</f>
        <v>45318</v>
      </c>
      <c r="CU1" s="61">
        <f t="shared" ref="CU1" si="58">CT1+1</f>
        <v>45319</v>
      </c>
      <c r="CV1" s="61">
        <f t="shared" ref="CV1" si="59">CU1+1</f>
        <v>45320</v>
      </c>
      <c r="CW1" s="61">
        <f t="shared" ref="CW1" si="60">CV1+1</f>
        <v>45321</v>
      </c>
      <c r="CX1" s="61">
        <f t="shared" ref="CX1:EC1" si="61">CW1+1</f>
        <v>45322</v>
      </c>
      <c r="CY1" s="61">
        <f t="shared" si="61"/>
        <v>45323</v>
      </c>
      <c r="CZ1" s="61">
        <f t="shared" si="61"/>
        <v>45324</v>
      </c>
      <c r="DA1" s="61">
        <f t="shared" si="61"/>
        <v>45325</v>
      </c>
      <c r="DB1" s="61">
        <f t="shared" si="61"/>
        <v>45326</v>
      </c>
      <c r="DC1" s="61">
        <f t="shared" si="61"/>
        <v>45327</v>
      </c>
      <c r="DD1" s="61">
        <f t="shared" si="61"/>
        <v>45328</v>
      </c>
      <c r="DE1" s="61">
        <f t="shared" si="61"/>
        <v>45329</v>
      </c>
      <c r="DF1" s="61">
        <f t="shared" si="61"/>
        <v>45330</v>
      </c>
      <c r="DG1" s="61">
        <f t="shared" si="61"/>
        <v>45331</v>
      </c>
      <c r="DH1" s="61">
        <f t="shared" si="61"/>
        <v>45332</v>
      </c>
      <c r="DI1" s="61">
        <f t="shared" si="61"/>
        <v>45333</v>
      </c>
      <c r="DJ1" s="61">
        <f t="shared" si="61"/>
        <v>45334</v>
      </c>
      <c r="DK1" s="61">
        <f t="shared" si="61"/>
        <v>45335</v>
      </c>
      <c r="DL1" s="61">
        <f t="shared" si="61"/>
        <v>45336</v>
      </c>
      <c r="DM1" s="61">
        <f t="shared" si="61"/>
        <v>45337</v>
      </c>
      <c r="DN1" s="61">
        <f t="shared" si="61"/>
        <v>45338</v>
      </c>
      <c r="DO1" s="61">
        <f t="shared" si="61"/>
        <v>45339</v>
      </c>
      <c r="DP1" s="61">
        <f t="shared" si="61"/>
        <v>45340</v>
      </c>
      <c r="DQ1" s="61">
        <f t="shared" si="61"/>
        <v>45341</v>
      </c>
      <c r="DR1" s="61">
        <f t="shared" si="61"/>
        <v>45342</v>
      </c>
      <c r="DS1" s="61">
        <f t="shared" si="61"/>
        <v>45343</v>
      </c>
      <c r="DT1" s="61">
        <f t="shared" si="61"/>
        <v>45344</v>
      </c>
      <c r="DU1" s="61">
        <f t="shared" si="61"/>
        <v>45345</v>
      </c>
      <c r="DV1" s="61">
        <f t="shared" si="61"/>
        <v>45346</v>
      </c>
      <c r="DW1" s="61">
        <f t="shared" si="61"/>
        <v>45347</v>
      </c>
      <c r="DX1" s="61">
        <f t="shared" si="61"/>
        <v>45348</v>
      </c>
      <c r="DY1" s="61">
        <f t="shared" si="61"/>
        <v>45349</v>
      </c>
      <c r="DZ1" s="61">
        <f t="shared" si="61"/>
        <v>45350</v>
      </c>
      <c r="EA1" s="61">
        <f t="shared" si="61"/>
        <v>45351</v>
      </c>
      <c r="EB1" s="61">
        <f t="shared" si="61"/>
        <v>45352</v>
      </c>
      <c r="EC1" s="61">
        <f t="shared" si="61"/>
        <v>45353</v>
      </c>
      <c r="ED1" s="61">
        <f t="shared" ref="ED1:EV1" si="62">EC1+1</f>
        <v>45354</v>
      </c>
      <c r="EE1" s="61">
        <f t="shared" si="62"/>
        <v>45355</v>
      </c>
      <c r="EF1" s="61">
        <f t="shared" si="62"/>
        <v>45356</v>
      </c>
      <c r="EG1" s="61">
        <f t="shared" si="62"/>
        <v>45357</v>
      </c>
      <c r="EH1" s="61">
        <f t="shared" si="62"/>
        <v>45358</v>
      </c>
      <c r="EI1" s="61">
        <f t="shared" si="62"/>
        <v>45359</v>
      </c>
      <c r="EJ1" s="61">
        <f t="shared" si="62"/>
        <v>45360</v>
      </c>
      <c r="EK1" s="61">
        <f t="shared" si="62"/>
        <v>45361</v>
      </c>
      <c r="EL1" s="61">
        <f t="shared" si="62"/>
        <v>45362</v>
      </c>
      <c r="EM1" s="61">
        <f t="shared" si="62"/>
        <v>45363</v>
      </c>
      <c r="EN1" s="61">
        <f t="shared" si="62"/>
        <v>45364</v>
      </c>
      <c r="EO1" s="61">
        <f t="shared" si="62"/>
        <v>45365</v>
      </c>
      <c r="EP1" s="61">
        <f t="shared" si="62"/>
        <v>45366</v>
      </c>
      <c r="EQ1" s="61">
        <f t="shared" si="62"/>
        <v>45367</v>
      </c>
      <c r="ER1" s="61">
        <f t="shared" si="62"/>
        <v>45368</v>
      </c>
      <c r="ES1" s="61">
        <f t="shared" si="62"/>
        <v>45369</v>
      </c>
      <c r="ET1" s="61">
        <f t="shared" si="62"/>
        <v>45370</v>
      </c>
      <c r="EU1" s="61">
        <f t="shared" si="62"/>
        <v>45371</v>
      </c>
      <c r="EV1" s="61">
        <f t="shared" si="62"/>
        <v>45372</v>
      </c>
      <c r="EW1" s="61">
        <f t="shared" ref="EW1:FV1" si="63">EV1+1</f>
        <v>45373</v>
      </c>
      <c r="EX1" s="61">
        <f t="shared" si="63"/>
        <v>45374</v>
      </c>
      <c r="EY1" s="61">
        <f t="shared" si="63"/>
        <v>45375</v>
      </c>
      <c r="EZ1" s="61">
        <f t="shared" si="63"/>
        <v>45376</v>
      </c>
      <c r="FA1" s="61">
        <f t="shared" si="63"/>
        <v>45377</v>
      </c>
      <c r="FB1" s="61">
        <f t="shared" si="63"/>
        <v>45378</v>
      </c>
      <c r="FC1" s="61">
        <f t="shared" si="63"/>
        <v>45379</v>
      </c>
      <c r="FD1" s="61">
        <f t="shared" si="63"/>
        <v>45380</v>
      </c>
      <c r="FE1" s="61">
        <f t="shared" si="63"/>
        <v>45381</v>
      </c>
      <c r="FF1" s="61">
        <f t="shared" si="63"/>
        <v>45382</v>
      </c>
      <c r="FG1" s="61">
        <f t="shared" si="63"/>
        <v>45383</v>
      </c>
      <c r="FH1" s="61">
        <f t="shared" si="63"/>
        <v>45384</v>
      </c>
      <c r="FI1" s="61">
        <f t="shared" si="63"/>
        <v>45385</v>
      </c>
      <c r="FJ1" s="61">
        <f t="shared" si="63"/>
        <v>45386</v>
      </c>
      <c r="FK1" s="61">
        <f t="shared" si="63"/>
        <v>45387</v>
      </c>
      <c r="FL1" s="61">
        <f t="shared" si="63"/>
        <v>45388</v>
      </c>
      <c r="FM1" s="61">
        <f t="shared" si="63"/>
        <v>45389</v>
      </c>
      <c r="FN1" s="61">
        <f t="shared" si="63"/>
        <v>45390</v>
      </c>
      <c r="FO1" s="61">
        <f t="shared" si="63"/>
        <v>45391</v>
      </c>
      <c r="FP1" s="61">
        <f t="shared" si="63"/>
        <v>45392</v>
      </c>
      <c r="FQ1" s="61">
        <f t="shared" si="63"/>
        <v>45393</v>
      </c>
      <c r="FR1" s="61">
        <f t="shared" si="63"/>
        <v>45394</v>
      </c>
      <c r="FS1" s="61">
        <f t="shared" si="63"/>
        <v>45395</v>
      </c>
      <c r="FT1" s="61">
        <f t="shared" si="63"/>
        <v>45396</v>
      </c>
      <c r="FU1" s="61">
        <f t="shared" si="63"/>
        <v>45397</v>
      </c>
      <c r="FV1" s="61">
        <f t="shared" si="63"/>
        <v>45398</v>
      </c>
      <c r="FW1" s="61">
        <f t="shared" ref="FW1:GT1" si="64">FV1+1</f>
        <v>45399</v>
      </c>
      <c r="FX1" s="61">
        <f t="shared" si="64"/>
        <v>45400</v>
      </c>
      <c r="FY1" s="61">
        <f t="shared" si="64"/>
        <v>45401</v>
      </c>
      <c r="FZ1" s="61">
        <f t="shared" si="64"/>
        <v>45402</v>
      </c>
      <c r="GA1" s="61">
        <f t="shared" si="64"/>
        <v>45403</v>
      </c>
      <c r="GB1" s="61">
        <f t="shared" si="64"/>
        <v>45404</v>
      </c>
      <c r="GC1" s="61">
        <f t="shared" si="64"/>
        <v>45405</v>
      </c>
      <c r="GD1" s="61">
        <f t="shared" si="64"/>
        <v>45406</v>
      </c>
      <c r="GE1" s="61">
        <f t="shared" si="64"/>
        <v>45407</v>
      </c>
      <c r="GF1" s="61">
        <f t="shared" si="64"/>
        <v>45408</v>
      </c>
      <c r="GG1" s="61">
        <f t="shared" si="64"/>
        <v>45409</v>
      </c>
      <c r="GH1" s="61">
        <f t="shared" si="64"/>
        <v>45410</v>
      </c>
      <c r="GI1" s="61">
        <f t="shared" si="64"/>
        <v>45411</v>
      </c>
      <c r="GJ1" s="61">
        <f t="shared" si="64"/>
        <v>45412</v>
      </c>
      <c r="GK1" s="61">
        <f t="shared" si="64"/>
        <v>45413</v>
      </c>
      <c r="GL1" s="61">
        <f t="shared" si="64"/>
        <v>45414</v>
      </c>
      <c r="GM1" s="61">
        <f t="shared" si="64"/>
        <v>45415</v>
      </c>
      <c r="GN1" s="61">
        <f t="shared" si="64"/>
        <v>45416</v>
      </c>
      <c r="GO1" s="61">
        <f t="shared" si="64"/>
        <v>45417</v>
      </c>
      <c r="GP1" s="61">
        <f t="shared" si="64"/>
        <v>45418</v>
      </c>
      <c r="GQ1" s="61">
        <f t="shared" si="64"/>
        <v>45419</v>
      </c>
      <c r="GR1" s="61">
        <f t="shared" si="64"/>
        <v>45420</v>
      </c>
      <c r="GS1" s="61">
        <f t="shared" si="64"/>
        <v>45421</v>
      </c>
      <c r="GT1" s="61">
        <f t="shared" si="64"/>
        <v>45422</v>
      </c>
      <c r="GU1" s="61">
        <f t="shared" ref="GU1" si="65">GT1+1</f>
        <v>45423</v>
      </c>
      <c r="GV1" s="61">
        <f t="shared" ref="GV1" si="66">GU1+1</f>
        <v>45424</v>
      </c>
      <c r="GW1" s="61">
        <f t="shared" ref="GW1" si="67">GV1+1</f>
        <v>45425</v>
      </c>
      <c r="GX1" s="61">
        <f t="shared" ref="GX1" si="68">GW1+1</f>
        <v>45426</v>
      </c>
      <c r="GY1" s="61">
        <f t="shared" ref="GY1" si="69">GX1+1</f>
        <v>45427</v>
      </c>
      <c r="GZ1" s="61">
        <f t="shared" ref="GZ1" si="70">GY1+1</f>
        <v>45428</v>
      </c>
      <c r="HA1" s="61">
        <f t="shared" ref="HA1" si="71">GZ1+1</f>
        <v>45429</v>
      </c>
      <c r="HB1" s="61">
        <f t="shared" ref="HB1" si="72">HA1+1</f>
        <v>45430</v>
      </c>
      <c r="HC1" s="61">
        <f t="shared" ref="HC1" si="73">HB1+1</f>
        <v>45431</v>
      </c>
      <c r="HD1" s="61">
        <f t="shared" ref="HD1" si="74">HC1+1</f>
        <v>45432</v>
      </c>
      <c r="HE1" s="61">
        <f t="shared" ref="HE1" si="75">HD1+1</f>
        <v>45433</v>
      </c>
      <c r="HF1" s="61">
        <f t="shared" ref="HF1" si="76">HE1+1</f>
        <v>45434</v>
      </c>
      <c r="HG1" s="61">
        <f t="shared" ref="HG1" si="77">HF1+1</f>
        <v>45435</v>
      </c>
      <c r="HH1" s="61">
        <f t="shared" ref="HH1" si="78">HG1+1</f>
        <v>45436</v>
      </c>
      <c r="HI1" s="61">
        <f t="shared" ref="HI1" si="79">HH1+1</f>
        <v>45437</v>
      </c>
      <c r="HJ1" s="61">
        <f t="shared" ref="HJ1" si="80">HI1+1</f>
        <v>45438</v>
      </c>
      <c r="HK1" s="61">
        <f t="shared" ref="HK1" si="81">HJ1+1</f>
        <v>45439</v>
      </c>
      <c r="HL1" s="61">
        <f t="shared" ref="HL1" si="82">HK1+1</f>
        <v>45440</v>
      </c>
      <c r="HM1" s="61">
        <f t="shared" ref="HM1" si="83">HL1+1</f>
        <v>45441</v>
      </c>
      <c r="HN1" s="61">
        <f t="shared" ref="HN1" si="84">HM1+1</f>
        <v>45442</v>
      </c>
      <c r="HO1" s="61">
        <f t="shared" ref="HO1" si="85">HN1+1</f>
        <v>45443</v>
      </c>
      <c r="HP1" s="61">
        <f t="shared" ref="HP1" si="86">HO1+1</f>
        <v>45444</v>
      </c>
      <c r="HQ1" s="61">
        <f t="shared" ref="HQ1" si="87">HP1+1</f>
        <v>45445</v>
      </c>
      <c r="HR1" s="61">
        <f t="shared" ref="HR1" si="88">HQ1+1</f>
        <v>45446</v>
      </c>
      <c r="HS1" s="61">
        <f t="shared" ref="HS1" si="89">HR1+1</f>
        <v>45447</v>
      </c>
      <c r="HT1" s="61">
        <f t="shared" ref="HT1" si="90">HS1+1</f>
        <v>45448</v>
      </c>
      <c r="HU1" s="61">
        <f t="shared" ref="HU1" si="91">HT1+1</f>
        <v>45449</v>
      </c>
      <c r="HV1" s="61">
        <f t="shared" ref="HV1" si="92">HU1+1</f>
        <v>45450</v>
      </c>
      <c r="HW1" s="61">
        <f t="shared" ref="HW1" si="93">HV1+1</f>
        <v>45451</v>
      </c>
      <c r="HX1" s="61">
        <f t="shared" ref="HX1" si="94">HW1+1</f>
        <v>45452</v>
      </c>
      <c r="HY1" s="61">
        <f t="shared" ref="HY1" si="95">HX1+1</f>
        <v>45453</v>
      </c>
      <c r="HZ1" s="61">
        <f t="shared" ref="HZ1" si="96">HY1+1</f>
        <v>45454</v>
      </c>
      <c r="IA1" s="61">
        <f t="shared" ref="IA1" si="97">HZ1+1</f>
        <v>45455</v>
      </c>
      <c r="IB1" s="61">
        <f t="shared" ref="IB1" si="98">IA1+1</f>
        <v>45456</v>
      </c>
      <c r="IC1" s="61">
        <f t="shared" ref="IC1" si="99">IB1+1</f>
        <v>45457</v>
      </c>
      <c r="ID1" s="61">
        <f t="shared" ref="ID1" si="100">IC1+1</f>
        <v>45458</v>
      </c>
      <c r="IE1" s="61">
        <f t="shared" ref="IE1" si="101">ID1+1</f>
        <v>45459</v>
      </c>
      <c r="IF1" s="61">
        <f t="shared" ref="IF1" si="102">IE1+1</f>
        <v>45460</v>
      </c>
      <c r="IG1" s="61">
        <f t="shared" ref="IG1" si="103">IF1+1</f>
        <v>45461</v>
      </c>
      <c r="IH1" s="61">
        <f t="shared" ref="IH1" si="104">IG1+1</f>
        <v>45462</v>
      </c>
      <c r="II1" s="61">
        <f t="shared" ref="II1" si="105">IH1+1</f>
        <v>45463</v>
      </c>
      <c r="IJ1" s="61">
        <f t="shared" ref="IJ1" si="106">II1+1</f>
        <v>45464</v>
      </c>
      <c r="IK1" s="61">
        <f t="shared" ref="IK1" si="107">IJ1+1</f>
        <v>45465</v>
      </c>
      <c r="IL1" s="61">
        <f t="shared" ref="IL1" si="108">IK1+1</f>
        <v>45466</v>
      </c>
      <c r="IM1" s="61">
        <f t="shared" ref="IM1" si="109">IL1+1</f>
        <v>45467</v>
      </c>
      <c r="IN1" s="61">
        <f t="shared" ref="IN1" si="110">IM1+1</f>
        <v>45468</v>
      </c>
      <c r="IO1" s="61">
        <f t="shared" ref="IO1" si="111">IN1+1</f>
        <v>45469</v>
      </c>
      <c r="IP1" s="61">
        <f t="shared" ref="IP1" si="112">IO1+1</f>
        <v>45470</v>
      </c>
      <c r="IQ1" s="61">
        <f t="shared" ref="IQ1" si="113">IP1+1</f>
        <v>45471</v>
      </c>
      <c r="IR1" s="61">
        <f t="shared" ref="IR1" si="114">IQ1+1</f>
        <v>45472</v>
      </c>
      <c r="IS1" s="61">
        <f t="shared" ref="IS1" si="115">IR1+1</f>
        <v>45473</v>
      </c>
      <c r="IT1" s="62">
        <f t="shared" ref="IT1" si="116">IS1+1</f>
        <v>45474</v>
      </c>
      <c r="IU1" s="61">
        <f t="shared" ref="IU1" si="117">IT1+1</f>
        <v>45475</v>
      </c>
      <c r="IV1" s="61">
        <f t="shared" ref="IV1" si="118">IU1+1</f>
        <v>45476</v>
      </c>
      <c r="IW1" s="61">
        <f t="shared" ref="IW1" si="119">IV1+1</f>
        <v>45477</v>
      </c>
      <c r="IX1" s="61">
        <f t="shared" ref="IX1" si="120">IW1+1</f>
        <v>45478</v>
      </c>
      <c r="IY1" s="61">
        <f t="shared" ref="IY1" si="121">IX1+1</f>
        <v>45479</v>
      </c>
      <c r="IZ1" s="61">
        <f t="shared" ref="IZ1" si="122">IY1+1</f>
        <v>45480</v>
      </c>
      <c r="JA1" s="61">
        <f t="shared" ref="JA1" si="123">IZ1+1</f>
        <v>45481</v>
      </c>
      <c r="JB1" s="61">
        <f t="shared" ref="JB1" si="124">JA1+1</f>
        <v>45482</v>
      </c>
      <c r="JC1" s="61">
        <f t="shared" ref="JC1" si="125">JB1+1</f>
        <v>45483</v>
      </c>
      <c r="JD1" s="61">
        <f t="shared" ref="JD1" si="126">JC1+1</f>
        <v>45484</v>
      </c>
      <c r="JE1" s="61">
        <f t="shared" ref="JE1" si="127">JD1+1</f>
        <v>45485</v>
      </c>
      <c r="JF1" s="61">
        <f t="shared" ref="JF1" si="128">JE1+1</f>
        <v>45486</v>
      </c>
      <c r="JG1" s="61">
        <f t="shared" ref="JG1" si="129">JF1+1</f>
        <v>45487</v>
      </c>
      <c r="JH1" s="61">
        <f t="shared" ref="JH1" si="130">JG1+1</f>
        <v>45488</v>
      </c>
      <c r="JI1" s="61">
        <f t="shared" ref="JI1" si="131">JH1+1</f>
        <v>45489</v>
      </c>
      <c r="JJ1" s="61">
        <f t="shared" ref="JJ1" si="132">JI1+1</f>
        <v>45490</v>
      </c>
      <c r="JK1" s="61">
        <f t="shared" ref="JK1" si="133">JJ1+1</f>
        <v>45491</v>
      </c>
      <c r="JL1" s="61">
        <f t="shared" ref="JL1" si="134">JK1+1</f>
        <v>45492</v>
      </c>
      <c r="JM1" s="61">
        <f t="shared" ref="JM1" si="135">JL1+1</f>
        <v>45493</v>
      </c>
      <c r="JN1" s="61">
        <f t="shared" ref="JN1" si="136">JM1+1</f>
        <v>45494</v>
      </c>
      <c r="JO1" s="61">
        <f t="shared" ref="JO1" si="137">JN1+1</f>
        <v>45495</v>
      </c>
      <c r="JP1" s="61">
        <f t="shared" ref="JP1" si="138">JO1+1</f>
        <v>45496</v>
      </c>
      <c r="JQ1" s="61">
        <f t="shared" ref="JQ1" si="139">JP1+1</f>
        <v>45497</v>
      </c>
      <c r="JR1" s="61">
        <f t="shared" ref="JR1" si="140">JQ1+1</f>
        <v>45498</v>
      </c>
      <c r="JS1" s="61">
        <f t="shared" ref="JS1" si="141">JR1+1</f>
        <v>45499</v>
      </c>
      <c r="JT1" s="61">
        <f t="shared" ref="JT1" si="142">JS1+1</f>
        <v>45500</v>
      </c>
      <c r="JU1" s="61">
        <f t="shared" ref="JU1" si="143">JT1+1</f>
        <v>45501</v>
      </c>
      <c r="JV1" s="62">
        <f t="shared" ref="JV1" si="144">JU1+1</f>
        <v>45502</v>
      </c>
      <c r="JW1" s="62">
        <f t="shared" ref="JW1" si="145">JV1+1</f>
        <v>45503</v>
      </c>
      <c r="JX1" s="62">
        <f t="shared" ref="JX1" si="146">JW1+1</f>
        <v>45504</v>
      </c>
      <c r="JY1" s="61">
        <f t="shared" ref="JY1" si="147">JX1+1</f>
        <v>45505</v>
      </c>
      <c r="JZ1" s="61">
        <f t="shared" ref="JZ1" si="148">JY1+1</f>
        <v>45506</v>
      </c>
      <c r="KA1" s="61">
        <f t="shared" ref="KA1" si="149">JZ1+1</f>
        <v>45507</v>
      </c>
      <c r="KB1" s="61">
        <f t="shared" ref="KB1" si="150">KA1+1</f>
        <v>45508</v>
      </c>
      <c r="KC1" s="61">
        <f t="shared" ref="KC1" si="151">KB1+1</f>
        <v>45509</v>
      </c>
      <c r="KD1" s="61">
        <f t="shared" ref="KD1" si="152">KC1+1</f>
        <v>45510</v>
      </c>
      <c r="KE1" s="61">
        <f t="shared" ref="KE1" si="153">KD1+1</f>
        <v>45511</v>
      </c>
      <c r="KF1" s="61">
        <f t="shared" ref="KF1" si="154">KE1+1</f>
        <v>45512</v>
      </c>
      <c r="KG1" s="61">
        <f t="shared" ref="KG1" si="155">KF1+1</f>
        <v>45513</v>
      </c>
      <c r="KH1" s="61">
        <f t="shared" ref="KH1" si="156">KG1+1</f>
        <v>45514</v>
      </c>
      <c r="KI1" s="61">
        <f t="shared" ref="KI1" si="157">KH1+1</f>
        <v>45515</v>
      </c>
      <c r="KJ1" s="61">
        <f t="shared" ref="KJ1" si="158">KI1+1</f>
        <v>45516</v>
      </c>
      <c r="KK1" s="61">
        <f t="shared" ref="KK1" si="159">KJ1+1</f>
        <v>45517</v>
      </c>
      <c r="KL1" s="61">
        <f t="shared" ref="KL1" si="160">KK1+1</f>
        <v>45518</v>
      </c>
      <c r="KM1" s="61">
        <f t="shared" ref="KM1" si="161">KL1+1</f>
        <v>45519</v>
      </c>
      <c r="KN1" s="61">
        <f t="shared" ref="KN1" si="162">KM1+1</f>
        <v>45520</v>
      </c>
      <c r="KO1" s="61">
        <f t="shared" ref="KO1" si="163">KN1+1</f>
        <v>45521</v>
      </c>
      <c r="KP1" s="61">
        <f t="shared" ref="KP1" si="164">KO1+1</f>
        <v>45522</v>
      </c>
      <c r="KQ1" s="61">
        <f t="shared" ref="KQ1" si="165">KP1+1</f>
        <v>45523</v>
      </c>
      <c r="KR1" s="61">
        <f t="shared" ref="KR1" si="166">KQ1+1</f>
        <v>45524</v>
      </c>
      <c r="KS1" s="61">
        <f t="shared" ref="KS1" si="167">KR1+1</f>
        <v>45525</v>
      </c>
      <c r="KT1" s="61">
        <f t="shared" ref="KT1" si="168">KS1+1</f>
        <v>45526</v>
      </c>
      <c r="KU1" s="61">
        <f t="shared" ref="KU1" si="169">KT1+1</f>
        <v>45527</v>
      </c>
      <c r="KV1" s="61">
        <f t="shared" ref="KV1" si="170">KU1+1</f>
        <v>45528</v>
      </c>
      <c r="KW1" s="61">
        <f t="shared" ref="KW1" si="171">KV1+1</f>
        <v>45529</v>
      </c>
      <c r="KX1" s="61">
        <f t="shared" ref="KX1" si="172">KW1+1</f>
        <v>45530</v>
      </c>
      <c r="KY1" s="61">
        <f t="shared" ref="KY1" si="173">KX1+1</f>
        <v>45531</v>
      </c>
      <c r="KZ1" s="61">
        <f t="shared" ref="KZ1" si="174">KY1+1</f>
        <v>45532</v>
      </c>
      <c r="LA1" s="61">
        <f t="shared" ref="LA1" si="175">KZ1+1</f>
        <v>45533</v>
      </c>
      <c r="LB1" s="61">
        <f t="shared" ref="LB1" si="176">LA1+1</f>
        <v>45534</v>
      </c>
      <c r="LC1" s="61">
        <f t="shared" ref="LC1" si="177">LB1+1</f>
        <v>45535</v>
      </c>
      <c r="LD1" s="61">
        <f t="shared" ref="LD1" si="178">LC1+1</f>
        <v>45536</v>
      </c>
      <c r="LE1" s="61">
        <f t="shared" ref="LE1" si="179">LD1+1</f>
        <v>45537</v>
      </c>
      <c r="LF1" s="61">
        <f t="shared" ref="LF1" si="180">LE1+1</f>
        <v>45538</v>
      </c>
      <c r="LG1" s="61">
        <f t="shared" ref="LG1" si="181">LF1+1</f>
        <v>45539</v>
      </c>
      <c r="LH1" s="61">
        <f t="shared" ref="LH1" si="182">LG1+1</f>
        <v>45540</v>
      </c>
      <c r="LI1" s="61">
        <f t="shared" ref="LI1" si="183">LH1+1</f>
        <v>45541</v>
      </c>
      <c r="LJ1" s="61">
        <f t="shared" ref="LJ1" si="184">LI1+1</f>
        <v>45542</v>
      </c>
      <c r="LK1" s="61">
        <f t="shared" ref="LK1" si="185">LJ1+1</f>
        <v>45543</v>
      </c>
      <c r="LL1" s="61">
        <f t="shared" ref="LL1" si="186">LK1+1</f>
        <v>45544</v>
      </c>
      <c r="LM1" s="61">
        <f t="shared" ref="LM1" si="187">LL1+1</f>
        <v>45545</v>
      </c>
      <c r="LN1" s="61">
        <f t="shared" ref="LN1" si="188">LM1+1</f>
        <v>45546</v>
      </c>
      <c r="LO1" s="61">
        <f t="shared" ref="LO1" si="189">LN1+1</f>
        <v>45547</v>
      </c>
      <c r="LP1" s="61">
        <f t="shared" ref="LP1" si="190">LO1+1</f>
        <v>45548</v>
      </c>
      <c r="LQ1" s="61">
        <f t="shared" ref="LQ1" si="191">LP1+1</f>
        <v>45549</v>
      </c>
      <c r="LR1" s="61">
        <f t="shared" ref="LR1" si="192">LQ1+1</f>
        <v>45550</v>
      </c>
      <c r="LS1" s="61">
        <f t="shared" ref="LS1" si="193">LR1+1</f>
        <v>45551</v>
      </c>
      <c r="LT1" s="61">
        <f t="shared" ref="LT1" si="194">LS1+1</f>
        <v>45552</v>
      </c>
      <c r="LU1" s="61">
        <f t="shared" ref="LU1" si="195">LT1+1</f>
        <v>45553</v>
      </c>
      <c r="LV1" s="61">
        <f t="shared" ref="LV1" si="196">LU1+1</f>
        <v>45554</v>
      </c>
      <c r="LW1" s="61">
        <f t="shared" ref="LW1" si="197">LV1+1</f>
        <v>45555</v>
      </c>
      <c r="LX1" s="61">
        <f t="shared" ref="LX1" si="198">LW1+1</f>
        <v>45556</v>
      </c>
      <c r="LY1" s="61">
        <f t="shared" ref="LY1" si="199">LX1+1</f>
        <v>45557</v>
      </c>
      <c r="LZ1" s="61">
        <f t="shared" ref="LZ1" si="200">LY1+1</f>
        <v>45558</v>
      </c>
      <c r="MA1" s="61">
        <f t="shared" ref="MA1" si="201">LZ1+1</f>
        <v>45559</v>
      </c>
      <c r="MB1" s="61">
        <f t="shared" ref="MB1" si="202">MA1+1</f>
        <v>45560</v>
      </c>
      <c r="MC1" s="61">
        <f t="shared" ref="MC1" si="203">MB1+1</f>
        <v>45561</v>
      </c>
      <c r="MD1" s="61">
        <f t="shared" ref="MD1" si="204">MC1+1</f>
        <v>45562</v>
      </c>
      <c r="ME1" s="61">
        <f t="shared" ref="ME1" si="205">MD1+1</f>
        <v>45563</v>
      </c>
      <c r="MF1" s="61">
        <f t="shared" ref="MF1" si="206">ME1+1</f>
        <v>45564</v>
      </c>
      <c r="MG1" s="61">
        <f t="shared" ref="MG1" si="207">MF1+1</f>
        <v>45565</v>
      </c>
      <c r="MH1" s="61">
        <f t="shared" ref="MH1" si="208">MG1+1</f>
        <v>45566</v>
      </c>
      <c r="MI1" s="61">
        <f t="shared" ref="MI1:NB1" si="209">MH1+1</f>
        <v>45567</v>
      </c>
      <c r="MJ1" s="61">
        <f t="shared" si="209"/>
        <v>45568</v>
      </c>
      <c r="MK1" s="61">
        <f t="shared" si="209"/>
        <v>45569</v>
      </c>
      <c r="ML1" s="61">
        <f t="shared" si="209"/>
        <v>45570</v>
      </c>
      <c r="MM1" s="61">
        <f t="shared" si="209"/>
        <v>45571</v>
      </c>
      <c r="MN1" s="61">
        <f t="shared" si="209"/>
        <v>45572</v>
      </c>
      <c r="MO1" s="61">
        <f t="shared" si="209"/>
        <v>45573</v>
      </c>
      <c r="MP1" s="61">
        <f t="shared" si="209"/>
        <v>45574</v>
      </c>
      <c r="MQ1" s="61">
        <f t="shared" si="209"/>
        <v>45575</v>
      </c>
      <c r="MR1" s="61">
        <f t="shared" si="209"/>
        <v>45576</v>
      </c>
      <c r="MS1" s="61">
        <f t="shared" si="209"/>
        <v>45577</v>
      </c>
      <c r="MT1" s="61">
        <f t="shared" si="209"/>
        <v>45578</v>
      </c>
      <c r="MU1" s="61">
        <f t="shared" si="209"/>
        <v>45579</v>
      </c>
      <c r="MV1" s="61">
        <f t="shared" si="209"/>
        <v>45580</v>
      </c>
      <c r="MW1" s="61">
        <f t="shared" si="209"/>
        <v>45581</v>
      </c>
      <c r="MX1" s="61">
        <f t="shared" si="209"/>
        <v>45582</v>
      </c>
      <c r="MY1" s="61">
        <f t="shared" si="209"/>
        <v>45583</v>
      </c>
      <c r="MZ1" s="61">
        <f t="shared" si="209"/>
        <v>45584</v>
      </c>
      <c r="NA1" s="61">
        <f t="shared" si="209"/>
        <v>45585</v>
      </c>
      <c r="NB1" s="61">
        <f t="shared" si="209"/>
        <v>45586</v>
      </c>
      <c r="NC1" s="64">
        <f t="shared" ref="NC1:OU1" si="210">NB1+1</f>
        <v>45587</v>
      </c>
      <c r="ND1" s="64">
        <f t="shared" si="210"/>
        <v>45588</v>
      </c>
      <c r="NE1" s="64">
        <f t="shared" si="210"/>
        <v>45589</v>
      </c>
      <c r="NF1" s="64">
        <f t="shared" si="210"/>
        <v>45590</v>
      </c>
      <c r="NG1" s="64">
        <f t="shared" si="210"/>
        <v>45591</v>
      </c>
      <c r="NH1" s="64">
        <f t="shared" si="210"/>
        <v>45592</v>
      </c>
      <c r="NI1" s="64">
        <f t="shared" si="210"/>
        <v>45593</v>
      </c>
      <c r="NJ1" s="64">
        <f t="shared" si="210"/>
        <v>45594</v>
      </c>
      <c r="NK1" s="64">
        <f t="shared" si="210"/>
        <v>45595</v>
      </c>
      <c r="NL1" s="64">
        <f t="shared" si="210"/>
        <v>45596</v>
      </c>
      <c r="NM1" s="64">
        <f t="shared" si="210"/>
        <v>45597</v>
      </c>
      <c r="NN1" s="64">
        <f t="shared" si="210"/>
        <v>45598</v>
      </c>
      <c r="NO1" s="64">
        <f t="shared" si="210"/>
        <v>45599</v>
      </c>
      <c r="NP1" s="64">
        <f t="shared" si="210"/>
        <v>45600</v>
      </c>
      <c r="NQ1" s="64">
        <f t="shared" si="210"/>
        <v>45601</v>
      </c>
      <c r="NR1" s="64">
        <f t="shared" si="210"/>
        <v>45602</v>
      </c>
      <c r="NS1" s="64">
        <f t="shared" si="210"/>
        <v>45603</v>
      </c>
      <c r="NT1" s="64">
        <f t="shared" si="210"/>
        <v>45604</v>
      </c>
      <c r="NU1" s="64">
        <f t="shared" si="210"/>
        <v>45605</v>
      </c>
      <c r="NV1" s="64">
        <f t="shared" si="210"/>
        <v>45606</v>
      </c>
      <c r="NW1" s="64">
        <f t="shared" si="210"/>
        <v>45607</v>
      </c>
      <c r="NX1" s="64">
        <f t="shared" si="210"/>
        <v>45608</v>
      </c>
      <c r="NY1" s="64">
        <f t="shared" si="210"/>
        <v>45609</v>
      </c>
      <c r="NZ1" s="64">
        <f t="shared" si="210"/>
        <v>45610</v>
      </c>
      <c r="OA1" s="64">
        <f t="shared" si="210"/>
        <v>45611</v>
      </c>
      <c r="OB1" s="64">
        <f t="shared" si="210"/>
        <v>45612</v>
      </c>
      <c r="OC1" s="64">
        <f t="shared" si="210"/>
        <v>45613</v>
      </c>
      <c r="OD1" s="64">
        <f t="shared" si="210"/>
        <v>45614</v>
      </c>
      <c r="OE1" s="72">
        <f t="shared" si="210"/>
        <v>45615</v>
      </c>
      <c r="OF1" s="72">
        <f t="shared" si="210"/>
        <v>45616</v>
      </c>
      <c r="OG1" s="64">
        <f t="shared" si="210"/>
        <v>45617</v>
      </c>
      <c r="OH1" s="64">
        <f t="shared" si="210"/>
        <v>45618</v>
      </c>
      <c r="OI1" s="64">
        <f t="shared" si="210"/>
        <v>45619</v>
      </c>
      <c r="OJ1" s="64">
        <f t="shared" si="210"/>
        <v>45620</v>
      </c>
      <c r="OK1" s="64">
        <f t="shared" si="210"/>
        <v>45621</v>
      </c>
      <c r="OL1" s="64">
        <f t="shared" si="210"/>
        <v>45622</v>
      </c>
      <c r="OM1" s="64">
        <f t="shared" si="210"/>
        <v>45623</v>
      </c>
      <c r="ON1" s="64">
        <f t="shared" si="210"/>
        <v>45624</v>
      </c>
      <c r="OO1" s="64">
        <f t="shared" si="210"/>
        <v>45625</v>
      </c>
      <c r="OP1" s="64">
        <f t="shared" si="210"/>
        <v>45626</v>
      </c>
      <c r="OQ1" s="64">
        <f t="shared" si="210"/>
        <v>45627</v>
      </c>
      <c r="OR1" s="64">
        <f t="shared" si="210"/>
        <v>45628</v>
      </c>
      <c r="OS1" s="64">
        <f t="shared" si="210"/>
        <v>45629</v>
      </c>
      <c r="OT1" s="64">
        <f t="shared" si="210"/>
        <v>45630</v>
      </c>
      <c r="OU1" s="64">
        <f t="shared" si="210"/>
        <v>45631</v>
      </c>
      <c r="OV1" s="64">
        <f t="shared" ref="OV1:QA1" si="211">OU1+1</f>
        <v>45632</v>
      </c>
      <c r="OW1" s="64">
        <f t="shared" si="211"/>
        <v>45633</v>
      </c>
      <c r="OX1" s="64">
        <f t="shared" si="211"/>
        <v>45634</v>
      </c>
      <c r="OY1" s="64">
        <f t="shared" si="211"/>
        <v>45635</v>
      </c>
      <c r="OZ1" s="64">
        <f t="shared" si="211"/>
        <v>45636</v>
      </c>
      <c r="PA1" s="64">
        <f t="shared" si="211"/>
        <v>45637</v>
      </c>
      <c r="PB1" s="64">
        <f t="shared" si="211"/>
        <v>45638</v>
      </c>
      <c r="PC1" s="64">
        <f t="shared" si="211"/>
        <v>45639</v>
      </c>
      <c r="PD1" s="64">
        <f t="shared" si="211"/>
        <v>45640</v>
      </c>
      <c r="PE1" s="64">
        <f t="shared" si="211"/>
        <v>45641</v>
      </c>
      <c r="PF1" s="64">
        <f t="shared" si="211"/>
        <v>45642</v>
      </c>
      <c r="PG1" s="64">
        <f t="shared" si="211"/>
        <v>45643</v>
      </c>
      <c r="PH1" s="64">
        <f t="shared" si="211"/>
        <v>45644</v>
      </c>
      <c r="PI1" s="64">
        <f t="shared" si="211"/>
        <v>45645</v>
      </c>
      <c r="PJ1" s="64">
        <f t="shared" si="211"/>
        <v>45646</v>
      </c>
      <c r="PK1" s="64">
        <f t="shared" si="211"/>
        <v>45647</v>
      </c>
      <c r="PL1" s="64">
        <f t="shared" si="211"/>
        <v>45648</v>
      </c>
      <c r="PM1" s="64">
        <f t="shared" si="211"/>
        <v>45649</v>
      </c>
      <c r="PN1" s="64">
        <f t="shared" si="211"/>
        <v>45650</v>
      </c>
      <c r="PO1" s="64">
        <f t="shared" si="211"/>
        <v>45651</v>
      </c>
      <c r="PP1" s="64">
        <f t="shared" si="211"/>
        <v>45652</v>
      </c>
      <c r="PQ1" s="64">
        <f t="shared" si="211"/>
        <v>45653</v>
      </c>
      <c r="PR1" s="64">
        <f t="shared" si="211"/>
        <v>45654</v>
      </c>
      <c r="PS1" s="64">
        <f t="shared" si="211"/>
        <v>45655</v>
      </c>
      <c r="PT1" s="64">
        <f t="shared" si="211"/>
        <v>45656</v>
      </c>
      <c r="PU1" s="64">
        <f t="shared" si="211"/>
        <v>45657</v>
      </c>
      <c r="PV1" s="64">
        <f t="shared" si="211"/>
        <v>45658</v>
      </c>
      <c r="PW1" s="64">
        <f t="shared" si="211"/>
        <v>45659</v>
      </c>
      <c r="PX1" s="64">
        <f t="shared" si="211"/>
        <v>45660</v>
      </c>
      <c r="PY1" s="64">
        <f t="shared" si="211"/>
        <v>45661</v>
      </c>
      <c r="PZ1" s="64">
        <f t="shared" si="211"/>
        <v>45662</v>
      </c>
      <c r="QA1" s="64">
        <f t="shared" si="211"/>
        <v>45663</v>
      </c>
      <c r="QB1" s="64">
        <f t="shared" ref="QB1:RG1" si="212">QA1+1</f>
        <v>45664</v>
      </c>
      <c r="QC1" s="64">
        <f t="shared" si="212"/>
        <v>45665</v>
      </c>
      <c r="QD1" s="64">
        <f t="shared" si="212"/>
        <v>45666</v>
      </c>
      <c r="QE1" s="64">
        <f t="shared" si="212"/>
        <v>45667</v>
      </c>
      <c r="QF1" s="64">
        <f t="shared" si="212"/>
        <v>45668</v>
      </c>
      <c r="QG1" s="64">
        <f t="shared" si="212"/>
        <v>45669</v>
      </c>
      <c r="QH1" s="64">
        <f t="shared" si="212"/>
        <v>45670</v>
      </c>
      <c r="QI1" s="64">
        <f t="shared" si="212"/>
        <v>45671</v>
      </c>
      <c r="QJ1" s="64">
        <f t="shared" si="212"/>
        <v>45672</v>
      </c>
      <c r="QK1" s="64">
        <f t="shared" si="212"/>
        <v>45673</v>
      </c>
      <c r="QL1" s="64">
        <f t="shared" si="212"/>
        <v>45674</v>
      </c>
      <c r="QM1" s="64">
        <f t="shared" si="212"/>
        <v>45675</v>
      </c>
      <c r="QN1" s="64">
        <f t="shared" si="212"/>
        <v>45676</v>
      </c>
      <c r="QO1" s="64">
        <f t="shared" si="212"/>
        <v>45677</v>
      </c>
      <c r="QP1" s="64">
        <f t="shared" si="212"/>
        <v>45678</v>
      </c>
      <c r="QQ1" s="64">
        <f t="shared" si="212"/>
        <v>45679</v>
      </c>
      <c r="QR1" s="64">
        <f t="shared" si="212"/>
        <v>45680</v>
      </c>
      <c r="QS1" s="64">
        <f t="shared" si="212"/>
        <v>45681</v>
      </c>
      <c r="QT1" s="64">
        <f t="shared" si="212"/>
        <v>45682</v>
      </c>
      <c r="QU1" s="64">
        <f t="shared" si="212"/>
        <v>45683</v>
      </c>
      <c r="QV1" s="64">
        <f t="shared" si="212"/>
        <v>45684</v>
      </c>
      <c r="QW1" s="64">
        <f t="shared" si="212"/>
        <v>45685</v>
      </c>
      <c r="QX1" s="64">
        <f t="shared" si="212"/>
        <v>45686</v>
      </c>
      <c r="QY1" s="64">
        <f t="shared" si="212"/>
        <v>45687</v>
      </c>
      <c r="QZ1" s="64">
        <f t="shared" si="212"/>
        <v>45688</v>
      </c>
      <c r="RA1" s="64">
        <f t="shared" si="212"/>
        <v>45689</v>
      </c>
      <c r="RB1" s="64">
        <f t="shared" si="212"/>
        <v>45690</v>
      </c>
      <c r="RC1" s="64">
        <f t="shared" si="212"/>
        <v>45691</v>
      </c>
      <c r="RD1" s="64">
        <f t="shared" si="212"/>
        <v>45692</v>
      </c>
      <c r="RE1" s="64">
        <f t="shared" si="212"/>
        <v>45693</v>
      </c>
      <c r="RF1" s="64">
        <f t="shared" si="212"/>
        <v>45694</v>
      </c>
      <c r="RG1" s="64">
        <f t="shared" si="212"/>
        <v>45695</v>
      </c>
      <c r="RH1" s="64">
        <f t="shared" ref="RH1:SM1" si="213">RG1+1</f>
        <v>45696</v>
      </c>
      <c r="RI1" s="64">
        <f t="shared" si="213"/>
        <v>45697</v>
      </c>
      <c r="RJ1" s="64">
        <f t="shared" si="213"/>
        <v>45698</v>
      </c>
      <c r="RK1" s="64">
        <f t="shared" si="213"/>
        <v>45699</v>
      </c>
      <c r="RL1" s="64">
        <f t="shared" si="213"/>
        <v>45700</v>
      </c>
      <c r="RM1" s="64">
        <f t="shared" si="213"/>
        <v>45701</v>
      </c>
      <c r="RN1" s="64">
        <f t="shared" si="213"/>
        <v>45702</v>
      </c>
      <c r="RO1" s="64">
        <f t="shared" si="213"/>
        <v>45703</v>
      </c>
      <c r="RP1" s="64">
        <f t="shared" si="213"/>
        <v>45704</v>
      </c>
      <c r="RQ1" s="64">
        <f t="shared" si="213"/>
        <v>45705</v>
      </c>
      <c r="RR1" s="64">
        <f t="shared" si="213"/>
        <v>45706</v>
      </c>
      <c r="RS1" s="64">
        <f t="shared" si="213"/>
        <v>45707</v>
      </c>
      <c r="RT1" s="64">
        <f t="shared" si="213"/>
        <v>45708</v>
      </c>
      <c r="RU1" s="64">
        <f t="shared" si="213"/>
        <v>45709</v>
      </c>
      <c r="RV1" s="64">
        <f t="shared" si="213"/>
        <v>45710</v>
      </c>
      <c r="RW1" s="64">
        <f t="shared" si="213"/>
        <v>45711</v>
      </c>
      <c r="RX1" s="64">
        <f t="shared" si="213"/>
        <v>45712</v>
      </c>
      <c r="RY1" s="64">
        <f t="shared" si="213"/>
        <v>45713</v>
      </c>
      <c r="RZ1" s="64">
        <f t="shared" si="213"/>
        <v>45714</v>
      </c>
      <c r="SA1" s="64">
        <f t="shared" si="213"/>
        <v>45715</v>
      </c>
      <c r="SB1" s="64">
        <f t="shared" si="213"/>
        <v>45716</v>
      </c>
      <c r="SC1" s="64">
        <f t="shared" si="213"/>
        <v>45717</v>
      </c>
      <c r="SD1" s="64">
        <f t="shared" si="213"/>
        <v>45718</v>
      </c>
      <c r="SE1" s="64">
        <f t="shared" si="213"/>
        <v>45719</v>
      </c>
      <c r="SF1" s="64">
        <f t="shared" si="213"/>
        <v>45720</v>
      </c>
      <c r="SG1" s="64">
        <f t="shared" si="213"/>
        <v>45721</v>
      </c>
      <c r="SH1" s="64">
        <f t="shared" si="213"/>
        <v>45722</v>
      </c>
      <c r="SI1" s="64">
        <f t="shared" si="213"/>
        <v>45723</v>
      </c>
      <c r="SJ1" s="64">
        <f t="shared" si="213"/>
        <v>45724</v>
      </c>
      <c r="SK1" s="64">
        <f t="shared" si="213"/>
        <v>45725</v>
      </c>
      <c r="SL1" s="64">
        <f t="shared" si="213"/>
        <v>45726</v>
      </c>
      <c r="SM1" s="64">
        <f t="shared" si="213"/>
        <v>45727</v>
      </c>
      <c r="SN1" s="64">
        <f t="shared" ref="SN1:TS1" si="214">SM1+1</f>
        <v>45728</v>
      </c>
      <c r="SO1" s="64">
        <f t="shared" si="214"/>
        <v>45729</v>
      </c>
      <c r="SP1" s="64">
        <f t="shared" si="214"/>
        <v>45730</v>
      </c>
      <c r="SQ1" s="64">
        <f t="shared" si="214"/>
        <v>45731</v>
      </c>
      <c r="SR1" s="64">
        <f t="shared" si="214"/>
        <v>45732</v>
      </c>
      <c r="SS1" s="64">
        <f t="shared" si="214"/>
        <v>45733</v>
      </c>
      <c r="ST1" s="64">
        <f t="shared" si="214"/>
        <v>45734</v>
      </c>
      <c r="SU1" s="64">
        <f t="shared" si="214"/>
        <v>45735</v>
      </c>
      <c r="SV1" s="64">
        <f t="shared" si="214"/>
        <v>45736</v>
      </c>
      <c r="SW1" s="64">
        <f t="shared" si="214"/>
        <v>45737</v>
      </c>
      <c r="SX1" s="64">
        <f t="shared" si="214"/>
        <v>45738</v>
      </c>
      <c r="SY1" s="64">
        <f t="shared" si="214"/>
        <v>45739</v>
      </c>
      <c r="SZ1" s="64">
        <f t="shared" si="214"/>
        <v>45740</v>
      </c>
      <c r="TA1" s="64">
        <f t="shared" si="214"/>
        <v>45741</v>
      </c>
      <c r="TB1" s="64">
        <f t="shared" si="214"/>
        <v>45742</v>
      </c>
      <c r="TC1" s="64">
        <f t="shared" si="214"/>
        <v>45743</v>
      </c>
      <c r="TD1" s="64">
        <f t="shared" si="214"/>
        <v>45744</v>
      </c>
      <c r="TE1" s="64">
        <f t="shared" si="214"/>
        <v>45745</v>
      </c>
      <c r="TF1" s="64">
        <f t="shared" si="214"/>
        <v>45746</v>
      </c>
      <c r="TG1" s="64">
        <f t="shared" si="214"/>
        <v>45747</v>
      </c>
      <c r="TH1" s="64">
        <f t="shared" si="214"/>
        <v>45748</v>
      </c>
      <c r="TI1" s="64">
        <f t="shared" si="214"/>
        <v>45749</v>
      </c>
      <c r="TJ1" s="64">
        <f t="shared" si="214"/>
        <v>45750</v>
      </c>
      <c r="TK1" s="64">
        <f t="shared" si="214"/>
        <v>45751</v>
      </c>
      <c r="TL1" s="64">
        <f t="shared" si="214"/>
        <v>45752</v>
      </c>
      <c r="TM1" s="64">
        <f t="shared" si="214"/>
        <v>45753</v>
      </c>
      <c r="TN1" s="64">
        <f t="shared" si="214"/>
        <v>45754</v>
      </c>
      <c r="TO1" s="64">
        <f t="shared" si="214"/>
        <v>45755</v>
      </c>
      <c r="TP1" s="64">
        <f t="shared" si="214"/>
        <v>45756</v>
      </c>
      <c r="TQ1" s="64">
        <f t="shared" si="214"/>
        <v>45757</v>
      </c>
      <c r="TR1" s="64">
        <f t="shared" si="214"/>
        <v>45758</v>
      </c>
      <c r="TS1" s="64">
        <f t="shared" si="214"/>
        <v>45759</v>
      </c>
      <c r="TT1" s="64">
        <f t="shared" ref="TT1:UY1" si="215">TS1+1</f>
        <v>45760</v>
      </c>
      <c r="TU1" s="64">
        <f t="shared" si="215"/>
        <v>45761</v>
      </c>
      <c r="TV1" s="64">
        <f t="shared" si="215"/>
        <v>45762</v>
      </c>
      <c r="TW1" s="64">
        <f t="shared" si="215"/>
        <v>45763</v>
      </c>
      <c r="TX1" s="64">
        <f t="shared" si="215"/>
        <v>45764</v>
      </c>
      <c r="TY1" s="64">
        <f t="shared" si="215"/>
        <v>45765</v>
      </c>
      <c r="TZ1" s="64">
        <f t="shared" si="215"/>
        <v>45766</v>
      </c>
      <c r="UA1" s="64">
        <f t="shared" si="215"/>
        <v>45767</v>
      </c>
      <c r="UB1" s="64">
        <f t="shared" si="215"/>
        <v>45768</v>
      </c>
      <c r="UC1" s="64">
        <f t="shared" si="215"/>
        <v>45769</v>
      </c>
      <c r="UD1" s="64">
        <f t="shared" si="215"/>
        <v>45770</v>
      </c>
      <c r="UE1" s="64">
        <f t="shared" si="215"/>
        <v>45771</v>
      </c>
      <c r="UF1" s="64">
        <f t="shared" si="215"/>
        <v>45772</v>
      </c>
      <c r="UG1" s="64">
        <f t="shared" si="215"/>
        <v>45773</v>
      </c>
      <c r="UH1" s="64">
        <f t="shared" si="215"/>
        <v>45774</v>
      </c>
      <c r="UI1" s="64">
        <f t="shared" si="215"/>
        <v>45775</v>
      </c>
      <c r="UJ1" s="64">
        <f t="shared" si="215"/>
        <v>45776</v>
      </c>
      <c r="UK1" s="64">
        <f t="shared" si="215"/>
        <v>45777</v>
      </c>
      <c r="UL1" s="64">
        <f t="shared" si="215"/>
        <v>45778</v>
      </c>
      <c r="UM1" s="64">
        <f t="shared" si="215"/>
        <v>45779</v>
      </c>
      <c r="UN1" s="64">
        <f t="shared" si="215"/>
        <v>45780</v>
      </c>
      <c r="UO1" s="64">
        <f t="shared" si="215"/>
        <v>45781</v>
      </c>
      <c r="UP1" s="64">
        <f t="shared" si="215"/>
        <v>45782</v>
      </c>
      <c r="UQ1" s="64">
        <f t="shared" si="215"/>
        <v>45783</v>
      </c>
      <c r="UR1" s="64">
        <f t="shared" si="215"/>
        <v>45784</v>
      </c>
      <c r="US1" s="64">
        <f t="shared" si="215"/>
        <v>45785</v>
      </c>
      <c r="UT1" s="64">
        <f t="shared" si="215"/>
        <v>45786</v>
      </c>
      <c r="UU1" s="64">
        <f t="shared" si="215"/>
        <v>45787</v>
      </c>
      <c r="UV1" s="64">
        <f t="shared" si="215"/>
        <v>45788</v>
      </c>
      <c r="UW1" s="64">
        <f t="shared" si="215"/>
        <v>45789</v>
      </c>
      <c r="UX1" s="64">
        <f t="shared" si="215"/>
        <v>45790</v>
      </c>
      <c r="UY1" s="64">
        <f t="shared" si="215"/>
        <v>45791</v>
      </c>
      <c r="UZ1" s="64">
        <f t="shared" ref="UZ1:VO1" si="216">UY1+1</f>
        <v>45792</v>
      </c>
      <c r="VA1" s="64">
        <f t="shared" si="216"/>
        <v>45793</v>
      </c>
      <c r="VB1" s="64">
        <f t="shared" si="216"/>
        <v>45794</v>
      </c>
      <c r="VC1" s="64">
        <f t="shared" si="216"/>
        <v>45795</v>
      </c>
      <c r="VD1" s="64">
        <f t="shared" si="216"/>
        <v>45796</v>
      </c>
      <c r="VE1" s="64">
        <f t="shared" si="216"/>
        <v>45797</v>
      </c>
      <c r="VF1" s="64">
        <f t="shared" si="216"/>
        <v>45798</v>
      </c>
      <c r="VG1" s="64">
        <f t="shared" si="216"/>
        <v>45799</v>
      </c>
      <c r="VH1" s="64">
        <f t="shared" si="216"/>
        <v>45800</v>
      </c>
      <c r="VI1" s="64">
        <f t="shared" si="216"/>
        <v>45801</v>
      </c>
      <c r="VJ1" s="64">
        <f t="shared" si="216"/>
        <v>45802</v>
      </c>
      <c r="VK1" s="64">
        <f t="shared" si="216"/>
        <v>45803</v>
      </c>
      <c r="VL1" s="64">
        <f t="shared" si="216"/>
        <v>45804</v>
      </c>
      <c r="VM1" s="64">
        <f t="shared" si="216"/>
        <v>45805</v>
      </c>
      <c r="VN1" s="64">
        <f t="shared" si="216"/>
        <v>45806</v>
      </c>
      <c r="VO1" s="64">
        <f t="shared" si="216"/>
        <v>45807</v>
      </c>
      <c r="VP1" s="64">
        <f t="shared" ref="VP1" si="217">VO1+1</f>
        <v>45808</v>
      </c>
      <c r="VQ1" s="64">
        <f t="shared" ref="VQ1" si="218">VP1+1</f>
        <v>45809</v>
      </c>
      <c r="VR1" s="64">
        <f t="shared" ref="VR1" si="219">VQ1+1</f>
        <v>45810</v>
      </c>
      <c r="VS1" s="64">
        <f t="shared" ref="VS1" si="220">VR1+1</f>
        <v>45811</v>
      </c>
      <c r="VT1" s="64">
        <f t="shared" ref="VT1" si="221">VS1+1</f>
        <v>45812</v>
      </c>
      <c r="VU1" s="64">
        <f t="shared" ref="VU1" si="222">VT1+1</f>
        <v>45813</v>
      </c>
      <c r="VV1" s="64">
        <f t="shared" ref="VV1" si="223">VU1+1</f>
        <v>45814</v>
      </c>
      <c r="VW1" s="64">
        <f t="shared" ref="VW1" si="224">VV1+1</f>
        <v>45815</v>
      </c>
      <c r="VX1" s="64">
        <f t="shared" ref="VX1" si="225">VW1+1</f>
        <v>45816</v>
      </c>
      <c r="VY1" s="64">
        <f t="shared" ref="VY1" si="226">VX1+1</f>
        <v>45817</v>
      </c>
      <c r="VZ1" s="64">
        <f t="shared" ref="VZ1" si="227">VY1+1</f>
        <v>45818</v>
      </c>
      <c r="WA1" s="64">
        <f t="shared" ref="WA1" si="228">VZ1+1</f>
        <v>45819</v>
      </c>
      <c r="WB1" s="64">
        <f t="shared" ref="WB1" si="229">WA1+1</f>
        <v>45820</v>
      </c>
      <c r="WC1" s="64">
        <f t="shared" ref="WC1" si="230">WB1+1</f>
        <v>45821</v>
      </c>
      <c r="WD1" s="64">
        <f t="shared" ref="WD1" si="231">WC1+1</f>
        <v>45822</v>
      </c>
      <c r="WE1" s="64">
        <f t="shared" ref="WE1" si="232">WD1+1</f>
        <v>45823</v>
      </c>
      <c r="WF1" s="64">
        <f t="shared" ref="WF1" si="233">WE1+1</f>
        <v>45824</v>
      </c>
      <c r="WG1" s="64">
        <f t="shared" ref="WG1" si="234">WF1+1</f>
        <v>45825</v>
      </c>
      <c r="WH1" s="64">
        <f t="shared" ref="WH1" si="235">WG1+1</f>
        <v>45826</v>
      </c>
      <c r="WI1" s="64">
        <f t="shared" ref="WI1" si="236">WH1+1</f>
        <v>45827</v>
      </c>
      <c r="WJ1" s="64">
        <f t="shared" ref="WJ1" si="237">WI1+1</f>
        <v>45828</v>
      </c>
      <c r="WK1" s="64">
        <f t="shared" ref="WK1" si="238">WJ1+1</f>
        <v>45829</v>
      </c>
      <c r="WL1" s="64">
        <f t="shared" ref="WL1" si="239">WK1+1</f>
        <v>45830</v>
      </c>
      <c r="WM1" s="64">
        <f t="shared" ref="WM1" si="240">WL1+1</f>
        <v>45831</v>
      </c>
      <c r="WN1" s="64">
        <f t="shared" ref="WN1" si="241">WM1+1</f>
        <v>45832</v>
      </c>
      <c r="WO1" s="64">
        <f t="shared" ref="WO1" si="242">WN1+1</f>
        <v>45833</v>
      </c>
      <c r="WP1" s="64">
        <f t="shared" ref="WP1" si="243">WO1+1</f>
        <v>45834</v>
      </c>
      <c r="WQ1" s="64">
        <f t="shared" ref="WQ1" si="244">WP1+1</f>
        <v>45835</v>
      </c>
      <c r="WR1" s="64">
        <f t="shared" ref="WR1" si="245">WQ1+1</f>
        <v>45836</v>
      </c>
      <c r="WS1" s="64">
        <f t="shared" ref="WS1" si="246">WR1+1</f>
        <v>45837</v>
      </c>
      <c r="WT1" s="64">
        <f t="shared" ref="WT1" si="247">WS1+1</f>
        <v>45838</v>
      </c>
      <c r="WU1" s="64">
        <f t="shared" ref="WU1" si="248">WT1+1</f>
        <v>45839</v>
      </c>
      <c r="WV1" s="64">
        <f t="shared" ref="WV1" si="249">WU1+1</f>
        <v>45840</v>
      </c>
      <c r="WW1" s="64">
        <f t="shared" ref="WW1" si="250">WV1+1</f>
        <v>45841</v>
      </c>
      <c r="WX1" s="64">
        <f t="shared" ref="WX1" si="251">WW1+1</f>
        <v>45842</v>
      </c>
      <c r="WY1" s="64">
        <f t="shared" ref="WY1" si="252">WX1+1</f>
        <v>45843</v>
      </c>
      <c r="WZ1" s="64">
        <f t="shared" ref="WZ1" si="253">WY1+1</f>
        <v>45844</v>
      </c>
      <c r="XA1" s="64">
        <f t="shared" ref="XA1" si="254">WZ1+1</f>
        <v>45845</v>
      </c>
      <c r="XB1" s="64">
        <f t="shared" ref="XB1" si="255">XA1+1</f>
        <v>45846</v>
      </c>
      <c r="XC1" s="64">
        <f t="shared" ref="XC1" si="256">XB1+1</f>
        <v>45847</v>
      </c>
      <c r="XD1" s="64">
        <f t="shared" ref="XD1" si="257">XC1+1</f>
        <v>45848</v>
      </c>
      <c r="XE1" s="64">
        <f t="shared" ref="XE1" si="258">XD1+1</f>
        <v>45849</v>
      </c>
      <c r="XF1" s="64">
        <f t="shared" ref="XF1" si="259">XE1+1</f>
        <v>45850</v>
      </c>
      <c r="XG1" s="64">
        <f t="shared" ref="XG1" si="260">XF1+1</f>
        <v>45851</v>
      </c>
      <c r="XH1" s="64">
        <f t="shared" ref="XH1" si="261">XG1+1</f>
        <v>45852</v>
      </c>
      <c r="XI1" s="64">
        <f t="shared" ref="XI1" si="262">XH1+1</f>
        <v>45853</v>
      </c>
      <c r="XJ1" s="64">
        <f t="shared" ref="XJ1" si="263">XI1+1</f>
        <v>45854</v>
      </c>
      <c r="XK1" s="64">
        <f t="shared" ref="XK1" si="264">XJ1+1</f>
        <v>45855</v>
      </c>
      <c r="XL1" s="64">
        <f t="shared" ref="XL1" si="265">XK1+1</f>
        <v>45856</v>
      </c>
      <c r="XM1" s="64">
        <f t="shared" ref="XM1" si="266">XL1+1</f>
        <v>45857</v>
      </c>
      <c r="XN1" s="64">
        <f t="shared" ref="XN1" si="267">XM1+1</f>
        <v>45858</v>
      </c>
      <c r="XO1" s="64">
        <f t="shared" ref="XO1" si="268">XN1+1</f>
        <v>45859</v>
      </c>
      <c r="XP1" s="64">
        <f t="shared" ref="XP1" si="269">XO1+1</f>
        <v>45860</v>
      </c>
      <c r="XQ1" s="64">
        <f t="shared" ref="XQ1" si="270">XP1+1</f>
        <v>45861</v>
      </c>
      <c r="XR1" s="64">
        <f t="shared" ref="XR1" si="271">XQ1+1</f>
        <v>45862</v>
      </c>
      <c r="XS1" s="64">
        <f t="shared" ref="XS1" si="272">XR1+1</f>
        <v>45863</v>
      </c>
      <c r="XT1" s="64">
        <f t="shared" ref="XT1" si="273">XS1+1</f>
        <v>45864</v>
      </c>
      <c r="XU1" s="64">
        <f t="shared" ref="XU1" si="274">XT1+1</f>
        <v>45865</v>
      </c>
      <c r="XV1" s="64">
        <f t="shared" ref="XV1" si="275">XU1+1</f>
        <v>45866</v>
      </c>
      <c r="XW1" s="64">
        <f t="shared" ref="XW1" si="276">XV1+1</f>
        <v>45867</v>
      </c>
      <c r="XX1" s="64">
        <f t="shared" ref="XX1" si="277">XW1+1</f>
        <v>45868</v>
      </c>
      <c r="XY1" s="64">
        <f t="shared" ref="XY1" si="278">XX1+1</f>
        <v>45869</v>
      </c>
      <c r="XZ1" s="64">
        <f t="shared" ref="XZ1" si="279">XY1+1</f>
        <v>45870</v>
      </c>
      <c r="YA1" s="64">
        <f t="shared" ref="YA1" si="280">XZ1+1</f>
        <v>45871</v>
      </c>
      <c r="YB1" s="64">
        <f t="shared" ref="YB1" si="281">YA1+1</f>
        <v>45872</v>
      </c>
      <c r="YC1" s="64">
        <f t="shared" ref="YC1" si="282">YB1+1</f>
        <v>45873</v>
      </c>
      <c r="YD1" s="64">
        <f t="shared" ref="YD1" si="283">YC1+1</f>
        <v>45874</v>
      </c>
      <c r="YE1" s="64">
        <f t="shared" ref="YE1" si="284">YD1+1</f>
        <v>45875</v>
      </c>
      <c r="YF1" s="64">
        <f t="shared" ref="YF1" si="285">YE1+1</f>
        <v>45876</v>
      </c>
      <c r="YG1" s="64">
        <f t="shared" ref="YG1" si="286">YF1+1</f>
        <v>45877</v>
      </c>
      <c r="YH1" s="64">
        <f t="shared" ref="YH1" si="287">YG1+1</f>
        <v>45878</v>
      </c>
      <c r="YI1" s="64">
        <f t="shared" ref="YI1" si="288">YH1+1</f>
        <v>45879</v>
      </c>
      <c r="YJ1" s="64">
        <f t="shared" ref="YJ1" si="289">YI1+1</f>
        <v>45880</v>
      </c>
      <c r="YK1" s="64">
        <f t="shared" ref="YK1" si="290">YJ1+1</f>
        <v>45881</v>
      </c>
      <c r="YL1" s="64">
        <f t="shared" ref="YL1" si="291">YK1+1</f>
        <v>45882</v>
      </c>
      <c r="YM1" s="64">
        <f t="shared" ref="YM1" si="292">YL1+1</f>
        <v>45883</v>
      </c>
      <c r="YN1" s="64">
        <f t="shared" ref="YN1" si="293">YM1+1</f>
        <v>45884</v>
      </c>
      <c r="YO1" s="64">
        <f t="shared" ref="YO1" si="294">YN1+1</f>
        <v>45885</v>
      </c>
      <c r="YP1" s="64">
        <f t="shared" ref="YP1" si="295">YO1+1</f>
        <v>45886</v>
      </c>
      <c r="YQ1" s="64">
        <f t="shared" ref="YQ1" si="296">YP1+1</f>
        <v>45887</v>
      </c>
      <c r="YR1" s="64">
        <f t="shared" ref="YR1" si="297">YQ1+1</f>
        <v>45888</v>
      </c>
      <c r="YS1" s="64">
        <f t="shared" ref="YS1" si="298">YR1+1</f>
        <v>45889</v>
      </c>
      <c r="YT1" s="64">
        <f t="shared" ref="YT1" si="299">YS1+1</f>
        <v>45890</v>
      </c>
      <c r="YU1" s="64">
        <f t="shared" ref="YU1" si="300">YT1+1</f>
        <v>45891</v>
      </c>
      <c r="YV1" s="64">
        <f t="shared" ref="YV1" si="301">YU1+1</f>
        <v>45892</v>
      </c>
      <c r="YW1" s="64">
        <f t="shared" ref="YW1" si="302">YV1+1</f>
        <v>45893</v>
      </c>
      <c r="YX1" s="64">
        <f t="shared" ref="YX1" si="303">YW1+1</f>
        <v>45894</v>
      </c>
      <c r="YY1" s="64">
        <f t="shared" ref="YY1" si="304">YX1+1</f>
        <v>45895</v>
      </c>
      <c r="YZ1" s="64">
        <f t="shared" ref="YZ1" si="305">YY1+1</f>
        <v>45896</v>
      </c>
      <c r="ZA1" s="64">
        <f t="shared" ref="ZA1" si="306">YZ1+1</f>
        <v>45897</v>
      </c>
      <c r="ZB1" s="64">
        <f t="shared" ref="ZB1" si="307">ZA1+1</f>
        <v>45898</v>
      </c>
      <c r="ZC1" s="64">
        <f t="shared" ref="ZC1" si="308">ZB1+1</f>
        <v>45899</v>
      </c>
      <c r="ZD1" s="64">
        <f t="shared" ref="ZD1" si="309">ZC1+1</f>
        <v>45900</v>
      </c>
      <c r="ZE1" s="64">
        <f t="shared" ref="ZE1" si="310">ZD1+1</f>
        <v>45901</v>
      </c>
      <c r="ZF1" s="64">
        <f t="shared" ref="ZF1" si="311">ZE1+1</f>
        <v>45902</v>
      </c>
      <c r="ZG1" s="64">
        <f t="shared" ref="ZG1" si="312">ZF1+1</f>
        <v>45903</v>
      </c>
      <c r="ZH1" s="64">
        <f t="shared" ref="ZH1" si="313">ZG1+1</f>
        <v>45904</v>
      </c>
      <c r="ZI1" s="64">
        <f t="shared" ref="ZI1" si="314">ZH1+1</f>
        <v>45905</v>
      </c>
      <c r="ZJ1" s="64">
        <f t="shared" ref="ZJ1" si="315">ZI1+1</f>
        <v>45906</v>
      </c>
      <c r="ZK1" s="64">
        <f t="shared" ref="ZK1" si="316">ZJ1+1</f>
        <v>45907</v>
      </c>
      <c r="ZL1" s="64">
        <f t="shared" ref="ZL1" si="317">ZK1+1</f>
        <v>45908</v>
      </c>
      <c r="ZM1" s="64">
        <f t="shared" ref="ZM1" si="318">ZL1+1</f>
        <v>45909</v>
      </c>
      <c r="ZN1" s="64">
        <f t="shared" ref="ZN1" si="319">ZM1+1</f>
        <v>45910</v>
      </c>
      <c r="ZO1" s="64">
        <f t="shared" ref="ZO1" si="320">ZN1+1</f>
        <v>45911</v>
      </c>
      <c r="ZP1" s="64">
        <f t="shared" ref="ZP1" si="321">ZO1+1</f>
        <v>45912</v>
      </c>
      <c r="ZQ1" s="64">
        <f t="shared" ref="ZQ1" si="322">ZP1+1</f>
        <v>45913</v>
      </c>
      <c r="ZR1" s="64">
        <f t="shared" ref="ZR1" si="323">ZQ1+1</f>
        <v>45914</v>
      </c>
      <c r="ZS1" s="64">
        <f t="shared" ref="ZS1" si="324">ZR1+1</f>
        <v>45915</v>
      </c>
      <c r="ZT1" s="64">
        <f t="shared" ref="ZT1" si="325">ZS1+1</f>
        <v>45916</v>
      </c>
      <c r="ZU1" s="64">
        <f t="shared" ref="ZU1" si="326">ZT1+1</f>
        <v>45917</v>
      </c>
      <c r="ZV1" s="64">
        <f t="shared" ref="ZV1" si="327">ZU1+1</f>
        <v>45918</v>
      </c>
      <c r="ZW1" s="64">
        <f t="shared" ref="ZW1" si="328">ZV1+1</f>
        <v>45919</v>
      </c>
      <c r="ZX1" s="64">
        <f t="shared" ref="ZX1" si="329">ZW1+1</f>
        <v>45920</v>
      </c>
      <c r="ZY1" s="64">
        <f t="shared" ref="ZY1" si="330">ZX1+1</f>
        <v>45921</v>
      </c>
      <c r="ZZ1" s="64">
        <f t="shared" ref="ZZ1" si="331">ZY1+1</f>
        <v>45922</v>
      </c>
      <c r="AAA1" s="64">
        <f t="shared" ref="AAA1" si="332">ZZ1+1</f>
        <v>45923</v>
      </c>
      <c r="AAB1" s="64">
        <f t="shared" ref="AAB1" si="333">AAA1+1</f>
        <v>45924</v>
      </c>
      <c r="AAC1" s="64">
        <f t="shared" ref="AAC1" si="334">AAB1+1</f>
        <v>45925</v>
      </c>
      <c r="AAD1" s="64">
        <f t="shared" ref="AAD1" si="335">AAC1+1</f>
        <v>45926</v>
      </c>
      <c r="AAE1" s="64">
        <f t="shared" ref="AAE1" si="336">AAD1+1</f>
        <v>45927</v>
      </c>
      <c r="AAF1" s="64">
        <f t="shared" ref="AAF1" si="337">AAE1+1</f>
        <v>45928</v>
      </c>
      <c r="AAG1" s="64">
        <f t="shared" ref="AAG1:AAI1" si="338">AAF1+1</f>
        <v>45929</v>
      </c>
      <c r="AAH1" s="64">
        <f t="shared" si="338"/>
        <v>45930</v>
      </c>
      <c r="AAI1" s="64">
        <f t="shared" si="338"/>
        <v>45931</v>
      </c>
      <c r="AAJ1" s="64">
        <f t="shared" ref="AAJ1:ABV1" si="339">AAI1+1</f>
        <v>45932</v>
      </c>
      <c r="AAK1" s="64">
        <f t="shared" si="339"/>
        <v>45933</v>
      </c>
      <c r="AAL1" s="64">
        <f t="shared" si="339"/>
        <v>45934</v>
      </c>
      <c r="AAM1" s="64">
        <f t="shared" si="339"/>
        <v>45935</v>
      </c>
      <c r="AAN1" s="64">
        <f t="shared" si="339"/>
        <v>45936</v>
      </c>
      <c r="AAO1" s="64">
        <f t="shared" si="339"/>
        <v>45937</v>
      </c>
      <c r="AAP1" s="64">
        <f t="shared" si="339"/>
        <v>45938</v>
      </c>
      <c r="AAQ1" s="64">
        <f t="shared" si="339"/>
        <v>45939</v>
      </c>
      <c r="AAR1" s="64">
        <f t="shared" si="339"/>
        <v>45940</v>
      </c>
      <c r="AAS1" s="64">
        <f t="shared" si="339"/>
        <v>45941</v>
      </c>
      <c r="AAT1" s="64">
        <f t="shared" si="339"/>
        <v>45942</v>
      </c>
      <c r="AAU1" s="64">
        <f t="shared" si="339"/>
        <v>45943</v>
      </c>
      <c r="AAV1" s="64">
        <f t="shared" si="339"/>
        <v>45944</v>
      </c>
      <c r="AAW1" s="64">
        <f t="shared" si="339"/>
        <v>45945</v>
      </c>
      <c r="AAX1" s="64">
        <f t="shared" si="339"/>
        <v>45946</v>
      </c>
      <c r="AAY1" s="64">
        <f t="shared" si="339"/>
        <v>45947</v>
      </c>
      <c r="AAZ1" s="64">
        <f t="shared" si="339"/>
        <v>45948</v>
      </c>
      <c r="ABA1" s="64">
        <f t="shared" si="339"/>
        <v>45949</v>
      </c>
      <c r="ABB1" s="64">
        <f t="shared" si="339"/>
        <v>45950</v>
      </c>
      <c r="ABC1" s="64">
        <f t="shared" si="339"/>
        <v>45951</v>
      </c>
      <c r="ABD1" s="64">
        <f t="shared" si="339"/>
        <v>45952</v>
      </c>
      <c r="ABE1" s="64">
        <f t="shared" si="339"/>
        <v>45953</v>
      </c>
      <c r="ABF1" s="64">
        <f t="shared" si="339"/>
        <v>45954</v>
      </c>
      <c r="ABG1" s="64">
        <f t="shared" si="339"/>
        <v>45955</v>
      </c>
      <c r="ABH1" s="64">
        <f t="shared" si="339"/>
        <v>45956</v>
      </c>
      <c r="ABI1" s="64">
        <f t="shared" si="339"/>
        <v>45957</v>
      </c>
      <c r="ABJ1" s="64">
        <f t="shared" si="339"/>
        <v>45958</v>
      </c>
      <c r="ABK1" s="64">
        <f t="shared" si="339"/>
        <v>45959</v>
      </c>
      <c r="ABL1" s="64">
        <f t="shared" si="339"/>
        <v>45960</v>
      </c>
      <c r="ABM1" s="64">
        <f t="shared" si="339"/>
        <v>45961</v>
      </c>
      <c r="ABN1" s="64">
        <f t="shared" si="339"/>
        <v>45962</v>
      </c>
      <c r="ABO1" s="64">
        <f t="shared" si="339"/>
        <v>45963</v>
      </c>
      <c r="ABP1" s="64">
        <f t="shared" si="339"/>
        <v>45964</v>
      </c>
      <c r="ABQ1" s="64">
        <f t="shared" si="339"/>
        <v>45965</v>
      </c>
      <c r="ABR1" s="64">
        <f t="shared" si="339"/>
        <v>45966</v>
      </c>
      <c r="ABS1" s="64">
        <f t="shared" si="339"/>
        <v>45967</v>
      </c>
      <c r="ABT1" s="64">
        <f t="shared" si="339"/>
        <v>45968</v>
      </c>
      <c r="ABU1" s="64">
        <f t="shared" si="339"/>
        <v>45969</v>
      </c>
      <c r="ABV1" s="64">
        <f t="shared" si="339"/>
        <v>45970</v>
      </c>
      <c r="ABW1" s="64">
        <f t="shared" ref="ABW1:ACT1" si="340">ABV1+1</f>
        <v>45971</v>
      </c>
      <c r="ABX1" s="64">
        <f t="shared" si="340"/>
        <v>45972</v>
      </c>
      <c r="ABY1" s="64">
        <f t="shared" si="340"/>
        <v>45973</v>
      </c>
      <c r="ABZ1" s="64">
        <f t="shared" si="340"/>
        <v>45974</v>
      </c>
      <c r="ACA1" s="64">
        <f t="shared" si="340"/>
        <v>45975</v>
      </c>
      <c r="ACB1" s="64">
        <f t="shared" si="340"/>
        <v>45976</v>
      </c>
      <c r="ACC1" s="64">
        <f t="shared" si="340"/>
        <v>45977</v>
      </c>
      <c r="ACD1" s="64">
        <f t="shared" si="340"/>
        <v>45978</v>
      </c>
      <c r="ACE1" s="64">
        <f t="shared" si="340"/>
        <v>45979</v>
      </c>
      <c r="ACF1" s="64">
        <f t="shared" si="340"/>
        <v>45980</v>
      </c>
      <c r="ACG1" s="64">
        <f t="shared" si="340"/>
        <v>45981</v>
      </c>
      <c r="ACH1" s="64">
        <f t="shared" si="340"/>
        <v>45982</v>
      </c>
      <c r="ACI1" s="64">
        <f t="shared" si="340"/>
        <v>45983</v>
      </c>
      <c r="ACJ1" s="64">
        <f t="shared" si="340"/>
        <v>45984</v>
      </c>
      <c r="ACK1" s="64">
        <f t="shared" si="340"/>
        <v>45985</v>
      </c>
      <c r="ACL1" s="64">
        <f t="shared" si="340"/>
        <v>45986</v>
      </c>
      <c r="ACM1" s="64">
        <f t="shared" si="340"/>
        <v>45987</v>
      </c>
      <c r="ACN1" s="64">
        <f t="shared" si="340"/>
        <v>45988</v>
      </c>
      <c r="ACO1" s="64">
        <f t="shared" si="340"/>
        <v>45989</v>
      </c>
      <c r="ACP1" s="64">
        <f t="shared" si="340"/>
        <v>45990</v>
      </c>
      <c r="ACQ1" s="64">
        <f t="shared" si="340"/>
        <v>45991</v>
      </c>
      <c r="ACR1" s="64">
        <f t="shared" si="340"/>
        <v>45992</v>
      </c>
      <c r="ACS1" s="64">
        <f t="shared" si="340"/>
        <v>45993</v>
      </c>
      <c r="ACT1" s="64">
        <f t="shared" si="340"/>
        <v>45994</v>
      </c>
      <c r="ACU1" s="64">
        <f t="shared" ref="ACU1:ADZ1" si="341">ACT1+1</f>
        <v>45995</v>
      </c>
      <c r="ACV1" s="64">
        <f t="shared" si="341"/>
        <v>45996</v>
      </c>
      <c r="ACW1" s="64">
        <f t="shared" si="341"/>
        <v>45997</v>
      </c>
      <c r="ACX1" s="64">
        <f t="shared" si="341"/>
        <v>45998</v>
      </c>
      <c r="ACY1" s="64">
        <f t="shared" si="341"/>
        <v>45999</v>
      </c>
      <c r="ACZ1" s="64">
        <f t="shared" si="341"/>
        <v>46000</v>
      </c>
      <c r="ADA1" s="64">
        <f t="shared" si="341"/>
        <v>46001</v>
      </c>
      <c r="ADB1" s="64">
        <f t="shared" si="341"/>
        <v>46002</v>
      </c>
      <c r="ADC1" s="64">
        <f t="shared" si="341"/>
        <v>46003</v>
      </c>
      <c r="ADD1" s="64">
        <f t="shared" si="341"/>
        <v>46004</v>
      </c>
      <c r="ADE1" s="64">
        <f t="shared" si="341"/>
        <v>46005</v>
      </c>
      <c r="ADF1" s="64">
        <f t="shared" si="341"/>
        <v>46006</v>
      </c>
      <c r="ADG1" s="64">
        <f t="shared" si="341"/>
        <v>46007</v>
      </c>
      <c r="ADH1" s="64">
        <f t="shared" si="341"/>
        <v>46008</v>
      </c>
      <c r="ADI1" s="64">
        <f t="shared" si="341"/>
        <v>46009</v>
      </c>
      <c r="ADJ1" s="64">
        <f t="shared" si="341"/>
        <v>46010</v>
      </c>
      <c r="ADK1" s="64">
        <f t="shared" si="341"/>
        <v>46011</v>
      </c>
      <c r="ADL1" s="64">
        <f t="shared" si="341"/>
        <v>46012</v>
      </c>
      <c r="ADM1" s="64">
        <f t="shared" si="341"/>
        <v>46013</v>
      </c>
      <c r="ADN1" s="64">
        <f t="shared" si="341"/>
        <v>46014</v>
      </c>
      <c r="ADO1" s="64">
        <f t="shared" si="341"/>
        <v>46015</v>
      </c>
      <c r="ADP1" s="64">
        <f t="shared" si="341"/>
        <v>46016</v>
      </c>
      <c r="ADQ1" s="64">
        <f t="shared" si="341"/>
        <v>46017</v>
      </c>
      <c r="ADR1" s="64">
        <f t="shared" si="341"/>
        <v>46018</v>
      </c>
      <c r="ADS1" s="64">
        <f t="shared" si="341"/>
        <v>46019</v>
      </c>
      <c r="ADT1" s="64">
        <f t="shared" si="341"/>
        <v>46020</v>
      </c>
      <c r="ADU1" s="64">
        <f t="shared" si="341"/>
        <v>46021</v>
      </c>
      <c r="ADV1" s="64">
        <f t="shared" si="341"/>
        <v>46022</v>
      </c>
      <c r="ADW1" s="64">
        <f t="shared" si="341"/>
        <v>46023</v>
      </c>
      <c r="ADX1" s="64">
        <f t="shared" si="341"/>
        <v>46024</v>
      </c>
      <c r="ADY1" s="64">
        <f t="shared" si="341"/>
        <v>46025</v>
      </c>
      <c r="ADZ1" s="64">
        <f t="shared" si="341"/>
        <v>46026</v>
      </c>
      <c r="AEA1" s="64">
        <f t="shared" ref="AEA1:AFF1" si="342">ADZ1+1</f>
        <v>46027</v>
      </c>
      <c r="AEB1" s="64">
        <f t="shared" si="342"/>
        <v>46028</v>
      </c>
      <c r="AEC1" s="64">
        <f t="shared" si="342"/>
        <v>46029</v>
      </c>
      <c r="AED1" s="64">
        <f t="shared" si="342"/>
        <v>46030</v>
      </c>
      <c r="AEE1" s="64">
        <f t="shared" si="342"/>
        <v>46031</v>
      </c>
      <c r="AEF1" s="64">
        <f t="shared" si="342"/>
        <v>46032</v>
      </c>
      <c r="AEG1" s="64">
        <f t="shared" si="342"/>
        <v>46033</v>
      </c>
      <c r="AEH1" s="64">
        <f t="shared" si="342"/>
        <v>46034</v>
      </c>
      <c r="AEI1" s="64">
        <f t="shared" si="342"/>
        <v>46035</v>
      </c>
      <c r="AEJ1" s="64">
        <f t="shared" si="342"/>
        <v>46036</v>
      </c>
      <c r="AEK1" s="64">
        <f t="shared" si="342"/>
        <v>46037</v>
      </c>
      <c r="AEL1" s="64">
        <f t="shared" si="342"/>
        <v>46038</v>
      </c>
      <c r="AEM1" s="64">
        <f t="shared" si="342"/>
        <v>46039</v>
      </c>
      <c r="AEN1" s="64">
        <f t="shared" si="342"/>
        <v>46040</v>
      </c>
      <c r="AEO1" s="64">
        <f t="shared" si="342"/>
        <v>46041</v>
      </c>
      <c r="AEP1" s="64">
        <f t="shared" si="342"/>
        <v>46042</v>
      </c>
      <c r="AEQ1" s="64">
        <f t="shared" si="342"/>
        <v>46043</v>
      </c>
      <c r="AER1" s="64">
        <f t="shared" si="342"/>
        <v>46044</v>
      </c>
      <c r="AES1" s="64">
        <f t="shared" si="342"/>
        <v>46045</v>
      </c>
      <c r="AET1" s="64">
        <f t="shared" si="342"/>
        <v>46046</v>
      </c>
      <c r="AEU1" s="64">
        <f t="shared" si="342"/>
        <v>46047</v>
      </c>
      <c r="AEV1" s="64">
        <f t="shared" si="342"/>
        <v>46048</v>
      </c>
      <c r="AEW1" s="64">
        <f t="shared" si="342"/>
        <v>46049</v>
      </c>
      <c r="AEX1" s="64">
        <f t="shared" si="342"/>
        <v>46050</v>
      </c>
      <c r="AEY1" s="64">
        <f t="shared" si="342"/>
        <v>46051</v>
      </c>
      <c r="AEZ1" s="64">
        <f t="shared" si="342"/>
        <v>46052</v>
      </c>
      <c r="AFA1" s="64">
        <f t="shared" si="342"/>
        <v>46053</v>
      </c>
      <c r="AFB1" s="64">
        <f t="shared" si="342"/>
        <v>46054</v>
      </c>
      <c r="AFC1" s="64">
        <f t="shared" si="342"/>
        <v>46055</v>
      </c>
      <c r="AFD1" s="64">
        <f t="shared" si="342"/>
        <v>46056</v>
      </c>
      <c r="AFE1" s="64">
        <f t="shared" si="342"/>
        <v>46057</v>
      </c>
      <c r="AFF1" s="64">
        <f t="shared" si="342"/>
        <v>46058</v>
      </c>
      <c r="AFG1" s="64">
        <f t="shared" ref="AFG1:AGL1" si="343">AFF1+1</f>
        <v>46059</v>
      </c>
      <c r="AFH1" s="64">
        <f t="shared" si="343"/>
        <v>46060</v>
      </c>
      <c r="AFI1" s="64">
        <f t="shared" si="343"/>
        <v>46061</v>
      </c>
      <c r="AFJ1" s="64">
        <f t="shared" si="343"/>
        <v>46062</v>
      </c>
      <c r="AFK1" s="64">
        <f t="shared" si="343"/>
        <v>46063</v>
      </c>
      <c r="AFL1" s="64">
        <f t="shared" si="343"/>
        <v>46064</v>
      </c>
      <c r="AFM1" s="64">
        <f t="shared" si="343"/>
        <v>46065</v>
      </c>
      <c r="AFN1" s="64">
        <f t="shared" si="343"/>
        <v>46066</v>
      </c>
      <c r="AFO1" s="64">
        <f t="shared" si="343"/>
        <v>46067</v>
      </c>
      <c r="AFP1" s="64">
        <f t="shared" si="343"/>
        <v>46068</v>
      </c>
      <c r="AFQ1" s="64">
        <f t="shared" si="343"/>
        <v>46069</v>
      </c>
      <c r="AFR1" s="64">
        <f t="shared" si="343"/>
        <v>46070</v>
      </c>
      <c r="AFS1" s="64">
        <f t="shared" si="343"/>
        <v>46071</v>
      </c>
      <c r="AFT1" s="64">
        <f t="shared" si="343"/>
        <v>46072</v>
      </c>
      <c r="AFU1" s="64">
        <f t="shared" si="343"/>
        <v>46073</v>
      </c>
      <c r="AFV1" s="64">
        <f t="shared" si="343"/>
        <v>46074</v>
      </c>
      <c r="AFW1" s="64">
        <f t="shared" si="343"/>
        <v>46075</v>
      </c>
      <c r="AFX1" s="64">
        <f t="shared" si="343"/>
        <v>46076</v>
      </c>
      <c r="AFY1" s="64">
        <f t="shared" si="343"/>
        <v>46077</v>
      </c>
      <c r="AFZ1" s="64">
        <f t="shared" si="343"/>
        <v>46078</v>
      </c>
      <c r="AGA1" s="64">
        <f t="shared" si="343"/>
        <v>46079</v>
      </c>
      <c r="AGB1" s="64">
        <f t="shared" si="343"/>
        <v>46080</v>
      </c>
      <c r="AGC1" s="64">
        <f t="shared" si="343"/>
        <v>46081</v>
      </c>
      <c r="AGD1" s="64">
        <f t="shared" si="343"/>
        <v>46082</v>
      </c>
      <c r="AGE1" s="64">
        <f t="shared" si="343"/>
        <v>46083</v>
      </c>
      <c r="AGF1" s="64">
        <f t="shared" si="343"/>
        <v>46084</v>
      </c>
      <c r="AGG1" s="64">
        <f t="shared" si="343"/>
        <v>46085</v>
      </c>
      <c r="AGH1" s="64">
        <f t="shared" si="343"/>
        <v>46086</v>
      </c>
      <c r="AGI1" s="64">
        <f t="shared" si="343"/>
        <v>46087</v>
      </c>
      <c r="AGJ1" s="64">
        <f t="shared" si="343"/>
        <v>46088</v>
      </c>
      <c r="AGK1" s="64">
        <f t="shared" si="343"/>
        <v>46089</v>
      </c>
      <c r="AGL1" s="64">
        <f t="shared" si="343"/>
        <v>46090</v>
      </c>
      <c r="AGM1" s="64">
        <f t="shared" ref="AGM1:AGU1" si="344">AGL1+1</f>
        <v>46091</v>
      </c>
      <c r="AGN1" s="64">
        <f t="shared" si="344"/>
        <v>46092</v>
      </c>
      <c r="AGO1" s="64">
        <f t="shared" si="344"/>
        <v>46093</v>
      </c>
      <c r="AGP1" s="64">
        <f t="shared" si="344"/>
        <v>46094</v>
      </c>
      <c r="AGQ1" s="64">
        <f t="shared" si="344"/>
        <v>46095</v>
      </c>
      <c r="AGR1" s="64">
        <f t="shared" si="344"/>
        <v>46096</v>
      </c>
      <c r="AGS1" s="64">
        <f t="shared" si="344"/>
        <v>46097</v>
      </c>
      <c r="AGT1" s="64">
        <f t="shared" si="344"/>
        <v>46098</v>
      </c>
      <c r="AGU1" s="64">
        <f t="shared" si="344"/>
        <v>46099</v>
      </c>
      <c r="AGV1" s="64">
        <f t="shared" ref="AGV1" si="345">AGU1+1</f>
        <v>46100</v>
      </c>
      <c r="AGW1" s="64">
        <f t="shared" ref="AGW1" si="346">AGV1+1</f>
        <v>46101</v>
      </c>
      <c r="AGX1" s="64">
        <f t="shared" ref="AGX1" si="347">AGW1+1</f>
        <v>46102</v>
      </c>
      <c r="AGY1" s="64">
        <f t="shared" ref="AGY1" si="348">AGX1+1</f>
        <v>46103</v>
      </c>
      <c r="AGZ1" s="64">
        <f t="shared" ref="AGZ1" si="349">AGY1+1</f>
        <v>46104</v>
      </c>
      <c r="AHA1" s="64">
        <f t="shared" ref="AHA1" si="350">AGZ1+1</f>
        <v>46105</v>
      </c>
      <c r="AHB1" s="64">
        <f t="shared" ref="AHB1" si="351">AHA1+1</f>
        <v>46106</v>
      </c>
      <c r="AHC1" s="64">
        <f t="shared" ref="AHC1" si="352">AHB1+1</f>
        <v>46107</v>
      </c>
      <c r="AHD1" s="64">
        <f t="shared" ref="AHD1" si="353">AHC1+1</f>
        <v>46108</v>
      </c>
      <c r="AHE1" s="64">
        <f t="shared" ref="AHE1" si="354">AHD1+1</f>
        <v>46109</v>
      </c>
      <c r="AHF1" s="64">
        <f t="shared" ref="AHF1" si="355">AHE1+1</f>
        <v>46110</v>
      </c>
      <c r="AHG1" s="64">
        <f t="shared" ref="AHG1" si="356">AHF1+1</f>
        <v>46111</v>
      </c>
      <c r="AHH1" s="64">
        <f t="shared" ref="AHH1" si="357">AHG1+1</f>
        <v>46112</v>
      </c>
      <c r="AHI1" s="64">
        <f t="shared" ref="AHI1" si="358">AHH1+1</f>
        <v>46113</v>
      </c>
      <c r="AHJ1" s="64">
        <f t="shared" ref="AHJ1" si="359">AHI1+1</f>
        <v>46114</v>
      </c>
      <c r="AHK1" s="64">
        <f t="shared" ref="AHK1" si="360">AHJ1+1</f>
        <v>46115</v>
      </c>
      <c r="AHL1" s="64">
        <f t="shared" ref="AHL1" si="361">AHK1+1</f>
        <v>46116</v>
      </c>
      <c r="AHM1" s="64">
        <f t="shared" ref="AHM1" si="362">AHL1+1</f>
        <v>46117</v>
      </c>
      <c r="AHN1" s="64">
        <f t="shared" ref="AHN1" si="363">AHM1+1</f>
        <v>46118</v>
      </c>
      <c r="AHO1" s="64">
        <f t="shared" ref="AHO1" si="364">AHN1+1</f>
        <v>46119</v>
      </c>
      <c r="AHP1" s="64">
        <f t="shared" ref="AHP1" si="365">AHO1+1</f>
        <v>46120</v>
      </c>
      <c r="AHQ1" s="64">
        <f t="shared" ref="AHQ1" si="366">AHP1+1</f>
        <v>46121</v>
      </c>
      <c r="AHR1" s="64">
        <f t="shared" ref="AHR1" si="367">AHQ1+1</f>
        <v>46122</v>
      </c>
      <c r="AHS1" s="64">
        <f t="shared" ref="AHS1" si="368">AHR1+1</f>
        <v>46123</v>
      </c>
      <c r="AHT1" s="64">
        <f t="shared" ref="AHT1" si="369">AHS1+1</f>
        <v>46124</v>
      </c>
      <c r="AHU1" s="64">
        <f t="shared" ref="AHU1" si="370">AHT1+1</f>
        <v>46125</v>
      </c>
      <c r="AHV1" s="64">
        <f t="shared" ref="AHV1" si="371">AHU1+1</f>
        <v>46126</v>
      </c>
      <c r="AHW1" s="64">
        <f t="shared" ref="AHW1" si="372">AHV1+1</f>
        <v>46127</v>
      </c>
      <c r="AHX1" s="64">
        <f t="shared" ref="AHX1" si="373">AHW1+1</f>
        <v>46128</v>
      </c>
      <c r="AHY1" s="64">
        <f t="shared" ref="AHY1" si="374">AHX1+1</f>
        <v>46129</v>
      </c>
      <c r="AHZ1" s="64">
        <f t="shared" ref="AHZ1" si="375">AHY1+1</f>
        <v>46130</v>
      </c>
      <c r="AIA1" s="64">
        <f t="shared" ref="AIA1" si="376">AHZ1+1</f>
        <v>46131</v>
      </c>
      <c r="AIB1" s="64">
        <f t="shared" ref="AIB1" si="377">AIA1+1</f>
        <v>46132</v>
      </c>
      <c r="AIC1" s="64">
        <f t="shared" ref="AIC1" si="378">AIB1+1</f>
        <v>46133</v>
      </c>
      <c r="AID1" s="64">
        <f t="shared" ref="AID1" si="379">AIC1+1</f>
        <v>46134</v>
      </c>
      <c r="AIE1" s="64">
        <f t="shared" ref="AIE1" si="380">AID1+1</f>
        <v>46135</v>
      </c>
      <c r="AIF1" s="64">
        <f t="shared" ref="AIF1:AIZ1" si="381">AIE1+1</f>
        <v>46136</v>
      </c>
      <c r="AIG1" s="64">
        <f t="shared" si="381"/>
        <v>46137</v>
      </c>
      <c r="AIH1" s="64">
        <f t="shared" si="381"/>
        <v>46138</v>
      </c>
      <c r="AII1" s="64">
        <f t="shared" si="381"/>
        <v>46139</v>
      </c>
      <c r="AIJ1" s="64">
        <f t="shared" si="381"/>
        <v>46140</v>
      </c>
      <c r="AIK1" s="64">
        <f t="shared" si="381"/>
        <v>46141</v>
      </c>
      <c r="AIL1" s="64">
        <f t="shared" si="381"/>
        <v>46142</v>
      </c>
      <c r="AIM1" s="64">
        <f t="shared" si="381"/>
        <v>46143</v>
      </c>
      <c r="AIN1" s="64">
        <f t="shared" si="381"/>
        <v>46144</v>
      </c>
      <c r="AIO1" s="64">
        <f t="shared" si="381"/>
        <v>46145</v>
      </c>
      <c r="AIP1" s="64">
        <f t="shared" si="381"/>
        <v>46146</v>
      </c>
      <c r="AIQ1" s="64">
        <f t="shared" si="381"/>
        <v>46147</v>
      </c>
      <c r="AIR1" s="64">
        <f t="shared" si="381"/>
        <v>46148</v>
      </c>
      <c r="AIS1" s="64">
        <f t="shared" si="381"/>
        <v>46149</v>
      </c>
      <c r="AIT1" s="64">
        <f t="shared" si="381"/>
        <v>46150</v>
      </c>
      <c r="AIU1" s="64">
        <f t="shared" si="381"/>
        <v>46151</v>
      </c>
      <c r="AIV1" s="64">
        <f t="shared" si="381"/>
        <v>46152</v>
      </c>
      <c r="AIW1" s="64">
        <f t="shared" si="381"/>
        <v>46153</v>
      </c>
      <c r="AIX1" s="64">
        <f t="shared" si="381"/>
        <v>46154</v>
      </c>
      <c r="AIY1" s="64">
        <f t="shared" si="381"/>
        <v>46155</v>
      </c>
      <c r="AIZ1" s="64">
        <f t="shared" si="381"/>
        <v>46156</v>
      </c>
      <c r="AJA1" s="64">
        <f t="shared" ref="AJA1:AKK1" si="382">AIZ1+1</f>
        <v>46157</v>
      </c>
      <c r="AJB1" s="64">
        <f t="shared" si="382"/>
        <v>46158</v>
      </c>
      <c r="AJC1" s="64">
        <f t="shared" si="382"/>
        <v>46159</v>
      </c>
      <c r="AJD1" s="64">
        <f t="shared" si="382"/>
        <v>46160</v>
      </c>
      <c r="AJE1" s="64">
        <f t="shared" si="382"/>
        <v>46161</v>
      </c>
      <c r="AJF1" s="64">
        <f t="shared" si="382"/>
        <v>46162</v>
      </c>
      <c r="AJG1" s="64">
        <f t="shared" si="382"/>
        <v>46163</v>
      </c>
      <c r="AJH1" s="64">
        <f t="shared" si="382"/>
        <v>46164</v>
      </c>
      <c r="AJI1" s="64">
        <f t="shared" si="382"/>
        <v>46165</v>
      </c>
      <c r="AJJ1" s="64">
        <f t="shared" si="382"/>
        <v>46166</v>
      </c>
      <c r="AJK1" s="64">
        <f t="shared" si="382"/>
        <v>46167</v>
      </c>
      <c r="AJL1" s="64">
        <f t="shared" si="382"/>
        <v>46168</v>
      </c>
      <c r="AJM1" s="64">
        <f t="shared" si="382"/>
        <v>46169</v>
      </c>
      <c r="AJN1" s="64">
        <f t="shared" si="382"/>
        <v>46170</v>
      </c>
      <c r="AJO1" s="64">
        <f t="shared" si="382"/>
        <v>46171</v>
      </c>
      <c r="AJP1" s="64">
        <f t="shared" si="382"/>
        <v>46172</v>
      </c>
      <c r="AJQ1" s="64">
        <f t="shared" si="382"/>
        <v>46173</v>
      </c>
      <c r="AJR1" s="64">
        <f t="shared" si="382"/>
        <v>46174</v>
      </c>
      <c r="AJS1" s="64">
        <f t="shared" si="382"/>
        <v>46175</v>
      </c>
      <c r="AJT1" s="64">
        <f t="shared" si="382"/>
        <v>46176</v>
      </c>
      <c r="AJU1" s="64">
        <f t="shared" si="382"/>
        <v>46177</v>
      </c>
      <c r="AJV1" s="64">
        <f t="shared" si="382"/>
        <v>46178</v>
      </c>
      <c r="AJW1" s="64">
        <f t="shared" si="382"/>
        <v>46179</v>
      </c>
      <c r="AJX1" s="64">
        <f t="shared" si="382"/>
        <v>46180</v>
      </c>
      <c r="AJY1" s="64">
        <f t="shared" si="382"/>
        <v>46181</v>
      </c>
      <c r="AJZ1" s="64">
        <f t="shared" si="382"/>
        <v>46182</v>
      </c>
      <c r="AKA1" s="64">
        <f t="shared" si="382"/>
        <v>46183</v>
      </c>
      <c r="AKB1" s="64">
        <f t="shared" si="382"/>
        <v>46184</v>
      </c>
      <c r="AKC1" s="64">
        <f t="shared" si="382"/>
        <v>46185</v>
      </c>
      <c r="AKD1" s="64">
        <f t="shared" si="382"/>
        <v>46186</v>
      </c>
      <c r="AKE1" s="64">
        <f t="shared" si="382"/>
        <v>46187</v>
      </c>
      <c r="AKF1" s="64">
        <f t="shared" si="382"/>
        <v>46188</v>
      </c>
      <c r="AKG1" s="64">
        <f t="shared" si="382"/>
        <v>46189</v>
      </c>
      <c r="AKH1" s="64">
        <f t="shared" si="382"/>
        <v>46190</v>
      </c>
      <c r="AKI1" s="64">
        <f t="shared" si="382"/>
        <v>46191</v>
      </c>
      <c r="AKJ1" s="64">
        <f t="shared" si="382"/>
        <v>46192</v>
      </c>
      <c r="AKK1" s="64">
        <f t="shared" si="382"/>
        <v>46193</v>
      </c>
      <c r="AKL1" s="64">
        <f t="shared" ref="AKL1" si="383">AKK1+1</f>
        <v>46194</v>
      </c>
      <c r="AKM1" s="64">
        <f t="shared" ref="AKM1" si="384">AKL1+1</f>
        <v>46195</v>
      </c>
      <c r="AKN1" s="64">
        <f t="shared" ref="AKN1" si="385">AKM1+1</f>
        <v>46196</v>
      </c>
      <c r="AKO1" s="64">
        <f t="shared" ref="AKO1" si="386">AKN1+1</f>
        <v>46197</v>
      </c>
      <c r="AKP1" s="64">
        <f t="shared" ref="AKP1" si="387">AKO1+1</f>
        <v>46198</v>
      </c>
      <c r="AKQ1" s="64">
        <f t="shared" ref="AKQ1" si="388">AKP1+1</f>
        <v>46199</v>
      </c>
      <c r="AKR1" s="64">
        <f t="shared" ref="AKR1" si="389">AKQ1+1</f>
        <v>46200</v>
      </c>
      <c r="AKS1" s="64">
        <f t="shared" ref="AKS1" si="390">AKR1+1</f>
        <v>46201</v>
      </c>
      <c r="AKT1" s="64">
        <f t="shared" ref="AKT1" si="391">AKS1+1</f>
        <v>46202</v>
      </c>
      <c r="AKU1" s="64">
        <f t="shared" ref="AKU1" si="392">AKT1+1</f>
        <v>46203</v>
      </c>
      <c r="AKV1" s="64">
        <f t="shared" ref="AKV1" si="393">AKU1+1</f>
        <v>46204</v>
      </c>
      <c r="AKW1" s="64">
        <f t="shared" ref="AKW1" si="394">AKV1+1</f>
        <v>46205</v>
      </c>
      <c r="AKX1" s="64">
        <f t="shared" ref="AKX1" si="395">AKW1+1</f>
        <v>46206</v>
      </c>
      <c r="AKY1" s="64">
        <f t="shared" ref="AKY1" si="396">AKX1+1</f>
        <v>46207</v>
      </c>
      <c r="AKZ1" s="64">
        <f t="shared" ref="AKZ1" si="397">AKY1+1</f>
        <v>46208</v>
      </c>
      <c r="ALA1" s="64">
        <f t="shared" ref="ALA1" si="398">AKZ1+1</f>
        <v>46209</v>
      </c>
      <c r="ALB1" s="64">
        <f t="shared" ref="ALB1" si="399">ALA1+1</f>
        <v>46210</v>
      </c>
      <c r="ALC1" s="64">
        <f t="shared" ref="ALC1" si="400">ALB1+1</f>
        <v>46211</v>
      </c>
      <c r="ALD1" s="64">
        <f t="shared" ref="ALD1" si="401">ALC1+1</f>
        <v>46212</v>
      </c>
      <c r="ALE1" s="64">
        <f t="shared" ref="ALE1" si="402">ALD1+1</f>
        <v>46213</v>
      </c>
      <c r="ALF1" s="64">
        <f t="shared" ref="ALF1" si="403">ALE1+1</f>
        <v>46214</v>
      </c>
      <c r="ALG1" s="64">
        <f t="shared" ref="ALG1" si="404">ALF1+1</f>
        <v>46215</v>
      </c>
      <c r="ALH1" s="64">
        <f t="shared" ref="ALH1" si="405">ALG1+1</f>
        <v>46216</v>
      </c>
      <c r="ALI1" s="64">
        <f t="shared" ref="ALI1" si="406">ALH1+1</f>
        <v>46217</v>
      </c>
      <c r="ALJ1" s="64">
        <f t="shared" ref="ALJ1" si="407">ALI1+1</f>
        <v>46218</v>
      </c>
      <c r="ALK1" s="64">
        <f t="shared" ref="ALK1" si="408">ALJ1+1</f>
        <v>46219</v>
      </c>
      <c r="ALL1" s="64">
        <f t="shared" ref="ALL1" si="409">ALK1+1</f>
        <v>46220</v>
      </c>
      <c r="ALM1" s="64">
        <f t="shared" ref="ALM1" si="410">ALL1+1</f>
        <v>46221</v>
      </c>
      <c r="ALN1" s="64">
        <f t="shared" ref="ALN1" si="411">ALM1+1</f>
        <v>46222</v>
      </c>
      <c r="ALO1" s="64">
        <f t="shared" ref="ALO1" si="412">ALN1+1</f>
        <v>46223</v>
      </c>
      <c r="ALP1" s="64">
        <f t="shared" ref="ALP1" si="413">ALO1+1</f>
        <v>46224</v>
      </c>
      <c r="ALQ1" s="64">
        <f t="shared" ref="ALQ1" si="414">ALP1+1</f>
        <v>46225</v>
      </c>
      <c r="ALR1" s="64">
        <f t="shared" ref="ALR1" si="415">ALQ1+1</f>
        <v>46226</v>
      </c>
      <c r="ALS1" s="64">
        <f t="shared" ref="ALS1" si="416">ALR1+1</f>
        <v>46227</v>
      </c>
      <c r="ALT1" s="64">
        <f t="shared" ref="ALT1" si="417">ALS1+1</f>
        <v>46228</v>
      </c>
      <c r="ALU1" s="64">
        <f t="shared" ref="ALU1" si="418">ALT1+1</f>
        <v>46229</v>
      </c>
      <c r="ALV1" s="64">
        <f t="shared" ref="ALV1" si="419">ALU1+1</f>
        <v>46230</v>
      </c>
    </row>
    <row r="2" spans="1:1010" s="8" customFormat="1">
      <c r="C2" s="9">
        <v>82630</v>
      </c>
      <c r="D2" s="9" t="s">
        <v>28</v>
      </c>
      <c r="E2" s="9" t="s">
        <v>86</v>
      </c>
      <c r="F2" s="10"/>
      <c r="G2" s="10"/>
      <c r="H2" s="10"/>
      <c r="I2" s="10"/>
    </row>
    <row r="3" spans="1:1010">
      <c r="A3">
        <v>1</v>
      </c>
      <c r="B3" t="s">
        <v>87</v>
      </c>
      <c r="C3" s="1">
        <v>82630</v>
      </c>
      <c r="D3" s="2" t="s">
        <v>28</v>
      </c>
      <c r="E3" s="3" t="s">
        <v>88</v>
      </c>
      <c r="F3" s="1" t="s">
        <v>11</v>
      </c>
      <c r="G3" s="1" t="s">
        <v>33</v>
      </c>
      <c r="H3" s="1" t="s">
        <v>89</v>
      </c>
      <c r="I3" s="1" t="s">
        <v>45</v>
      </c>
      <c r="J3" s="1" t="s">
        <v>46</v>
      </c>
      <c r="K3">
        <v>14611</v>
      </c>
      <c r="L3">
        <v>9437</v>
      </c>
      <c r="M3">
        <v>50369</v>
      </c>
      <c r="N3">
        <v>10179</v>
      </c>
      <c r="O3">
        <v>0</v>
      </c>
      <c r="P3">
        <v>43504</v>
      </c>
      <c r="Q3">
        <v>33965</v>
      </c>
      <c r="R3">
        <v>69688</v>
      </c>
      <c r="S3">
        <v>30958</v>
      </c>
      <c r="T3">
        <v>65485</v>
      </c>
      <c r="U3">
        <v>19573</v>
      </c>
      <c r="V3">
        <v>0</v>
      </c>
      <c r="W3">
        <v>46814</v>
      </c>
      <c r="X3">
        <v>34929</v>
      </c>
      <c r="Y3">
        <v>45146</v>
      </c>
      <c r="Z3">
        <v>26314</v>
      </c>
      <c r="AA3">
        <v>32936</v>
      </c>
      <c r="AB3">
        <v>14940</v>
      </c>
      <c r="AC3">
        <v>0</v>
      </c>
      <c r="AD3">
        <v>7600</v>
      </c>
      <c r="AE3">
        <v>38097</v>
      </c>
      <c r="AF3">
        <v>29073</v>
      </c>
      <c r="AG3">
        <v>38340</v>
      </c>
      <c r="AH3">
        <v>39604</v>
      </c>
      <c r="AI3">
        <v>34009</v>
      </c>
      <c r="AJ3">
        <v>0</v>
      </c>
      <c r="AK3">
        <v>33248</v>
      </c>
      <c r="AL3">
        <v>20000</v>
      </c>
      <c r="AM3">
        <v>5202</v>
      </c>
      <c r="AN3">
        <v>13398</v>
      </c>
      <c r="AO3">
        <v>29712</v>
      </c>
      <c r="AP3">
        <v>13069</v>
      </c>
      <c r="AQ3">
        <v>0</v>
      </c>
      <c r="AR3">
        <v>4298</v>
      </c>
      <c r="AS3">
        <v>0</v>
      </c>
      <c r="AT3">
        <v>9788</v>
      </c>
      <c r="AU3">
        <v>11752</v>
      </c>
      <c r="AV3">
        <v>15292</v>
      </c>
      <c r="AW3">
        <v>9822</v>
      </c>
      <c r="AX3">
        <v>0</v>
      </c>
      <c r="AY3">
        <v>8365</v>
      </c>
      <c r="AZ3">
        <v>18777</v>
      </c>
      <c r="BA3">
        <v>16220</v>
      </c>
      <c r="BB3">
        <v>2116</v>
      </c>
      <c r="BC3">
        <v>42387</v>
      </c>
      <c r="BD3">
        <v>6485</v>
      </c>
      <c r="BE3">
        <v>0</v>
      </c>
      <c r="BF3">
        <v>68986</v>
      </c>
      <c r="BG3">
        <v>6035</v>
      </c>
      <c r="BH3">
        <v>7918</v>
      </c>
      <c r="BI3">
        <v>11371</v>
      </c>
      <c r="BJ3">
        <v>20944</v>
      </c>
      <c r="BK3">
        <v>0</v>
      </c>
      <c r="BL3">
        <v>0</v>
      </c>
      <c r="BM3">
        <v>321</v>
      </c>
      <c r="BN3">
        <v>54</v>
      </c>
      <c r="BO3">
        <v>11181</v>
      </c>
      <c r="BP3">
        <v>2803</v>
      </c>
      <c r="BQ3">
        <v>0</v>
      </c>
      <c r="BR3">
        <v>0</v>
      </c>
      <c r="BS3">
        <v>0</v>
      </c>
      <c r="BT3">
        <v>0</v>
      </c>
      <c r="BU3" s="33">
        <v>0</v>
      </c>
      <c r="BV3" s="33">
        <v>41785</v>
      </c>
      <c r="BW3" s="33">
        <v>14281</v>
      </c>
      <c r="BX3" s="33">
        <v>5184</v>
      </c>
      <c r="BY3" s="33">
        <v>21412</v>
      </c>
      <c r="BZ3" s="33">
        <v>0</v>
      </c>
      <c r="CA3" s="33">
        <v>15029</v>
      </c>
      <c r="CB3">
        <v>28774</v>
      </c>
      <c r="CC3">
        <v>142568</v>
      </c>
      <c r="CD3">
        <v>10354</v>
      </c>
      <c r="CE3">
        <v>18730</v>
      </c>
      <c r="CF3">
        <v>11566</v>
      </c>
      <c r="CG3">
        <v>0</v>
      </c>
      <c r="CH3">
        <v>1456</v>
      </c>
      <c r="CI3">
        <v>70640</v>
      </c>
      <c r="CJ3">
        <v>2710</v>
      </c>
      <c r="CK3">
        <v>43706</v>
      </c>
      <c r="CL3">
        <v>4062</v>
      </c>
      <c r="CM3">
        <v>0</v>
      </c>
      <c r="CN3">
        <v>0</v>
      </c>
      <c r="CO3">
        <v>351</v>
      </c>
      <c r="CP3">
        <v>1345</v>
      </c>
      <c r="CQ3">
        <v>7113</v>
      </c>
      <c r="CR3">
        <v>8654</v>
      </c>
      <c r="CS3">
        <v>5743</v>
      </c>
      <c r="CT3">
        <v>6875</v>
      </c>
      <c r="CU3">
        <v>3656</v>
      </c>
      <c r="CV3">
        <v>8997</v>
      </c>
      <c r="CW3">
        <v>17132</v>
      </c>
      <c r="CX3">
        <v>3786</v>
      </c>
      <c r="CY3">
        <v>7863</v>
      </c>
      <c r="CZ3">
        <v>21313</v>
      </c>
      <c r="DA3">
        <v>7147</v>
      </c>
      <c r="DB3">
        <v>4461</v>
      </c>
      <c r="DC3">
        <v>14183</v>
      </c>
      <c r="DD3">
        <v>22077</v>
      </c>
      <c r="DE3">
        <v>6901</v>
      </c>
      <c r="DF3">
        <v>44418</v>
      </c>
      <c r="DG3">
        <v>42343</v>
      </c>
      <c r="DH3">
        <v>32500</v>
      </c>
      <c r="DI3">
        <v>19350</v>
      </c>
      <c r="DJ3">
        <v>20280</v>
      </c>
      <c r="DK3">
        <v>37081</v>
      </c>
      <c r="DL3">
        <v>13861</v>
      </c>
      <c r="DM3">
        <v>22113</v>
      </c>
      <c r="DN3">
        <v>4520</v>
      </c>
      <c r="DO3">
        <v>20865</v>
      </c>
      <c r="DP3">
        <v>0</v>
      </c>
      <c r="DQ3">
        <v>4561</v>
      </c>
      <c r="DR3">
        <v>25613</v>
      </c>
      <c r="DS3">
        <v>1160</v>
      </c>
      <c r="DT3">
        <v>20761</v>
      </c>
      <c r="DU3">
        <v>2525</v>
      </c>
      <c r="DV3">
        <v>9978</v>
      </c>
      <c r="DW3">
        <v>6783</v>
      </c>
      <c r="DX3">
        <v>33374</v>
      </c>
      <c r="DY3">
        <v>15702</v>
      </c>
      <c r="DZ3">
        <v>19977</v>
      </c>
      <c r="EA3">
        <v>0</v>
      </c>
      <c r="EB3">
        <v>8585</v>
      </c>
      <c r="EC3">
        <v>4888</v>
      </c>
      <c r="ED3">
        <v>0</v>
      </c>
      <c r="EE3">
        <v>7957</v>
      </c>
      <c r="EF3">
        <v>11870</v>
      </c>
      <c r="EG3">
        <v>12179</v>
      </c>
      <c r="EH3">
        <v>53543</v>
      </c>
      <c r="EI3">
        <v>11415</v>
      </c>
      <c r="EJ3">
        <v>14957</v>
      </c>
      <c r="EK3">
        <v>0</v>
      </c>
      <c r="EL3">
        <v>23287</v>
      </c>
      <c r="EM3">
        <v>39888</v>
      </c>
      <c r="EN3">
        <v>13101</v>
      </c>
      <c r="EO3">
        <v>32115</v>
      </c>
      <c r="EP3">
        <v>48424</v>
      </c>
      <c r="EQ3">
        <v>27262</v>
      </c>
      <c r="ER3">
        <v>0</v>
      </c>
      <c r="ES3">
        <v>10864</v>
      </c>
      <c r="ET3">
        <v>17392</v>
      </c>
      <c r="EU3">
        <v>10451</v>
      </c>
      <c r="EV3">
        <v>19071</v>
      </c>
      <c r="EW3">
        <v>9478</v>
      </c>
      <c r="EX3">
        <v>1487</v>
      </c>
      <c r="EY3">
        <v>0</v>
      </c>
      <c r="EZ3">
        <v>2361</v>
      </c>
      <c r="FA3">
        <v>4927</v>
      </c>
      <c r="FB3">
        <v>15539</v>
      </c>
      <c r="FC3">
        <v>15368</v>
      </c>
      <c r="FD3">
        <v>14464</v>
      </c>
      <c r="FE3">
        <v>5825</v>
      </c>
      <c r="FF3">
        <v>0</v>
      </c>
      <c r="FG3">
        <v>9236</v>
      </c>
      <c r="FH3">
        <v>4713</v>
      </c>
      <c r="FI3">
        <v>754</v>
      </c>
      <c r="FJ3">
        <v>1514</v>
      </c>
      <c r="FK3">
        <v>14963</v>
      </c>
      <c r="FL3">
        <v>13637</v>
      </c>
      <c r="FM3">
        <v>6351</v>
      </c>
      <c r="FN3">
        <v>5473</v>
      </c>
      <c r="FO3">
        <v>22109</v>
      </c>
      <c r="FP3">
        <v>28476</v>
      </c>
      <c r="FQ3">
        <v>22756</v>
      </c>
      <c r="FR3">
        <v>19183</v>
      </c>
      <c r="FS3">
        <v>0</v>
      </c>
      <c r="FT3">
        <v>0</v>
      </c>
      <c r="FU3">
        <v>0</v>
      </c>
      <c r="FV3">
        <v>26048</v>
      </c>
      <c r="FW3">
        <v>15183</v>
      </c>
      <c r="FX3">
        <v>35522</v>
      </c>
      <c r="FY3">
        <v>65757</v>
      </c>
      <c r="FZ3">
        <v>14138</v>
      </c>
      <c r="GA3">
        <v>0</v>
      </c>
      <c r="GB3">
        <v>13274</v>
      </c>
      <c r="GC3">
        <v>9321</v>
      </c>
      <c r="GD3">
        <v>31278</v>
      </c>
      <c r="GE3">
        <v>35962</v>
      </c>
      <c r="GF3">
        <v>16756</v>
      </c>
      <c r="GG3">
        <v>14792</v>
      </c>
      <c r="GH3">
        <v>0</v>
      </c>
      <c r="GI3">
        <v>34041</v>
      </c>
      <c r="GJ3">
        <v>45283</v>
      </c>
      <c r="GK3">
        <v>0</v>
      </c>
      <c r="GL3">
        <v>8911</v>
      </c>
      <c r="GM3">
        <v>50935</v>
      </c>
      <c r="GN3">
        <v>2125</v>
      </c>
      <c r="GO3">
        <v>9390</v>
      </c>
      <c r="GP3">
        <v>16338</v>
      </c>
      <c r="GQ3">
        <v>50411</v>
      </c>
      <c r="GR3">
        <v>28460</v>
      </c>
      <c r="GS3">
        <v>67027</v>
      </c>
      <c r="GT3">
        <v>17639</v>
      </c>
      <c r="GU3">
        <v>12355</v>
      </c>
      <c r="GV3">
        <v>0</v>
      </c>
      <c r="GW3">
        <v>781</v>
      </c>
      <c r="GX3">
        <v>7788</v>
      </c>
      <c r="GY3">
        <v>13843</v>
      </c>
      <c r="GZ3">
        <v>7861</v>
      </c>
      <c r="HA3">
        <v>21210</v>
      </c>
      <c r="HB3">
        <v>22767</v>
      </c>
      <c r="HC3">
        <v>0</v>
      </c>
      <c r="HD3">
        <v>17140</v>
      </c>
      <c r="HE3">
        <v>11904</v>
      </c>
      <c r="HF3">
        <v>0</v>
      </c>
      <c r="HG3">
        <v>3524</v>
      </c>
      <c r="HH3">
        <v>18220</v>
      </c>
      <c r="HI3">
        <v>14468</v>
      </c>
      <c r="HJ3">
        <v>0</v>
      </c>
      <c r="HK3">
        <v>49782</v>
      </c>
      <c r="HL3">
        <v>53264</v>
      </c>
      <c r="HM3">
        <v>-2712</v>
      </c>
      <c r="HN3">
        <v>22167</v>
      </c>
      <c r="HO3">
        <v>39217</v>
      </c>
      <c r="HP3">
        <v>26739</v>
      </c>
      <c r="HQ3">
        <v>0</v>
      </c>
      <c r="HR3">
        <v>0</v>
      </c>
      <c r="HS3">
        <v>26975</v>
      </c>
      <c r="HT3">
        <v>6323</v>
      </c>
      <c r="HU3">
        <v>23736</v>
      </c>
      <c r="HV3">
        <v>9590</v>
      </c>
      <c r="HW3">
        <v>15905</v>
      </c>
      <c r="HX3">
        <v>0</v>
      </c>
      <c r="HY3">
        <v>7957</v>
      </c>
      <c r="HZ3">
        <v>19311</v>
      </c>
      <c r="IA3">
        <v>4855</v>
      </c>
      <c r="IB3">
        <v>11868</v>
      </c>
      <c r="IC3">
        <v>18852</v>
      </c>
      <c r="ID3">
        <v>25945</v>
      </c>
      <c r="IE3">
        <v>0</v>
      </c>
      <c r="IF3">
        <v>5923</v>
      </c>
      <c r="IG3">
        <v>41560</v>
      </c>
      <c r="IH3">
        <v>17568</v>
      </c>
      <c r="II3">
        <v>54653</v>
      </c>
      <c r="IJ3">
        <v>51340</v>
      </c>
      <c r="IK3">
        <v>27149</v>
      </c>
      <c r="IL3">
        <v>0</v>
      </c>
      <c r="IM3">
        <v>13490</v>
      </c>
      <c r="IN3">
        <v>26790</v>
      </c>
      <c r="IO3">
        <v>19242</v>
      </c>
      <c r="IP3">
        <v>53963</v>
      </c>
      <c r="IQ3">
        <v>304867</v>
      </c>
      <c r="IR3">
        <v>4530</v>
      </c>
      <c r="IS3">
        <v>0</v>
      </c>
      <c r="IT3">
        <v>12435</v>
      </c>
      <c r="IU3">
        <v>34533</v>
      </c>
      <c r="IV3">
        <v>10012</v>
      </c>
      <c r="IW3">
        <v>2021</v>
      </c>
      <c r="IX3">
        <v>4071</v>
      </c>
      <c r="IY3">
        <v>2223</v>
      </c>
      <c r="IZ3">
        <v>0</v>
      </c>
      <c r="JA3">
        <v>3394</v>
      </c>
      <c r="JB3">
        <v>9643</v>
      </c>
      <c r="JC3">
        <v>27859</v>
      </c>
      <c r="JD3">
        <v>17423</v>
      </c>
      <c r="JE3">
        <v>12338</v>
      </c>
      <c r="JF3">
        <v>7510</v>
      </c>
      <c r="JG3">
        <v>0</v>
      </c>
      <c r="JH3">
        <v>14098</v>
      </c>
      <c r="JI3">
        <v>49868</v>
      </c>
      <c r="JJ3">
        <v>16890</v>
      </c>
      <c r="JK3">
        <v>26059</v>
      </c>
      <c r="JL3">
        <v>56465</v>
      </c>
      <c r="JM3">
        <v>46122</v>
      </c>
      <c r="JN3">
        <v>0</v>
      </c>
      <c r="JO3">
        <v>84689</v>
      </c>
      <c r="JP3">
        <v>115390</v>
      </c>
      <c r="JQ3">
        <v>51036</v>
      </c>
      <c r="JR3">
        <v>32450</v>
      </c>
      <c r="JS3">
        <v>25039</v>
      </c>
      <c r="JT3">
        <v>16202</v>
      </c>
      <c r="JU3">
        <v>0</v>
      </c>
      <c r="JV3">
        <v>22968</v>
      </c>
      <c r="JW3">
        <v>7719</v>
      </c>
      <c r="JX3">
        <v>0</v>
      </c>
      <c r="JY3">
        <v>6911</v>
      </c>
      <c r="JZ3">
        <v>18808</v>
      </c>
      <c r="KA3">
        <v>6825</v>
      </c>
      <c r="KB3">
        <v>0</v>
      </c>
      <c r="KC3">
        <v>17148</v>
      </c>
      <c r="KD3">
        <v>26495</v>
      </c>
      <c r="KE3">
        <v>12778</v>
      </c>
      <c r="KF3">
        <v>15527</v>
      </c>
      <c r="KG3">
        <v>13226</v>
      </c>
      <c r="KH3">
        <v>8149</v>
      </c>
      <c r="KI3">
        <v>0</v>
      </c>
      <c r="KJ3">
        <v>0</v>
      </c>
      <c r="KK3">
        <v>9998</v>
      </c>
      <c r="KL3">
        <v>12325</v>
      </c>
      <c r="KM3">
        <v>4165</v>
      </c>
      <c r="KN3">
        <v>15126</v>
      </c>
      <c r="KO3">
        <v>37979</v>
      </c>
      <c r="KP3">
        <v>0</v>
      </c>
      <c r="KQ3">
        <v>16632</v>
      </c>
      <c r="KR3">
        <v>28643</v>
      </c>
      <c r="KS3">
        <v>32400</v>
      </c>
      <c r="KT3">
        <v>22212</v>
      </c>
      <c r="KU3">
        <v>19748</v>
      </c>
      <c r="KV3">
        <v>4795</v>
      </c>
      <c r="KW3">
        <v>0</v>
      </c>
      <c r="KX3">
        <v>3078</v>
      </c>
      <c r="KY3">
        <v>3039</v>
      </c>
      <c r="KZ3">
        <v>19154</v>
      </c>
      <c r="LA3">
        <v>4877</v>
      </c>
      <c r="LB3">
        <v>24009</v>
      </c>
      <c r="LC3">
        <v>21885</v>
      </c>
      <c r="LD3">
        <v>0</v>
      </c>
      <c r="LE3">
        <v>36324</v>
      </c>
      <c r="LF3">
        <v>29979</v>
      </c>
      <c r="LG3">
        <v>33542</v>
      </c>
      <c r="LH3">
        <v>13536</v>
      </c>
      <c r="LI3">
        <v>38923</v>
      </c>
      <c r="LJ3">
        <v>13017</v>
      </c>
      <c r="LK3">
        <v>15120</v>
      </c>
      <c r="LL3">
        <v>8039</v>
      </c>
      <c r="LM3">
        <v>58276</v>
      </c>
      <c r="LN3">
        <v>12973</v>
      </c>
      <c r="LO3">
        <v>16852</v>
      </c>
      <c r="LP3">
        <v>29564</v>
      </c>
      <c r="LQ3">
        <v>23237</v>
      </c>
      <c r="LR3">
        <v>3944</v>
      </c>
      <c r="LS3">
        <v>14313</v>
      </c>
      <c r="LT3">
        <v>98178</v>
      </c>
      <c r="LU3">
        <v>15829</v>
      </c>
      <c r="LV3">
        <v>46917</v>
      </c>
      <c r="LW3">
        <v>49306</v>
      </c>
      <c r="LX3">
        <v>19888</v>
      </c>
      <c r="LY3">
        <v>0</v>
      </c>
      <c r="LZ3">
        <v>37298</v>
      </c>
      <c r="MA3">
        <v>33424</v>
      </c>
      <c r="MB3">
        <v>46309</v>
      </c>
      <c r="MC3">
        <v>25965</v>
      </c>
      <c r="MD3">
        <v>22861</v>
      </c>
      <c r="ME3">
        <v>34762</v>
      </c>
      <c r="MF3">
        <v>0</v>
      </c>
      <c r="MG3">
        <v>53099</v>
      </c>
      <c r="MH3">
        <v>46067</v>
      </c>
      <c r="MI3">
        <v>52917</v>
      </c>
      <c r="MJ3">
        <v>18130</v>
      </c>
      <c r="MK3">
        <v>70921</v>
      </c>
      <c r="ML3">
        <v>24138</v>
      </c>
      <c r="MM3">
        <v>0</v>
      </c>
      <c r="MN3">
        <v>13572</v>
      </c>
      <c r="MO3">
        <v>74851</v>
      </c>
      <c r="MP3">
        <v>18411</v>
      </c>
      <c r="MQ3">
        <v>31998</v>
      </c>
      <c r="MR3">
        <v>22048</v>
      </c>
      <c r="MS3">
        <v>9308</v>
      </c>
      <c r="MT3">
        <v>5879</v>
      </c>
      <c r="MU3">
        <v>0</v>
      </c>
      <c r="MV3">
        <v>12473</v>
      </c>
      <c r="MW3">
        <v>48545</v>
      </c>
      <c r="MX3">
        <v>14919</v>
      </c>
      <c r="MY3">
        <v>17614</v>
      </c>
      <c r="MZ3">
        <v>10885</v>
      </c>
      <c r="NA3">
        <v>0</v>
      </c>
      <c r="NB3">
        <v>23475</v>
      </c>
      <c r="NC3">
        <v>58258</v>
      </c>
      <c r="ND3">
        <v>7991</v>
      </c>
      <c r="NE3">
        <v>20080</v>
      </c>
      <c r="NF3">
        <v>71055</v>
      </c>
      <c r="NG3">
        <v>39077</v>
      </c>
      <c r="NH3">
        <v>0</v>
      </c>
      <c r="NI3">
        <v>48259</v>
      </c>
      <c r="NJ3">
        <v>40865</v>
      </c>
      <c r="NK3">
        <v>37361</v>
      </c>
      <c r="NL3">
        <v>3374</v>
      </c>
      <c r="NM3">
        <v>4706</v>
      </c>
      <c r="NN3">
        <v>17767</v>
      </c>
      <c r="NO3">
        <v>0</v>
      </c>
      <c r="NP3">
        <v>3644</v>
      </c>
      <c r="NQ3">
        <v>14408</v>
      </c>
      <c r="NR3">
        <v>23150</v>
      </c>
      <c r="NS3">
        <v>22527</v>
      </c>
      <c r="NT3">
        <v>29174</v>
      </c>
      <c r="NU3">
        <v>51054</v>
      </c>
      <c r="NV3">
        <v>0</v>
      </c>
      <c r="NW3">
        <v>23764</v>
      </c>
      <c r="NX3">
        <v>27912</v>
      </c>
      <c r="NY3">
        <v>22174</v>
      </c>
      <c r="NZ3">
        <v>12459</v>
      </c>
      <c r="OA3">
        <v>21586</v>
      </c>
      <c r="OB3">
        <v>9843</v>
      </c>
      <c r="OC3">
        <v>0</v>
      </c>
      <c r="OD3">
        <v>12084</v>
      </c>
      <c r="OE3">
        <v>21279</v>
      </c>
      <c r="OF3">
        <v>49176</v>
      </c>
      <c r="OG3">
        <v>25453</v>
      </c>
      <c r="OH3">
        <v>12026</v>
      </c>
      <c r="OI3">
        <v>5433</v>
      </c>
      <c r="OJ3">
        <v>0</v>
      </c>
      <c r="OK3">
        <v>7785</v>
      </c>
      <c r="OL3">
        <v>24053</v>
      </c>
      <c r="OM3">
        <v>26123</v>
      </c>
      <c r="ON3">
        <v>17069</v>
      </c>
      <c r="OO3">
        <v>25157</v>
      </c>
      <c r="OP3">
        <v>22895</v>
      </c>
      <c r="OQ3">
        <v>0</v>
      </c>
      <c r="OR3">
        <v>19625</v>
      </c>
      <c r="OS3">
        <v>6581</v>
      </c>
      <c r="OT3">
        <v>17493</v>
      </c>
      <c r="OU3">
        <v>0</v>
      </c>
      <c r="OV3">
        <v>21292</v>
      </c>
      <c r="OW3">
        <v>40306</v>
      </c>
      <c r="OX3">
        <v>0</v>
      </c>
      <c r="OY3">
        <v>33786</v>
      </c>
      <c r="OZ3">
        <v>18123</v>
      </c>
      <c r="PA3">
        <v>23783</v>
      </c>
      <c r="PB3">
        <v>1884</v>
      </c>
      <c r="PC3">
        <v>16595</v>
      </c>
      <c r="PD3">
        <v>2315</v>
      </c>
      <c r="PE3">
        <v>0</v>
      </c>
      <c r="PF3">
        <v>28274</v>
      </c>
      <c r="PG3">
        <v>18468</v>
      </c>
      <c r="PH3">
        <v>23507</v>
      </c>
      <c r="PI3">
        <v>15869</v>
      </c>
      <c r="PJ3">
        <v>53319</v>
      </c>
      <c r="PK3">
        <v>63913</v>
      </c>
      <c r="PL3">
        <v>0</v>
      </c>
      <c r="PM3">
        <v>13823</v>
      </c>
      <c r="PN3">
        <v>34573</v>
      </c>
      <c r="PO3">
        <v>307</v>
      </c>
      <c r="PP3">
        <v>24103</v>
      </c>
      <c r="PQ3">
        <v>9555</v>
      </c>
      <c r="PR3">
        <v>9650</v>
      </c>
      <c r="PS3">
        <v>0</v>
      </c>
      <c r="PT3">
        <v>0</v>
      </c>
      <c r="PU3">
        <v>0</v>
      </c>
      <c r="PV3">
        <v>0</v>
      </c>
      <c r="PW3">
        <v>53</v>
      </c>
      <c r="PX3">
        <v>958</v>
      </c>
      <c r="PY3">
        <v>6235</v>
      </c>
      <c r="PZ3">
        <v>0</v>
      </c>
      <c r="QA3">
        <v>1992</v>
      </c>
      <c r="QB3">
        <v>2877</v>
      </c>
      <c r="QC3">
        <v>13966</v>
      </c>
      <c r="QD3">
        <v>2375</v>
      </c>
      <c r="QE3">
        <v>1830</v>
      </c>
      <c r="QF3">
        <v>13929</v>
      </c>
      <c r="QG3">
        <v>0</v>
      </c>
      <c r="QH3">
        <v>6054</v>
      </c>
      <c r="QI3">
        <v>27973</v>
      </c>
      <c r="QJ3">
        <v>8363</v>
      </c>
      <c r="QK3">
        <v>22459</v>
      </c>
      <c r="QL3">
        <v>21486</v>
      </c>
      <c r="QM3">
        <v>32824</v>
      </c>
      <c r="QN3">
        <v>0</v>
      </c>
      <c r="QO3">
        <v>37759</v>
      </c>
      <c r="QP3">
        <v>16902</v>
      </c>
      <c r="QQ3">
        <v>19635</v>
      </c>
      <c r="QR3">
        <v>7779</v>
      </c>
      <c r="QS3">
        <v>17594</v>
      </c>
      <c r="QT3">
        <v>25579</v>
      </c>
      <c r="QU3">
        <v>0</v>
      </c>
      <c r="QV3">
        <v>8123</v>
      </c>
      <c r="QW3">
        <v>42931</v>
      </c>
      <c r="QX3">
        <v>6952</v>
      </c>
      <c r="QY3">
        <v>4823</v>
      </c>
      <c r="QZ3">
        <v>41907</v>
      </c>
      <c r="RA3">
        <v>15431</v>
      </c>
      <c r="RB3">
        <v>0</v>
      </c>
      <c r="RC3">
        <v>8964</v>
      </c>
      <c r="RD3">
        <v>18779</v>
      </c>
      <c r="RE3">
        <v>5924</v>
      </c>
      <c r="RF3">
        <v>44403</v>
      </c>
      <c r="RG3">
        <v>7356</v>
      </c>
      <c r="RH3">
        <v>0</v>
      </c>
      <c r="RI3">
        <v>0</v>
      </c>
      <c r="RJ3">
        <v>11712</v>
      </c>
      <c r="RK3">
        <v>24325</v>
      </c>
      <c r="RL3">
        <v>4840</v>
      </c>
      <c r="RM3">
        <v>10343</v>
      </c>
      <c r="RN3">
        <v>15155</v>
      </c>
      <c r="RO3">
        <v>1716</v>
      </c>
      <c r="RP3">
        <v>0</v>
      </c>
      <c r="RQ3">
        <v>4051</v>
      </c>
      <c r="RR3">
        <v>12830</v>
      </c>
      <c r="RS3">
        <v>436</v>
      </c>
      <c r="RT3">
        <v>18702</v>
      </c>
      <c r="RU3">
        <v>18927</v>
      </c>
      <c r="RV3">
        <v>4016</v>
      </c>
      <c r="RW3">
        <v>0</v>
      </c>
      <c r="RX3">
        <v>1844</v>
      </c>
      <c r="RY3">
        <v>25612</v>
      </c>
      <c r="RZ3">
        <v>10922</v>
      </c>
      <c r="SA3">
        <v>15645</v>
      </c>
      <c r="SB3">
        <v>8333</v>
      </c>
      <c r="SC3">
        <v>6944</v>
      </c>
      <c r="SD3">
        <v>0</v>
      </c>
      <c r="SE3">
        <v>9534</v>
      </c>
      <c r="SF3">
        <v>13076</v>
      </c>
      <c r="SG3">
        <v>24686</v>
      </c>
      <c r="SH3">
        <v>8727</v>
      </c>
      <c r="SI3">
        <v>10086</v>
      </c>
      <c r="SJ3">
        <v>15606</v>
      </c>
      <c r="SK3">
        <v>0</v>
      </c>
      <c r="SL3">
        <v>7995</v>
      </c>
      <c r="SM3">
        <v>17957</v>
      </c>
      <c r="SN3">
        <v>10374</v>
      </c>
      <c r="SO3">
        <v>26929</v>
      </c>
      <c r="SP3">
        <v>23349</v>
      </c>
      <c r="SQ3">
        <v>46747</v>
      </c>
      <c r="SR3">
        <v>0</v>
      </c>
      <c r="SS3">
        <v>38064</v>
      </c>
      <c r="ST3">
        <v>61104</v>
      </c>
      <c r="SU3">
        <v>40213</v>
      </c>
      <c r="SV3">
        <v>57963</v>
      </c>
      <c r="SW3">
        <v>14305</v>
      </c>
      <c r="SX3">
        <v>11374</v>
      </c>
      <c r="SY3">
        <v>0</v>
      </c>
      <c r="SZ3">
        <v>11001</v>
      </c>
      <c r="TA3">
        <v>24300</v>
      </c>
      <c r="TB3">
        <v>25966</v>
      </c>
      <c r="TC3">
        <v>7947</v>
      </c>
      <c r="TD3">
        <v>17040</v>
      </c>
      <c r="TE3">
        <v>3709</v>
      </c>
      <c r="TF3">
        <v>0</v>
      </c>
      <c r="TG3">
        <v>10897</v>
      </c>
      <c r="TH3">
        <v>4314</v>
      </c>
      <c r="TI3">
        <v>14982</v>
      </c>
      <c r="TJ3">
        <v>36873</v>
      </c>
      <c r="TK3">
        <v>31419</v>
      </c>
      <c r="TL3">
        <v>28541</v>
      </c>
      <c r="TM3">
        <v>0</v>
      </c>
      <c r="TN3">
        <v>39796</v>
      </c>
      <c r="TO3">
        <v>34574</v>
      </c>
      <c r="TP3">
        <v>25692</v>
      </c>
      <c r="TQ3">
        <v>12470</v>
      </c>
      <c r="TR3">
        <v>35786</v>
      </c>
      <c r="TS3">
        <v>13796</v>
      </c>
      <c r="TT3">
        <v>0</v>
      </c>
      <c r="TU3">
        <v>0</v>
      </c>
      <c r="TV3">
        <v>0</v>
      </c>
      <c r="TW3">
        <v>15948</v>
      </c>
      <c r="TX3">
        <v>31006</v>
      </c>
      <c r="TY3">
        <v>27570</v>
      </c>
      <c r="TZ3">
        <v>37402</v>
      </c>
      <c r="UA3">
        <v>0</v>
      </c>
      <c r="UB3">
        <v>31913</v>
      </c>
      <c r="UC3">
        <v>52313</v>
      </c>
      <c r="UD3">
        <v>38261</v>
      </c>
      <c r="UE3">
        <v>19529</v>
      </c>
      <c r="UF3">
        <v>7169</v>
      </c>
      <c r="UG3">
        <v>12515</v>
      </c>
      <c r="UH3">
        <v>0</v>
      </c>
      <c r="UI3">
        <v>7259</v>
      </c>
      <c r="UJ3">
        <v>6488</v>
      </c>
      <c r="UK3">
        <v>6288</v>
      </c>
      <c r="UL3">
        <v>0</v>
      </c>
      <c r="UM3">
        <v>12526</v>
      </c>
      <c r="UN3">
        <v>11459</v>
      </c>
      <c r="UO3">
        <v>0</v>
      </c>
      <c r="UP3">
        <v>45067</v>
      </c>
      <c r="UQ3">
        <v>33987</v>
      </c>
      <c r="UR3">
        <v>33016</v>
      </c>
      <c r="US3">
        <v>19674</v>
      </c>
      <c r="UT3">
        <v>32699</v>
      </c>
      <c r="UU3">
        <v>0</v>
      </c>
      <c r="UV3">
        <v>0</v>
      </c>
      <c r="UW3">
        <v>34409</v>
      </c>
      <c r="UX3">
        <v>18443</v>
      </c>
      <c r="UY3">
        <v>19250</v>
      </c>
      <c r="UZ3">
        <v>27920</v>
      </c>
      <c r="VA3">
        <v>89403</v>
      </c>
      <c r="VB3">
        <v>58901</v>
      </c>
      <c r="VC3">
        <v>0</v>
      </c>
      <c r="VD3">
        <v>19252</v>
      </c>
      <c r="VE3">
        <v>39202</v>
      </c>
      <c r="VF3">
        <v>32455</v>
      </c>
      <c r="VG3">
        <v>32203</v>
      </c>
      <c r="VH3">
        <v>44986</v>
      </c>
      <c r="VI3">
        <v>33356</v>
      </c>
      <c r="VJ3">
        <v>0</v>
      </c>
      <c r="VK3">
        <v>31222</v>
      </c>
      <c r="VL3">
        <v>55837</v>
      </c>
      <c r="VM3">
        <v>26464</v>
      </c>
      <c r="VN3">
        <v>8716</v>
      </c>
      <c r="VO3">
        <v>17946</v>
      </c>
      <c r="VP3">
        <v>27139</v>
      </c>
      <c r="VQ3">
        <v>0</v>
      </c>
      <c r="VR3">
        <v>11313</v>
      </c>
      <c r="VS3">
        <v>0</v>
      </c>
      <c r="VT3">
        <v>5293</v>
      </c>
      <c r="VU3">
        <v>14140</v>
      </c>
      <c r="VV3">
        <v>3332</v>
      </c>
      <c r="VW3">
        <v>8811</v>
      </c>
      <c r="VX3">
        <v>0</v>
      </c>
      <c r="VY3">
        <v>3283</v>
      </c>
      <c r="VZ3">
        <v>1936</v>
      </c>
      <c r="WA3">
        <v>2299</v>
      </c>
      <c r="WB3">
        <v>9678</v>
      </c>
      <c r="WC3">
        <v>36419</v>
      </c>
      <c r="WD3">
        <v>11493</v>
      </c>
      <c r="WE3">
        <v>0</v>
      </c>
      <c r="WF3">
        <v>43369</v>
      </c>
      <c r="WG3">
        <v>39919</v>
      </c>
      <c r="WH3">
        <v>42435</v>
      </c>
      <c r="WI3">
        <v>12434</v>
      </c>
      <c r="WJ3">
        <v>30239</v>
      </c>
      <c r="WK3">
        <v>10291</v>
      </c>
      <c r="WL3">
        <v>0</v>
      </c>
      <c r="WM3">
        <v>31844</v>
      </c>
      <c r="WN3">
        <v>44272</v>
      </c>
      <c r="WO3">
        <v>23625</v>
      </c>
      <c r="WP3">
        <v>25864</v>
      </c>
      <c r="WQ3">
        <v>3216</v>
      </c>
      <c r="WR3">
        <v>12123</v>
      </c>
      <c r="WS3">
        <v>0</v>
      </c>
      <c r="WT3">
        <v>22174</v>
      </c>
      <c r="WU3">
        <v>8307</v>
      </c>
      <c r="WV3">
        <v>18403</v>
      </c>
      <c r="WW3">
        <v>18733</v>
      </c>
      <c r="WX3">
        <v>13550</v>
      </c>
      <c r="WY3">
        <v>37007</v>
      </c>
      <c r="WZ3">
        <v>15289</v>
      </c>
      <c r="XA3">
        <v>10706</v>
      </c>
      <c r="XB3">
        <v>5163</v>
      </c>
      <c r="XC3">
        <v>14101</v>
      </c>
      <c r="XD3">
        <v>13227</v>
      </c>
      <c r="XE3">
        <v>10527</v>
      </c>
      <c r="XF3">
        <v>5134</v>
      </c>
      <c r="XG3">
        <v>0</v>
      </c>
      <c r="XH3">
        <v>14793</v>
      </c>
      <c r="XI3">
        <v>19712</v>
      </c>
      <c r="XJ3">
        <v>11005</v>
      </c>
      <c r="XK3">
        <v>15552</v>
      </c>
      <c r="XL3">
        <v>15383</v>
      </c>
      <c r="XM3">
        <v>6300</v>
      </c>
      <c r="XN3">
        <v>0</v>
      </c>
      <c r="XO3">
        <v>10981</v>
      </c>
      <c r="XP3">
        <v>4997</v>
      </c>
      <c r="XQ3">
        <v>5854</v>
      </c>
      <c r="XR3">
        <v>18798</v>
      </c>
      <c r="XS3">
        <v>12213</v>
      </c>
      <c r="XT3">
        <v>39678</v>
      </c>
      <c r="XU3">
        <v>0</v>
      </c>
      <c r="XV3">
        <v>0</v>
      </c>
      <c r="XW3">
        <v>13896</v>
      </c>
      <c r="XX3">
        <v>27082</v>
      </c>
      <c r="XY3">
        <v>29639</v>
      </c>
      <c r="XZ3">
        <v>10390</v>
      </c>
      <c r="YA3">
        <v>5333</v>
      </c>
      <c r="YB3">
        <v>1401</v>
      </c>
      <c r="YC3">
        <v>34081</v>
      </c>
      <c r="YD3">
        <v>20832</v>
      </c>
      <c r="YE3">
        <v>16491</v>
      </c>
      <c r="YF3">
        <v>13458</v>
      </c>
      <c r="YG3">
        <v>21628</v>
      </c>
      <c r="YH3">
        <v>21628</v>
      </c>
      <c r="YI3">
        <v>0</v>
      </c>
      <c r="YJ3">
        <v>17076</v>
      </c>
      <c r="YK3">
        <v>0</v>
      </c>
      <c r="YL3">
        <v>32</v>
      </c>
      <c r="YM3">
        <v>19757</v>
      </c>
      <c r="YN3">
        <v>25461</v>
      </c>
      <c r="YO3">
        <v>9798</v>
      </c>
      <c r="YP3">
        <v>0</v>
      </c>
      <c r="YQ3">
        <v>7526</v>
      </c>
      <c r="YR3">
        <v>35617</v>
      </c>
      <c r="YS3">
        <v>4634</v>
      </c>
      <c r="YT3">
        <v>38249</v>
      </c>
      <c r="YU3">
        <v>15207</v>
      </c>
      <c r="YV3">
        <v>21972</v>
      </c>
      <c r="YW3">
        <v>0</v>
      </c>
      <c r="YX3">
        <v>3607</v>
      </c>
      <c r="YY3">
        <v>50512</v>
      </c>
      <c r="YZ3">
        <v>11280</v>
      </c>
      <c r="ZA3">
        <v>19553</v>
      </c>
      <c r="ZB3">
        <v>129589</v>
      </c>
      <c r="ZC3">
        <v>42639</v>
      </c>
      <c r="ZD3">
        <v>0</v>
      </c>
      <c r="ZE3">
        <v>8257</v>
      </c>
      <c r="ZF3">
        <v>3585</v>
      </c>
      <c r="ZG3">
        <v>17016</v>
      </c>
      <c r="ZH3">
        <v>23709</v>
      </c>
      <c r="ZI3">
        <v>12441</v>
      </c>
      <c r="ZJ3">
        <v>13267</v>
      </c>
      <c r="ZK3">
        <v>33823</v>
      </c>
      <c r="ZL3">
        <v>13889</v>
      </c>
      <c r="ZM3">
        <v>32235</v>
      </c>
      <c r="ZN3">
        <v>0</v>
      </c>
      <c r="ZO3">
        <v>59702</v>
      </c>
      <c r="ZP3">
        <v>23336</v>
      </c>
      <c r="ZQ3">
        <v>22304</v>
      </c>
      <c r="ZR3">
        <v>0</v>
      </c>
      <c r="ZS3">
        <v>28426</v>
      </c>
      <c r="ZT3">
        <v>22942</v>
      </c>
      <c r="ZU3">
        <v>32638</v>
      </c>
      <c r="ZV3">
        <v>12527</v>
      </c>
      <c r="ZW3">
        <v>48083</v>
      </c>
      <c r="ZX3">
        <v>7930</v>
      </c>
      <c r="ZY3">
        <v>0</v>
      </c>
      <c r="ZZ3">
        <v>16513</v>
      </c>
      <c r="AAA3">
        <v>21512</v>
      </c>
      <c r="AAB3">
        <v>24874</v>
      </c>
      <c r="AAC3">
        <v>26715</v>
      </c>
      <c r="AAD3">
        <v>43489</v>
      </c>
      <c r="AAE3">
        <v>60728</v>
      </c>
      <c r="AAF3">
        <v>0</v>
      </c>
      <c r="AAG3">
        <v>24604</v>
      </c>
      <c r="AAH3">
        <v>105463</v>
      </c>
      <c r="AAI3">
        <v>30636</v>
      </c>
      <c r="AAJ3">
        <v>64541</v>
      </c>
      <c r="AAK3">
        <v>70285</v>
      </c>
      <c r="AAL3">
        <v>48617</v>
      </c>
      <c r="AAM3">
        <v>16533</v>
      </c>
      <c r="AAN3">
        <v>46160</v>
      </c>
      <c r="AAO3">
        <v>3537</v>
      </c>
      <c r="AAP3">
        <v>22874</v>
      </c>
      <c r="AAQ3">
        <v>8645</v>
      </c>
      <c r="AAR3">
        <v>1322</v>
      </c>
      <c r="AAS3">
        <v>63815</v>
      </c>
      <c r="AAT3">
        <v>17516</v>
      </c>
      <c r="AAU3">
        <v>0</v>
      </c>
      <c r="AAV3">
        <v>40962</v>
      </c>
      <c r="AAW3">
        <v>27054</v>
      </c>
      <c r="AAX3">
        <v>52842</v>
      </c>
      <c r="AAY3">
        <v>25190</v>
      </c>
      <c r="AAZ3">
        <v>31721</v>
      </c>
      <c r="ABA3">
        <v>0</v>
      </c>
      <c r="ABB3">
        <v>40110</v>
      </c>
      <c r="ABC3">
        <v>17287</v>
      </c>
      <c r="ABD3">
        <v>17756</v>
      </c>
      <c r="ABE3">
        <v>0</v>
      </c>
      <c r="ABF3">
        <v>48528</v>
      </c>
      <c r="ABG3">
        <v>105219</v>
      </c>
      <c r="ABH3">
        <v>0</v>
      </c>
      <c r="ABI3">
        <v>35852</v>
      </c>
      <c r="ABJ3">
        <v>42793</v>
      </c>
      <c r="ABK3">
        <v>36585</v>
      </c>
      <c r="ABL3">
        <v>61116</v>
      </c>
      <c r="ABM3">
        <v>84381</v>
      </c>
      <c r="ABN3">
        <v>93896</v>
      </c>
      <c r="ABO3">
        <v>0</v>
      </c>
      <c r="ABP3">
        <v>38895</v>
      </c>
      <c r="ABQ3">
        <v>34728</v>
      </c>
      <c r="ABR3">
        <v>46972</v>
      </c>
      <c r="ABS3">
        <v>38748</v>
      </c>
      <c r="ABT3">
        <v>18748</v>
      </c>
      <c r="ABU3">
        <v>21718</v>
      </c>
      <c r="ABV3">
        <v>0</v>
      </c>
      <c r="ABW3">
        <v>25481</v>
      </c>
      <c r="ABX3">
        <v>8831</v>
      </c>
      <c r="ABY3">
        <v>75133</v>
      </c>
      <c r="ABZ3">
        <v>85659</v>
      </c>
      <c r="ACA3">
        <v>74759</v>
      </c>
      <c r="ACB3">
        <v>67002</v>
      </c>
      <c r="ACC3">
        <v>21888</v>
      </c>
      <c r="ACD3">
        <v>53423</v>
      </c>
      <c r="ACE3">
        <v>27787</v>
      </c>
      <c r="ACF3">
        <v>25827</v>
      </c>
      <c r="ACG3">
        <v>33792</v>
      </c>
      <c r="ACH3">
        <v>19737</v>
      </c>
      <c r="ACI3">
        <v>2617</v>
      </c>
      <c r="ACJ3">
        <v>0</v>
      </c>
      <c r="ACK3">
        <v>28413</v>
      </c>
      <c r="ACL3">
        <v>25928</v>
      </c>
      <c r="ACM3">
        <v>10360</v>
      </c>
      <c r="ACN3">
        <v>8157</v>
      </c>
      <c r="ACO3">
        <v>36813</v>
      </c>
      <c r="ACP3">
        <v>52388</v>
      </c>
      <c r="ACQ3">
        <v>0</v>
      </c>
      <c r="ACR3">
        <v>156166</v>
      </c>
      <c r="ACS3">
        <v>28482</v>
      </c>
      <c r="ACT3">
        <v>29369</v>
      </c>
      <c r="ACU3">
        <v>18815</v>
      </c>
      <c r="ACV3">
        <v>0</v>
      </c>
      <c r="ACW3">
        <v>3013</v>
      </c>
      <c r="ACX3">
        <v>4464</v>
      </c>
      <c r="ACY3">
        <v>5030</v>
      </c>
      <c r="ACZ3">
        <v>3710</v>
      </c>
      <c r="ADA3">
        <v>27429</v>
      </c>
      <c r="ADB3">
        <v>28792</v>
      </c>
      <c r="ADC3">
        <v>7559</v>
      </c>
      <c r="ADD3">
        <v>7559</v>
      </c>
      <c r="ADE3">
        <v>4238</v>
      </c>
      <c r="ADF3">
        <v>14384</v>
      </c>
      <c r="ADG3">
        <v>14970</v>
      </c>
      <c r="ADH3">
        <v>11119</v>
      </c>
      <c r="ADI3">
        <v>18406</v>
      </c>
      <c r="ADJ3">
        <v>23094</v>
      </c>
      <c r="ADK3">
        <v>23094</v>
      </c>
      <c r="ADL3">
        <v>0</v>
      </c>
      <c r="ADM3">
        <v>52750</v>
      </c>
      <c r="ADN3">
        <v>4200</v>
      </c>
      <c r="ADO3">
        <v>12816</v>
      </c>
      <c r="ADP3">
        <v>34174</v>
      </c>
      <c r="ADQ3">
        <v>20833</v>
      </c>
      <c r="ADR3">
        <v>16816</v>
      </c>
      <c r="ADS3">
        <v>0</v>
      </c>
      <c r="ADT3">
        <v>1587</v>
      </c>
      <c r="ADU3">
        <v>7226</v>
      </c>
      <c r="ADV3">
        <v>0</v>
      </c>
      <c r="ADW3">
        <v>0</v>
      </c>
      <c r="ADX3">
        <v>18463</v>
      </c>
      <c r="ADY3">
        <v>11888</v>
      </c>
      <c r="ADZ3">
        <v>0</v>
      </c>
      <c r="AEA3">
        <v>64868</v>
      </c>
      <c r="AEB3">
        <v>63099</v>
      </c>
      <c r="AEC3">
        <v>39419</v>
      </c>
      <c r="AED3">
        <v>18531</v>
      </c>
      <c r="AEE3">
        <v>79754</v>
      </c>
      <c r="AEF3">
        <v>17654</v>
      </c>
      <c r="AEG3">
        <v>0</v>
      </c>
      <c r="AEH3">
        <v>16039</v>
      </c>
      <c r="AEI3">
        <v>16929</v>
      </c>
      <c r="AEJ3">
        <v>4050</v>
      </c>
      <c r="AEK3">
        <v>12178</v>
      </c>
      <c r="AEL3">
        <v>14978</v>
      </c>
      <c r="AEM3">
        <v>21048</v>
      </c>
      <c r="AEN3">
        <v>0</v>
      </c>
      <c r="AEO3">
        <v>12130</v>
      </c>
      <c r="AEP3">
        <v>4698</v>
      </c>
      <c r="AEQ3">
        <v>18273</v>
      </c>
      <c r="AER3">
        <v>8911</v>
      </c>
      <c r="AES3">
        <v>13770</v>
      </c>
      <c r="AET3">
        <v>17120</v>
      </c>
      <c r="AEU3">
        <v>0</v>
      </c>
      <c r="AEV3">
        <v>12316</v>
      </c>
      <c r="AEW3">
        <v>20954</v>
      </c>
      <c r="AEX3">
        <v>15969</v>
      </c>
      <c r="AEY3">
        <v>30673</v>
      </c>
      <c r="AEZ3">
        <v>34954</v>
      </c>
      <c r="AFA3">
        <v>11550</v>
      </c>
      <c r="AFB3">
        <v>0</v>
      </c>
      <c r="AFC3">
        <v>10215</v>
      </c>
      <c r="AFD3">
        <v>9236</v>
      </c>
      <c r="AFE3">
        <v>11084</v>
      </c>
      <c r="AFF3">
        <v>41645</v>
      </c>
      <c r="AFG3">
        <v>30509</v>
      </c>
      <c r="AFH3">
        <v>20851</v>
      </c>
      <c r="AFI3">
        <v>0</v>
      </c>
      <c r="AFJ3">
        <v>10210</v>
      </c>
      <c r="AFK3">
        <v>45784</v>
      </c>
      <c r="AFL3">
        <v>23645</v>
      </c>
      <c r="AFM3">
        <v>38732</v>
      </c>
      <c r="AFN3">
        <v>7119</v>
      </c>
      <c r="AFO3">
        <v>14763</v>
      </c>
      <c r="AFP3">
        <v>0</v>
      </c>
      <c r="AFQ3">
        <v>11481</v>
      </c>
      <c r="AFR3">
        <v>20991</v>
      </c>
      <c r="AFS3">
        <v>29527</v>
      </c>
      <c r="AFT3">
        <v>30345</v>
      </c>
      <c r="AFU3">
        <v>29194</v>
      </c>
      <c r="AFV3">
        <v>46695</v>
      </c>
      <c r="AFW3">
        <v>0</v>
      </c>
      <c r="AFX3">
        <v>13387</v>
      </c>
      <c r="AFY3">
        <v>634</v>
      </c>
      <c r="AFZ3">
        <v>27343</v>
      </c>
      <c r="AGA3">
        <v>18262</v>
      </c>
      <c r="AGB3">
        <v>21656</v>
      </c>
      <c r="AGC3">
        <v>19218</v>
      </c>
      <c r="AGD3">
        <v>0</v>
      </c>
      <c r="AGE3">
        <v>78793</v>
      </c>
      <c r="AGF3">
        <v>43969</v>
      </c>
      <c r="AGG3">
        <v>10876</v>
      </c>
      <c r="AGH3">
        <v>3912</v>
      </c>
      <c r="AGI3">
        <v>76948</v>
      </c>
      <c r="AGJ3">
        <v>0</v>
      </c>
      <c r="AGK3">
        <v>0</v>
      </c>
      <c r="AGL3">
        <v>19625</v>
      </c>
      <c r="AGM3">
        <v>20883</v>
      </c>
      <c r="AGN3">
        <v>5759</v>
      </c>
      <c r="AGO3">
        <v>19473</v>
      </c>
      <c r="AGP3">
        <v>69639</v>
      </c>
      <c r="AGQ3">
        <v>14587</v>
      </c>
      <c r="AGR3">
        <v>8693</v>
      </c>
      <c r="AGS3">
        <v>19770</v>
      </c>
      <c r="AGT3">
        <v>37785</v>
      </c>
      <c r="AGU3">
        <v>35598</v>
      </c>
      <c r="AGV3">
        <v>14564</v>
      </c>
      <c r="AGW3">
        <v>12352</v>
      </c>
      <c r="AGX3">
        <v>31795</v>
      </c>
      <c r="AGY3">
        <v>0</v>
      </c>
      <c r="AGZ3">
        <v>29795</v>
      </c>
      <c r="AHA3">
        <v>57645</v>
      </c>
      <c r="AHB3">
        <v>56884</v>
      </c>
      <c r="AHC3">
        <v>11193</v>
      </c>
      <c r="AHD3">
        <v>18229</v>
      </c>
      <c r="AHE3">
        <v>51913</v>
      </c>
      <c r="AHH3">
        <v>0</v>
      </c>
      <c r="AHI3">
        <v>25508</v>
      </c>
      <c r="AHJ3">
        <v>24284</v>
      </c>
      <c r="AHK3">
        <v>25011</v>
      </c>
      <c r="AHL3">
        <v>22756</v>
      </c>
      <c r="AHM3">
        <v>0</v>
      </c>
      <c r="AHN3">
        <v>0</v>
      </c>
      <c r="AHO3">
        <v>16110</v>
      </c>
      <c r="AHP3">
        <v>11486</v>
      </c>
      <c r="AHQ3">
        <v>9797</v>
      </c>
      <c r="AHR3">
        <v>21346</v>
      </c>
      <c r="AHS3">
        <v>15698</v>
      </c>
      <c r="AHT3">
        <v>0</v>
      </c>
      <c r="AHU3">
        <v>0</v>
      </c>
      <c r="AHV3">
        <v>0</v>
      </c>
      <c r="AHW3">
        <v>7426</v>
      </c>
      <c r="AHX3">
        <v>14892</v>
      </c>
      <c r="AHY3">
        <v>9688</v>
      </c>
      <c r="AHZ3">
        <v>10568</v>
      </c>
      <c r="AIA3">
        <v>0</v>
      </c>
      <c r="AIB3">
        <v>47232</v>
      </c>
      <c r="AIC3">
        <v>46276</v>
      </c>
      <c r="AID3">
        <v>30156</v>
      </c>
      <c r="AIE3">
        <v>90129</v>
      </c>
      <c r="AIF3">
        <v>48284</v>
      </c>
      <c r="AIG3">
        <v>29740</v>
      </c>
      <c r="AIH3">
        <v>0</v>
      </c>
      <c r="AII3">
        <v>21286</v>
      </c>
      <c r="AIJ3">
        <v>7438</v>
      </c>
      <c r="AIK3">
        <v>38</v>
      </c>
      <c r="AIL3">
        <v>4219</v>
      </c>
      <c r="AIM3">
        <v>0</v>
      </c>
      <c r="AIN3">
        <v>8875</v>
      </c>
      <c r="AIO3">
        <v>0</v>
      </c>
      <c r="AIP3">
        <v>0</v>
      </c>
      <c r="AIQ3">
        <v>5873</v>
      </c>
      <c r="AIR3">
        <v>8837</v>
      </c>
      <c r="AIS3">
        <v>5355</v>
      </c>
      <c r="AIT3">
        <v>86919</v>
      </c>
      <c r="AIU3">
        <v>21044</v>
      </c>
      <c r="AIV3">
        <v>0</v>
      </c>
      <c r="AIW3">
        <v>2474</v>
      </c>
      <c r="AIX3">
        <v>1423</v>
      </c>
      <c r="AIY3">
        <v>11162</v>
      </c>
      <c r="AIZ3">
        <v>34110</v>
      </c>
      <c r="AJA3">
        <v>29261</v>
      </c>
      <c r="AJB3">
        <v>28160</v>
      </c>
      <c r="AJC3">
        <v>0</v>
      </c>
      <c r="AJD3">
        <v>46730</v>
      </c>
      <c r="AJE3">
        <v>59179</v>
      </c>
      <c r="AJF3">
        <v>28010</v>
      </c>
      <c r="AJG3">
        <v>48634</v>
      </c>
      <c r="AJH3">
        <v>48436</v>
      </c>
      <c r="AJI3">
        <v>42600</v>
      </c>
      <c r="AJJ3">
        <v>0</v>
      </c>
      <c r="AJK3">
        <v>3308</v>
      </c>
      <c r="AJL3">
        <v>6406</v>
      </c>
      <c r="AJM3">
        <v>738</v>
      </c>
      <c r="AJN3">
        <v>6075</v>
      </c>
      <c r="AJO3">
        <v>30746</v>
      </c>
      <c r="AJP3">
        <v>10306</v>
      </c>
      <c r="AJQ3">
        <v>0</v>
      </c>
      <c r="AJR3">
        <v>0</v>
      </c>
      <c r="AJS3">
        <v>15049</v>
      </c>
      <c r="AJT3">
        <v>0</v>
      </c>
      <c r="AJU3">
        <v>10454</v>
      </c>
      <c r="AJV3">
        <v>24027</v>
      </c>
      <c r="AJW3">
        <v>29967</v>
      </c>
      <c r="AJX3">
        <v>11583</v>
      </c>
      <c r="AJY3">
        <v>10396</v>
      </c>
      <c r="AJZ3">
        <v>24192</v>
      </c>
      <c r="AKA3">
        <v>20558</v>
      </c>
      <c r="AKB3">
        <v>37726</v>
      </c>
      <c r="AKC3">
        <v>63023</v>
      </c>
      <c r="AKD3">
        <v>21200</v>
      </c>
      <c r="AKE3">
        <v>0</v>
      </c>
      <c r="AKF3">
        <v>55092</v>
      </c>
    </row>
    <row r="4" spans="1:1010" s="19" customFormat="1">
      <c r="A4" s="19">
        <v>2</v>
      </c>
      <c r="B4" s="19" t="s">
        <v>90</v>
      </c>
      <c r="C4" s="20">
        <v>82630</v>
      </c>
      <c r="D4" s="20" t="s">
        <v>28</v>
      </c>
      <c r="E4" s="20" t="s">
        <v>88</v>
      </c>
      <c r="F4" s="20" t="s">
        <v>17</v>
      </c>
      <c r="G4" s="20" t="s">
        <v>33</v>
      </c>
      <c r="H4" s="20" t="s">
        <v>89</v>
      </c>
      <c r="I4" s="20" t="s">
        <v>45</v>
      </c>
      <c r="J4" s="20" t="s">
        <v>46</v>
      </c>
      <c r="BR4" s="19">
        <v>0</v>
      </c>
      <c r="BS4" s="19">
        <v>0</v>
      </c>
      <c r="BT4" s="19">
        <v>0</v>
      </c>
      <c r="BU4" s="19">
        <v>0</v>
      </c>
      <c r="BV4" s="19">
        <v>0</v>
      </c>
      <c r="BW4" s="19">
        <v>0</v>
      </c>
      <c r="BX4" s="19">
        <v>0</v>
      </c>
      <c r="BY4" s="19">
        <v>0</v>
      </c>
      <c r="BZ4" s="19">
        <v>0</v>
      </c>
      <c r="CA4" s="19">
        <v>0</v>
      </c>
      <c r="CB4" s="19">
        <v>0</v>
      </c>
      <c r="CC4" s="19">
        <v>0</v>
      </c>
      <c r="CD4" s="19">
        <v>0</v>
      </c>
      <c r="CE4" s="19">
        <v>0</v>
      </c>
      <c r="CF4" s="19">
        <v>0</v>
      </c>
      <c r="CG4" s="19">
        <v>0</v>
      </c>
      <c r="CH4" s="19">
        <v>0</v>
      </c>
      <c r="CI4" s="19">
        <v>0</v>
      </c>
      <c r="CJ4" s="19">
        <v>0</v>
      </c>
      <c r="CK4" s="19">
        <v>0</v>
      </c>
      <c r="CL4" s="19">
        <v>0</v>
      </c>
      <c r="CM4" s="19">
        <v>0</v>
      </c>
      <c r="CN4" s="19">
        <v>0</v>
      </c>
      <c r="CO4" s="19">
        <v>0</v>
      </c>
      <c r="CP4" s="19">
        <v>0</v>
      </c>
      <c r="CQ4" s="19">
        <v>0</v>
      </c>
      <c r="CR4" s="19">
        <v>0</v>
      </c>
      <c r="CS4" s="19">
        <v>0</v>
      </c>
      <c r="CT4" s="19">
        <v>0</v>
      </c>
      <c r="CU4" s="19">
        <v>0</v>
      </c>
      <c r="CV4" s="19">
        <v>0</v>
      </c>
      <c r="CW4" s="19">
        <v>0</v>
      </c>
      <c r="CX4" s="19">
        <v>0</v>
      </c>
      <c r="CY4" s="19">
        <v>0</v>
      </c>
      <c r="CZ4" s="19">
        <v>0</v>
      </c>
      <c r="DA4" s="19">
        <v>0</v>
      </c>
      <c r="DB4" s="19">
        <v>0</v>
      </c>
      <c r="DC4" s="19">
        <v>0</v>
      </c>
      <c r="DD4" s="19">
        <v>0</v>
      </c>
      <c r="DE4" s="19">
        <v>0</v>
      </c>
      <c r="DF4" s="19">
        <v>0</v>
      </c>
      <c r="DG4" s="19">
        <v>0</v>
      </c>
      <c r="DH4" s="19">
        <v>0</v>
      </c>
      <c r="DI4" s="19">
        <v>0</v>
      </c>
      <c r="DJ4" s="19">
        <v>0</v>
      </c>
      <c r="DK4" s="19">
        <v>0</v>
      </c>
      <c r="DL4" s="19">
        <v>0</v>
      </c>
      <c r="DM4" s="19">
        <v>0</v>
      </c>
      <c r="DN4" s="19">
        <v>0</v>
      </c>
      <c r="DO4" s="19">
        <v>0</v>
      </c>
      <c r="DP4" s="19">
        <v>0</v>
      </c>
      <c r="DQ4" s="19">
        <v>0</v>
      </c>
      <c r="DR4" s="19">
        <v>0</v>
      </c>
      <c r="DS4" s="19">
        <v>0</v>
      </c>
      <c r="DT4" s="19">
        <v>0</v>
      </c>
      <c r="DU4" s="19">
        <v>0</v>
      </c>
      <c r="DV4" s="19">
        <v>0</v>
      </c>
      <c r="DW4" s="19">
        <v>0</v>
      </c>
      <c r="DX4" s="19">
        <v>0</v>
      </c>
      <c r="DY4" s="19">
        <v>0</v>
      </c>
      <c r="DZ4" s="19">
        <v>0</v>
      </c>
      <c r="EA4" s="19">
        <v>0</v>
      </c>
      <c r="EB4" s="19">
        <v>0</v>
      </c>
      <c r="EC4" s="19">
        <v>0</v>
      </c>
      <c r="ED4" s="19">
        <v>0</v>
      </c>
      <c r="EE4" s="19">
        <v>0</v>
      </c>
      <c r="EF4" s="19">
        <v>0</v>
      </c>
      <c r="EG4" s="19">
        <v>0</v>
      </c>
      <c r="EH4" s="19">
        <v>0</v>
      </c>
      <c r="EI4" s="19">
        <v>0</v>
      </c>
      <c r="EJ4" s="19">
        <v>0</v>
      </c>
      <c r="EK4" s="19">
        <v>0</v>
      </c>
      <c r="EL4" s="19">
        <v>0</v>
      </c>
      <c r="EM4" s="19">
        <v>0</v>
      </c>
      <c r="EN4" s="19">
        <v>0</v>
      </c>
      <c r="EO4" s="19">
        <v>0</v>
      </c>
      <c r="EP4" s="19">
        <v>0</v>
      </c>
      <c r="EQ4" s="19">
        <v>0</v>
      </c>
      <c r="ER4" s="19">
        <v>0</v>
      </c>
      <c r="ES4" s="19">
        <v>0</v>
      </c>
      <c r="ET4" s="19">
        <v>0</v>
      </c>
      <c r="EU4" s="19">
        <v>0</v>
      </c>
      <c r="EV4" s="19">
        <v>0</v>
      </c>
      <c r="EW4" s="19">
        <v>0</v>
      </c>
      <c r="EX4" s="19">
        <v>0</v>
      </c>
      <c r="EY4" s="19">
        <v>0</v>
      </c>
      <c r="EZ4" s="19">
        <v>0</v>
      </c>
      <c r="FA4" s="19">
        <v>0</v>
      </c>
      <c r="FB4" s="19">
        <v>0</v>
      </c>
      <c r="FC4" s="19">
        <v>0</v>
      </c>
      <c r="FD4" s="19">
        <v>0</v>
      </c>
      <c r="FE4" s="19">
        <v>0</v>
      </c>
      <c r="FF4" s="19">
        <v>0</v>
      </c>
      <c r="FG4" s="19">
        <v>0</v>
      </c>
      <c r="FH4" s="19">
        <v>0</v>
      </c>
      <c r="FI4" s="19">
        <v>0</v>
      </c>
      <c r="FJ4" s="19">
        <v>0</v>
      </c>
      <c r="FK4" s="19">
        <v>0</v>
      </c>
      <c r="FL4" s="19">
        <v>0</v>
      </c>
      <c r="FM4" s="19">
        <v>0</v>
      </c>
      <c r="FN4" s="19">
        <v>0</v>
      </c>
      <c r="FO4" s="19">
        <v>0</v>
      </c>
      <c r="FP4" s="19">
        <v>0</v>
      </c>
      <c r="FQ4" s="19">
        <v>0</v>
      </c>
      <c r="FR4" s="19">
        <v>0</v>
      </c>
      <c r="FS4" s="19">
        <v>0</v>
      </c>
      <c r="FT4" s="19">
        <v>0</v>
      </c>
      <c r="FU4" s="19">
        <v>0</v>
      </c>
      <c r="FV4" s="19">
        <v>0</v>
      </c>
      <c r="FW4" s="19">
        <v>0</v>
      </c>
      <c r="FX4" s="19">
        <v>0</v>
      </c>
      <c r="FY4" s="19">
        <v>0</v>
      </c>
      <c r="FZ4" s="19">
        <v>0</v>
      </c>
      <c r="GA4" s="19">
        <v>0</v>
      </c>
      <c r="GB4" s="19">
        <v>0</v>
      </c>
      <c r="GC4" s="19">
        <v>0</v>
      </c>
      <c r="GD4" s="19">
        <v>0</v>
      </c>
      <c r="GE4" s="19">
        <v>0</v>
      </c>
      <c r="GF4" s="19">
        <v>0</v>
      </c>
      <c r="GG4" s="19">
        <v>0</v>
      </c>
      <c r="GH4" s="19">
        <v>0</v>
      </c>
      <c r="GI4" s="19">
        <v>0</v>
      </c>
      <c r="GJ4" s="19">
        <v>0</v>
      </c>
      <c r="GK4" s="19">
        <v>0</v>
      </c>
      <c r="GL4" s="19">
        <v>0</v>
      </c>
      <c r="GM4" s="19">
        <v>0</v>
      </c>
      <c r="GN4" s="19">
        <v>0</v>
      </c>
      <c r="GO4" s="19">
        <v>0</v>
      </c>
      <c r="GP4" s="19">
        <v>0</v>
      </c>
      <c r="GQ4" s="19">
        <v>0</v>
      </c>
      <c r="GR4" s="19">
        <v>0</v>
      </c>
      <c r="GS4" s="19">
        <v>0</v>
      </c>
      <c r="GT4" s="19">
        <v>0</v>
      </c>
      <c r="GU4" s="19">
        <v>0</v>
      </c>
      <c r="GV4" s="19">
        <v>0</v>
      </c>
      <c r="GW4" s="19">
        <v>0</v>
      </c>
      <c r="GX4" s="19">
        <v>0</v>
      </c>
      <c r="GY4" s="19">
        <v>0</v>
      </c>
      <c r="GZ4" s="19">
        <v>0</v>
      </c>
      <c r="HA4" s="19">
        <v>0</v>
      </c>
      <c r="HB4" s="19">
        <v>0</v>
      </c>
      <c r="HC4" s="19">
        <v>0</v>
      </c>
      <c r="HD4" s="19">
        <v>0</v>
      </c>
      <c r="HE4" s="19">
        <v>0</v>
      </c>
      <c r="HF4" s="19">
        <v>0</v>
      </c>
      <c r="HG4" s="19">
        <v>0</v>
      </c>
      <c r="HH4" s="19">
        <v>0</v>
      </c>
      <c r="HI4" s="19">
        <v>0</v>
      </c>
      <c r="HJ4" s="19">
        <v>0</v>
      </c>
      <c r="HK4" s="19">
        <v>0</v>
      </c>
      <c r="HL4" s="19">
        <v>0</v>
      </c>
      <c r="HM4" s="19">
        <v>0</v>
      </c>
      <c r="HN4" s="19">
        <v>0</v>
      </c>
      <c r="HO4" s="19">
        <v>0</v>
      </c>
      <c r="HP4" s="19">
        <v>0</v>
      </c>
      <c r="HQ4" s="19">
        <v>0</v>
      </c>
      <c r="HR4" s="19">
        <v>0</v>
      </c>
      <c r="HS4" s="19">
        <v>0</v>
      </c>
      <c r="HT4" s="19">
        <v>0</v>
      </c>
      <c r="HU4" s="19">
        <v>0</v>
      </c>
      <c r="HV4" s="19">
        <v>0</v>
      </c>
      <c r="HW4" s="19">
        <v>0</v>
      </c>
      <c r="HX4" s="19">
        <v>0</v>
      </c>
      <c r="HY4" s="19">
        <v>0</v>
      </c>
      <c r="HZ4" s="19">
        <v>0</v>
      </c>
      <c r="IA4" s="19">
        <v>0</v>
      </c>
      <c r="IB4" s="19">
        <v>0</v>
      </c>
      <c r="IC4" s="19">
        <v>0</v>
      </c>
      <c r="ID4" s="19">
        <v>0</v>
      </c>
      <c r="IE4" s="19">
        <v>0</v>
      </c>
      <c r="IF4" s="19">
        <v>0</v>
      </c>
      <c r="IG4" s="19">
        <v>0</v>
      </c>
      <c r="IH4" s="19">
        <v>0</v>
      </c>
      <c r="II4" s="19">
        <v>0</v>
      </c>
      <c r="IJ4" s="19">
        <v>0</v>
      </c>
      <c r="IK4" s="19">
        <v>0</v>
      </c>
      <c r="IL4" s="19">
        <v>0</v>
      </c>
      <c r="IM4" s="19">
        <v>0</v>
      </c>
      <c r="IN4" s="19">
        <v>0</v>
      </c>
      <c r="IO4" s="19">
        <v>0</v>
      </c>
      <c r="IP4" s="19">
        <v>0</v>
      </c>
      <c r="IQ4" s="19">
        <v>0</v>
      </c>
      <c r="IR4" s="19">
        <v>0</v>
      </c>
      <c r="IS4" s="19">
        <v>0</v>
      </c>
      <c r="IT4" s="19">
        <v>0</v>
      </c>
      <c r="IU4" s="19">
        <v>0</v>
      </c>
      <c r="IV4" s="19">
        <v>0</v>
      </c>
      <c r="IW4" s="19">
        <v>0</v>
      </c>
      <c r="IX4" s="19">
        <v>0</v>
      </c>
      <c r="IY4" s="19">
        <v>0</v>
      </c>
      <c r="IZ4" s="19">
        <v>0</v>
      </c>
      <c r="JA4" s="19">
        <v>0</v>
      </c>
      <c r="JB4" s="19">
        <v>0</v>
      </c>
      <c r="JC4" s="19">
        <v>0</v>
      </c>
      <c r="JD4" s="19">
        <v>0</v>
      </c>
      <c r="JE4" s="19">
        <v>0</v>
      </c>
      <c r="JF4" s="19">
        <v>0</v>
      </c>
      <c r="JG4" s="19">
        <v>0</v>
      </c>
      <c r="JH4" s="19">
        <v>0</v>
      </c>
      <c r="JI4" s="19">
        <v>0</v>
      </c>
      <c r="JJ4" s="19">
        <v>0</v>
      </c>
      <c r="JK4" s="19">
        <v>0</v>
      </c>
      <c r="JL4" s="19">
        <v>0</v>
      </c>
      <c r="JM4" s="19">
        <v>0</v>
      </c>
      <c r="JN4" s="19">
        <v>0</v>
      </c>
      <c r="JO4" s="19">
        <v>0</v>
      </c>
      <c r="JP4" s="19">
        <v>0</v>
      </c>
      <c r="JQ4" s="19">
        <v>0</v>
      </c>
      <c r="JR4" s="19">
        <v>0</v>
      </c>
      <c r="JS4" s="19">
        <v>0</v>
      </c>
      <c r="JT4" s="19">
        <v>0</v>
      </c>
      <c r="JU4" s="19">
        <v>0</v>
      </c>
      <c r="JV4" s="19">
        <v>0</v>
      </c>
      <c r="JW4" s="19">
        <v>0</v>
      </c>
      <c r="JX4" s="19">
        <v>0</v>
      </c>
      <c r="JY4" s="19">
        <v>0</v>
      </c>
      <c r="JZ4" s="19">
        <v>0</v>
      </c>
      <c r="KA4" s="19">
        <v>0</v>
      </c>
      <c r="KB4" s="19">
        <v>0</v>
      </c>
      <c r="KC4" s="19">
        <v>0</v>
      </c>
      <c r="KD4" s="19">
        <v>0</v>
      </c>
      <c r="KE4" s="19">
        <v>0</v>
      </c>
      <c r="KF4" s="19">
        <v>0</v>
      </c>
      <c r="KG4" s="19">
        <v>0</v>
      </c>
      <c r="KH4" s="19">
        <v>0</v>
      </c>
      <c r="KI4" s="19">
        <v>0</v>
      </c>
      <c r="KJ4" s="19">
        <v>0</v>
      </c>
      <c r="KK4" s="19">
        <v>0</v>
      </c>
      <c r="KL4" s="19">
        <v>0</v>
      </c>
      <c r="KM4" s="19">
        <v>0</v>
      </c>
      <c r="KN4" s="19">
        <v>0</v>
      </c>
      <c r="KO4" s="19">
        <v>0</v>
      </c>
      <c r="KP4" s="19">
        <v>0</v>
      </c>
      <c r="KQ4" s="19">
        <v>0</v>
      </c>
      <c r="KR4" s="19">
        <v>0</v>
      </c>
      <c r="KS4" s="19">
        <v>0</v>
      </c>
      <c r="KT4" s="19">
        <v>0</v>
      </c>
      <c r="KU4" s="19">
        <v>0</v>
      </c>
      <c r="KV4" s="19">
        <v>0</v>
      </c>
      <c r="KW4" s="19">
        <v>0</v>
      </c>
      <c r="KX4" s="19">
        <v>0</v>
      </c>
      <c r="KY4" s="19">
        <v>0</v>
      </c>
      <c r="KZ4" s="19">
        <v>0</v>
      </c>
      <c r="LA4" s="19">
        <v>0</v>
      </c>
      <c r="LB4" s="19">
        <v>0</v>
      </c>
      <c r="LC4" s="19">
        <v>0</v>
      </c>
      <c r="LD4" s="19">
        <v>0</v>
      </c>
      <c r="LE4" s="19">
        <v>0</v>
      </c>
      <c r="LF4" s="19">
        <v>0</v>
      </c>
      <c r="LG4" s="19">
        <v>0</v>
      </c>
      <c r="LH4" s="19">
        <v>0</v>
      </c>
      <c r="LI4" s="19">
        <v>0</v>
      </c>
      <c r="LJ4" s="19">
        <v>0</v>
      </c>
      <c r="LK4" s="19">
        <v>0</v>
      </c>
      <c r="LL4" s="19">
        <v>0</v>
      </c>
      <c r="LM4" s="19">
        <v>0</v>
      </c>
      <c r="LN4" s="19">
        <v>0</v>
      </c>
      <c r="LO4" s="19">
        <v>0</v>
      </c>
      <c r="LP4" s="19">
        <v>0</v>
      </c>
      <c r="LQ4" s="19">
        <v>0</v>
      </c>
      <c r="LR4" s="19">
        <v>0</v>
      </c>
      <c r="LS4" s="19">
        <v>0</v>
      </c>
      <c r="LT4" s="19">
        <v>0</v>
      </c>
      <c r="LU4" s="19">
        <v>0</v>
      </c>
      <c r="LV4" s="19">
        <v>0</v>
      </c>
      <c r="LW4" s="19">
        <v>0</v>
      </c>
      <c r="LX4" s="19">
        <v>0</v>
      </c>
      <c r="LY4" s="19">
        <v>0</v>
      </c>
      <c r="LZ4" s="19">
        <v>0</v>
      </c>
      <c r="MA4" s="19">
        <v>0</v>
      </c>
      <c r="MB4" s="19">
        <v>0</v>
      </c>
      <c r="MC4" s="19">
        <v>0</v>
      </c>
      <c r="MD4" s="19">
        <v>0</v>
      </c>
      <c r="ME4" s="19">
        <v>0</v>
      </c>
      <c r="MF4" s="19">
        <v>0</v>
      </c>
      <c r="MG4" s="19">
        <v>0</v>
      </c>
      <c r="MH4" s="19">
        <v>0</v>
      </c>
      <c r="MI4" s="19">
        <v>0</v>
      </c>
      <c r="MJ4" s="19">
        <v>0</v>
      </c>
      <c r="MK4" s="19">
        <v>0</v>
      </c>
      <c r="ML4" s="19">
        <v>0</v>
      </c>
      <c r="MM4" s="19">
        <v>0</v>
      </c>
      <c r="MN4" s="19">
        <v>0</v>
      </c>
      <c r="MO4" s="19">
        <v>0</v>
      </c>
      <c r="MP4" s="19">
        <v>0</v>
      </c>
      <c r="MQ4" s="19">
        <v>0</v>
      </c>
      <c r="MR4" s="19">
        <v>0</v>
      </c>
      <c r="MS4" s="19">
        <v>0</v>
      </c>
      <c r="MT4" s="19">
        <v>0</v>
      </c>
      <c r="MU4" s="19">
        <v>0</v>
      </c>
      <c r="MV4" s="19">
        <v>0</v>
      </c>
      <c r="MW4" s="19">
        <v>0</v>
      </c>
      <c r="MX4" s="19">
        <v>0</v>
      </c>
      <c r="MY4" s="19">
        <v>0</v>
      </c>
      <c r="MZ4" s="19">
        <v>0</v>
      </c>
      <c r="NA4" s="19">
        <v>0</v>
      </c>
      <c r="NB4" s="19">
        <v>0</v>
      </c>
      <c r="NC4" s="19">
        <v>0</v>
      </c>
      <c r="ND4" s="19">
        <v>0</v>
      </c>
      <c r="NE4" s="19">
        <v>0</v>
      </c>
      <c r="NF4" s="19">
        <v>0</v>
      </c>
      <c r="NG4" s="19">
        <v>0</v>
      </c>
      <c r="NH4" s="19">
        <v>0</v>
      </c>
      <c r="NI4" s="19">
        <v>0</v>
      </c>
      <c r="NJ4" s="19">
        <v>0</v>
      </c>
      <c r="NK4" s="19">
        <v>0</v>
      </c>
      <c r="NL4" s="19">
        <v>0</v>
      </c>
      <c r="NM4" s="19">
        <v>0</v>
      </c>
      <c r="NN4" s="19">
        <v>0</v>
      </c>
      <c r="NO4" s="19">
        <v>0</v>
      </c>
      <c r="NP4" s="19">
        <v>0</v>
      </c>
      <c r="NQ4" s="19">
        <v>0</v>
      </c>
      <c r="NR4" s="19">
        <v>0</v>
      </c>
      <c r="NS4" s="19">
        <v>0</v>
      </c>
      <c r="NT4" s="19">
        <v>0</v>
      </c>
      <c r="NU4" s="19">
        <v>0</v>
      </c>
      <c r="NV4" s="19">
        <v>0</v>
      </c>
      <c r="NW4" s="19">
        <v>0</v>
      </c>
      <c r="NX4" s="19">
        <v>0</v>
      </c>
      <c r="NY4" s="19">
        <v>0</v>
      </c>
      <c r="NZ4" s="19">
        <v>0</v>
      </c>
      <c r="OA4" s="19">
        <v>0</v>
      </c>
      <c r="OB4" s="19">
        <v>0</v>
      </c>
      <c r="OC4" s="19">
        <v>0</v>
      </c>
      <c r="OD4" s="19">
        <v>0</v>
      </c>
      <c r="OE4" s="19">
        <v>0</v>
      </c>
      <c r="OF4" s="19">
        <v>0</v>
      </c>
      <c r="OG4" s="19">
        <v>0</v>
      </c>
      <c r="OH4" s="19">
        <v>0</v>
      </c>
      <c r="OI4" s="19">
        <v>0</v>
      </c>
      <c r="OJ4" s="19">
        <v>0</v>
      </c>
      <c r="OK4" s="19">
        <v>0</v>
      </c>
      <c r="OL4" s="19">
        <v>0</v>
      </c>
      <c r="OM4" s="19">
        <v>0</v>
      </c>
      <c r="ON4" s="19">
        <v>0</v>
      </c>
      <c r="OO4" s="19">
        <v>0</v>
      </c>
      <c r="OP4" s="19">
        <v>0</v>
      </c>
      <c r="OQ4" s="19">
        <v>0</v>
      </c>
      <c r="OR4" s="19">
        <v>0</v>
      </c>
      <c r="OS4" s="19">
        <v>0</v>
      </c>
      <c r="OT4" s="19">
        <v>0</v>
      </c>
      <c r="OU4" s="19">
        <v>0</v>
      </c>
      <c r="OV4" s="19">
        <v>0</v>
      </c>
      <c r="OW4" s="19">
        <v>0</v>
      </c>
      <c r="OX4" s="19">
        <v>0</v>
      </c>
      <c r="OY4" s="19">
        <v>0</v>
      </c>
      <c r="OZ4" s="19">
        <v>0</v>
      </c>
      <c r="PA4" s="19">
        <v>0</v>
      </c>
      <c r="PB4" s="19">
        <v>0</v>
      </c>
      <c r="PC4" s="19">
        <v>0</v>
      </c>
      <c r="PD4" s="19">
        <v>0</v>
      </c>
      <c r="PE4" s="19">
        <v>0</v>
      </c>
      <c r="PF4" s="19">
        <v>0</v>
      </c>
      <c r="PG4" s="19">
        <v>0</v>
      </c>
      <c r="PH4" s="19">
        <v>0</v>
      </c>
      <c r="PI4" s="19">
        <v>0</v>
      </c>
      <c r="PJ4" s="19">
        <v>0</v>
      </c>
      <c r="PK4" s="19">
        <v>0</v>
      </c>
      <c r="PL4" s="19">
        <v>0</v>
      </c>
      <c r="PM4" s="19">
        <v>0</v>
      </c>
      <c r="PN4" s="19">
        <v>0</v>
      </c>
      <c r="PO4" s="19">
        <v>0</v>
      </c>
      <c r="PP4" s="19">
        <v>0</v>
      </c>
      <c r="PQ4" s="19">
        <v>0</v>
      </c>
      <c r="PR4" s="19">
        <v>0</v>
      </c>
      <c r="PS4" s="19">
        <v>0</v>
      </c>
      <c r="PT4" s="19">
        <v>0</v>
      </c>
      <c r="PU4" s="19">
        <v>0</v>
      </c>
      <c r="PV4" s="19">
        <v>0</v>
      </c>
      <c r="PW4" s="19">
        <v>0</v>
      </c>
      <c r="PX4" s="19">
        <v>0</v>
      </c>
      <c r="PY4" s="19">
        <v>0</v>
      </c>
      <c r="PZ4" s="19">
        <v>0</v>
      </c>
      <c r="QA4" s="19">
        <v>0</v>
      </c>
      <c r="QB4" s="19">
        <v>0</v>
      </c>
      <c r="QC4" s="19">
        <v>0</v>
      </c>
      <c r="QD4" s="19">
        <v>0</v>
      </c>
      <c r="QE4" s="19">
        <v>0</v>
      </c>
      <c r="QF4" s="19">
        <v>0</v>
      </c>
      <c r="QG4" s="19">
        <v>0</v>
      </c>
      <c r="QH4" s="19">
        <v>0</v>
      </c>
      <c r="QI4" s="19">
        <v>0</v>
      </c>
      <c r="QJ4" s="19">
        <v>0</v>
      </c>
      <c r="QK4" s="19">
        <v>0</v>
      </c>
      <c r="QL4" s="19">
        <v>0</v>
      </c>
      <c r="QM4" s="19">
        <v>0</v>
      </c>
      <c r="QN4" s="19">
        <v>0</v>
      </c>
      <c r="QO4" s="19">
        <v>0</v>
      </c>
      <c r="QP4" s="19">
        <v>0</v>
      </c>
      <c r="QQ4" s="19">
        <v>0</v>
      </c>
      <c r="QR4" s="19">
        <v>0</v>
      </c>
      <c r="QS4" s="19">
        <v>0</v>
      </c>
      <c r="QT4" s="19">
        <v>0</v>
      </c>
      <c r="QU4" s="19">
        <v>0</v>
      </c>
      <c r="QV4" s="19">
        <v>0</v>
      </c>
      <c r="QW4" s="19">
        <v>0</v>
      </c>
      <c r="QX4" s="19">
        <v>0</v>
      </c>
      <c r="QY4" s="19">
        <v>0</v>
      </c>
      <c r="QZ4" s="19">
        <v>0</v>
      </c>
      <c r="RA4" s="19">
        <v>0</v>
      </c>
      <c r="RB4" s="19">
        <v>0</v>
      </c>
      <c r="RC4" s="19">
        <v>0</v>
      </c>
      <c r="RD4" s="19">
        <v>0</v>
      </c>
      <c r="RE4" s="19">
        <v>0</v>
      </c>
      <c r="RF4" s="19">
        <v>0</v>
      </c>
      <c r="RG4" s="19">
        <v>0</v>
      </c>
      <c r="RH4" s="19">
        <v>0</v>
      </c>
      <c r="RI4" s="19">
        <v>0</v>
      </c>
      <c r="RJ4" s="19">
        <v>0</v>
      </c>
      <c r="RK4" s="19">
        <v>0</v>
      </c>
      <c r="RL4" s="19">
        <v>0</v>
      </c>
      <c r="RM4" s="19">
        <v>0</v>
      </c>
      <c r="RN4" s="19">
        <v>0</v>
      </c>
      <c r="RO4" s="19">
        <v>0</v>
      </c>
      <c r="RP4" s="19">
        <v>0</v>
      </c>
      <c r="RQ4" s="19">
        <v>0</v>
      </c>
      <c r="RR4" s="19">
        <v>0</v>
      </c>
      <c r="RS4" s="19">
        <v>0</v>
      </c>
      <c r="RT4" s="19">
        <v>0</v>
      </c>
      <c r="RU4" s="19">
        <v>0</v>
      </c>
      <c r="RV4" s="19">
        <v>0</v>
      </c>
      <c r="RW4" s="19">
        <v>0</v>
      </c>
      <c r="RX4" s="19">
        <v>0</v>
      </c>
      <c r="RY4" s="19">
        <v>0</v>
      </c>
      <c r="RZ4" s="19">
        <v>0</v>
      </c>
      <c r="SA4" s="19">
        <v>0</v>
      </c>
      <c r="SB4" s="19">
        <v>0</v>
      </c>
      <c r="SC4" s="19">
        <v>0</v>
      </c>
      <c r="SD4" s="19">
        <v>0</v>
      </c>
      <c r="SE4" s="19">
        <v>0</v>
      </c>
      <c r="SF4" s="19">
        <v>0</v>
      </c>
      <c r="SG4" s="19">
        <v>0</v>
      </c>
      <c r="SH4" s="19">
        <v>0</v>
      </c>
      <c r="SI4" s="19">
        <v>0</v>
      </c>
      <c r="SJ4" s="19">
        <v>0</v>
      </c>
      <c r="SK4" s="19">
        <v>0</v>
      </c>
      <c r="SL4" s="19">
        <v>0</v>
      </c>
      <c r="SM4" s="19">
        <v>0</v>
      </c>
      <c r="SN4" s="19">
        <v>0</v>
      </c>
      <c r="SO4" s="19">
        <v>0</v>
      </c>
      <c r="SP4" s="19">
        <v>0</v>
      </c>
      <c r="SQ4" s="19">
        <v>0</v>
      </c>
      <c r="SR4" s="19">
        <v>0</v>
      </c>
      <c r="SS4" s="19">
        <v>0</v>
      </c>
      <c r="ST4" s="19">
        <v>0</v>
      </c>
      <c r="SU4" s="19">
        <v>0</v>
      </c>
      <c r="SV4" s="19">
        <v>0</v>
      </c>
      <c r="SW4" s="19">
        <v>0</v>
      </c>
      <c r="SX4" s="19">
        <v>0</v>
      </c>
      <c r="SY4" s="19">
        <v>0</v>
      </c>
      <c r="SZ4" s="19">
        <v>0</v>
      </c>
      <c r="TA4" s="19">
        <v>0</v>
      </c>
      <c r="TB4" s="19">
        <v>0</v>
      </c>
      <c r="TC4" s="19">
        <v>0</v>
      </c>
      <c r="TD4" s="19">
        <v>0</v>
      </c>
      <c r="TE4" s="19">
        <v>0</v>
      </c>
      <c r="TF4" s="19">
        <v>0</v>
      </c>
      <c r="TG4" s="19">
        <v>0</v>
      </c>
      <c r="TH4" s="19">
        <v>0</v>
      </c>
      <c r="TI4" s="19">
        <v>0</v>
      </c>
      <c r="TJ4" s="19">
        <v>0</v>
      </c>
      <c r="TK4" s="19">
        <v>0</v>
      </c>
      <c r="TL4" s="19">
        <v>0</v>
      </c>
      <c r="TM4" s="19">
        <v>0</v>
      </c>
      <c r="TN4" s="19">
        <v>0</v>
      </c>
      <c r="TO4" s="19">
        <v>0</v>
      </c>
      <c r="TP4" s="19">
        <v>0</v>
      </c>
      <c r="TQ4" s="19">
        <v>0</v>
      </c>
      <c r="TR4" s="19">
        <v>0</v>
      </c>
      <c r="TS4" s="19">
        <v>0</v>
      </c>
      <c r="TT4" s="19">
        <v>0</v>
      </c>
      <c r="TU4" s="19">
        <v>0</v>
      </c>
      <c r="TV4" s="19">
        <v>0</v>
      </c>
      <c r="TW4" s="19">
        <v>0</v>
      </c>
      <c r="TX4" s="19">
        <v>0</v>
      </c>
      <c r="TY4" s="19">
        <v>0</v>
      </c>
      <c r="TZ4" s="19">
        <v>0</v>
      </c>
      <c r="UA4" s="19">
        <v>0</v>
      </c>
      <c r="UB4" s="19">
        <v>0</v>
      </c>
      <c r="UC4" s="19">
        <v>0</v>
      </c>
      <c r="UD4" s="19">
        <v>0</v>
      </c>
      <c r="UE4" s="19">
        <v>0</v>
      </c>
      <c r="UF4" s="19">
        <v>0</v>
      </c>
      <c r="UG4" s="19">
        <v>0</v>
      </c>
      <c r="UH4" s="19">
        <v>0</v>
      </c>
      <c r="UI4" s="19">
        <v>0</v>
      </c>
      <c r="UJ4" s="19">
        <v>0</v>
      </c>
      <c r="UK4" s="19">
        <v>0</v>
      </c>
      <c r="UL4" s="19">
        <v>0</v>
      </c>
      <c r="UM4" s="19">
        <v>0</v>
      </c>
      <c r="UN4" s="19">
        <v>0</v>
      </c>
      <c r="UO4" s="19">
        <v>0</v>
      </c>
      <c r="UP4" s="19">
        <v>0</v>
      </c>
      <c r="UQ4" s="19">
        <v>0</v>
      </c>
      <c r="UR4" s="19">
        <v>0</v>
      </c>
      <c r="US4" s="19">
        <v>0</v>
      </c>
      <c r="UT4" s="19">
        <v>0</v>
      </c>
      <c r="UU4" s="19">
        <v>0</v>
      </c>
      <c r="UV4" s="19">
        <v>0</v>
      </c>
      <c r="UW4" s="19">
        <v>0</v>
      </c>
      <c r="UX4" s="19">
        <v>0</v>
      </c>
      <c r="UY4" s="19">
        <v>0</v>
      </c>
      <c r="UZ4" s="19">
        <v>0</v>
      </c>
      <c r="VA4" s="19">
        <v>0</v>
      </c>
      <c r="VB4" s="19">
        <v>0</v>
      </c>
      <c r="VC4" s="19">
        <v>0</v>
      </c>
      <c r="VD4" s="19">
        <v>0</v>
      </c>
      <c r="VE4" s="19">
        <v>0</v>
      </c>
      <c r="VF4" s="19">
        <v>0</v>
      </c>
      <c r="VG4" s="19">
        <v>0</v>
      </c>
      <c r="VH4" s="19">
        <v>0</v>
      </c>
      <c r="VI4" s="19">
        <v>0</v>
      </c>
      <c r="VJ4" s="19">
        <v>0</v>
      </c>
      <c r="VK4" s="19">
        <v>0</v>
      </c>
      <c r="VL4" s="19">
        <v>0</v>
      </c>
      <c r="VM4" s="19">
        <v>0</v>
      </c>
      <c r="VN4" s="19">
        <v>0</v>
      </c>
      <c r="VO4" s="19">
        <v>0</v>
      </c>
      <c r="VP4" s="19">
        <v>0</v>
      </c>
      <c r="VQ4" s="19">
        <v>0</v>
      </c>
      <c r="VR4" s="19">
        <v>0</v>
      </c>
      <c r="VS4" s="19">
        <v>0</v>
      </c>
      <c r="VT4" s="19">
        <v>0</v>
      </c>
      <c r="VU4" s="19">
        <v>0</v>
      </c>
      <c r="VV4" s="19">
        <v>0</v>
      </c>
      <c r="VW4" s="19">
        <v>0</v>
      </c>
      <c r="VX4" s="19">
        <v>0</v>
      </c>
      <c r="VY4" s="19">
        <v>0</v>
      </c>
      <c r="VZ4" s="19">
        <v>0</v>
      </c>
      <c r="WA4" s="19">
        <v>0</v>
      </c>
      <c r="WB4" s="19">
        <v>0</v>
      </c>
      <c r="WC4" s="19">
        <v>0</v>
      </c>
      <c r="WD4" s="19">
        <v>0</v>
      </c>
      <c r="WE4" s="19">
        <v>0</v>
      </c>
      <c r="WF4" s="19">
        <v>0</v>
      </c>
      <c r="WG4" s="19">
        <v>0</v>
      </c>
      <c r="WH4" s="19">
        <v>0</v>
      </c>
      <c r="WI4" s="19">
        <v>0</v>
      </c>
      <c r="WJ4" s="19">
        <v>0</v>
      </c>
      <c r="WK4" s="19">
        <v>0</v>
      </c>
      <c r="WL4" s="19">
        <v>0</v>
      </c>
      <c r="WM4" s="19">
        <v>0</v>
      </c>
      <c r="WN4" s="19">
        <v>0</v>
      </c>
      <c r="WO4" s="19">
        <v>0</v>
      </c>
      <c r="WP4" s="19">
        <v>0</v>
      </c>
      <c r="WQ4" s="19">
        <v>0</v>
      </c>
      <c r="WR4" s="19">
        <v>0</v>
      </c>
      <c r="WS4" s="19">
        <v>0</v>
      </c>
      <c r="WT4" s="19">
        <v>0</v>
      </c>
      <c r="WU4" s="19">
        <v>0</v>
      </c>
      <c r="WV4" s="19">
        <v>0</v>
      </c>
      <c r="WW4" s="19">
        <v>0</v>
      </c>
      <c r="WX4" s="19">
        <v>0</v>
      </c>
      <c r="WY4" s="19">
        <v>0</v>
      </c>
      <c r="WZ4" s="19">
        <v>0</v>
      </c>
      <c r="XA4" s="19">
        <v>0</v>
      </c>
      <c r="XB4" s="19">
        <v>0</v>
      </c>
      <c r="XC4" s="19">
        <v>0</v>
      </c>
      <c r="XD4" s="19">
        <v>0</v>
      </c>
      <c r="XE4" s="19">
        <v>0</v>
      </c>
      <c r="XF4" s="19">
        <v>0</v>
      </c>
      <c r="XG4" s="19">
        <v>0</v>
      </c>
      <c r="XH4" s="19">
        <v>0</v>
      </c>
      <c r="XI4" s="19">
        <v>0</v>
      </c>
      <c r="XJ4" s="19">
        <v>0</v>
      </c>
      <c r="XK4" s="19">
        <v>0</v>
      </c>
      <c r="XL4" s="19">
        <v>0</v>
      </c>
      <c r="XM4" s="19">
        <v>0</v>
      </c>
      <c r="XN4" s="19">
        <v>0</v>
      </c>
      <c r="XO4" s="19">
        <v>0</v>
      </c>
      <c r="XP4" s="19">
        <v>0</v>
      </c>
      <c r="XQ4" s="19">
        <v>0</v>
      </c>
      <c r="XR4" s="19">
        <v>0</v>
      </c>
      <c r="XS4" s="19">
        <v>0</v>
      </c>
      <c r="XT4" s="19">
        <v>0</v>
      </c>
      <c r="XU4" s="19">
        <v>0</v>
      </c>
      <c r="XV4" s="19">
        <v>0</v>
      </c>
      <c r="XW4" s="19">
        <v>0</v>
      </c>
      <c r="XX4" s="19">
        <v>0</v>
      </c>
      <c r="XY4" s="19">
        <v>0</v>
      </c>
      <c r="XZ4" s="19">
        <v>0</v>
      </c>
      <c r="YA4" s="19">
        <v>0</v>
      </c>
      <c r="YB4" s="19">
        <v>0</v>
      </c>
      <c r="YC4" s="19">
        <v>0</v>
      </c>
      <c r="YD4" s="19">
        <v>0</v>
      </c>
      <c r="YE4" s="19">
        <v>0</v>
      </c>
      <c r="YF4" s="19">
        <v>0</v>
      </c>
      <c r="YG4" s="19">
        <v>0</v>
      </c>
      <c r="YH4" s="19">
        <v>0</v>
      </c>
      <c r="YI4" s="19">
        <v>0</v>
      </c>
      <c r="YJ4" s="19">
        <v>0</v>
      </c>
      <c r="YK4" s="19">
        <v>0</v>
      </c>
      <c r="YL4" s="19">
        <v>0</v>
      </c>
      <c r="YM4" s="19">
        <v>0</v>
      </c>
      <c r="YN4" s="19">
        <v>0</v>
      </c>
      <c r="YO4" s="19">
        <v>0</v>
      </c>
      <c r="YP4" s="19">
        <v>0</v>
      </c>
      <c r="YQ4" s="19">
        <v>0</v>
      </c>
      <c r="YR4" s="19">
        <v>0</v>
      </c>
      <c r="YS4" s="19">
        <v>0</v>
      </c>
      <c r="YT4" s="19">
        <v>0</v>
      </c>
      <c r="YU4" s="19">
        <v>0</v>
      </c>
      <c r="YV4" s="19">
        <v>0</v>
      </c>
      <c r="YW4" s="19">
        <v>0</v>
      </c>
      <c r="YX4" s="19">
        <v>0</v>
      </c>
      <c r="YY4" s="19">
        <v>0</v>
      </c>
      <c r="YZ4" s="19">
        <v>0</v>
      </c>
      <c r="ZA4" s="19">
        <v>0</v>
      </c>
      <c r="ZB4" s="19">
        <v>0</v>
      </c>
      <c r="ZC4" s="19">
        <v>0</v>
      </c>
      <c r="ZD4" s="19">
        <v>0</v>
      </c>
      <c r="ZE4" s="19">
        <v>0</v>
      </c>
      <c r="ZF4" s="19">
        <v>0</v>
      </c>
      <c r="ZG4" s="19">
        <v>0</v>
      </c>
      <c r="ZH4" s="19">
        <v>0</v>
      </c>
      <c r="ZI4" s="19">
        <v>0</v>
      </c>
      <c r="ZJ4" s="19">
        <v>0</v>
      </c>
      <c r="ZK4" s="19">
        <v>0</v>
      </c>
      <c r="ZL4" s="19">
        <v>0</v>
      </c>
      <c r="ZM4" s="19">
        <v>0</v>
      </c>
      <c r="ZN4" s="19">
        <v>0</v>
      </c>
      <c r="ZO4" s="19">
        <v>0</v>
      </c>
      <c r="ZP4" s="19">
        <v>0</v>
      </c>
      <c r="ZQ4" s="19">
        <v>0</v>
      </c>
      <c r="ZR4" s="19">
        <v>0</v>
      </c>
      <c r="ZS4" s="19">
        <v>0</v>
      </c>
      <c r="ZT4" s="19">
        <v>0</v>
      </c>
      <c r="ZU4" s="19">
        <v>0</v>
      </c>
      <c r="ZV4" s="19">
        <v>0</v>
      </c>
      <c r="ZW4" s="19">
        <v>0</v>
      </c>
      <c r="ZX4" s="19">
        <v>0</v>
      </c>
      <c r="ZY4" s="19">
        <v>0</v>
      </c>
      <c r="ZZ4" s="19">
        <v>0</v>
      </c>
      <c r="AAA4" s="19">
        <v>0</v>
      </c>
      <c r="AAB4" s="19">
        <v>0</v>
      </c>
      <c r="AAC4" s="19">
        <v>0</v>
      </c>
      <c r="AAD4" s="19">
        <v>0</v>
      </c>
      <c r="AAE4" s="19">
        <v>0</v>
      </c>
      <c r="AAF4" s="19">
        <v>0</v>
      </c>
      <c r="AAG4" s="19">
        <v>0</v>
      </c>
      <c r="AAH4" s="19">
        <v>0</v>
      </c>
      <c r="AAI4" s="19">
        <v>0</v>
      </c>
      <c r="AAJ4" s="19">
        <v>0</v>
      </c>
      <c r="AAK4" s="19">
        <v>0</v>
      </c>
      <c r="AAL4" s="19">
        <v>0</v>
      </c>
      <c r="AAM4" s="19">
        <v>0</v>
      </c>
      <c r="AAN4" s="19">
        <v>0</v>
      </c>
      <c r="AAO4" s="19">
        <v>0</v>
      </c>
      <c r="AAP4" s="19">
        <v>0</v>
      </c>
      <c r="AAQ4" s="19">
        <v>0</v>
      </c>
      <c r="AAR4" s="19">
        <v>0</v>
      </c>
      <c r="AAS4" s="19">
        <v>0</v>
      </c>
      <c r="AAT4" s="19">
        <v>0</v>
      </c>
      <c r="AAU4" s="19">
        <v>0</v>
      </c>
      <c r="AAV4" s="19">
        <v>0</v>
      </c>
      <c r="AAW4" s="19">
        <v>0</v>
      </c>
      <c r="AAX4" s="19">
        <v>0</v>
      </c>
      <c r="AAY4" s="19">
        <v>0</v>
      </c>
      <c r="AAZ4" s="19">
        <v>0</v>
      </c>
      <c r="ABA4" s="19">
        <v>0</v>
      </c>
      <c r="ABB4" s="19">
        <v>0</v>
      </c>
      <c r="ABC4" s="19">
        <v>0</v>
      </c>
      <c r="ABD4" s="19">
        <v>0</v>
      </c>
      <c r="ABE4" s="19">
        <v>0</v>
      </c>
      <c r="ABF4" s="19">
        <v>0</v>
      </c>
      <c r="ABG4" s="19">
        <v>0</v>
      </c>
      <c r="ABH4" s="19">
        <v>0</v>
      </c>
      <c r="ABI4" s="19">
        <v>0</v>
      </c>
      <c r="ABJ4" s="19">
        <v>0</v>
      </c>
      <c r="ABK4" s="19">
        <v>0</v>
      </c>
      <c r="ABL4" s="19">
        <v>0</v>
      </c>
      <c r="ABM4" s="19">
        <v>0</v>
      </c>
      <c r="ABN4" s="19">
        <v>0</v>
      </c>
      <c r="ABO4" s="19">
        <v>0</v>
      </c>
      <c r="ABP4" s="19">
        <v>0</v>
      </c>
      <c r="ABQ4" s="19">
        <v>0</v>
      </c>
      <c r="ABR4" s="19">
        <v>0</v>
      </c>
      <c r="ABS4" s="19">
        <v>0</v>
      </c>
      <c r="ABT4" s="19">
        <v>0</v>
      </c>
      <c r="ABU4" s="19">
        <v>0</v>
      </c>
      <c r="ABV4" s="19">
        <v>0</v>
      </c>
      <c r="ABW4" s="19">
        <v>0</v>
      </c>
      <c r="ABX4" s="19">
        <v>0</v>
      </c>
      <c r="ABY4" s="19">
        <v>0</v>
      </c>
      <c r="ABZ4" s="19">
        <v>0</v>
      </c>
      <c r="ACA4" s="19">
        <v>0</v>
      </c>
      <c r="ACB4" s="19">
        <v>0</v>
      </c>
      <c r="ACC4" s="19">
        <v>0</v>
      </c>
      <c r="ACD4" s="19">
        <v>0</v>
      </c>
      <c r="ACE4" s="19">
        <v>0</v>
      </c>
      <c r="ACF4" s="19">
        <v>0</v>
      </c>
      <c r="ACG4" s="19">
        <v>0</v>
      </c>
      <c r="ACH4" s="19">
        <v>0</v>
      </c>
      <c r="ACI4" s="19">
        <v>0</v>
      </c>
      <c r="ACJ4" s="19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 s="31">
        <v>0</v>
      </c>
      <c r="ACS4" s="19">
        <v>0</v>
      </c>
      <c r="ACT4" s="19">
        <v>0</v>
      </c>
      <c r="ACU4" s="19">
        <v>0</v>
      </c>
      <c r="ACV4" s="19">
        <v>0</v>
      </c>
      <c r="ACW4" s="19">
        <v>0</v>
      </c>
      <c r="ACX4" s="19">
        <v>0</v>
      </c>
      <c r="ACY4" s="19">
        <v>0</v>
      </c>
      <c r="ACZ4" s="19">
        <v>0</v>
      </c>
      <c r="ADA4" s="19">
        <v>0</v>
      </c>
      <c r="ADB4" s="19">
        <v>0</v>
      </c>
      <c r="ADC4" s="19">
        <v>0</v>
      </c>
      <c r="ADD4" s="31">
        <v>0</v>
      </c>
      <c r="ADE4" s="19">
        <v>0</v>
      </c>
      <c r="ADF4" s="19">
        <v>0</v>
      </c>
      <c r="ADG4" s="19">
        <v>0</v>
      </c>
      <c r="ADH4" s="19">
        <v>0</v>
      </c>
      <c r="ADI4" s="19">
        <v>0</v>
      </c>
      <c r="ADJ4" s="19">
        <v>0</v>
      </c>
      <c r="ADK4" s="31">
        <v>0</v>
      </c>
      <c r="ADL4" s="19">
        <v>0</v>
      </c>
      <c r="ADM4" s="19">
        <v>0</v>
      </c>
      <c r="ADN4" s="19">
        <v>0</v>
      </c>
      <c r="ADO4" s="19">
        <v>0</v>
      </c>
      <c r="ADP4" s="19">
        <v>0</v>
      </c>
      <c r="ADQ4" s="19">
        <v>0</v>
      </c>
      <c r="ADR4" s="19">
        <v>0</v>
      </c>
      <c r="ADS4" s="19">
        <v>0</v>
      </c>
      <c r="ADT4" s="31">
        <v>0</v>
      </c>
      <c r="ADU4" s="19">
        <v>0</v>
      </c>
      <c r="ADV4" s="19">
        <v>0</v>
      </c>
      <c r="ADW4" s="19">
        <v>0</v>
      </c>
      <c r="ADX4">
        <v>0</v>
      </c>
      <c r="ADY4">
        <v>0</v>
      </c>
      <c r="ADZ4" s="19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 s="31">
        <v>0</v>
      </c>
      <c r="AEI4" s="19">
        <v>0</v>
      </c>
      <c r="AEJ4" s="19">
        <v>0</v>
      </c>
      <c r="AEK4" s="19">
        <v>0</v>
      </c>
      <c r="AEL4" s="19">
        <v>0</v>
      </c>
      <c r="AEM4" s="19">
        <v>0</v>
      </c>
      <c r="AEN4" s="19">
        <v>0</v>
      </c>
      <c r="AEO4" s="31">
        <v>0</v>
      </c>
      <c r="AEP4" s="19">
        <v>0</v>
      </c>
      <c r="AEQ4" s="19">
        <v>0</v>
      </c>
      <c r="AER4" s="19">
        <v>0</v>
      </c>
      <c r="AES4" s="19">
        <v>0</v>
      </c>
      <c r="AET4" s="19">
        <v>0</v>
      </c>
      <c r="AEU4" s="19">
        <v>0</v>
      </c>
      <c r="AEV4" s="19">
        <v>0</v>
      </c>
      <c r="AEW4" s="19">
        <v>0</v>
      </c>
      <c r="AEX4" s="19">
        <v>0</v>
      </c>
      <c r="AEY4" s="19">
        <v>0</v>
      </c>
      <c r="AEZ4" s="19">
        <v>0</v>
      </c>
      <c r="AFA4" s="19">
        <v>0</v>
      </c>
      <c r="AFB4" s="19">
        <v>0</v>
      </c>
      <c r="AFC4" s="19">
        <v>0</v>
      </c>
      <c r="AFD4" s="19">
        <v>0</v>
      </c>
      <c r="AFE4" s="19">
        <v>0</v>
      </c>
      <c r="AFF4" s="19">
        <v>0</v>
      </c>
      <c r="AFG4" s="19">
        <v>0</v>
      </c>
      <c r="AFH4" s="19">
        <v>0</v>
      </c>
      <c r="AFI4" s="19">
        <v>0</v>
      </c>
      <c r="AFJ4" s="31">
        <v>0</v>
      </c>
      <c r="AFK4" s="19">
        <v>0</v>
      </c>
      <c r="AFL4" s="19">
        <v>0</v>
      </c>
      <c r="AFM4" s="19">
        <v>0</v>
      </c>
      <c r="AFN4" s="19">
        <v>0</v>
      </c>
      <c r="AFO4" s="19">
        <v>0</v>
      </c>
      <c r="AFP4" s="19">
        <v>0</v>
      </c>
      <c r="AFQ4" s="31">
        <v>0</v>
      </c>
      <c r="AFR4" s="19">
        <v>0</v>
      </c>
      <c r="AFS4" s="19">
        <v>0</v>
      </c>
      <c r="AFT4" s="19">
        <v>0</v>
      </c>
      <c r="AFU4" s="19">
        <v>0</v>
      </c>
      <c r="AFV4" s="19">
        <v>0</v>
      </c>
      <c r="AFW4" s="19">
        <v>0</v>
      </c>
      <c r="AFX4" s="31">
        <v>0</v>
      </c>
      <c r="AFY4" s="19">
        <v>0</v>
      </c>
      <c r="AFZ4" s="19">
        <v>0</v>
      </c>
      <c r="AGA4" s="19">
        <v>0</v>
      </c>
      <c r="AGB4" s="19">
        <v>0</v>
      </c>
      <c r="AGC4" s="19">
        <v>0</v>
      </c>
      <c r="AGD4" s="19">
        <v>0</v>
      </c>
      <c r="AGE4" s="19">
        <v>0</v>
      </c>
      <c r="AGF4" s="19">
        <v>0</v>
      </c>
      <c r="AGG4" s="19">
        <v>0</v>
      </c>
      <c r="AGH4" s="19">
        <v>0</v>
      </c>
      <c r="AGI4" s="19">
        <v>0</v>
      </c>
      <c r="AGJ4" s="19">
        <v>0</v>
      </c>
      <c r="AGK4" s="31">
        <v>0</v>
      </c>
      <c r="AGL4" s="31">
        <v>0</v>
      </c>
      <c r="AGM4" s="19">
        <v>0</v>
      </c>
      <c r="AGN4" s="19">
        <v>0</v>
      </c>
      <c r="AGO4" s="19">
        <v>0</v>
      </c>
      <c r="AGP4" s="19">
        <v>0</v>
      </c>
      <c r="AGQ4" s="19">
        <v>0</v>
      </c>
      <c r="AGR4" s="19">
        <v>0</v>
      </c>
      <c r="AGS4" s="19">
        <v>0</v>
      </c>
      <c r="AGT4" s="19">
        <v>0</v>
      </c>
      <c r="AGU4" s="19">
        <v>0</v>
      </c>
      <c r="AGV4" s="19">
        <v>0</v>
      </c>
      <c r="AGW4" s="31">
        <v>0</v>
      </c>
      <c r="AGX4" s="19">
        <v>0</v>
      </c>
      <c r="AGY4" s="31">
        <v>0</v>
      </c>
      <c r="AGZ4" s="31">
        <v>0</v>
      </c>
      <c r="AHA4" s="19">
        <v>0</v>
      </c>
      <c r="AHB4" s="19">
        <v>0</v>
      </c>
      <c r="AHC4" s="19">
        <v>0</v>
      </c>
      <c r="AHD4" s="19">
        <v>0</v>
      </c>
      <c r="AHE4" s="19">
        <v>0</v>
      </c>
      <c r="AHH4">
        <v>0</v>
      </c>
      <c r="AHI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 s="31">
        <v>0</v>
      </c>
      <c r="AJD4" s="19">
        <v>0</v>
      </c>
      <c r="AJE4" s="19">
        <v>0</v>
      </c>
      <c r="AJF4" s="19">
        <v>0</v>
      </c>
      <c r="AJG4" s="19">
        <v>0</v>
      </c>
      <c r="AJH4" s="19">
        <v>0</v>
      </c>
      <c r="AJI4" s="19">
        <v>0</v>
      </c>
      <c r="AJJ4" s="19">
        <v>0</v>
      </c>
      <c r="AJK4" s="19">
        <v>0</v>
      </c>
      <c r="AJL4" s="19">
        <v>0</v>
      </c>
      <c r="AJM4" s="19">
        <v>0</v>
      </c>
      <c r="AJN4" s="19">
        <v>0</v>
      </c>
      <c r="AJO4" s="19">
        <v>0</v>
      </c>
      <c r="AJP4" s="19">
        <v>0</v>
      </c>
      <c r="AJQ4" s="19">
        <v>0</v>
      </c>
      <c r="AJR4" s="19">
        <v>0</v>
      </c>
      <c r="AJS4" s="19">
        <v>0</v>
      </c>
      <c r="AJT4" s="19">
        <v>0</v>
      </c>
      <c r="AJU4" s="19">
        <v>0</v>
      </c>
      <c r="AJV4" s="19">
        <v>0</v>
      </c>
      <c r="AJW4" s="19">
        <v>0</v>
      </c>
      <c r="AJX4" s="19">
        <v>0</v>
      </c>
      <c r="AJY4" s="19">
        <v>0</v>
      </c>
      <c r="AJZ4" s="19">
        <v>0</v>
      </c>
      <c r="AKA4" s="19">
        <v>0</v>
      </c>
      <c r="AKB4" s="31">
        <v>0</v>
      </c>
      <c r="AKC4" s="19">
        <v>0</v>
      </c>
      <c r="AKD4" s="19">
        <v>0</v>
      </c>
      <c r="AKE4" s="19">
        <v>0</v>
      </c>
      <c r="AKF4" s="19">
        <v>0</v>
      </c>
    </row>
    <row r="5" spans="1:1010">
      <c r="A5">
        <v>3</v>
      </c>
      <c r="B5" t="s">
        <v>91</v>
      </c>
      <c r="C5" s="1">
        <v>82630</v>
      </c>
      <c r="D5" s="2" t="s">
        <v>28</v>
      </c>
      <c r="E5" s="3" t="s">
        <v>88</v>
      </c>
      <c r="F5" s="1" t="s">
        <v>31</v>
      </c>
      <c r="G5" s="1" t="s">
        <v>33</v>
      </c>
      <c r="H5" s="1" t="s">
        <v>89</v>
      </c>
      <c r="I5" s="1" t="s">
        <v>45</v>
      </c>
      <c r="J5" s="1" t="s">
        <v>46</v>
      </c>
      <c r="K5">
        <v>17853</v>
      </c>
      <c r="L5">
        <v>13781</v>
      </c>
      <c r="M5">
        <v>17805</v>
      </c>
      <c r="N5">
        <v>5465</v>
      </c>
      <c r="O5">
        <v>0</v>
      </c>
      <c r="P5">
        <v>12</v>
      </c>
      <c r="Q5">
        <v>3435</v>
      </c>
      <c r="R5">
        <v>14721</v>
      </c>
      <c r="S5">
        <v>20294</v>
      </c>
      <c r="T5">
        <v>36267</v>
      </c>
      <c r="U5">
        <v>924</v>
      </c>
      <c r="V5">
        <v>0</v>
      </c>
      <c r="W5">
        <v>3799</v>
      </c>
      <c r="X5">
        <v>8234</v>
      </c>
      <c r="Y5">
        <v>3543</v>
      </c>
      <c r="Z5">
        <v>1878</v>
      </c>
      <c r="AA5">
        <v>12201</v>
      </c>
      <c r="AB5">
        <v>17082</v>
      </c>
      <c r="AC5">
        <v>0</v>
      </c>
      <c r="AD5">
        <v>8474</v>
      </c>
      <c r="AE5">
        <v>8444</v>
      </c>
      <c r="AF5">
        <v>4596</v>
      </c>
      <c r="AG5">
        <v>1052</v>
      </c>
      <c r="AH5">
        <v>1439</v>
      </c>
      <c r="AI5">
        <v>6743</v>
      </c>
      <c r="AJ5">
        <v>0</v>
      </c>
      <c r="AK5">
        <v>316</v>
      </c>
      <c r="AL5">
        <v>1600</v>
      </c>
      <c r="AM5">
        <v>21951</v>
      </c>
      <c r="AN5">
        <v>14042</v>
      </c>
      <c r="AO5">
        <v>4435</v>
      </c>
      <c r="AP5">
        <v>3317</v>
      </c>
      <c r="AQ5">
        <v>0</v>
      </c>
      <c r="AR5">
        <v>0</v>
      </c>
      <c r="AS5">
        <v>0</v>
      </c>
      <c r="AT5">
        <v>151</v>
      </c>
      <c r="AU5">
        <v>685</v>
      </c>
      <c r="AV5">
        <v>4154</v>
      </c>
      <c r="AW5">
        <v>12012</v>
      </c>
      <c r="AX5">
        <v>0</v>
      </c>
      <c r="AY5">
        <v>8402</v>
      </c>
      <c r="AZ5">
        <v>12842</v>
      </c>
      <c r="BA5">
        <v>13077</v>
      </c>
      <c r="BB5">
        <v>300</v>
      </c>
      <c r="BC5">
        <v>0</v>
      </c>
      <c r="BD5">
        <v>7898</v>
      </c>
      <c r="BE5">
        <v>0</v>
      </c>
      <c r="BF5">
        <v>10068</v>
      </c>
      <c r="BG5">
        <v>14186</v>
      </c>
      <c r="BH5">
        <v>27329</v>
      </c>
      <c r="BI5">
        <v>11660</v>
      </c>
      <c r="BJ5">
        <v>13020</v>
      </c>
      <c r="BK5">
        <v>139364</v>
      </c>
      <c r="BL5">
        <v>20176</v>
      </c>
      <c r="BM5">
        <v>30197</v>
      </c>
      <c r="BN5">
        <v>11410</v>
      </c>
      <c r="BO5">
        <v>2618</v>
      </c>
      <c r="BP5">
        <v>0</v>
      </c>
      <c r="BQ5">
        <v>0</v>
      </c>
      <c r="BR5">
        <v>0</v>
      </c>
      <c r="BS5">
        <v>0</v>
      </c>
      <c r="BT5">
        <v>0</v>
      </c>
      <c r="BU5" s="33">
        <v>0</v>
      </c>
      <c r="BV5" s="33">
        <v>15005</v>
      </c>
      <c r="BW5" s="33">
        <v>16568</v>
      </c>
      <c r="BX5" s="33">
        <v>11702</v>
      </c>
      <c r="BY5" s="33">
        <v>1290</v>
      </c>
      <c r="BZ5" s="33">
        <v>0</v>
      </c>
      <c r="CA5" s="33">
        <v>2535</v>
      </c>
      <c r="CB5">
        <v>297</v>
      </c>
      <c r="CC5">
        <v>6379</v>
      </c>
      <c r="CD5">
        <v>23384</v>
      </c>
      <c r="CE5">
        <v>7182</v>
      </c>
      <c r="CF5">
        <v>8807</v>
      </c>
      <c r="CG5">
        <v>0</v>
      </c>
      <c r="CH5">
        <v>658</v>
      </c>
      <c r="CI5">
        <v>8306</v>
      </c>
      <c r="CJ5">
        <v>2878</v>
      </c>
      <c r="CK5">
        <v>2379</v>
      </c>
      <c r="CL5">
        <v>1839</v>
      </c>
      <c r="CM5">
        <v>0</v>
      </c>
      <c r="CN5">
        <v>0</v>
      </c>
      <c r="CO5">
        <v>10500</v>
      </c>
      <c r="CP5">
        <v>15716</v>
      </c>
      <c r="CQ5">
        <v>4561</v>
      </c>
      <c r="CR5">
        <v>1803</v>
      </c>
      <c r="CS5">
        <v>12376</v>
      </c>
      <c r="CT5">
        <v>8068</v>
      </c>
      <c r="CU5">
        <v>0</v>
      </c>
      <c r="CV5">
        <v>4764</v>
      </c>
      <c r="CW5">
        <v>21750</v>
      </c>
      <c r="CX5">
        <v>28838</v>
      </c>
      <c r="CY5">
        <v>2449</v>
      </c>
      <c r="CZ5">
        <v>12670</v>
      </c>
      <c r="DA5">
        <v>16768</v>
      </c>
      <c r="DB5">
        <v>4663</v>
      </c>
      <c r="DC5">
        <v>1586</v>
      </c>
      <c r="DD5">
        <v>6769</v>
      </c>
      <c r="DE5">
        <v>24931</v>
      </c>
      <c r="DF5">
        <v>6441</v>
      </c>
      <c r="DG5">
        <v>7310</v>
      </c>
      <c r="DH5">
        <v>5161</v>
      </c>
      <c r="DI5">
        <v>0</v>
      </c>
      <c r="DJ5">
        <v>0</v>
      </c>
      <c r="DK5">
        <v>3771</v>
      </c>
      <c r="DL5">
        <v>6694</v>
      </c>
      <c r="DM5">
        <v>3685</v>
      </c>
      <c r="DN5">
        <v>6208</v>
      </c>
      <c r="DO5">
        <v>4326</v>
      </c>
      <c r="DP5">
        <v>0</v>
      </c>
      <c r="DQ5">
        <v>0</v>
      </c>
      <c r="DR5">
        <v>4173</v>
      </c>
      <c r="DS5">
        <v>3605</v>
      </c>
      <c r="DT5">
        <v>7705</v>
      </c>
      <c r="DU5">
        <v>7438</v>
      </c>
      <c r="DV5">
        <v>2655</v>
      </c>
      <c r="DW5">
        <v>914</v>
      </c>
      <c r="DX5">
        <v>8985</v>
      </c>
      <c r="DY5">
        <v>10812</v>
      </c>
      <c r="DZ5">
        <v>8552</v>
      </c>
      <c r="EA5">
        <v>123</v>
      </c>
      <c r="EB5">
        <v>1214</v>
      </c>
      <c r="EC5">
        <v>6910</v>
      </c>
      <c r="ED5">
        <v>0</v>
      </c>
      <c r="EE5">
        <v>4575</v>
      </c>
      <c r="EF5">
        <v>3234</v>
      </c>
      <c r="EG5">
        <v>8132</v>
      </c>
      <c r="EH5">
        <v>41377</v>
      </c>
      <c r="EI5">
        <v>9640</v>
      </c>
      <c r="EJ5">
        <v>2863</v>
      </c>
      <c r="EK5">
        <v>0</v>
      </c>
      <c r="EL5">
        <v>8262</v>
      </c>
      <c r="EM5">
        <v>4258</v>
      </c>
      <c r="EN5">
        <v>5441</v>
      </c>
      <c r="EO5">
        <v>3700</v>
      </c>
      <c r="EP5">
        <v>10999</v>
      </c>
      <c r="EQ5">
        <v>3272</v>
      </c>
      <c r="ER5">
        <v>0</v>
      </c>
      <c r="ES5">
        <v>736</v>
      </c>
      <c r="ET5">
        <v>3634</v>
      </c>
      <c r="EU5">
        <v>4864</v>
      </c>
      <c r="EV5">
        <v>7603</v>
      </c>
      <c r="EW5">
        <v>4651</v>
      </c>
      <c r="EX5">
        <v>7363</v>
      </c>
      <c r="EY5">
        <v>0</v>
      </c>
      <c r="EZ5">
        <v>2682</v>
      </c>
      <c r="FA5">
        <v>3598</v>
      </c>
      <c r="FB5">
        <v>2096</v>
      </c>
      <c r="FC5">
        <v>5446</v>
      </c>
      <c r="FD5">
        <v>4743</v>
      </c>
      <c r="FE5">
        <v>24</v>
      </c>
      <c r="FF5">
        <v>0</v>
      </c>
      <c r="FG5">
        <v>3359</v>
      </c>
      <c r="FH5">
        <v>1269</v>
      </c>
      <c r="FI5">
        <v>4868</v>
      </c>
      <c r="FJ5">
        <v>3136</v>
      </c>
      <c r="FK5">
        <v>4174</v>
      </c>
      <c r="FL5">
        <v>0</v>
      </c>
      <c r="FM5">
        <v>0</v>
      </c>
      <c r="FN5">
        <v>2894</v>
      </c>
      <c r="FO5">
        <v>0</v>
      </c>
      <c r="FP5">
        <v>12529</v>
      </c>
      <c r="FQ5">
        <v>1566</v>
      </c>
      <c r="FR5">
        <v>9098</v>
      </c>
      <c r="FS5">
        <v>0</v>
      </c>
      <c r="FT5">
        <v>0</v>
      </c>
      <c r="FU5">
        <v>0</v>
      </c>
      <c r="FV5">
        <v>0</v>
      </c>
      <c r="FW5">
        <v>887</v>
      </c>
      <c r="FX5">
        <v>1063</v>
      </c>
      <c r="FY5">
        <v>447</v>
      </c>
      <c r="FZ5">
        <v>4182</v>
      </c>
      <c r="GA5">
        <v>0</v>
      </c>
      <c r="GB5">
        <v>9632</v>
      </c>
      <c r="GC5">
        <v>3818</v>
      </c>
      <c r="GD5">
        <v>12557</v>
      </c>
      <c r="GE5">
        <v>364</v>
      </c>
      <c r="GF5">
        <v>200</v>
      </c>
      <c r="GG5">
        <v>0</v>
      </c>
      <c r="GH5">
        <v>0</v>
      </c>
      <c r="GI5">
        <v>4444</v>
      </c>
      <c r="GJ5">
        <v>166</v>
      </c>
      <c r="GK5">
        <v>0</v>
      </c>
      <c r="GL5">
        <v>4022</v>
      </c>
      <c r="GM5">
        <v>0</v>
      </c>
      <c r="GN5">
        <v>0</v>
      </c>
      <c r="GO5">
        <v>0</v>
      </c>
      <c r="GP5">
        <v>4473</v>
      </c>
      <c r="GQ5">
        <v>1282</v>
      </c>
      <c r="GR5">
        <v>0</v>
      </c>
      <c r="GS5">
        <v>90</v>
      </c>
      <c r="GT5">
        <v>559</v>
      </c>
      <c r="GU5">
        <v>4863</v>
      </c>
      <c r="GV5">
        <v>0</v>
      </c>
      <c r="GW5">
        <v>0</v>
      </c>
      <c r="GX5">
        <v>0</v>
      </c>
      <c r="GY5">
        <v>0</v>
      </c>
      <c r="GZ5">
        <v>0</v>
      </c>
      <c r="HA5">
        <v>44594</v>
      </c>
      <c r="HB5">
        <v>20932</v>
      </c>
      <c r="HC5">
        <v>0</v>
      </c>
      <c r="HD5">
        <v>3315</v>
      </c>
      <c r="HE5">
        <v>6188</v>
      </c>
      <c r="HF5">
        <v>0</v>
      </c>
      <c r="HG5">
        <v>5897</v>
      </c>
      <c r="HH5">
        <v>20332</v>
      </c>
      <c r="HI5">
        <v>0</v>
      </c>
      <c r="HJ5">
        <v>0</v>
      </c>
      <c r="HK5">
        <v>6436</v>
      </c>
      <c r="HL5">
        <v>0</v>
      </c>
      <c r="HM5">
        <v>428</v>
      </c>
      <c r="HN5">
        <v>2684</v>
      </c>
      <c r="HO5">
        <v>62</v>
      </c>
      <c r="HP5">
        <v>0</v>
      </c>
      <c r="HQ5">
        <v>0</v>
      </c>
      <c r="HR5">
        <v>0</v>
      </c>
      <c r="HS5">
        <v>4332</v>
      </c>
      <c r="HT5">
        <v>9209</v>
      </c>
      <c r="HU5">
        <v>8788</v>
      </c>
      <c r="HV5">
        <v>621</v>
      </c>
      <c r="HW5">
        <v>0</v>
      </c>
      <c r="HX5">
        <v>0</v>
      </c>
      <c r="HY5">
        <v>0</v>
      </c>
      <c r="HZ5">
        <v>2918</v>
      </c>
      <c r="IA5">
        <v>6182</v>
      </c>
      <c r="IB5">
        <v>1970</v>
      </c>
      <c r="IC5">
        <v>9012</v>
      </c>
      <c r="ID5">
        <v>5221</v>
      </c>
      <c r="IE5">
        <v>0</v>
      </c>
      <c r="IF5">
        <v>835</v>
      </c>
      <c r="IG5">
        <v>2063</v>
      </c>
      <c r="IH5">
        <v>4395</v>
      </c>
      <c r="II5">
        <v>14614</v>
      </c>
      <c r="IJ5">
        <v>4823</v>
      </c>
      <c r="IK5">
        <v>4674</v>
      </c>
      <c r="IL5">
        <v>0</v>
      </c>
      <c r="IM5">
        <v>46</v>
      </c>
      <c r="IN5">
        <v>7382</v>
      </c>
      <c r="IO5">
        <v>2838</v>
      </c>
      <c r="IP5">
        <v>7909</v>
      </c>
      <c r="IQ5">
        <v>9371</v>
      </c>
      <c r="IR5">
        <v>1101</v>
      </c>
      <c r="IS5">
        <v>0</v>
      </c>
      <c r="IT5">
        <v>974</v>
      </c>
      <c r="IU5">
        <v>2240</v>
      </c>
      <c r="IV5">
        <v>0</v>
      </c>
      <c r="IW5">
        <v>4137</v>
      </c>
      <c r="IX5">
        <v>71</v>
      </c>
      <c r="IY5">
        <v>2474</v>
      </c>
      <c r="IZ5">
        <v>0</v>
      </c>
      <c r="JA5">
        <v>3868</v>
      </c>
      <c r="JB5">
        <v>5269</v>
      </c>
      <c r="JC5">
        <v>10054</v>
      </c>
      <c r="JD5">
        <v>118</v>
      </c>
      <c r="JE5">
        <v>390</v>
      </c>
      <c r="JF5">
        <v>4157</v>
      </c>
      <c r="JG5">
        <v>0</v>
      </c>
      <c r="JH5">
        <v>1384</v>
      </c>
      <c r="JI5">
        <v>3880</v>
      </c>
      <c r="JJ5">
        <v>925</v>
      </c>
      <c r="JK5">
        <v>3666</v>
      </c>
      <c r="JL5">
        <v>15400</v>
      </c>
      <c r="JM5">
        <v>3818</v>
      </c>
      <c r="JN5">
        <v>0</v>
      </c>
      <c r="JO5">
        <v>496</v>
      </c>
      <c r="JP5">
        <v>4072</v>
      </c>
      <c r="JQ5">
        <v>5327</v>
      </c>
      <c r="JR5">
        <v>3939</v>
      </c>
      <c r="JS5">
        <v>9108</v>
      </c>
      <c r="JT5">
        <v>8546</v>
      </c>
      <c r="JU5">
        <v>0</v>
      </c>
      <c r="JV5">
        <v>0</v>
      </c>
      <c r="JW5">
        <v>1118</v>
      </c>
      <c r="JX5">
        <v>0</v>
      </c>
      <c r="JY5">
        <v>4530</v>
      </c>
      <c r="JZ5">
        <v>823</v>
      </c>
      <c r="KA5">
        <v>2164</v>
      </c>
      <c r="KB5">
        <v>0</v>
      </c>
      <c r="KC5">
        <v>5005</v>
      </c>
      <c r="KD5">
        <v>797</v>
      </c>
      <c r="KE5">
        <v>83</v>
      </c>
      <c r="KF5">
        <v>9420</v>
      </c>
      <c r="KG5">
        <v>1357</v>
      </c>
      <c r="KH5">
        <v>8148</v>
      </c>
      <c r="KI5">
        <v>0</v>
      </c>
      <c r="KJ5">
        <v>0</v>
      </c>
      <c r="KK5">
        <v>2125</v>
      </c>
      <c r="KL5">
        <v>16506</v>
      </c>
      <c r="KM5">
        <v>0</v>
      </c>
      <c r="KN5">
        <v>1655</v>
      </c>
      <c r="KO5">
        <v>572</v>
      </c>
      <c r="KP5">
        <v>0</v>
      </c>
      <c r="KQ5">
        <v>2586</v>
      </c>
      <c r="KR5">
        <v>7699</v>
      </c>
      <c r="KS5">
        <v>1608</v>
      </c>
      <c r="KT5">
        <v>2860</v>
      </c>
      <c r="KU5">
        <v>9890</v>
      </c>
      <c r="KV5">
        <v>6429</v>
      </c>
      <c r="KW5">
        <v>0</v>
      </c>
      <c r="KX5">
        <v>14293</v>
      </c>
      <c r="KY5">
        <v>8791</v>
      </c>
      <c r="KZ5">
        <v>10331</v>
      </c>
      <c r="LA5">
        <v>1669</v>
      </c>
      <c r="LB5">
        <v>5241</v>
      </c>
      <c r="LC5">
        <v>770</v>
      </c>
      <c r="LD5">
        <v>0</v>
      </c>
      <c r="LE5">
        <v>6328</v>
      </c>
      <c r="LF5">
        <v>7916</v>
      </c>
      <c r="LG5">
        <v>4838</v>
      </c>
      <c r="LH5">
        <v>7765</v>
      </c>
      <c r="LI5">
        <v>2097</v>
      </c>
      <c r="LJ5">
        <v>372</v>
      </c>
      <c r="LK5">
        <v>0</v>
      </c>
      <c r="LL5">
        <v>34</v>
      </c>
      <c r="LM5">
        <v>2715</v>
      </c>
      <c r="LN5">
        <v>4380</v>
      </c>
      <c r="LO5">
        <v>3105</v>
      </c>
      <c r="LP5">
        <v>6235</v>
      </c>
      <c r="LQ5">
        <v>194</v>
      </c>
      <c r="LR5">
        <v>6881</v>
      </c>
      <c r="LS5">
        <v>334</v>
      </c>
      <c r="LT5">
        <v>2173</v>
      </c>
      <c r="LU5">
        <v>11702</v>
      </c>
      <c r="LV5">
        <v>5075</v>
      </c>
      <c r="LW5">
        <v>2409</v>
      </c>
      <c r="LX5">
        <v>10546</v>
      </c>
      <c r="LY5">
        <v>0</v>
      </c>
      <c r="LZ5">
        <v>587</v>
      </c>
      <c r="MA5">
        <v>979</v>
      </c>
      <c r="MB5">
        <v>975</v>
      </c>
      <c r="MC5">
        <v>6736</v>
      </c>
      <c r="MD5">
        <v>14129</v>
      </c>
      <c r="ME5">
        <v>8023</v>
      </c>
      <c r="MF5">
        <v>0</v>
      </c>
      <c r="MG5">
        <v>587</v>
      </c>
      <c r="MH5">
        <v>8978</v>
      </c>
      <c r="MI5">
        <v>1588</v>
      </c>
      <c r="MJ5">
        <v>8473</v>
      </c>
      <c r="MK5">
        <v>9344</v>
      </c>
      <c r="ML5">
        <v>4807</v>
      </c>
      <c r="MM5">
        <v>0</v>
      </c>
      <c r="MN5">
        <v>3</v>
      </c>
      <c r="MO5">
        <v>3390</v>
      </c>
      <c r="MP5">
        <v>2214</v>
      </c>
      <c r="MQ5">
        <v>3976</v>
      </c>
      <c r="MR5">
        <v>3706</v>
      </c>
      <c r="MS5">
        <v>0</v>
      </c>
      <c r="MT5">
        <v>0</v>
      </c>
      <c r="MU5">
        <v>0</v>
      </c>
      <c r="MV5">
        <v>396</v>
      </c>
      <c r="MW5">
        <v>1101</v>
      </c>
      <c r="MX5">
        <v>67</v>
      </c>
      <c r="MY5">
        <v>0</v>
      </c>
      <c r="MZ5">
        <v>0</v>
      </c>
      <c r="NA5">
        <v>0</v>
      </c>
      <c r="NB5">
        <v>0</v>
      </c>
      <c r="NC5">
        <v>6543</v>
      </c>
      <c r="ND5">
        <v>0</v>
      </c>
      <c r="NE5">
        <v>919</v>
      </c>
      <c r="NF5">
        <v>1084</v>
      </c>
      <c r="NG5">
        <v>2409</v>
      </c>
      <c r="NH5">
        <v>0</v>
      </c>
      <c r="NI5">
        <v>12118</v>
      </c>
      <c r="NJ5">
        <v>2172</v>
      </c>
      <c r="NK5">
        <v>808</v>
      </c>
      <c r="NL5">
        <v>0</v>
      </c>
      <c r="NM5">
        <v>675</v>
      </c>
      <c r="NN5">
        <v>560</v>
      </c>
      <c r="NO5">
        <v>0</v>
      </c>
      <c r="NP5">
        <v>0</v>
      </c>
      <c r="NQ5">
        <v>0</v>
      </c>
      <c r="NR5">
        <v>1800</v>
      </c>
      <c r="NS5">
        <v>4123</v>
      </c>
      <c r="NT5">
        <v>6903</v>
      </c>
      <c r="NU5">
        <v>8947</v>
      </c>
      <c r="NV5">
        <v>0</v>
      </c>
      <c r="NW5">
        <v>1182</v>
      </c>
      <c r="NX5">
        <v>0</v>
      </c>
      <c r="NY5">
        <v>0</v>
      </c>
      <c r="NZ5">
        <v>879</v>
      </c>
      <c r="OA5">
        <v>3930</v>
      </c>
      <c r="OB5">
        <v>2657</v>
      </c>
      <c r="OC5">
        <v>0</v>
      </c>
      <c r="OD5">
        <v>0</v>
      </c>
      <c r="OE5">
        <v>8186</v>
      </c>
      <c r="OF5">
        <v>5243</v>
      </c>
      <c r="OG5">
        <v>951</v>
      </c>
      <c r="OH5">
        <v>5156</v>
      </c>
      <c r="OI5">
        <v>1178</v>
      </c>
      <c r="OJ5">
        <v>0</v>
      </c>
      <c r="OK5">
        <v>0</v>
      </c>
      <c r="OL5">
        <v>432</v>
      </c>
      <c r="OM5">
        <v>4817</v>
      </c>
      <c r="ON5">
        <v>6171</v>
      </c>
      <c r="OO5">
        <v>450</v>
      </c>
      <c r="OP5">
        <v>0</v>
      </c>
      <c r="OQ5">
        <v>0</v>
      </c>
      <c r="OR5">
        <v>5156</v>
      </c>
      <c r="OS5">
        <v>4634</v>
      </c>
      <c r="OT5">
        <v>3090</v>
      </c>
      <c r="OU5">
        <v>0</v>
      </c>
      <c r="OV5">
        <v>578</v>
      </c>
      <c r="OW5">
        <v>4036</v>
      </c>
      <c r="OX5">
        <v>0</v>
      </c>
      <c r="OY5">
        <v>26</v>
      </c>
      <c r="OZ5">
        <v>0</v>
      </c>
      <c r="PA5">
        <v>4595</v>
      </c>
      <c r="PB5">
        <v>336</v>
      </c>
      <c r="PC5">
        <v>5886</v>
      </c>
      <c r="PD5">
        <v>206</v>
      </c>
      <c r="PE5">
        <v>0</v>
      </c>
      <c r="PF5">
        <v>7066</v>
      </c>
      <c r="PG5">
        <v>156</v>
      </c>
      <c r="PH5">
        <v>36560</v>
      </c>
      <c r="PI5">
        <v>5047</v>
      </c>
      <c r="PJ5">
        <v>10021</v>
      </c>
      <c r="PK5">
        <v>16760</v>
      </c>
      <c r="PL5">
        <v>0</v>
      </c>
      <c r="PM5">
        <v>12412</v>
      </c>
      <c r="PN5">
        <v>16014</v>
      </c>
      <c r="PO5">
        <v>1</v>
      </c>
      <c r="PP5">
        <v>16723</v>
      </c>
      <c r="PQ5">
        <v>44146</v>
      </c>
      <c r="PR5">
        <v>469</v>
      </c>
      <c r="PS5">
        <v>0</v>
      </c>
      <c r="PT5">
        <v>0</v>
      </c>
      <c r="PU5">
        <v>0</v>
      </c>
      <c r="PV5">
        <v>0</v>
      </c>
      <c r="PW5">
        <v>1779</v>
      </c>
      <c r="PX5">
        <v>9800</v>
      </c>
      <c r="PY5">
        <v>1</v>
      </c>
      <c r="PZ5">
        <v>0</v>
      </c>
      <c r="QA5">
        <v>0</v>
      </c>
      <c r="QB5">
        <v>6645</v>
      </c>
      <c r="QC5">
        <v>12019</v>
      </c>
      <c r="QD5">
        <v>60</v>
      </c>
      <c r="QE5">
        <v>10453</v>
      </c>
      <c r="QF5">
        <v>6103</v>
      </c>
      <c r="QG5">
        <v>0</v>
      </c>
      <c r="QH5">
        <v>7679</v>
      </c>
      <c r="QI5">
        <v>8131</v>
      </c>
      <c r="QJ5">
        <v>13577</v>
      </c>
      <c r="QK5">
        <v>4061</v>
      </c>
      <c r="QL5">
        <v>12690</v>
      </c>
      <c r="QM5">
        <v>279</v>
      </c>
      <c r="QN5">
        <v>0</v>
      </c>
      <c r="QO5">
        <v>405</v>
      </c>
      <c r="QP5">
        <v>0</v>
      </c>
      <c r="QQ5">
        <v>0</v>
      </c>
      <c r="QR5">
        <v>2319</v>
      </c>
      <c r="QS5">
        <v>14612</v>
      </c>
      <c r="QT5">
        <v>10785</v>
      </c>
      <c r="QU5">
        <v>0</v>
      </c>
      <c r="QV5">
        <v>15308</v>
      </c>
      <c r="QW5">
        <v>6898</v>
      </c>
      <c r="QX5">
        <v>3402</v>
      </c>
      <c r="QY5">
        <v>2919</v>
      </c>
      <c r="QZ5">
        <v>12262</v>
      </c>
      <c r="RA5">
        <v>1318</v>
      </c>
      <c r="RB5">
        <v>0</v>
      </c>
      <c r="RC5">
        <v>0</v>
      </c>
      <c r="RD5">
        <v>4176</v>
      </c>
      <c r="RE5">
        <v>8269</v>
      </c>
      <c r="RF5">
        <v>4654</v>
      </c>
      <c r="RG5">
        <v>26756</v>
      </c>
      <c r="RH5">
        <v>0</v>
      </c>
      <c r="RI5">
        <v>0</v>
      </c>
      <c r="RJ5">
        <v>9178</v>
      </c>
      <c r="RK5">
        <v>9690</v>
      </c>
      <c r="RL5">
        <v>365</v>
      </c>
      <c r="RM5">
        <v>7821</v>
      </c>
      <c r="RN5">
        <v>12511</v>
      </c>
      <c r="RO5">
        <v>4205</v>
      </c>
      <c r="RP5">
        <v>0</v>
      </c>
      <c r="RQ5">
        <v>9170</v>
      </c>
      <c r="RR5">
        <v>17652</v>
      </c>
      <c r="RS5">
        <v>9919</v>
      </c>
      <c r="RT5">
        <v>33120</v>
      </c>
      <c r="RU5">
        <v>7667</v>
      </c>
      <c r="RV5">
        <v>15476</v>
      </c>
      <c r="RW5">
        <v>1314</v>
      </c>
      <c r="RX5">
        <v>1223</v>
      </c>
      <c r="RY5">
        <v>1002</v>
      </c>
      <c r="RZ5">
        <v>3168</v>
      </c>
      <c r="SA5">
        <v>0</v>
      </c>
      <c r="SB5">
        <v>2016</v>
      </c>
      <c r="SC5">
        <v>5389</v>
      </c>
      <c r="SD5">
        <v>0</v>
      </c>
      <c r="SE5">
        <v>9292</v>
      </c>
      <c r="SF5">
        <v>2390</v>
      </c>
      <c r="SG5">
        <v>6059</v>
      </c>
      <c r="SH5">
        <v>5126</v>
      </c>
      <c r="SI5">
        <v>4692</v>
      </c>
      <c r="SJ5">
        <v>5941</v>
      </c>
      <c r="SK5">
        <v>0</v>
      </c>
      <c r="SL5">
        <v>950</v>
      </c>
      <c r="SM5">
        <v>3152</v>
      </c>
      <c r="SN5">
        <v>4419</v>
      </c>
      <c r="SO5">
        <v>4351</v>
      </c>
      <c r="SP5">
        <v>189</v>
      </c>
      <c r="SQ5">
        <v>2260</v>
      </c>
      <c r="SR5">
        <v>0</v>
      </c>
      <c r="SS5">
        <v>0</v>
      </c>
      <c r="ST5">
        <v>0</v>
      </c>
      <c r="SU5">
        <v>6559</v>
      </c>
      <c r="SV5">
        <v>36</v>
      </c>
      <c r="SW5">
        <v>7077</v>
      </c>
      <c r="SX5">
        <v>16745</v>
      </c>
      <c r="SY5">
        <v>0</v>
      </c>
      <c r="SZ5">
        <v>0</v>
      </c>
      <c r="TA5">
        <v>4315</v>
      </c>
      <c r="TB5">
        <v>15</v>
      </c>
      <c r="TC5">
        <v>12923</v>
      </c>
      <c r="TD5">
        <v>5536</v>
      </c>
      <c r="TE5">
        <v>6058</v>
      </c>
      <c r="TF5">
        <v>0</v>
      </c>
      <c r="TG5">
        <v>7840</v>
      </c>
      <c r="TH5">
        <v>3578</v>
      </c>
      <c r="TI5">
        <v>6953</v>
      </c>
      <c r="TJ5">
        <v>3652</v>
      </c>
      <c r="TK5">
        <v>6346</v>
      </c>
      <c r="TL5">
        <v>1374</v>
      </c>
      <c r="TM5">
        <v>3521</v>
      </c>
      <c r="TN5">
        <v>0</v>
      </c>
      <c r="TO5">
        <v>296</v>
      </c>
      <c r="TP5">
        <v>8302</v>
      </c>
      <c r="TQ5">
        <v>6062</v>
      </c>
      <c r="TR5">
        <v>443</v>
      </c>
      <c r="TS5">
        <v>3198</v>
      </c>
      <c r="TT5">
        <v>0</v>
      </c>
      <c r="TU5">
        <v>0</v>
      </c>
      <c r="TV5">
        <v>0</v>
      </c>
      <c r="TW5">
        <v>57</v>
      </c>
      <c r="TX5">
        <v>1644</v>
      </c>
      <c r="TY5">
        <v>4647</v>
      </c>
      <c r="TZ5">
        <v>12270</v>
      </c>
      <c r="UA5">
        <v>0</v>
      </c>
      <c r="UB5">
        <v>256</v>
      </c>
      <c r="UC5">
        <v>2004</v>
      </c>
      <c r="UD5">
        <v>4716</v>
      </c>
      <c r="UE5">
        <v>5540</v>
      </c>
      <c r="UF5">
        <v>5988</v>
      </c>
      <c r="UG5">
        <v>7056</v>
      </c>
      <c r="UH5">
        <v>0</v>
      </c>
      <c r="UI5">
        <v>2744</v>
      </c>
      <c r="UJ5">
        <v>1898</v>
      </c>
      <c r="UK5">
        <v>17664</v>
      </c>
      <c r="UL5">
        <v>0</v>
      </c>
      <c r="UM5">
        <v>1792</v>
      </c>
      <c r="UN5">
        <v>1620</v>
      </c>
      <c r="UO5">
        <v>0</v>
      </c>
      <c r="UP5">
        <v>4</v>
      </c>
      <c r="UQ5">
        <v>1633</v>
      </c>
      <c r="UR5">
        <v>8875</v>
      </c>
      <c r="US5">
        <v>2395</v>
      </c>
      <c r="UT5">
        <v>5828</v>
      </c>
      <c r="UU5">
        <v>0</v>
      </c>
      <c r="UV5">
        <v>0</v>
      </c>
      <c r="UW5">
        <v>0</v>
      </c>
      <c r="UX5">
        <v>2174</v>
      </c>
      <c r="UY5">
        <v>0</v>
      </c>
      <c r="UZ5">
        <v>122</v>
      </c>
      <c r="VA5">
        <v>2820</v>
      </c>
      <c r="VB5">
        <v>2034</v>
      </c>
      <c r="VC5">
        <v>0</v>
      </c>
      <c r="VD5">
        <v>0</v>
      </c>
      <c r="VE5">
        <v>0</v>
      </c>
      <c r="VF5">
        <v>0</v>
      </c>
      <c r="VG5">
        <v>0</v>
      </c>
      <c r="VH5">
        <v>14339</v>
      </c>
      <c r="VI5">
        <v>11246</v>
      </c>
      <c r="VJ5">
        <v>0</v>
      </c>
      <c r="VK5">
        <v>13</v>
      </c>
      <c r="VL5">
        <v>6700</v>
      </c>
      <c r="VM5">
        <v>3499</v>
      </c>
      <c r="VN5">
        <v>19</v>
      </c>
      <c r="VO5">
        <v>0</v>
      </c>
      <c r="VP5">
        <v>0</v>
      </c>
      <c r="VQ5">
        <v>0</v>
      </c>
      <c r="VR5">
        <v>3568</v>
      </c>
      <c r="VS5">
        <v>0</v>
      </c>
      <c r="VT5">
        <v>190</v>
      </c>
      <c r="VU5">
        <v>17260</v>
      </c>
      <c r="VV5">
        <v>5383</v>
      </c>
      <c r="VW5">
        <v>2037</v>
      </c>
      <c r="VX5">
        <v>0</v>
      </c>
      <c r="VY5">
        <v>3</v>
      </c>
      <c r="VZ5">
        <v>652</v>
      </c>
      <c r="WA5">
        <v>402</v>
      </c>
      <c r="WB5">
        <v>0</v>
      </c>
      <c r="WC5">
        <v>6347</v>
      </c>
      <c r="WD5">
        <v>2263</v>
      </c>
      <c r="WE5">
        <v>0</v>
      </c>
      <c r="WF5">
        <v>4328</v>
      </c>
      <c r="WG5">
        <v>27</v>
      </c>
      <c r="WH5">
        <v>7440</v>
      </c>
      <c r="WI5">
        <v>11894</v>
      </c>
      <c r="WJ5">
        <v>6647</v>
      </c>
      <c r="WK5">
        <v>12070</v>
      </c>
      <c r="WL5">
        <v>0</v>
      </c>
      <c r="WM5">
        <v>1792</v>
      </c>
      <c r="WN5">
        <v>1658</v>
      </c>
      <c r="WO5">
        <v>12175</v>
      </c>
      <c r="WP5">
        <v>1505</v>
      </c>
      <c r="WQ5">
        <v>6637</v>
      </c>
      <c r="WR5">
        <v>2246</v>
      </c>
      <c r="WS5">
        <v>0</v>
      </c>
      <c r="WT5">
        <v>0</v>
      </c>
      <c r="WU5">
        <v>194</v>
      </c>
      <c r="WV5">
        <v>6436</v>
      </c>
      <c r="WW5">
        <v>20365</v>
      </c>
      <c r="WX5">
        <v>2894</v>
      </c>
      <c r="WY5">
        <v>0</v>
      </c>
      <c r="WZ5">
        <v>0</v>
      </c>
      <c r="XA5">
        <v>0</v>
      </c>
      <c r="XB5">
        <v>231</v>
      </c>
      <c r="XC5">
        <v>9734</v>
      </c>
      <c r="XD5">
        <v>9712</v>
      </c>
      <c r="XE5">
        <v>4639</v>
      </c>
      <c r="XF5">
        <v>8003</v>
      </c>
      <c r="XG5">
        <v>0</v>
      </c>
      <c r="XH5">
        <v>18</v>
      </c>
      <c r="XI5">
        <v>4665</v>
      </c>
      <c r="XJ5">
        <v>4960</v>
      </c>
      <c r="XK5">
        <v>15016</v>
      </c>
      <c r="XL5">
        <v>15671</v>
      </c>
      <c r="XM5">
        <v>17381</v>
      </c>
      <c r="XN5">
        <v>0</v>
      </c>
      <c r="XO5">
        <v>12757</v>
      </c>
      <c r="XP5">
        <v>4717</v>
      </c>
      <c r="XQ5">
        <v>49</v>
      </c>
      <c r="XR5">
        <v>5179</v>
      </c>
      <c r="XS5">
        <v>11166</v>
      </c>
      <c r="XT5">
        <v>16955</v>
      </c>
      <c r="XU5">
        <v>0</v>
      </c>
      <c r="XV5">
        <v>0</v>
      </c>
      <c r="XW5">
        <v>7653</v>
      </c>
      <c r="XX5">
        <v>11341</v>
      </c>
      <c r="XY5">
        <v>6993</v>
      </c>
      <c r="XZ5">
        <v>0</v>
      </c>
      <c r="YA5">
        <v>6952</v>
      </c>
      <c r="YB5">
        <v>5906</v>
      </c>
      <c r="YC5">
        <v>0</v>
      </c>
      <c r="YD5">
        <v>3258</v>
      </c>
      <c r="YE5">
        <v>18541</v>
      </c>
      <c r="YF5">
        <v>2934</v>
      </c>
      <c r="YG5">
        <v>8915</v>
      </c>
      <c r="YH5">
        <v>8915</v>
      </c>
      <c r="YI5">
        <v>0</v>
      </c>
      <c r="YJ5">
        <v>12559</v>
      </c>
      <c r="YK5">
        <v>0</v>
      </c>
      <c r="YL5">
        <v>15734</v>
      </c>
      <c r="YM5">
        <v>10189</v>
      </c>
      <c r="YN5">
        <v>6005</v>
      </c>
      <c r="YO5">
        <v>8653</v>
      </c>
      <c r="YP5">
        <v>0</v>
      </c>
      <c r="YQ5">
        <v>12762</v>
      </c>
      <c r="YR5">
        <v>4844</v>
      </c>
      <c r="YS5">
        <v>5880</v>
      </c>
      <c r="YT5">
        <v>9377</v>
      </c>
      <c r="YU5">
        <v>14999</v>
      </c>
      <c r="YV5">
        <v>17893</v>
      </c>
      <c r="YW5">
        <v>0</v>
      </c>
      <c r="YX5">
        <v>18502</v>
      </c>
      <c r="YY5">
        <v>21639</v>
      </c>
      <c r="YZ5">
        <v>23477</v>
      </c>
      <c r="ZA5">
        <v>37149</v>
      </c>
      <c r="ZB5">
        <v>25497</v>
      </c>
      <c r="ZC5">
        <v>2971</v>
      </c>
      <c r="ZD5">
        <v>0</v>
      </c>
      <c r="ZE5">
        <v>9327</v>
      </c>
      <c r="ZF5">
        <v>24752</v>
      </c>
      <c r="ZG5">
        <v>11393</v>
      </c>
      <c r="ZH5">
        <v>6584</v>
      </c>
      <c r="ZI5">
        <v>2218</v>
      </c>
      <c r="ZJ5">
        <v>18564</v>
      </c>
      <c r="ZK5">
        <v>1572</v>
      </c>
      <c r="ZL5">
        <v>2329</v>
      </c>
      <c r="ZM5">
        <v>4949</v>
      </c>
      <c r="ZN5">
        <v>0</v>
      </c>
      <c r="ZO5">
        <v>618</v>
      </c>
      <c r="ZP5">
        <v>4704</v>
      </c>
      <c r="ZQ5">
        <v>1253</v>
      </c>
      <c r="ZR5">
        <v>0</v>
      </c>
      <c r="ZS5">
        <v>566</v>
      </c>
      <c r="ZT5">
        <v>7125</v>
      </c>
      <c r="ZU5">
        <v>13822</v>
      </c>
      <c r="ZV5">
        <v>0</v>
      </c>
      <c r="ZW5">
        <v>846</v>
      </c>
      <c r="ZX5">
        <v>3872</v>
      </c>
      <c r="ZY5">
        <v>0</v>
      </c>
      <c r="ZZ5">
        <v>3029</v>
      </c>
      <c r="AAA5">
        <v>2699</v>
      </c>
      <c r="AAB5">
        <v>15271</v>
      </c>
      <c r="AAC5">
        <v>12241</v>
      </c>
      <c r="AAD5">
        <v>5729</v>
      </c>
      <c r="AAE5">
        <v>4918</v>
      </c>
      <c r="AAF5">
        <v>0</v>
      </c>
      <c r="AAG5">
        <v>1922</v>
      </c>
      <c r="AAH5">
        <v>3110</v>
      </c>
      <c r="AAI5">
        <v>9187</v>
      </c>
      <c r="AAJ5">
        <v>1015</v>
      </c>
      <c r="AAK5">
        <v>6056</v>
      </c>
      <c r="AAL5">
        <v>1378</v>
      </c>
      <c r="AAM5">
        <v>0</v>
      </c>
      <c r="AAN5">
        <v>4850</v>
      </c>
      <c r="AAO5">
        <v>10726</v>
      </c>
      <c r="AAP5">
        <v>11253</v>
      </c>
      <c r="AAQ5">
        <v>18264</v>
      </c>
      <c r="AAR5">
        <v>12456</v>
      </c>
      <c r="AAS5">
        <v>5071</v>
      </c>
      <c r="AAT5">
        <v>4742</v>
      </c>
      <c r="AAU5">
        <v>0</v>
      </c>
      <c r="AAV5">
        <v>0</v>
      </c>
      <c r="AAW5">
        <v>226</v>
      </c>
      <c r="AAX5">
        <v>617</v>
      </c>
      <c r="AAY5">
        <v>405</v>
      </c>
      <c r="AAZ5">
        <v>471</v>
      </c>
      <c r="ABA5">
        <v>0</v>
      </c>
      <c r="ABB5">
        <v>13866</v>
      </c>
      <c r="ABC5">
        <v>7887</v>
      </c>
      <c r="ABD5">
        <v>1237</v>
      </c>
      <c r="ABE5">
        <v>0</v>
      </c>
      <c r="ABF5">
        <v>699</v>
      </c>
      <c r="ABG5">
        <v>6436</v>
      </c>
      <c r="ABH5">
        <v>0</v>
      </c>
      <c r="ABI5">
        <v>19054</v>
      </c>
      <c r="ABJ5">
        <v>3837</v>
      </c>
      <c r="ABK5">
        <v>14</v>
      </c>
      <c r="ABL5">
        <v>9</v>
      </c>
      <c r="ABM5">
        <v>0</v>
      </c>
      <c r="ABN5">
        <v>10678</v>
      </c>
      <c r="ABO5">
        <v>0</v>
      </c>
      <c r="ABP5">
        <v>8790</v>
      </c>
      <c r="ABQ5">
        <v>446</v>
      </c>
      <c r="ABR5">
        <v>8142</v>
      </c>
      <c r="ABS5">
        <v>1935</v>
      </c>
      <c r="ABT5">
        <v>962</v>
      </c>
      <c r="ABU5">
        <v>953</v>
      </c>
      <c r="ABV5">
        <v>0</v>
      </c>
      <c r="ABW5">
        <v>0</v>
      </c>
      <c r="ABX5">
        <v>0</v>
      </c>
      <c r="ABY5">
        <v>1705</v>
      </c>
      <c r="ABZ5">
        <v>0</v>
      </c>
      <c r="ACA5">
        <v>1293</v>
      </c>
      <c r="ACB5">
        <v>827</v>
      </c>
      <c r="ACC5">
        <v>0</v>
      </c>
      <c r="ACD5">
        <v>4</v>
      </c>
      <c r="ACE5">
        <v>0</v>
      </c>
      <c r="ACF5">
        <v>0</v>
      </c>
      <c r="ACG5">
        <v>519</v>
      </c>
      <c r="ACH5">
        <v>526</v>
      </c>
      <c r="ACI5">
        <v>0</v>
      </c>
      <c r="ACJ5">
        <v>0</v>
      </c>
      <c r="ACK5">
        <v>0</v>
      </c>
      <c r="ACL5">
        <v>4372</v>
      </c>
      <c r="ACM5">
        <v>6122</v>
      </c>
      <c r="ACN5">
        <v>6424</v>
      </c>
      <c r="ACO5">
        <v>546</v>
      </c>
      <c r="ACP5">
        <v>1317</v>
      </c>
      <c r="ACQ5">
        <v>0</v>
      </c>
      <c r="ACR5">
        <v>0</v>
      </c>
      <c r="ACS5">
        <v>800</v>
      </c>
      <c r="ACT5">
        <v>1</v>
      </c>
      <c r="ACU5">
        <v>0</v>
      </c>
      <c r="ACV5">
        <v>0</v>
      </c>
      <c r="ACW5">
        <v>2220</v>
      </c>
      <c r="ACX5">
        <v>0</v>
      </c>
      <c r="ACY5">
        <v>2983</v>
      </c>
      <c r="ACZ5">
        <v>930</v>
      </c>
      <c r="ADA5">
        <v>0</v>
      </c>
      <c r="ADB5">
        <v>2655</v>
      </c>
      <c r="ADC5">
        <v>1725</v>
      </c>
      <c r="ADD5">
        <v>1725</v>
      </c>
      <c r="ADE5">
        <v>66</v>
      </c>
      <c r="ADF5">
        <v>0</v>
      </c>
      <c r="ADG5">
        <v>0</v>
      </c>
      <c r="ADH5">
        <v>2784</v>
      </c>
      <c r="ADI5">
        <v>760</v>
      </c>
      <c r="ADJ5">
        <v>4217</v>
      </c>
      <c r="ADK5">
        <v>4217</v>
      </c>
      <c r="ADL5">
        <v>0</v>
      </c>
      <c r="ADM5">
        <v>5414</v>
      </c>
      <c r="ADN5">
        <v>4550</v>
      </c>
      <c r="ADO5">
        <v>651</v>
      </c>
      <c r="ADP5">
        <v>16303</v>
      </c>
      <c r="ADQ5">
        <v>21576</v>
      </c>
      <c r="ADR5">
        <v>14787</v>
      </c>
      <c r="ADS5">
        <v>0</v>
      </c>
      <c r="ADT5">
        <v>3313</v>
      </c>
      <c r="ADU5">
        <v>0</v>
      </c>
      <c r="ADV5">
        <v>0</v>
      </c>
      <c r="ADW5">
        <v>0</v>
      </c>
      <c r="ADX5">
        <v>900</v>
      </c>
      <c r="ADY5">
        <v>0</v>
      </c>
      <c r="ADZ5">
        <v>0</v>
      </c>
      <c r="AEA5">
        <v>0</v>
      </c>
      <c r="AEB5">
        <v>0</v>
      </c>
      <c r="AEC5">
        <v>7460</v>
      </c>
      <c r="AED5">
        <v>9929</v>
      </c>
      <c r="AEE5">
        <v>2319</v>
      </c>
      <c r="AEF5">
        <v>4011</v>
      </c>
      <c r="AEG5">
        <v>0</v>
      </c>
      <c r="AEH5">
        <v>172</v>
      </c>
      <c r="AEI5">
        <v>0</v>
      </c>
      <c r="AEJ5">
        <v>1</v>
      </c>
      <c r="AEK5">
        <v>0</v>
      </c>
      <c r="AEL5">
        <v>10905</v>
      </c>
      <c r="AEM5">
        <v>69</v>
      </c>
      <c r="AEN5">
        <v>0</v>
      </c>
      <c r="AEO5">
        <v>1587</v>
      </c>
      <c r="AEP5">
        <v>2748</v>
      </c>
      <c r="AEQ5">
        <v>9595</v>
      </c>
      <c r="AER5">
        <v>11019</v>
      </c>
      <c r="AES5">
        <v>5136</v>
      </c>
      <c r="AET5">
        <v>2826</v>
      </c>
      <c r="AEU5">
        <v>0</v>
      </c>
      <c r="AEV5">
        <v>5651</v>
      </c>
      <c r="AEW5">
        <v>1526</v>
      </c>
      <c r="AEX5">
        <v>12860</v>
      </c>
      <c r="AEY5">
        <v>10761</v>
      </c>
      <c r="AEZ5">
        <v>6825</v>
      </c>
      <c r="AFA5">
        <v>18</v>
      </c>
      <c r="AFB5">
        <v>0</v>
      </c>
      <c r="AFC5">
        <v>13151</v>
      </c>
      <c r="AFD5">
        <v>36998</v>
      </c>
      <c r="AFE5">
        <v>18167</v>
      </c>
      <c r="AFF5">
        <v>2277</v>
      </c>
      <c r="AFG5">
        <v>10187</v>
      </c>
      <c r="AFH5">
        <v>11222</v>
      </c>
      <c r="AFI5">
        <v>0</v>
      </c>
      <c r="AFJ5">
        <v>17247</v>
      </c>
      <c r="AFK5">
        <v>11701</v>
      </c>
      <c r="AFL5">
        <v>18260</v>
      </c>
      <c r="AFM5">
        <v>31228</v>
      </c>
      <c r="AFN5">
        <v>18041</v>
      </c>
      <c r="AFO5">
        <v>15777</v>
      </c>
      <c r="AFP5">
        <v>1523</v>
      </c>
      <c r="AFQ5">
        <v>14839</v>
      </c>
      <c r="AFR5">
        <v>23340</v>
      </c>
      <c r="AFS5">
        <v>29035</v>
      </c>
      <c r="AFT5">
        <v>64700</v>
      </c>
      <c r="AFU5">
        <v>27400</v>
      </c>
      <c r="AFV5">
        <v>18279</v>
      </c>
      <c r="AFW5">
        <v>0</v>
      </c>
      <c r="AFX5">
        <v>23413</v>
      </c>
      <c r="AFY5">
        <v>46625</v>
      </c>
      <c r="AFZ5">
        <v>25648</v>
      </c>
      <c r="AGA5">
        <v>24889</v>
      </c>
      <c r="AGB5">
        <v>30682</v>
      </c>
      <c r="AGC5">
        <v>35767</v>
      </c>
      <c r="AGD5">
        <v>0</v>
      </c>
      <c r="AGE5">
        <v>17906</v>
      </c>
      <c r="AGF5">
        <v>13341</v>
      </c>
      <c r="AGG5">
        <v>0</v>
      </c>
      <c r="AGH5">
        <v>5076</v>
      </c>
      <c r="AGI5">
        <v>146</v>
      </c>
      <c r="AGJ5">
        <v>0</v>
      </c>
      <c r="AGK5">
        <v>0</v>
      </c>
      <c r="AGL5">
        <v>2621</v>
      </c>
      <c r="AGM5">
        <v>8515</v>
      </c>
      <c r="AGN5">
        <v>0</v>
      </c>
      <c r="AGO5">
        <v>0</v>
      </c>
      <c r="AGP5">
        <v>14909</v>
      </c>
      <c r="AGQ5">
        <v>207</v>
      </c>
      <c r="AGR5">
        <v>1150</v>
      </c>
      <c r="AGS5">
        <v>25662</v>
      </c>
      <c r="AGT5">
        <v>26093</v>
      </c>
      <c r="AGU5">
        <v>6184</v>
      </c>
      <c r="AGV5">
        <v>98</v>
      </c>
      <c r="AGW5">
        <v>17295</v>
      </c>
      <c r="AGX5">
        <v>33435</v>
      </c>
      <c r="AGY5">
        <v>0</v>
      </c>
      <c r="AGZ5">
        <v>2198</v>
      </c>
      <c r="AHA5">
        <v>5837</v>
      </c>
      <c r="AHB5">
        <v>12369</v>
      </c>
      <c r="AHC5">
        <v>16955</v>
      </c>
      <c r="AHD5">
        <v>13839</v>
      </c>
      <c r="AHE5">
        <v>7012</v>
      </c>
      <c r="AHH5">
        <v>0</v>
      </c>
      <c r="AHI5">
        <v>6437</v>
      </c>
      <c r="AHJ5">
        <v>7685</v>
      </c>
      <c r="AHK5">
        <v>9338</v>
      </c>
      <c r="AHL5">
        <v>4287</v>
      </c>
      <c r="AHM5">
        <v>0</v>
      </c>
      <c r="AHN5">
        <v>1714</v>
      </c>
      <c r="AHO5">
        <v>3375</v>
      </c>
      <c r="AHP5">
        <v>13561</v>
      </c>
      <c r="AHQ5">
        <v>6746</v>
      </c>
      <c r="AHR5">
        <v>4665</v>
      </c>
      <c r="AHS5">
        <v>28963</v>
      </c>
      <c r="AHT5">
        <v>0</v>
      </c>
      <c r="AHU5">
        <v>0</v>
      </c>
      <c r="AHV5">
        <v>0</v>
      </c>
      <c r="AHW5">
        <v>1319</v>
      </c>
      <c r="AHX5">
        <v>855</v>
      </c>
      <c r="AHY5">
        <v>4949</v>
      </c>
      <c r="AHZ5">
        <v>1773</v>
      </c>
      <c r="AIA5">
        <v>779</v>
      </c>
      <c r="AIB5">
        <v>2883</v>
      </c>
      <c r="AIC5">
        <v>1350</v>
      </c>
      <c r="AID5">
        <v>5786</v>
      </c>
      <c r="AIE5">
        <v>2174</v>
      </c>
      <c r="AIF5">
        <v>3310</v>
      </c>
      <c r="AIG5">
        <v>5306</v>
      </c>
      <c r="AIH5">
        <v>0</v>
      </c>
      <c r="AII5">
        <v>2</v>
      </c>
      <c r="AIJ5">
        <v>4446</v>
      </c>
      <c r="AIK5">
        <v>5043</v>
      </c>
      <c r="AIL5">
        <v>1573</v>
      </c>
      <c r="AIM5">
        <v>0</v>
      </c>
      <c r="AIN5">
        <v>580</v>
      </c>
      <c r="AIO5">
        <v>0</v>
      </c>
      <c r="AIP5">
        <v>0</v>
      </c>
      <c r="AIQ5">
        <v>8916</v>
      </c>
      <c r="AIR5">
        <v>7038</v>
      </c>
      <c r="AIS5">
        <v>4848</v>
      </c>
      <c r="AIT5">
        <v>1862</v>
      </c>
      <c r="AIU5">
        <v>5942</v>
      </c>
      <c r="AIV5">
        <v>0</v>
      </c>
      <c r="AIW5">
        <v>4832</v>
      </c>
      <c r="AIX5">
        <v>7131</v>
      </c>
      <c r="AIY5">
        <v>2170</v>
      </c>
      <c r="AIZ5">
        <v>5788</v>
      </c>
      <c r="AJA5">
        <v>3105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30150</v>
      </c>
      <c r="AJI5">
        <v>8235</v>
      </c>
      <c r="AJJ5">
        <v>0</v>
      </c>
      <c r="AJK5">
        <v>9759</v>
      </c>
      <c r="AJL5">
        <v>9246</v>
      </c>
      <c r="AJM5">
        <v>13108</v>
      </c>
      <c r="AJN5">
        <v>10326</v>
      </c>
      <c r="AJO5">
        <v>5347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2688</v>
      </c>
      <c r="AJV5">
        <v>5267</v>
      </c>
      <c r="AJW5">
        <v>35</v>
      </c>
      <c r="AJX5">
        <v>0</v>
      </c>
      <c r="AJY5">
        <v>0</v>
      </c>
      <c r="AJZ5">
        <v>16969</v>
      </c>
      <c r="AKA5">
        <v>5722</v>
      </c>
      <c r="AKB5">
        <v>10222</v>
      </c>
      <c r="AKC5">
        <v>6561</v>
      </c>
      <c r="AKD5">
        <v>7989</v>
      </c>
      <c r="AKE5">
        <v>0</v>
      </c>
      <c r="AKF5">
        <v>0</v>
      </c>
    </row>
    <row r="6" spans="1:1010">
      <c r="A6">
        <v>4</v>
      </c>
      <c r="B6" t="s">
        <v>92</v>
      </c>
      <c r="C6" s="1">
        <v>82630</v>
      </c>
      <c r="D6" s="2" t="s">
        <v>28</v>
      </c>
      <c r="E6" s="3" t="s">
        <v>88</v>
      </c>
      <c r="F6" s="1" t="s">
        <v>93</v>
      </c>
      <c r="G6" s="1" t="s">
        <v>33</v>
      </c>
      <c r="H6" s="1" t="s">
        <v>89</v>
      </c>
      <c r="I6" s="1" t="s">
        <v>45</v>
      </c>
      <c r="J6" s="1" t="s">
        <v>46</v>
      </c>
      <c r="K6">
        <v>50557</v>
      </c>
      <c r="L6">
        <v>32009</v>
      </c>
      <c r="M6">
        <v>20871</v>
      </c>
      <c r="N6">
        <v>5428</v>
      </c>
      <c r="O6">
        <v>0</v>
      </c>
      <c r="P6">
        <v>3860</v>
      </c>
      <c r="Q6">
        <v>4</v>
      </c>
      <c r="R6">
        <v>51666</v>
      </c>
      <c r="S6">
        <v>0</v>
      </c>
      <c r="T6">
        <v>4634</v>
      </c>
      <c r="U6">
        <v>26843</v>
      </c>
      <c r="V6">
        <v>0</v>
      </c>
      <c r="W6">
        <v>10795</v>
      </c>
      <c r="X6">
        <v>12540</v>
      </c>
      <c r="Y6">
        <v>60</v>
      </c>
      <c r="Z6">
        <v>19228</v>
      </c>
      <c r="AA6">
        <v>-186</v>
      </c>
      <c r="AB6">
        <v>1341</v>
      </c>
      <c r="AC6">
        <v>0</v>
      </c>
      <c r="AD6">
        <v>12091</v>
      </c>
      <c r="AE6">
        <v>4399</v>
      </c>
      <c r="AF6">
        <v>3275</v>
      </c>
      <c r="AG6">
        <v>24175</v>
      </c>
      <c r="AH6">
        <v>49</v>
      </c>
      <c r="AI6">
        <v>28</v>
      </c>
      <c r="AJ6">
        <v>0</v>
      </c>
      <c r="AK6">
        <v>500</v>
      </c>
      <c r="AL6">
        <v>670</v>
      </c>
      <c r="AM6">
        <v>0</v>
      </c>
      <c r="AN6">
        <v>12079</v>
      </c>
      <c r="AO6">
        <v>6985</v>
      </c>
      <c r="AP6">
        <v>0</v>
      </c>
      <c r="AQ6">
        <v>0</v>
      </c>
      <c r="AR6">
        <v>6331</v>
      </c>
      <c r="AS6">
        <v>0</v>
      </c>
      <c r="AT6">
        <v>111</v>
      </c>
      <c r="AU6">
        <v>1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 s="33">
        <v>0</v>
      </c>
      <c r="BV6" s="33">
        <v>0</v>
      </c>
      <c r="BW6" s="33">
        <v>0</v>
      </c>
      <c r="BX6" s="33">
        <v>0</v>
      </c>
      <c r="BY6" s="33">
        <v>0</v>
      </c>
      <c r="BZ6" s="33">
        <v>0</v>
      </c>
      <c r="CA6" s="33">
        <v>5529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1739</v>
      </c>
      <c r="CI6">
        <v>6495</v>
      </c>
      <c r="CJ6">
        <v>4470</v>
      </c>
      <c r="CK6">
        <v>33551</v>
      </c>
      <c r="CL6">
        <v>945</v>
      </c>
      <c r="CM6">
        <v>0</v>
      </c>
      <c r="CN6">
        <v>0</v>
      </c>
      <c r="CO6">
        <v>2266</v>
      </c>
      <c r="CP6">
        <v>7895</v>
      </c>
      <c r="CQ6">
        <v>5681</v>
      </c>
      <c r="CR6">
        <v>2767</v>
      </c>
      <c r="CS6">
        <v>1372</v>
      </c>
      <c r="CT6">
        <v>1416</v>
      </c>
      <c r="CU6">
        <v>855</v>
      </c>
      <c r="CV6">
        <v>0</v>
      </c>
      <c r="CW6">
        <v>0</v>
      </c>
      <c r="CX6">
        <v>0</v>
      </c>
      <c r="CY6">
        <v>1155</v>
      </c>
      <c r="CZ6">
        <v>7123</v>
      </c>
      <c r="DA6">
        <v>568</v>
      </c>
      <c r="DB6">
        <v>1467</v>
      </c>
      <c r="DC6">
        <v>271</v>
      </c>
      <c r="DD6">
        <v>191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4</v>
      </c>
      <c r="DM6">
        <v>0</v>
      </c>
      <c r="DN6">
        <v>0</v>
      </c>
      <c r="DO6">
        <v>4512</v>
      </c>
      <c r="DP6">
        <v>0</v>
      </c>
      <c r="DQ6">
        <v>10173</v>
      </c>
      <c r="DR6">
        <v>7178</v>
      </c>
      <c r="DS6">
        <v>11501</v>
      </c>
      <c r="DT6">
        <v>27829</v>
      </c>
      <c r="DU6">
        <v>8488</v>
      </c>
      <c r="DV6">
        <v>2342</v>
      </c>
      <c r="DW6">
        <v>0</v>
      </c>
      <c r="DX6">
        <v>1993</v>
      </c>
      <c r="DY6">
        <v>4408</v>
      </c>
      <c r="DZ6">
        <v>3977</v>
      </c>
      <c r="EA6">
        <v>9947</v>
      </c>
      <c r="EB6">
        <v>2852</v>
      </c>
      <c r="EC6">
        <v>247</v>
      </c>
      <c r="ED6">
        <v>0</v>
      </c>
      <c r="EE6">
        <v>2918</v>
      </c>
      <c r="EF6">
        <v>15206</v>
      </c>
      <c r="EG6">
        <v>10444</v>
      </c>
      <c r="EH6">
        <v>6800</v>
      </c>
      <c r="EI6">
        <v>32662</v>
      </c>
      <c r="EJ6">
        <v>436</v>
      </c>
      <c r="EK6">
        <v>0</v>
      </c>
      <c r="EL6">
        <v>378</v>
      </c>
      <c r="EM6">
        <v>0</v>
      </c>
      <c r="EN6">
        <v>0</v>
      </c>
      <c r="EO6">
        <v>53</v>
      </c>
      <c r="EP6">
        <v>598</v>
      </c>
      <c r="EQ6">
        <v>0</v>
      </c>
      <c r="ER6">
        <v>0</v>
      </c>
      <c r="ES6">
        <v>0</v>
      </c>
      <c r="ET6">
        <v>1894</v>
      </c>
      <c r="EU6">
        <v>5679</v>
      </c>
      <c r="EV6">
        <v>4016</v>
      </c>
      <c r="EW6">
        <v>0</v>
      </c>
      <c r="EX6">
        <v>1</v>
      </c>
      <c r="EY6">
        <v>0</v>
      </c>
      <c r="EZ6">
        <v>0</v>
      </c>
      <c r="FA6">
        <v>2</v>
      </c>
      <c r="FB6">
        <v>780</v>
      </c>
      <c r="FC6">
        <v>6833</v>
      </c>
      <c r="FD6">
        <v>4508</v>
      </c>
      <c r="FE6">
        <v>5384</v>
      </c>
      <c r="FF6">
        <v>0</v>
      </c>
      <c r="FG6">
        <v>6121</v>
      </c>
      <c r="FH6">
        <v>24080</v>
      </c>
      <c r="FI6">
        <v>639</v>
      </c>
      <c r="FJ6">
        <v>4350</v>
      </c>
      <c r="FK6">
        <v>21929</v>
      </c>
      <c r="FL6">
        <v>0</v>
      </c>
      <c r="FM6">
        <v>0</v>
      </c>
      <c r="FN6">
        <v>0</v>
      </c>
      <c r="FO6">
        <v>0</v>
      </c>
      <c r="FP6">
        <v>0</v>
      </c>
      <c r="FQ6">
        <v>1956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17845</v>
      </c>
      <c r="FY6">
        <v>8664</v>
      </c>
      <c r="FZ6">
        <v>9386</v>
      </c>
      <c r="GA6">
        <v>0</v>
      </c>
      <c r="GB6">
        <v>5105</v>
      </c>
      <c r="GC6">
        <v>746</v>
      </c>
      <c r="GD6">
        <v>1406</v>
      </c>
      <c r="GE6">
        <v>22339</v>
      </c>
      <c r="GF6">
        <v>5</v>
      </c>
      <c r="GG6">
        <v>156</v>
      </c>
      <c r="GH6">
        <v>0</v>
      </c>
      <c r="GI6">
        <v>3166</v>
      </c>
      <c r="GJ6">
        <v>26023</v>
      </c>
      <c r="GK6">
        <v>0</v>
      </c>
      <c r="GL6">
        <v>3700</v>
      </c>
      <c r="GM6">
        <v>2953</v>
      </c>
      <c r="GN6">
        <v>2979</v>
      </c>
      <c r="GO6">
        <v>330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2074</v>
      </c>
      <c r="GY6">
        <v>5454</v>
      </c>
      <c r="GZ6">
        <v>3866</v>
      </c>
      <c r="HA6">
        <v>2844</v>
      </c>
      <c r="HB6">
        <v>4015</v>
      </c>
      <c r="HC6">
        <v>0</v>
      </c>
      <c r="HD6">
        <v>6753</v>
      </c>
      <c r="HE6">
        <v>5242</v>
      </c>
      <c r="HF6">
        <v>0</v>
      </c>
      <c r="HG6">
        <v>18492</v>
      </c>
      <c r="HH6">
        <v>59819</v>
      </c>
      <c r="HI6">
        <v>3376</v>
      </c>
      <c r="HJ6">
        <v>0</v>
      </c>
      <c r="HK6">
        <v>1881</v>
      </c>
      <c r="HL6">
        <v>823</v>
      </c>
      <c r="HM6">
        <v>9345</v>
      </c>
      <c r="HN6">
        <v>17033</v>
      </c>
      <c r="HO6">
        <v>14303</v>
      </c>
      <c r="HP6">
        <v>0</v>
      </c>
      <c r="HQ6">
        <v>23693</v>
      </c>
      <c r="HR6">
        <v>0</v>
      </c>
      <c r="HS6">
        <v>36</v>
      </c>
      <c r="HT6">
        <v>27459</v>
      </c>
      <c r="HU6">
        <v>3330</v>
      </c>
      <c r="HV6">
        <v>0</v>
      </c>
      <c r="HW6">
        <v>680</v>
      </c>
      <c r="HX6">
        <v>0</v>
      </c>
      <c r="HY6">
        <v>0</v>
      </c>
      <c r="HZ6">
        <v>647</v>
      </c>
      <c r="IA6">
        <v>1664</v>
      </c>
      <c r="IB6">
        <v>6331</v>
      </c>
      <c r="IC6">
        <v>470</v>
      </c>
      <c r="ID6">
        <v>60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4205</v>
      </c>
      <c r="IN6">
        <v>8</v>
      </c>
      <c r="IO6">
        <v>24087</v>
      </c>
      <c r="IP6">
        <v>0</v>
      </c>
      <c r="IQ6">
        <v>0</v>
      </c>
      <c r="IR6">
        <v>0</v>
      </c>
      <c r="IS6">
        <v>0</v>
      </c>
      <c r="IT6">
        <v>7560</v>
      </c>
      <c r="IU6">
        <v>0</v>
      </c>
      <c r="IV6">
        <v>0</v>
      </c>
      <c r="IW6">
        <v>0</v>
      </c>
      <c r="IX6">
        <v>3189</v>
      </c>
      <c r="IY6">
        <v>636</v>
      </c>
      <c r="IZ6">
        <v>0</v>
      </c>
      <c r="JA6">
        <v>2899</v>
      </c>
      <c r="JB6">
        <v>2488</v>
      </c>
      <c r="JC6">
        <v>3285</v>
      </c>
      <c r="JD6">
        <v>4534</v>
      </c>
      <c r="JE6">
        <v>0</v>
      </c>
      <c r="JF6">
        <v>11</v>
      </c>
      <c r="JG6">
        <v>0</v>
      </c>
      <c r="JH6">
        <v>258</v>
      </c>
      <c r="JI6">
        <v>0</v>
      </c>
      <c r="JJ6">
        <v>3083</v>
      </c>
      <c r="JK6">
        <v>0</v>
      </c>
      <c r="JL6">
        <v>31166</v>
      </c>
      <c r="JM6">
        <v>0</v>
      </c>
      <c r="JN6">
        <v>0</v>
      </c>
      <c r="JO6">
        <v>27538</v>
      </c>
      <c r="JP6">
        <v>0</v>
      </c>
      <c r="JQ6">
        <v>0</v>
      </c>
      <c r="JR6">
        <v>1483</v>
      </c>
      <c r="JS6">
        <v>4156</v>
      </c>
      <c r="JT6">
        <v>2932</v>
      </c>
      <c r="JU6">
        <v>0</v>
      </c>
      <c r="JV6">
        <v>2947</v>
      </c>
      <c r="JW6">
        <v>3896</v>
      </c>
      <c r="JX6">
        <v>0</v>
      </c>
      <c r="JY6">
        <v>6422</v>
      </c>
      <c r="JZ6">
        <v>6432</v>
      </c>
      <c r="KA6">
        <v>11703</v>
      </c>
      <c r="KB6">
        <v>0</v>
      </c>
      <c r="KC6">
        <v>291</v>
      </c>
      <c r="KD6">
        <v>1713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4710</v>
      </c>
      <c r="KM6">
        <v>0</v>
      </c>
      <c r="KN6">
        <v>3170</v>
      </c>
      <c r="KO6">
        <v>18316</v>
      </c>
      <c r="KP6">
        <v>0</v>
      </c>
      <c r="KQ6">
        <v>43203</v>
      </c>
      <c r="KR6">
        <v>390</v>
      </c>
      <c r="KS6">
        <v>0</v>
      </c>
      <c r="KT6">
        <v>265</v>
      </c>
      <c r="KU6">
        <v>3566</v>
      </c>
      <c r="KV6">
        <v>2662</v>
      </c>
      <c r="KW6">
        <v>0</v>
      </c>
      <c r="KX6">
        <v>6441</v>
      </c>
      <c r="KY6">
        <v>3665</v>
      </c>
      <c r="KZ6">
        <v>31660</v>
      </c>
      <c r="LA6">
        <v>0</v>
      </c>
      <c r="LB6">
        <v>0</v>
      </c>
      <c r="LC6">
        <v>0</v>
      </c>
      <c r="LD6">
        <v>0</v>
      </c>
      <c r="LE6">
        <v>5567</v>
      </c>
      <c r="LF6">
        <v>2069</v>
      </c>
      <c r="LG6">
        <v>2912</v>
      </c>
      <c r="LH6">
        <v>0</v>
      </c>
      <c r="LI6">
        <v>7753</v>
      </c>
      <c r="LJ6">
        <v>17952</v>
      </c>
      <c r="LK6">
        <v>0</v>
      </c>
      <c r="LL6">
        <v>0</v>
      </c>
      <c r="LM6">
        <v>2240</v>
      </c>
      <c r="LN6">
        <v>2154</v>
      </c>
      <c r="LO6">
        <v>11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1016</v>
      </c>
      <c r="MA6">
        <v>0</v>
      </c>
      <c r="MB6">
        <v>0</v>
      </c>
      <c r="MC6">
        <v>28786</v>
      </c>
      <c r="MD6">
        <v>0</v>
      </c>
      <c r="ME6">
        <v>0</v>
      </c>
      <c r="MF6">
        <v>0</v>
      </c>
      <c r="MG6">
        <v>80</v>
      </c>
      <c r="MH6">
        <v>37729</v>
      </c>
      <c r="MI6">
        <v>5883</v>
      </c>
      <c r="MJ6">
        <v>18390</v>
      </c>
      <c r="MK6">
        <v>5715</v>
      </c>
      <c r="ML6">
        <v>20611</v>
      </c>
      <c r="MM6">
        <v>0</v>
      </c>
      <c r="MN6">
        <v>0</v>
      </c>
      <c r="MO6">
        <v>24630</v>
      </c>
      <c r="MP6">
        <v>12582</v>
      </c>
      <c r="MQ6">
        <v>0</v>
      </c>
      <c r="MR6">
        <v>13648</v>
      </c>
      <c r="MS6">
        <v>0</v>
      </c>
      <c r="MT6">
        <v>0</v>
      </c>
      <c r="MU6">
        <v>0</v>
      </c>
      <c r="MV6">
        <v>5488</v>
      </c>
      <c r="MW6">
        <v>0</v>
      </c>
      <c r="MX6">
        <v>3555</v>
      </c>
      <c r="MY6">
        <v>38312</v>
      </c>
      <c r="MZ6">
        <v>0</v>
      </c>
      <c r="NA6">
        <v>0</v>
      </c>
      <c r="NB6">
        <v>0</v>
      </c>
      <c r="NC6">
        <v>13272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10581</v>
      </c>
      <c r="NN6">
        <v>13778</v>
      </c>
      <c r="NO6">
        <v>0</v>
      </c>
      <c r="NP6">
        <v>944</v>
      </c>
      <c r="NQ6">
        <v>45998</v>
      </c>
      <c r="NR6">
        <v>7725</v>
      </c>
      <c r="NS6">
        <v>0</v>
      </c>
      <c r="NT6">
        <v>0</v>
      </c>
      <c r="NU6">
        <v>0</v>
      </c>
      <c r="NV6">
        <v>0</v>
      </c>
      <c r="NW6">
        <v>1231</v>
      </c>
      <c r="NX6">
        <v>64246</v>
      </c>
      <c r="NY6">
        <v>2791</v>
      </c>
      <c r="NZ6">
        <v>19519</v>
      </c>
      <c r="OA6">
        <v>628</v>
      </c>
      <c r="OB6">
        <v>1496</v>
      </c>
      <c r="OC6">
        <v>0</v>
      </c>
      <c r="OD6">
        <v>651</v>
      </c>
      <c r="OE6">
        <v>3086</v>
      </c>
      <c r="OF6">
        <v>9032</v>
      </c>
      <c r="OG6">
        <v>7213</v>
      </c>
      <c r="OH6">
        <v>405</v>
      </c>
      <c r="OI6">
        <v>16618</v>
      </c>
      <c r="OJ6">
        <v>0</v>
      </c>
      <c r="OK6">
        <v>2453</v>
      </c>
      <c r="OL6">
        <v>0</v>
      </c>
      <c r="OM6">
        <v>0</v>
      </c>
      <c r="ON6">
        <v>0</v>
      </c>
      <c r="OO6">
        <v>0</v>
      </c>
      <c r="OP6">
        <v>14419</v>
      </c>
      <c r="OQ6">
        <v>0</v>
      </c>
      <c r="OR6">
        <v>3101</v>
      </c>
      <c r="OS6">
        <v>0</v>
      </c>
      <c r="OT6">
        <v>24488</v>
      </c>
      <c r="OU6">
        <v>0</v>
      </c>
      <c r="OV6">
        <v>313</v>
      </c>
      <c r="OW6">
        <v>23750</v>
      </c>
      <c r="OX6">
        <v>0</v>
      </c>
      <c r="OY6">
        <v>0</v>
      </c>
      <c r="OZ6">
        <v>828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19537</v>
      </c>
      <c r="PL6">
        <v>0</v>
      </c>
      <c r="PM6">
        <v>0</v>
      </c>
      <c r="PN6">
        <v>2258</v>
      </c>
      <c r="PO6">
        <v>5664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62313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4400</v>
      </c>
      <c r="QS6">
        <v>0</v>
      </c>
      <c r="QT6">
        <v>0</v>
      </c>
      <c r="QU6">
        <v>0</v>
      </c>
      <c r="QV6">
        <v>0</v>
      </c>
      <c r="QW6">
        <v>25988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2060</v>
      </c>
      <c r="RL6">
        <v>1757</v>
      </c>
      <c r="RM6">
        <v>25486</v>
      </c>
      <c r="RN6">
        <v>1893</v>
      </c>
      <c r="RO6">
        <v>1765</v>
      </c>
      <c r="RP6">
        <v>0</v>
      </c>
      <c r="RQ6">
        <v>2364</v>
      </c>
      <c r="RR6">
        <v>1179</v>
      </c>
      <c r="RS6">
        <v>0</v>
      </c>
      <c r="RT6">
        <v>0</v>
      </c>
      <c r="RU6">
        <v>0</v>
      </c>
      <c r="RV6">
        <v>0</v>
      </c>
      <c r="RW6">
        <v>0</v>
      </c>
      <c r="RX6">
        <v>2360</v>
      </c>
      <c r="RY6">
        <v>0</v>
      </c>
      <c r="RZ6">
        <v>0</v>
      </c>
      <c r="SA6">
        <v>31273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23762</v>
      </c>
      <c r="TB6">
        <v>0</v>
      </c>
      <c r="TC6">
        <v>3181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1</v>
      </c>
      <c r="TM6">
        <v>0</v>
      </c>
      <c r="TN6">
        <v>0</v>
      </c>
      <c r="TO6">
        <v>0</v>
      </c>
      <c r="TP6">
        <v>4195</v>
      </c>
      <c r="TQ6">
        <v>4689</v>
      </c>
      <c r="TR6">
        <v>1028</v>
      </c>
      <c r="TS6">
        <v>0</v>
      </c>
      <c r="TT6">
        <v>0</v>
      </c>
      <c r="TU6">
        <v>0</v>
      </c>
      <c r="TV6">
        <v>0</v>
      </c>
      <c r="TW6">
        <v>0</v>
      </c>
      <c r="TX6">
        <v>2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21162</v>
      </c>
      <c r="UJ6">
        <v>7894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583</v>
      </c>
      <c r="VF6">
        <v>1224</v>
      </c>
      <c r="VG6">
        <v>816</v>
      </c>
      <c r="VH6">
        <v>4066</v>
      </c>
      <c r="VI6">
        <v>34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1590</v>
      </c>
      <c r="WC6">
        <v>2594</v>
      </c>
      <c r="WD6">
        <v>7387</v>
      </c>
      <c r="WE6">
        <v>0</v>
      </c>
      <c r="WF6">
        <v>15317</v>
      </c>
      <c r="WG6">
        <v>14064</v>
      </c>
      <c r="WH6">
        <v>2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2363</v>
      </c>
      <c r="XZ6">
        <v>15904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2992</v>
      </c>
      <c r="AAK6">
        <v>5146</v>
      </c>
      <c r="AAL6">
        <v>2702</v>
      </c>
      <c r="AAM6">
        <v>0</v>
      </c>
      <c r="AAN6">
        <v>0</v>
      </c>
      <c r="AAO6">
        <v>6942</v>
      </c>
      <c r="AAP6">
        <v>32723</v>
      </c>
      <c r="AAQ6">
        <v>8766</v>
      </c>
      <c r="AAR6">
        <v>0</v>
      </c>
      <c r="AAS6">
        <v>0</v>
      </c>
      <c r="AAT6">
        <v>0</v>
      </c>
      <c r="AAU6">
        <v>0</v>
      </c>
      <c r="AAV6">
        <v>281</v>
      </c>
      <c r="AAW6">
        <v>85</v>
      </c>
      <c r="AAX6">
        <v>18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1860</v>
      </c>
      <c r="ACZ6">
        <v>0</v>
      </c>
      <c r="ADA6">
        <v>20114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H6">
        <v>0</v>
      </c>
      <c r="AHI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 s="31">
        <v>0</v>
      </c>
      <c r="AJD6" s="31">
        <v>0</v>
      </c>
      <c r="AJE6" s="31">
        <v>0</v>
      </c>
      <c r="AJF6" s="31">
        <v>0</v>
      </c>
      <c r="AJG6" s="31">
        <v>0</v>
      </c>
      <c r="AJH6" s="31">
        <v>0</v>
      </c>
      <c r="AJI6" s="31">
        <v>0</v>
      </c>
      <c r="AJJ6" s="31">
        <v>0</v>
      </c>
      <c r="AJK6" s="31">
        <v>0</v>
      </c>
      <c r="AJL6" s="31">
        <v>0</v>
      </c>
      <c r="AJM6" s="31">
        <v>0</v>
      </c>
      <c r="AJN6" s="31">
        <v>0</v>
      </c>
      <c r="AJO6" s="31">
        <v>0</v>
      </c>
      <c r="AJP6" s="31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</row>
    <row r="7" spans="1:1010">
      <c r="A7">
        <v>5</v>
      </c>
      <c r="B7" t="s">
        <v>94</v>
      </c>
      <c r="C7" s="1">
        <v>82630</v>
      </c>
      <c r="D7" s="2" t="s">
        <v>28</v>
      </c>
      <c r="E7" s="3" t="s">
        <v>88</v>
      </c>
      <c r="F7" s="1" t="s">
        <v>95</v>
      </c>
      <c r="G7" s="1" t="s">
        <v>33</v>
      </c>
      <c r="H7" s="1" t="s">
        <v>89</v>
      </c>
      <c r="I7" s="1" t="s">
        <v>45</v>
      </c>
      <c r="J7" s="1" t="s">
        <v>46</v>
      </c>
      <c r="K7">
        <v>0</v>
      </c>
      <c r="L7">
        <v>0</v>
      </c>
      <c r="M7">
        <v>0</v>
      </c>
      <c r="N7">
        <v>0</v>
      </c>
      <c r="O7">
        <v>0</v>
      </c>
      <c r="P7">
        <v>167</v>
      </c>
      <c r="Q7">
        <v>0</v>
      </c>
      <c r="R7">
        <v>85</v>
      </c>
      <c r="S7">
        <v>0</v>
      </c>
      <c r="T7">
        <v>50</v>
      </c>
      <c r="U7">
        <v>0</v>
      </c>
      <c r="V7">
        <v>0</v>
      </c>
      <c r="W7">
        <v>0</v>
      </c>
      <c r="X7">
        <v>86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678</v>
      </c>
      <c r="AF7">
        <v>0</v>
      </c>
      <c r="AG7">
        <v>97</v>
      </c>
      <c r="AH7">
        <v>0</v>
      </c>
      <c r="AI7">
        <v>0</v>
      </c>
      <c r="AJ7">
        <v>0</v>
      </c>
      <c r="AK7">
        <v>55</v>
      </c>
      <c r="AL7">
        <v>1751</v>
      </c>
      <c r="AM7">
        <v>0</v>
      </c>
      <c r="AN7">
        <v>0</v>
      </c>
      <c r="AO7">
        <v>0</v>
      </c>
      <c r="AP7">
        <v>0</v>
      </c>
      <c r="AQ7">
        <v>0</v>
      </c>
      <c r="AR7">
        <v>380</v>
      </c>
      <c r="AS7">
        <v>0</v>
      </c>
      <c r="AT7">
        <v>0</v>
      </c>
      <c r="AU7">
        <v>0</v>
      </c>
      <c r="AV7">
        <v>20</v>
      </c>
      <c r="AW7">
        <v>0</v>
      </c>
      <c r="AX7">
        <v>0</v>
      </c>
      <c r="AY7">
        <v>267</v>
      </c>
      <c r="AZ7">
        <v>0</v>
      </c>
      <c r="BA7">
        <v>0</v>
      </c>
      <c r="BB7">
        <v>64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120</v>
      </c>
      <c r="BJ7">
        <v>285</v>
      </c>
      <c r="BK7">
        <v>0</v>
      </c>
      <c r="BL7">
        <v>0</v>
      </c>
      <c r="BM7">
        <v>80</v>
      </c>
      <c r="BN7">
        <v>60</v>
      </c>
      <c r="BO7">
        <v>37</v>
      </c>
      <c r="BP7">
        <v>63</v>
      </c>
      <c r="BQ7">
        <v>0</v>
      </c>
      <c r="BR7">
        <v>0</v>
      </c>
      <c r="BS7">
        <v>0</v>
      </c>
      <c r="BT7">
        <v>0</v>
      </c>
      <c r="BU7" s="33">
        <v>0</v>
      </c>
      <c r="BV7" s="33">
        <v>0</v>
      </c>
      <c r="BW7" s="33">
        <v>0</v>
      </c>
      <c r="BX7" s="33">
        <v>0</v>
      </c>
      <c r="BY7" s="33">
        <v>0</v>
      </c>
      <c r="BZ7" s="33">
        <v>0</v>
      </c>
      <c r="CA7" s="33">
        <v>0</v>
      </c>
      <c r="CB7">
        <v>21</v>
      </c>
      <c r="CC7">
        <v>61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577</v>
      </c>
      <c r="CL7">
        <v>33</v>
      </c>
      <c r="CM7">
        <v>0</v>
      </c>
      <c r="CN7">
        <v>0</v>
      </c>
      <c r="CO7">
        <v>17</v>
      </c>
      <c r="CP7">
        <v>0</v>
      </c>
      <c r="CQ7">
        <v>0</v>
      </c>
      <c r="CR7">
        <v>0</v>
      </c>
      <c r="CS7">
        <v>227</v>
      </c>
      <c r="CT7">
        <v>0</v>
      </c>
      <c r="CU7">
        <v>0</v>
      </c>
      <c r="CV7">
        <v>0</v>
      </c>
      <c r="CW7">
        <v>98</v>
      </c>
      <c r="CX7">
        <v>739</v>
      </c>
      <c r="CY7">
        <v>326</v>
      </c>
      <c r="CZ7">
        <v>0</v>
      </c>
      <c r="DA7">
        <v>0</v>
      </c>
      <c r="DB7">
        <v>0</v>
      </c>
      <c r="DC7">
        <v>81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436</v>
      </c>
      <c r="DK7">
        <v>1312</v>
      </c>
      <c r="DL7">
        <v>77</v>
      </c>
      <c r="DM7">
        <v>320</v>
      </c>
      <c r="DN7">
        <v>1517</v>
      </c>
      <c r="DO7">
        <v>0</v>
      </c>
      <c r="DP7">
        <v>0</v>
      </c>
      <c r="DQ7">
        <v>410</v>
      </c>
      <c r="DR7">
        <v>12</v>
      </c>
      <c r="DS7">
        <v>0</v>
      </c>
      <c r="DT7">
        <v>0</v>
      </c>
      <c r="DU7">
        <v>0</v>
      </c>
      <c r="DV7">
        <v>0</v>
      </c>
      <c r="DW7">
        <v>0</v>
      </c>
      <c r="DX7">
        <v>63</v>
      </c>
      <c r="DY7">
        <v>0</v>
      </c>
      <c r="DZ7">
        <v>248</v>
      </c>
      <c r="EA7">
        <v>0</v>
      </c>
      <c r="EB7">
        <v>0</v>
      </c>
      <c r="EC7">
        <v>0</v>
      </c>
      <c r="ED7">
        <v>0</v>
      </c>
      <c r="EE7">
        <v>571</v>
      </c>
      <c r="EF7">
        <v>0</v>
      </c>
      <c r="EG7">
        <v>0</v>
      </c>
      <c r="EH7">
        <v>0</v>
      </c>
      <c r="EI7">
        <v>38</v>
      </c>
      <c r="EJ7">
        <v>0</v>
      </c>
      <c r="EK7">
        <v>0</v>
      </c>
      <c r="EL7">
        <v>0</v>
      </c>
      <c r="EM7">
        <v>296</v>
      </c>
      <c r="EN7">
        <v>252</v>
      </c>
      <c r="EO7">
        <v>0</v>
      </c>
      <c r="EP7">
        <v>0</v>
      </c>
      <c r="EQ7">
        <v>0</v>
      </c>
      <c r="ER7">
        <v>0</v>
      </c>
      <c r="ES7">
        <v>0</v>
      </c>
      <c r="ET7">
        <v>166</v>
      </c>
      <c r="EU7">
        <v>0</v>
      </c>
      <c r="EV7">
        <v>78</v>
      </c>
      <c r="EW7">
        <v>0</v>
      </c>
      <c r="EX7">
        <v>0</v>
      </c>
      <c r="EY7">
        <v>0</v>
      </c>
      <c r="EZ7">
        <v>966</v>
      </c>
      <c r="FA7">
        <v>386</v>
      </c>
      <c r="FB7">
        <v>0</v>
      </c>
      <c r="FC7">
        <v>1</v>
      </c>
      <c r="FD7">
        <v>252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131</v>
      </c>
      <c r="FO7">
        <v>955</v>
      </c>
      <c r="FP7">
        <v>0</v>
      </c>
      <c r="FQ7">
        <v>0</v>
      </c>
      <c r="FR7">
        <v>25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154</v>
      </c>
      <c r="GE7">
        <v>202</v>
      </c>
      <c r="GF7">
        <v>16</v>
      </c>
      <c r="GG7">
        <v>0</v>
      </c>
      <c r="GH7">
        <v>0</v>
      </c>
      <c r="GI7">
        <v>24</v>
      </c>
      <c r="GJ7">
        <v>0</v>
      </c>
      <c r="GK7">
        <v>0</v>
      </c>
      <c r="GL7">
        <v>317</v>
      </c>
      <c r="GM7">
        <v>0</v>
      </c>
      <c r="GN7">
        <v>0</v>
      </c>
      <c r="GO7">
        <v>0</v>
      </c>
      <c r="GP7">
        <v>0</v>
      </c>
      <c r="GQ7">
        <v>260</v>
      </c>
      <c r="GR7">
        <v>0</v>
      </c>
      <c r="GS7">
        <v>0</v>
      </c>
      <c r="GT7">
        <v>0</v>
      </c>
      <c r="GU7">
        <v>0</v>
      </c>
      <c r="GV7">
        <v>0</v>
      </c>
      <c r="GW7">
        <v>73</v>
      </c>
      <c r="GX7">
        <v>50</v>
      </c>
      <c r="GY7">
        <v>0</v>
      </c>
      <c r="GZ7">
        <v>0</v>
      </c>
      <c r="HA7">
        <v>0</v>
      </c>
      <c r="HB7">
        <v>0</v>
      </c>
      <c r="HC7">
        <v>0</v>
      </c>
      <c r="HD7">
        <v>1870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1169</v>
      </c>
      <c r="HN7">
        <v>87</v>
      </c>
      <c r="HO7">
        <v>461</v>
      </c>
      <c r="HP7">
        <v>0</v>
      </c>
      <c r="HQ7">
        <v>0</v>
      </c>
      <c r="HR7">
        <v>0</v>
      </c>
      <c r="HS7">
        <v>0</v>
      </c>
      <c r="HT7">
        <v>355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398</v>
      </c>
      <c r="IB7">
        <v>570</v>
      </c>
      <c r="IC7">
        <v>0</v>
      </c>
      <c r="ID7">
        <v>5</v>
      </c>
      <c r="IE7">
        <v>0</v>
      </c>
      <c r="IF7">
        <v>0</v>
      </c>
      <c r="IG7">
        <v>0</v>
      </c>
      <c r="IH7">
        <v>80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285</v>
      </c>
      <c r="IU7">
        <v>0</v>
      </c>
      <c r="IV7">
        <v>0</v>
      </c>
      <c r="IW7">
        <v>0</v>
      </c>
      <c r="IX7">
        <v>11</v>
      </c>
      <c r="IY7">
        <v>0</v>
      </c>
      <c r="IZ7">
        <v>0</v>
      </c>
      <c r="JA7">
        <v>83</v>
      </c>
      <c r="JB7">
        <v>200</v>
      </c>
      <c r="JC7">
        <v>147</v>
      </c>
      <c r="JD7">
        <v>315</v>
      </c>
      <c r="JE7">
        <v>11</v>
      </c>
      <c r="JF7">
        <v>0</v>
      </c>
      <c r="JG7">
        <v>0</v>
      </c>
      <c r="JH7">
        <v>0</v>
      </c>
      <c r="JI7">
        <v>0</v>
      </c>
      <c r="JJ7">
        <v>885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233</v>
      </c>
      <c r="JR7">
        <v>12</v>
      </c>
      <c r="JS7">
        <v>0</v>
      </c>
      <c r="JT7">
        <v>258</v>
      </c>
      <c r="JU7">
        <v>0</v>
      </c>
      <c r="JV7">
        <v>154</v>
      </c>
      <c r="JW7">
        <v>0</v>
      </c>
      <c r="JX7">
        <v>0</v>
      </c>
      <c r="JY7">
        <v>0</v>
      </c>
      <c r="JZ7">
        <v>88</v>
      </c>
      <c r="KA7">
        <v>24</v>
      </c>
      <c r="KB7">
        <v>0</v>
      </c>
      <c r="KC7">
        <v>174</v>
      </c>
      <c r="KD7">
        <v>140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1041</v>
      </c>
      <c r="KN7">
        <v>1753</v>
      </c>
      <c r="KO7">
        <v>49</v>
      </c>
      <c r="KP7">
        <v>0</v>
      </c>
      <c r="KQ7">
        <v>0</v>
      </c>
      <c r="KR7">
        <v>0</v>
      </c>
      <c r="KS7">
        <v>73</v>
      </c>
      <c r="KT7">
        <v>0</v>
      </c>
      <c r="KU7">
        <v>150</v>
      </c>
      <c r="KV7">
        <v>0</v>
      </c>
      <c r="KW7">
        <v>0</v>
      </c>
      <c r="KX7">
        <v>483</v>
      </c>
      <c r="KY7">
        <v>0</v>
      </c>
      <c r="KZ7">
        <v>131</v>
      </c>
      <c r="LA7">
        <v>0</v>
      </c>
      <c r="LB7">
        <v>0</v>
      </c>
      <c r="LC7">
        <v>0</v>
      </c>
      <c r="LD7">
        <v>0</v>
      </c>
      <c r="LE7">
        <v>0</v>
      </c>
      <c r="LF7">
        <v>207</v>
      </c>
      <c r="LG7">
        <v>0</v>
      </c>
      <c r="LH7">
        <v>360</v>
      </c>
      <c r="LI7">
        <v>444</v>
      </c>
      <c r="LJ7">
        <v>0</v>
      </c>
      <c r="LK7">
        <v>0</v>
      </c>
      <c r="LL7">
        <v>1451</v>
      </c>
      <c r="LM7">
        <v>0</v>
      </c>
      <c r="LN7">
        <v>836</v>
      </c>
      <c r="LO7">
        <v>668</v>
      </c>
      <c r="LP7">
        <v>124</v>
      </c>
      <c r="LQ7">
        <v>0</v>
      </c>
      <c r="LR7">
        <v>0</v>
      </c>
      <c r="LS7">
        <v>0</v>
      </c>
      <c r="LT7">
        <v>0</v>
      </c>
      <c r="LU7">
        <v>0</v>
      </c>
      <c r="LV7">
        <v>4450</v>
      </c>
      <c r="LW7">
        <v>1035</v>
      </c>
      <c r="LX7">
        <v>0</v>
      </c>
      <c r="LY7">
        <v>0</v>
      </c>
      <c r="LZ7">
        <v>39</v>
      </c>
      <c r="MA7">
        <v>247</v>
      </c>
      <c r="MB7">
        <v>1432</v>
      </c>
      <c r="MC7">
        <v>1173</v>
      </c>
      <c r="MD7">
        <v>764</v>
      </c>
      <c r="ME7">
        <v>6</v>
      </c>
      <c r="MF7">
        <v>0</v>
      </c>
      <c r="MG7">
        <v>0</v>
      </c>
      <c r="MH7">
        <v>1049</v>
      </c>
      <c r="MI7">
        <v>201</v>
      </c>
      <c r="MJ7">
        <v>145</v>
      </c>
      <c r="MK7">
        <v>0</v>
      </c>
      <c r="ML7">
        <v>10</v>
      </c>
      <c r="MM7">
        <v>0</v>
      </c>
      <c r="MN7">
        <v>0</v>
      </c>
      <c r="MO7">
        <v>1164</v>
      </c>
      <c r="MP7">
        <v>0</v>
      </c>
      <c r="MQ7">
        <v>11</v>
      </c>
      <c r="MR7">
        <v>1</v>
      </c>
      <c r="MS7">
        <v>0</v>
      </c>
      <c r="MT7">
        <v>0</v>
      </c>
      <c r="MU7">
        <v>0</v>
      </c>
      <c r="MV7">
        <v>29</v>
      </c>
      <c r="MW7">
        <v>1247</v>
      </c>
      <c r="MX7">
        <v>1037</v>
      </c>
      <c r="MY7">
        <v>54</v>
      </c>
      <c r="MZ7">
        <v>0</v>
      </c>
      <c r="NA7">
        <v>0</v>
      </c>
      <c r="NB7">
        <v>69</v>
      </c>
      <c r="NC7">
        <v>332</v>
      </c>
      <c r="ND7">
        <v>0</v>
      </c>
      <c r="NE7">
        <v>177</v>
      </c>
      <c r="NF7">
        <v>904</v>
      </c>
      <c r="NG7">
        <v>0</v>
      </c>
      <c r="NH7">
        <v>0</v>
      </c>
      <c r="NI7">
        <v>0</v>
      </c>
      <c r="NJ7">
        <v>0</v>
      </c>
      <c r="NK7">
        <v>0</v>
      </c>
      <c r="NL7">
        <v>67</v>
      </c>
      <c r="NM7">
        <v>201</v>
      </c>
      <c r="NN7">
        <v>0</v>
      </c>
      <c r="NO7">
        <v>0</v>
      </c>
      <c r="NP7">
        <v>0</v>
      </c>
      <c r="NQ7">
        <v>0</v>
      </c>
      <c r="NR7">
        <v>0</v>
      </c>
      <c r="NS7">
        <v>1368</v>
      </c>
      <c r="NT7">
        <v>139</v>
      </c>
      <c r="NU7">
        <v>1</v>
      </c>
      <c r="NV7">
        <v>0</v>
      </c>
      <c r="NW7">
        <v>12</v>
      </c>
      <c r="NX7">
        <v>880</v>
      </c>
      <c r="NY7">
        <v>0</v>
      </c>
      <c r="NZ7">
        <v>57</v>
      </c>
      <c r="OA7">
        <v>28</v>
      </c>
      <c r="OB7">
        <v>0</v>
      </c>
      <c r="OC7">
        <v>0</v>
      </c>
      <c r="OD7">
        <v>0</v>
      </c>
      <c r="OE7">
        <v>231</v>
      </c>
      <c r="OF7">
        <v>0</v>
      </c>
      <c r="OG7">
        <v>0</v>
      </c>
      <c r="OH7">
        <v>0</v>
      </c>
      <c r="OI7">
        <v>153</v>
      </c>
      <c r="OJ7">
        <v>0</v>
      </c>
      <c r="OK7">
        <v>216</v>
      </c>
      <c r="OL7">
        <v>0</v>
      </c>
      <c r="OM7">
        <v>0</v>
      </c>
      <c r="ON7">
        <v>0</v>
      </c>
      <c r="OO7">
        <v>151</v>
      </c>
      <c r="OP7">
        <v>0</v>
      </c>
      <c r="OQ7">
        <v>0</v>
      </c>
      <c r="OR7">
        <v>0</v>
      </c>
      <c r="OS7">
        <v>377</v>
      </c>
      <c r="OT7">
        <v>1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379</v>
      </c>
      <c r="PC7">
        <v>0</v>
      </c>
      <c r="PD7">
        <v>0</v>
      </c>
      <c r="PE7">
        <v>0</v>
      </c>
      <c r="PF7">
        <v>0</v>
      </c>
      <c r="PG7">
        <v>200</v>
      </c>
      <c r="PH7">
        <v>0</v>
      </c>
      <c r="PI7">
        <v>81</v>
      </c>
      <c r="PJ7">
        <v>39</v>
      </c>
      <c r="PK7">
        <v>0</v>
      </c>
      <c r="PL7">
        <v>0</v>
      </c>
      <c r="PM7">
        <v>0</v>
      </c>
      <c r="PN7">
        <v>7</v>
      </c>
      <c r="PO7">
        <v>220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1884</v>
      </c>
      <c r="QE7">
        <v>0</v>
      </c>
      <c r="QF7">
        <v>0</v>
      </c>
      <c r="QG7">
        <v>0</v>
      </c>
      <c r="QH7">
        <v>151</v>
      </c>
      <c r="QI7">
        <v>0</v>
      </c>
      <c r="QJ7">
        <v>552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271</v>
      </c>
      <c r="QS7">
        <v>0</v>
      </c>
      <c r="QT7">
        <v>0</v>
      </c>
      <c r="QU7">
        <v>0</v>
      </c>
      <c r="QV7">
        <v>0</v>
      </c>
      <c r="QW7">
        <v>0</v>
      </c>
      <c r="QX7">
        <v>80</v>
      </c>
      <c r="QY7">
        <v>0</v>
      </c>
      <c r="QZ7">
        <v>211</v>
      </c>
      <c r="RA7">
        <v>0</v>
      </c>
      <c r="RB7">
        <v>0</v>
      </c>
      <c r="RC7">
        <v>0</v>
      </c>
      <c r="RD7">
        <v>834</v>
      </c>
      <c r="RE7">
        <v>1176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1500</v>
      </c>
      <c r="RN7">
        <v>1915</v>
      </c>
      <c r="RO7">
        <v>1148</v>
      </c>
      <c r="RP7">
        <v>0</v>
      </c>
      <c r="RQ7">
        <v>1007</v>
      </c>
      <c r="RR7">
        <v>48</v>
      </c>
      <c r="RS7">
        <v>84</v>
      </c>
      <c r="RT7">
        <v>0</v>
      </c>
      <c r="RU7">
        <v>164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80</v>
      </c>
      <c r="SC7">
        <v>0</v>
      </c>
      <c r="SD7">
        <v>0</v>
      </c>
      <c r="SE7">
        <v>98</v>
      </c>
      <c r="SF7">
        <v>0</v>
      </c>
      <c r="SG7">
        <v>753</v>
      </c>
      <c r="SH7">
        <v>0</v>
      </c>
      <c r="SI7">
        <v>1721</v>
      </c>
      <c r="SJ7">
        <v>0</v>
      </c>
      <c r="SK7">
        <v>0</v>
      </c>
      <c r="SL7">
        <v>0</v>
      </c>
      <c r="SM7">
        <v>0</v>
      </c>
      <c r="SN7">
        <v>83</v>
      </c>
      <c r="SO7">
        <v>0</v>
      </c>
      <c r="SP7">
        <v>101</v>
      </c>
      <c r="SQ7">
        <v>0</v>
      </c>
      <c r="SR7">
        <v>0</v>
      </c>
      <c r="SS7">
        <v>435</v>
      </c>
      <c r="ST7">
        <v>0</v>
      </c>
      <c r="SU7">
        <v>71</v>
      </c>
      <c r="SV7">
        <v>1042</v>
      </c>
      <c r="SW7">
        <v>316</v>
      </c>
      <c r="SX7">
        <v>2</v>
      </c>
      <c r="SY7">
        <v>0</v>
      </c>
      <c r="SZ7">
        <v>4248</v>
      </c>
      <c r="TA7">
        <v>0</v>
      </c>
      <c r="TB7">
        <v>2101</v>
      </c>
      <c r="TC7">
        <v>518</v>
      </c>
      <c r="TD7">
        <v>0</v>
      </c>
      <c r="TE7">
        <v>0</v>
      </c>
      <c r="TF7">
        <v>0</v>
      </c>
      <c r="TG7">
        <v>30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227</v>
      </c>
      <c r="TP7">
        <v>0</v>
      </c>
      <c r="TQ7">
        <v>1144</v>
      </c>
      <c r="TR7">
        <v>52</v>
      </c>
      <c r="TS7">
        <v>8</v>
      </c>
      <c r="TT7">
        <v>0</v>
      </c>
      <c r="TU7">
        <v>0</v>
      </c>
      <c r="TV7">
        <v>0</v>
      </c>
      <c r="TW7">
        <v>1689</v>
      </c>
      <c r="TX7">
        <v>3516</v>
      </c>
      <c r="TY7">
        <v>90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1484</v>
      </c>
      <c r="UJ7">
        <v>652</v>
      </c>
      <c r="UK7">
        <v>0</v>
      </c>
      <c r="UL7">
        <v>0</v>
      </c>
      <c r="UM7">
        <v>0</v>
      </c>
      <c r="UN7">
        <v>0</v>
      </c>
      <c r="UO7">
        <v>0</v>
      </c>
      <c r="UP7">
        <v>1097</v>
      </c>
      <c r="UQ7">
        <v>1073</v>
      </c>
      <c r="UR7">
        <v>1284</v>
      </c>
      <c r="US7">
        <v>1869</v>
      </c>
      <c r="UT7">
        <v>21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2300</v>
      </c>
      <c r="VE7">
        <v>0</v>
      </c>
      <c r="VF7">
        <v>521</v>
      </c>
      <c r="VG7">
        <v>2002</v>
      </c>
      <c r="VH7">
        <v>919</v>
      </c>
      <c r="VI7">
        <v>4</v>
      </c>
      <c r="VJ7">
        <v>0</v>
      </c>
      <c r="VK7">
        <v>0</v>
      </c>
      <c r="VL7">
        <v>249</v>
      </c>
      <c r="VM7">
        <v>2064</v>
      </c>
      <c r="VN7">
        <v>2647</v>
      </c>
      <c r="VO7">
        <v>2</v>
      </c>
      <c r="VP7">
        <v>0</v>
      </c>
      <c r="VQ7">
        <v>0</v>
      </c>
      <c r="VR7">
        <v>700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301</v>
      </c>
      <c r="WA7">
        <v>0</v>
      </c>
      <c r="WB7">
        <v>145</v>
      </c>
      <c r="WC7">
        <v>0</v>
      </c>
      <c r="WD7">
        <v>0</v>
      </c>
      <c r="WE7">
        <v>0</v>
      </c>
      <c r="WF7">
        <v>0</v>
      </c>
      <c r="WG7">
        <v>179</v>
      </c>
      <c r="WH7">
        <v>790</v>
      </c>
      <c r="WI7">
        <v>90</v>
      </c>
      <c r="WJ7">
        <v>462</v>
      </c>
      <c r="WK7">
        <v>1945</v>
      </c>
      <c r="WL7">
        <v>0</v>
      </c>
      <c r="WM7">
        <v>214</v>
      </c>
      <c r="WN7">
        <v>3794</v>
      </c>
      <c r="WO7">
        <v>1076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881</v>
      </c>
      <c r="WW7">
        <v>1</v>
      </c>
      <c r="WX7">
        <v>0</v>
      </c>
      <c r="WY7">
        <v>0</v>
      </c>
      <c r="WZ7">
        <v>0</v>
      </c>
      <c r="XA7">
        <v>0</v>
      </c>
      <c r="XB7">
        <v>1</v>
      </c>
      <c r="XC7">
        <v>1</v>
      </c>
      <c r="XD7">
        <v>416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699</v>
      </c>
      <c r="XR7">
        <v>3152</v>
      </c>
      <c r="XS7">
        <v>95</v>
      </c>
      <c r="XT7">
        <v>0</v>
      </c>
      <c r="XU7">
        <v>0</v>
      </c>
      <c r="XV7">
        <v>0</v>
      </c>
      <c r="XW7">
        <v>0</v>
      </c>
      <c r="XX7">
        <v>315</v>
      </c>
      <c r="XY7">
        <v>440</v>
      </c>
      <c r="XZ7">
        <v>32</v>
      </c>
      <c r="YA7">
        <v>0</v>
      </c>
      <c r="YB7">
        <v>0</v>
      </c>
      <c r="YC7">
        <v>1153</v>
      </c>
      <c r="YD7">
        <v>2</v>
      </c>
      <c r="YE7">
        <v>0</v>
      </c>
      <c r="YF7">
        <v>0</v>
      </c>
      <c r="YG7">
        <v>0</v>
      </c>
      <c r="YH7">
        <v>0</v>
      </c>
      <c r="YI7">
        <v>0</v>
      </c>
      <c r="YJ7">
        <v>246</v>
      </c>
      <c r="YK7">
        <v>0</v>
      </c>
      <c r="YL7">
        <v>1433</v>
      </c>
      <c r="YM7">
        <v>720</v>
      </c>
      <c r="YN7">
        <v>675</v>
      </c>
      <c r="YO7">
        <v>2</v>
      </c>
      <c r="YP7">
        <v>0</v>
      </c>
      <c r="YQ7">
        <v>59</v>
      </c>
      <c r="YR7">
        <v>1342</v>
      </c>
      <c r="YS7">
        <v>5049</v>
      </c>
      <c r="YT7">
        <v>731</v>
      </c>
      <c r="YU7">
        <v>600</v>
      </c>
      <c r="YV7">
        <v>0</v>
      </c>
      <c r="YW7">
        <v>0</v>
      </c>
      <c r="YX7">
        <v>0</v>
      </c>
      <c r="YY7">
        <v>0</v>
      </c>
      <c r="YZ7">
        <v>3564</v>
      </c>
      <c r="ZA7">
        <v>360</v>
      </c>
      <c r="ZB7">
        <v>1636</v>
      </c>
      <c r="ZC7">
        <v>0</v>
      </c>
      <c r="ZD7">
        <v>0</v>
      </c>
      <c r="ZE7">
        <v>671</v>
      </c>
      <c r="ZF7">
        <v>119</v>
      </c>
      <c r="ZG7">
        <v>650</v>
      </c>
      <c r="ZH7">
        <v>75</v>
      </c>
      <c r="ZI7">
        <v>0</v>
      </c>
      <c r="ZJ7">
        <v>0</v>
      </c>
      <c r="ZK7">
        <v>0</v>
      </c>
      <c r="ZL7">
        <v>5725</v>
      </c>
      <c r="ZM7">
        <v>0</v>
      </c>
      <c r="ZN7">
        <v>0</v>
      </c>
      <c r="ZO7">
        <v>0</v>
      </c>
      <c r="ZP7">
        <v>186</v>
      </c>
      <c r="ZQ7">
        <v>0</v>
      </c>
      <c r="ZR7">
        <v>0</v>
      </c>
      <c r="ZS7">
        <v>30</v>
      </c>
      <c r="ZT7">
        <v>39</v>
      </c>
      <c r="ZU7">
        <v>4684</v>
      </c>
      <c r="ZV7">
        <v>0</v>
      </c>
      <c r="ZW7">
        <v>275</v>
      </c>
      <c r="ZX7">
        <v>13</v>
      </c>
      <c r="ZY7">
        <v>0</v>
      </c>
      <c r="ZZ7">
        <v>0</v>
      </c>
      <c r="AAA7">
        <v>0</v>
      </c>
      <c r="AAB7">
        <v>2074</v>
      </c>
      <c r="AAC7">
        <v>204</v>
      </c>
      <c r="AAD7">
        <v>0</v>
      </c>
      <c r="AAE7">
        <v>0</v>
      </c>
      <c r="AAF7">
        <v>0</v>
      </c>
      <c r="AAG7">
        <v>0</v>
      </c>
      <c r="AAH7">
        <v>56</v>
      </c>
      <c r="AAI7">
        <v>114</v>
      </c>
      <c r="AAJ7">
        <v>0</v>
      </c>
      <c r="AAK7">
        <v>100</v>
      </c>
      <c r="AAL7">
        <v>0</v>
      </c>
      <c r="AAM7">
        <v>0</v>
      </c>
      <c r="AAN7">
        <v>0</v>
      </c>
      <c r="AAO7">
        <v>5000</v>
      </c>
      <c r="AAP7">
        <v>1023</v>
      </c>
      <c r="AAQ7">
        <v>10</v>
      </c>
      <c r="AAR7">
        <v>4999</v>
      </c>
      <c r="AAS7">
        <v>0</v>
      </c>
      <c r="AAT7">
        <v>0</v>
      </c>
      <c r="AAU7">
        <v>0</v>
      </c>
      <c r="AAV7">
        <v>5470</v>
      </c>
      <c r="AAW7">
        <v>490</v>
      </c>
      <c r="AAX7">
        <v>1112</v>
      </c>
      <c r="AAY7">
        <v>13</v>
      </c>
      <c r="AAZ7">
        <v>1657</v>
      </c>
      <c r="ABA7">
        <v>0</v>
      </c>
      <c r="ABB7">
        <v>0</v>
      </c>
      <c r="ABC7">
        <v>5000</v>
      </c>
      <c r="ABD7">
        <v>1137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3</v>
      </c>
      <c r="ABK7">
        <v>158</v>
      </c>
      <c r="ABL7">
        <v>266</v>
      </c>
      <c r="ABM7">
        <v>530</v>
      </c>
      <c r="ABN7">
        <v>0</v>
      </c>
      <c r="ABO7">
        <v>0</v>
      </c>
      <c r="ABP7">
        <v>0</v>
      </c>
      <c r="ABQ7">
        <v>0</v>
      </c>
      <c r="ABR7">
        <v>224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382</v>
      </c>
      <c r="ABZ7">
        <v>1080</v>
      </c>
      <c r="ACA7">
        <v>0</v>
      </c>
      <c r="ACB7">
        <v>4</v>
      </c>
      <c r="ACC7">
        <v>0</v>
      </c>
      <c r="ACD7">
        <v>0</v>
      </c>
      <c r="ACE7">
        <v>80</v>
      </c>
      <c r="ACF7">
        <v>0</v>
      </c>
      <c r="ACG7">
        <v>228</v>
      </c>
      <c r="ACH7">
        <v>793</v>
      </c>
      <c r="ACI7">
        <v>0</v>
      </c>
      <c r="ACJ7">
        <v>0</v>
      </c>
      <c r="ACK7">
        <v>0</v>
      </c>
      <c r="ACL7">
        <v>0</v>
      </c>
      <c r="ACM7">
        <v>840</v>
      </c>
      <c r="ACN7">
        <v>0</v>
      </c>
      <c r="ACO7">
        <v>45</v>
      </c>
      <c r="ACP7">
        <v>0</v>
      </c>
      <c r="ACQ7">
        <v>0</v>
      </c>
      <c r="ACR7">
        <v>349</v>
      </c>
      <c r="ACS7">
        <v>0</v>
      </c>
      <c r="ACT7">
        <v>335</v>
      </c>
      <c r="ACU7">
        <v>1529</v>
      </c>
      <c r="ACV7">
        <v>0</v>
      </c>
      <c r="ACW7">
        <v>0</v>
      </c>
      <c r="ACX7">
        <v>0</v>
      </c>
      <c r="ACY7">
        <v>35</v>
      </c>
      <c r="ACZ7">
        <v>32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987</v>
      </c>
      <c r="ADG7">
        <v>540</v>
      </c>
      <c r="ADH7">
        <v>76</v>
      </c>
      <c r="ADI7">
        <v>1</v>
      </c>
      <c r="ADJ7">
        <v>0</v>
      </c>
      <c r="ADK7">
        <v>0</v>
      </c>
      <c r="ADL7">
        <v>0</v>
      </c>
      <c r="ADM7">
        <v>0</v>
      </c>
      <c r="ADN7">
        <v>298</v>
      </c>
      <c r="ADO7">
        <v>360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1</v>
      </c>
      <c r="AEB7">
        <v>0</v>
      </c>
      <c r="AEC7">
        <v>0</v>
      </c>
      <c r="AED7">
        <v>56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39</v>
      </c>
      <c r="AEK7">
        <v>28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539</v>
      </c>
      <c r="AER7">
        <v>0</v>
      </c>
      <c r="AES7">
        <v>46</v>
      </c>
      <c r="AET7">
        <v>6</v>
      </c>
      <c r="AEU7">
        <v>0</v>
      </c>
      <c r="AEV7">
        <v>691</v>
      </c>
      <c r="AEW7">
        <v>1326</v>
      </c>
      <c r="AEX7">
        <v>2538</v>
      </c>
      <c r="AEY7">
        <v>4569</v>
      </c>
      <c r="AEZ7">
        <v>45</v>
      </c>
      <c r="AFA7">
        <v>0</v>
      </c>
      <c r="AFB7">
        <v>0</v>
      </c>
      <c r="AFC7">
        <v>0</v>
      </c>
      <c r="AFD7">
        <v>0</v>
      </c>
      <c r="AFE7">
        <v>86</v>
      </c>
      <c r="AFF7">
        <v>38</v>
      </c>
      <c r="AFG7">
        <v>0</v>
      </c>
      <c r="AFH7">
        <v>89</v>
      </c>
      <c r="AFI7">
        <v>0</v>
      </c>
      <c r="AFJ7">
        <v>722</v>
      </c>
      <c r="AFK7">
        <v>19</v>
      </c>
      <c r="AFL7">
        <v>1557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563</v>
      </c>
      <c r="AFT7">
        <v>0</v>
      </c>
      <c r="AFU7">
        <v>396</v>
      </c>
      <c r="AFV7">
        <v>563</v>
      </c>
      <c r="AFW7">
        <v>0</v>
      </c>
      <c r="AFX7">
        <v>0</v>
      </c>
      <c r="AFY7">
        <v>279</v>
      </c>
      <c r="AFZ7">
        <v>0</v>
      </c>
      <c r="AGA7">
        <v>751</v>
      </c>
      <c r="AGB7">
        <v>1194</v>
      </c>
      <c r="AGC7">
        <v>23</v>
      </c>
      <c r="AGD7">
        <v>0</v>
      </c>
      <c r="AGE7">
        <v>0</v>
      </c>
      <c r="AGF7">
        <v>3526</v>
      </c>
      <c r="AGG7">
        <v>2179</v>
      </c>
      <c r="AGH7">
        <v>0</v>
      </c>
      <c r="AGI7">
        <v>6</v>
      </c>
      <c r="AGJ7">
        <v>0</v>
      </c>
      <c r="AGK7">
        <v>0</v>
      </c>
      <c r="AGL7">
        <v>0</v>
      </c>
      <c r="AGM7">
        <v>57</v>
      </c>
      <c r="AGN7">
        <v>818</v>
      </c>
      <c r="AGO7">
        <v>0</v>
      </c>
      <c r="AGP7">
        <v>1069</v>
      </c>
      <c r="AGQ7">
        <v>3400</v>
      </c>
      <c r="AGR7">
        <v>0</v>
      </c>
      <c r="AGS7">
        <v>0</v>
      </c>
      <c r="AGT7">
        <v>1158</v>
      </c>
      <c r="AGU7">
        <v>654</v>
      </c>
      <c r="AGV7">
        <v>0</v>
      </c>
      <c r="AGW7">
        <v>0</v>
      </c>
      <c r="AGX7">
        <v>0</v>
      </c>
      <c r="AGY7">
        <v>0</v>
      </c>
      <c r="AGZ7">
        <v>150</v>
      </c>
      <c r="AHA7">
        <v>185</v>
      </c>
      <c r="AHB7">
        <v>222</v>
      </c>
      <c r="AHC7">
        <v>0</v>
      </c>
      <c r="AHD7">
        <v>1202</v>
      </c>
      <c r="AHE7">
        <v>0</v>
      </c>
      <c r="AHH7">
        <v>0</v>
      </c>
      <c r="AHI7">
        <v>1405</v>
      </c>
      <c r="AHJ7">
        <v>0</v>
      </c>
      <c r="AHK7">
        <v>1</v>
      </c>
      <c r="AHL7">
        <v>1588</v>
      </c>
      <c r="AHM7">
        <v>0</v>
      </c>
      <c r="AHN7">
        <v>0</v>
      </c>
      <c r="AHO7">
        <v>737</v>
      </c>
      <c r="AHP7">
        <v>1053</v>
      </c>
      <c r="AHQ7">
        <v>7</v>
      </c>
      <c r="AHR7">
        <v>16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16</v>
      </c>
      <c r="AHY7">
        <v>0</v>
      </c>
      <c r="AHZ7">
        <v>1</v>
      </c>
      <c r="AIA7">
        <v>0</v>
      </c>
      <c r="AIB7">
        <v>0</v>
      </c>
      <c r="AIC7">
        <v>838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205</v>
      </c>
      <c r="AIJ7">
        <v>0</v>
      </c>
      <c r="AIK7">
        <v>1164</v>
      </c>
      <c r="AIL7">
        <v>1539</v>
      </c>
      <c r="AIM7">
        <v>0</v>
      </c>
      <c r="AIN7">
        <v>1</v>
      </c>
      <c r="AIO7">
        <v>0</v>
      </c>
      <c r="AIP7">
        <v>0</v>
      </c>
      <c r="AIQ7">
        <v>0</v>
      </c>
      <c r="AIR7">
        <v>227</v>
      </c>
      <c r="AIS7">
        <v>1350</v>
      </c>
      <c r="AIT7">
        <v>0</v>
      </c>
      <c r="AIU7">
        <v>0</v>
      </c>
      <c r="AIV7">
        <v>0</v>
      </c>
      <c r="AIW7">
        <v>0</v>
      </c>
      <c r="AIX7">
        <v>672</v>
      </c>
      <c r="AIY7">
        <v>2002</v>
      </c>
      <c r="AIZ7">
        <v>25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1517</v>
      </c>
      <c r="AJG7">
        <v>2045</v>
      </c>
      <c r="AJH7">
        <v>1975</v>
      </c>
      <c r="AJI7">
        <v>165</v>
      </c>
      <c r="AJJ7">
        <v>0</v>
      </c>
      <c r="AJK7">
        <v>0</v>
      </c>
      <c r="AJL7">
        <v>0</v>
      </c>
      <c r="AJM7">
        <v>3292</v>
      </c>
      <c r="AJN7">
        <v>660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2000</v>
      </c>
      <c r="AJV7">
        <v>94</v>
      </c>
      <c r="AJW7">
        <v>0</v>
      </c>
      <c r="AJX7">
        <v>0</v>
      </c>
      <c r="AJY7">
        <v>0</v>
      </c>
      <c r="AJZ7">
        <v>67</v>
      </c>
      <c r="AKA7">
        <v>1698</v>
      </c>
      <c r="AKB7">
        <v>0</v>
      </c>
      <c r="AKC7">
        <v>1319</v>
      </c>
      <c r="AKD7">
        <v>0</v>
      </c>
      <c r="AKE7">
        <v>0</v>
      </c>
      <c r="AKF7">
        <v>151</v>
      </c>
    </row>
    <row r="8" spans="1:1010">
      <c r="A8">
        <v>6</v>
      </c>
      <c r="B8" t="s">
        <v>96</v>
      </c>
      <c r="C8" s="1">
        <v>82630</v>
      </c>
      <c r="D8" s="2" t="s">
        <v>28</v>
      </c>
      <c r="E8" s="3" t="s">
        <v>88</v>
      </c>
      <c r="F8" s="1" t="s">
        <v>97</v>
      </c>
      <c r="G8" s="1" t="s">
        <v>33</v>
      </c>
      <c r="H8" s="1" t="s">
        <v>89</v>
      </c>
      <c r="I8" s="1" t="s">
        <v>45</v>
      </c>
      <c r="J8" s="1" t="s">
        <v>46</v>
      </c>
      <c r="K8">
        <v>106</v>
      </c>
      <c r="L8">
        <v>460</v>
      </c>
      <c r="M8">
        <v>279</v>
      </c>
      <c r="N8">
        <v>0</v>
      </c>
      <c r="O8">
        <v>0</v>
      </c>
      <c r="P8">
        <v>7017</v>
      </c>
      <c r="Q8">
        <v>0</v>
      </c>
      <c r="R8">
        <v>3800</v>
      </c>
      <c r="S8">
        <v>0</v>
      </c>
      <c r="T8">
        <v>5000</v>
      </c>
      <c r="U8">
        <v>69474</v>
      </c>
      <c r="V8">
        <v>0</v>
      </c>
      <c r="W8">
        <v>13986</v>
      </c>
      <c r="X8">
        <v>82033</v>
      </c>
      <c r="Y8">
        <v>91856</v>
      </c>
      <c r="Z8">
        <v>276677</v>
      </c>
      <c r="AA8">
        <v>1700</v>
      </c>
      <c r="AB8">
        <v>0</v>
      </c>
      <c r="AC8">
        <v>0</v>
      </c>
      <c r="AD8">
        <v>256428</v>
      </c>
      <c r="AE8">
        <v>279898</v>
      </c>
      <c r="AF8">
        <v>88871</v>
      </c>
      <c r="AG8">
        <v>110099</v>
      </c>
      <c r="AH8">
        <v>134996</v>
      </c>
      <c r="AI8">
        <v>45359</v>
      </c>
      <c r="AJ8">
        <v>0</v>
      </c>
      <c r="AK8">
        <v>284426</v>
      </c>
      <c r="AL8">
        <v>132045</v>
      </c>
      <c r="AM8">
        <v>160477</v>
      </c>
      <c r="AN8">
        <v>138096</v>
      </c>
      <c r="AO8">
        <v>49109</v>
      </c>
      <c r="AP8">
        <v>43855</v>
      </c>
      <c r="AQ8">
        <v>0</v>
      </c>
      <c r="AR8">
        <v>85672</v>
      </c>
      <c r="AS8">
        <v>0</v>
      </c>
      <c r="AT8">
        <v>33253</v>
      </c>
      <c r="AU8">
        <v>49621</v>
      </c>
      <c r="AV8">
        <v>27984</v>
      </c>
      <c r="AW8">
        <v>447445</v>
      </c>
      <c r="AX8">
        <v>0</v>
      </c>
      <c r="AY8">
        <v>26742</v>
      </c>
      <c r="AZ8">
        <v>118016</v>
      </c>
      <c r="BA8">
        <v>104486</v>
      </c>
      <c r="BB8">
        <v>110658</v>
      </c>
      <c r="BC8">
        <v>51424</v>
      </c>
      <c r="BD8">
        <v>25320</v>
      </c>
      <c r="BE8">
        <v>0</v>
      </c>
      <c r="BF8">
        <v>62643</v>
      </c>
      <c r="BG8">
        <v>117965</v>
      </c>
      <c r="BH8">
        <v>5040</v>
      </c>
      <c r="BI8">
        <v>81376</v>
      </c>
      <c r="BJ8">
        <v>77516</v>
      </c>
      <c r="BK8">
        <v>37459</v>
      </c>
      <c r="BL8">
        <v>0</v>
      </c>
      <c r="BM8">
        <v>93334</v>
      </c>
      <c r="BN8">
        <v>32063</v>
      </c>
      <c r="BO8">
        <v>159523</v>
      </c>
      <c r="BP8">
        <v>333812</v>
      </c>
      <c r="BQ8">
        <v>92881</v>
      </c>
      <c r="BR8">
        <v>0</v>
      </c>
      <c r="BS8">
        <v>0</v>
      </c>
      <c r="BT8">
        <v>0</v>
      </c>
      <c r="BU8" s="33">
        <v>0</v>
      </c>
      <c r="BV8" s="33">
        <v>127088</v>
      </c>
      <c r="BW8" s="33">
        <v>93297</v>
      </c>
      <c r="BX8" s="33">
        <v>4260</v>
      </c>
      <c r="BY8" s="33">
        <v>11968</v>
      </c>
      <c r="BZ8" s="33">
        <v>0</v>
      </c>
      <c r="CA8" s="33">
        <v>118584</v>
      </c>
      <c r="CB8">
        <v>48968</v>
      </c>
      <c r="CC8">
        <v>11460</v>
      </c>
      <c r="CD8">
        <v>77045</v>
      </c>
      <c r="CE8" s="18">
        <v>416432</v>
      </c>
      <c r="CF8">
        <v>29950</v>
      </c>
      <c r="CG8">
        <v>0</v>
      </c>
      <c r="CH8">
        <v>14790</v>
      </c>
      <c r="CI8">
        <v>111320</v>
      </c>
      <c r="CJ8">
        <v>16832</v>
      </c>
      <c r="CK8">
        <v>56822</v>
      </c>
      <c r="CL8">
        <v>123615</v>
      </c>
      <c r="CM8">
        <v>0</v>
      </c>
      <c r="CN8">
        <v>0</v>
      </c>
      <c r="CO8">
        <v>99599</v>
      </c>
      <c r="CP8">
        <v>193448</v>
      </c>
      <c r="CQ8">
        <v>30276</v>
      </c>
      <c r="CR8">
        <v>24331</v>
      </c>
      <c r="CS8">
        <v>38537</v>
      </c>
      <c r="CT8">
        <v>8515</v>
      </c>
      <c r="CU8">
        <v>234171</v>
      </c>
      <c r="CV8">
        <v>36210</v>
      </c>
      <c r="CW8">
        <v>86599</v>
      </c>
      <c r="CX8">
        <v>90803</v>
      </c>
      <c r="CY8">
        <v>47140</v>
      </c>
      <c r="CZ8">
        <v>96922</v>
      </c>
      <c r="DA8">
        <v>52744</v>
      </c>
      <c r="DB8">
        <v>81194</v>
      </c>
      <c r="DC8">
        <v>111192</v>
      </c>
      <c r="DD8">
        <v>77755</v>
      </c>
      <c r="DE8">
        <v>65975</v>
      </c>
      <c r="DF8">
        <v>45769</v>
      </c>
      <c r="DG8">
        <v>49890</v>
      </c>
      <c r="DH8">
        <v>9116</v>
      </c>
      <c r="DI8">
        <v>99508</v>
      </c>
      <c r="DJ8">
        <v>448255</v>
      </c>
      <c r="DK8">
        <v>0</v>
      </c>
      <c r="DL8">
        <v>7524</v>
      </c>
      <c r="DM8">
        <v>10004</v>
      </c>
      <c r="DN8">
        <v>7532</v>
      </c>
      <c r="DO8">
        <v>360</v>
      </c>
      <c r="DP8">
        <v>0</v>
      </c>
      <c r="DQ8">
        <v>69596</v>
      </c>
      <c r="DR8">
        <v>53134</v>
      </c>
      <c r="DS8">
        <v>38970</v>
      </c>
      <c r="DT8">
        <v>33415</v>
      </c>
      <c r="DU8">
        <v>27025</v>
      </c>
      <c r="DV8">
        <v>2226</v>
      </c>
      <c r="DW8">
        <v>0</v>
      </c>
      <c r="DX8">
        <v>1978</v>
      </c>
      <c r="DY8">
        <v>15820</v>
      </c>
      <c r="DZ8">
        <v>39992</v>
      </c>
      <c r="EA8">
        <v>39608</v>
      </c>
      <c r="EB8">
        <v>50599</v>
      </c>
      <c r="EC8">
        <v>35935</v>
      </c>
      <c r="ED8">
        <v>0</v>
      </c>
      <c r="EE8">
        <v>50766</v>
      </c>
      <c r="EF8">
        <v>39925</v>
      </c>
      <c r="EG8">
        <v>62036</v>
      </c>
      <c r="EH8">
        <v>48912</v>
      </c>
      <c r="EI8">
        <v>27465</v>
      </c>
      <c r="EJ8">
        <v>46661</v>
      </c>
      <c r="EK8">
        <v>0</v>
      </c>
      <c r="EL8">
        <v>53462</v>
      </c>
      <c r="EM8">
        <v>53580</v>
      </c>
      <c r="EN8">
        <v>49343</v>
      </c>
      <c r="EO8">
        <v>59688</v>
      </c>
      <c r="EP8">
        <v>11153</v>
      </c>
      <c r="EQ8">
        <v>21355</v>
      </c>
      <c r="ER8">
        <v>0</v>
      </c>
      <c r="ES8">
        <v>51749</v>
      </c>
      <c r="ET8">
        <v>165744</v>
      </c>
      <c r="EU8">
        <v>35657</v>
      </c>
      <c r="EV8">
        <v>283498</v>
      </c>
      <c r="EW8">
        <v>3322</v>
      </c>
      <c r="EX8">
        <v>4608</v>
      </c>
      <c r="EY8">
        <v>0</v>
      </c>
      <c r="EZ8">
        <v>102661</v>
      </c>
      <c r="FA8">
        <v>41256</v>
      </c>
      <c r="FB8">
        <v>22798</v>
      </c>
      <c r="FC8">
        <v>11145</v>
      </c>
      <c r="FD8">
        <v>3640</v>
      </c>
      <c r="FE8">
        <v>0</v>
      </c>
      <c r="FF8">
        <v>0</v>
      </c>
      <c r="FG8">
        <v>7009</v>
      </c>
      <c r="FH8">
        <v>77</v>
      </c>
      <c r="FI8">
        <v>744</v>
      </c>
      <c r="FJ8">
        <v>0</v>
      </c>
      <c r="FK8">
        <v>54124</v>
      </c>
      <c r="FL8">
        <v>0</v>
      </c>
      <c r="FM8">
        <v>0</v>
      </c>
      <c r="FN8">
        <v>52177</v>
      </c>
      <c r="FO8">
        <v>34464</v>
      </c>
      <c r="FP8">
        <v>46182</v>
      </c>
      <c r="FQ8">
        <v>67384</v>
      </c>
      <c r="FR8">
        <v>30897</v>
      </c>
      <c r="FS8">
        <v>0</v>
      </c>
      <c r="FT8">
        <v>0</v>
      </c>
      <c r="FU8">
        <v>0</v>
      </c>
      <c r="FV8">
        <v>13</v>
      </c>
      <c r="FW8">
        <v>0</v>
      </c>
      <c r="FX8">
        <v>28860</v>
      </c>
      <c r="FY8">
        <v>44065</v>
      </c>
      <c r="FZ8">
        <v>6841</v>
      </c>
      <c r="GA8">
        <v>0</v>
      </c>
      <c r="GB8">
        <v>22306</v>
      </c>
      <c r="GC8">
        <v>0</v>
      </c>
      <c r="GD8">
        <v>1539</v>
      </c>
      <c r="GE8">
        <v>14286</v>
      </c>
      <c r="GF8">
        <v>57512</v>
      </c>
      <c r="GG8">
        <v>42046</v>
      </c>
      <c r="GH8">
        <v>0</v>
      </c>
      <c r="GI8">
        <v>3110</v>
      </c>
      <c r="GJ8">
        <v>185692</v>
      </c>
      <c r="GK8">
        <v>0</v>
      </c>
      <c r="GL8">
        <v>14914</v>
      </c>
      <c r="GM8">
        <v>83976</v>
      </c>
      <c r="GN8">
        <v>0</v>
      </c>
      <c r="GO8">
        <v>0</v>
      </c>
      <c r="GP8">
        <v>8262</v>
      </c>
      <c r="GQ8">
        <v>506</v>
      </c>
      <c r="GR8">
        <v>9722</v>
      </c>
      <c r="GS8">
        <v>2091</v>
      </c>
      <c r="GT8">
        <v>84680</v>
      </c>
      <c r="GU8">
        <v>760</v>
      </c>
      <c r="GV8">
        <v>0</v>
      </c>
      <c r="GW8">
        <v>27558</v>
      </c>
      <c r="GX8">
        <v>10216</v>
      </c>
      <c r="GY8">
        <v>66042</v>
      </c>
      <c r="GZ8">
        <v>22236</v>
      </c>
      <c r="HA8">
        <v>117</v>
      </c>
      <c r="HB8">
        <v>27625</v>
      </c>
      <c r="HC8">
        <v>0</v>
      </c>
      <c r="HD8">
        <v>15906</v>
      </c>
      <c r="HE8">
        <v>43104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55044</v>
      </c>
      <c r="HM8">
        <v>3443</v>
      </c>
      <c r="HN8">
        <v>0</v>
      </c>
      <c r="HO8">
        <v>1537</v>
      </c>
      <c r="HP8">
        <v>12283</v>
      </c>
      <c r="HQ8">
        <v>0</v>
      </c>
      <c r="HR8">
        <v>0</v>
      </c>
      <c r="HS8">
        <v>21124</v>
      </c>
      <c r="HT8">
        <v>53800</v>
      </c>
      <c r="HU8">
        <v>20327</v>
      </c>
      <c r="HV8">
        <v>97649</v>
      </c>
      <c r="HW8">
        <v>9402</v>
      </c>
      <c r="HX8">
        <v>0</v>
      </c>
      <c r="HY8">
        <v>76066</v>
      </c>
      <c r="HZ8">
        <v>47848</v>
      </c>
      <c r="IA8">
        <v>15088</v>
      </c>
      <c r="IB8">
        <v>26558</v>
      </c>
      <c r="IC8">
        <v>24257</v>
      </c>
      <c r="ID8">
        <v>8948</v>
      </c>
      <c r="IE8">
        <v>0</v>
      </c>
      <c r="IF8">
        <v>131120</v>
      </c>
      <c r="IG8">
        <v>41872</v>
      </c>
      <c r="IH8">
        <v>32919</v>
      </c>
      <c r="II8">
        <v>45710</v>
      </c>
      <c r="IJ8">
        <v>1</v>
      </c>
      <c r="IK8">
        <v>18819</v>
      </c>
      <c r="IL8">
        <v>0</v>
      </c>
      <c r="IM8">
        <v>29791</v>
      </c>
      <c r="IN8">
        <v>99295</v>
      </c>
      <c r="IO8">
        <v>17699</v>
      </c>
      <c r="IP8">
        <v>30639</v>
      </c>
      <c r="IQ8">
        <v>31081</v>
      </c>
      <c r="IR8">
        <v>21197</v>
      </c>
      <c r="IS8">
        <v>0</v>
      </c>
      <c r="IT8">
        <v>1746</v>
      </c>
      <c r="IU8">
        <v>16042</v>
      </c>
      <c r="IV8">
        <v>49904</v>
      </c>
      <c r="IW8">
        <v>37412</v>
      </c>
      <c r="IX8">
        <v>57104</v>
      </c>
      <c r="IY8">
        <v>10012</v>
      </c>
      <c r="IZ8">
        <v>0</v>
      </c>
      <c r="JA8">
        <v>39243</v>
      </c>
      <c r="JB8">
        <v>17383</v>
      </c>
      <c r="JC8">
        <v>2572</v>
      </c>
      <c r="JD8">
        <v>46853</v>
      </c>
      <c r="JE8">
        <v>49987</v>
      </c>
      <c r="JF8">
        <v>74244</v>
      </c>
      <c r="JG8">
        <v>0</v>
      </c>
      <c r="JH8">
        <v>153268</v>
      </c>
      <c r="JI8">
        <v>58251</v>
      </c>
      <c r="JJ8">
        <v>17353</v>
      </c>
      <c r="JK8">
        <v>12873</v>
      </c>
      <c r="JL8">
        <v>648</v>
      </c>
      <c r="JM8">
        <v>10610</v>
      </c>
      <c r="JN8">
        <v>0</v>
      </c>
      <c r="JO8">
        <v>3739</v>
      </c>
      <c r="JP8">
        <v>21554</v>
      </c>
      <c r="JQ8">
        <v>5894</v>
      </c>
      <c r="JR8">
        <v>6</v>
      </c>
      <c r="JS8">
        <v>6535</v>
      </c>
      <c r="JT8">
        <v>21825</v>
      </c>
      <c r="JU8">
        <v>0</v>
      </c>
      <c r="JV8">
        <v>528</v>
      </c>
      <c r="JW8">
        <v>0</v>
      </c>
      <c r="JX8">
        <v>0</v>
      </c>
      <c r="JY8">
        <v>32716</v>
      </c>
      <c r="JZ8">
        <v>1493</v>
      </c>
      <c r="KA8">
        <v>1593</v>
      </c>
      <c r="KB8">
        <v>0</v>
      </c>
      <c r="KC8">
        <v>11408</v>
      </c>
      <c r="KD8">
        <v>148810</v>
      </c>
      <c r="KE8">
        <v>43054</v>
      </c>
      <c r="KF8">
        <v>1810</v>
      </c>
      <c r="KG8">
        <v>25451</v>
      </c>
      <c r="KH8">
        <v>2692</v>
      </c>
      <c r="KI8">
        <v>0</v>
      </c>
      <c r="KJ8">
        <v>0</v>
      </c>
      <c r="KK8">
        <v>67931</v>
      </c>
      <c r="KL8">
        <v>48109</v>
      </c>
      <c r="KM8">
        <v>45751</v>
      </c>
      <c r="KN8">
        <v>61323</v>
      </c>
      <c r="KO8">
        <v>2702</v>
      </c>
      <c r="KP8">
        <v>0</v>
      </c>
      <c r="KQ8">
        <v>41026</v>
      </c>
      <c r="KR8">
        <v>57262</v>
      </c>
      <c r="KS8">
        <v>90</v>
      </c>
      <c r="KT8">
        <v>0</v>
      </c>
      <c r="KU8">
        <v>2</v>
      </c>
      <c r="KV8">
        <v>648</v>
      </c>
      <c r="KW8">
        <v>0</v>
      </c>
      <c r="KX8">
        <v>3471</v>
      </c>
      <c r="KY8">
        <v>0</v>
      </c>
      <c r="KZ8">
        <v>0</v>
      </c>
      <c r="LA8">
        <v>179142</v>
      </c>
      <c r="LB8">
        <v>172223</v>
      </c>
      <c r="LC8">
        <v>1376</v>
      </c>
      <c r="LD8">
        <v>0</v>
      </c>
      <c r="LE8">
        <v>5044</v>
      </c>
      <c r="LF8">
        <v>2115</v>
      </c>
      <c r="LG8">
        <v>27727</v>
      </c>
      <c r="LH8">
        <v>16897</v>
      </c>
      <c r="LI8">
        <v>35974</v>
      </c>
      <c r="LJ8">
        <v>5040</v>
      </c>
      <c r="LK8">
        <v>0</v>
      </c>
      <c r="LL8">
        <v>84441</v>
      </c>
      <c r="LM8">
        <v>14588</v>
      </c>
      <c r="LN8">
        <v>28983</v>
      </c>
      <c r="LO8">
        <v>11208</v>
      </c>
      <c r="LP8">
        <v>24696</v>
      </c>
      <c r="LQ8">
        <v>9794</v>
      </c>
      <c r="LR8">
        <v>0</v>
      </c>
      <c r="LS8">
        <v>251117</v>
      </c>
      <c r="LT8">
        <v>17566</v>
      </c>
      <c r="LU8">
        <v>39533</v>
      </c>
      <c r="LV8">
        <v>34553</v>
      </c>
      <c r="LW8">
        <v>46080</v>
      </c>
      <c r="LX8">
        <v>8501</v>
      </c>
      <c r="LY8">
        <v>0</v>
      </c>
      <c r="LZ8">
        <v>25252</v>
      </c>
      <c r="MA8">
        <v>119783</v>
      </c>
      <c r="MB8">
        <v>86016</v>
      </c>
      <c r="MC8">
        <v>39096</v>
      </c>
      <c r="MD8">
        <v>86617</v>
      </c>
      <c r="ME8">
        <v>28614</v>
      </c>
      <c r="MF8">
        <v>0</v>
      </c>
      <c r="MG8">
        <v>23535</v>
      </c>
      <c r="MH8">
        <v>26100</v>
      </c>
      <c r="MI8">
        <v>61955</v>
      </c>
      <c r="MJ8">
        <v>3630</v>
      </c>
      <c r="MK8">
        <v>574</v>
      </c>
      <c r="ML8">
        <v>2400</v>
      </c>
      <c r="MM8">
        <v>0</v>
      </c>
      <c r="MN8">
        <v>105467</v>
      </c>
      <c r="MO8">
        <v>134048</v>
      </c>
      <c r="MP8">
        <v>139315</v>
      </c>
      <c r="MQ8">
        <v>123170</v>
      </c>
      <c r="MR8">
        <v>19678</v>
      </c>
      <c r="MS8">
        <v>58840</v>
      </c>
      <c r="MT8">
        <v>0</v>
      </c>
      <c r="MU8">
        <v>0</v>
      </c>
      <c r="MV8">
        <v>8460</v>
      </c>
      <c r="MW8">
        <v>8101</v>
      </c>
      <c r="MX8">
        <v>35248</v>
      </c>
      <c r="MY8">
        <v>99150</v>
      </c>
      <c r="MZ8">
        <v>4587</v>
      </c>
      <c r="NA8">
        <v>0</v>
      </c>
      <c r="NB8">
        <v>40347</v>
      </c>
      <c r="NC8">
        <v>57081</v>
      </c>
      <c r="ND8">
        <v>25027</v>
      </c>
      <c r="NE8">
        <v>45213</v>
      </c>
      <c r="NF8">
        <v>30517</v>
      </c>
      <c r="NG8">
        <v>21214</v>
      </c>
      <c r="NH8">
        <v>0</v>
      </c>
      <c r="NI8">
        <v>104092</v>
      </c>
      <c r="NJ8">
        <v>229891</v>
      </c>
      <c r="NK8">
        <v>8108</v>
      </c>
      <c r="NL8">
        <v>106769</v>
      </c>
      <c r="NM8">
        <v>11260</v>
      </c>
      <c r="NN8">
        <v>135138</v>
      </c>
      <c r="NO8">
        <v>0</v>
      </c>
      <c r="NP8">
        <v>95026</v>
      </c>
      <c r="NQ8">
        <v>60220</v>
      </c>
      <c r="NR8">
        <v>0</v>
      </c>
      <c r="NS8">
        <v>65249</v>
      </c>
      <c r="NT8">
        <v>49862</v>
      </c>
      <c r="NU8">
        <v>1035</v>
      </c>
      <c r="NV8">
        <v>0</v>
      </c>
      <c r="NW8">
        <v>5766</v>
      </c>
      <c r="NX8">
        <v>0</v>
      </c>
      <c r="NY8">
        <v>7226</v>
      </c>
      <c r="NZ8">
        <v>5646</v>
      </c>
      <c r="OA8">
        <v>0</v>
      </c>
      <c r="OB8">
        <v>25188</v>
      </c>
      <c r="OC8">
        <v>0</v>
      </c>
      <c r="OD8">
        <v>16887</v>
      </c>
      <c r="OE8">
        <v>55534</v>
      </c>
      <c r="OF8">
        <v>39802</v>
      </c>
      <c r="OG8">
        <v>15693</v>
      </c>
      <c r="OH8">
        <v>143933</v>
      </c>
      <c r="OI8">
        <v>18873</v>
      </c>
      <c r="OJ8">
        <v>0</v>
      </c>
      <c r="OK8">
        <v>101090</v>
      </c>
      <c r="OL8">
        <v>27248</v>
      </c>
      <c r="OM8">
        <v>138500</v>
      </c>
      <c r="ON8">
        <v>41270</v>
      </c>
      <c r="OO8">
        <v>52526</v>
      </c>
      <c r="OP8">
        <v>35421</v>
      </c>
      <c r="OQ8">
        <v>0</v>
      </c>
      <c r="OR8">
        <v>31650</v>
      </c>
      <c r="OS8">
        <v>32135</v>
      </c>
      <c r="OT8">
        <v>18852</v>
      </c>
      <c r="OU8">
        <v>0</v>
      </c>
      <c r="OV8">
        <v>36550</v>
      </c>
      <c r="OW8">
        <v>2000</v>
      </c>
      <c r="OX8">
        <v>0</v>
      </c>
      <c r="OY8">
        <v>16551</v>
      </c>
      <c r="OZ8">
        <v>60627</v>
      </c>
      <c r="PA8">
        <v>23648</v>
      </c>
      <c r="PB8">
        <v>8488</v>
      </c>
      <c r="PC8">
        <v>83773</v>
      </c>
      <c r="PD8">
        <v>26536</v>
      </c>
      <c r="PE8">
        <v>0</v>
      </c>
      <c r="PF8">
        <v>58362</v>
      </c>
      <c r="PG8">
        <v>58231</v>
      </c>
      <c r="PH8">
        <v>41174</v>
      </c>
      <c r="PI8">
        <v>834</v>
      </c>
      <c r="PJ8">
        <v>118697</v>
      </c>
      <c r="PK8">
        <v>67128</v>
      </c>
      <c r="PL8">
        <v>0</v>
      </c>
      <c r="PM8">
        <v>271292</v>
      </c>
      <c r="PN8">
        <v>106585</v>
      </c>
      <c r="PO8">
        <v>29730</v>
      </c>
      <c r="PP8">
        <v>27718</v>
      </c>
      <c r="PQ8">
        <v>116226</v>
      </c>
      <c r="PR8">
        <v>37400</v>
      </c>
      <c r="PS8">
        <v>0</v>
      </c>
      <c r="PT8">
        <v>0</v>
      </c>
      <c r="PU8">
        <v>0</v>
      </c>
      <c r="PV8">
        <v>0</v>
      </c>
      <c r="PW8">
        <v>15808</v>
      </c>
      <c r="PX8">
        <v>0</v>
      </c>
      <c r="PY8">
        <v>9251</v>
      </c>
      <c r="PZ8">
        <v>0</v>
      </c>
      <c r="QA8">
        <v>191492</v>
      </c>
      <c r="QB8">
        <v>17018</v>
      </c>
      <c r="QC8">
        <v>24454</v>
      </c>
      <c r="QD8">
        <v>16330</v>
      </c>
      <c r="QE8">
        <v>27078</v>
      </c>
      <c r="QF8">
        <v>150</v>
      </c>
      <c r="QG8">
        <v>0</v>
      </c>
      <c r="QH8">
        <v>9135</v>
      </c>
      <c r="QI8">
        <v>60354</v>
      </c>
      <c r="QJ8">
        <v>28596</v>
      </c>
      <c r="QK8">
        <v>1787</v>
      </c>
      <c r="QL8">
        <v>40880</v>
      </c>
      <c r="QM8">
        <v>0</v>
      </c>
      <c r="QN8">
        <v>0</v>
      </c>
      <c r="QO8">
        <v>93554</v>
      </c>
      <c r="QP8">
        <v>30243</v>
      </c>
      <c r="QQ8">
        <v>35901</v>
      </c>
      <c r="QR8">
        <v>15483</v>
      </c>
      <c r="QS8">
        <v>56673</v>
      </c>
      <c r="QT8">
        <v>49780</v>
      </c>
      <c r="QU8">
        <v>0</v>
      </c>
      <c r="QV8">
        <v>43726</v>
      </c>
      <c r="QW8">
        <v>12464</v>
      </c>
      <c r="QX8">
        <v>40090</v>
      </c>
      <c r="QY8">
        <v>49315</v>
      </c>
      <c r="QZ8">
        <v>157743</v>
      </c>
      <c r="RA8">
        <v>895</v>
      </c>
      <c r="RB8">
        <v>0</v>
      </c>
      <c r="RC8">
        <v>44283</v>
      </c>
      <c r="RD8">
        <v>10962</v>
      </c>
      <c r="RE8">
        <v>16420</v>
      </c>
      <c r="RF8">
        <v>16529</v>
      </c>
      <c r="RG8">
        <v>35626</v>
      </c>
      <c r="RH8">
        <v>0</v>
      </c>
      <c r="RI8">
        <v>0</v>
      </c>
      <c r="RJ8">
        <v>11216</v>
      </c>
      <c r="RK8">
        <v>33593</v>
      </c>
      <c r="RL8">
        <v>3314</v>
      </c>
      <c r="RM8">
        <v>40496</v>
      </c>
      <c r="RN8">
        <v>15634</v>
      </c>
      <c r="RO8">
        <v>10048</v>
      </c>
      <c r="RP8">
        <v>0</v>
      </c>
      <c r="RQ8">
        <v>26114</v>
      </c>
      <c r="RR8">
        <v>25525</v>
      </c>
      <c r="RS8">
        <v>8186</v>
      </c>
      <c r="RT8">
        <v>7405</v>
      </c>
      <c r="RU8">
        <v>96437</v>
      </c>
      <c r="RV8">
        <v>38719</v>
      </c>
      <c r="RW8">
        <v>0</v>
      </c>
      <c r="RX8">
        <v>71430</v>
      </c>
      <c r="RY8">
        <v>62234</v>
      </c>
      <c r="RZ8">
        <v>39077</v>
      </c>
      <c r="SA8">
        <v>7900</v>
      </c>
      <c r="SB8">
        <v>17987</v>
      </c>
      <c r="SC8">
        <v>0</v>
      </c>
      <c r="SD8">
        <v>0</v>
      </c>
      <c r="SE8">
        <v>21074</v>
      </c>
      <c r="SF8">
        <v>46550</v>
      </c>
      <c r="SG8">
        <v>33086</v>
      </c>
      <c r="SH8">
        <v>53573</v>
      </c>
      <c r="SI8">
        <v>60645</v>
      </c>
      <c r="SJ8">
        <v>14400</v>
      </c>
      <c r="SK8">
        <v>0</v>
      </c>
      <c r="SL8">
        <v>39083</v>
      </c>
      <c r="SM8">
        <v>48883</v>
      </c>
      <c r="SN8">
        <v>84253</v>
      </c>
      <c r="SO8">
        <v>37415</v>
      </c>
      <c r="SP8">
        <v>67838</v>
      </c>
      <c r="SQ8">
        <v>13482</v>
      </c>
      <c r="SR8">
        <v>0</v>
      </c>
      <c r="SS8">
        <v>135925</v>
      </c>
      <c r="ST8">
        <v>22480</v>
      </c>
      <c r="SU8">
        <v>105710</v>
      </c>
      <c r="SV8">
        <v>84697</v>
      </c>
      <c r="SW8">
        <v>43241</v>
      </c>
      <c r="SX8">
        <v>83738</v>
      </c>
      <c r="SY8">
        <v>0</v>
      </c>
      <c r="SZ8">
        <v>103040</v>
      </c>
      <c r="TA8">
        <v>59657</v>
      </c>
      <c r="TB8">
        <v>42592</v>
      </c>
      <c r="TC8">
        <v>58090</v>
      </c>
      <c r="TD8">
        <v>49207</v>
      </c>
      <c r="TE8">
        <v>20580</v>
      </c>
      <c r="TF8">
        <v>0</v>
      </c>
      <c r="TG8">
        <v>63006</v>
      </c>
      <c r="TH8">
        <v>543</v>
      </c>
      <c r="TI8">
        <v>29577</v>
      </c>
      <c r="TJ8">
        <v>17835</v>
      </c>
      <c r="TK8">
        <v>42492</v>
      </c>
      <c r="TL8">
        <v>32488</v>
      </c>
      <c r="TM8">
        <v>0</v>
      </c>
      <c r="TN8">
        <v>29286</v>
      </c>
      <c r="TO8">
        <v>19888</v>
      </c>
      <c r="TP8">
        <v>24447</v>
      </c>
      <c r="TQ8">
        <v>34658</v>
      </c>
      <c r="TR8">
        <v>118574</v>
      </c>
      <c r="TS8">
        <v>14942</v>
      </c>
      <c r="TT8">
        <v>0</v>
      </c>
      <c r="TU8">
        <v>0</v>
      </c>
      <c r="TV8">
        <v>0</v>
      </c>
      <c r="TW8">
        <v>210150</v>
      </c>
      <c r="TX8">
        <v>12680</v>
      </c>
      <c r="TY8">
        <v>22750</v>
      </c>
      <c r="TZ8">
        <v>26741</v>
      </c>
      <c r="UA8">
        <v>0</v>
      </c>
      <c r="UB8">
        <v>20464</v>
      </c>
      <c r="UC8">
        <v>13725</v>
      </c>
      <c r="UD8">
        <v>9175</v>
      </c>
      <c r="UE8">
        <v>3854</v>
      </c>
      <c r="UF8">
        <v>20949</v>
      </c>
      <c r="UG8">
        <v>6974</v>
      </c>
      <c r="UH8">
        <v>0</v>
      </c>
      <c r="UI8">
        <v>70927</v>
      </c>
      <c r="UJ8">
        <v>48628</v>
      </c>
      <c r="UK8">
        <v>47057</v>
      </c>
      <c r="UL8">
        <v>0</v>
      </c>
      <c r="UM8">
        <v>8688</v>
      </c>
      <c r="UN8">
        <v>0</v>
      </c>
      <c r="UO8">
        <v>0</v>
      </c>
      <c r="UP8">
        <v>18929</v>
      </c>
      <c r="UQ8">
        <v>20004</v>
      </c>
      <c r="UR8">
        <v>91951</v>
      </c>
      <c r="US8">
        <v>113464</v>
      </c>
      <c r="UT8">
        <v>38656</v>
      </c>
      <c r="UU8">
        <v>0</v>
      </c>
      <c r="UV8">
        <v>0</v>
      </c>
      <c r="UW8">
        <v>118537</v>
      </c>
      <c r="UX8">
        <v>42442</v>
      </c>
      <c r="UY8">
        <v>26036</v>
      </c>
      <c r="UZ8">
        <v>430</v>
      </c>
      <c r="VA8">
        <v>22886</v>
      </c>
      <c r="VB8">
        <v>267722</v>
      </c>
      <c r="VC8">
        <v>0</v>
      </c>
      <c r="VD8">
        <v>76377</v>
      </c>
      <c r="VE8">
        <v>8401</v>
      </c>
      <c r="VF8">
        <v>29294</v>
      </c>
      <c r="VG8">
        <v>43014</v>
      </c>
      <c r="VH8">
        <v>32150</v>
      </c>
      <c r="VI8">
        <v>2319</v>
      </c>
      <c r="VJ8">
        <v>0</v>
      </c>
      <c r="VK8">
        <v>7577</v>
      </c>
      <c r="VL8">
        <v>77640</v>
      </c>
      <c r="VM8">
        <v>46564</v>
      </c>
      <c r="VN8">
        <v>55058</v>
      </c>
      <c r="VO8">
        <v>79685</v>
      </c>
      <c r="VP8">
        <v>1068</v>
      </c>
      <c r="VQ8">
        <v>0</v>
      </c>
      <c r="VR8">
        <v>69607</v>
      </c>
      <c r="VS8">
        <v>0</v>
      </c>
      <c r="VT8">
        <v>21280</v>
      </c>
      <c r="VU8">
        <v>2265</v>
      </c>
      <c r="VV8">
        <v>79084</v>
      </c>
      <c r="VW8">
        <v>30232</v>
      </c>
      <c r="VX8">
        <v>0</v>
      </c>
      <c r="VY8">
        <v>124484</v>
      </c>
      <c r="VZ8">
        <v>16568</v>
      </c>
      <c r="WA8">
        <v>36190</v>
      </c>
      <c r="WB8">
        <v>19361</v>
      </c>
      <c r="WC8">
        <v>21346</v>
      </c>
      <c r="WD8">
        <v>4889</v>
      </c>
      <c r="WE8">
        <v>0</v>
      </c>
      <c r="WF8">
        <v>83399</v>
      </c>
      <c r="WG8">
        <v>31464</v>
      </c>
      <c r="WH8">
        <v>32842</v>
      </c>
      <c r="WI8">
        <v>18194</v>
      </c>
      <c r="WJ8">
        <v>16199</v>
      </c>
      <c r="WK8">
        <v>31129</v>
      </c>
      <c r="WL8">
        <v>0</v>
      </c>
      <c r="WM8">
        <v>38546</v>
      </c>
      <c r="WN8">
        <v>56511</v>
      </c>
      <c r="WO8">
        <v>130707</v>
      </c>
      <c r="WP8">
        <v>339341</v>
      </c>
      <c r="WQ8">
        <v>26969</v>
      </c>
      <c r="WR8">
        <v>26228</v>
      </c>
      <c r="WS8">
        <v>0</v>
      </c>
      <c r="WT8">
        <v>14201</v>
      </c>
      <c r="WU8">
        <v>14498</v>
      </c>
      <c r="WV8">
        <v>28894</v>
      </c>
      <c r="WW8">
        <v>2870</v>
      </c>
      <c r="WX8">
        <v>332818</v>
      </c>
      <c r="WY8">
        <v>40011</v>
      </c>
      <c r="WZ8">
        <v>0</v>
      </c>
      <c r="XA8">
        <v>215115</v>
      </c>
      <c r="XB8">
        <v>265235</v>
      </c>
      <c r="XC8">
        <v>109777</v>
      </c>
      <c r="XD8">
        <v>35936</v>
      </c>
      <c r="XE8">
        <v>80170</v>
      </c>
      <c r="XF8">
        <v>56847</v>
      </c>
      <c r="XG8">
        <v>0</v>
      </c>
      <c r="XH8">
        <v>64285</v>
      </c>
      <c r="XI8">
        <v>48325</v>
      </c>
      <c r="XJ8">
        <v>22789</v>
      </c>
      <c r="XK8">
        <v>35135</v>
      </c>
      <c r="XL8">
        <v>91522</v>
      </c>
      <c r="XM8">
        <v>223557</v>
      </c>
      <c r="XN8">
        <v>0</v>
      </c>
      <c r="XO8">
        <v>36303</v>
      </c>
      <c r="XP8">
        <v>43733</v>
      </c>
      <c r="XQ8">
        <v>14185</v>
      </c>
      <c r="XR8">
        <v>59354</v>
      </c>
      <c r="XS8">
        <v>649138</v>
      </c>
      <c r="XT8">
        <v>16831</v>
      </c>
      <c r="XU8">
        <v>0</v>
      </c>
      <c r="XV8">
        <v>0</v>
      </c>
      <c r="XW8">
        <v>18421</v>
      </c>
      <c r="XX8">
        <v>35242</v>
      </c>
      <c r="XY8">
        <v>34963</v>
      </c>
      <c r="XZ8">
        <v>24981</v>
      </c>
      <c r="YA8">
        <v>22951</v>
      </c>
      <c r="YB8">
        <v>55552</v>
      </c>
      <c r="YC8">
        <v>49321</v>
      </c>
      <c r="YD8">
        <v>20077</v>
      </c>
      <c r="YE8">
        <v>47389</v>
      </c>
      <c r="YF8">
        <v>2725</v>
      </c>
      <c r="YG8">
        <v>345688</v>
      </c>
      <c r="YH8">
        <v>345688</v>
      </c>
      <c r="YI8">
        <v>0</v>
      </c>
      <c r="YJ8">
        <v>18919</v>
      </c>
      <c r="YK8">
        <v>0</v>
      </c>
      <c r="YL8">
        <v>94336</v>
      </c>
      <c r="YM8">
        <v>71623</v>
      </c>
      <c r="YN8">
        <v>20925</v>
      </c>
      <c r="YO8">
        <v>43878</v>
      </c>
      <c r="YP8">
        <v>0</v>
      </c>
      <c r="YQ8">
        <v>44457</v>
      </c>
      <c r="YR8">
        <v>21502</v>
      </c>
      <c r="YS8">
        <v>20650</v>
      </c>
      <c r="YT8">
        <v>66794</v>
      </c>
      <c r="YU8">
        <v>27839</v>
      </c>
      <c r="YV8">
        <v>20855</v>
      </c>
      <c r="YW8">
        <v>0</v>
      </c>
      <c r="YX8">
        <v>48281</v>
      </c>
      <c r="YY8">
        <v>44640</v>
      </c>
      <c r="YZ8">
        <v>26429</v>
      </c>
      <c r="ZA8">
        <v>28251</v>
      </c>
      <c r="ZB8">
        <v>68898</v>
      </c>
      <c r="ZC8">
        <v>1790</v>
      </c>
      <c r="ZD8">
        <v>0</v>
      </c>
      <c r="ZE8">
        <v>16454</v>
      </c>
      <c r="ZF8">
        <v>45371</v>
      </c>
      <c r="ZG8">
        <v>3673</v>
      </c>
      <c r="ZH8">
        <v>11376</v>
      </c>
      <c r="ZI8">
        <v>36482</v>
      </c>
      <c r="ZJ8">
        <v>23673</v>
      </c>
      <c r="ZK8">
        <v>81906</v>
      </c>
      <c r="ZL8">
        <v>8651</v>
      </c>
      <c r="ZM8">
        <v>65728</v>
      </c>
      <c r="ZN8">
        <v>0</v>
      </c>
      <c r="ZO8">
        <v>18195</v>
      </c>
      <c r="ZP8">
        <v>11716</v>
      </c>
      <c r="ZQ8">
        <v>33211</v>
      </c>
      <c r="ZR8">
        <v>0</v>
      </c>
      <c r="ZS8">
        <v>8977</v>
      </c>
      <c r="ZT8">
        <v>120688</v>
      </c>
      <c r="ZU8">
        <v>19302</v>
      </c>
      <c r="ZV8">
        <v>6336</v>
      </c>
      <c r="ZW8">
        <v>19433</v>
      </c>
      <c r="ZX8">
        <v>15666</v>
      </c>
      <c r="ZY8">
        <v>0</v>
      </c>
      <c r="ZZ8">
        <v>101321</v>
      </c>
      <c r="AAA8">
        <v>35538</v>
      </c>
      <c r="AAB8">
        <v>13277</v>
      </c>
      <c r="AAC8">
        <v>6817</v>
      </c>
      <c r="AAD8">
        <v>280365</v>
      </c>
      <c r="AAE8">
        <v>32463</v>
      </c>
      <c r="AAF8">
        <v>0</v>
      </c>
      <c r="AAG8">
        <v>50886</v>
      </c>
      <c r="AAH8">
        <v>42621</v>
      </c>
      <c r="AAI8">
        <v>25384</v>
      </c>
      <c r="AAJ8">
        <v>64638</v>
      </c>
      <c r="AAK8">
        <v>11656</v>
      </c>
      <c r="AAL8">
        <v>1345</v>
      </c>
      <c r="AAM8">
        <v>0</v>
      </c>
      <c r="AAN8">
        <v>37921</v>
      </c>
      <c r="AAO8">
        <v>27671</v>
      </c>
      <c r="AAP8">
        <v>74583</v>
      </c>
      <c r="AAQ8">
        <v>19047</v>
      </c>
      <c r="AAR8">
        <v>49133</v>
      </c>
      <c r="AAS8">
        <v>32316</v>
      </c>
      <c r="AAT8">
        <v>1257</v>
      </c>
      <c r="AAU8">
        <v>0</v>
      </c>
      <c r="AAV8">
        <v>36506</v>
      </c>
      <c r="AAW8">
        <v>3088</v>
      </c>
      <c r="AAX8">
        <v>7208</v>
      </c>
      <c r="AAY8">
        <v>11953</v>
      </c>
      <c r="AAZ8">
        <v>0</v>
      </c>
      <c r="ABA8">
        <v>0</v>
      </c>
      <c r="ABB8">
        <v>3969</v>
      </c>
      <c r="ABC8">
        <v>23357</v>
      </c>
      <c r="ABD8">
        <v>49113</v>
      </c>
      <c r="ABE8">
        <v>0</v>
      </c>
      <c r="ABF8">
        <v>42518</v>
      </c>
      <c r="ABG8">
        <v>11331</v>
      </c>
      <c r="ABH8">
        <v>0</v>
      </c>
      <c r="ABI8">
        <v>53473</v>
      </c>
      <c r="ABJ8">
        <v>52595</v>
      </c>
      <c r="ABK8">
        <v>12415</v>
      </c>
      <c r="ABL8">
        <v>28937</v>
      </c>
      <c r="ABM8">
        <v>67993</v>
      </c>
      <c r="ABN8">
        <v>13126</v>
      </c>
      <c r="ABO8">
        <v>0</v>
      </c>
      <c r="ABP8">
        <v>32464</v>
      </c>
      <c r="ABQ8">
        <v>305</v>
      </c>
      <c r="ABR8">
        <v>10097</v>
      </c>
      <c r="ABS8">
        <v>7969</v>
      </c>
      <c r="ABT8">
        <v>25807</v>
      </c>
      <c r="ABU8">
        <v>38481</v>
      </c>
      <c r="ABV8">
        <v>0</v>
      </c>
      <c r="ABW8">
        <v>75470</v>
      </c>
      <c r="ABX8">
        <v>265886</v>
      </c>
      <c r="ABY8">
        <v>173328</v>
      </c>
      <c r="ABZ8">
        <v>180226</v>
      </c>
      <c r="ACA8">
        <v>137442</v>
      </c>
      <c r="ACB8">
        <v>141377</v>
      </c>
      <c r="ACC8">
        <v>0</v>
      </c>
      <c r="ACD8">
        <v>50494</v>
      </c>
      <c r="ACE8">
        <v>198444</v>
      </c>
      <c r="ACF8">
        <v>49591</v>
      </c>
      <c r="ACG8">
        <v>130835</v>
      </c>
      <c r="ACH8">
        <v>35711</v>
      </c>
      <c r="ACI8">
        <v>22803</v>
      </c>
      <c r="ACJ8">
        <v>0</v>
      </c>
      <c r="ACK8">
        <v>74690</v>
      </c>
      <c r="ACL8">
        <v>123342</v>
      </c>
      <c r="ACM8">
        <v>41596</v>
      </c>
      <c r="ACN8">
        <v>31825</v>
      </c>
      <c r="ACO8">
        <v>19486</v>
      </c>
      <c r="ACP8">
        <v>41684</v>
      </c>
      <c r="ACQ8">
        <v>0</v>
      </c>
      <c r="ACR8">
        <v>98581</v>
      </c>
      <c r="ACS8">
        <v>91795</v>
      </c>
      <c r="ACT8">
        <v>43397</v>
      </c>
      <c r="ACU8">
        <v>21071</v>
      </c>
      <c r="ACV8">
        <v>0</v>
      </c>
      <c r="ACW8">
        <v>80548</v>
      </c>
      <c r="ACX8">
        <v>48441</v>
      </c>
      <c r="ACY8">
        <v>36826</v>
      </c>
      <c r="ACZ8">
        <v>24760</v>
      </c>
      <c r="ADA8">
        <v>309973</v>
      </c>
      <c r="ADB8">
        <v>627402</v>
      </c>
      <c r="ADC8">
        <v>24052</v>
      </c>
      <c r="ADD8">
        <v>24052</v>
      </c>
      <c r="ADE8">
        <v>70369</v>
      </c>
      <c r="ADF8">
        <v>44200</v>
      </c>
      <c r="ADG8">
        <v>186952</v>
      </c>
      <c r="ADH8">
        <v>69900</v>
      </c>
      <c r="ADI8">
        <v>104854</v>
      </c>
      <c r="ADJ8">
        <v>34969</v>
      </c>
      <c r="ADK8">
        <v>34969</v>
      </c>
      <c r="ADL8">
        <v>0</v>
      </c>
      <c r="ADM8">
        <v>115994</v>
      </c>
      <c r="ADN8">
        <v>44435</v>
      </c>
      <c r="ADO8">
        <v>86229</v>
      </c>
      <c r="ADP8">
        <v>31064</v>
      </c>
      <c r="ADQ8">
        <v>55988</v>
      </c>
      <c r="ADR8">
        <v>82686</v>
      </c>
      <c r="ADS8">
        <v>0</v>
      </c>
      <c r="ADT8">
        <v>59373</v>
      </c>
      <c r="ADU8">
        <v>0</v>
      </c>
      <c r="ADV8">
        <v>0</v>
      </c>
      <c r="ADW8">
        <v>0</v>
      </c>
      <c r="ADX8">
        <v>791324</v>
      </c>
      <c r="ADY8">
        <v>0</v>
      </c>
      <c r="ADZ8">
        <v>0</v>
      </c>
      <c r="AEA8">
        <v>0</v>
      </c>
      <c r="AEB8">
        <v>0</v>
      </c>
      <c r="AEC8">
        <v>4174</v>
      </c>
      <c r="AED8">
        <v>4362</v>
      </c>
      <c r="AEE8">
        <v>2945</v>
      </c>
      <c r="AEF8">
        <v>12816</v>
      </c>
      <c r="AEG8">
        <v>0</v>
      </c>
      <c r="AEH8">
        <v>52017</v>
      </c>
      <c r="AEI8">
        <v>18072</v>
      </c>
      <c r="AEJ8">
        <v>87894</v>
      </c>
      <c r="AEK8">
        <v>69438</v>
      </c>
      <c r="AEL8">
        <v>167591</v>
      </c>
      <c r="AEM8">
        <v>41596</v>
      </c>
      <c r="AEN8">
        <v>0</v>
      </c>
      <c r="AEO8">
        <v>109965</v>
      </c>
      <c r="AEP8">
        <v>63293</v>
      </c>
      <c r="AEQ8">
        <v>29002</v>
      </c>
      <c r="AER8">
        <v>87536</v>
      </c>
      <c r="AES8">
        <v>62407</v>
      </c>
      <c r="AET8">
        <v>20102</v>
      </c>
      <c r="AEU8">
        <v>0</v>
      </c>
      <c r="AEV8">
        <v>92928</v>
      </c>
      <c r="AEW8">
        <v>13998</v>
      </c>
      <c r="AEX8">
        <v>46165</v>
      </c>
      <c r="AEY8">
        <v>41763</v>
      </c>
      <c r="AEZ8">
        <v>382217</v>
      </c>
      <c r="AFA8">
        <v>54075</v>
      </c>
      <c r="AFB8">
        <v>0</v>
      </c>
      <c r="AFC8">
        <v>45455</v>
      </c>
      <c r="AFD8">
        <v>12363</v>
      </c>
      <c r="AFE8">
        <v>181775</v>
      </c>
      <c r="AFF8">
        <v>66962</v>
      </c>
      <c r="AFG8">
        <v>159242</v>
      </c>
      <c r="AFH8">
        <v>48807</v>
      </c>
      <c r="AFI8">
        <v>0</v>
      </c>
      <c r="AFJ8">
        <v>33647</v>
      </c>
      <c r="AFK8">
        <v>1460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601</v>
      </c>
      <c r="AFR8">
        <v>10095</v>
      </c>
      <c r="AFS8">
        <v>123674</v>
      </c>
      <c r="AFT8">
        <v>247148</v>
      </c>
      <c r="AFU8">
        <v>23973</v>
      </c>
      <c r="AFV8">
        <v>30676</v>
      </c>
      <c r="AFW8">
        <v>6190</v>
      </c>
      <c r="AFX8">
        <v>174977</v>
      </c>
      <c r="AFY8">
        <v>68055</v>
      </c>
      <c r="AFZ8">
        <v>57741</v>
      </c>
      <c r="AGA8">
        <v>70508</v>
      </c>
      <c r="AGB8">
        <v>33738</v>
      </c>
      <c r="AGC8">
        <v>40495</v>
      </c>
      <c r="AGD8">
        <v>0</v>
      </c>
      <c r="AGE8">
        <v>133529</v>
      </c>
      <c r="AGF8">
        <v>51101</v>
      </c>
      <c r="AGG8">
        <v>63878</v>
      </c>
      <c r="AGH8">
        <v>62804</v>
      </c>
      <c r="AGI8">
        <v>15023</v>
      </c>
      <c r="AGJ8">
        <v>0</v>
      </c>
      <c r="AGK8">
        <v>0</v>
      </c>
      <c r="AGL8">
        <v>247790</v>
      </c>
      <c r="AGM8">
        <v>94688</v>
      </c>
      <c r="AGN8">
        <v>65067</v>
      </c>
      <c r="AGO8">
        <v>31997</v>
      </c>
      <c r="AGP8">
        <v>15776</v>
      </c>
      <c r="AGQ8">
        <v>18957</v>
      </c>
      <c r="AGR8">
        <v>0</v>
      </c>
      <c r="AGS8">
        <v>118087</v>
      </c>
      <c r="AGT8">
        <v>39147</v>
      </c>
      <c r="AGU8">
        <v>19248</v>
      </c>
      <c r="AGV8">
        <v>29350</v>
      </c>
      <c r="AGW8">
        <v>68362</v>
      </c>
      <c r="AGX8">
        <v>33943</v>
      </c>
      <c r="AGY8">
        <v>0</v>
      </c>
      <c r="AGZ8">
        <v>24638</v>
      </c>
      <c r="AHA8">
        <v>26185</v>
      </c>
      <c r="AHB8">
        <v>85112</v>
      </c>
      <c r="AHC8">
        <v>57437</v>
      </c>
      <c r="AHD8">
        <v>32392</v>
      </c>
      <c r="AHE8">
        <v>11708</v>
      </c>
      <c r="AHH8">
        <v>0</v>
      </c>
      <c r="AHI8">
        <v>111405</v>
      </c>
      <c r="AHJ8">
        <v>92214</v>
      </c>
      <c r="AHK8">
        <v>123615</v>
      </c>
      <c r="AHL8">
        <v>16914</v>
      </c>
      <c r="AHM8">
        <v>0</v>
      </c>
      <c r="AHN8">
        <v>0</v>
      </c>
      <c r="AHO8">
        <v>45041</v>
      </c>
      <c r="AHP8">
        <v>70800</v>
      </c>
      <c r="AHQ8">
        <v>31918</v>
      </c>
      <c r="AHR8">
        <v>101694</v>
      </c>
      <c r="AHS8">
        <v>4259</v>
      </c>
      <c r="AHT8">
        <v>0</v>
      </c>
      <c r="AHU8">
        <v>0</v>
      </c>
      <c r="AHV8">
        <v>0</v>
      </c>
      <c r="AHW8">
        <v>26393</v>
      </c>
      <c r="AHX8">
        <v>449273</v>
      </c>
      <c r="AHY8">
        <v>10667</v>
      </c>
      <c r="AHZ8">
        <v>31690</v>
      </c>
      <c r="AIA8">
        <v>0</v>
      </c>
      <c r="AIB8">
        <v>60881</v>
      </c>
      <c r="AIC8">
        <v>1572</v>
      </c>
      <c r="AID8">
        <v>214540</v>
      </c>
      <c r="AIE8">
        <v>2075</v>
      </c>
      <c r="AIF8">
        <v>9365</v>
      </c>
      <c r="AIG8">
        <v>16462</v>
      </c>
      <c r="AIH8">
        <v>0</v>
      </c>
      <c r="AII8">
        <v>64421</v>
      </c>
      <c r="AIJ8">
        <v>9424</v>
      </c>
      <c r="AIK8">
        <v>9970</v>
      </c>
      <c r="AIL8">
        <v>23180</v>
      </c>
      <c r="AIM8">
        <v>0</v>
      </c>
      <c r="AIN8">
        <v>71914</v>
      </c>
      <c r="AIO8">
        <v>0</v>
      </c>
      <c r="AIP8">
        <v>0</v>
      </c>
      <c r="AIQ8">
        <v>16149</v>
      </c>
      <c r="AIR8">
        <v>4512</v>
      </c>
      <c r="AIS8">
        <v>214285</v>
      </c>
      <c r="AIT8">
        <v>101718</v>
      </c>
      <c r="AIU8">
        <v>192919</v>
      </c>
      <c r="AIV8">
        <v>0</v>
      </c>
      <c r="AIW8">
        <v>182273</v>
      </c>
      <c r="AIX8">
        <v>332926</v>
      </c>
      <c r="AIY8">
        <v>8936</v>
      </c>
      <c r="AIZ8">
        <v>65846</v>
      </c>
      <c r="AJA8">
        <v>42643</v>
      </c>
      <c r="AJB8">
        <v>11441</v>
      </c>
      <c r="AJC8">
        <v>0</v>
      </c>
      <c r="AJD8">
        <v>9085</v>
      </c>
      <c r="AJE8">
        <v>6174</v>
      </c>
      <c r="AJF8">
        <v>3751</v>
      </c>
      <c r="AJG8">
        <v>360</v>
      </c>
      <c r="AJH8">
        <v>1920</v>
      </c>
      <c r="AJI8">
        <v>14610</v>
      </c>
      <c r="AJJ8">
        <v>0</v>
      </c>
      <c r="AJK8">
        <v>20932</v>
      </c>
      <c r="AJL8">
        <v>156805</v>
      </c>
      <c r="AJM8">
        <v>204535</v>
      </c>
      <c r="AJN8">
        <v>59694</v>
      </c>
      <c r="AJO8">
        <v>0</v>
      </c>
      <c r="AJP8">
        <v>0</v>
      </c>
      <c r="AJQ8">
        <v>0</v>
      </c>
      <c r="AJR8">
        <v>0</v>
      </c>
      <c r="AJS8">
        <v>165681</v>
      </c>
      <c r="AJT8">
        <v>0</v>
      </c>
      <c r="AJU8">
        <v>110074</v>
      </c>
      <c r="AJV8">
        <v>84686</v>
      </c>
      <c r="AJW8">
        <v>47566</v>
      </c>
      <c r="AJX8">
        <v>0</v>
      </c>
      <c r="AJY8">
        <v>129029</v>
      </c>
      <c r="AJZ8">
        <v>94424</v>
      </c>
      <c r="AKA8">
        <v>15498</v>
      </c>
      <c r="AKB8">
        <v>42087</v>
      </c>
      <c r="AKC8">
        <v>89454</v>
      </c>
      <c r="AKD8">
        <v>209000</v>
      </c>
      <c r="AKE8">
        <v>4575</v>
      </c>
      <c r="AKF8">
        <v>44937</v>
      </c>
    </row>
    <row r="9" spans="1:1010" s="19" customFormat="1">
      <c r="A9" s="19">
        <v>7</v>
      </c>
      <c r="B9" s="19" t="s">
        <v>98</v>
      </c>
      <c r="C9" s="20">
        <v>82630</v>
      </c>
      <c r="D9" s="20" t="s">
        <v>28</v>
      </c>
      <c r="E9" s="20" t="s">
        <v>99</v>
      </c>
      <c r="F9" s="20" t="s">
        <v>100</v>
      </c>
      <c r="G9" s="20" t="s">
        <v>33</v>
      </c>
      <c r="H9" s="20" t="s">
        <v>89</v>
      </c>
      <c r="I9" s="20" t="s">
        <v>45</v>
      </c>
      <c r="J9" s="20" t="s">
        <v>46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19">
        <v>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0</v>
      </c>
      <c r="AC9" s="19">
        <v>0</v>
      </c>
      <c r="AD9" s="19">
        <v>0</v>
      </c>
      <c r="AE9" s="19">
        <v>0</v>
      </c>
      <c r="AF9" s="19">
        <v>0</v>
      </c>
      <c r="AG9" s="19">
        <v>0</v>
      </c>
      <c r="AH9" s="19">
        <v>0</v>
      </c>
      <c r="AI9" s="19">
        <v>0</v>
      </c>
      <c r="AJ9" s="19">
        <v>0</v>
      </c>
      <c r="AK9" s="19">
        <v>0</v>
      </c>
      <c r="AL9" s="19">
        <v>6283</v>
      </c>
      <c r="AM9" s="19">
        <v>0</v>
      </c>
      <c r="AN9" s="19">
        <v>0</v>
      </c>
      <c r="AO9" s="19">
        <v>5570</v>
      </c>
      <c r="AP9" s="19">
        <v>31998</v>
      </c>
      <c r="AQ9" s="19">
        <v>0</v>
      </c>
      <c r="AR9" s="19">
        <v>28466</v>
      </c>
      <c r="AS9" s="19">
        <v>0</v>
      </c>
      <c r="AT9" s="19">
        <v>22596</v>
      </c>
      <c r="AU9" s="19">
        <v>0</v>
      </c>
      <c r="AV9" s="19">
        <v>0</v>
      </c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>
        <v>0</v>
      </c>
      <c r="BC9" s="19">
        <v>0</v>
      </c>
      <c r="BD9" s="19">
        <v>0</v>
      </c>
      <c r="BE9" s="19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19">
        <v>0</v>
      </c>
      <c r="BL9" s="19">
        <v>0</v>
      </c>
      <c r="BM9" s="19">
        <v>0</v>
      </c>
      <c r="BN9" s="19">
        <v>0</v>
      </c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>
        <v>0</v>
      </c>
      <c r="BW9" s="19">
        <v>0</v>
      </c>
      <c r="BX9" s="19">
        <v>0</v>
      </c>
      <c r="BY9" s="19">
        <v>0</v>
      </c>
      <c r="BZ9" s="19">
        <v>0</v>
      </c>
      <c r="CA9" s="19">
        <v>0</v>
      </c>
      <c r="CB9" s="19">
        <v>0</v>
      </c>
      <c r="CC9" s="19">
        <v>0</v>
      </c>
      <c r="CD9" s="19">
        <v>0</v>
      </c>
      <c r="CE9" s="19">
        <v>0</v>
      </c>
      <c r="CF9" s="19">
        <v>0</v>
      </c>
      <c r="CG9" s="19">
        <v>0</v>
      </c>
      <c r="CH9" s="19">
        <v>0</v>
      </c>
      <c r="CM9" s="19">
        <v>0</v>
      </c>
      <c r="CN9" s="19">
        <v>0</v>
      </c>
      <c r="CO9" s="19">
        <v>0</v>
      </c>
      <c r="CP9" s="19">
        <v>0</v>
      </c>
      <c r="CQ9" s="19">
        <v>0</v>
      </c>
      <c r="CR9" s="19">
        <v>0</v>
      </c>
      <c r="CS9" s="19">
        <v>0</v>
      </c>
      <c r="CT9" s="19">
        <v>0</v>
      </c>
      <c r="CU9" s="19">
        <v>0</v>
      </c>
      <c r="CV9" s="19">
        <v>0</v>
      </c>
      <c r="CW9" s="19">
        <v>0</v>
      </c>
      <c r="CX9" s="19">
        <v>0</v>
      </c>
      <c r="CY9" s="19">
        <v>0</v>
      </c>
      <c r="CZ9" s="19">
        <v>0</v>
      </c>
      <c r="DA9" s="19">
        <v>0</v>
      </c>
      <c r="DB9" s="19">
        <v>0</v>
      </c>
      <c r="DC9" s="19">
        <v>0</v>
      </c>
      <c r="DD9" s="19">
        <v>0</v>
      </c>
      <c r="DE9" s="19">
        <v>0</v>
      </c>
      <c r="DF9" s="19">
        <v>0</v>
      </c>
      <c r="DG9" s="19">
        <v>0</v>
      </c>
      <c r="DH9" s="19">
        <v>0</v>
      </c>
      <c r="DI9" s="19">
        <v>0</v>
      </c>
      <c r="DJ9" s="19">
        <v>0</v>
      </c>
      <c r="DK9" s="19">
        <v>25719</v>
      </c>
      <c r="DL9" s="19">
        <v>32529</v>
      </c>
      <c r="DM9" s="19">
        <v>31451</v>
      </c>
      <c r="DN9" s="19">
        <v>17277</v>
      </c>
      <c r="DO9" s="19">
        <v>0</v>
      </c>
      <c r="DP9" s="19">
        <v>0</v>
      </c>
      <c r="DQ9" s="19">
        <v>0</v>
      </c>
      <c r="DR9" s="19">
        <v>0</v>
      </c>
      <c r="DS9" s="19">
        <v>0</v>
      </c>
      <c r="DT9" s="19">
        <v>0</v>
      </c>
      <c r="DU9" s="19">
        <v>0</v>
      </c>
      <c r="DV9" s="19">
        <v>0</v>
      </c>
      <c r="DW9" s="19">
        <v>0</v>
      </c>
      <c r="DX9" s="19">
        <v>0</v>
      </c>
      <c r="DY9" s="19">
        <v>0</v>
      </c>
      <c r="DZ9" s="19">
        <v>32306</v>
      </c>
      <c r="EA9" s="19">
        <v>26619</v>
      </c>
      <c r="EB9" s="19">
        <v>33681</v>
      </c>
      <c r="EC9" s="19">
        <v>0</v>
      </c>
      <c r="ED9" s="19">
        <v>0</v>
      </c>
      <c r="EE9" s="19">
        <v>0</v>
      </c>
      <c r="EF9" s="19">
        <v>0</v>
      </c>
      <c r="EG9" s="19">
        <v>0</v>
      </c>
      <c r="EH9" s="19">
        <v>0</v>
      </c>
      <c r="EI9" s="19">
        <v>0</v>
      </c>
      <c r="EJ9" s="19">
        <v>0</v>
      </c>
      <c r="EK9" s="19">
        <v>0</v>
      </c>
      <c r="EL9" s="19">
        <v>0</v>
      </c>
      <c r="EM9" s="19">
        <v>0</v>
      </c>
      <c r="EN9" s="19">
        <v>0</v>
      </c>
      <c r="EO9" s="19">
        <v>0</v>
      </c>
      <c r="EP9" s="19">
        <v>0</v>
      </c>
      <c r="EQ9" s="19">
        <v>0</v>
      </c>
      <c r="ER9" s="19">
        <v>0</v>
      </c>
      <c r="ES9" s="19">
        <v>0</v>
      </c>
      <c r="ET9" s="19">
        <v>21069</v>
      </c>
      <c r="EU9" s="19">
        <v>26081</v>
      </c>
      <c r="EV9" s="19">
        <v>27999</v>
      </c>
      <c r="EW9" s="19">
        <v>28442</v>
      </c>
      <c r="EX9" s="19">
        <v>1936</v>
      </c>
      <c r="EY9" s="19">
        <v>0</v>
      </c>
      <c r="EZ9" s="19">
        <v>0</v>
      </c>
      <c r="FA9" s="19">
        <v>0</v>
      </c>
      <c r="FB9" s="19">
        <v>0</v>
      </c>
      <c r="FC9" s="19">
        <v>0</v>
      </c>
      <c r="FD9" s="19">
        <v>3600</v>
      </c>
      <c r="FE9" s="19">
        <v>29080</v>
      </c>
      <c r="FF9" s="19">
        <v>0</v>
      </c>
      <c r="FG9" s="130">
        <v>0</v>
      </c>
      <c r="FH9" s="130">
        <v>0</v>
      </c>
      <c r="FI9" s="130">
        <v>0</v>
      </c>
      <c r="FJ9" s="130">
        <v>0</v>
      </c>
      <c r="FK9" s="130">
        <v>0</v>
      </c>
      <c r="FL9" s="130">
        <v>0</v>
      </c>
      <c r="FM9" s="130">
        <v>0</v>
      </c>
      <c r="FN9" s="130">
        <v>0</v>
      </c>
      <c r="FO9" s="130">
        <v>0</v>
      </c>
      <c r="FP9" s="130">
        <v>0</v>
      </c>
      <c r="FQ9" s="130">
        <v>0</v>
      </c>
      <c r="FR9" s="130">
        <v>0</v>
      </c>
      <c r="FS9" s="130">
        <v>0</v>
      </c>
      <c r="FT9" s="130">
        <v>0</v>
      </c>
      <c r="FU9" s="130">
        <v>0</v>
      </c>
      <c r="FV9" s="130">
        <v>0</v>
      </c>
      <c r="FW9" s="130">
        <v>0</v>
      </c>
      <c r="FX9" s="130">
        <v>0</v>
      </c>
      <c r="FY9" s="130">
        <v>0</v>
      </c>
      <c r="FZ9" s="130">
        <v>0</v>
      </c>
      <c r="GA9" s="130">
        <v>0</v>
      </c>
      <c r="GB9" s="130">
        <v>0</v>
      </c>
      <c r="GC9" s="130">
        <v>0</v>
      </c>
      <c r="GD9" s="130">
        <v>0</v>
      </c>
      <c r="GE9" s="130">
        <v>0</v>
      </c>
      <c r="GF9" s="130">
        <v>0</v>
      </c>
      <c r="GG9" s="130">
        <v>0</v>
      </c>
      <c r="GH9" s="130">
        <v>0</v>
      </c>
      <c r="GI9" s="130">
        <v>0</v>
      </c>
      <c r="GJ9" s="130">
        <v>0</v>
      </c>
      <c r="GK9" s="130">
        <v>0</v>
      </c>
      <c r="GL9" s="130">
        <v>0</v>
      </c>
      <c r="GM9" s="130">
        <v>0</v>
      </c>
      <c r="GN9" s="130">
        <v>0</v>
      </c>
      <c r="GO9" s="130">
        <v>0</v>
      </c>
      <c r="GP9" s="130">
        <v>0</v>
      </c>
      <c r="GQ9" s="130">
        <v>0</v>
      </c>
      <c r="GR9" s="130">
        <v>0</v>
      </c>
      <c r="GS9" s="130">
        <v>0</v>
      </c>
      <c r="GT9" s="130">
        <v>0</v>
      </c>
      <c r="GU9" s="130">
        <v>0</v>
      </c>
      <c r="GV9" s="130">
        <v>0</v>
      </c>
      <c r="GW9" s="130">
        <v>0</v>
      </c>
      <c r="GX9" s="130">
        <v>0</v>
      </c>
      <c r="GY9" s="130">
        <v>0</v>
      </c>
      <c r="GZ9" s="130">
        <v>0</v>
      </c>
      <c r="HA9" s="130">
        <v>0</v>
      </c>
      <c r="HB9" s="130">
        <v>0</v>
      </c>
      <c r="HC9" s="19">
        <v>0</v>
      </c>
      <c r="HD9" s="19">
        <v>0</v>
      </c>
      <c r="HE9" s="19">
        <v>0</v>
      </c>
      <c r="HF9" s="19">
        <v>0</v>
      </c>
      <c r="HG9" s="19">
        <v>0</v>
      </c>
      <c r="HH9" s="19">
        <v>0</v>
      </c>
      <c r="HI9" s="19">
        <v>0</v>
      </c>
      <c r="HJ9" s="19">
        <v>0</v>
      </c>
      <c r="HK9" s="19">
        <v>0</v>
      </c>
      <c r="HL9" s="19">
        <v>0</v>
      </c>
      <c r="HM9" s="19">
        <v>0</v>
      </c>
      <c r="HN9" s="19">
        <v>0</v>
      </c>
      <c r="HO9" s="19">
        <v>0</v>
      </c>
      <c r="HP9" s="19">
        <v>0</v>
      </c>
      <c r="HQ9" s="19">
        <v>0</v>
      </c>
      <c r="HR9" s="19">
        <v>0</v>
      </c>
      <c r="HS9" s="19">
        <v>0</v>
      </c>
      <c r="HT9" s="19">
        <v>0</v>
      </c>
      <c r="HU9" s="19">
        <v>0</v>
      </c>
      <c r="HV9" s="19">
        <v>0</v>
      </c>
      <c r="HW9" s="19">
        <v>0</v>
      </c>
      <c r="HX9" s="19">
        <v>0</v>
      </c>
      <c r="HY9" s="19">
        <v>0</v>
      </c>
      <c r="HZ9" s="19">
        <v>0</v>
      </c>
      <c r="IA9" s="19">
        <v>0</v>
      </c>
      <c r="IB9" s="19">
        <v>0</v>
      </c>
      <c r="IC9" s="19">
        <v>0</v>
      </c>
      <c r="ID9" s="19">
        <v>0</v>
      </c>
      <c r="IE9" s="19">
        <v>0</v>
      </c>
      <c r="IF9" s="19">
        <v>0</v>
      </c>
      <c r="IG9" s="19">
        <v>0</v>
      </c>
      <c r="IH9" s="19">
        <v>0</v>
      </c>
      <c r="II9" s="19">
        <v>0</v>
      </c>
      <c r="IJ9" s="19">
        <v>0</v>
      </c>
      <c r="IK9" s="19">
        <v>0</v>
      </c>
      <c r="IL9" s="19">
        <v>0</v>
      </c>
      <c r="IM9" s="19">
        <v>0</v>
      </c>
      <c r="IN9" s="19">
        <v>0</v>
      </c>
      <c r="IO9" s="19">
        <v>0</v>
      </c>
      <c r="IP9" s="19">
        <v>0</v>
      </c>
      <c r="IQ9" s="19">
        <v>0</v>
      </c>
      <c r="IR9" s="19">
        <v>0</v>
      </c>
      <c r="IS9" s="19">
        <v>0</v>
      </c>
      <c r="IT9" s="19">
        <v>0</v>
      </c>
      <c r="IU9" s="19">
        <v>0</v>
      </c>
      <c r="IV9" s="19">
        <v>0</v>
      </c>
      <c r="IW9" s="19">
        <v>0</v>
      </c>
      <c r="IX9" s="19">
        <v>0</v>
      </c>
      <c r="IY9" s="19">
        <v>0</v>
      </c>
      <c r="IZ9" s="19">
        <v>0</v>
      </c>
      <c r="JA9" s="19">
        <v>0</v>
      </c>
      <c r="JB9" s="19">
        <v>0</v>
      </c>
      <c r="JC9" s="19">
        <v>0</v>
      </c>
      <c r="JD9" s="19">
        <v>0</v>
      </c>
      <c r="JE9" s="19">
        <v>0</v>
      </c>
      <c r="JF9" s="19">
        <v>0</v>
      </c>
      <c r="JG9" s="19">
        <v>0</v>
      </c>
      <c r="JH9" s="19">
        <v>0</v>
      </c>
      <c r="JI9" s="19">
        <v>0</v>
      </c>
      <c r="JJ9" s="19">
        <v>0</v>
      </c>
      <c r="JK9" s="19">
        <v>0</v>
      </c>
      <c r="JL9" s="19">
        <v>0</v>
      </c>
      <c r="JM9" s="19">
        <v>0</v>
      </c>
      <c r="JN9" s="19">
        <v>0</v>
      </c>
      <c r="JO9" s="19">
        <v>0</v>
      </c>
      <c r="JP9" s="19">
        <v>0</v>
      </c>
      <c r="JQ9" s="19">
        <v>0</v>
      </c>
      <c r="JR9" s="19">
        <v>0</v>
      </c>
      <c r="JS9" s="19">
        <v>0</v>
      </c>
      <c r="JT9" s="19">
        <v>0</v>
      </c>
      <c r="JU9" s="19">
        <v>0</v>
      </c>
      <c r="JV9" s="19">
        <v>0</v>
      </c>
      <c r="JW9" s="19">
        <v>0</v>
      </c>
      <c r="JX9" s="19">
        <v>0</v>
      </c>
      <c r="JY9" s="19">
        <v>0</v>
      </c>
      <c r="JZ9" s="19">
        <v>0</v>
      </c>
      <c r="KA9" s="19">
        <v>0</v>
      </c>
      <c r="KB9" s="19">
        <v>0</v>
      </c>
      <c r="KC9" s="19">
        <v>0</v>
      </c>
      <c r="KD9" s="19">
        <v>0</v>
      </c>
      <c r="KE9" s="19">
        <v>0</v>
      </c>
      <c r="KF9" s="19">
        <v>0</v>
      </c>
      <c r="KG9" s="19">
        <v>0</v>
      </c>
      <c r="KH9" s="19">
        <v>0</v>
      </c>
      <c r="KI9" s="19">
        <v>0</v>
      </c>
      <c r="KJ9" s="19">
        <v>0</v>
      </c>
      <c r="KK9" s="19">
        <v>0</v>
      </c>
      <c r="KL9" s="19">
        <v>0</v>
      </c>
      <c r="KM9" s="19">
        <v>0</v>
      </c>
      <c r="KN9" s="19">
        <v>0</v>
      </c>
      <c r="KO9" s="19">
        <v>0</v>
      </c>
      <c r="KP9" s="19">
        <v>0</v>
      </c>
      <c r="KQ9" s="19">
        <v>0</v>
      </c>
      <c r="KR9" s="19">
        <v>0</v>
      </c>
      <c r="KS9" s="19">
        <v>0</v>
      </c>
      <c r="KT9" s="19">
        <v>0</v>
      </c>
      <c r="KU9" s="19">
        <v>0</v>
      </c>
      <c r="KV9" s="19">
        <v>0</v>
      </c>
      <c r="KW9" s="19">
        <v>0</v>
      </c>
      <c r="KX9" s="19">
        <v>0</v>
      </c>
      <c r="KY9" s="19">
        <v>0</v>
      </c>
      <c r="KZ9" s="19">
        <v>0</v>
      </c>
      <c r="LA9" s="19">
        <v>0</v>
      </c>
      <c r="LB9" s="19">
        <v>0</v>
      </c>
      <c r="LC9" s="19">
        <v>0</v>
      </c>
      <c r="LD9" s="19">
        <v>0</v>
      </c>
      <c r="LE9" s="19">
        <v>0</v>
      </c>
      <c r="LF9" s="19">
        <v>0</v>
      </c>
      <c r="LG9" s="19">
        <v>0</v>
      </c>
      <c r="LH9" s="19">
        <v>0</v>
      </c>
      <c r="LI9" s="19">
        <v>0</v>
      </c>
      <c r="LJ9" s="19">
        <v>0</v>
      </c>
      <c r="LK9" s="19">
        <v>0</v>
      </c>
      <c r="LL9" s="19">
        <v>0</v>
      </c>
      <c r="LM9" s="19">
        <v>0</v>
      </c>
      <c r="LN9" s="19">
        <v>0</v>
      </c>
      <c r="LO9" s="19">
        <v>0</v>
      </c>
      <c r="LP9" s="19">
        <v>0</v>
      </c>
      <c r="LQ9" s="19">
        <v>0</v>
      </c>
      <c r="LR9" s="19">
        <v>0</v>
      </c>
      <c r="LS9" s="19">
        <v>0</v>
      </c>
      <c r="LT9" s="19">
        <v>0</v>
      </c>
      <c r="LU9" s="19">
        <v>0</v>
      </c>
      <c r="LV9" s="19">
        <v>0</v>
      </c>
      <c r="LW9" s="19">
        <v>0</v>
      </c>
      <c r="LX9" s="19">
        <v>0</v>
      </c>
      <c r="LY9" s="19">
        <v>0</v>
      </c>
      <c r="LZ9" s="19">
        <v>0</v>
      </c>
      <c r="MA9" s="19">
        <v>0</v>
      </c>
      <c r="MB9" s="19">
        <v>0</v>
      </c>
      <c r="MC9" s="19">
        <v>0</v>
      </c>
      <c r="MD9" s="19">
        <v>0</v>
      </c>
      <c r="ME9" s="19">
        <v>0</v>
      </c>
      <c r="MF9" s="19">
        <v>0</v>
      </c>
      <c r="MG9" s="19">
        <v>0</v>
      </c>
      <c r="MH9" s="19">
        <v>0</v>
      </c>
      <c r="MI9" s="19">
        <v>0</v>
      </c>
      <c r="MJ9" s="19">
        <v>0</v>
      </c>
      <c r="MK9" s="19">
        <v>0</v>
      </c>
      <c r="ML9" s="19">
        <v>0</v>
      </c>
      <c r="MM9" s="19">
        <v>0</v>
      </c>
      <c r="MN9" s="19">
        <v>0</v>
      </c>
      <c r="MO9" s="19">
        <v>0</v>
      </c>
      <c r="MP9" s="19">
        <v>0</v>
      </c>
      <c r="MQ9" s="19">
        <v>0</v>
      </c>
      <c r="MR9" s="19">
        <v>0</v>
      </c>
      <c r="MS9" s="19">
        <v>0</v>
      </c>
      <c r="MT9" s="19">
        <v>0</v>
      </c>
      <c r="MU9" s="19">
        <v>0</v>
      </c>
      <c r="MV9" s="19">
        <v>0</v>
      </c>
      <c r="MW9" s="19">
        <v>0</v>
      </c>
      <c r="MX9" s="19">
        <v>0</v>
      </c>
      <c r="MY9" s="19">
        <v>0</v>
      </c>
      <c r="MZ9" s="19">
        <v>0</v>
      </c>
      <c r="NA9" s="19">
        <v>0</v>
      </c>
      <c r="NB9" s="19">
        <v>0</v>
      </c>
      <c r="NC9" s="19">
        <v>0</v>
      </c>
      <c r="ND9" s="19">
        <v>0</v>
      </c>
      <c r="NE9" s="19">
        <v>0</v>
      </c>
      <c r="NF9" s="19">
        <v>0</v>
      </c>
      <c r="NG9" s="19">
        <v>0</v>
      </c>
      <c r="NH9" s="19">
        <v>0</v>
      </c>
      <c r="NI9" s="19">
        <v>0</v>
      </c>
      <c r="NJ9" s="19">
        <v>0</v>
      </c>
      <c r="NK9" s="19">
        <v>0</v>
      </c>
      <c r="NL9" s="19">
        <v>0</v>
      </c>
      <c r="NM9" s="19">
        <v>0</v>
      </c>
      <c r="NN9" s="19">
        <v>0</v>
      </c>
      <c r="NO9" s="19">
        <v>0</v>
      </c>
      <c r="NP9" s="19">
        <v>0</v>
      </c>
      <c r="NQ9" s="19">
        <v>0</v>
      </c>
      <c r="NR9" s="19">
        <v>0</v>
      </c>
      <c r="NS9" s="19">
        <v>0</v>
      </c>
      <c r="NT9" s="19">
        <v>0</v>
      </c>
      <c r="NU9" s="19">
        <v>0</v>
      </c>
      <c r="NV9" s="19">
        <v>0</v>
      </c>
      <c r="NW9" s="19">
        <v>0</v>
      </c>
      <c r="NX9" s="19">
        <v>0</v>
      </c>
      <c r="NY9" s="19">
        <v>0</v>
      </c>
      <c r="NZ9" s="19">
        <v>0</v>
      </c>
      <c r="OA9" s="19">
        <v>0</v>
      </c>
      <c r="OB9" s="19">
        <v>0</v>
      </c>
      <c r="OC9" s="19">
        <v>0</v>
      </c>
      <c r="OD9" s="19">
        <v>0</v>
      </c>
      <c r="OE9" s="19">
        <v>0</v>
      </c>
      <c r="OF9" s="19">
        <v>0</v>
      </c>
      <c r="OG9" s="19">
        <v>0</v>
      </c>
      <c r="OH9" s="19">
        <v>0</v>
      </c>
      <c r="OI9" s="19">
        <v>0</v>
      </c>
      <c r="OJ9" s="19">
        <v>0</v>
      </c>
      <c r="OK9" s="19">
        <v>0</v>
      </c>
      <c r="OL9" s="19">
        <v>0</v>
      </c>
      <c r="OM9" s="19">
        <v>0</v>
      </c>
      <c r="ON9" s="19">
        <v>0</v>
      </c>
      <c r="OO9" s="19">
        <v>0</v>
      </c>
      <c r="OP9" s="19">
        <v>0</v>
      </c>
      <c r="OQ9" s="19">
        <v>0</v>
      </c>
      <c r="OR9" s="19">
        <v>0</v>
      </c>
      <c r="OS9" s="19">
        <v>0</v>
      </c>
      <c r="OT9" s="19">
        <v>0</v>
      </c>
      <c r="OU9" s="19">
        <v>0</v>
      </c>
      <c r="OV9" s="19">
        <v>0</v>
      </c>
      <c r="OW9" s="19">
        <v>0</v>
      </c>
      <c r="OX9" s="19">
        <v>0</v>
      </c>
      <c r="OY9" s="19">
        <v>0</v>
      </c>
      <c r="OZ9" s="19">
        <v>0</v>
      </c>
      <c r="PA9" s="19">
        <v>0</v>
      </c>
      <c r="PB9" s="19">
        <v>0</v>
      </c>
      <c r="PC9" s="19">
        <v>0</v>
      </c>
      <c r="PD9" s="19">
        <v>0</v>
      </c>
      <c r="PE9" s="19">
        <v>0</v>
      </c>
      <c r="PF9" s="19">
        <v>0</v>
      </c>
      <c r="PG9" s="19">
        <v>0</v>
      </c>
      <c r="PH9" s="19">
        <v>0</v>
      </c>
      <c r="PI9" s="19">
        <v>0</v>
      </c>
      <c r="PJ9" s="19">
        <v>0</v>
      </c>
      <c r="PK9" s="19">
        <v>0</v>
      </c>
      <c r="PL9" s="19">
        <v>0</v>
      </c>
      <c r="PM9" s="19">
        <v>0</v>
      </c>
      <c r="PN9" s="19">
        <v>0</v>
      </c>
      <c r="PO9" s="19">
        <v>0</v>
      </c>
      <c r="PP9" s="19">
        <v>0</v>
      </c>
      <c r="PQ9" s="19">
        <v>0</v>
      </c>
      <c r="PR9" s="19">
        <v>0</v>
      </c>
      <c r="PS9" s="19">
        <v>0</v>
      </c>
      <c r="PT9" s="19">
        <v>0</v>
      </c>
      <c r="PU9" s="19">
        <v>0</v>
      </c>
      <c r="PV9" s="19">
        <v>0</v>
      </c>
      <c r="PW9" s="19">
        <v>0</v>
      </c>
      <c r="PX9" s="19">
        <v>0</v>
      </c>
      <c r="PY9" s="19">
        <v>0</v>
      </c>
      <c r="PZ9" s="19">
        <v>0</v>
      </c>
      <c r="QA9" s="19">
        <v>0</v>
      </c>
      <c r="QB9" s="19">
        <v>0</v>
      </c>
      <c r="QC9" s="19">
        <v>0</v>
      </c>
      <c r="QD9" s="19">
        <v>0</v>
      </c>
      <c r="QE9" s="19">
        <v>0</v>
      </c>
      <c r="QF9" s="19">
        <v>0</v>
      </c>
      <c r="QG9" s="19">
        <v>0</v>
      </c>
      <c r="QH9" s="19">
        <v>0</v>
      </c>
      <c r="QI9" s="19">
        <v>0</v>
      </c>
      <c r="QJ9" s="19">
        <v>0</v>
      </c>
      <c r="QK9" s="19">
        <v>0</v>
      </c>
      <c r="QL9" s="19">
        <v>0</v>
      </c>
      <c r="QM9" s="19">
        <v>0</v>
      </c>
      <c r="QN9" s="19">
        <v>0</v>
      </c>
      <c r="QO9" s="19">
        <v>0</v>
      </c>
      <c r="QP9" s="19">
        <v>0</v>
      </c>
      <c r="QQ9" s="19">
        <v>0</v>
      </c>
      <c r="QR9" s="19">
        <v>0</v>
      </c>
      <c r="QS9" s="19">
        <v>0</v>
      </c>
      <c r="QT9" s="19">
        <v>0</v>
      </c>
      <c r="QU9" s="19">
        <v>0</v>
      </c>
      <c r="QV9" s="19">
        <v>0</v>
      </c>
      <c r="QW9" s="19">
        <v>0</v>
      </c>
      <c r="QX9" s="19">
        <v>0</v>
      </c>
      <c r="QY9" s="19">
        <v>0</v>
      </c>
      <c r="QZ9" s="19">
        <v>0</v>
      </c>
      <c r="RA9" s="19">
        <v>0</v>
      </c>
      <c r="RB9" s="19">
        <v>0</v>
      </c>
      <c r="RC9" s="19">
        <v>0</v>
      </c>
      <c r="RD9" s="19">
        <v>0</v>
      </c>
      <c r="RE9" s="19">
        <v>0</v>
      </c>
      <c r="RF9" s="19">
        <v>0</v>
      </c>
      <c r="RG9" s="19">
        <v>0</v>
      </c>
      <c r="RH9" s="19">
        <v>0</v>
      </c>
      <c r="RI9" s="19">
        <v>0</v>
      </c>
      <c r="RJ9" s="19">
        <v>0</v>
      </c>
      <c r="RK9" s="19">
        <v>0</v>
      </c>
      <c r="RL9" s="19">
        <v>0</v>
      </c>
      <c r="RM9" s="19">
        <v>0</v>
      </c>
      <c r="RN9" s="19">
        <v>0</v>
      </c>
      <c r="RO9" s="19">
        <v>0</v>
      </c>
      <c r="RP9" s="19">
        <v>0</v>
      </c>
      <c r="RQ9" s="19">
        <v>0</v>
      </c>
      <c r="RR9" s="19">
        <v>0</v>
      </c>
      <c r="RS9" s="19">
        <v>0</v>
      </c>
      <c r="RT9" s="19">
        <v>0</v>
      </c>
      <c r="RU9" s="19">
        <v>0</v>
      </c>
      <c r="RV9" s="19">
        <v>0</v>
      </c>
      <c r="RW9" s="19">
        <v>0</v>
      </c>
      <c r="RX9" s="19">
        <v>0</v>
      </c>
      <c r="RY9" s="19">
        <v>0</v>
      </c>
      <c r="RZ9" s="19">
        <v>0</v>
      </c>
      <c r="SA9" s="19">
        <v>0</v>
      </c>
      <c r="SB9" s="19">
        <v>0</v>
      </c>
      <c r="SC9" s="19">
        <v>0</v>
      </c>
      <c r="SD9" s="19">
        <v>0</v>
      </c>
      <c r="SE9" s="19">
        <v>0</v>
      </c>
      <c r="SF9" s="19">
        <v>0</v>
      </c>
      <c r="SG9" s="19">
        <v>0</v>
      </c>
      <c r="SH9" s="19">
        <v>0</v>
      </c>
      <c r="SI9" s="19">
        <v>0</v>
      </c>
      <c r="SJ9" s="19">
        <v>0</v>
      </c>
      <c r="SK9" s="19">
        <v>0</v>
      </c>
      <c r="SL9" s="19">
        <v>0</v>
      </c>
      <c r="SM9" s="19">
        <v>0</v>
      </c>
      <c r="SN9" s="19">
        <v>0</v>
      </c>
      <c r="SO9" s="19">
        <v>0</v>
      </c>
      <c r="SP9" s="19">
        <v>0</v>
      </c>
      <c r="SQ9" s="19">
        <v>0</v>
      </c>
      <c r="SR9" s="19">
        <v>0</v>
      </c>
      <c r="SS9" s="19">
        <v>0</v>
      </c>
      <c r="ST9" s="19">
        <v>0</v>
      </c>
      <c r="SU9" s="19">
        <v>0</v>
      </c>
      <c r="SV9" s="19">
        <v>0</v>
      </c>
      <c r="SW9" s="19">
        <v>0</v>
      </c>
      <c r="SX9" s="19">
        <v>0</v>
      </c>
      <c r="SY9" s="19">
        <v>0</v>
      </c>
      <c r="SZ9" s="19">
        <v>0</v>
      </c>
      <c r="TA9" s="19">
        <v>0</v>
      </c>
      <c r="TB9" s="19">
        <v>0</v>
      </c>
      <c r="TC9" s="19">
        <v>0</v>
      </c>
      <c r="TD9" s="19">
        <v>0</v>
      </c>
      <c r="TE9" s="19">
        <v>0</v>
      </c>
      <c r="TF9" s="19">
        <v>0</v>
      </c>
      <c r="TG9" s="19">
        <v>0</v>
      </c>
      <c r="TH9" s="19">
        <v>0</v>
      </c>
      <c r="TI9" s="19">
        <v>0</v>
      </c>
      <c r="TJ9" s="19">
        <v>0</v>
      </c>
      <c r="TK9" s="19">
        <v>0</v>
      </c>
      <c r="TL9" s="19">
        <v>0</v>
      </c>
      <c r="TM9" s="19">
        <v>0</v>
      </c>
      <c r="TN9" s="19">
        <v>0</v>
      </c>
      <c r="TO9" s="19">
        <v>0</v>
      </c>
      <c r="TP9" s="19">
        <v>0</v>
      </c>
      <c r="TQ9" s="19">
        <v>0</v>
      </c>
      <c r="TR9" s="19">
        <v>0</v>
      </c>
      <c r="TS9" s="19">
        <v>0</v>
      </c>
      <c r="TT9" s="19">
        <v>0</v>
      </c>
      <c r="TU9" s="19">
        <v>0</v>
      </c>
      <c r="TV9" s="19">
        <v>0</v>
      </c>
      <c r="TW9" s="19">
        <v>0</v>
      </c>
      <c r="TX9" s="19">
        <v>0</v>
      </c>
      <c r="TY9" s="19">
        <v>0</v>
      </c>
      <c r="TZ9" s="19">
        <v>0</v>
      </c>
      <c r="UA9" s="19">
        <v>0</v>
      </c>
      <c r="UB9" s="19">
        <v>0</v>
      </c>
      <c r="UC9" s="19">
        <v>0</v>
      </c>
      <c r="UD9" s="19">
        <v>0</v>
      </c>
      <c r="UE9" s="19">
        <v>0</v>
      </c>
      <c r="UF9" s="19">
        <v>0</v>
      </c>
      <c r="UG9" s="19">
        <v>0</v>
      </c>
      <c r="UH9" s="19">
        <v>0</v>
      </c>
      <c r="UI9" s="19">
        <v>0</v>
      </c>
      <c r="UJ9" s="19">
        <v>0</v>
      </c>
      <c r="UK9" s="19">
        <v>0</v>
      </c>
      <c r="UL9" s="19">
        <v>0</v>
      </c>
      <c r="UM9" s="19">
        <v>0</v>
      </c>
      <c r="UN9" s="19">
        <v>0</v>
      </c>
      <c r="UO9" s="19">
        <v>0</v>
      </c>
      <c r="UP9" s="19">
        <v>0</v>
      </c>
      <c r="UQ9" s="19">
        <v>0</v>
      </c>
      <c r="UR9" s="19">
        <v>0</v>
      </c>
      <c r="US9" s="19">
        <v>0</v>
      </c>
      <c r="UT9" s="19">
        <v>0</v>
      </c>
      <c r="UU9" s="19">
        <v>0</v>
      </c>
      <c r="UV9" s="19">
        <v>0</v>
      </c>
      <c r="UW9" s="19">
        <v>0</v>
      </c>
      <c r="UX9" s="19">
        <v>0</v>
      </c>
      <c r="UY9" s="19">
        <v>0</v>
      </c>
      <c r="UZ9" s="19">
        <v>0</v>
      </c>
      <c r="VA9" s="19">
        <v>0</v>
      </c>
      <c r="VB9" s="19">
        <v>0</v>
      </c>
      <c r="VC9" s="19">
        <v>0</v>
      </c>
      <c r="VD9" s="19">
        <v>0</v>
      </c>
      <c r="VE9" s="19">
        <v>0</v>
      </c>
      <c r="VF9" s="19">
        <v>0</v>
      </c>
      <c r="VG9" s="19">
        <v>0</v>
      </c>
      <c r="VH9" s="19">
        <v>0</v>
      </c>
      <c r="VI9" s="19">
        <v>0</v>
      </c>
      <c r="VJ9" s="19">
        <v>0</v>
      </c>
      <c r="VK9" s="19">
        <v>0</v>
      </c>
      <c r="VL9" s="19">
        <v>0</v>
      </c>
      <c r="VM9" s="19">
        <v>0</v>
      </c>
      <c r="VN9" s="19">
        <v>0</v>
      </c>
      <c r="VO9" s="19">
        <v>0</v>
      </c>
      <c r="VP9" s="19">
        <v>0</v>
      </c>
      <c r="VQ9" s="19">
        <v>0</v>
      </c>
      <c r="VR9" s="19">
        <v>0</v>
      </c>
      <c r="VS9" s="19">
        <v>0</v>
      </c>
      <c r="VT9" s="19">
        <v>0</v>
      </c>
      <c r="VU9" s="19">
        <v>0</v>
      </c>
      <c r="VV9" s="19">
        <v>0</v>
      </c>
      <c r="VW9" s="19">
        <v>0</v>
      </c>
      <c r="VX9" s="19">
        <v>0</v>
      </c>
      <c r="VY9" s="19">
        <v>0</v>
      </c>
      <c r="VZ9" s="19">
        <v>0</v>
      </c>
      <c r="WA9" s="19">
        <v>0</v>
      </c>
      <c r="WB9" s="19">
        <v>0</v>
      </c>
      <c r="WC9" s="19">
        <v>0</v>
      </c>
      <c r="WD9" s="19">
        <v>0</v>
      </c>
      <c r="WE9" s="19">
        <v>0</v>
      </c>
      <c r="WF9" s="19">
        <v>0</v>
      </c>
      <c r="WG9" s="19">
        <v>0</v>
      </c>
      <c r="WH9" s="19">
        <v>0</v>
      </c>
      <c r="WI9" s="19">
        <v>0</v>
      </c>
      <c r="WJ9" s="19">
        <v>0</v>
      </c>
      <c r="WK9" s="19">
        <v>0</v>
      </c>
      <c r="WL9" s="19">
        <v>0</v>
      </c>
      <c r="WM9" s="19">
        <v>0</v>
      </c>
      <c r="WN9" s="19">
        <v>0</v>
      </c>
      <c r="WO9" s="19">
        <v>0</v>
      </c>
      <c r="WP9" s="19">
        <v>0</v>
      </c>
      <c r="WQ9" s="19">
        <v>0</v>
      </c>
      <c r="WR9" s="19">
        <v>0</v>
      </c>
      <c r="WS9" s="19">
        <v>0</v>
      </c>
      <c r="WT9" s="19">
        <v>0</v>
      </c>
      <c r="WU9" s="19">
        <v>0</v>
      </c>
      <c r="WV9" s="19">
        <v>0</v>
      </c>
      <c r="WW9" s="19">
        <v>0</v>
      </c>
      <c r="WX9" s="19">
        <v>0</v>
      </c>
      <c r="WY9" s="19">
        <v>0</v>
      </c>
      <c r="WZ9" s="19">
        <v>0</v>
      </c>
      <c r="XA9" s="19">
        <v>0</v>
      </c>
      <c r="XB9" s="19">
        <v>0</v>
      </c>
      <c r="XC9" s="19">
        <v>0</v>
      </c>
      <c r="XD9" s="19">
        <v>0</v>
      </c>
      <c r="XE9" s="19">
        <v>0</v>
      </c>
      <c r="XF9" s="19">
        <v>0</v>
      </c>
      <c r="XG9" s="19">
        <v>0</v>
      </c>
      <c r="XH9" s="19">
        <v>0</v>
      </c>
      <c r="XI9" s="19">
        <v>0</v>
      </c>
      <c r="XJ9" s="19">
        <v>0</v>
      </c>
      <c r="XK9" s="19">
        <v>0</v>
      </c>
      <c r="XL9" s="19">
        <v>0</v>
      </c>
      <c r="XM9" s="19">
        <v>0</v>
      </c>
      <c r="XN9" s="19">
        <v>0</v>
      </c>
      <c r="XO9" s="19">
        <v>0</v>
      </c>
      <c r="XP9" s="19">
        <v>0</v>
      </c>
      <c r="XQ9" s="19">
        <v>0</v>
      </c>
      <c r="XR9" s="19">
        <v>0</v>
      </c>
      <c r="XS9" s="19">
        <v>0</v>
      </c>
      <c r="XT9" s="19">
        <v>0</v>
      </c>
      <c r="XU9" s="19">
        <v>0</v>
      </c>
      <c r="XV9" s="19">
        <v>0</v>
      </c>
      <c r="XW9" s="19">
        <v>0</v>
      </c>
      <c r="XX9" s="19">
        <v>0</v>
      </c>
      <c r="XY9" s="19">
        <v>0</v>
      </c>
      <c r="XZ9" s="19">
        <v>0</v>
      </c>
      <c r="YA9" s="19">
        <v>0</v>
      </c>
      <c r="YB9" s="19">
        <v>0</v>
      </c>
      <c r="YC9" s="19">
        <v>0</v>
      </c>
      <c r="YD9" s="19">
        <v>0</v>
      </c>
      <c r="YE9" s="19">
        <v>0</v>
      </c>
      <c r="YF9" s="19">
        <v>0</v>
      </c>
      <c r="YG9" s="19">
        <v>0</v>
      </c>
      <c r="YH9" s="19">
        <v>0</v>
      </c>
      <c r="YI9" s="19">
        <v>0</v>
      </c>
      <c r="YJ9" s="19">
        <v>0</v>
      </c>
      <c r="YK9" s="19">
        <v>0</v>
      </c>
      <c r="YL9" s="19">
        <v>0</v>
      </c>
      <c r="YM9" s="19">
        <v>0</v>
      </c>
      <c r="YN9" s="19">
        <v>0</v>
      </c>
      <c r="YO9" s="19">
        <v>0</v>
      </c>
      <c r="YP9" s="19">
        <v>0</v>
      </c>
      <c r="YQ9" s="19">
        <v>0</v>
      </c>
      <c r="YR9" s="19">
        <v>0</v>
      </c>
      <c r="YS9" s="19">
        <v>0</v>
      </c>
      <c r="YT9" s="19">
        <v>0</v>
      </c>
      <c r="YU9" s="19">
        <v>0</v>
      </c>
      <c r="YV9" s="19">
        <v>0</v>
      </c>
      <c r="YW9" s="19">
        <v>0</v>
      </c>
      <c r="YX9" s="19">
        <v>0</v>
      </c>
      <c r="YY9" s="19">
        <v>0</v>
      </c>
      <c r="YZ9" s="19">
        <v>0</v>
      </c>
      <c r="ZA9" s="19">
        <v>0</v>
      </c>
      <c r="ZB9" s="19">
        <v>0</v>
      </c>
      <c r="ZC9" s="19">
        <v>0</v>
      </c>
      <c r="ZD9" s="19">
        <v>0</v>
      </c>
      <c r="ZE9" s="19">
        <v>0</v>
      </c>
      <c r="ZF9" s="19">
        <v>0</v>
      </c>
      <c r="ZG9" s="19">
        <v>0</v>
      </c>
      <c r="ZH9" s="19">
        <v>0</v>
      </c>
      <c r="ZI9" s="19">
        <v>0</v>
      </c>
      <c r="ZJ9" s="19">
        <v>0</v>
      </c>
      <c r="ZK9" s="19">
        <v>0</v>
      </c>
      <c r="ZL9" s="19">
        <v>0</v>
      </c>
      <c r="ZM9" s="19">
        <v>0</v>
      </c>
      <c r="ZN9" s="19">
        <v>0</v>
      </c>
      <c r="ZO9" s="19">
        <v>0</v>
      </c>
      <c r="ZP9" s="19">
        <v>0</v>
      </c>
      <c r="ZQ9" s="19">
        <v>0</v>
      </c>
      <c r="ZR9" s="19">
        <v>0</v>
      </c>
      <c r="ZS9" s="19">
        <v>0</v>
      </c>
      <c r="ZT9" s="19">
        <v>0</v>
      </c>
      <c r="ZU9" s="19">
        <v>0</v>
      </c>
      <c r="ZV9" s="19">
        <v>0</v>
      </c>
      <c r="ZW9" s="19">
        <v>0</v>
      </c>
      <c r="ZX9" s="19">
        <v>0</v>
      </c>
      <c r="ZY9" s="19">
        <v>0</v>
      </c>
      <c r="ZZ9" s="19">
        <v>0</v>
      </c>
      <c r="AAA9" s="19">
        <v>0</v>
      </c>
      <c r="AAB9" s="19">
        <v>0</v>
      </c>
      <c r="AAC9" s="19">
        <v>0</v>
      </c>
      <c r="AAD9" s="19">
        <v>0</v>
      </c>
      <c r="AAE9" s="19">
        <v>0</v>
      </c>
      <c r="AAF9" s="19">
        <v>0</v>
      </c>
      <c r="AAG9" s="19">
        <v>0</v>
      </c>
      <c r="AAH9" s="19">
        <v>0</v>
      </c>
      <c r="AAI9" s="19">
        <v>0</v>
      </c>
      <c r="AAJ9" s="19">
        <v>0</v>
      </c>
      <c r="AAK9" s="19">
        <v>0</v>
      </c>
      <c r="AAL9" s="19">
        <v>0</v>
      </c>
      <c r="AAM9" s="19">
        <v>0</v>
      </c>
      <c r="AAN9" s="19">
        <v>0</v>
      </c>
      <c r="AAO9" s="19">
        <v>0</v>
      </c>
      <c r="AAP9" s="19">
        <v>0</v>
      </c>
      <c r="AAQ9" s="19">
        <v>0</v>
      </c>
      <c r="AAR9" s="19">
        <v>0</v>
      </c>
      <c r="AAS9" s="19">
        <v>0</v>
      </c>
      <c r="AAT9" s="19">
        <v>0</v>
      </c>
      <c r="AAU9" s="19">
        <v>0</v>
      </c>
      <c r="AAV9" s="19">
        <v>0</v>
      </c>
      <c r="AAW9" s="19">
        <v>0</v>
      </c>
      <c r="AAX9" s="19">
        <v>0</v>
      </c>
      <c r="AAY9" s="19">
        <v>0</v>
      </c>
      <c r="AAZ9" s="19">
        <v>0</v>
      </c>
      <c r="ABA9" s="19">
        <v>0</v>
      </c>
      <c r="ABB9" s="19">
        <v>0</v>
      </c>
      <c r="ABC9" s="19">
        <v>0</v>
      </c>
      <c r="ABD9" s="19">
        <v>0</v>
      </c>
      <c r="ABE9" s="19">
        <v>0</v>
      </c>
      <c r="ABF9" s="19">
        <v>0</v>
      </c>
      <c r="ABG9" s="19">
        <v>0</v>
      </c>
      <c r="ABH9" s="19">
        <v>0</v>
      </c>
      <c r="ABI9" s="19">
        <v>0</v>
      </c>
      <c r="ABJ9" s="19">
        <v>0</v>
      </c>
      <c r="ABK9" s="19">
        <v>0</v>
      </c>
      <c r="ABL9" s="19">
        <v>0</v>
      </c>
      <c r="ABM9" s="19">
        <v>0</v>
      </c>
      <c r="ABN9" s="19">
        <v>0</v>
      </c>
      <c r="ABO9" s="19">
        <v>0</v>
      </c>
      <c r="ABP9" s="19">
        <v>0</v>
      </c>
      <c r="ABQ9" s="19">
        <v>0</v>
      </c>
      <c r="ABR9" s="19">
        <v>0</v>
      </c>
      <c r="ABS9" s="19">
        <v>0</v>
      </c>
      <c r="ABT9" s="19">
        <v>0</v>
      </c>
      <c r="ABU9" s="19">
        <v>0</v>
      </c>
      <c r="ABV9" s="19">
        <v>0</v>
      </c>
      <c r="ABW9" s="19">
        <v>0</v>
      </c>
      <c r="ABX9" s="19">
        <v>0</v>
      </c>
      <c r="ABY9" s="19">
        <v>0</v>
      </c>
      <c r="ABZ9" s="19">
        <v>0</v>
      </c>
      <c r="ACA9" s="19">
        <v>0</v>
      </c>
      <c r="ACB9" s="19">
        <v>0</v>
      </c>
      <c r="ACC9" s="19">
        <v>0</v>
      </c>
      <c r="ACD9" s="19">
        <v>0</v>
      </c>
      <c r="ACE9" s="19">
        <v>0</v>
      </c>
      <c r="ACF9" s="19">
        <v>0</v>
      </c>
      <c r="ACG9" s="19">
        <v>0</v>
      </c>
      <c r="ACH9" s="19">
        <v>0</v>
      </c>
      <c r="ACI9" s="19">
        <v>0</v>
      </c>
      <c r="ACJ9" s="1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 s="31">
        <v>0</v>
      </c>
      <c r="ACS9" s="19">
        <v>0</v>
      </c>
      <c r="ACT9" s="19">
        <v>0</v>
      </c>
      <c r="ACU9" s="19">
        <v>0</v>
      </c>
      <c r="ACV9" s="19">
        <v>0</v>
      </c>
      <c r="ACW9" s="19">
        <v>0</v>
      </c>
      <c r="ACX9" s="19">
        <v>0</v>
      </c>
      <c r="ACY9" s="19">
        <v>0</v>
      </c>
      <c r="ACZ9" s="19">
        <v>0</v>
      </c>
      <c r="ADA9" s="19">
        <v>0</v>
      </c>
      <c r="ADB9" s="19">
        <v>0</v>
      </c>
      <c r="ADC9" s="19">
        <v>0</v>
      </c>
      <c r="ADD9" s="31">
        <v>0</v>
      </c>
      <c r="ADE9" s="19">
        <v>0</v>
      </c>
      <c r="ADF9" s="19">
        <v>0</v>
      </c>
      <c r="ADG9" s="19">
        <v>0</v>
      </c>
      <c r="ADH9" s="19">
        <v>0</v>
      </c>
      <c r="ADI9" s="19">
        <v>0</v>
      </c>
      <c r="ADJ9" s="19">
        <v>0</v>
      </c>
      <c r="ADK9" s="31">
        <v>0</v>
      </c>
      <c r="ADL9" s="19">
        <v>0</v>
      </c>
      <c r="ADM9" s="19">
        <v>0</v>
      </c>
      <c r="ADN9" s="19">
        <v>0</v>
      </c>
      <c r="ADO9" s="19">
        <v>0</v>
      </c>
      <c r="ADP9" s="19">
        <v>0</v>
      </c>
      <c r="ADQ9" s="19">
        <v>0</v>
      </c>
      <c r="ADR9" s="19">
        <v>0</v>
      </c>
      <c r="ADS9" s="19">
        <v>0</v>
      </c>
      <c r="ADT9" s="31">
        <v>0</v>
      </c>
      <c r="ADU9" s="19">
        <v>0</v>
      </c>
      <c r="ADV9" s="19">
        <v>0</v>
      </c>
      <c r="ADW9" s="19">
        <v>0</v>
      </c>
      <c r="ADX9">
        <v>0</v>
      </c>
      <c r="ADY9">
        <v>0</v>
      </c>
      <c r="ADZ9" s="1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 s="31">
        <v>0</v>
      </c>
      <c r="AEI9" s="19">
        <v>0</v>
      </c>
      <c r="AEJ9" s="19">
        <v>0</v>
      </c>
      <c r="AEK9" s="19">
        <v>0</v>
      </c>
      <c r="AEL9" s="19">
        <v>0</v>
      </c>
      <c r="AEM9" s="19">
        <v>0</v>
      </c>
      <c r="AEN9" s="19">
        <v>0</v>
      </c>
      <c r="AEO9" s="31">
        <v>0</v>
      </c>
      <c r="AEP9" s="19">
        <v>0</v>
      </c>
      <c r="AEQ9" s="19">
        <v>0</v>
      </c>
      <c r="AER9" s="19">
        <v>0</v>
      </c>
      <c r="AES9" s="19">
        <v>0</v>
      </c>
      <c r="AET9" s="19">
        <v>0</v>
      </c>
      <c r="AEU9" s="19">
        <v>0</v>
      </c>
      <c r="AEV9" s="19">
        <v>0</v>
      </c>
      <c r="AEW9" s="19">
        <v>0</v>
      </c>
      <c r="AEX9" s="19">
        <v>0</v>
      </c>
      <c r="AEY9" s="19">
        <v>0</v>
      </c>
      <c r="AEZ9" s="19">
        <v>0</v>
      </c>
      <c r="AFA9" s="19">
        <v>0</v>
      </c>
      <c r="AFB9" s="19">
        <v>0</v>
      </c>
      <c r="AFC9" s="19">
        <v>0</v>
      </c>
      <c r="AFD9" s="19">
        <v>0</v>
      </c>
      <c r="AFE9" s="19">
        <v>0</v>
      </c>
      <c r="AFF9" s="19">
        <v>0</v>
      </c>
      <c r="AFG9" s="19">
        <v>0</v>
      </c>
      <c r="AFH9" s="19">
        <v>0</v>
      </c>
      <c r="AFI9" s="19">
        <v>0</v>
      </c>
      <c r="AFJ9" s="31">
        <v>0</v>
      </c>
      <c r="AFK9" s="19">
        <v>0</v>
      </c>
      <c r="AFL9" s="19">
        <v>0</v>
      </c>
      <c r="AFM9" s="19">
        <v>0</v>
      </c>
      <c r="AFN9" s="19">
        <v>0</v>
      </c>
      <c r="AFO9" s="19">
        <v>0</v>
      </c>
      <c r="AFP9" s="19">
        <v>0</v>
      </c>
      <c r="AFQ9" s="31">
        <v>0</v>
      </c>
      <c r="AFR9" s="19">
        <v>0</v>
      </c>
      <c r="AFS9" s="19">
        <v>0</v>
      </c>
      <c r="AFT9" s="19">
        <v>0</v>
      </c>
      <c r="AFU9" s="19">
        <v>0</v>
      </c>
      <c r="AFV9" s="19">
        <v>0</v>
      </c>
      <c r="AFW9" s="19">
        <v>0</v>
      </c>
      <c r="AFX9" s="31">
        <v>0</v>
      </c>
      <c r="AFY9" s="19">
        <v>0</v>
      </c>
      <c r="AFZ9" s="19">
        <v>0</v>
      </c>
      <c r="AGA9" s="19">
        <v>0</v>
      </c>
      <c r="AGB9" s="19">
        <v>0</v>
      </c>
      <c r="AGC9" s="19">
        <v>0</v>
      </c>
      <c r="AGD9" s="19">
        <v>0</v>
      </c>
      <c r="AGE9" s="19">
        <v>0</v>
      </c>
      <c r="AGF9" s="19">
        <v>0</v>
      </c>
      <c r="AGG9" s="19">
        <v>0</v>
      </c>
      <c r="AGH9" s="19">
        <v>0</v>
      </c>
      <c r="AGI9" s="19">
        <v>0</v>
      </c>
      <c r="AGJ9" s="19">
        <v>0</v>
      </c>
      <c r="AGK9" s="31">
        <v>0</v>
      </c>
      <c r="AGL9" s="31">
        <v>0</v>
      </c>
      <c r="AGM9" s="19">
        <v>0</v>
      </c>
      <c r="AGN9" s="19">
        <v>0</v>
      </c>
      <c r="AGO9" s="19">
        <v>0</v>
      </c>
      <c r="AGP9" s="19">
        <v>0</v>
      </c>
      <c r="AGQ9" s="19">
        <v>0</v>
      </c>
      <c r="AGR9" s="19">
        <v>0</v>
      </c>
      <c r="AGS9" s="19">
        <v>0</v>
      </c>
      <c r="AGT9" s="19">
        <v>0</v>
      </c>
      <c r="AGU9" s="19">
        <v>0</v>
      </c>
      <c r="AGV9" s="19">
        <v>0</v>
      </c>
      <c r="AGW9" s="31">
        <v>0</v>
      </c>
      <c r="AGX9" s="19">
        <v>0</v>
      </c>
      <c r="AGY9" s="31">
        <v>0</v>
      </c>
      <c r="AGZ9" s="31">
        <v>0</v>
      </c>
      <c r="AHA9" s="19">
        <v>0</v>
      </c>
      <c r="AHB9" s="19">
        <v>0</v>
      </c>
      <c r="AHC9" s="19">
        <v>0</v>
      </c>
      <c r="AHD9" s="19">
        <v>0</v>
      </c>
      <c r="AHE9" s="19">
        <v>0</v>
      </c>
      <c r="AHH9" s="19">
        <v>0</v>
      </c>
      <c r="AHI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 s="31">
        <v>0</v>
      </c>
      <c r="AJD9" s="19">
        <v>0</v>
      </c>
      <c r="AJE9" s="19">
        <v>0</v>
      </c>
      <c r="AJF9" s="19">
        <v>0</v>
      </c>
      <c r="AJG9" s="19">
        <v>0</v>
      </c>
      <c r="AJH9" s="19">
        <v>0</v>
      </c>
      <c r="AJI9" s="19">
        <v>0</v>
      </c>
      <c r="AJJ9" s="19">
        <v>0</v>
      </c>
      <c r="AJK9" s="19">
        <v>0</v>
      </c>
      <c r="AJL9" s="19">
        <v>0</v>
      </c>
      <c r="AJM9" s="19">
        <v>0</v>
      </c>
      <c r="AJN9" s="19">
        <v>0</v>
      </c>
      <c r="AJO9" s="19">
        <v>0</v>
      </c>
      <c r="AJP9" s="19">
        <v>0</v>
      </c>
      <c r="AJQ9" s="19">
        <v>0</v>
      </c>
      <c r="AJR9" s="19">
        <v>0</v>
      </c>
      <c r="AJS9" s="19">
        <v>0</v>
      </c>
      <c r="AJT9" s="19">
        <v>0</v>
      </c>
      <c r="AJU9" s="19">
        <v>0</v>
      </c>
      <c r="AJV9" s="19">
        <v>0</v>
      </c>
      <c r="AJW9" s="19">
        <v>0</v>
      </c>
      <c r="AJX9" s="19">
        <v>0</v>
      </c>
      <c r="AJY9" s="19">
        <v>0</v>
      </c>
      <c r="AJZ9" s="19">
        <v>0</v>
      </c>
      <c r="AKA9" s="19">
        <v>0</v>
      </c>
      <c r="AKB9" s="31">
        <v>0</v>
      </c>
      <c r="AKC9" s="19">
        <v>0</v>
      </c>
      <c r="AKD9" s="19">
        <v>0</v>
      </c>
      <c r="AKE9" s="19">
        <v>0</v>
      </c>
      <c r="AKF9" s="19">
        <v>0</v>
      </c>
    </row>
    <row r="10" spans="1:1010" s="19" customFormat="1">
      <c r="A10" s="19">
        <v>8</v>
      </c>
      <c r="B10" s="19" t="s">
        <v>101</v>
      </c>
      <c r="C10" s="20">
        <v>82630</v>
      </c>
      <c r="D10" s="20" t="s">
        <v>28</v>
      </c>
      <c r="E10" s="20" t="s">
        <v>99</v>
      </c>
      <c r="F10" s="20" t="s">
        <v>69</v>
      </c>
      <c r="G10" s="20" t="s">
        <v>33</v>
      </c>
      <c r="H10" s="20" t="s">
        <v>89</v>
      </c>
      <c r="I10" s="20" t="s">
        <v>45</v>
      </c>
      <c r="J10" s="20" t="s">
        <v>46</v>
      </c>
      <c r="K10" s="19">
        <v>0</v>
      </c>
      <c r="L10" s="19">
        <v>6048</v>
      </c>
      <c r="M10" s="19">
        <v>0</v>
      </c>
      <c r="N10" s="19">
        <v>0</v>
      </c>
      <c r="O10" s="19">
        <v>0</v>
      </c>
      <c r="P10" s="19">
        <v>0</v>
      </c>
      <c r="Q10" s="19">
        <v>0</v>
      </c>
      <c r="R10" s="19">
        <v>12828</v>
      </c>
      <c r="S10" s="19">
        <v>0</v>
      </c>
      <c r="T10" s="19">
        <v>79240</v>
      </c>
      <c r="U10" s="19">
        <v>0</v>
      </c>
      <c r="V10" s="19">
        <v>0</v>
      </c>
      <c r="W10" s="19">
        <v>75530</v>
      </c>
      <c r="X10" s="19">
        <v>64544</v>
      </c>
      <c r="Y10" s="19">
        <v>0</v>
      </c>
      <c r="Z10" s="19">
        <v>5980</v>
      </c>
      <c r="AA10" s="19">
        <v>0</v>
      </c>
      <c r="AB10" s="19">
        <v>0</v>
      </c>
      <c r="AC10" s="19">
        <v>0</v>
      </c>
      <c r="AD10" s="19">
        <v>0</v>
      </c>
      <c r="AE10" s="19">
        <v>81576</v>
      </c>
      <c r="AF10" s="19">
        <v>5815</v>
      </c>
      <c r="AG10" s="19">
        <v>0</v>
      </c>
      <c r="AH10" s="19">
        <v>0</v>
      </c>
      <c r="AI10" s="19">
        <v>0</v>
      </c>
      <c r="AJ10" s="19">
        <v>0</v>
      </c>
      <c r="AK10" s="19">
        <v>2582</v>
      </c>
      <c r="AL10" s="19">
        <v>13176</v>
      </c>
      <c r="AM10" s="19">
        <v>0</v>
      </c>
      <c r="AN10" s="19">
        <v>0</v>
      </c>
      <c r="AO10" s="19">
        <v>124514</v>
      </c>
      <c r="AP10" s="19">
        <v>0</v>
      </c>
      <c r="AQ10" s="19">
        <v>0</v>
      </c>
      <c r="AR10" s="19">
        <v>0</v>
      </c>
      <c r="AS10" s="19">
        <v>0</v>
      </c>
      <c r="AT10" s="19">
        <v>0</v>
      </c>
      <c r="AU10" s="19">
        <v>14096</v>
      </c>
      <c r="AV10" s="19">
        <v>0</v>
      </c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>
        <v>0</v>
      </c>
      <c r="BC10" s="19">
        <v>0</v>
      </c>
      <c r="BD10" s="19">
        <v>0</v>
      </c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>
        <v>0</v>
      </c>
      <c r="BM10" s="19">
        <v>0</v>
      </c>
      <c r="BN10" s="19">
        <v>0</v>
      </c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>
        <v>0</v>
      </c>
      <c r="BW10" s="19">
        <v>0</v>
      </c>
      <c r="BX10" s="19">
        <v>0</v>
      </c>
      <c r="BY10" s="19">
        <v>0</v>
      </c>
      <c r="BZ10" s="19">
        <v>0</v>
      </c>
      <c r="CA10" s="19">
        <v>0</v>
      </c>
      <c r="CB10" s="19">
        <v>0</v>
      </c>
      <c r="CC10" s="19">
        <v>0</v>
      </c>
      <c r="CD10" s="19">
        <v>0</v>
      </c>
      <c r="CE10" s="19">
        <v>0</v>
      </c>
      <c r="CF10" s="19">
        <v>0</v>
      </c>
      <c r="CG10" s="19">
        <v>0</v>
      </c>
      <c r="CH10" s="19">
        <v>0</v>
      </c>
      <c r="CI10" s="19">
        <v>0</v>
      </c>
      <c r="CJ10" s="19">
        <v>24316</v>
      </c>
      <c r="CK10" s="19">
        <v>0</v>
      </c>
      <c r="CL10" s="19">
        <v>0</v>
      </c>
      <c r="CM10" s="19">
        <v>0</v>
      </c>
      <c r="CN10" s="19">
        <v>0</v>
      </c>
      <c r="CO10" s="19">
        <v>0</v>
      </c>
      <c r="CP10" s="19">
        <v>0</v>
      </c>
      <c r="CQ10" s="19">
        <v>0</v>
      </c>
      <c r="CR10" s="19">
        <v>90150</v>
      </c>
      <c r="CS10" s="19">
        <v>0</v>
      </c>
      <c r="CT10" s="19">
        <v>0</v>
      </c>
      <c r="CU10" s="19">
        <v>0</v>
      </c>
      <c r="CV10" s="19">
        <v>50136</v>
      </c>
      <c r="CW10" s="19">
        <v>12540</v>
      </c>
      <c r="CX10" s="19">
        <v>0</v>
      </c>
      <c r="CY10" s="19">
        <v>0</v>
      </c>
      <c r="CZ10" s="19">
        <v>0</v>
      </c>
      <c r="DA10" s="19">
        <v>0</v>
      </c>
      <c r="DB10" s="19">
        <v>0</v>
      </c>
      <c r="DC10" s="19">
        <v>0</v>
      </c>
      <c r="DD10" s="19">
        <v>0</v>
      </c>
      <c r="DE10" s="19">
        <v>0</v>
      </c>
      <c r="DF10" s="19">
        <v>0</v>
      </c>
      <c r="DG10" s="19">
        <v>0</v>
      </c>
      <c r="DH10" s="19">
        <v>0</v>
      </c>
      <c r="DI10" s="19">
        <v>0</v>
      </c>
      <c r="DJ10" s="19">
        <v>14004</v>
      </c>
      <c r="DK10" s="19">
        <v>0</v>
      </c>
      <c r="DL10" s="19">
        <v>0</v>
      </c>
      <c r="DM10" s="19">
        <v>0</v>
      </c>
      <c r="DN10" s="19">
        <v>0</v>
      </c>
      <c r="DO10" s="19">
        <v>0</v>
      </c>
      <c r="DP10" s="19">
        <v>0</v>
      </c>
      <c r="DQ10" s="19">
        <v>0</v>
      </c>
      <c r="DR10" s="19">
        <v>0</v>
      </c>
      <c r="DS10" s="19">
        <v>0</v>
      </c>
      <c r="DT10" s="19">
        <v>0</v>
      </c>
      <c r="DU10" s="19">
        <v>0</v>
      </c>
      <c r="DV10" s="19">
        <v>0</v>
      </c>
      <c r="DW10" s="19">
        <v>0</v>
      </c>
      <c r="DX10" s="19">
        <v>0</v>
      </c>
      <c r="DY10" s="19">
        <v>0</v>
      </c>
      <c r="DZ10" s="19">
        <v>0</v>
      </c>
      <c r="EA10" s="19">
        <v>0</v>
      </c>
      <c r="EB10" s="19">
        <v>0</v>
      </c>
      <c r="EC10" s="19">
        <v>0</v>
      </c>
      <c r="ED10" s="19">
        <v>0</v>
      </c>
      <c r="EE10" s="19">
        <v>0</v>
      </c>
      <c r="EF10" s="19">
        <v>0</v>
      </c>
      <c r="EG10" s="19">
        <v>0</v>
      </c>
      <c r="EH10" s="19">
        <v>0</v>
      </c>
      <c r="EI10" s="19">
        <v>0</v>
      </c>
      <c r="EJ10" s="19">
        <v>0</v>
      </c>
      <c r="EK10" s="19">
        <v>0</v>
      </c>
      <c r="EL10" s="19">
        <v>0</v>
      </c>
      <c r="EM10" s="19">
        <v>0</v>
      </c>
      <c r="EN10" s="19">
        <v>0</v>
      </c>
      <c r="EO10" s="19">
        <v>0</v>
      </c>
      <c r="EP10" s="19">
        <v>0</v>
      </c>
      <c r="EQ10" s="19">
        <v>0</v>
      </c>
      <c r="ER10" s="19">
        <v>0</v>
      </c>
      <c r="ES10" s="19">
        <v>0</v>
      </c>
      <c r="ET10" s="19">
        <v>6318</v>
      </c>
      <c r="EU10" s="19">
        <v>0</v>
      </c>
      <c r="EV10" s="19">
        <v>0</v>
      </c>
      <c r="EW10" s="19">
        <v>0</v>
      </c>
      <c r="EX10" s="19">
        <v>0</v>
      </c>
      <c r="EY10" s="19">
        <v>0</v>
      </c>
      <c r="EZ10" s="19">
        <v>0</v>
      </c>
      <c r="FA10" s="19">
        <v>0</v>
      </c>
      <c r="FB10" s="19">
        <v>0</v>
      </c>
      <c r="FC10" s="19">
        <v>27158</v>
      </c>
      <c r="FD10" s="19">
        <v>0</v>
      </c>
      <c r="FE10" s="19">
        <v>0</v>
      </c>
      <c r="FF10" s="19">
        <v>0</v>
      </c>
      <c r="FG10" s="130">
        <v>0</v>
      </c>
      <c r="FH10" s="130">
        <v>0</v>
      </c>
      <c r="FI10" s="130">
        <v>0</v>
      </c>
      <c r="FJ10" s="130">
        <v>0</v>
      </c>
      <c r="FK10" s="130">
        <v>0</v>
      </c>
      <c r="FL10" s="130">
        <v>0</v>
      </c>
      <c r="FM10" s="130">
        <v>0</v>
      </c>
      <c r="FN10" s="130">
        <v>0</v>
      </c>
      <c r="FO10" s="130">
        <v>0</v>
      </c>
      <c r="FP10" s="130">
        <v>0</v>
      </c>
      <c r="FQ10" s="130">
        <v>0</v>
      </c>
      <c r="FR10" s="130">
        <v>0</v>
      </c>
      <c r="FS10" s="130">
        <v>0</v>
      </c>
      <c r="FT10" s="130">
        <v>0</v>
      </c>
      <c r="FU10" s="130">
        <v>0</v>
      </c>
      <c r="FV10" s="130">
        <v>0</v>
      </c>
      <c r="FW10" s="130">
        <v>0</v>
      </c>
      <c r="FX10" s="130">
        <v>0</v>
      </c>
      <c r="FY10" s="130">
        <v>0</v>
      </c>
      <c r="FZ10" s="130">
        <v>0</v>
      </c>
      <c r="GA10" s="130">
        <v>0</v>
      </c>
      <c r="GB10" s="130">
        <v>0</v>
      </c>
      <c r="GC10" s="130">
        <v>0</v>
      </c>
      <c r="GD10" s="130">
        <v>0</v>
      </c>
      <c r="GE10" s="130">
        <v>0</v>
      </c>
      <c r="GF10" s="130">
        <v>0</v>
      </c>
      <c r="GG10" s="130">
        <v>0</v>
      </c>
      <c r="GH10" s="130">
        <v>0</v>
      </c>
      <c r="GI10" s="130">
        <v>0</v>
      </c>
      <c r="GJ10" s="130">
        <v>0</v>
      </c>
      <c r="GK10" s="130">
        <v>0</v>
      </c>
      <c r="GL10" s="130">
        <v>0</v>
      </c>
      <c r="GM10" s="130">
        <v>0</v>
      </c>
      <c r="GN10" s="130">
        <v>0</v>
      </c>
      <c r="GO10" s="130">
        <v>0</v>
      </c>
      <c r="GP10" s="130">
        <v>0</v>
      </c>
      <c r="GQ10" s="130">
        <v>0</v>
      </c>
      <c r="GR10" s="130">
        <v>0</v>
      </c>
      <c r="GS10" s="130">
        <v>0</v>
      </c>
      <c r="GT10" s="130">
        <v>0</v>
      </c>
      <c r="GU10" s="130">
        <v>0</v>
      </c>
      <c r="GV10" s="130">
        <v>0</v>
      </c>
      <c r="GW10" s="130">
        <v>0</v>
      </c>
      <c r="GX10" s="130">
        <v>0</v>
      </c>
      <c r="GY10" s="130">
        <v>0</v>
      </c>
      <c r="GZ10" s="130">
        <v>0</v>
      </c>
      <c r="HA10" s="130">
        <v>0</v>
      </c>
      <c r="HB10" s="130">
        <v>0</v>
      </c>
      <c r="HC10" s="19">
        <v>0</v>
      </c>
      <c r="HD10" s="19">
        <v>0</v>
      </c>
      <c r="HE10" s="19">
        <v>0</v>
      </c>
      <c r="HF10" s="19">
        <v>0</v>
      </c>
      <c r="HG10" s="19">
        <v>0</v>
      </c>
      <c r="HH10" s="19">
        <v>0</v>
      </c>
      <c r="HI10" s="19">
        <v>0</v>
      </c>
      <c r="HJ10" s="19">
        <v>0</v>
      </c>
      <c r="HK10" s="19">
        <v>0</v>
      </c>
      <c r="HL10" s="19">
        <v>0</v>
      </c>
      <c r="HM10" s="19">
        <v>0</v>
      </c>
      <c r="HN10" s="19">
        <v>0</v>
      </c>
      <c r="HO10" s="19">
        <v>0</v>
      </c>
      <c r="HP10" s="19">
        <v>0</v>
      </c>
      <c r="HQ10" s="19">
        <v>0</v>
      </c>
      <c r="HR10" s="19">
        <v>0</v>
      </c>
      <c r="HS10" s="19">
        <v>0</v>
      </c>
      <c r="HT10" s="19">
        <v>0</v>
      </c>
      <c r="HU10" s="19">
        <v>0</v>
      </c>
      <c r="HV10" s="19">
        <v>0</v>
      </c>
      <c r="HW10" s="19">
        <v>0</v>
      </c>
      <c r="HX10" s="19">
        <v>0</v>
      </c>
      <c r="HY10" s="19">
        <v>0</v>
      </c>
      <c r="HZ10" s="19">
        <v>0</v>
      </c>
      <c r="IA10" s="19">
        <v>0</v>
      </c>
      <c r="IB10" s="19">
        <v>0</v>
      </c>
      <c r="IC10" s="19">
        <v>0</v>
      </c>
      <c r="ID10" s="19">
        <v>0</v>
      </c>
      <c r="IE10" s="19">
        <v>0</v>
      </c>
      <c r="IF10" s="19">
        <v>0</v>
      </c>
      <c r="IG10" s="19">
        <v>0</v>
      </c>
      <c r="IH10" s="19">
        <v>0</v>
      </c>
      <c r="II10" s="19">
        <v>0</v>
      </c>
      <c r="IJ10" s="19">
        <v>0</v>
      </c>
      <c r="IK10" s="19">
        <v>0</v>
      </c>
      <c r="IL10" s="19">
        <v>0</v>
      </c>
      <c r="IM10" s="19">
        <v>0</v>
      </c>
      <c r="IN10" s="19">
        <v>0</v>
      </c>
      <c r="IO10" s="19">
        <v>0</v>
      </c>
      <c r="IP10" s="19">
        <v>0</v>
      </c>
      <c r="IQ10" s="19">
        <v>0</v>
      </c>
      <c r="IR10" s="19">
        <v>0</v>
      </c>
      <c r="IS10" s="19">
        <v>0</v>
      </c>
      <c r="IT10" s="19">
        <v>0</v>
      </c>
      <c r="IU10" s="19">
        <v>0</v>
      </c>
      <c r="IV10" s="19">
        <v>0</v>
      </c>
      <c r="IW10" s="19">
        <v>0</v>
      </c>
      <c r="IX10" s="19">
        <v>0</v>
      </c>
      <c r="IY10" s="19">
        <v>0</v>
      </c>
      <c r="IZ10" s="19">
        <v>0</v>
      </c>
      <c r="JA10" s="19">
        <v>0</v>
      </c>
      <c r="JB10" s="19">
        <v>0</v>
      </c>
      <c r="JC10" s="19">
        <v>0</v>
      </c>
      <c r="JD10" s="19">
        <v>0</v>
      </c>
      <c r="JE10" s="19">
        <v>0</v>
      </c>
      <c r="JF10" s="19">
        <v>0</v>
      </c>
      <c r="JG10" s="19">
        <v>0</v>
      </c>
      <c r="JH10" s="19">
        <v>0</v>
      </c>
      <c r="JI10" s="19">
        <v>0</v>
      </c>
      <c r="JJ10" s="19">
        <v>0</v>
      </c>
      <c r="JK10" s="19">
        <v>0</v>
      </c>
      <c r="JL10" s="19">
        <v>0</v>
      </c>
      <c r="JM10" s="19">
        <v>0</v>
      </c>
      <c r="JN10" s="19">
        <v>0</v>
      </c>
      <c r="JO10" s="19">
        <v>0</v>
      </c>
      <c r="JP10" s="19">
        <v>0</v>
      </c>
      <c r="JQ10" s="19">
        <v>0</v>
      </c>
      <c r="JR10" s="19">
        <v>0</v>
      </c>
      <c r="JS10" s="19">
        <v>0</v>
      </c>
      <c r="JT10" s="19">
        <v>0</v>
      </c>
      <c r="JU10" s="19">
        <v>0</v>
      </c>
      <c r="JV10" s="19">
        <v>0</v>
      </c>
      <c r="JW10" s="19">
        <v>0</v>
      </c>
      <c r="JX10" s="19">
        <v>0</v>
      </c>
      <c r="JY10" s="19">
        <v>0</v>
      </c>
      <c r="JZ10" s="19">
        <v>0</v>
      </c>
      <c r="KA10" s="19">
        <v>0</v>
      </c>
      <c r="KB10" s="19">
        <v>0</v>
      </c>
      <c r="KC10" s="19">
        <v>0</v>
      </c>
      <c r="KD10" s="19">
        <v>0</v>
      </c>
      <c r="KE10" s="19">
        <v>0</v>
      </c>
      <c r="KF10" s="19">
        <v>0</v>
      </c>
      <c r="KG10" s="19">
        <v>0</v>
      </c>
      <c r="KH10" s="19">
        <v>0</v>
      </c>
      <c r="KI10" s="19">
        <v>0</v>
      </c>
      <c r="KJ10" s="19">
        <v>0</v>
      </c>
      <c r="KK10" s="19">
        <v>0</v>
      </c>
      <c r="KL10" s="19">
        <v>0</v>
      </c>
      <c r="KM10" s="19">
        <v>0</v>
      </c>
      <c r="KN10" s="19">
        <v>0</v>
      </c>
      <c r="KO10" s="19">
        <v>0</v>
      </c>
      <c r="KP10" s="19">
        <v>0</v>
      </c>
      <c r="KQ10" s="19">
        <v>0</v>
      </c>
      <c r="KR10" s="19">
        <v>0</v>
      </c>
      <c r="KS10" s="19">
        <v>0</v>
      </c>
      <c r="KT10" s="19">
        <v>0</v>
      </c>
      <c r="KU10" s="19">
        <v>0</v>
      </c>
      <c r="KV10" s="19">
        <v>0</v>
      </c>
      <c r="KW10" s="19">
        <v>0</v>
      </c>
      <c r="KX10" s="19">
        <v>0</v>
      </c>
      <c r="KY10" s="19">
        <v>0</v>
      </c>
      <c r="KZ10" s="19">
        <v>0</v>
      </c>
      <c r="LA10" s="19">
        <v>0</v>
      </c>
      <c r="LB10" s="19">
        <v>0</v>
      </c>
      <c r="LC10" s="19">
        <v>0</v>
      </c>
      <c r="LD10" s="19">
        <v>0</v>
      </c>
      <c r="LE10" s="19">
        <v>0</v>
      </c>
      <c r="LF10" s="19">
        <v>0</v>
      </c>
      <c r="LG10" s="19">
        <v>0</v>
      </c>
      <c r="LH10" s="19">
        <v>0</v>
      </c>
      <c r="LI10" s="19">
        <v>0</v>
      </c>
      <c r="LJ10" s="19">
        <v>0</v>
      </c>
      <c r="LK10" s="19">
        <v>0</v>
      </c>
      <c r="LL10" s="19">
        <v>0</v>
      </c>
      <c r="LM10" s="19">
        <v>0</v>
      </c>
      <c r="LN10" s="19">
        <v>0</v>
      </c>
      <c r="LO10" s="19">
        <v>0</v>
      </c>
      <c r="LP10" s="19">
        <v>0</v>
      </c>
      <c r="LQ10" s="19">
        <v>0</v>
      </c>
      <c r="LR10" s="19">
        <v>0</v>
      </c>
      <c r="LS10" s="19">
        <v>0</v>
      </c>
      <c r="LT10" s="19">
        <v>0</v>
      </c>
      <c r="LU10" s="19">
        <v>0</v>
      </c>
      <c r="LV10" s="19">
        <v>0</v>
      </c>
      <c r="LW10" s="19">
        <v>0</v>
      </c>
      <c r="LX10" s="19">
        <v>0</v>
      </c>
      <c r="LY10" s="19">
        <v>0</v>
      </c>
      <c r="LZ10" s="19">
        <v>0</v>
      </c>
      <c r="MA10" s="19">
        <v>0</v>
      </c>
      <c r="MB10" s="19">
        <v>0</v>
      </c>
      <c r="MC10" s="19">
        <v>0</v>
      </c>
      <c r="MD10" s="19">
        <v>0</v>
      </c>
      <c r="ME10" s="19">
        <v>0</v>
      </c>
      <c r="MF10" s="19">
        <v>0</v>
      </c>
      <c r="MG10" s="19">
        <v>0</v>
      </c>
      <c r="MH10" s="19">
        <v>0</v>
      </c>
      <c r="MI10" s="19">
        <v>0</v>
      </c>
      <c r="MJ10" s="19">
        <v>0</v>
      </c>
      <c r="MK10" s="19">
        <v>0</v>
      </c>
      <c r="ML10" s="19">
        <v>0</v>
      </c>
      <c r="MM10" s="19">
        <v>0</v>
      </c>
      <c r="MN10" s="19">
        <v>0</v>
      </c>
      <c r="MO10" s="19">
        <v>0</v>
      </c>
      <c r="MP10" s="19">
        <v>0</v>
      </c>
      <c r="MQ10" s="19">
        <v>0</v>
      </c>
      <c r="MR10" s="19">
        <v>0</v>
      </c>
      <c r="MS10" s="19">
        <v>0</v>
      </c>
      <c r="MT10" s="19">
        <v>0</v>
      </c>
      <c r="MU10" s="19">
        <v>0</v>
      </c>
      <c r="MV10" s="19">
        <v>0</v>
      </c>
      <c r="MW10" s="19">
        <v>0</v>
      </c>
      <c r="MX10" s="19">
        <v>0</v>
      </c>
      <c r="MY10" s="19">
        <v>0</v>
      </c>
      <c r="MZ10" s="19">
        <v>0</v>
      </c>
      <c r="NA10" s="19">
        <v>0</v>
      </c>
      <c r="NB10" s="19">
        <v>0</v>
      </c>
      <c r="NC10" s="19">
        <v>0</v>
      </c>
      <c r="ND10" s="19">
        <v>0</v>
      </c>
      <c r="NE10" s="19">
        <v>0</v>
      </c>
      <c r="NF10" s="19">
        <v>0</v>
      </c>
      <c r="NG10" s="19">
        <v>0</v>
      </c>
      <c r="NH10" s="19">
        <v>0</v>
      </c>
      <c r="NI10" s="19">
        <v>0</v>
      </c>
      <c r="NJ10" s="19">
        <v>0</v>
      </c>
      <c r="NK10" s="19">
        <v>0</v>
      </c>
      <c r="NL10" s="19">
        <v>0</v>
      </c>
      <c r="NM10" s="19">
        <v>0</v>
      </c>
      <c r="NN10" s="19">
        <v>0</v>
      </c>
      <c r="NO10" s="19">
        <v>0</v>
      </c>
      <c r="NP10" s="19">
        <v>0</v>
      </c>
      <c r="NQ10" s="19">
        <v>0</v>
      </c>
      <c r="NR10" s="19">
        <v>0</v>
      </c>
      <c r="NS10" s="19">
        <v>0</v>
      </c>
      <c r="NT10" s="19">
        <v>0</v>
      </c>
      <c r="NU10" s="19">
        <v>0</v>
      </c>
      <c r="NV10" s="19">
        <v>0</v>
      </c>
      <c r="NW10" s="19">
        <v>0</v>
      </c>
      <c r="NX10" s="19">
        <v>0</v>
      </c>
      <c r="NY10" s="19">
        <v>0</v>
      </c>
      <c r="NZ10" s="19">
        <v>0</v>
      </c>
      <c r="OA10" s="19">
        <v>0</v>
      </c>
      <c r="OB10" s="19">
        <v>0</v>
      </c>
      <c r="OC10" s="19">
        <v>0</v>
      </c>
      <c r="OD10" s="19">
        <v>0</v>
      </c>
      <c r="OE10" s="19">
        <v>0</v>
      </c>
      <c r="OF10" s="19">
        <v>0</v>
      </c>
      <c r="OG10" s="19">
        <v>0</v>
      </c>
      <c r="OH10" s="19">
        <v>0</v>
      </c>
      <c r="OI10" s="19">
        <v>0</v>
      </c>
      <c r="OJ10" s="19">
        <v>0</v>
      </c>
      <c r="OK10" s="19">
        <v>0</v>
      </c>
      <c r="OL10" s="19">
        <v>0</v>
      </c>
      <c r="OM10" s="19">
        <v>0</v>
      </c>
      <c r="ON10" s="19">
        <v>0</v>
      </c>
      <c r="OO10" s="19">
        <v>0</v>
      </c>
      <c r="OP10" s="19">
        <v>0</v>
      </c>
      <c r="OQ10" s="19">
        <v>0</v>
      </c>
      <c r="OR10" s="19">
        <v>0</v>
      </c>
      <c r="OS10" s="19">
        <v>0</v>
      </c>
      <c r="OT10" s="19">
        <v>0</v>
      </c>
      <c r="OU10" s="19">
        <v>0</v>
      </c>
      <c r="OV10" s="19">
        <v>0</v>
      </c>
      <c r="OW10" s="19">
        <v>0</v>
      </c>
      <c r="OX10" s="19">
        <v>0</v>
      </c>
      <c r="OY10" s="19">
        <v>0</v>
      </c>
      <c r="OZ10" s="19">
        <v>0</v>
      </c>
      <c r="PA10" s="19">
        <v>0</v>
      </c>
      <c r="PB10" s="19">
        <v>0</v>
      </c>
      <c r="PC10" s="19">
        <v>0</v>
      </c>
      <c r="PD10" s="19">
        <v>0</v>
      </c>
      <c r="PE10" s="19">
        <v>0</v>
      </c>
      <c r="PF10" s="19">
        <v>0</v>
      </c>
      <c r="PG10" s="19">
        <v>0</v>
      </c>
      <c r="PH10" s="19">
        <v>0</v>
      </c>
      <c r="PI10" s="19">
        <v>0</v>
      </c>
      <c r="PJ10" s="19">
        <v>0</v>
      </c>
      <c r="PK10" s="19">
        <v>0</v>
      </c>
      <c r="PL10" s="19">
        <v>0</v>
      </c>
      <c r="PM10" s="19">
        <v>0</v>
      </c>
      <c r="PN10" s="19">
        <v>0</v>
      </c>
      <c r="PO10" s="19">
        <v>0</v>
      </c>
      <c r="PP10" s="19">
        <v>0</v>
      </c>
      <c r="PQ10" s="19">
        <v>0</v>
      </c>
      <c r="PR10" s="19">
        <v>0</v>
      </c>
      <c r="PS10" s="19">
        <v>0</v>
      </c>
      <c r="PT10" s="19">
        <v>0</v>
      </c>
      <c r="PU10" s="19">
        <v>0</v>
      </c>
      <c r="PV10" s="19">
        <v>0</v>
      </c>
      <c r="PW10" s="19">
        <v>0</v>
      </c>
      <c r="PX10" s="19">
        <v>0</v>
      </c>
      <c r="PY10" s="19">
        <v>0</v>
      </c>
      <c r="PZ10" s="19">
        <v>0</v>
      </c>
      <c r="QA10" s="19">
        <v>0</v>
      </c>
      <c r="QB10" s="19">
        <v>0</v>
      </c>
      <c r="QC10" s="19">
        <v>0</v>
      </c>
      <c r="QD10" s="19">
        <v>0</v>
      </c>
      <c r="QE10" s="19">
        <v>0</v>
      </c>
      <c r="QF10" s="19">
        <v>0</v>
      </c>
      <c r="QG10" s="19">
        <v>0</v>
      </c>
      <c r="QH10" s="19">
        <v>0</v>
      </c>
      <c r="QI10" s="19">
        <v>0</v>
      </c>
      <c r="QJ10" s="19">
        <v>0</v>
      </c>
      <c r="QK10" s="19">
        <v>0</v>
      </c>
      <c r="QL10" s="19">
        <v>0</v>
      </c>
      <c r="QM10" s="19">
        <v>0</v>
      </c>
      <c r="QN10" s="19">
        <v>0</v>
      </c>
      <c r="QO10" s="19">
        <v>0</v>
      </c>
      <c r="QP10" s="19">
        <v>0</v>
      </c>
      <c r="QQ10" s="19">
        <v>0</v>
      </c>
      <c r="QR10" s="19">
        <v>0</v>
      </c>
      <c r="QS10" s="19">
        <v>0</v>
      </c>
      <c r="QT10" s="19">
        <v>0</v>
      </c>
      <c r="QU10" s="19">
        <v>0</v>
      </c>
      <c r="QV10" s="19">
        <v>0</v>
      </c>
      <c r="QW10" s="19">
        <v>0</v>
      </c>
      <c r="QX10" s="19">
        <v>0</v>
      </c>
      <c r="QY10" s="19">
        <v>0</v>
      </c>
      <c r="QZ10" s="19">
        <v>0</v>
      </c>
      <c r="RA10" s="19">
        <v>0</v>
      </c>
      <c r="RB10" s="19">
        <v>0</v>
      </c>
      <c r="RC10" s="19">
        <v>0</v>
      </c>
      <c r="RD10" s="19">
        <v>0</v>
      </c>
      <c r="RE10" s="19">
        <v>0</v>
      </c>
      <c r="RF10" s="19">
        <v>0</v>
      </c>
      <c r="RG10" s="19">
        <v>0</v>
      </c>
      <c r="RH10" s="19">
        <v>0</v>
      </c>
      <c r="RI10" s="19">
        <v>0</v>
      </c>
      <c r="RJ10" s="19">
        <v>0</v>
      </c>
      <c r="RK10" s="19">
        <v>0</v>
      </c>
      <c r="RL10" s="19">
        <v>0</v>
      </c>
      <c r="RM10" s="19">
        <v>0</v>
      </c>
      <c r="RN10" s="19">
        <v>0</v>
      </c>
      <c r="RO10" s="19">
        <v>0</v>
      </c>
      <c r="RP10" s="19">
        <v>0</v>
      </c>
      <c r="RQ10" s="19">
        <v>0</v>
      </c>
      <c r="RR10" s="19">
        <v>0</v>
      </c>
      <c r="RS10" s="19">
        <v>0</v>
      </c>
      <c r="RT10" s="19">
        <v>0</v>
      </c>
      <c r="RU10" s="19">
        <v>0</v>
      </c>
      <c r="RV10" s="19">
        <v>0</v>
      </c>
      <c r="RW10" s="19">
        <v>0</v>
      </c>
      <c r="RX10" s="19">
        <v>0</v>
      </c>
      <c r="RY10" s="19">
        <v>0</v>
      </c>
      <c r="RZ10" s="19">
        <v>0</v>
      </c>
      <c r="SA10" s="19">
        <v>0</v>
      </c>
      <c r="SB10" s="19">
        <v>0</v>
      </c>
      <c r="SC10" s="19">
        <v>0</v>
      </c>
      <c r="SD10" s="19">
        <v>0</v>
      </c>
      <c r="SE10" s="19">
        <v>0</v>
      </c>
      <c r="SF10" s="19">
        <v>0</v>
      </c>
      <c r="SG10" s="19">
        <v>0</v>
      </c>
      <c r="SH10" s="19">
        <v>0</v>
      </c>
      <c r="SI10" s="19">
        <v>0</v>
      </c>
      <c r="SJ10" s="19">
        <v>0</v>
      </c>
      <c r="SK10" s="19">
        <v>0</v>
      </c>
      <c r="SL10" s="19">
        <v>0</v>
      </c>
      <c r="SM10" s="19">
        <v>0</v>
      </c>
      <c r="SN10" s="19">
        <v>0</v>
      </c>
      <c r="SO10" s="19">
        <v>0</v>
      </c>
      <c r="SP10" s="19">
        <v>0</v>
      </c>
      <c r="SQ10" s="19">
        <v>0</v>
      </c>
      <c r="SR10" s="19">
        <v>0</v>
      </c>
      <c r="SS10" s="19">
        <v>0</v>
      </c>
      <c r="ST10" s="19">
        <v>0</v>
      </c>
      <c r="SU10" s="19">
        <v>0</v>
      </c>
      <c r="SV10" s="19">
        <v>0</v>
      </c>
      <c r="SW10" s="19">
        <v>0</v>
      </c>
      <c r="SX10" s="19">
        <v>0</v>
      </c>
      <c r="SY10" s="19">
        <v>0</v>
      </c>
      <c r="SZ10" s="19">
        <v>0</v>
      </c>
      <c r="TA10" s="19">
        <v>0</v>
      </c>
      <c r="TB10" s="19">
        <v>0</v>
      </c>
      <c r="TC10" s="19">
        <v>0</v>
      </c>
      <c r="TD10" s="19">
        <v>0</v>
      </c>
      <c r="TE10" s="19">
        <v>0</v>
      </c>
      <c r="TF10" s="19">
        <v>0</v>
      </c>
      <c r="TG10" s="19">
        <v>0</v>
      </c>
      <c r="TH10" s="19">
        <v>0</v>
      </c>
      <c r="TI10" s="19">
        <v>0</v>
      </c>
      <c r="TJ10" s="19">
        <v>0</v>
      </c>
      <c r="TK10" s="19">
        <v>0</v>
      </c>
      <c r="TL10" s="19">
        <v>0</v>
      </c>
      <c r="TM10" s="19">
        <v>0</v>
      </c>
      <c r="TN10" s="19">
        <v>0</v>
      </c>
      <c r="TO10" s="19">
        <v>0</v>
      </c>
      <c r="TP10" s="19">
        <v>0</v>
      </c>
      <c r="TQ10" s="19">
        <v>0</v>
      </c>
      <c r="TR10" s="19">
        <v>0</v>
      </c>
      <c r="TS10" s="19">
        <v>0</v>
      </c>
      <c r="TT10" s="19">
        <v>0</v>
      </c>
      <c r="TU10" s="19">
        <v>0</v>
      </c>
      <c r="TV10" s="19">
        <v>0</v>
      </c>
      <c r="TW10" s="19">
        <v>0</v>
      </c>
      <c r="TX10" s="19">
        <v>0</v>
      </c>
      <c r="TY10" s="19">
        <v>0</v>
      </c>
      <c r="TZ10" s="19">
        <v>0</v>
      </c>
      <c r="UA10" s="19">
        <v>0</v>
      </c>
      <c r="UB10" s="19">
        <v>0</v>
      </c>
      <c r="UC10" s="19">
        <v>0</v>
      </c>
      <c r="UD10" s="19">
        <v>0</v>
      </c>
      <c r="UE10" s="19">
        <v>0</v>
      </c>
      <c r="UF10" s="19">
        <v>0</v>
      </c>
      <c r="UG10" s="19">
        <v>0</v>
      </c>
      <c r="UH10" s="19">
        <v>0</v>
      </c>
      <c r="UI10" s="19">
        <v>0</v>
      </c>
      <c r="UJ10" s="19">
        <v>0</v>
      </c>
      <c r="UK10" s="19">
        <v>0</v>
      </c>
      <c r="UL10" s="19">
        <v>0</v>
      </c>
      <c r="UM10" s="19">
        <v>0</v>
      </c>
      <c r="UN10" s="19">
        <v>0</v>
      </c>
      <c r="UO10" s="19">
        <v>0</v>
      </c>
      <c r="UP10" s="19">
        <v>0</v>
      </c>
      <c r="UQ10" s="19">
        <v>0</v>
      </c>
      <c r="UR10" s="19">
        <v>0</v>
      </c>
      <c r="US10" s="19">
        <v>0</v>
      </c>
      <c r="UT10" s="19">
        <v>0</v>
      </c>
      <c r="UU10" s="19">
        <v>0</v>
      </c>
      <c r="UV10" s="19">
        <v>0</v>
      </c>
      <c r="UW10" s="19">
        <v>0</v>
      </c>
      <c r="UX10" s="19">
        <v>0</v>
      </c>
      <c r="UY10" s="19">
        <v>0</v>
      </c>
      <c r="UZ10" s="19">
        <v>0</v>
      </c>
      <c r="VA10" s="19">
        <v>0</v>
      </c>
      <c r="VB10" s="19">
        <v>0</v>
      </c>
      <c r="VC10" s="19">
        <v>0</v>
      </c>
      <c r="VD10" s="19">
        <v>0</v>
      </c>
      <c r="VE10" s="19">
        <v>0</v>
      </c>
      <c r="VF10" s="19">
        <v>0</v>
      </c>
      <c r="VG10" s="19">
        <v>0</v>
      </c>
      <c r="VH10" s="19">
        <v>0</v>
      </c>
      <c r="VI10" s="19">
        <v>0</v>
      </c>
      <c r="VJ10" s="19">
        <v>0</v>
      </c>
      <c r="VK10" s="19">
        <v>0</v>
      </c>
      <c r="VL10" s="19">
        <v>0</v>
      </c>
      <c r="VM10" s="19">
        <v>0</v>
      </c>
      <c r="VN10" s="19">
        <v>0</v>
      </c>
      <c r="VO10" s="19">
        <v>0</v>
      </c>
      <c r="VP10" s="19">
        <v>0</v>
      </c>
      <c r="VQ10" s="19">
        <v>0</v>
      </c>
      <c r="VR10" s="19">
        <v>0</v>
      </c>
      <c r="VS10" s="19">
        <v>0</v>
      </c>
      <c r="VT10" s="19">
        <v>0</v>
      </c>
      <c r="VU10" s="19">
        <v>0</v>
      </c>
      <c r="VV10" s="19">
        <v>0</v>
      </c>
      <c r="VW10" s="19">
        <v>0</v>
      </c>
      <c r="VX10" s="19">
        <v>0</v>
      </c>
      <c r="VY10" s="19">
        <v>0</v>
      </c>
      <c r="VZ10" s="19">
        <v>0</v>
      </c>
      <c r="WA10" s="19">
        <v>0</v>
      </c>
      <c r="WB10" s="19">
        <v>0</v>
      </c>
      <c r="WC10" s="19">
        <v>0</v>
      </c>
      <c r="WD10" s="19">
        <v>0</v>
      </c>
      <c r="WE10" s="19">
        <v>0</v>
      </c>
      <c r="WF10" s="19">
        <v>0</v>
      </c>
      <c r="WG10" s="19">
        <v>0</v>
      </c>
      <c r="WH10" s="19">
        <v>0</v>
      </c>
      <c r="WI10" s="19">
        <v>0</v>
      </c>
      <c r="WJ10" s="19">
        <v>0</v>
      </c>
      <c r="WK10" s="19">
        <v>0</v>
      </c>
      <c r="WL10" s="19">
        <v>0</v>
      </c>
      <c r="WM10" s="19">
        <v>0</v>
      </c>
      <c r="WN10" s="19">
        <v>0</v>
      </c>
      <c r="WO10" s="19">
        <v>0</v>
      </c>
      <c r="WP10" s="19">
        <v>0</v>
      </c>
      <c r="WQ10" s="19">
        <v>0</v>
      </c>
      <c r="WR10" s="19">
        <v>0</v>
      </c>
      <c r="WS10" s="19">
        <v>0</v>
      </c>
      <c r="WT10" s="19">
        <v>0</v>
      </c>
      <c r="WU10" s="19">
        <v>0</v>
      </c>
      <c r="WV10" s="19">
        <v>0</v>
      </c>
      <c r="WW10" s="19">
        <v>0</v>
      </c>
      <c r="WX10" s="19">
        <v>0</v>
      </c>
      <c r="WY10" s="19">
        <v>0</v>
      </c>
      <c r="WZ10" s="19">
        <v>0</v>
      </c>
      <c r="XA10" s="19">
        <v>0</v>
      </c>
      <c r="XB10" s="19">
        <v>0</v>
      </c>
      <c r="XC10" s="19">
        <v>0</v>
      </c>
      <c r="XD10" s="19">
        <v>0</v>
      </c>
      <c r="XE10" s="19">
        <v>0</v>
      </c>
      <c r="XF10" s="19">
        <v>0</v>
      </c>
      <c r="XG10" s="19">
        <v>0</v>
      </c>
      <c r="XH10" s="19">
        <v>0</v>
      </c>
      <c r="XI10" s="19">
        <v>0</v>
      </c>
      <c r="XJ10" s="19">
        <v>0</v>
      </c>
      <c r="XK10" s="19">
        <v>0</v>
      </c>
      <c r="XL10" s="19">
        <v>0</v>
      </c>
      <c r="XM10" s="19">
        <v>0</v>
      </c>
      <c r="XN10" s="19">
        <v>0</v>
      </c>
      <c r="XO10" s="19">
        <v>0</v>
      </c>
      <c r="XP10" s="19">
        <v>0</v>
      </c>
      <c r="XQ10" s="19">
        <v>0</v>
      </c>
      <c r="XR10" s="19">
        <v>0</v>
      </c>
      <c r="XS10" s="19">
        <v>0</v>
      </c>
      <c r="XT10" s="19">
        <v>0</v>
      </c>
      <c r="XU10" s="19">
        <v>0</v>
      </c>
      <c r="XV10" s="19">
        <v>0</v>
      </c>
      <c r="XW10" s="19">
        <v>0</v>
      </c>
      <c r="XX10" s="19">
        <v>0</v>
      </c>
      <c r="XY10" s="19">
        <v>0</v>
      </c>
      <c r="XZ10" s="19">
        <v>0</v>
      </c>
      <c r="YA10" s="19">
        <v>0</v>
      </c>
      <c r="YB10" s="19">
        <v>0</v>
      </c>
      <c r="YC10" s="19">
        <v>0</v>
      </c>
      <c r="YD10" s="19">
        <v>0</v>
      </c>
      <c r="YE10" s="19">
        <v>0</v>
      </c>
      <c r="YF10" s="19">
        <v>0</v>
      </c>
      <c r="YG10" s="19">
        <v>0</v>
      </c>
      <c r="YH10" s="19">
        <v>0</v>
      </c>
      <c r="YI10" s="19">
        <v>0</v>
      </c>
      <c r="YJ10" s="19">
        <v>0</v>
      </c>
      <c r="YK10" s="19">
        <v>0</v>
      </c>
      <c r="YL10" s="19">
        <v>0</v>
      </c>
      <c r="YM10" s="19">
        <v>0</v>
      </c>
      <c r="YN10" s="19">
        <v>0</v>
      </c>
      <c r="YO10" s="19">
        <v>0</v>
      </c>
      <c r="YP10" s="19">
        <v>0</v>
      </c>
      <c r="YQ10" s="19">
        <v>0</v>
      </c>
      <c r="YR10" s="19">
        <v>0</v>
      </c>
      <c r="YS10" s="19">
        <v>0</v>
      </c>
      <c r="YT10" s="19">
        <v>0</v>
      </c>
      <c r="YU10" s="19">
        <v>0</v>
      </c>
      <c r="YV10" s="19">
        <v>0</v>
      </c>
      <c r="YW10" s="19">
        <v>0</v>
      </c>
      <c r="YX10" s="19">
        <v>0</v>
      </c>
      <c r="YY10" s="19">
        <v>0</v>
      </c>
      <c r="YZ10" s="19">
        <v>0</v>
      </c>
      <c r="ZA10" s="19">
        <v>0</v>
      </c>
      <c r="ZB10" s="19">
        <v>0</v>
      </c>
      <c r="ZC10" s="19">
        <v>0</v>
      </c>
      <c r="ZD10" s="19">
        <v>0</v>
      </c>
      <c r="ZE10" s="19">
        <v>0</v>
      </c>
      <c r="ZF10" s="19">
        <v>0</v>
      </c>
      <c r="ZG10" s="19">
        <v>0</v>
      </c>
      <c r="ZH10" s="19">
        <v>0</v>
      </c>
      <c r="ZI10" s="19">
        <v>0</v>
      </c>
      <c r="ZJ10" s="19">
        <v>0</v>
      </c>
      <c r="ZK10" s="19">
        <v>0</v>
      </c>
      <c r="ZL10" s="19">
        <v>0</v>
      </c>
      <c r="ZM10" s="19">
        <v>0</v>
      </c>
      <c r="ZN10" s="19">
        <v>0</v>
      </c>
      <c r="ZO10" s="19">
        <v>0</v>
      </c>
      <c r="ZP10" s="19">
        <v>0</v>
      </c>
      <c r="ZQ10" s="19">
        <v>0</v>
      </c>
      <c r="ZR10" s="19">
        <v>0</v>
      </c>
      <c r="ZS10" s="19">
        <v>0</v>
      </c>
      <c r="ZT10" s="19">
        <v>0</v>
      </c>
      <c r="ZU10" s="19">
        <v>0</v>
      </c>
      <c r="ZV10" s="19">
        <v>0</v>
      </c>
      <c r="ZW10" s="19">
        <v>0</v>
      </c>
      <c r="ZX10" s="19">
        <v>0</v>
      </c>
      <c r="ZY10" s="19">
        <v>0</v>
      </c>
      <c r="ZZ10" s="19">
        <v>0</v>
      </c>
      <c r="AAA10" s="19">
        <v>0</v>
      </c>
      <c r="AAB10" s="19">
        <v>0</v>
      </c>
      <c r="AAC10" s="19">
        <v>0</v>
      </c>
      <c r="AAD10" s="19">
        <v>0</v>
      </c>
      <c r="AAE10" s="19">
        <v>0</v>
      </c>
      <c r="AAF10" s="19">
        <v>0</v>
      </c>
      <c r="AAG10" s="19">
        <v>0</v>
      </c>
      <c r="AAH10" s="19">
        <v>0</v>
      </c>
      <c r="AAI10" s="19">
        <v>0</v>
      </c>
      <c r="AAJ10" s="19">
        <v>0</v>
      </c>
      <c r="AAK10" s="19">
        <v>0</v>
      </c>
      <c r="AAL10" s="19">
        <v>0</v>
      </c>
      <c r="AAM10" s="19">
        <v>0</v>
      </c>
      <c r="AAN10" s="19">
        <v>0</v>
      </c>
      <c r="AAO10" s="19">
        <v>0</v>
      </c>
      <c r="AAP10" s="19">
        <v>0</v>
      </c>
      <c r="AAQ10" s="19">
        <v>0</v>
      </c>
      <c r="AAR10" s="19">
        <v>0</v>
      </c>
      <c r="AAS10" s="19">
        <v>0</v>
      </c>
      <c r="AAT10" s="19">
        <v>0</v>
      </c>
      <c r="AAU10" s="19">
        <v>0</v>
      </c>
      <c r="AAV10" s="19">
        <v>0</v>
      </c>
      <c r="AAW10" s="19">
        <v>0</v>
      </c>
      <c r="AAX10" s="19">
        <v>0</v>
      </c>
      <c r="AAY10" s="19">
        <v>0</v>
      </c>
      <c r="AAZ10" s="19">
        <v>0</v>
      </c>
      <c r="ABA10" s="19">
        <v>0</v>
      </c>
      <c r="ABB10" s="19">
        <v>0</v>
      </c>
      <c r="ABC10" s="19">
        <v>0</v>
      </c>
      <c r="ABD10" s="19">
        <v>0</v>
      </c>
      <c r="ABE10" s="19">
        <v>0</v>
      </c>
      <c r="ABF10" s="19">
        <v>0</v>
      </c>
      <c r="ABG10" s="19">
        <v>0</v>
      </c>
      <c r="ABH10" s="19">
        <v>0</v>
      </c>
      <c r="ABI10" s="19">
        <v>0</v>
      </c>
      <c r="ABJ10" s="19">
        <v>0</v>
      </c>
      <c r="ABK10" s="19">
        <v>0</v>
      </c>
      <c r="ABL10" s="19">
        <v>0</v>
      </c>
      <c r="ABM10" s="19">
        <v>0</v>
      </c>
      <c r="ABN10" s="19">
        <v>0</v>
      </c>
      <c r="ABO10" s="19">
        <v>0</v>
      </c>
      <c r="ABP10" s="19">
        <v>0</v>
      </c>
      <c r="ABQ10" s="19">
        <v>0</v>
      </c>
      <c r="ABR10" s="19">
        <v>0</v>
      </c>
      <c r="ABS10" s="19">
        <v>0</v>
      </c>
      <c r="ABT10" s="19">
        <v>0</v>
      </c>
      <c r="ABU10" s="19">
        <v>0</v>
      </c>
      <c r="ABV10" s="19">
        <v>0</v>
      </c>
      <c r="ABW10" s="19">
        <v>0</v>
      </c>
      <c r="ABX10" s="19">
        <v>0</v>
      </c>
      <c r="ABY10" s="19">
        <v>0</v>
      </c>
      <c r="ABZ10" s="19">
        <v>0</v>
      </c>
      <c r="ACA10" s="19">
        <v>0</v>
      </c>
      <c r="ACB10" s="19">
        <v>0</v>
      </c>
      <c r="ACC10" s="19">
        <v>0</v>
      </c>
      <c r="ACD10" s="19">
        <v>0</v>
      </c>
      <c r="ACE10" s="19">
        <v>0</v>
      </c>
      <c r="ACF10" s="19">
        <v>0</v>
      </c>
      <c r="ACG10" s="19">
        <v>0</v>
      </c>
      <c r="ACH10" s="19">
        <v>0</v>
      </c>
      <c r="ACI10" s="19">
        <v>0</v>
      </c>
      <c r="ACJ10" s="19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 s="31">
        <v>0</v>
      </c>
      <c r="ACS10" s="19">
        <v>0</v>
      </c>
      <c r="ACT10" s="19">
        <v>0</v>
      </c>
      <c r="ACU10" s="19">
        <v>0</v>
      </c>
      <c r="ACV10" s="19">
        <v>0</v>
      </c>
      <c r="ACW10" s="19">
        <v>0</v>
      </c>
      <c r="ACX10" s="19">
        <v>0</v>
      </c>
      <c r="ACY10" s="19">
        <v>0</v>
      </c>
      <c r="ACZ10" s="19">
        <v>0</v>
      </c>
      <c r="ADA10" s="19">
        <v>0</v>
      </c>
      <c r="ADB10" s="19">
        <v>0</v>
      </c>
      <c r="ADC10" s="19">
        <v>0</v>
      </c>
      <c r="ADD10" s="31">
        <v>0</v>
      </c>
      <c r="ADE10" s="19">
        <v>0</v>
      </c>
      <c r="ADF10" s="19">
        <v>0</v>
      </c>
      <c r="ADG10" s="19">
        <v>0</v>
      </c>
      <c r="ADH10" s="19">
        <v>0</v>
      </c>
      <c r="ADI10" s="19">
        <v>0</v>
      </c>
      <c r="ADJ10" s="19">
        <v>0</v>
      </c>
      <c r="ADK10" s="31">
        <v>0</v>
      </c>
      <c r="ADL10" s="19">
        <v>0</v>
      </c>
      <c r="ADM10" s="19">
        <v>0</v>
      </c>
      <c r="ADN10" s="19">
        <v>0</v>
      </c>
      <c r="ADO10" s="19">
        <v>0</v>
      </c>
      <c r="ADP10" s="19">
        <v>0</v>
      </c>
      <c r="ADQ10" s="19">
        <v>0</v>
      </c>
      <c r="ADR10" s="19">
        <v>0</v>
      </c>
      <c r="ADS10" s="19">
        <v>0</v>
      </c>
      <c r="ADT10" s="31">
        <v>0</v>
      </c>
      <c r="ADU10" s="19">
        <v>0</v>
      </c>
      <c r="ADV10" s="19">
        <v>0</v>
      </c>
      <c r="ADW10" s="19">
        <v>0</v>
      </c>
      <c r="ADX10">
        <v>0</v>
      </c>
      <c r="ADY10">
        <v>0</v>
      </c>
      <c r="ADZ10" s="19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 s="31">
        <v>0</v>
      </c>
      <c r="AEI10" s="19">
        <v>0</v>
      </c>
      <c r="AEJ10" s="19">
        <v>0</v>
      </c>
      <c r="AEK10" s="19">
        <v>0</v>
      </c>
      <c r="AEL10" s="19">
        <v>0</v>
      </c>
      <c r="AEM10" s="19">
        <v>0</v>
      </c>
      <c r="AEN10" s="19">
        <v>0</v>
      </c>
      <c r="AEO10" s="31">
        <v>0</v>
      </c>
      <c r="AEP10" s="19">
        <v>0</v>
      </c>
      <c r="AEQ10" s="19">
        <v>0</v>
      </c>
      <c r="AER10" s="19">
        <v>0</v>
      </c>
      <c r="AES10" s="19">
        <v>0</v>
      </c>
      <c r="AET10" s="19">
        <v>0</v>
      </c>
      <c r="AEU10" s="19">
        <v>0</v>
      </c>
      <c r="AEV10" s="19">
        <v>0</v>
      </c>
      <c r="AEW10" s="19">
        <v>0</v>
      </c>
      <c r="AEX10" s="19">
        <v>0</v>
      </c>
      <c r="AEY10" s="19">
        <v>0</v>
      </c>
      <c r="AEZ10" s="19">
        <v>0</v>
      </c>
      <c r="AFA10" s="19">
        <v>0</v>
      </c>
      <c r="AFB10" s="19">
        <v>0</v>
      </c>
      <c r="AFC10" s="19">
        <v>0</v>
      </c>
      <c r="AFD10" s="19">
        <v>0</v>
      </c>
      <c r="AFE10" s="19">
        <v>0</v>
      </c>
      <c r="AFF10" s="19">
        <v>0</v>
      </c>
      <c r="AFG10" s="19">
        <v>0</v>
      </c>
      <c r="AFH10" s="19">
        <v>0</v>
      </c>
      <c r="AFI10" s="19">
        <v>0</v>
      </c>
      <c r="AFJ10" s="31">
        <v>0</v>
      </c>
      <c r="AFK10" s="19">
        <v>0</v>
      </c>
      <c r="AFL10" s="19">
        <v>0</v>
      </c>
      <c r="AFM10" s="19">
        <v>0</v>
      </c>
      <c r="AFN10" s="19">
        <v>0</v>
      </c>
      <c r="AFO10" s="19">
        <v>0</v>
      </c>
      <c r="AFP10" s="19">
        <v>0</v>
      </c>
      <c r="AFQ10" s="31">
        <v>0</v>
      </c>
      <c r="AFR10" s="19">
        <v>0</v>
      </c>
      <c r="AFS10" s="19">
        <v>0</v>
      </c>
      <c r="AFT10" s="19">
        <v>0</v>
      </c>
      <c r="AFU10" s="19">
        <v>0</v>
      </c>
      <c r="AFV10" s="19">
        <v>0</v>
      </c>
      <c r="AFW10" s="19">
        <v>0</v>
      </c>
      <c r="AFX10" s="31">
        <v>0</v>
      </c>
      <c r="AFY10" s="19">
        <v>0</v>
      </c>
      <c r="AFZ10" s="19">
        <v>0</v>
      </c>
      <c r="AGA10" s="19">
        <v>0</v>
      </c>
      <c r="AGB10" s="19">
        <v>0</v>
      </c>
      <c r="AGC10" s="19">
        <v>0</v>
      </c>
      <c r="AGD10" s="19">
        <v>0</v>
      </c>
      <c r="AGE10" s="19">
        <v>0</v>
      </c>
      <c r="AGF10" s="19">
        <v>0</v>
      </c>
      <c r="AGG10" s="19">
        <v>0</v>
      </c>
      <c r="AGH10" s="19">
        <v>0</v>
      </c>
      <c r="AGI10" s="19">
        <v>0</v>
      </c>
      <c r="AGJ10" s="19">
        <v>0</v>
      </c>
      <c r="AGK10" s="31">
        <v>0</v>
      </c>
      <c r="AGL10" s="31">
        <v>0</v>
      </c>
      <c r="AGM10" s="19">
        <v>0</v>
      </c>
      <c r="AGN10" s="19">
        <v>0</v>
      </c>
      <c r="AGO10" s="19">
        <v>0</v>
      </c>
      <c r="AGP10" s="19">
        <v>0</v>
      </c>
      <c r="AGQ10" s="19">
        <v>0</v>
      </c>
      <c r="AGR10" s="19">
        <v>0</v>
      </c>
      <c r="AGS10" s="19">
        <v>0</v>
      </c>
      <c r="AGT10" s="19">
        <v>0</v>
      </c>
      <c r="AGU10" s="19">
        <v>0</v>
      </c>
      <c r="AGV10" s="19">
        <v>0</v>
      </c>
      <c r="AGW10" s="31">
        <v>0</v>
      </c>
      <c r="AGX10" s="19">
        <v>0</v>
      </c>
      <c r="AGY10" s="31">
        <v>0</v>
      </c>
      <c r="AGZ10" s="31">
        <v>0</v>
      </c>
      <c r="AHA10" s="19">
        <v>0</v>
      </c>
      <c r="AHB10" s="19">
        <v>0</v>
      </c>
      <c r="AHC10" s="19">
        <v>0</v>
      </c>
      <c r="AHD10" s="19">
        <v>0</v>
      </c>
      <c r="AHE10" s="19">
        <v>0</v>
      </c>
      <c r="AHH10" s="19">
        <v>0</v>
      </c>
      <c r="AHI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 s="31">
        <v>0</v>
      </c>
      <c r="AJD10" s="19">
        <v>0</v>
      </c>
      <c r="AJE10" s="19">
        <v>0</v>
      </c>
      <c r="AJF10" s="19">
        <v>0</v>
      </c>
      <c r="AJG10" s="19">
        <v>0</v>
      </c>
      <c r="AJH10" s="19">
        <v>0</v>
      </c>
      <c r="AJI10" s="19">
        <v>0</v>
      </c>
      <c r="AJJ10" s="19">
        <v>0</v>
      </c>
      <c r="AJK10" s="19">
        <v>0</v>
      </c>
      <c r="AJL10" s="19">
        <v>0</v>
      </c>
      <c r="AJM10" s="19">
        <v>0</v>
      </c>
      <c r="AJN10" s="19">
        <v>0</v>
      </c>
      <c r="AJO10" s="19">
        <v>0</v>
      </c>
      <c r="AJP10" s="19">
        <v>0</v>
      </c>
      <c r="AJQ10" s="19">
        <v>0</v>
      </c>
      <c r="AJR10" s="19">
        <v>0</v>
      </c>
      <c r="AJS10" s="19">
        <v>0</v>
      </c>
      <c r="AJT10" s="19">
        <v>0</v>
      </c>
      <c r="AJU10" s="19">
        <v>0</v>
      </c>
      <c r="AJV10" s="19">
        <v>0</v>
      </c>
      <c r="AJW10" s="19">
        <v>0</v>
      </c>
      <c r="AJX10" s="19">
        <v>0</v>
      </c>
      <c r="AJY10" s="19">
        <v>0</v>
      </c>
      <c r="AJZ10" s="19">
        <v>0</v>
      </c>
      <c r="AKA10" s="19">
        <v>0</v>
      </c>
      <c r="AKB10" s="31">
        <v>0</v>
      </c>
      <c r="AKC10" s="19">
        <v>0</v>
      </c>
      <c r="AKD10" s="19">
        <v>0</v>
      </c>
      <c r="AKE10" s="19">
        <v>0</v>
      </c>
      <c r="AKF10" s="19">
        <v>0</v>
      </c>
    </row>
    <row r="11" spans="1:1010">
      <c r="A11">
        <v>9</v>
      </c>
      <c r="B11" t="s">
        <v>102</v>
      </c>
      <c r="C11" s="1">
        <v>82630</v>
      </c>
      <c r="D11" s="2" t="s">
        <v>28</v>
      </c>
      <c r="E11" s="3" t="s">
        <v>88</v>
      </c>
      <c r="F11" s="1" t="s">
        <v>11</v>
      </c>
      <c r="G11" s="1" t="s">
        <v>12</v>
      </c>
      <c r="H11" s="1" t="s">
        <v>103</v>
      </c>
      <c r="I11" s="1" t="s">
        <v>45</v>
      </c>
      <c r="J11" s="1" t="s">
        <v>46</v>
      </c>
      <c r="K11">
        <v>20497</v>
      </c>
      <c r="L11">
        <v>9886</v>
      </c>
      <c r="M11">
        <v>17080</v>
      </c>
      <c r="N11">
        <v>12365</v>
      </c>
      <c r="O11">
        <v>0</v>
      </c>
      <c r="P11">
        <v>18495</v>
      </c>
      <c r="Q11">
        <v>32384</v>
      </c>
      <c r="R11">
        <v>13313</v>
      </c>
      <c r="S11">
        <v>18069</v>
      </c>
      <c r="T11">
        <v>28218</v>
      </c>
      <c r="U11">
        <v>23087</v>
      </c>
      <c r="V11">
        <v>0</v>
      </c>
      <c r="W11">
        <v>25528</v>
      </c>
      <c r="X11">
        <v>5684</v>
      </c>
      <c r="Y11">
        <v>12183</v>
      </c>
      <c r="Z11">
        <v>14760</v>
      </c>
      <c r="AA11">
        <v>18111</v>
      </c>
      <c r="AB11">
        <v>17409</v>
      </c>
      <c r="AC11">
        <v>0</v>
      </c>
      <c r="AD11">
        <v>4016</v>
      </c>
      <c r="AE11">
        <v>17902</v>
      </c>
      <c r="AF11">
        <v>20116</v>
      </c>
      <c r="AG11">
        <v>21684</v>
      </c>
      <c r="AH11">
        <v>13070</v>
      </c>
      <c r="AI11">
        <v>44372</v>
      </c>
      <c r="AJ11">
        <v>0</v>
      </c>
      <c r="AK11">
        <v>3015</v>
      </c>
      <c r="AL11">
        <v>25199</v>
      </c>
      <c r="AM11">
        <v>2774</v>
      </c>
      <c r="AN11">
        <v>7770</v>
      </c>
      <c r="AO11">
        <v>22061</v>
      </c>
      <c r="AP11">
        <v>15038</v>
      </c>
      <c r="AQ11">
        <v>0</v>
      </c>
      <c r="AR11">
        <v>25</v>
      </c>
      <c r="AS11">
        <v>0</v>
      </c>
      <c r="AT11">
        <v>4598</v>
      </c>
      <c r="AU11">
        <v>4759</v>
      </c>
      <c r="AV11">
        <v>14015</v>
      </c>
      <c r="AW11">
        <v>6506</v>
      </c>
      <c r="AX11">
        <v>0</v>
      </c>
      <c r="AY11">
        <v>4282</v>
      </c>
      <c r="AZ11">
        <v>16433</v>
      </c>
      <c r="BA11">
        <v>2764</v>
      </c>
      <c r="BB11">
        <v>1850</v>
      </c>
      <c r="BC11">
        <v>24509</v>
      </c>
      <c r="BD11">
        <v>19146</v>
      </c>
      <c r="BE11">
        <v>0</v>
      </c>
      <c r="BF11">
        <v>1223</v>
      </c>
      <c r="BG11">
        <v>3632</v>
      </c>
      <c r="BH11">
        <v>1584</v>
      </c>
      <c r="BI11">
        <v>10023</v>
      </c>
      <c r="BJ11">
        <v>5098</v>
      </c>
      <c r="BK11">
        <v>0</v>
      </c>
      <c r="BL11">
        <v>0</v>
      </c>
      <c r="BM11">
        <v>0</v>
      </c>
      <c r="BN11">
        <v>0</v>
      </c>
      <c r="BO11">
        <v>1673</v>
      </c>
      <c r="BP11">
        <v>2803</v>
      </c>
      <c r="BQ11">
        <v>0</v>
      </c>
      <c r="BR11">
        <v>0</v>
      </c>
      <c r="BS11">
        <v>0</v>
      </c>
      <c r="BT11">
        <v>0</v>
      </c>
      <c r="BU11" s="33">
        <v>0</v>
      </c>
      <c r="BV11" s="33">
        <v>9432</v>
      </c>
      <c r="BW11" s="33">
        <v>25821</v>
      </c>
      <c r="BX11" s="33">
        <v>5973</v>
      </c>
      <c r="BY11" s="33">
        <v>10354</v>
      </c>
      <c r="BZ11" s="33">
        <v>0</v>
      </c>
      <c r="CA11" s="33">
        <v>10112</v>
      </c>
      <c r="CB11">
        <v>12312</v>
      </c>
      <c r="CC11">
        <v>46757</v>
      </c>
      <c r="CD11">
        <v>66786</v>
      </c>
      <c r="CE11">
        <v>5488</v>
      </c>
      <c r="CF11">
        <v>6111</v>
      </c>
      <c r="CG11">
        <v>0</v>
      </c>
      <c r="CH11">
        <v>1047</v>
      </c>
      <c r="CI11">
        <v>2359</v>
      </c>
      <c r="CJ11">
        <v>1878</v>
      </c>
      <c r="CK11">
        <v>3384</v>
      </c>
      <c r="CL11">
        <v>8254</v>
      </c>
      <c r="CM11">
        <v>0</v>
      </c>
      <c r="CN11">
        <v>0</v>
      </c>
      <c r="CO11">
        <v>19159</v>
      </c>
      <c r="CP11">
        <v>14606</v>
      </c>
      <c r="CQ11">
        <v>5559</v>
      </c>
      <c r="CR11">
        <v>3363</v>
      </c>
      <c r="CS11">
        <v>3616</v>
      </c>
      <c r="CT11">
        <v>5420</v>
      </c>
      <c r="CU11">
        <v>0</v>
      </c>
      <c r="CV11">
        <v>8635</v>
      </c>
      <c r="CW11">
        <v>14681</v>
      </c>
      <c r="CX11">
        <v>3149</v>
      </c>
      <c r="CY11">
        <v>3923</v>
      </c>
      <c r="CZ11">
        <v>17060</v>
      </c>
      <c r="DA11">
        <v>4454</v>
      </c>
      <c r="DB11">
        <v>0</v>
      </c>
      <c r="DC11">
        <v>11760</v>
      </c>
      <c r="DD11">
        <v>7672</v>
      </c>
      <c r="DE11">
        <v>5863</v>
      </c>
      <c r="DF11">
        <v>18586</v>
      </c>
      <c r="DG11">
        <v>25938</v>
      </c>
      <c r="DH11">
        <v>24802</v>
      </c>
      <c r="DI11">
        <v>0</v>
      </c>
      <c r="DJ11">
        <v>28002</v>
      </c>
      <c r="DK11">
        <v>12854</v>
      </c>
      <c r="DL11">
        <v>10075</v>
      </c>
      <c r="DM11">
        <v>2976</v>
      </c>
      <c r="DN11">
        <v>5825</v>
      </c>
      <c r="DO11">
        <v>7846</v>
      </c>
      <c r="DP11">
        <v>0</v>
      </c>
      <c r="DQ11">
        <v>1384</v>
      </c>
      <c r="DR11">
        <v>1204</v>
      </c>
      <c r="DS11">
        <v>11951</v>
      </c>
      <c r="DT11">
        <v>1004</v>
      </c>
      <c r="DU11">
        <v>544</v>
      </c>
      <c r="DV11">
        <v>8706</v>
      </c>
      <c r="DW11">
        <v>0</v>
      </c>
      <c r="DX11">
        <v>20357</v>
      </c>
      <c r="DY11">
        <v>12023</v>
      </c>
      <c r="DZ11">
        <v>14946</v>
      </c>
      <c r="EA11">
        <v>0</v>
      </c>
      <c r="EB11">
        <v>6682</v>
      </c>
      <c r="EC11">
        <v>5042</v>
      </c>
      <c r="ED11">
        <v>0</v>
      </c>
      <c r="EE11">
        <v>3596</v>
      </c>
      <c r="EF11">
        <v>10491</v>
      </c>
      <c r="EG11">
        <v>9922</v>
      </c>
      <c r="EH11">
        <v>1775</v>
      </c>
      <c r="EI11">
        <v>2783</v>
      </c>
      <c r="EJ11">
        <v>4710</v>
      </c>
      <c r="EK11">
        <v>0</v>
      </c>
      <c r="EL11">
        <v>32096</v>
      </c>
      <c r="EM11">
        <v>11471</v>
      </c>
      <c r="EN11">
        <v>19278</v>
      </c>
      <c r="EO11">
        <v>26423</v>
      </c>
      <c r="EP11">
        <v>19797</v>
      </c>
      <c r="EQ11">
        <v>16490</v>
      </c>
      <c r="ER11">
        <v>0</v>
      </c>
      <c r="ES11">
        <v>2962</v>
      </c>
      <c r="ET11">
        <v>12901</v>
      </c>
      <c r="EU11">
        <v>1282</v>
      </c>
      <c r="EV11">
        <v>9783</v>
      </c>
      <c r="EW11">
        <v>5892</v>
      </c>
      <c r="EX11">
        <v>5280</v>
      </c>
      <c r="EY11">
        <v>0</v>
      </c>
      <c r="EZ11">
        <v>1531</v>
      </c>
      <c r="FA11">
        <v>3119</v>
      </c>
      <c r="FB11">
        <v>8883</v>
      </c>
      <c r="FC11">
        <v>5901</v>
      </c>
      <c r="FD11">
        <v>12292</v>
      </c>
      <c r="FE11">
        <v>2149</v>
      </c>
      <c r="FF11">
        <v>0</v>
      </c>
      <c r="FG11">
        <v>8359</v>
      </c>
      <c r="FH11">
        <v>5585</v>
      </c>
      <c r="FI11">
        <v>3695</v>
      </c>
      <c r="FJ11">
        <v>1177</v>
      </c>
      <c r="FK11">
        <v>9783</v>
      </c>
      <c r="FL11">
        <v>0</v>
      </c>
      <c r="FM11">
        <v>0</v>
      </c>
      <c r="FN11">
        <v>25291</v>
      </c>
      <c r="FO11">
        <v>5401</v>
      </c>
      <c r="FP11">
        <v>7384</v>
      </c>
      <c r="FQ11">
        <v>21187</v>
      </c>
      <c r="FR11">
        <v>3829</v>
      </c>
      <c r="FS11">
        <v>0</v>
      </c>
      <c r="FT11">
        <v>0</v>
      </c>
      <c r="FU11">
        <v>0</v>
      </c>
      <c r="FV11">
        <v>18023</v>
      </c>
      <c r="FW11">
        <v>13822</v>
      </c>
      <c r="FX11">
        <v>12208</v>
      </c>
      <c r="FY11">
        <v>10704</v>
      </c>
      <c r="FZ11">
        <v>8866</v>
      </c>
      <c r="GA11">
        <v>0</v>
      </c>
      <c r="GB11">
        <v>11743</v>
      </c>
      <c r="GC11">
        <v>8063</v>
      </c>
      <c r="GD11">
        <v>10391</v>
      </c>
      <c r="GE11">
        <v>17693</v>
      </c>
      <c r="GF11">
        <v>13994</v>
      </c>
      <c r="GG11">
        <v>10908</v>
      </c>
      <c r="GH11">
        <v>0</v>
      </c>
      <c r="GI11">
        <v>16856</v>
      </c>
      <c r="GJ11">
        <v>15306</v>
      </c>
      <c r="GK11">
        <v>0</v>
      </c>
      <c r="GL11">
        <v>6102</v>
      </c>
      <c r="GM11">
        <v>13293</v>
      </c>
      <c r="GN11">
        <v>0</v>
      </c>
      <c r="GO11">
        <v>0</v>
      </c>
      <c r="GP11">
        <v>21586</v>
      </c>
      <c r="GQ11">
        <v>4255</v>
      </c>
      <c r="GR11">
        <v>20311</v>
      </c>
      <c r="GS11">
        <v>11858</v>
      </c>
      <c r="GT11">
        <v>28335</v>
      </c>
      <c r="GU11">
        <v>723</v>
      </c>
      <c r="GV11">
        <v>0</v>
      </c>
      <c r="GW11">
        <v>968</v>
      </c>
      <c r="GX11">
        <v>2629</v>
      </c>
      <c r="GY11">
        <v>5005</v>
      </c>
      <c r="GZ11">
        <v>1917</v>
      </c>
      <c r="HA11">
        <v>9703</v>
      </c>
      <c r="HB11">
        <v>14492</v>
      </c>
      <c r="HC11">
        <v>0</v>
      </c>
      <c r="HD11">
        <v>1032</v>
      </c>
      <c r="HE11">
        <v>6888</v>
      </c>
      <c r="HF11">
        <v>0</v>
      </c>
      <c r="HG11">
        <v>5276</v>
      </c>
      <c r="HH11">
        <v>1076</v>
      </c>
      <c r="HI11">
        <v>8208</v>
      </c>
      <c r="HJ11">
        <v>0</v>
      </c>
      <c r="HK11">
        <v>1400</v>
      </c>
      <c r="HL11">
        <v>6391</v>
      </c>
      <c r="HM11">
        <v>6241</v>
      </c>
      <c r="HN11">
        <v>10296</v>
      </c>
      <c r="HO11">
        <v>27944</v>
      </c>
      <c r="HP11">
        <v>8759</v>
      </c>
      <c r="HQ11">
        <v>0</v>
      </c>
      <c r="HR11">
        <v>0</v>
      </c>
      <c r="HS11">
        <v>22973</v>
      </c>
      <c r="HT11">
        <v>6396</v>
      </c>
      <c r="HU11">
        <v>19254</v>
      </c>
      <c r="HV11">
        <v>13942</v>
      </c>
      <c r="HW11">
        <v>14059</v>
      </c>
      <c r="HX11">
        <v>0</v>
      </c>
      <c r="HY11">
        <v>8097</v>
      </c>
      <c r="HZ11">
        <v>4978</v>
      </c>
      <c r="IA11">
        <v>7207</v>
      </c>
      <c r="IB11">
        <v>4911</v>
      </c>
      <c r="IC11">
        <v>10347</v>
      </c>
      <c r="ID11">
        <v>8975</v>
      </c>
      <c r="IE11">
        <v>0</v>
      </c>
      <c r="IF11">
        <v>7372</v>
      </c>
      <c r="IG11">
        <v>17406</v>
      </c>
      <c r="IH11">
        <v>15189</v>
      </c>
      <c r="II11">
        <v>8244</v>
      </c>
      <c r="IJ11">
        <v>23653</v>
      </c>
      <c r="IK11">
        <v>16381</v>
      </c>
      <c r="IL11">
        <v>0</v>
      </c>
      <c r="IM11">
        <v>16800</v>
      </c>
      <c r="IN11">
        <v>15041</v>
      </c>
      <c r="IO11">
        <v>11375</v>
      </c>
      <c r="IP11">
        <v>16848</v>
      </c>
      <c r="IQ11">
        <v>45097</v>
      </c>
      <c r="IR11">
        <v>7795</v>
      </c>
      <c r="IS11">
        <v>0</v>
      </c>
      <c r="IT11">
        <v>8133</v>
      </c>
      <c r="IU11">
        <v>5900</v>
      </c>
      <c r="IV11">
        <v>5979</v>
      </c>
      <c r="IW11">
        <v>9385</v>
      </c>
      <c r="IX11">
        <v>4004</v>
      </c>
      <c r="IY11">
        <v>2223</v>
      </c>
      <c r="IZ11">
        <v>0</v>
      </c>
      <c r="JA11">
        <v>1120</v>
      </c>
      <c r="JB11">
        <v>3709</v>
      </c>
      <c r="JC11">
        <v>10944</v>
      </c>
      <c r="JD11">
        <v>10209</v>
      </c>
      <c r="JE11">
        <v>8001</v>
      </c>
      <c r="JF11">
        <v>5347</v>
      </c>
      <c r="JG11">
        <v>0</v>
      </c>
      <c r="JH11">
        <v>8704</v>
      </c>
      <c r="JI11">
        <v>13177</v>
      </c>
      <c r="JJ11">
        <v>12797</v>
      </c>
      <c r="JK11">
        <v>15973</v>
      </c>
      <c r="JL11">
        <v>21796</v>
      </c>
      <c r="JM11">
        <v>19316</v>
      </c>
      <c r="JN11">
        <v>0</v>
      </c>
      <c r="JO11">
        <v>18441</v>
      </c>
      <c r="JP11">
        <v>12553</v>
      </c>
      <c r="JQ11">
        <v>14187</v>
      </c>
      <c r="JR11">
        <v>28811</v>
      </c>
      <c r="JS11">
        <v>13291</v>
      </c>
      <c r="JT11">
        <v>20913</v>
      </c>
      <c r="JU11">
        <v>0</v>
      </c>
      <c r="JV11">
        <v>13850</v>
      </c>
      <c r="JW11">
        <v>15333</v>
      </c>
      <c r="JX11">
        <v>0</v>
      </c>
      <c r="JY11">
        <v>5458</v>
      </c>
      <c r="JZ11">
        <v>622</v>
      </c>
      <c r="KA11">
        <v>1910</v>
      </c>
      <c r="KB11">
        <v>0</v>
      </c>
      <c r="KC11">
        <v>5564</v>
      </c>
      <c r="KD11">
        <v>6092</v>
      </c>
      <c r="KE11">
        <v>634</v>
      </c>
      <c r="KF11">
        <v>5644</v>
      </c>
      <c r="KG11">
        <v>10370</v>
      </c>
      <c r="KH11">
        <v>3520</v>
      </c>
      <c r="KI11">
        <v>0</v>
      </c>
      <c r="KJ11">
        <v>0</v>
      </c>
      <c r="KK11">
        <v>9154</v>
      </c>
      <c r="KL11">
        <v>8003</v>
      </c>
      <c r="KM11">
        <v>5381</v>
      </c>
      <c r="KN11">
        <v>739</v>
      </c>
      <c r="KO11">
        <v>8510</v>
      </c>
      <c r="KP11">
        <v>0</v>
      </c>
      <c r="KQ11">
        <v>17626</v>
      </c>
      <c r="KR11">
        <v>7448</v>
      </c>
      <c r="KS11">
        <v>13472</v>
      </c>
      <c r="KT11">
        <v>22055</v>
      </c>
      <c r="KU11">
        <v>4067</v>
      </c>
      <c r="KV11">
        <v>3472</v>
      </c>
      <c r="KW11">
        <v>0</v>
      </c>
      <c r="KX11">
        <v>237</v>
      </c>
      <c r="KY11">
        <v>1077</v>
      </c>
      <c r="KZ11">
        <v>3777</v>
      </c>
      <c r="LA11">
        <v>1911</v>
      </c>
      <c r="LB11">
        <v>7745</v>
      </c>
      <c r="LC11">
        <v>9909</v>
      </c>
      <c r="LD11">
        <v>0</v>
      </c>
      <c r="LE11">
        <v>16165</v>
      </c>
      <c r="LF11">
        <v>18462</v>
      </c>
      <c r="LG11">
        <v>11299</v>
      </c>
      <c r="LH11">
        <v>11130</v>
      </c>
      <c r="LI11">
        <v>18354</v>
      </c>
      <c r="LJ11">
        <v>11441</v>
      </c>
      <c r="LK11">
        <v>0</v>
      </c>
      <c r="LL11">
        <v>21322</v>
      </c>
      <c r="LM11">
        <v>3087</v>
      </c>
      <c r="LN11">
        <v>2498</v>
      </c>
      <c r="LO11">
        <v>11635</v>
      </c>
      <c r="LP11">
        <v>9466</v>
      </c>
      <c r="LQ11">
        <v>13749</v>
      </c>
      <c r="LR11">
        <v>0</v>
      </c>
      <c r="LS11">
        <v>17059</v>
      </c>
      <c r="LT11">
        <v>11207</v>
      </c>
      <c r="LU11">
        <v>12466</v>
      </c>
      <c r="LV11">
        <v>18641</v>
      </c>
      <c r="LW11">
        <v>20769</v>
      </c>
      <c r="LX11">
        <v>22167</v>
      </c>
      <c r="LY11">
        <v>0</v>
      </c>
      <c r="LZ11">
        <v>12288</v>
      </c>
      <c r="MA11">
        <v>21711</v>
      </c>
      <c r="MB11">
        <v>17681</v>
      </c>
      <c r="MC11">
        <v>32112</v>
      </c>
      <c r="MD11">
        <v>8329</v>
      </c>
      <c r="ME11">
        <v>24999</v>
      </c>
      <c r="MF11">
        <v>0</v>
      </c>
      <c r="MG11">
        <v>15770</v>
      </c>
      <c r="MH11">
        <v>20055</v>
      </c>
      <c r="MI11">
        <v>21620</v>
      </c>
      <c r="MJ11">
        <v>11823</v>
      </c>
      <c r="MK11">
        <v>30586</v>
      </c>
      <c r="ML11">
        <v>23050</v>
      </c>
      <c r="MM11">
        <v>0</v>
      </c>
      <c r="MN11">
        <v>12740</v>
      </c>
      <c r="MO11">
        <v>7867</v>
      </c>
      <c r="MP11">
        <v>8740</v>
      </c>
      <c r="MQ11">
        <v>12200</v>
      </c>
      <c r="MR11">
        <v>14647</v>
      </c>
      <c r="MS11">
        <v>20940</v>
      </c>
      <c r="MT11">
        <v>0</v>
      </c>
      <c r="MU11">
        <v>0</v>
      </c>
      <c r="MV11">
        <v>8359</v>
      </c>
      <c r="MW11">
        <v>5395</v>
      </c>
      <c r="MX11">
        <v>7796</v>
      </c>
      <c r="MY11">
        <v>11327</v>
      </c>
      <c r="MZ11">
        <v>13884</v>
      </c>
      <c r="NA11">
        <v>0</v>
      </c>
      <c r="NB11">
        <v>20858</v>
      </c>
      <c r="NC11">
        <v>19151</v>
      </c>
      <c r="ND11">
        <v>0</v>
      </c>
      <c r="NE11">
        <v>18893</v>
      </c>
      <c r="NF11">
        <v>16543</v>
      </c>
      <c r="NG11">
        <v>37307</v>
      </c>
      <c r="NH11">
        <v>0</v>
      </c>
      <c r="NI11">
        <v>34526</v>
      </c>
      <c r="NJ11">
        <v>10658</v>
      </c>
      <c r="NK11">
        <v>12564</v>
      </c>
      <c r="NL11">
        <v>19837</v>
      </c>
      <c r="NM11">
        <v>1781</v>
      </c>
      <c r="NN11">
        <v>10060</v>
      </c>
      <c r="NO11">
        <v>0</v>
      </c>
      <c r="NP11">
        <v>10687</v>
      </c>
      <c r="NQ11">
        <v>9519</v>
      </c>
      <c r="NR11">
        <v>8982</v>
      </c>
      <c r="NS11">
        <v>10203</v>
      </c>
      <c r="NT11">
        <v>9382</v>
      </c>
      <c r="NU11">
        <v>7034</v>
      </c>
      <c r="NV11">
        <v>0</v>
      </c>
      <c r="NW11">
        <v>13295</v>
      </c>
      <c r="NX11">
        <v>19942</v>
      </c>
      <c r="NY11">
        <v>11957</v>
      </c>
      <c r="NZ11">
        <v>16485</v>
      </c>
      <c r="OA11">
        <v>10161</v>
      </c>
      <c r="OB11">
        <v>5785</v>
      </c>
      <c r="OC11">
        <v>0</v>
      </c>
      <c r="OD11">
        <v>3643</v>
      </c>
      <c r="OE11">
        <v>10390</v>
      </c>
      <c r="OF11">
        <v>7435</v>
      </c>
      <c r="OG11">
        <v>23738</v>
      </c>
      <c r="OH11">
        <v>8830</v>
      </c>
      <c r="OI11">
        <v>6559</v>
      </c>
      <c r="OJ11">
        <v>0</v>
      </c>
      <c r="OK11">
        <v>6914</v>
      </c>
      <c r="OL11">
        <v>13780</v>
      </c>
      <c r="OM11">
        <v>24410</v>
      </c>
      <c r="ON11">
        <v>14163</v>
      </c>
      <c r="OO11">
        <v>11482</v>
      </c>
      <c r="OP11">
        <v>9506</v>
      </c>
      <c r="OQ11">
        <v>0</v>
      </c>
      <c r="OR11">
        <v>16014</v>
      </c>
      <c r="OS11">
        <v>6251</v>
      </c>
      <c r="OT11">
        <v>12358</v>
      </c>
      <c r="OU11">
        <v>0</v>
      </c>
      <c r="OV11">
        <v>12165</v>
      </c>
      <c r="OW11">
        <v>17351</v>
      </c>
      <c r="OX11">
        <v>0</v>
      </c>
      <c r="OY11">
        <v>20687</v>
      </c>
      <c r="OZ11">
        <v>18923</v>
      </c>
      <c r="PA11">
        <v>11551</v>
      </c>
      <c r="PB11">
        <v>564</v>
      </c>
      <c r="PC11">
        <v>3059</v>
      </c>
      <c r="PD11">
        <v>13670</v>
      </c>
      <c r="PE11">
        <v>0</v>
      </c>
      <c r="PF11">
        <v>18537</v>
      </c>
      <c r="PG11">
        <v>13096</v>
      </c>
      <c r="PH11">
        <v>12262</v>
      </c>
      <c r="PI11">
        <v>23541</v>
      </c>
      <c r="PJ11">
        <v>29583</v>
      </c>
      <c r="PK11">
        <v>7816</v>
      </c>
      <c r="PL11">
        <v>0</v>
      </c>
      <c r="PM11">
        <v>3730</v>
      </c>
      <c r="PN11">
        <v>13371</v>
      </c>
      <c r="PO11">
        <v>0</v>
      </c>
      <c r="PP11">
        <v>8135</v>
      </c>
      <c r="PQ11">
        <v>5094</v>
      </c>
      <c r="PR11">
        <v>2010</v>
      </c>
      <c r="PS11">
        <v>0</v>
      </c>
      <c r="PT11">
        <v>0</v>
      </c>
      <c r="PU11">
        <v>0</v>
      </c>
      <c r="PV11">
        <v>0</v>
      </c>
      <c r="PW11">
        <v>548</v>
      </c>
      <c r="PX11">
        <v>1076</v>
      </c>
      <c r="PY11">
        <v>4838</v>
      </c>
      <c r="PZ11">
        <v>0</v>
      </c>
      <c r="QA11">
        <v>2356</v>
      </c>
      <c r="QB11">
        <v>2850</v>
      </c>
      <c r="QC11">
        <v>917</v>
      </c>
      <c r="QD11">
        <v>2040</v>
      </c>
      <c r="QE11">
        <v>608</v>
      </c>
      <c r="QF11">
        <v>15082</v>
      </c>
      <c r="QG11">
        <v>0</v>
      </c>
      <c r="QH11">
        <v>0</v>
      </c>
      <c r="QI11">
        <v>24024</v>
      </c>
      <c r="QJ11">
        <v>7832</v>
      </c>
      <c r="QK11">
        <v>7704</v>
      </c>
      <c r="QL11">
        <v>15341</v>
      </c>
      <c r="QM11">
        <v>20880</v>
      </c>
      <c r="QN11">
        <v>0</v>
      </c>
      <c r="QO11">
        <v>10757</v>
      </c>
      <c r="QP11">
        <v>5757</v>
      </c>
      <c r="QQ11">
        <v>9766</v>
      </c>
      <c r="QR11">
        <v>8617</v>
      </c>
      <c r="QS11">
        <v>6649</v>
      </c>
      <c r="QT11">
        <v>11348</v>
      </c>
      <c r="QU11">
        <v>0</v>
      </c>
      <c r="QV11">
        <v>5104</v>
      </c>
      <c r="QW11">
        <v>12691</v>
      </c>
      <c r="QX11">
        <v>5447</v>
      </c>
      <c r="QY11">
        <v>3663</v>
      </c>
      <c r="QZ11">
        <v>2556</v>
      </c>
      <c r="RA11">
        <v>10836</v>
      </c>
      <c r="RB11">
        <v>0</v>
      </c>
      <c r="RC11">
        <v>8698</v>
      </c>
      <c r="RD11">
        <v>4546</v>
      </c>
      <c r="RE11">
        <v>8715</v>
      </c>
      <c r="RF11">
        <v>3777</v>
      </c>
      <c r="RG11">
        <v>3125</v>
      </c>
      <c r="RH11">
        <v>0</v>
      </c>
      <c r="RI11">
        <v>0</v>
      </c>
      <c r="RJ11">
        <v>8264</v>
      </c>
      <c r="RK11">
        <v>7876</v>
      </c>
      <c r="RL11">
        <v>3373</v>
      </c>
      <c r="RM11">
        <v>4394</v>
      </c>
      <c r="RN11">
        <v>6608</v>
      </c>
      <c r="RO11">
        <v>3896</v>
      </c>
      <c r="RP11">
        <v>0</v>
      </c>
      <c r="RQ11">
        <v>2957</v>
      </c>
      <c r="RR11">
        <v>10984</v>
      </c>
      <c r="RS11">
        <v>1580</v>
      </c>
      <c r="RT11">
        <v>9284</v>
      </c>
      <c r="RU11">
        <v>15556</v>
      </c>
      <c r="RV11">
        <v>2380</v>
      </c>
      <c r="RW11">
        <v>0</v>
      </c>
      <c r="RX11">
        <v>645</v>
      </c>
      <c r="RY11">
        <v>7376</v>
      </c>
      <c r="RZ11">
        <v>7894</v>
      </c>
      <c r="SA11">
        <v>10080</v>
      </c>
      <c r="SB11">
        <v>6346</v>
      </c>
      <c r="SC11">
        <v>6891</v>
      </c>
      <c r="SD11">
        <v>0</v>
      </c>
      <c r="SE11">
        <v>1056</v>
      </c>
      <c r="SF11">
        <v>6544</v>
      </c>
      <c r="SG11">
        <v>15474</v>
      </c>
      <c r="SH11">
        <v>7116</v>
      </c>
      <c r="SI11">
        <v>2985</v>
      </c>
      <c r="SJ11">
        <v>5768</v>
      </c>
      <c r="SK11">
        <v>0</v>
      </c>
      <c r="SL11">
        <v>3430</v>
      </c>
      <c r="SM11">
        <v>5022</v>
      </c>
      <c r="SN11">
        <v>4971</v>
      </c>
      <c r="SO11">
        <v>15305</v>
      </c>
      <c r="SP11">
        <v>27964</v>
      </c>
      <c r="SQ11">
        <v>19960</v>
      </c>
      <c r="SR11">
        <v>0</v>
      </c>
      <c r="SS11">
        <v>12139</v>
      </c>
      <c r="ST11">
        <v>15517</v>
      </c>
      <c r="SU11">
        <v>26428</v>
      </c>
      <c r="SV11">
        <v>14726</v>
      </c>
      <c r="SW11">
        <v>30560</v>
      </c>
      <c r="SX11">
        <v>16719</v>
      </c>
      <c r="SY11">
        <v>0</v>
      </c>
      <c r="SZ11">
        <v>11223</v>
      </c>
      <c r="TA11">
        <v>19937</v>
      </c>
      <c r="TB11">
        <v>15583</v>
      </c>
      <c r="TC11">
        <v>7944</v>
      </c>
      <c r="TD11">
        <v>12399</v>
      </c>
      <c r="TE11">
        <v>2373</v>
      </c>
      <c r="TF11">
        <v>0</v>
      </c>
      <c r="TG11">
        <v>2784</v>
      </c>
      <c r="TH11">
        <v>2679</v>
      </c>
      <c r="TI11">
        <v>3306</v>
      </c>
      <c r="TJ11">
        <v>11072</v>
      </c>
      <c r="TK11">
        <v>12865</v>
      </c>
      <c r="TL11">
        <v>14512</v>
      </c>
      <c r="TM11">
        <v>0</v>
      </c>
      <c r="TN11">
        <v>0</v>
      </c>
      <c r="TO11">
        <v>30594</v>
      </c>
      <c r="TP11">
        <v>11746</v>
      </c>
      <c r="TQ11">
        <v>5173</v>
      </c>
      <c r="TR11">
        <v>13587</v>
      </c>
      <c r="TS11">
        <v>22837</v>
      </c>
      <c r="TT11">
        <v>0</v>
      </c>
      <c r="TU11">
        <v>0</v>
      </c>
      <c r="TV11">
        <v>0</v>
      </c>
      <c r="TW11">
        <v>16637</v>
      </c>
      <c r="TX11">
        <v>7157</v>
      </c>
      <c r="TY11">
        <v>26108</v>
      </c>
      <c r="TZ11">
        <v>19743</v>
      </c>
      <c r="UA11">
        <v>0</v>
      </c>
      <c r="UB11">
        <v>62079</v>
      </c>
      <c r="UC11">
        <v>24849</v>
      </c>
      <c r="UD11">
        <v>5363</v>
      </c>
      <c r="UE11">
        <v>8251</v>
      </c>
      <c r="UF11">
        <v>8916</v>
      </c>
      <c r="UG11">
        <v>11882</v>
      </c>
      <c r="UH11">
        <v>0</v>
      </c>
      <c r="UI11">
        <v>2832</v>
      </c>
      <c r="UJ11">
        <v>8398</v>
      </c>
      <c r="UK11">
        <v>4410</v>
      </c>
      <c r="UL11">
        <v>0</v>
      </c>
      <c r="UM11">
        <v>3377</v>
      </c>
      <c r="UN11">
        <v>8030</v>
      </c>
      <c r="UO11">
        <v>0</v>
      </c>
      <c r="UP11">
        <v>5171</v>
      </c>
      <c r="UQ11">
        <v>9902</v>
      </c>
      <c r="UR11">
        <v>8504</v>
      </c>
      <c r="US11">
        <v>25483</v>
      </c>
      <c r="UT11">
        <v>22811</v>
      </c>
      <c r="UU11">
        <v>0</v>
      </c>
      <c r="UV11">
        <v>0</v>
      </c>
      <c r="UW11">
        <v>0</v>
      </c>
      <c r="UX11">
        <v>41722</v>
      </c>
      <c r="UY11">
        <v>10170</v>
      </c>
      <c r="UZ11">
        <v>15928</v>
      </c>
      <c r="VA11">
        <v>22239</v>
      </c>
      <c r="VB11">
        <v>4964</v>
      </c>
      <c r="VC11">
        <v>0</v>
      </c>
      <c r="VD11">
        <v>8760</v>
      </c>
      <c r="VE11">
        <v>29816</v>
      </c>
      <c r="VF11">
        <v>27387</v>
      </c>
      <c r="VG11">
        <v>13760</v>
      </c>
      <c r="VH11">
        <v>15754</v>
      </c>
      <c r="VI11">
        <v>35440</v>
      </c>
      <c r="VJ11">
        <v>0</v>
      </c>
      <c r="VK11">
        <v>15057</v>
      </c>
      <c r="VL11">
        <v>27078</v>
      </c>
      <c r="VM11">
        <v>7301</v>
      </c>
      <c r="VN11">
        <v>11992</v>
      </c>
      <c r="VO11">
        <v>10933</v>
      </c>
      <c r="VP11">
        <v>5074</v>
      </c>
      <c r="VQ11">
        <v>0</v>
      </c>
      <c r="VR11">
        <v>5565</v>
      </c>
      <c r="VS11">
        <v>0</v>
      </c>
      <c r="VT11">
        <v>2401</v>
      </c>
      <c r="VU11">
        <v>6001</v>
      </c>
      <c r="VV11">
        <v>8207</v>
      </c>
      <c r="VW11">
        <v>6342</v>
      </c>
      <c r="VX11">
        <v>0</v>
      </c>
      <c r="VY11">
        <v>2254</v>
      </c>
      <c r="VZ11">
        <v>952</v>
      </c>
      <c r="WA11">
        <v>1773</v>
      </c>
      <c r="WB11">
        <v>1265</v>
      </c>
      <c r="WC11">
        <v>27185</v>
      </c>
      <c r="WD11">
        <v>7550</v>
      </c>
      <c r="WE11">
        <v>0</v>
      </c>
      <c r="WF11">
        <v>4639</v>
      </c>
      <c r="WG11">
        <v>20810</v>
      </c>
      <c r="WH11">
        <v>24242</v>
      </c>
      <c r="WI11">
        <v>10496</v>
      </c>
      <c r="WJ11">
        <v>10219</v>
      </c>
      <c r="WK11">
        <v>7402</v>
      </c>
      <c r="WL11">
        <v>0</v>
      </c>
      <c r="WM11">
        <v>31004</v>
      </c>
      <c r="WN11">
        <v>1874</v>
      </c>
      <c r="WO11">
        <v>23895</v>
      </c>
      <c r="WP11">
        <v>14764</v>
      </c>
      <c r="WQ11">
        <v>13028</v>
      </c>
      <c r="WR11">
        <v>6425</v>
      </c>
      <c r="WS11">
        <v>0</v>
      </c>
      <c r="WT11">
        <v>3554</v>
      </c>
      <c r="WU11">
        <v>1130</v>
      </c>
      <c r="WV11">
        <v>11436</v>
      </c>
      <c r="WW11">
        <v>1282</v>
      </c>
      <c r="WX11">
        <v>12903</v>
      </c>
      <c r="WY11">
        <v>9970</v>
      </c>
      <c r="WZ11">
        <v>0</v>
      </c>
      <c r="XA11">
        <v>20243</v>
      </c>
      <c r="XB11">
        <v>6010</v>
      </c>
      <c r="XC11">
        <v>11194</v>
      </c>
      <c r="XD11">
        <v>3743</v>
      </c>
      <c r="XE11">
        <v>10133</v>
      </c>
      <c r="XF11">
        <v>5814</v>
      </c>
      <c r="XG11">
        <v>0</v>
      </c>
      <c r="XH11">
        <v>5932</v>
      </c>
      <c r="XI11">
        <v>4384</v>
      </c>
      <c r="XJ11">
        <v>9035</v>
      </c>
      <c r="XK11">
        <v>15800</v>
      </c>
      <c r="XL11">
        <v>7526</v>
      </c>
      <c r="XM11">
        <v>10255</v>
      </c>
      <c r="XN11">
        <v>0</v>
      </c>
      <c r="XO11">
        <v>4550</v>
      </c>
      <c r="XP11">
        <v>987</v>
      </c>
      <c r="XQ11">
        <v>2789</v>
      </c>
      <c r="XR11">
        <v>11608</v>
      </c>
      <c r="XS11">
        <v>9371</v>
      </c>
      <c r="XT11">
        <v>16798</v>
      </c>
      <c r="XU11">
        <v>0</v>
      </c>
      <c r="XV11">
        <v>0</v>
      </c>
      <c r="XW11">
        <v>11763</v>
      </c>
      <c r="XX11">
        <v>18794</v>
      </c>
      <c r="XY11">
        <v>19071</v>
      </c>
      <c r="XZ11">
        <v>10085</v>
      </c>
      <c r="YA11">
        <v>4794</v>
      </c>
      <c r="YB11">
        <v>481</v>
      </c>
      <c r="YC11">
        <v>6383</v>
      </c>
      <c r="YD11">
        <v>8596</v>
      </c>
      <c r="YE11">
        <v>8992</v>
      </c>
      <c r="YF11">
        <v>6852</v>
      </c>
      <c r="YG11">
        <v>11241</v>
      </c>
      <c r="YH11">
        <v>11241</v>
      </c>
      <c r="YI11">
        <v>0</v>
      </c>
      <c r="YJ11">
        <v>21972</v>
      </c>
      <c r="YK11">
        <v>0</v>
      </c>
      <c r="YL11">
        <v>32</v>
      </c>
      <c r="YM11">
        <v>5951</v>
      </c>
      <c r="YN11">
        <v>4301</v>
      </c>
      <c r="YO11">
        <v>11279</v>
      </c>
      <c r="YP11">
        <v>0</v>
      </c>
      <c r="YQ11">
        <v>3519</v>
      </c>
      <c r="YR11">
        <v>4157</v>
      </c>
      <c r="YS11">
        <v>10982</v>
      </c>
      <c r="YT11">
        <v>8854</v>
      </c>
      <c r="YU11">
        <v>8957</v>
      </c>
      <c r="YV11">
        <v>3403</v>
      </c>
      <c r="YW11">
        <v>0</v>
      </c>
      <c r="YX11">
        <v>2944</v>
      </c>
      <c r="YY11">
        <v>8345</v>
      </c>
      <c r="YZ11">
        <v>18691</v>
      </c>
      <c r="ZA11">
        <v>18848</v>
      </c>
      <c r="ZB11">
        <v>39540</v>
      </c>
      <c r="ZC11">
        <v>6773</v>
      </c>
      <c r="ZD11">
        <v>0</v>
      </c>
      <c r="ZE11">
        <v>9700</v>
      </c>
      <c r="ZF11">
        <v>2898</v>
      </c>
      <c r="ZG11">
        <v>4935</v>
      </c>
      <c r="ZH11">
        <v>12892</v>
      </c>
      <c r="ZI11">
        <v>5709</v>
      </c>
      <c r="ZJ11">
        <v>13347</v>
      </c>
      <c r="ZK11">
        <v>4636</v>
      </c>
      <c r="ZL11">
        <v>3590</v>
      </c>
      <c r="ZM11">
        <v>10221</v>
      </c>
      <c r="ZN11">
        <v>0</v>
      </c>
      <c r="ZO11">
        <v>27469</v>
      </c>
      <c r="ZP11">
        <v>24259</v>
      </c>
      <c r="ZQ11">
        <v>18155</v>
      </c>
      <c r="ZR11">
        <v>0</v>
      </c>
      <c r="ZS11">
        <v>21162</v>
      </c>
      <c r="ZT11">
        <v>6778</v>
      </c>
      <c r="ZU11">
        <v>13794</v>
      </c>
      <c r="ZV11">
        <v>9971</v>
      </c>
      <c r="ZW11">
        <v>9163</v>
      </c>
      <c r="ZX11">
        <v>18724</v>
      </c>
      <c r="ZY11">
        <v>0</v>
      </c>
      <c r="ZZ11">
        <v>6796</v>
      </c>
      <c r="AAA11">
        <v>20161</v>
      </c>
      <c r="AAB11">
        <v>12422</v>
      </c>
      <c r="AAC11">
        <v>12479</v>
      </c>
      <c r="AAD11">
        <v>28509</v>
      </c>
      <c r="AAE11">
        <v>33808</v>
      </c>
      <c r="AAF11">
        <v>0</v>
      </c>
      <c r="AAG11">
        <v>13767</v>
      </c>
      <c r="AAH11">
        <v>23782</v>
      </c>
      <c r="AAI11">
        <v>52019</v>
      </c>
      <c r="AAJ11">
        <v>49243</v>
      </c>
      <c r="AAK11">
        <v>23687</v>
      </c>
      <c r="AAL11">
        <v>30989</v>
      </c>
      <c r="AAM11">
        <v>0</v>
      </c>
      <c r="AAN11">
        <v>35604</v>
      </c>
      <c r="AAO11">
        <v>4535</v>
      </c>
      <c r="AAP11">
        <v>5396</v>
      </c>
      <c r="AAQ11">
        <v>120</v>
      </c>
      <c r="AAR11">
        <v>12071</v>
      </c>
      <c r="AAS11">
        <v>14802</v>
      </c>
      <c r="AAT11">
        <v>0</v>
      </c>
      <c r="AAU11">
        <v>0</v>
      </c>
      <c r="AAV11">
        <v>26104</v>
      </c>
      <c r="AAW11">
        <v>15502</v>
      </c>
      <c r="AAX11">
        <v>10904</v>
      </c>
      <c r="AAY11">
        <v>25676</v>
      </c>
      <c r="AAZ11">
        <v>20286</v>
      </c>
      <c r="ABA11">
        <v>0</v>
      </c>
      <c r="ABB11">
        <v>9415</v>
      </c>
      <c r="ABC11">
        <v>4625</v>
      </c>
      <c r="ABD11">
        <v>5136</v>
      </c>
      <c r="ABE11">
        <v>0</v>
      </c>
      <c r="ABF11">
        <v>27745</v>
      </c>
      <c r="ABG11">
        <v>25675</v>
      </c>
      <c r="ABH11">
        <v>0</v>
      </c>
      <c r="ABI11">
        <v>30354</v>
      </c>
      <c r="ABJ11">
        <v>26016</v>
      </c>
      <c r="ABK11">
        <v>23907</v>
      </c>
      <c r="ABL11">
        <v>37141</v>
      </c>
      <c r="ABM11">
        <v>25351</v>
      </c>
      <c r="ABN11">
        <v>38061</v>
      </c>
      <c r="ABO11">
        <v>0</v>
      </c>
      <c r="ABP11">
        <v>60849</v>
      </c>
      <c r="ABQ11">
        <v>26575</v>
      </c>
      <c r="ABR11">
        <v>21758</v>
      </c>
      <c r="ABS11">
        <v>19097</v>
      </c>
      <c r="ABT11">
        <v>5609</v>
      </c>
      <c r="ABU11">
        <v>14910</v>
      </c>
      <c r="ABV11">
        <v>0</v>
      </c>
      <c r="ABW11">
        <v>17366</v>
      </c>
      <c r="ABX11">
        <v>887</v>
      </c>
      <c r="ABY11">
        <v>13436</v>
      </c>
      <c r="ABZ11">
        <v>62210</v>
      </c>
      <c r="ACA11">
        <v>40565</v>
      </c>
      <c r="ACB11">
        <v>24992</v>
      </c>
      <c r="ACC11">
        <v>0</v>
      </c>
      <c r="ACD11">
        <v>29726</v>
      </c>
      <c r="ACE11">
        <v>26666</v>
      </c>
      <c r="ACF11">
        <v>34627</v>
      </c>
      <c r="ACG11">
        <v>5914</v>
      </c>
      <c r="ACH11">
        <v>16845</v>
      </c>
      <c r="ACI11">
        <v>4452</v>
      </c>
      <c r="ACJ11">
        <v>0</v>
      </c>
      <c r="ACK11">
        <v>8513</v>
      </c>
      <c r="ACL11">
        <v>24522</v>
      </c>
      <c r="ACM11">
        <v>4614</v>
      </c>
      <c r="ACN11">
        <v>4495</v>
      </c>
      <c r="ACO11">
        <v>13080</v>
      </c>
      <c r="ACP11">
        <v>22905</v>
      </c>
      <c r="ACQ11">
        <v>0</v>
      </c>
      <c r="ACR11">
        <v>53366</v>
      </c>
      <c r="ACS11">
        <v>16627</v>
      </c>
      <c r="ACT11">
        <v>25220</v>
      </c>
      <c r="ACU11">
        <v>9704</v>
      </c>
      <c r="ACV11">
        <v>0</v>
      </c>
      <c r="ACW11">
        <v>2772</v>
      </c>
      <c r="ACX11">
        <v>2633</v>
      </c>
      <c r="ACY11">
        <v>5269</v>
      </c>
      <c r="ACZ11">
        <v>2784</v>
      </c>
      <c r="ADA11">
        <v>19653</v>
      </c>
      <c r="ADB11">
        <v>6438</v>
      </c>
      <c r="ADC11">
        <v>7394</v>
      </c>
      <c r="ADD11">
        <v>7394</v>
      </c>
      <c r="ADE11">
        <v>2461</v>
      </c>
      <c r="ADF11">
        <v>13033</v>
      </c>
      <c r="ADG11">
        <v>7143</v>
      </c>
      <c r="ADH11">
        <v>3270</v>
      </c>
      <c r="ADI11">
        <v>13563</v>
      </c>
      <c r="ADJ11">
        <v>18159</v>
      </c>
      <c r="ADK11">
        <v>18159</v>
      </c>
      <c r="ADL11">
        <v>0</v>
      </c>
      <c r="ADM11">
        <v>2242</v>
      </c>
      <c r="ADN11">
        <v>7807</v>
      </c>
      <c r="ADO11">
        <v>4276</v>
      </c>
      <c r="ADP11">
        <v>22025</v>
      </c>
      <c r="ADQ11">
        <v>9032</v>
      </c>
      <c r="ADR11">
        <v>11423</v>
      </c>
      <c r="ADS11">
        <v>0</v>
      </c>
      <c r="ADT11">
        <v>0</v>
      </c>
      <c r="ADU11">
        <v>7023</v>
      </c>
      <c r="ADV11">
        <v>0</v>
      </c>
      <c r="ADW11">
        <v>0</v>
      </c>
      <c r="ADX11">
        <v>12757</v>
      </c>
      <c r="ADY11">
        <v>12636</v>
      </c>
      <c r="ADZ11">
        <v>0</v>
      </c>
      <c r="AEA11">
        <v>11241</v>
      </c>
      <c r="AEB11">
        <v>24060</v>
      </c>
      <c r="AEC11">
        <v>29775</v>
      </c>
      <c r="AED11">
        <v>8417</v>
      </c>
      <c r="AEE11">
        <v>6056</v>
      </c>
      <c r="AEF11">
        <v>6090</v>
      </c>
      <c r="AEG11">
        <v>0</v>
      </c>
      <c r="AEH11">
        <v>9995</v>
      </c>
      <c r="AEI11">
        <v>8491</v>
      </c>
      <c r="AEJ11">
        <v>8695</v>
      </c>
      <c r="AEK11">
        <v>6506</v>
      </c>
      <c r="AEL11">
        <v>6602</v>
      </c>
      <c r="AEM11">
        <v>8646</v>
      </c>
      <c r="AEN11">
        <v>0</v>
      </c>
      <c r="AEO11">
        <v>3017</v>
      </c>
      <c r="AEP11">
        <v>8476</v>
      </c>
      <c r="AEQ11">
        <v>4041</v>
      </c>
      <c r="AER11">
        <v>2745</v>
      </c>
      <c r="AES11">
        <v>5714</v>
      </c>
      <c r="AET11">
        <v>3422</v>
      </c>
      <c r="AEU11">
        <v>0</v>
      </c>
      <c r="AEV11">
        <v>17260</v>
      </c>
      <c r="AEW11">
        <v>10971</v>
      </c>
      <c r="AEX11">
        <v>13707</v>
      </c>
      <c r="AEY11">
        <v>11586</v>
      </c>
      <c r="AEZ11">
        <v>2299</v>
      </c>
      <c r="AFA11">
        <v>11230</v>
      </c>
      <c r="AFB11">
        <v>0</v>
      </c>
      <c r="AFC11">
        <v>6090</v>
      </c>
      <c r="AFD11">
        <v>4473</v>
      </c>
      <c r="AFE11">
        <v>6771</v>
      </c>
      <c r="AFF11">
        <v>9321</v>
      </c>
      <c r="AFG11">
        <v>47465</v>
      </c>
      <c r="AFH11">
        <v>17420</v>
      </c>
      <c r="AFI11">
        <v>0</v>
      </c>
      <c r="AFJ11">
        <v>8800</v>
      </c>
      <c r="AFK11">
        <v>16243</v>
      </c>
      <c r="AFL11">
        <v>23006</v>
      </c>
      <c r="AFM11">
        <v>9827</v>
      </c>
      <c r="AFN11">
        <v>6585</v>
      </c>
      <c r="AFO11">
        <v>3210</v>
      </c>
      <c r="AFP11">
        <v>0</v>
      </c>
      <c r="AFQ11">
        <v>5047</v>
      </c>
      <c r="AFR11">
        <v>798</v>
      </c>
      <c r="AFS11">
        <v>27980</v>
      </c>
      <c r="AFT11">
        <v>7630</v>
      </c>
      <c r="AFU11">
        <v>14167</v>
      </c>
      <c r="AFV11">
        <v>35350</v>
      </c>
      <c r="AFW11">
        <v>0</v>
      </c>
      <c r="AFX11">
        <v>10306</v>
      </c>
      <c r="AFY11">
        <v>621</v>
      </c>
      <c r="AFZ11">
        <v>8131</v>
      </c>
      <c r="AGA11">
        <v>6466</v>
      </c>
      <c r="AGB11">
        <v>9139</v>
      </c>
      <c r="AGC11">
        <v>14347</v>
      </c>
      <c r="AGD11">
        <v>0</v>
      </c>
      <c r="AGE11">
        <v>7224</v>
      </c>
      <c r="AGF11">
        <v>16593</v>
      </c>
      <c r="AGG11">
        <v>11702</v>
      </c>
      <c r="AGH11">
        <v>3824</v>
      </c>
      <c r="AGI11">
        <v>66114</v>
      </c>
      <c r="AGJ11">
        <v>0</v>
      </c>
      <c r="AGK11">
        <v>0</v>
      </c>
      <c r="AGL11">
        <v>10205</v>
      </c>
      <c r="AGM11">
        <v>17774</v>
      </c>
      <c r="AGN11">
        <v>268</v>
      </c>
      <c r="AGO11">
        <v>8774</v>
      </c>
      <c r="AGP11">
        <v>52953</v>
      </c>
      <c r="AGQ11">
        <v>18558</v>
      </c>
      <c r="AGR11">
        <v>0</v>
      </c>
      <c r="AGS11">
        <v>16133</v>
      </c>
      <c r="AGT11">
        <v>24555</v>
      </c>
      <c r="AGU11">
        <v>27466</v>
      </c>
      <c r="AGV11">
        <v>12713</v>
      </c>
      <c r="AGW11">
        <v>14173</v>
      </c>
      <c r="AGX11">
        <v>18575</v>
      </c>
      <c r="AGY11">
        <v>0</v>
      </c>
      <c r="AGZ11">
        <v>23963</v>
      </c>
      <c r="AHA11">
        <v>40541</v>
      </c>
      <c r="AHB11">
        <v>27087</v>
      </c>
      <c r="AHC11">
        <v>12906</v>
      </c>
      <c r="AHD11">
        <v>7417</v>
      </c>
      <c r="AHE11">
        <v>8376</v>
      </c>
      <c r="AHH11">
        <v>0</v>
      </c>
      <c r="AHI11">
        <v>9941</v>
      </c>
      <c r="AHJ11">
        <v>17235</v>
      </c>
      <c r="AHK11">
        <v>13885</v>
      </c>
      <c r="AHL11">
        <v>19566</v>
      </c>
      <c r="AHM11">
        <v>0</v>
      </c>
      <c r="AHN11">
        <v>0</v>
      </c>
      <c r="AHO11">
        <v>12363</v>
      </c>
      <c r="AHP11">
        <v>4470</v>
      </c>
      <c r="AHQ11">
        <v>2800</v>
      </c>
      <c r="AHR11">
        <v>13496</v>
      </c>
      <c r="AHS11">
        <v>7370</v>
      </c>
      <c r="AHT11">
        <v>0</v>
      </c>
      <c r="AHU11">
        <v>0</v>
      </c>
      <c r="AHV11">
        <v>0</v>
      </c>
      <c r="AHW11">
        <v>2236</v>
      </c>
      <c r="AHX11">
        <v>8113</v>
      </c>
      <c r="AHY11">
        <v>6703</v>
      </c>
      <c r="AHZ11">
        <v>9677</v>
      </c>
      <c r="AIA11">
        <v>0</v>
      </c>
      <c r="AIB11">
        <v>16693</v>
      </c>
      <c r="AIC11">
        <v>27829</v>
      </c>
      <c r="AID11">
        <v>22768</v>
      </c>
      <c r="AIE11">
        <v>8040</v>
      </c>
      <c r="AIF11">
        <v>41940</v>
      </c>
      <c r="AIG11">
        <v>25220</v>
      </c>
      <c r="AIH11">
        <v>0</v>
      </c>
      <c r="AII11">
        <v>12093</v>
      </c>
      <c r="AIJ11">
        <v>3561</v>
      </c>
      <c r="AIK11">
        <v>0</v>
      </c>
      <c r="AIL11">
        <v>274</v>
      </c>
      <c r="AIM11">
        <v>0</v>
      </c>
      <c r="AIN11">
        <v>5023</v>
      </c>
      <c r="AIO11">
        <v>0</v>
      </c>
      <c r="AIP11">
        <v>0</v>
      </c>
      <c r="AIQ11">
        <v>4926</v>
      </c>
      <c r="AIR11">
        <v>1</v>
      </c>
      <c r="AIS11">
        <v>7595</v>
      </c>
      <c r="AIT11">
        <v>76440</v>
      </c>
      <c r="AIU11">
        <v>3347</v>
      </c>
      <c r="AIV11">
        <v>0</v>
      </c>
      <c r="AIW11">
        <v>1353</v>
      </c>
      <c r="AIX11">
        <v>1359</v>
      </c>
      <c r="AIY11">
        <v>5540</v>
      </c>
      <c r="AIZ11">
        <v>12586</v>
      </c>
      <c r="AJA11">
        <v>19363</v>
      </c>
      <c r="AJB11">
        <v>13176</v>
      </c>
      <c r="AJC11">
        <v>0</v>
      </c>
      <c r="AJD11">
        <v>27549</v>
      </c>
      <c r="AJE11">
        <v>27298</v>
      </c>
      <c r="AJF11">
        <v>20149</v>
      </c>
      <c r="AJG11">
        <v>24565</v>
      </c>
      <c r="AJH11">
        <v>29114</v>
      </c>
      <c r="AJI11">
        <v>23755</v>
      </c>
      <c r="AJJ11">
        <v>0</v>
      </c>
      <c r="AJK11">
        <v>3270</v>
      </c>
      <c r="AJL11">
        <v>1969</v>
      </c>
      <c r="AJM11">
        <v>0</v>
      </c>
      <c r="AJN11">
        <v>1143</v>
      </c>
      <c r="AJO11">
        <v>11077</v>
      </c>
      <c r="AJP11">
        <v>10080</v>
      </c>
      <c r="AJQ11">
        <v>0</v>
      </c>
      <c r="AJR11">
        <v>0</v>
      </c>
      <c r="AJS11">
        <v>5293</v>
      </c>
      <c r="AJT11">
        <v>0</v>
      </c>
      <c r="AJU11">
        <v>1239</v>
      </c>
      <c r="AJV11">
        <v>9357</v>
      </c>
      <c r="AJW11">
        <v>14831</v>
      </c>
      <c r="AJX11">
        <v>0</v>
      </c>
      <c r="AJY11">
        <v>17938</v>
      </c>
      <c r="AJZ11">
        <v>1560</v>
      </c>
      <c r="AKA11">
        <v>8988</v>
      </c>
      <c r="AKB11">
        <v>18273</v>
      </c>
      <c r="AKC11">
        <v>17659</v>
      </c>
      <c r="AKD11">
        <v>19158</v>
      </c>
      <c r="AKE11">
        <v>0</v>
      </c>
      <c r="AKF11">
        <v>2848</v>
      </c>
    </row>
    <row r="12" spans="1:1010">
      <c r="A12">
        <v>10</v>
      </c>
      <c r="B12" t="s">
        <v>104</v>
      </c>
      <c r="C12" s="1">
        <v>82630</v>
      </c>
      <c r="D12" s="2" t="s">
        <v>28</v>
      </c>
      <c r="E12" s="3" t="s">
        <v>88</v>
      </c>
      <c r="F12" s="1" t="s">
        <v>17</v>
      </c>
      <c r="G12" s="1" t="s">
        <v>12</v>
      </c>
      <c r="H12" s="1" t="s">
        <v>103</v>
      </c>
      <c r="I12" s="1" t="s">
        <v>45</v>
      </c>
      <c r="J12" s="1" t="s">
        <v>46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 s="31">
        <v>0</v>
      </c>
      <c r="HQ12" s="31">
        <v>0</v>
      </c>
      <c r="HR12" s="31">
        <v>0</v>
      </c>
      <c r="HS12" s="31">
        <v>0</v>
      </c>
      <c r="HT12" s="31">
        <v>0</v>
      </c>
      <c r="HU12" s="31">
        <v>0</v>
      </c>
      <c r="HV12" s="31">
        <v>0</v>
      </c>
      <c r="HW12" s="31">
        <v>0</v>
      </c>
      <c r="HX12" s="31">
        <v>0</v>
      </c>
      <c r="HY12" s="31">
        <v>0</v>
      </c>
      <c r="HZ12" s="31">
        <v>0</v>
      </c>
      <c r="IA12" s="31">
        <v>0</v>
      </c>
      <c r="IB12" s="31">
        <v>0</v>
      </c>
      <c r="IC12" s="31">
        <v>0</v>
      </c>
      <c r="ID12" s="31">
        <v>0</v>
      </c>
      <c r="IE12" s="31">
        <v>0</v>
      </c>
      <c r="IF12" s="31">
        <v>0</v>
      </c>
      <c r="IG12" s="31">
        <v>0</v>
      </c>
      <c r="IH12" s="31">
        <v>0</v>
      </c>
      <c r="II12" s="31">
        <v>0</v>
      </c>
      <c r="IJ12" s="31">
        <v>0</v>
      </c>
      <c r="IK12" s="31">
        <v>0</v>
      </c>
      <c r="IL12" s="31">
        <v>0</v>
      </c>
      <c r="IM12" s="31">
        <v>0</v>
      </c>
      <c r="IN12" s="31">
        <v>0</v>
      </c>
      <c r="IO12" s="31">
        <v>0</v>
      </c>
      <c r="IP12" s="31">
        <v>0</v>
      </c>
      <c r="IQ12" s="31">
        <v>0</v>
      </c>
      <c r="IR12" s="31">
        <v>0</v>
      </c>
      <c r="IS12" s="31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 s="31">
        <v>0</v>
      </c>
      <c r="ACS12" s="31">
        <v>0</v>
      </c>
      <c r="ACT12" s="31">
        <v>0</v>
      </c>
      <c r="ACU12" s="31">
        <v>0</v>
      </c>
      <c r="ACV12" s="31">
        <v>0</v>
      </c>
      <c r="ACW12" s="31">
        <v>0</v>
      </c>
      <c r="ACX12" s="31">
        <v>0</v>
      </c>
      <c r="ACY12" s="31">
        <v>0</v>
      </c>
      <c r="ACZ12" s="31">
        <v>0</v>
      </c>
      <c r="ADA12" s="31">
        <v>0</v>
      </c>
      <c r="ADB12" s="31">
        <v>0</v>
      </c>
      <c r="ADC12" s="31">
        <v>0</v>
      </c>
      <c r="ADD12" s="31">
        <v>0</v>
      </c>
      <c r="ADE12" s="31">
        <v>0</v>
      </c>
      <c r="ADF12" s="31">
        <v>0</v>
      </c>
      <c r="ADG12" s="31">
        <v>0</v>
      </c>
      <c r="ADH12" s="31">
        <v>0</v>
      </c>
      <c r="ADI12" s="31">
        <v>0</v>
      </c>
      <c r="ADJ12" s="31">
        <v>0</v>
      </c>
      <c r="ADK12" s="31">
        <v>0</v>
      </c>
      <c r="ADL12" s="31">
        <v>0</v>
      </c>
      <c r="ADM12" s="31">
        <v>0</v>
      </c>
      <c r="ADN12" s="31">
        <v>0</v>
      </c>
      <c r="ADO12" s="31">
        <v>0</v>
      </c>
      <c r="ADP12" s="31">
        <v>0</v>
      </c>
      <c r="ADQ12" s="31">
        <v>0</v>
      </c>
      <c r="ADR12" s="31">
        <v>0</v>
      </c>
      <c r="ADS12" s="31">
        <v>0</v>
      </c>
      <c r="ADT12" s="31">
        <v>0</v>
      </c>
      <c r="ADU12" s="31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H12">
        <v>0</v>
      </c>
      <c r="AHI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</row>
    <row r="13" spans="1:1010">
      <c r="A13">
        <v>11</v>
      </c>
      <c r="B13" t="s">
        <v>105</v>
      </c>
      <c r="C13" s="1">
        <v>82630</v>
      </c>
      <c r="D13" s="2" t="s">
        <v>28</v>
      </c>
      <c r="E13" s="3" t="s">
        <v>88</v>
      </c>
      <c r="F13" s="1" t="s">
        <v>31</v>
      </c>
      <c r="G13" s="1" t="s">
        <v>12</v>
      </c>
      <c r="H13" s="1" t="s">
        <v>103</v>
      </c>
      <c r="I13" s="1" t="s">
        <v>45</v>
      </c>
      <c r="J13" s="1" t="s">
        <v>46</v>
      </c>
      <c r="K13">
        <v>8486</v>
      </c>
      <c r="L13">
        <v>12099</v>
      </c>
      <c r="M13">
        <v>6690</v>
      </c>
      <c r="N13">
        <v>3505</v>
      </c>
      <c r="O13">
        <v>0</v>
      </c>
      <c r="P13">
        <v>0</v>
      </c>
      <c r="Q13">
        <v>1729</v>
      </c>
      <c r="R13">
        <v>740</v>
      </c>
      <c r="S13">
        <v>3824</v>
      </c>
      <c r="T13">
        <v>4499</v>
      </c>
      <c r="U13">
        <v>861</v>
      </c>
      <c r="V13">
        <v>0</v>
      </c>
      <c r="W13">
        <v>1084</v>
      </c>
      <c r="X13">
        <v>2860</v>
      </c>
      <c r="Y13">
        <v>1759</v>
      </c>
      <c r="Z13">
        <v>39</v>
      </c>
      <c r="AA13">
        <v>6981</v>
      </c>
      <c r="AB13">
        <v>10554</v>
      </c>
      <c r="AC13">
        <v>0</v>
      </c>
      <c r="AD13">
        <v>5773</v>
      </c>
      <c r="AE13">
        <v>1644</v>
      </c>
      <c r="AF13">
        <v>4645</v>
      </c>
      <c r="AG13">
        <v>839</v>
      </c>
      <c r="AH13">
        <v>1621</v>
      </c>
      <c r="AI13">
        <v>6437</v>
      </c>
      <c r="AJ13">
        <v>0</v>
      </c>
      <c r="AK13">
        <v>0</v>
      </c>
      <c r="AL13">
        <v>1443</v>
      </c>
      <c r="AM13">
        <v>12226</v>
      </c>
      <c r="AN13">
        <v>8894</v>
      </c>
      <c r="AO13">
        <v>2677</v>
      </c>
      <c r="AP13">
        <v>2794</v>
      </c>
      <c r="AQ13">
        <v>0</v>
      </c>
      <c r="AR13">
        <v>0</v>
      </c>
      <c r="AS13">
        <v>0</v>
      </c>
      <c r="AT13">
        <v>150</v>
      </c>
      <c r="AU13">
        <v>320</v>
      </c>
      <c r="AV13">
        <v>3191</v>
      </c>
      <c r="AW13">
        <v>10532</v>
      </c>
      <c r="AX13">
        <v>0</v>
      </c>
      <c r="AY13">
        <v>5990</v>
      </c>
      <c r="AZ13">
        <v>10023</v>
      </c>
      <c r="BA13">
        <v>5258</v>
      </c>
      <c r="BB13">
        <v>512</v>
      </c>
      <c r="BC13">
        <v>0</v>
      </c>
      <c r="BD13">
        <v>6723</v>
      </c>
      <c r="BE13">
        <v>0</v>
      </c>
      <c r="BF13">
        <v>2772</v>
      </c>
      <c r="BG13">
        <v>2729</v>
      </c>
      <c r="BH13">
        <v>9470</v>
      </c>
      <c r="BI13">
        <v>10319</v>
      </c>
      <c r="BJ13">
        <v>1489</v>
      </c>
      <c r="BK13">
        <v>12410</v>
      </c>
      <c r="BL13">
        <v>3867</v>
      </c>
      <c r="BM13">
        <v>510</v>
      </c>
      <c r="BN13">
        <v>11882</v>
      </c>
      <c r="BO13">
        <v>2828</v>
      </c>
      <c r="BP13">
        <v>0</v>
      </c>
      <c r="BQ13">
        <v>0</v>
      </c>
      <c r="BR13">
        <v>0</v>
      </c>
      <c r="BS13">
        <v>0</v>
      </c>
      <c r="BT13">
        <v>0</v>
      </c>
      <c r="BU13" s="33">
        <v>0</v>
      </c>
      <c r="BV13" s="33">
        <v>4101</v>
      </c>
      <c r="BW13" s="33">
        <v>18202</v>
      </c>
      <c r="BX13" s="33">
        <v>8863</v>
      </c>
      <c r="BY13" s="33">
        <v>852</v>
      </c>
      <c r="BZ13" s="33">
        <v>0</v>
      </c>
      <c r="CA13" s="33">
        <v>0</v>
      </c>
      <c r="CB13">
        <v>251</v>
      </c>
      <c r="CC13">
        <v>2052</v>
      </c>
      <c r="CD13">
        <v>20516</v>
      </c>
      <c r="CE13">
        <v>5033</v>
      </c>
      <c r="CF13">
        <v>5195</v>
      </c>
      <c r="CG13">
        <v>0</v>
      </c>
      <c r="CH13">
        <v>0</v>
      </c>
      <c r="CI13">
        <v>5628</v>
      </c>
      <c r="CJ13">
        <v>2849</v>
      </c>
      <c r="CK13">
        <v>0</v>
      </c>
      <c r="CL13">
        <v>2967</v>
      </c>
      <c r="CM13">
        <v>0</v>
      </c>
      <c r="CN13">
        <v>0</v>
      </c>
      <c r="CO13">
        <v>6651</v>
      </c>
      <c r="CP13">
        <v>9104</v>
      </c>
      <c r="CQ13">
        <v>0</v>
      </c>
      <c r="CR13">
        <v>1823</v>
      </c>
      <c r="CS13">
        <v>6369</v>
      </c>
      <c r="CT13">
        <v>5540</v>
      </c>
      <c r="CU13">
        <v>0</v>
      </c>
      <c r="CV13">
        <v>3947</v>
      </c>
      <c r="CW13">
        <v>10450</v>
      </c>
      <c r="CX13">
        <v>7630</v>
      </c>
      <c r="CY13">
        <v>1282</v>
      </c>
      <c r="CZ13">
        <v>7235</v>
      </c>
      <c r="DA13">
        <v>11827</v>
      </c>
      <c r="DB13">
        <v>3422</v>
      </c>
      <c r="DC13">
        <v>2455</v>
      </c>
      <c r="DD13">
        <v>3493</v>
      </c>
      <c r="DE13">
        <v>13265</v>
      </c>
      <c r="DF13">
        <v>7057</v>
      </c>
      <c r="DG13">
        <v>6812</v>
      </c>
      <c r="DH13">
        <v>5072</v>
      </c>
      <c r="DI13">
        <v>0</v>
      </c>
      <c r="DJ13">
        <v>0</v>
      </c>
      <c r="DK13">
        <v>911</v>
      </c>
      <c r="DL13">
        <v>4665</v>
      </c>
      <c r="DM13">
        <v>2458</v>
      </c>
      <c r="DN13">
        <v>2234</v>
      </c>
      <c r="DO13">
        <v>6337</v>
      </c>
      <c r="DP13">
        <v>0</v>
      </c>
      <c r="DQ13">
        <v>1814</v>
      </c>
      <c r="DR13">
        <v>124</v>
      </c>
      <c r="DS13">
        <v>798</v>
      </c>
      <c r="DT13">
        <v>5424</v>
      </c>
      <c r="DU13">
        <v>9310</v>
      </c>
      <c r="DV13">
        <v>2893</v>
      </c>
      <c r="DW13">
        <v>0</v>
      </c>
      <c r="DX13">
        <v>3496</v>
      </c>
      <c r="DY13">
        <v>7627</v>
      </c>
      <c r="DZ13">
        <v>7334</v>
      </c>
      <c r="EA13">
        <v>0</v>
      </c>
      <c r="EB13">
        <v>71</v>
      </c>
      <c r="EC13">
        <v>4339</v>
      </c>
      <c r="ED13">
        <v>0</v>
      </c>
      <c r="EE13">
        <v>4193</v>
      </c>
      <c r="EF13">
        <v>980</v>
      </c>
      <c r="EG13">
        <v>6165</v>
      </c>
      <c r="EH13">
        <v>13588</v>
      </c>
      <c r="EI13">
        <v>7472</v>
      </c>
      <c r="EJ13">
        <v>4532</v>
      </c>
      <c r="EK13">
        <v>0</v>
      </c>
      <c r="EL13">
        <v>4408</v>
      </c>
      <c r="EM13">
        <v>2544</v>
      </c>
      <c r="EN13">
        <v>3628</v>
      </c>
      <c r="EO13">
        <v>0</v>
      </c>
      <c r="EP13">
        <v>7067</v>
      </c>
      <c r="EQ13">
        <v>0</v>
      </c>
      <c r="ER13">
        <v>0</v>
      </c>
      <c r="ES13">
        <v>1588</v>
      </c>
      <c r="ET13">
        <v>2587</v>
      </c>
      <c r="EU13">
        <v>1188</v>
      </c>
      <c r="EV13">
        <v>5882</v>
      </c>
      <c r="EW13">
        <v>2879</v>
      </c>
      <c r="EX13">
        <v>5886</v>
      </c>
      <c r="EY13">
        <v>0</v>
      </c>
      <c r="EZ13">
        <v>2009</v>
      </c>
      <c r="FA13">
        <v>1651</v>
      </c>
      <c r="FB13">
        <v>2016</v>
      </c>
      <c r="FC13">
        <v>4703</v>
      </c>
      <c r="FD13">
        <v>3802</v>
      </c>
      <c r="FE13">
        <v>21</v>
      </c>
      <c r="FF13">
        <v>0</v>
      </c>
      <c r="FG13">
        <v>1300</v>
      </c>
      <c r="FH13">
        <v>402</v>
      </c>
      <c r="FI13">
        <v>4812</v>
      </c>
      <c r="FJ13">
        <v>1354</v>
      </c>
      <c r="FK13">
        <v>1655</v>
      </c>
      <c r="FL13">
        <v>1568</v>
      </c>
      <c r="FM13">
        <v>0</v>
      </c>
      <c r="FN13">
        <v>0</v>
      </c>
      <c r="FO13">
        <v>0</v>
      </c>
      <c r="FP13">
        <v>2681</v>
      </c>
      <c r="FQ13">
        <v>2269</v>
      </c>
      <c r="FR13">
        <v>6879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54</v>
      </c>
      <c r="FY13">
        <v>970</v>
      </c>
      <c r="FZ13">
        <v>2292</v>
      </c>
      <c r="GA13">
        <v>0</v>
      </c>
      <c r="GB13">
        <v>2099</v>
      </c>
      <c r="GC13">
        <v>1527</v>
      </c>
      <c r="GD13">
        <v>2000</v>
      </c>
      <c r="GE13">
        <v>1005</v>
      </c>
      <c r="GF13">
        <v>0</v>
      </c>
      <c r="GG13">
        <v>184</v>
      </c>
      <c r="GH13">
        <v>0</v>
      </c>
      <c r="GI13">
        <v>288</v>
      </c>
      <c r="GJ13">
        <v>964</v>
      </c>
      <c r="GK13">
        <v>0</v>
      </c>
      <c r="GL13">
        <v>1922</v>
      </c>
      <c r="GM13">
        <v>1823</v>
      </c>
      <c r="GN13">
        <v>0</v>
      </c>
      <c r="GO13">
        <v>0</v>
      </c>
      <c r="GP13">
        <v>3009</v>
      </c>
      <c r="GQ13">
        <v>3663</v>
      </c>
      <c r="GR13">
        <v>166</v>
      </c>
      <c r="GS13">
        <v>0</v>
      </c>
      <c r="GT13">
        <v>658</v>
      </c>
      <c r="GU13">
        <v>4863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3502</v>
      </c>
      <c r="HB13">
        <v>12214</v>
      </c>
      <c r="HC13">
        <v>0</v>
      </c>
      <c r="HD13">
        <v>4116</v>
      </c>
      <c r="HE13">
        <v>5637</v>
      </c>
      <c r="HF13">
        <v>0</v>
      </c>
      <c r="HG13">
        <v>3819</v>
      </c>
      <c r="HH13">
        <v>3697</v>
      </c>
      <c r="HI13">
        <v>24</v>
      </c>
      <c r="HJ13">
        <v>0</v>
      </c>
      <c r="HK13">
        <v>4930</v>
      </c>
      <c r="HL13">
        <v>378</v>
      </c>
      <c r="HM13">
        <v>120</v>
      </c>
      <c r="HN13">
        <v>1042</v>
      </c>
      <c r="HO13">
        <v>1475</v>
      </c>
      <c r="HP13">
        <v>0</v>
      </c>
      <c r="HQ13">
        <v>0</v>
      </c>
      <c r="HR13">
        <v>0</v>
      </c>
      <c r="HS13">
        <v>2939</v>
      </c>
      <c r="HT13">
        <v>8239</v>
      </c>
      <c r="HU13">
        <v>7466</v>
      </c>
      <c r="HV13">
        <v>1578</v>
      </c>
      <c r="HW13">
        <v>0</v>
      </c>
      <c r="HX13">
        <v>0</v>
      </c>
      <c r="HY13">
        <v>0</v>
      </c>
      <c r="HZ13">
        <v>0</v>
      </c>
      <c r="IA13">
        <v>7412</v>
      </c>
      <c r="IB13">
        <v>1745</v>
      </c>
      <c r="IC13">
        <v>5858</v>
      </c>
      <c r="ID13">
        <v>5590</v>
      </c>
      <c r="IE13">
        <v>0</v>
      </c>
      <c r="IF13">
        <v>0</v>
      </c>
      <c r="IG13">
        <v>1452</v>
      </c>
      <c r="IH13">
        <v>1340</v>
      </c>
      <c r="II13">
        <v>14376</v>
      </c>
      <c r="IJ13">
        <v>2155</v>
      </c>
      <c r="IK13">
        <v>3298</v>
      </c>
      <c r="IL13">
        <v>0</v>
      </c>
      <c r="IM13">
        <v>0</v>
      </c>
      <c r="IN13">
        <v>1445</v>
      </c>
      <c r="IO13">
        <v>4553</v>
      </c>
      <c r="IP13">
        <v>2909</v>
      </c>
      <c r="IQ13">
        <v>5454</v>
      </c>
      <c r="IR13">
        <v>3534</v>
      </c>
      <c r="IS13">
        <v>0</v>
      </c>
      <c r="IT13">
        <v>482</v>
      </c>
      <c r="IU13">
        <v>2140</v>
      </c>
      <c r="IV13">
        <v>0</v>
      </c>
      <c r="IW13">
        <v>2776</v>
      </c>
      <c r="IX13">
        <v>1275</v>
      </c>
      <c r="IY13">
        <v>760</v>
      </c>
      <c r="IZ13">
        <v>0</v>
      </c>
      <c r="JA13">
        <v>1808</v>
      </c>
      <c r="JB13">
        <v>4651</v>
      </c>
      <c r="JC13">
        <v>2412</v>
      </c>
      <c r="JD13">
        <v>929</v>
      </c>
      <c r="JE13">
        <v>369</v>
      </c>
      <c r="JF13">
        <v>2881</v>
      </c>
      <c r="JG13">
        <v>0</v>
      </c>
      <c r="JH13">
        <v>81</v>
      </c>
      <c r="JI13">
        <v>4141</v>
      </c>
      <c r="JJ13">
        <v>917</v>
      </c>
      <c r="JK13">
        <v>2552</v>
      </c>
      <c r="JL13">
        <v>13997</v>
      </c>
      <c r="JM13">
        <v>3005</v>
      </c>
      <c r="JN13">
        <v>0</v>
      </c>
      <c r="JO13">
        <v>370</v>
      </c>
      <c r="JP13">
        <v>2657</v>
      </c>
      <c r="JQ13">
        <v>4460</v>
      </c>
      <c r="JR13">
        <v>1412</v>
      </c>
      <c r="JS13">
        <v>5000</v>
      </c>
      <c r="JT13">
        <v>8505</v>
      </c>
      <c r="JU13">
        <v>0</v>
      </c>
      <c r="JV13">
        <v>1501</v>
      </c>
      <c r="JW13">
        <v>709</v>
      </c>
      <c r="JX13">
        <v>0</v>
      </c>
      <c r="JY13">
        <v>2851</v>
      </c>
      <c r="JZ13">
        <v>0</v>
      </c>
      <c r="KA13">
        <v>2618</v>
      </c>
      <c r="KB13">
        <v>0</v>
      </c>
      <c r="KC13">
        <v>3779</v>
      </c>
      <c r="KD13">
        <v>356</v>
      </c>
      <c r="KE13">
        <v>370</v>
      </c>
      <c r="KF13">
        <v>388</v>
      </c>
      <c r="KG13">
        <v>1653</v>
      </c>
      <c r="KH13">
        <v>5698</v>
      </c>
      <c r="KI13">
        <v>650</v>
      </c>
      <c r="KJ13">
        <v>0</v>
      </c>
      <c r="KK13">
        <v>380</v>
      </c>
      <c r="KL13">
        <v>11088</v>
      </c>
      <c r="KM13">
        <v>26</v>
      </c>
      <c r="KN13">
        <v>1204</v>
      </c>
      <c r="KO13">
        <v>842</v>
      </c>
      <c r="KP13">
        <v>0</v>
      </c>
      <c r="KQ13">
        <v>850</v>
      </c>
      <c r="KR13">
        <v>4267</v>
      </c>
      <c r="KS13">
        <v>418</v>
      </c>
      <c r="KT13">
        <v>1684</v>
      </c>
      <c r="KU13">
        <v>5452</v>
      </c>
      <c r="KV13">
        <v>6415</v>
      </c>
      <c r="KW13">
        <v>0</v>
      </c>
      <c r="KX13">
        <v>3024</v>
      </c>
      <c r="KY13">
        <v>12191</v>
      </c>
      <c r="KZ13">
        <v>6666</v>
      </c>
      <c r="LA13">
        <v>2528</v>
      </c>
      <c r="LB13">
        <v>43</v>
      </c>
      <c r="LC13">
        <v>5159</v>
      </c>
      <c r="LD13">
        <v>0</v>
      </c>
      <c r="LE13">
        <v>2503</v>
      </c>
      <c r="LF13">
        <v>5133</v>
      </c>
      <c r="LG13">
        <v>2525</v>
      </c>
      <c r="LH13">
        <v>5617</v>
      </c>
      <c r="LI13">
        <v>1203</v>
      </c>
      <c r="LJ13">
        <v>1772</v>
      </c>
      <c r="LK13">
        <v>0</v>
      </c>
      <c r="LL13">
        <v>137</v>
      </c>
      <c r="LM13">
        <v>2387</v>
      </c>
      <c r="LN13">
        <v>3762</v>
      </c>
      <c r="LO13">
        <v>2169</v>
      </c>
      <c r="LP13">
        <v>1860</v>
      </c>
      <c r="LQ13">
        <v>344</v>
      </c>
      <c r="LR13">
        <v>5240</v>
      </c>
      <c r="LS13">
        <v>186</v>
      </c>
      <c r="LT13">
        <v>181</v>
      </c>
      <c r="LU13">
        <v>9556</v>
      </c>
      <c r="LV13">
        <v>2301</v>
      </c>
      <c r="LW13">
        <v>2741</v>
      </c>
      <c r="LX13">
        <v>6697</v>
      </c>
      <c r="LY13">
        <v>0</v>
      </c>
      <c r="LZ13">
        <v>981</v>
      </c>
      <c r="MA13">
        <v>0</v>
      </c>
      <c r="MB13">
        <v>948</v>
      </c>
      <c r="MC13">
        <v>1880</v>
      </c>
      <c r="MD13">
        <v>10809</v>
      </c>
      <c r="ME13">
        <v>6318</v>
      </c>
      <c r="MF13">
        <v>0</v>
      </c>
      <c r="MG13">
        <v>0</v>
      </c>
      <c r="MH13">
        <v>3813</v>
      </c>
      <c r="MI13">
        <v>4138</v>
      </c>
      <c r="MJ13">
        <v>5290</v>
      </c>
      <c r="MK13">
        <v>6679</v>
      </c>
      <c r="ML13">
        <v>3906</v>
      </c>
      <c r="MM13">
        <v>0</v>
      </c>
      <c r="MN13">
        <v>546</v>
      </c>
      <c r="MO13">
        <v>1953</v>
      </c>
      <c r="MP13">
        <v>1372</v>
      </c>
      <c r="MQ13">
        <v>2194</v>
      </c>
      <c r="MR13">
        <v>2686</v>
      </c>
      <c r="MS13">
        <v>0</v>
      </c>
      <c r="MT13">
        <v>0</v>
      </c>
      <c r="MU13">
        <v>0</v>
      </c>
      <c r="MV13">
        <v>0</v>
      </c>
      <c r="MW13">
        <v>951</v>
      </c>
      <c r="MX13">
        <v>0</v>
      </c>
      <c r="MY13">
        <v>65</v>
      </c>
      <c r="MZ13">
        <v>0</v>
      </c>
      <c r="NA13">
        <v>0</v>
      </c>
      <c r="NB13">
        <v>0</v>
      </c>
      <c r="NC13">
        <v>3844</v>
      </c>
      <c r="ND13">
        <v>1259</v>
      </c>
      <c r="NE13">
        <v>753</v>
      </c>
      <c r="NF13">
        <v>863</v>
      </c>
      <c r="NG13">
        <v>0</v>
      </c>
      <c r="NH13">
        <v>2059</v>
      </c>
      <c r="NI13">
        <v>50</v>
      </c>
      <c r="NJ13">
        <v>2631</v>
      </c>
      <c r="NK13">
        <v>1527</v>
      </c>
      <c r="NL13">
        <v>0</v>
      </c>
      <c r="NM13">
        <v>294</v>
      </c>
      <c r="NN13">
        <v>370</v>
      </c>
      <c r="NO13">
        <v>0</v>
      </c>
      <c r="NP13">
        <v>0</v>
      </c>
      <c r="NQ13">
        <v>0</v>
      </c>
      <c r="NR13">
        <v>1800</v>
      </c>
      <c r="NS13">
        <v>3723</v>
      </c>
      <c r="NT13">
        <v>6180</v>
      </c>
      <c r="NU13">
        <v>6409</v>
      </c>
      <c r="NV13">
        <v>0</v>
      </c>
      <c r="NW13">
        <v>1934</v>
      </c>
      <c r="NX13">
        <v>0</v>
      </c>
      <c r="NY13">
        <v>0</v>
      </c>
      <c r="NZ13">
        <v>0</v>
      </c>
      <c r="OA13">
        <v>3207</v>
      </c>
      <c r="OB13">
        <v>2406</v>
      </c>
      <c r="OC13">
        <v>0</v>
      </c>
      <c r="OD13">
        <v>0</v>
      </c>
      <c r="OE13">
        <v>5271</v>
      </c>
      <c r="OF13">
        <v>373</v>
      </c>
      <c r="OG13">
        <v>1161</v>
      </c>
      <c r="OH13">
        <v>3671</v>
      </c>
      <c r="OI13">
        <v>846</v>
      </c>
      <c r="OJ13">
        <v>0</v>
      </c>
      <c r="OK13">
        <v>0</v>
      </c>
      <c r="OL13">
        <v>410</v>
      </c>
      <c r="OM13">
        <v>90</v>
      </c>
      <c r="ON13">
        <v>4937</v>
      </c>
      <c r="OO13">
        <v>772</v>
      </c>
      <c r="OP13">
        <v>0</v>
      </c>
      <c r="OQ13">
        <v>0</v>
      </c>
      <c r="OR13">
        <v>4548</v>
      </c>
      <c r="OS13">
        <v>3878</v>
      </c>
      <c r="OT13">
        <v>2700</v>
      </c>
      <c r="OU13">
        <v>0</v>
      </c>
      <c r="OV13">
        <v>0</v>
      </c>
      <c r="OW13">
        <v>592</v>
      </c>
      <c r="OX13">
        <v>0</v>
      </c>
      <c r="OY13">
        <v>0</v>
      </c>
      <c r="OZ13">
        <v>0</v>
      </c>
      <c r="PA13">
        <v>142</v>
      </c>
      <c r="PB13">
        <v>149</v>
      </c>
      <c r="PC13">
        <v>4658</v>
      </c>
      <c r="PD13">
        <v>200</v>
      </c>
      <c r="PE13">
        <v>0</v>
      </c>
      <c r="PF13">
        <v>260</v>
      </c>
      <c r="PG13">
        <v>43</v>
      </c>
      <c r="PH13">
        <v>2234</v>
      </c>
      <c r="PI13">
        <v>4489</v>
      </c>
      <c r="PJ13">
        <v>1223</v>
      </c>
      <c r="PK13">
        <v>2447</v>
      </c>
      <c r="PL13">
        <v>0</v>
      </c>
      <c r="PM13">
        <v>5400</v>
      </c>
      <c r="PN13">
        <v>577</v>
      </c>
      <c r="PO13">
        <v>0</v>
      </c>
      <c r="PP13">
        <v>616</v>
      </c>
      <c r="PQ13">
        <v>1895</v>
      </c>
      <c r="PR13">
        <v>184</v>
      </c>
      <c r="PS13">
        <v>0</v>
      </c>
      <c r="PT13">
        <v>0</v>
      </c>
      <c r="PU13">
        <v>0</v>
      </c>
      <c r="PV13">
        <v>0</v>
      </c>
      <c r="PW13">
        <v>1213</v>
      </c>
      <c r="PX13">
        <v>1198</v>
      </c>
      <c r="PY13">
        <v>0</v>
      </c>
      <c r="PZ13">
        <v>0</v>
      </c>
      <c r="QA13">
        <v>0</v>
      </c>
      <c r="QB13">
        <v>2020</v>
      </c>
      <c r="QC13">
        <v>0</v>
      </c>
      <c r="QD13">
        <v>340</v>
      </c>
      <c r="QE13">
        <v>5544</v>
      </c>
      <c r="QF13">
        <v>2801</v>
      </c>
      <c r="QG13">
        <v>0</v>
      </c>
      <c r="QH13">
        <v>5954</v>
      </c>
      <c r="QI13">
        <v>4633</v>
      </c>
      <c r="QJ13">
        <v>2084</v>
      </c>
      <c r="QK13">
        <v>2703</v>
      </c>
      <c r="QL13">
        <v>7034</v>
      </c>
      <c r="QM13">
        <v>214</v>
      </c>
      <c r="QN13">
        <v>0</v>
      </c>
      <c r="QO13">
        <v>252</v>
      </c>
      <c r="QP13">
        <v>0</v>
      </c>
      <c r="QQ13">
        <v>0</v>
      </c>
      <c r="QR13">
        <v>0</v>
      </c>
      <c r="QS13">
        <v>8424</v>
      </c>
      <c r="QT13">
        <v>3641</v>
      </c>
      <c r="QU13">
        <v>0</v>
      </c>
      <c r="QV13">
        <v>600</v>
      </c>
      <c r="QW13">
        <v>11628</v>
      </c>
      <c r="QX13">
        <v>2190</v>
      </c>
      <c r="QY13">
        <v>1922</v>
      </c>
      <c r="QZ13">
        <v>4006</v>
      </c>
      <c r="RA13">
        <v>3397</v>
      </c>
      <c r="RB13">
        <v>0</v>
      </c>
      <c r="RC13">
        <v>0</v>
      </c>
      <c r="RD13">
        <v>1526</v>
      </c>
      <c r="RE13">
        <v>4938</v>
      </c>
      <c r="RF13">
        <v>626</v>
      </c>
      <c r="RG13">
        <v>10561</v>
      </c>
      <c r="RH13">
        <v>0</v>
      </c>
      <c r="RI13">
        <v>0</v>
      </c>
      <c r="RJ13">
        <v>2465</v>
      </c>
      <c r="RK13">
        <v>5601</v>
      </c>
      <c r="RL13">
        <v>456</v>
      </c>
      <c r="RM13">
        <v>986</v>
      </c>
      <c r="RN13">
        <v>5622</v>
      </c>
      <c r="RO13">
        <v>2611</v>
      </c>
      <c r="RP13">
        <v>0</v>
      </c>
      <c r="RQ13">
        <v>1273</v>
      </c>
      <c r="RR13">
        <v>3166</v>
      </c>
      <c r="RS13">
        <v>7205</v>
      </c>
      <c r="RT13">
        <v>12344</v>
      </c>
      <c r="RU13">
        <v>8648</v>
      </c>
      <c r="RV13">
        <v>5654</v>
      </c>
      <c r="RW13">
        <v>0</v>
      </c>
      <c r="RX13">
        <v>6503</v>
      </c>
      <c r="RY13">
        <v>780</v>
      </c>
      <c r="RZ13">
        <v>1619</v>
      </c>
      <c r="SA13">
        <v>0</v>
      </c>
      <c r="SB13">
        <v>2380</v>
      </c>
      <c r="SC13">
        <v>2788</v>
      </c>
      <c r="SD13">
        <v>0</v>
      </c>
      <c r="SE13">
        <v>1975</v>
      </c>
      <c r="SF13">
        <v>1972</v>
      </c>
      <c r="SG13">
        <v>1242</v>
      </c>
      <c r="SH13">
        <v>6930</v>
      </c>
      <c r="SI13">
        <v>1580</v>
      </c>
      <c r="SJ13">
        <v>4053</v>
      </c>
      <c r="SK13">
        <v>0</v>
      </c>
      <c r="SL13">
        <v>612</v>
      </c>
      <c r="SM13">
        <v>1996</v>
      </c>
      <c r="SN13">
        <v>4229</v>
      </c>
      <c r="SO13">
        <v>2881</v>
      </c>
      <c r="SP13">
        <v>735</v>
      </c>
      <c r="SQ13">
        <v>1487</v>
      </c>
      <c r="SR13">
        <v>0</v>
      </c>
      <c r="SS13">
        <v>0</v>
      </c>
      <c r="ST13">
        <v>0</v>
      </c>
      <c r="SU13">
        <v>3908</v>
      </c>
      <c r="SV13">
        <v>36</v>
      </c>
      <c r="SW13">
        <v>5024</v>
      </c>
      <c r="SX13">
        <v>10287</v>
      </c>
      <c r="SY13">
        <v>0</v>
      </c>
      <c r="SZ13">
        <v>0</v>
      </c>
      <c r="TA13">
        <v>3048</v>
      </c>
      <c r="TB13">
        <v>0</v>
      </c>
      <c r="TC13">
        <v>9144</v>
      </c>
      <c r="TD13">
        <v>4135</v>
      </c>
      <c r="TE13">
        <v>2542</v>
      </c>
      <c r="TF13">
        <v>0</v>
      </c>
      <c r="TG13">
        <v>5441</v>
      </c>
      <c r="TH13">
        <v>1793</v>
      </c>
      <c r="TI13">
        <v>3002</v>
      </c>
      <c r="TJ13">
        <v>49</v>
      </c>
      <c r="TK13">
        <v>3906</v>
      </c>
      <c r="TL13">
        <v>1569</v>
      </c>
      <c r="TM13">
        <v>2725</v>
      </c>
      <c r="TN13">
        <v>0</v>
      </c>
      <c r="TO13">
        <v>96</v>
      </c>
      <c r="TP13">
        <v>0</v>
      </c>
      <c r="TQ13">
        <v>4429</v>
      </c>
      <c r="TR13">
        <v>409</v>
      </c>
      <c r="TS13">
        <v>2657</v>
      </c>
      <c r="TT13">
        <v>0</v>
      </c>
      <c r="TU13">
        <v>0</v>
      </c>
      <c r="TV13">
        <v>0</v>
      </c>
      <c r="TW13">
        <v>58</v>
      </c>
      <c r="TX13">
        <v>750</v>
      </c>
      <c r="TY13">
        <v>2457</v>
      </c>
      <c r="TZ13">
        <v>5439</v>
      </c>
      <c r="UA13">
        <v>0</v>
      </c>
      <c r="UB13">
        <v>2898</v>
      </c>
      <c r="UC13">
        <v>517</v>
      </c>
      <c r="UD13">
        <v>2074</v>
      </c>
      <c r="UE13">
        <v>3009</v>
      </c>
      <c r="UF13">
        <v>5067</v>
      </c>
      <c r="UG13">
        <v>3267</v>
      </c>
      <c r="UH13">
        <v>0</v>
      </c>
      <c r="UI13">
        <v>1700</v>
      </c>
      <c r="UJ13">
        <v>100</v>
      </c>
      <c r="UK13">
        <v>10731</v>
      </c>
      <c r="UL13">
        <v>0</v>
      </c>
      <c r="UM13">
        <v>2198</v>
      </c>
      <c r="UN13">
        <v>870</v>
      </c>
      <c r="UO13">
        <v>0</v>
      </c>
      <c r="UP13">
        <v>0</v>
      </c>
      <c r="UQ13">
        <v>1417</v>
      </c>
      <c r="UR13">
        <v>4387</v>
      </c>
      <c r="US13">
        <v>1930</v>
      </c>
      <c r="UT13">
        <v>3629</v>
      </c>
      <c r="UU13">
        <v>0</v>
      </c>
      <c r="UV13">
        <v>0</v>
      </c>
      <c r="UW13">
        <v>0</v>
      </c>
      <c r="UX13">
        <v>3136</v>
      </c>
      <c r="UY13">
        <v>0</v>
      </c>
      <c r="UZ13">
        <v>122</v>
      </c>
      <c r="VA13">
        <v>2820</v>
      </c>
      <c r="VB13">
        <v>2034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10640</v>
      </c>
      <c r="VI13">
        <v>9525</v>
      </c>
      <c r="VJ13">
        <v>0</v>
      </c>
      <c r="VK13">
        <v>3</v>
      </c>
      <c r="VL13">
        <v>5870</v>
      </c>
      <c r="VM13">
        <v>3049</v>
      </c>
      <c r="VN13">
        <v>0</v>
      </c>
      <c r="VO13">
        <v>0</v>
      </c>
      <c r="VP13">
        <v>100</v>
      </c>
      <c r="VQ13">
        <v>0</v>
      </c>
      <c r="VR13">
        <v>0</v>
      </c>
      <c r="VS13">
        <v>0</v>
      </c>
      <c r="VT13">
        <v>452</v>
      </c>
      <c r="VU13">
        <v>11237</v>
      </c>
      <c r="VV13">
        <v>5628</v>
      </c>
      <c r="VW13">
        <v>1018</v>
      </c>
      <c r="VX13">
        <v>0</v>
      </c>
      <c r="VY13">
        <v>713</v>
      </c>
      <c r="VZ13">
        <v>411</v>
      </c>
      <c r="WA13">
        <v>300</v>
      </c>
      <c r="WB13">
        <v>0</v>
      </c>
      <c r="WC13">
        <v>5712</v>
      </c>
      <c r="WD13">
        <v>1079</v>
      </c>
      <c r="WE13">
        <v>0</v>
      </c>
      <c r="WF13">
        <v>3504</v>
      </c>
      <c r="WG13">
        <v>27</v>
      </c>
      <c r="WH13">
        <v>4216</v>
      </c>
      <c r="WI13">
        <v>5808</v>
      </c>
      <c r="WJ13">
        <v>3546</v>
      </c>
      <c r="WK13">
        <v>8742</v>
      </c>
      <c r="WL13">
        <v>0</v>
      </c>
      <c r="WM13">
        <v>2427</v>
      </c>
      <c r="WN13">
        <v>1723</v>
      </c>
      <c r="WO13">
        <v>6636</v>
      </c>
      <c r="WP13">
        <v>1181</v>
      </c>
      <c r="WQ13">
        <v>7420</v>
      </c>
      <c r="WR13">
        <v>2346</v>
      </c>
      <c r="WS13">
        <v>0</v>
      </c>
      <c r="WT13">
        <v>0</v>
      </c>
      <c r="WU13">
        <v>174</v>
      </c>
      <c r="WV13">
        <v>4032</v>
      </c>
      <c r="WW13">
        <v>8423</v>
      </c>
      <c r="WX13">
        <v>2230</v>
      </c>
      <c r="WY13">
        <v>0</v>
      </c>
      <c r="WZ13">
        <v>670</v>
      </c>
      <c r="XA13">
        <v>0</v>
      </c>
      <c r="XB13">
        <v>113</v>
      </c>
      <c r="XC13">
        <v>523</v>
      </c>
      <c r="XD13">
        <v>6398</v>
      </c>
      <c r="XE13">
        <v>306</v>
      </c>
      <c r="XF13">
        <v>3638</v>
      </c>
      <c r="XG13">
        <v>0</v>
      </c>
      <c r="XH13">
        <v>0</v>
      </c>
      <c r="XI13">
        <v>1146</v>
      </c>
      <c r="XJ13">
        <v>2421</v>
      </c>
      <c r="XK13">
        <v>1751</v>
      </c>
      <c r="XL13">
        <v>4154</v>
      </c>
      <c r="XM13">
        <v>14553</v>
      </c>
      <c r="XN13">
        <v>0</v>
      </c>
      <c r="XO13">
        <v>8249</v>
      </c>
      <c r="XP13">
        <v>4373</v>
      </c>
      <c r="XQ13">
        <v>22</v>
      </c>
      <c r="XR13">
        <v>3297</v>
      </c>
      <c r="XS13">
        <v>8188</v>
      </c>
      <c r="XT13">
        <v>10602</v>
      </c>
      <c r="XU13">
        <v>0</v>
      </c>
      <c r="XV13">
        <v>0</v>
      </c>
      <c r="XW13">
        <v>4089</v>
      </c>
      <c r="XX13">
        <v>6307</v>
      </c>
      <c r="XY13">
        <v>3612</v>
      </c>
      <c r="XZ13">
        <v>0</v>
      </c>
      <c r="YA13">
        <v>2805</v>
      </c>
      <c r="YB13">
        <v>5978</v>
      </c>
      <c r="YC13">
        <v>0</v>
      </c>
      <c r="YD13">
        <v>1442</v>
      </c>
      <c r="YE13">
        <v>6198</v>
      </c>
      <c r="YF13">
        <v>1514</v>
      </c>
      <c r="YG13">
        <v>5639</v>
      </c>
      <c r="YH13">
        <v>5639</v>
      </c>
      <c r="YI13">
        <v>0</v>
      </c>
      <c r="YJ13">
        <v>7959</v>
      </c>
      <c r="YK13">
        <v>0</v>
      </c>
      <c r="YL13">
        <v>10399</v>
      </c>
      <c r="YM13">
        <v>5695</v>
      </c>
      <c r="YN13">
        <v>4513</v>
      </c>
      <c r="YO13">
        <v>6106</v>
      </c>
      <c r="YP13">
        <v>0</v>
      </c>
      <c r="YQ13">
        <v>1885</v>
      </c>
      <c r="YR13">
        <v>3477</v>
      </c>
      <c r="YS13">
        <v>4634</v>
      </c>
      <c r="YT13">
        <v>4672</v>
      </c>
      <c r="YU13">
        <v>9298</v>
      </c>
      <c r="YV13">
        <v>8218</v>
      </c>
      <c r="YW13">
        <v>0</v>
      </c>
      <c r="YX13">
        <v>16901</v>
      </c>
      <c r="YY13">
        <v>8932</v>
      </c>
      <c r="YZ13">
        <v>9197</v>
      </c>
      <c r="ZA13">
        <v>27623</v>
      </c>
      <c r="ZB13">
        <v>18084</v>
      </c>
      <c r="ZC13">
        <v>1574</v>
      </c>
      <c r="ZD13">
        <v>0</v>
      </c>
      <c r="ZE13">
        <v>1491</v>
      </c>
      <c r="ZF13">
        <v>22136</v>
      </c>
      <c r="ZG13">
        <v>7336</v>
      </c>
      <c r="ZH13">
        <v>7069</v>
      </c>
      <c r="ZI13">
        <v>2233</v>
      </c>
      <c r="ZJ13">
        <v>6168</v>
      </c>
      <c r="ZK13">
        <v>829</v>
      </c>
      <c r="ZL13">
        <v>2437</v>
      </c>
      <c r="ZM13">
        <v>3597</v>
      </c>
      <c r="ZN13">
        <v>0</v>
      </c>
      <c r="ZO13">
        <v>743</v>
      </c>
      <c r="ZP13">
        <v>1021</v>
      </c>
      <c r="ZQ13">
        <v>896</v>
      </c>
      <c r="ZR13">
        <v>0</v>
      </c>
      <c r="ZS13">
        <v>0</v>
      </c>
      <c r="ZT13">
        <v>5582</v>
      </c>
      <c r="ZU13">
        <v>10837</v>
      </c>
      <c r="ZV13">
        <v>0</v>
      </c>
      <c r="ZW13">
        <v>363</v>
      </c>
      <c r="ZX13">
        <v>3517</v>
      </c>
      <c r="ZY13">
        <v>0</v>
      </c>
      <c r="ZZ13">
        <v>2582</v>
      </c>
      <c r="AAA13">
        <v>1996</v>
      </c>
      <c r="AAB13">
        <v>4942</v>
      </c>
      <c r="AAC13">
        <v>9883</v>
      </c>
      <c r="AAD13">
        <v>4525</v>
      </c>
      <c r="AAE13">
        <v>4834</v>
      </c>
      <c r="AAF13">
        <v>0</v>
      </c>
      <c r="AAG13">
        <v>0</v>
      </c>
      <c r="AAH13">
        <v>2583</v>
      </c>
      <c r="AAI13">
        <v>7265</v>
      </c>
      <c r="AAJ13">
        <v>773</v>
      </c>
      <c r="AAK13">
        <v>3572</v>
      </c>
      <c r="AAL13">
        <v>782</v>
      </c>
      <c r="AAM13">
        <v>0</v>
      </c>
      <c r="AAN13">
        <v>2421</v>
      </c>
      <c r="AAO13">
        <v>2839</v>
      </c>
      <c r="AAP13">
        <v>8735</v>
      </c>
      <c r="AAQ13">
        <v>9629</v>
      </c>
      <c r="AAR13">
        <v>10329</v>
      </c>
      <c r="AAS13">
        <v>2182</v>
      </c>
      <c r="AAT13">
        <v>3904</v>
      </c>
      <c r="AAU13">
        <v>0</v>
      </c>
      <c r="AAV13">
        <v>0</v>
      </c>
      <c r="AAW13">
        <v>0</v>
      </c>
      <c r="AAX13">
        <v>607</v>
      </c>
      <c r="AAY13">
        <v>441</v>
      </c>
      <c r="AAZ13">
        <v>465</v>
      </c>
      <c r="ABA13">
        <v>0</v>
      </c>
      <c r="ABB13">
        <v>3064</v>
      </c>
      <c r="ABC13">
        <v>6344</v>
      </c>
      <c r="ABD13">
        <v>115</v>
      </c>
      <c r="ABE13">
        <v>0</v>
      </c>
      <c r="ABF13">
        <v>1161</v>
      </c>
      <c r="ABG13">
        <v>3690</v>
      </c>
      <c r="ABH13">
        <v>0</v>
      </c>
      <c r="ABI13">
        <v>7337</v>
      </c>
      <c r="ABJ13">
        <v>2863</v>
      </c>
      <c r="ABK13">
        <v>14</v>
      </c>
      <c r="ABL13">
        <v>0</v>
      </c>
      <c r="ABM13">
        <v>0</v>
      </c>
      <c r="ABN13">
        <v>6704</v>
      </c>
      <c r="ABO13">
        <v>0</v>
      </c>
      <c r="ABP13">
        <v>2399</v>
      </c>
      <c r="ABQ13">
        <v>968</v>
      </c>
      <c r="ABR13">
        <v>7188</v>
      </c>
      <c r="ABS13">
        <v>1270</v>
      </c>
      <c r="ABT13">
        <v>1072</v>
      </c>
      <c r="ABU13">
        <v>709</v>
      </c>
      <c r="ABV13">
        <v>0</v>
      </c>
      <c r="ABW13">
        <v>0</v>
      </c>
      <c r="ABX13">
        <v>0</v>
      </c>
      <c r="ABY13">
        <v>1076</v>
      </c>
      <c r="ABZ13">
        <v>0</v>
      </c>
      <c r="ACA13">
        <v>1356</v>
      </c>
      <c r="ACB13">
        <v>668</v>
      </c>
      <c r="ACC13">
        <v>0</v>
      </c>
      <c r="ACD13">
        <v>66</v>
      </c>
      <c r="ACE13">
        <v>0</v>
      </c>
      <c r="ACF13">
        <v>0</v>
      </c>
      <c r="ACG13">
        <v>519</v>
      </c>
      <c r="ACH13">
        <v>628</v>
      </c>
      <c r="ACI13">
        <v>0</v>
      </c>
      <c r="ACJ13">
        <v>0</v>
      </c>
      <c r="ACK13">
        <v>0</v>
      </c>
      <c r="ACL13">
        <v>3819</v>
      </c>
      <c r="ACM13">
        <v>5599</v>
      </c>
      <c r="ACN13">
        <v>5018</v>
      </c>
      <c r="ACO13">
        <v>204</v>
      </c>
      <c r="ACP13">
        <v>1307</v>
      </c>
      <c r="ACQ13">
        <v>0</v>
      </c>
      <c r="ACR13">
        <v>0</v>
      </c>
      <c r="ACS13">
        <v>531</v>
      </c>
      <c r="ACT13">
        <v>0</v>
      </c>
      <c r="ACU13">
        <v>191</v>
      </c>
      <c r="ACV13">
        <v>0</v>
      </c>
      <c r="ACW13">
        <v>2220</v>
      </c>
      <c r="ACX13">
        <v>0</v>
      </c>
      <c r="ACY13">
        <v>2073</v>
      </c>
      <c r="ACZ13">
        <v>656</v>
      </c>
      <c r="ADA13">
        <v>0</v>
      </c>
      <c r="ADB13">
        <v>1778</v>
      </c>
      <c r="ADC13">
        <v>1390</v>
      </c>
      <c r="ADD13">
        <v>1390</v>
      </c>
      <c r="ADE13">
        <v>0</v>
      </c>
      <c r="ADF13">
        <v>0</v>
      </c>
      <c r="ADG13">
        <v>0</v>
      </c>
      <c r="ADH13">
        <v>1356</v>
      </c>
      <c r="ADI13">
        <v>728</v>
      </c>
      <c r="ADJ13">
        <v>2666</v>
      </c>
      <c r="ADK13">
        <v>2666</v>
      </c>
      <c r="ADL13">
        <v>0</v>
      </c>
      <c r="ADM13">
        <v>6803</v>
      </c>
      <c r="ADN13">
        <v>2461</v>
      </c>
      <c r="ADO13">
        <v>560</v>
      </c>
      <c r="ADP13">
        <v>6103</v>
      </c>
      <c r="ADQ13">
        <v>13583</v>
      </c>
      <c r="ADR13">
        <v>10564</v>
      </c>
      <c r="ADS13">
        <v>0</v>
      </c>
      <c r="ADT13">
        <v>3723</v>
      </c>
      <c r="ADU13">
        <v>0</v>
      </c>
      <c r="ADV13">
        <v>0</v>
      </c>
      <c r="ADW13">
        <v>0</v>
      </c>
      <c r="ADX13">
        <v>528</v>
      </c>
      <c r="ADY13">
        <v>0</v>
      </c>
      <c r="ADZ13">
        <v>0</v>
      </c>
      <c r="AEA13">
        <v>0</v>
      </c>
      <c r="AEB13">
        <v>0</v>
      </c>
      <c r="AEC13">
        <v>5089</v>
      </c>
      <c r="AED13">
        <v>7751</v>
      </c>
      <c r="AEE13">
        <v>2048</v>
      </c>
      <c r="AEF13">
        <v>3347</v>
      </c>
      <c r="AEG13">
        <v>0</v>
      </c>
      <c r="AEH13">
        <v>0</v>
      </c>
      <c r="AEI13">
        <v>60</v>
      </c>
      <c r="AEJ13">
        <v>0</v>
      </c>
      <c r="AEK13">
        <v>141</v>
      </c>
      <c r="AEL13">
        <v>9016</v>
      </c>
      <c r="AEM13">
        <v>77</v>
      </c>
      <c r="AEN13">
        <v>0</v>
      </c>
      <c r="AEO13">
        <v>1275</v>
      </c>
      <c r="AEP13">
        <v>1822</v>
      </c>
      <c r="AEQ13">
        <v>3494</v>
      </c>
      <c r="AER13">
        <v>6764</v>
      </c>
      <c r="AES13">
        <v>4572</v>
      </c>
      <c r="AET13">
        <v>995</v>
      </c>
      <c r="AEU13">
        <v>0</v>
      </c>
      <c r="AEV13">
        <v>1388</v>
      </c>
      <c r="AEW13">
        <v>984</v>
      </c>
      <c r="AEX13">
        <v>8199</v>
      </c>
      <c r="AEY13">
        <v>8290</v>
      </c>
      <c r="AEZ13">
        <v>5618</v>
      </c>
      <c r="AFA13">
        <v>24</v>
      </c>
      <c r="AFB13">
        <v>0</v>
      </c>
      <c r="AFC13">
        <v>4615</v>
      </c>
      <c r="AFD13">
        <v>20705</v>
      </c>
      <c r="AFE13">
        <v>4853</v>
      </c>
      <c r="AFF13">
        <v>5423</v>
      </c>
      <c r="AFG13">
        <v>6441</v>
      </c>
      <c r="AFH13">
        <v>6602</v>
      </c>
      <c r="AFI13">
        <v>0</v>
      </c>
      <c r="AFJ13">
        <v>11559</v>
      </c>
      <c r="AFK13">
        <v>7430</v>
      </c>
      <c r="AFL13">
        <v>4450</v>
      </c>
      <c r="AFM13">
        <v>23693</v>
      </c>
      <c r="AFN13">
        <v>12178</v>
      </c>
      <c r="AFO13">
        <v>12486</v>
      </c>
      <c r="AFP13">
        <v>1195</v>
      </c>
      <c r="AFQ13">
        <v>1592</v>
      </c>
      <c r="AFR13">
        <v>14240</v>
      </c>
      <c r="AFS13">
        <v>14745</v>
      </c>
      <c r="AFT13">
        <v>20825</v>
      </c>
      <c r="AFU13">
        <v>16401</v>
      </c>
      <c r="AFV13">
        <v>11281</v>
      </c>
      <c r="AFW13">
        <v>0</v>
      </c>
      <c r="AFX13">
        <v>9584</v>
      </c>
      <c r="AFY13">
        <v>14885</v>
      </c>
      <c r="AFZ13">
        <v>17793</v>
      </c>
      <c r="AGA13">
        <v>15977</v>
      </c>
      <c r="AGB13">
        <v>17268</v>
      </c>
      <c r="AGC13">
        <v>25257</v>
      </c>
      <c r="AGD13">
        <v>0</v>
      </c>
      <c r="AGE13">
        <v>10852</v>
      </c>
      <c r="AGF13">
        <v>8950</v>
      </c>
      <c r="AGG13">
        <v>0</v>
      </c>
      <c r="AGH13">
        <v>4076</v>
      </c>
      <c r="AGI13">
        <v>0</v>
      </c>
      <c r="AGJ13">
        <v>0</v>
      </c>
      <c r="AGK13">
        <v>0</v>
      </c>
      <c r="AGL13">
        <v>1745</v>
      </c>
      <c r="AGM13">
        <v>7079</v>
      </c>
      <c r="AGN13">
        <v>0</v>
      </c>
      <c r="AGO13">
        <v>0</v>
      </c>
      <c r="AGP13">
        <v>9751</v>
      </c>
      <c r="AGQ13">
        <v>469</v>
      </c>
      <c r="AGR13">
        <v>0</v>
      </c>
      <c r="AGS13">
        <v>7904</v>
      </c>
      <c r="AGT13">
        <v>4246</v>
      </c>
      <c r="AGU13">
        <v>4550</v>
      </c>
      <c r="AGV13">
        <v>98</v>
      </c>
      <c r="AGW13">
        <v>5000</v>
      </c>
      <c r="AGX13">
        <v>10234</v>
      </c>
      <c r="AGY13">
        <v>0</v>
      </c>
      <c r="AGZ13">
        <v>1676</v>
      </c>
      <c r="AHA13">
        <v>0</v>
      </c>
      <c r="AHB13">
        <v>5560</v>
      </c>
      <c r="AHC13">
        <v>5082</v>
      </c>
      <c r="AHD13">
        <v>10706</v>
      </c>
      <c r="AHE13">
        <v>7266</v>
      </c>
      <c r="AHH13">
        <v>0</v>
      </c>
      <c r="AHI13">
        <v>9746</v>
      </c>
      <c r="AHJ13">
        <v>2792</v>
      </c>
      <c r="AHK13">
        <v>3540</v>
      </c>
      <c r="AHL13">
        <v>2807</v>
      </c>
      <c r="AHM13">
        <v>0</v>
      </c>
      <c r="AHN13">
        <v>915</v>
      </c>
      <c r="AHO13">
        <v>538</v>
      </c>
      <c r="AHP13">
        <v>5899</v>
      </c>
      <c r="AHQ13">
        <v>5643</v>
      </c>
      <c r="AHR13">
        <v>3839</v>
      </c>
      <c r="AHS13">
        <v>6051</v>
      </c>
      <c r="AHT13">
        <v>0</v>
      </c>
      <c r="AHU13">
        <v>0</v>
      </c>
      <c r="AHV13">
        <v>0</v>
      </c>
      <c r="AHW13">
        <v>0</v>
      </c>
      <c r="AHX13">
        <v>2489</v>
      </c>
      <c r="AHY13">
        <v>3844</v>
      </c>
      <c r="AHZ13">
        <v>926</v>
      </c>
      <c r="AIA13">
        <v>0</v>
      </c>
      <c r="AIB13">
        <v>417</v>
      </c>
      <c r="AIC13">
        <v>609</v>
      </c>
      <c r="AID13">
        <v>2556</v>
      </c>
      <c r="AIE13">
        <v>1135</v>
      </c>
      <c r="AIF13">
        <v>1157</v>
      </c>
      <c r="AIG13">
        <v>2115</v>
      </c>
      <c r="AIH13">
        <v>0</v>
      </c>
      <c r="AII13">
        <v>757</v>
      </c>
      <c r="AIJ13">
        <v>4736</v>
      </c>
      <c r="AIK13">
        <v>2472</v>
      </c>
      <c r="AIL13">
        <v>690</v>
      </c>
      <c r="AIM13">
        <v>0</v>
      </c>
      <c r="AIN13">
        <v>0</v>
      </c>
      <c r="AIO13">
        <v>0</v>
      </c>
      <c r="AIP13">
        <v>0</v>
      </c>
      <c r="AIQ13">
        <v>4620</v>
      </c>
      <c r="AIR13">
        <v>526</v>
      </c>
      <c r="AIS13">
        <v>3458</v>
      </c>
      <c r="AIT13">
        <v>212</v>
      </c>
      <c r="AIU13">
        <v>1029</v>
      </c>
      <c r="AIV13">
        <v>0</v>
      </c>
      <c r="AIW13">
        <v>4806</v>
      </c>
      <c r="AIX13">
        <v>6123</v>
      </c>
      <c r="AIY13">
        <v>706</v>
      </c>
      <c r="AIZ13">
        <v>6899</v>
      </c>
      <c r="AJA13">
        <v>3165</v>
      </c>
      <c r="AJB13">
        <v>0</v>
      </c>
      <c r="AJC13">
        <v>0</v>
      </c>
      <c r="AJD13">
        <v>998</v>
      </c>
      <c r="AJE13">
        <v>0</v>
      </c>
      <c r="AJF13">
        <v>0</v>
      </c>
      <c r="AJG13">
        <v>0</v>
      </c>
      <c r="AJH13">
        <v>5516</v>
      </c>
      <c r="AJI13">
        <v>4904</v>
      </c>
      <c r="AJJ13">
        <v>0</v>
      </c>
      <c r="AJK13">
        <v>6432</v>
      </c>
      <c r="AJL13">
        <v>8714</v>
      </c>
      <c r="AJM13">
        <v>7155</v>
      </c>
      <c r="AJN13">
        <v>10362</v>
      </c>
      <c r="AJO13">
        <v>5321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1641</v>
      </c>
      <c r="AJV13">
        <v>4377</v>
      </c>
      <c r="AJW13">
        <v>115</v>
      </c>
      <c r="AJX13">
        <v>0</v>
      </c>
      <c r="AJY13">
        <v>0</v>
      </c>
      <c r="AJZ13">
        <v>4694</v>
      </c>
      <c r="AKA13">
        <v>3505</v>
      </c>
      <c r="AKB13">
        <v>8154</v>
      </c>
      <c r="AKC13">
        <v>6208</v>
      </c>
      <c r="AKD13">
        <v>5239</v>
      </c>
      <c r="AKE13">
        <v>0</v>
      </c>
      <c r="AKF13">
        <v>145</v>
      </c>
    </row>
    <row r="14" spans="1:1010">
      <c r="A14">
        <v>12</v>
      </c>
      <c r="B14" t="s">
        <v>106</v>
      </c>
      <c r="C14" s="1">
        <v>82630</v>
      </c>
      <c r="D14" s="2" t="s">
        <v>28</v>
      </c>
      <c r="E14" s="3" t="s">
        <v>88</v>
      </c>
      <c r="F14" s="1" t="s">
        <v>93</v>
      </c>
      <c r="G14" s="1" t="s">
        <v>12</v>
      </c>
      <c r="H14" s="1" t="s">
        <v>103</v>
      </c>
      <c r="I14" s="1" t="s">
        <v>45</v>
      </c>
      <c r="J14" s="1" t="s">
        <v>46</v>
      </c>
      <c r="K14">
        <v>2533</v>
      </c>
      <c r="L14">
        <v>4135</v>
      </c>
      <c r="M14">
        <v>1615</v>
      </c>
      <c r="N14">
        <v>5871</v>
      </c>
      <c r="O14">
        <v>399</v>
      </c>
      <c r="P14">
        <v>1007</v>
      </c>
      <c r="Q14">
        <v>0</v>
      </c>
      <c r="R14">
        <v>1832</v>
      </c>
      <c r="S14">
        <v>1085</v>
      </c>
      <c r="T14">
        <v>1368</v>
      </c>
      <c r="U14">
        <v>2972</v>
      </c>
      <c r="V14">
        <v>0</v>
      </c>
      <c r="W14">
        <v>1482</v>
      </c>
      <c r="X14">
        <v>7275</v>
      </c>
      <c r="Y14">
        <v>722</v>
      </c>
      <c r="Z14">
        <v>224</v>
      </c>
      <c r="AA14">
        <v>2158</v>
      </c>
      <c r="AB14">
        <v>374</v>
      </c>
      <c r="AC14">
        <v>0</v>
      </c>
      <c r="AD14">
        <v>2645</v>
      </c>
      <c r="AE14">
        <v>4630</v>
      </c>
      <c r="AF14">
        <v>0</v>
      </c>
      <c r="AG14">
        <v>3830</v>
      </c>
      <c r="AH14">
        <v>1982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152</v>
      </c>
      <c r="AO14">
        <v>1403</v>
      </c>
      <c r="AP14">
        <v>5734</v>
      </c>
      <c r="AQ14">
        <v>0</v>
      </c>
      <c r="AR14">
        <v>3139</v>
      </c>
      <c r="AS14">
        <v>0</v>
      </c>
      <c r="AT14">
        <v>1586</v>
      </c>
      <c r="AU14">
        <v>670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796</v>
      </c>
      <c r="CI14">
        <v>3255</v>
      </c>
      <c r="CJ14">
        <v>1940</v>
      </c>
      <c r="CK14">
        <v>3450</v>
      </c>
      <c r="CL14">
        <v>1523</v>
      </c>
      <c r="CM14">
        <v>0</v>
      </c>
      <c r="CN14">
        <v>0</v>
      </c>
      <c r="CO14">
        <v>245</v>
      </c>
      <c r="CP14">
        <v>1820</v>
      </c>
      <c r="CQ14">
        <v>1935</v>
      </c>
      <c r="CR14">
        <v>1951</v>
      </c>
      <c r="CS14">
        <v>28</v>
      </c>
      <c r="CT14">
        <v>0</v>
      </c>
      <c r="CU14">
        <v>0</v>
      </c>
      <c r="CV14">
        <v>1434</v>
      </c>
      <c r="CW14">
        <v>0</v>
      </c>
      <c r="CX14">
        <v>0</v>
      </c>
      <c r="CY14">
        <v>0</v>
      </c>
      <c r="CZ14">
        <v>898</v>
      </c>
      <c r="DA14">
        <v>1051</v>
      </c>
      <c r="DB14">
        <v>0</v>
      </c>
      <c r="DC14">
        <v>1738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1431</v>
      </c>
      <c r="DP14">
        <v>0</v>
      </c>
      <c r="DQ14">
        <v>3530</v>
      </c>
      <c r="DR14">
        <v>2339</v>
      </c>
      <c r="DS14">
        <v>11428</v>
      </c>
      <c r="DT14">
        <v>0</v>
      </c>
      <c r="DU14">
        <v>933</v>
      </c>
      <c r="DV14">
        <v>376</v>
      </c>
      <c r="DW14">
        <v>0</v>
      </c>
      <c r="DX14">
        <v>628</v>
      </c>
      <c r="DY14">
        <v>2463</v>
      </c>
      <c r="DZ14">
        <v>247</v>
      </c>
      <c r="EA14">
        <v>9245</v>
      </c>
      <c r="EB14">
        <v>3222</v>
      </c>
      <c r="EC14">
        <v>247</v>
      </c>
      <c r="ED14">
        <v>0</v>
      </c>
      <c r="EE14">
        <v>308</v>
      </c>
      <c r="EF14">
        <v>0</v>
      </c>
      <c r="EG14">
        <v>0</v>
      </c>
      <c r="EH14">
        <v>3610</v>
      </c>
      <c r="EI14">
        <v>806</v>
      </c>
      <c r="EJ14">
        <v>1092</v>
      </c>
      <c r="EK14">
        <v>0</v>
      </c>
      <c r="EL14">
        <v>93</v>
      </c>
      <c r="EM14">
        <v>0</v>
      </c>
      <c r="EN14">
        <v>0</v>
      </c>
      <c r="EO14">
        <v>0</v>
      </c>
      <c r="EP14">
        <v>432</v>
      </c>
      <c r="EQ14">
        <v>0</v>
      </c>
      <c r="ER14">
        <v>0</v>
      </c>
      <c r="ES14">
        <v>0</v>
      </c>
      <c r="ET14">
        <v>0</v>
      </c>
      <c r="EU14">
        <v>1204</v>
      </c>
      <c r="EV14">
        <v>1191</v>
      </c>
      <c r="EW14">
        <v>293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2803</v>
      </c>
      <c r="FD14">
        <v>4678</v>
      </c>
      <c r="FE14">
        <v>3554</v>
      </c>
      <c r="FF14">
        <v>0</v>
      </c>
      <c r="FG14">
        <v>1970</v>
      </c>
      <c r="FH14">
        <v>431</v>
      </c>
      <c r="FI14">
        <v>526</v>
      </c>
      <c r="FJ14">
        <v>354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1956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3299</v>
      </c>
      <c r="FZ14">
        <v>3225</v>
      </c>
      <c r="GA14">
        <v>0</v>
      </c>
      <c r="GB14">
        <v>2746</v>
      </c>
      <c r="GC14">
        <v>1560</v>
      </c>
      <c r="GD14">
        <v>0</v>
      </c>
      <c r="GE14">
        <v>140</v>
      </c>
      <c r="GF14">
        <v>2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1996</v>
      </c>
      <c r="GN14">
        <v>0</v>
      </c>
      <c r="GO14">
        <v>0</v>
      </c>
      <c r="GP14">
        <v>3378</v>
      </c>
      <c r="GQ14">
        <v>0</v>
      </c>
      <c r="GR14">
        <v>0</v>
      </c>
      <c r="GS14">
        <v>0</v>
      </c>
      <c r="GT14">
        <v>544</v>
      </c>
      <c r="GU14">
        <v>0</v>
      </c>
      <c r="GV14">
        <v>0</v>
      </c>
      <c r="GW14">
        <v>0</v>
      </c>
      <c r="GX14">
        <v>0</v>
      </c>
      <c r="GY14">
        <v>1037</v>
      </c>
      <c r="GZ14">
        <v>1708</v>
      </c>
      <c r="HA14">
        <v>263</v>
      </c>
      <c r="HB14">
        <v>2793</v>
      </c>
      <c r="HC14">
        <v>0</v>
      </c>
      <c r="HD14">
        <v>2015</v>
      </c>
      <c r="HE14">
        <v>1401</v>
      </c>
      <c r="HF14">
        <v>0</v>
      </c>
      <c r="HG14">
        <v>2124</v>
      </c>
      <c r="HH14">
        <v>5174</v>
      </c>
      <c r="HI14">
        <v>648</v>
      </c>
      <c r="HJ14">
        <v>0</v>
      </c>
      <c r="HK14">
        <v>1292</v>
      </c>
      <c r="HL14">
        <v>811</v>
      </c>
      <c r="HM14">
        <v>195</v>
      </c>
      <c r="HN14">
        <v>3017</v>
      </c>
      <c r="HO14">
        <v>362</v>
      </c>
      <c r="HP14">
        <v>0</v>
      </c>
      <c r="HQ14">
        <v>0</v>
      </c>
      <c r="HR14">
        <v>0</v>
      </c>
      <c r="HS14">
        <v>16</v>
      </c>
      <c r="HT14">
        <v>14</v>
      </c>
      <c r="HU14">
        <v>1556</v>
      </c>
      <c r="HV14">
        <v>1315</v>
      </c>
      <c r="HW14">
        <v>845</v>
      </c>
      <c r="HX14">
        <v>0</v>
      </c>
      <c r="HY14">
        <v>0</v>
      </c>
      <c r="HZ14">
        <v>0</v>
      </c>
      <c r="IA14">
        <v>1737</v>
      </c>
      <c r="IB14">
        <v>1814</v>
      </c>
      <c r="IC14">
        <v>263</v>
      </c>
      <c r="ID14">
        <v>60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 s="31">
        <v>0</v>
      </c>
      <c r="IT14">
        <v>0</v>
      </c>
      <c r="IU14" s="31">
        <v>0</v>
      </c>
      <c r="IV14" s="31">
        <v>0</v>
      </c>
      <c r="IW14" s="31">
        <v>0</v>
      </c>
      <c r="IX14" s="31">
        <v>27</v>
      </c>
      <c r="IY14" s="31">
        <v>558</v>
      </c>
      <c r="IZ14">
        <v>0</v>
      </c>
      <c r="JA14">
        <v>823</v>
      </c>
      <c r="JB14">
        <v>246</v>
      </c>
      <c r="JC14">
        <v>474</v>
      </c>
      <c r="JD14">
        <v>817</v>
      </c>
      <c r="JE14">
        <v>365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79</v>
      </c>
      <c r="JU14">
        <v>0</v>
      </c>
      <c r="JV14">
        <v>0</v>
      </c>
      <c r="JW14">
        <v>307</v>
      </c>
      <c r="JX14">
        <v>0</v>
      </c>
      <c r="JY14">
        <v>1559</v>
      </c>
      <c r="JZ14">
        <v>1639</v>
      </c>
      <c r="KA14">
        <v>2649</v>
      </c>
      <c r="KB14">
        <v>0</v>
      </c>
      <c r="KC14">
        <v>142</v>
      </c>
      <c r="KD14">
        <v>307</v>
      </c>
      <c r="KE14">
        <v>0</v>
      </c>
      <c r="KF14">
        <v>0</v>
      </c>
      <c r="KG14">
        <v>0</v>
      </c>
      <c r="KH14">
        <v>20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188</v>
      </c>
      <c r="KS14">
        <v>0</v>
      </c>
      <c r="KT14">
        <v>68</v>
      </c>
      <c r="KU14">
        <v>1464</v>
      </c>
      <c r="KV14">
        <v>2662</v>
      </c>
      <c r="KW14">
        <v>0</v>
      </c>
      <c r="KX14">
        <v>402</v>
      </c>
      <c r="KY14">
        <v>22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75</v>
      </c>
      <c r="LH14">
        <v>0</v>
      </c>
      <c r="LI14">
        <v>0</v>
      </c>
      <c r="LJ14">
        <v>471</v>
      </c>
      <c r="LK14">
        <v>0</v>
      </c>
      <c r="LL14">
        <v>0</v>
      </c>
      <c r="LM14">
        <v>1380</v>
      </c>
      <c r="LN14">
        <v>3014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2627</v>
      </c>
      <c r="MK14">
        <v>1829</v>
      </c>
      <c r="ML14">
        <v>1133</v>
      </c>
      <c r="MM14">
        <v>0</v>
      </c>
      <c r="MN14">
        <v>268</v>
      </c>
      <c r="MO14">
        <v>804</v>
      </c>
      <c r="MP14">
        <v>476</v>
      </c>
      <c r="MQ14">
        <v>16</v>
      </c>
      <c r="MR14">
        <v>0</v>
      </c>
      <c r="MS14">
        <v>554</v>
      </c>
      <c r="MT14">
        <v>0</v>
      </c>
      <c r="MU14">
        <v>0</v>
      </c>
      <c r="MV14">
        <v>0</v>
      </c>
      <c r="MW14">
        <v>0</v>
      </c>
      <c r="MX14">
        <v>16</v>
      </c>
      <c r="MY14">
        <v>3375</v>
      </c>
      <c r="MZ14">
        <v>2289</v>
      </c>
      <c r="NA14">
        <v>0</v>
      </c>
      <c r="NB14">
        <v>382</v>
      </c>
      <c r="NC14">
        <v>578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3983</v>
      </c>
      <c r="NO14">
        <v>0</v>
      </c>
      <c r="NP14">
        <v>933</v>
      </c>
      <c r="NQ14">
        <v>621</v>
      </c>
      <c r="NR14">
        <v>294</v>
      </c>
      <c r="NS14">
        <v>1113</v>
      </c>
      <c r="NT14">
        <v>2597</v>
      </c>
      <c r="NU14">
        <v>1137</v>
      </c>
      <c r="NV14">
        <v>0</v>
      </c>
      <c r="NW14">
        <v>658</v>
      </c>
      <c r="NX14">
        <v>1186</v>
      </c>
      <c r="NY14">
        <v>1388</v>
      </c>
      <c r="NZ14">
        <v>0</v>
      </c>
      <c r="OA14">
        <v>4198</v>
      </c>
      <c r="OB14">
        <v>2414</v>
      </c>
      <c r="OC14">
        <v>0</v>
      </c>
      <c r="OD14">
        <v>2197</v>
      </c>
      <c r="OE14">
        <v>1558</v>
      </c>
      <c r="OF14">
        <v>3238</v>
      </c>
      <c r="OG14">
        <v>527</v>
      </c>
      <c r="OH14">
        <v>1015</v>
      </c>
      <c r="OI14">
        <v>0</v>
      </c>
      <c r="OJ14">
        <v>0</v>
      </c>
      <c r="OK14">
        <v>3059</v>
      </c>
      <c r="OL14">
        <v>110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735</v>
      </c>
      <c r="OT14">
        <v>2092</v>
      </c>
      <c r="OU14">
        <v>0</v>
      </c>
      <c r="OV14">
        <v>1771</v>
      </c>
      <c r="OW14">
        <v>108</v>
      </c>
      <c r="OX14">
        <v>0</v>
      </c>
      <c r="OY14">
        <v>0</v>
      </c>
      <c r="OZ14">
        <v>0</v>
      </c>
      <c r="PA14">
        <v>646</v>
      </c>
      <c r="PB14">
        <v>182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1596</v>
      </c>
      <c r="PM14">
        <v>0</v>
      </c>
      <c r="PN14">
        <v>1747</v>
      </c>
      <c r="PO14">
        <v>900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218</v>
      </c>
      <c r="QJ14">
        <v>269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764</v>
      </c>
      <c r="RM14">
        <v>1623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1136</v>
      </c>
      <c r="SB14">
        <v>0</v>
      </c>
      <c r="SC14">
        <v>158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644</v>
      </c>
      <c r="TF14">
        <v>0</v>
      </c>
      <c r="TG14">
        <v>0</v>
      </c>
      <c r="TH14">
        <v>30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6250</v>
      </c>
      <c r="TR14">
        <v>2311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541</v>
      </c>
      <c r="VG14">
        <v>633</v>
      </c>
      <c r="VH14">
        <v>3908</v>
      </c>
      <c r="VI14">
        <v>48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1590</v>
      </c>
      <c r="WC14">
        <v>2473</v>
      </c>
      <c r="WD14">
        <v>0</v>
      </c>
      <c r="WE14">
        <v>0</v>
      </c>
      <c r="WF14">
        <v>51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1691</v>
      </c>
      <c r="AAK14">
        <v>4129</v>
      </c>
      <c r="AAL14">
        <v>3692</v>
      </c>
      <c r="AAM14">
        <v>0</v>
      </c>
      <c r="AAN14">
        <v>0</v>
      </c>
      <c r="AAO14">
        <v>0</v>
      </c>
      <c r="AAP14">
        <v>14</v>
      </c>
      <c r="AAQ14">
        <v>0</v>
      </c>
      <c r="AAR14">
        <v>0</v>
      </c>
      <c r="AAS14">
        <v>35</v>
      </c>
      <c r="AAT14">
        <v>0</v>
      </c>
      <c r="AAU14">
        <v>0</v>
      </c>
      <c r="AAV14">
        <v>281</v>
      </c>
      <c r="AAW14">
        <v>0</v>
      </c>
      <c r="AAX14">
        <v>85</v>
      </c>
      <c r="AAY14">
        <v>12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900</v>
      </c>
      <c r="ACZ14">
        <v>672</v>
      </c>
      <c r="ADA14">
        <v>268</v>
      </c>
      <c r="ADB14">
        <v>8864</v>
      </c>
      <c r="ADC14">
        <v>8762</v>
      </c>
      <c r="ADD14">
        <v>8762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H14">
        <v>0</v>
      </c>
      <c r="AHI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</row>
    <row r="15" spans="1:1010">
      <c r="A15">
        <v>13</v>
      </c>
      <c r="B15" t="s">
        <v>107</v>
      </c>
      <c r="C15" s="1">
        <v>82630</v>
      </c>
      <c r="D15" s="2" t="s">
        <v>28</v>
      </c>
      <c r="E15" s="3" t="s">
        <v>88</v>
      </c>
      <c r="F15" s="1" t="s">
        <v>95</v>
      </c>
      <c r="G15" s="1" t="s">
        <v>12</v>
      </c>
      <c r="H15" s="1" t="s">
        <v>103</v>
      </c>
      <c r="I15" s="1" t="s">
        <v>45</v>
      </c>
      <c r="J15" s="1" t="s">
        <v>46</v>
      </c>
      <c r="K15">
        <v>0</v>
      </c>
      <c r="L15">
        <v>0</v>
      </c>
      <c r="M15">
        <v>0</v>
      </c>
      <c r="N15">
        <v>0</v>
      </c>
      <c r="O15">
        <v>0</v>
      </c>
      <c r="P15">
        <v>167</v>
      </c>
      <c r="Q15">
        <v>0</v>
      </c>
      <c r="R15">
        <v>85</v>
      </c>
      <c r="S15">
        <v>0</v>
      </c>
      <c r="T15">
        <v>50</v>
      </c>
      <c r="U15">
        <v>0</v>
      </c>
      <c r="V15">
        <v>0</v>
      </c>
      <c r="W15">
        <v>0</v>
      </c>
      <c r="X15">
        <v>86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678</v>
      </c>
      <c r="AF15">
        <v>0</v>
      </c>
      <c r="AG15">
        <v>97</v>
      </c>
      <c r="AH15">
        <v>0</v>
      </c>
      <c r="AI15">
        <v>0</v>
      </c>
      <c r="AJ15">
        <v>0</v>
      </c>
      <c r="AK15">
        <v>55</v>
      </c>
      <c r="AL15">
        <v>0</v>
      </c>
      <c r="AM15">
        <v>1751</v>
      </c>
      <c r="AN15">
        <v>0</v>
      </c>
      <c r="AO15">
        <v>0</v>
      </c>
      <c r="AP15">
        <v>0</v>
      </c>
      <c r="AQ15">
        <v>0</v>
      </c>
      <c r="AR15">
        <v>380</v>
      </c>
      <c r="AS15">
        <v>0</v>
      </c>
      <c r="AT15">
        <v>0</v>
      </c>
      <c r="AU15">
        <v>0</v>
      </c>
      <c r="AV15">
        <v>20</v>
      </c>
      <c r="AW15">
        <v>0</v>
      </c>
      <c r="AX15">
        <v>0</v>
      </c>
      <c r="AY15">
        <v>267</v>
      </c>
      <c r="AZ15">
        <v>0</v>
      </c>
      <c r="BA15">
        <v>0</v>
      </c>
      <c r="BB15">
        <v>64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120</v>
      </c>
      <c r="BJ15">
        <v>285</v>
      </c>
      <c r="BK15">
        <v>0</v>
      </c>
      <c r="BL15">
        <v>0</v>
      </c>
      <c r="BM15">
        <v>80</v>
      </c>
      <c r="BN15">
        <v>60</v>
      </c>
      <c r="BO15">
        <v>28</v>
      </c>
      <c r="BP15">
        <v>63</v>
      </c>
      <c r="BQ15">
        <v>0</v>
      </c>
      <c r="BR15">
        <v>0</v>
      </c>
      <c r="BS15">
        <v>0</v>
      </c>
      <c r="BT15">
        <v>0</v>
      </c>
      <c r="BU15" s="33">
        <v>0</v>
      </c>
      <c r="BV15" s="33">
        <v>0</v>
      </c>
      <c r="BW15" s="33">
        <v>0</v>
      </c>
      <c r="BX15" s="33">
        <v>0</v>
      </c>
      <c r="BY15" s="33">
        <v>0</v>
      </c>
      <c r="BZ15" s="33">
        <v>0</v>
      </c>
      <c r="CA15" s="33">
        <v>0</v>
      </c>
      <c r="CB15">
        <v>21</v>
      </c>
      <c r="CC15">
        <v>61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577</v>
      </c>
      <c r="CL15">
        <v>33</v>
      </c>
      <c r="CM15">
        <v>0</v>
      </c>
      <c r="CN15">
        <v>0</v>
      </c>
      <c r="CO15">
        <v>17</v>
      </c>
      <c r="CP15">
        <v>0</v>
      </c>
      <c r="CQ15">
        <v>0</v>
      </c>
      <c r="CR15">
        <v>0</v>
      </c>
      <c r="CS15">
        <v>227</v>
      </c>
      <c r="CT15">
        <v>0</v>
      </c>
      <c r="CU15">
        <v>0</v>
      </c>
      <c r="CV15">
        <v>0</v>
      </c>
      <c r="CW15">
        <v>98</v>
      </c>
      <c r="CX15">
        <v>739</v>
      </c>
      <c r="CY15">
        <v>325</v>
      </c>
      <c r="CZ15">
        <v>0</v>
      </c>
      <c r="DA15">
        <v>0</v>
      </c>
      <c r="DB15">
        <v>0</v>
      </c>
      <c r="DC15">
        <v>81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436</v>
      </c>
      <c r="DK15">
        <v>1312</v>
      </c>
      <c r="DL15">
        <v>77</v>
      </c>
      <c r="DM15">
        <v>320</v>
      </c>
      <c r="DN15">
        <v>1517</v>
      </c>
      <c r="DO15">
        <v>0</v>
      </c>
      <c r="DP15">
        <v>0</v>
      </c>
      <c r="DQ15">
        <v>410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63</v>
      </c>
      <c r="DY15">
        <v>0</v>
      </c>
      <c r="DZ15">
        <v>248</v>
      </c>
      <c r="EA15">
        <v>0</v>
      </c>
      <c r="EB15">
        <v>0</v>
      </c>
      <c r="EC15">
        <v>0</v>
      </c>
      <c r="ED15">
        <v>0</v>
      </c>
      <c r="EE15">
        <v>571</v>
      </c>
      <c r="EF15">
        <v>0</v>
      </c>
      <c r="EG15">
        <v>0</v>
      </c>
      <c r="EH15">
        <v>0</v>
      </c>
      <c r="EI15">
        <v>38</v>
      </c>
      <c r="EJ15">
        <v>0</v>
      </c>
      <c r="EK15">
        <v>0</v>
      </c>
      <c r="EL15">
        <v>0</v>
      </c>
      <c r="EM15">
        <v>296</v>
      </c>
      <c r="EN15">
        <v>252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166</v>
      </c>
      <c r="EU15">
        <v>0</v>
      </c>
      <c r="EV15">
        <v>78</v>
      </c>
      <c r="EW15">
        <v>0</v>
      </c>
      <c r="EX15">
        <v>0</v>
      </c>
      <c r="EY15">
        <v>0</v>
      </c>
      <c r="EZ15">
        <v>966</v>
      </c>
      <c r="FA15">
        <v>386</v>
      </c>
      <c r="FB15">
        <v>0</v>
      </c>
      <c r="FC15">
        <v>0</v>
      </c>
      <c r="FD15">
        <v>252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131</v>
      </c>
      <c r="FO15">
        <v>955</v>
      </c>
      <c r="FP15">
        <v>0</v>
      </c>
      <c r="FQ15">
        <v>0</v>
      </c>
      <c r="FR15">
        <v>25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154</v>
      </c>
      <c r="GE15">
        <v>185</v>
      </c>
      <c r="GF15">
        <v>33</v>
      </c>
      <c r="GG15">
        <v>0</v>
      </c>
      <c r="GH15">
        <v>0</v>
      </c>
      <c r="GI15">
        <v>24</v>
      </c>
      <c r="GJ15">
        <v>0</v>
      </c>
      <c r="GK15">
        <v>0</v>
      </c>
      <c r="GL15">
        <v>317</v>
      </c>
      <c r="GM15">
        <v>0</v>
      </c>
      <c r="GN15">
        <v>0</v>
      </c>
      <c r="GO15">
        <v>0</v>
      </c>
      <c r="GP15">
        <v>0</v>
      </c>
      <c r="GQ15">
        <v>260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73</v>
      </c>
      <c r="GX15">
        <v>50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1870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1169</v>
      </c>
      <c r="HN15">
        <v>0</v>
      </c>
      <c r="HO15">
        <v>548</v>
      </c>
      <c r="HP15">
        <v>0</v>
      </c>
      <c r="HQ15">
        <v>0</v>
      </c>
      <c r="HR15">
        <v>0</v>
      </c>
      <c r="HS15">
        <v>0</v>
      </c>
      <c r="HT15">
        <v>355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398</v>
      </c>
      <c r="IB15">
        <v>570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80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285</v>
      </c>
      <c r="IU15">
        <v>0</v>
      </c>
      <c r="IV15">
        <v>0</v>
      </c>
      <c r="IW15">
        <v>0</v>
      </c>
      <c r="IX15">
        <v>11</v>
      </c>
      <c r="IY15">
        <v>0</v>
      </c>
      <c r="IZ15">
        <v>0</v>
      </c>
      <c r="JA15">
        <v>83</v>
      </c>
      <c r="JB15">
        <v>200</v>
      </c>
      <c r="JC15">
        <v>147</v>
      </c>
      <c r="JD15">
        <v>315</v>
      </c>
      <c r="JE15">
        <v>11</v>
      </c>
      <c r="JF15">
        <v>0</v>
      </c>
      <c r="JG15">
        <v>0</v>
      </c>
      <c r="JH15">
        <v>0</v>
      </c>
      <c r="JI15">
        <v>0</v>
      </c>
      <c r="JJ15">
        <v>885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233</v>
      </c>
      <c r="JR15">
        <v>12</v>
      </c>
      <c r="JS15">
        <v>0</v>
      </c>
      <c r="JT15">
        <v>258</v>
      </c>
      <c r="JU15">
        <v>0</v>
      </c>
      <c r="JV15">
        <v>154</v>
      </c>
      <c r="JW15">
        <v>0</v>
      </c>
      <c r="JX15">
        <v>0</v>
      </c>
      <c r="JY15">
        <v>0</v>
      </c>
      <c r="JZ15">
        <v>84</v>
      </c>
      <c r="KA15">
        <v>24</v>
      </c>
      <c r="KB15">
        <v>0</v>
      </c>
      <c r="KC15">
        <v>174</v>
      </c>
      <c r="KD15">
        <v>140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1041</v>
      </c>
      <c r="KN15">
        <v>1753</v>
      </c>
      <c r="KO15">
        <v>0</v>
      </c>
      <c r="KP15">
        <v>0</v>
      </c>
      <c r="KQ15">
        <v>0</v>
      </c>
      <c r="KR15">
        <v>0</v>
      </c>
      <c r="KS15">
        <v>73</v>
      </c>
      <c r="KT15">
        <v>0</v>
      </c>
      <c r="KU15">
        <v>150</v>
      </c>
      <c r="KV15">
        <v>0</v>
      </c>
      <c r="KW15">
        <v>0</v>
      </c>
      <c r="KX15">
        <v>480</v>
      </c>
      <c r="KY15">
        <v>0</v>
      </c>
      <c r="KZ15">
        <v>131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207</v>
      </c>
      <c r="LG15">
        <v>0</v>
      </c>
      <c r="LH15">
        <v>305</v>
      </c>
      <c r="LI15">
        <v>0</v>
      </c>
      <c r="LJ15">
        <v>0</v>
      </c>
      <c r="LK15">
        <v>0</v>
      </c>
      <c r="LL15">
        <v>1030</v>
      </c>
      <c r="LM15">
        <v>0</v>
      </c>
      <c r="LN15">
        <v>836</v>
      </c>
      <c r="LO15">
        <v>667</v>
      </c>
      <c r="LP15">
        <v>124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347</v>
      </c>
      <c r="LX15">
        <v>0</v>
      </c>
      <c r="LY15">
        <v>0</v>
      </c>
      <c r="LZ15">
        <v>39</v>
      </c>
      <c r="MA15">
        <v>174</v>
      </c>
      <c r="MB15">
        <v>1432</v>
      </c>
      <c r="MC15">
        <v>169</v>
      </c>
      <c r="MD15">
        <v>85</v>
      </c>
      <c r="ME15">
        <v>0</v>
      </c>
      <c r="MF15">
        <v>0</v>
      </c>
      <c r="MG15">
        <v>0</v>
      </c>
      <c r="MH15">
        <v>1049</v>
      </c>
      <c r="MI15">
        <v>201</v>
      </c>
      <c r="MJ15">
        <v>145</v>
      </c>
      <c r="MK15">
        <v>0</v>
      </c>
      <c r="ML15">
        <v>0</v>
      </c>
      <c r="MM15">
        <v>0</v>
      </c>
      <c r="MN15">
        <v>0</v>
      </c>
      <c r="MO15">
        <v>1164</v>
      </c>
      <c r="MP15">
        <v>0</v>
      </c>
      <c r="MQ15">
        <v>11</v>
      </c>
      <c r="MR15">
        <v>0</v>
      </c>
      <c r="MS15">
        <v>0</v>
      </c>
      <c r="MT15">
        <v>0</v>
      </c>
      <c r="MU15">
        <v>0</v>
      </c>
      <c r="MV15">
        <v>29</v>
      </c>
      <c r="MW15">
        <v>1247</v>
      </c>
      <c r="MX15">
        <v>760</v>
      </c>
      <c r="MY15">
        <v>0</v>
      </c>
      <c r="MZ15">
        <v>0</v>
      </c>
      <c r="NA15">
        <v>0</v>
      </c>
      <c r="NB15">
        <v>69</v>
      </c>
      <c r="NC15">
        <v>332</v>
      </c>
      <c r="ND15">
        <v>0</v>
      </c>
      <c r="NE15">
        <v>181</v>
      </c>
      <c r="NF15">
        <v>527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67</v>
      </c>
      <c r="NM15">
        <v>201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1368</v>
      </c>
      <c r="NT15">
        <v>139</v>
      </c>
      <c r="NU15">
        <v>0</v>
      </c>
      <c r="NV15">
        <v>0</v>
      </c>
      <c r="NW15">
        <v>12</v>
      </c>
      <c r="NX15">
        <v>363</v>
      </c>
      <c r="NY15">
        <v>0</v>
      </c>
      <c r="NZ15">
        <v>57</v>
      </c>
      <c r="OA15">
        <v>16</v>
      </c>
      <c r="OB15">
        <v>0</v>
      </c>
      <c r="OC15">
        <v>0</v>
      </c>
      <c r="OD15">
        <v>0</v>
      </c>
      <c r="OE15">
        <v>230</v>
      </c>
      <c r="OF15">
        <v>0</v>
      </c>
      <c r="OG15">
        <v>0</v>
      </c>
      <c r="OH15">
        <v>0</v>
      </c>
      <c r="OI15">
        <v>153</v>
      </c>
      <c r="OJ15">
        <v>0</v>
      </c>
      <c r="OK15">
        <v>216</v>
      </c>
      <c r="OL15">
        <v>0</v>
      </c>
      <c r="OM15">
        <v>0</v>
      </c>
      <c r="ON15">
        <v>0</v>
      </c>
      <c r="OO15">
        <v>151</v>
      </c>
      <c r="OP15">
        <v>0</v>
      </c>
      <c r="OQ15">
        <v>0</v>
      </c>
      <c r="OR15">
        <v>0</v>
      </c>
      <c r="OS15">
        <v>378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379</v>
      </c>
      <c r="PC15">
        <v>0</v>
      </c>
      <c r="PD15">
        <v>0</v>
      </c>
      <c r="PE15">
        <v>0</v>
      </c>
      <c r="PF15">
        <v>0</v>
      </c>
      <c r="PG15">
        <v>200</v>
      </c>
      <c r="PH15">
        <v>0</v>
      </c>
      <c r="PI15">
        <v>81</v>
      </c>
      <c r="PJ15">
        <v>39</v>
      </c>
      <c r="PK15">
        <v>0</v>
      </c>
      <c r="PL15">
        <v>0</v>
      </c>
      <c r="PM15">
        <v>0</v>
      </c>
      <c r="PN15">
        <v>0</v>
      </c>
      <c r="PO15">
        <v>220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1884</v>
      </c>
      <c r="QE15">
        <v>0</v>
      </c>
      <c r="QF15">
        <v>0</v>
      </c>
      <c r="QG15">
        <v>0</v>
      </c>
      <c r="QH15">
        <v>151</v>
      </c>
      <c r="QI15">
        <v>0</v>
      </c>
      <c r="QJ15">
        <v>552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271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80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263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45</v>
      </c>
      <c r="RN15">
        <v>1915</v>
      </c>
      <c r="RO15">
        <v>0</v>
      </c>
      <c r="RP15">
        <v>0</v>
      </c>
      <c r="RQ15">
        <v>590</v>
      </c>
      <c r="RR15">
        <v>44</v>
      </c>
      <c r="RS15">
        <v>83</v>
      </c>
      <c r="RT15">
        <v>0</v>
      </c>
      <c r="RU15">
        <v>164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80</v>
      </c>
      <c r="SC15">
        <v>0</v>
      </c>
      <c r="SD15">
        <v>0</v>
      </c>
      <c r="SE15">
        <v>98</v>
      </c>
      <c r="SF15">
        <v>0</v>
      </c>
      <c r="SG15">
        <v>753</v>
      </c>
      <c r="SH15">
        <v>0</v>
      </c>
      <c r="SI15">
        <v>1721</v>
      </c>
      <c r="SJ15">
        <v>0</v>
      </c>
      <c r="SK15">
        <v>0</v>
      </c>
      <c r="SL15">
        <v>0</v>
      </c>
      <c r="SM15">
        <v>0</v>
      </c>
      <c r="SN15">
        <v>83</v>
      </c>
      <c r="SO15">
        <v>0</v>
      </c>
      <c r="SP15">
        <v>101</v>
      </c>
      <c r="SQ15">
        <v>0</v>
      </c>
      <c r="SR15">
        <v>0</v>
      </c>
      <c r="SS15">
        <v>435</v>
      </c>
      <c r="ST15">
        <v>0</v>
      </c>
      <c r="SU15">
        <v>66</v>
      </c>
      <c r="SV15">
        <v>1042</v>
      </c>
      <c r="SW15">
        <v>316</v>
      </c>
      <c r="SX15">
        <v>0</v>
      </c>
      <c r="SY15">
        <v>0</v>
      </c>
      <c r="SZ15">
        <v>1776</v>
      </c>
      <c r="TA15">
        <v>0</v>
      </c>
      <c r="TB15">
        <v>514</v>
      </c>
      <c r="TC15">
        <v>93</v>
      </c>
      <c r="TD15">
        <v>0</v>
      </c>
      <c r="TE15">
        <v>0</v>
      </c>
      <c r="TF15">
        <v>0</v>
      </c>
      <c r="TG15">
        <v>30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227</v>
      </c>
      <c r="TP15">
        <v>0</v>
      </c>
      <c r="TQ15">
        <v>1144</v>
      </c>
      <c r="TR15">
        <v>52</v>
      </c>
      <c r="TS15">
        <v>0</v>
      </c>
      <c r="TT15">
        <v>0</v>
      </c>
      <c r="TU15">
        <v>0</v>
      </c>
      <c r="TV15">
        <v>0</v>
      </c>
      <c r="TW15">
        <v>1689</v>
      </c>
      <c r="TX15">
        <v>568</v>
      </c>
      <c r="TY15">
        <v>90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281</v>
      </c>
      <c r="UJ15">
        <v>652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235</v>
      </c>
      <c r="UQ15">
        <v>1062</v>
      </c>
      <c r="UR15">
        <v>913</v>
      </c>
      <c r="US15">
        <v>679</v>
      </c>
      <c r="UT15">
        <v>21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2300</v>
      </c>
      <c r="VE15">
        <v>0</v>
      </c>
      <c r="VF15">
        <v>521</v>
      </c>
      <c r="VG15">
        <v>1376</v>
      </c>
      <c r="VH15">
        <v>919</v>
      </c>
      <c r="VI15">
        <v>0</v>
      </c>
      <c r="VJ15">
        <v>0</v>
      </c>
      <c r="VK15">
        <v>0</v>
      </c>
      <c r="VL15">
        <v>249</v>
      </c>
      <c r="VM15">
        <v>2064</v>
      </c>
      <c r="VN15">
        <v>0</v>
      </c>
      <c r="VO15">
        <v>0</v>
      </c>
      <c r="VP15">
        <v>0</v>
      </c>
      <c r="VQ15">
        <v>0</v>
      </c>
      <c r="VR15">
        <v>700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300</v>
      </c>
      <c r="WA15">
        <v>0</v>
      </c>
      <c r="WB15">
        <v>97</v>
      </c>
      <c r="WC15">
        <v>0</v>
      </c>
      <c r="WD15">
        <v>0</v>
      </c>
      <c r="WE15">
        <v>0</v>
      </c>
      <c r="WF15">
        <v>0</v>
      </c>
      <c r="WG15">
        <v>179</v>
      </c>
      <c r="WH15">
        <v>790</v>
      </c>
      <c r="WI15">
        <v>90</v>
      </c>
      <c r="WJ15">
        <v>462</v>
      </c>
      <c r="WK15">
        <v>0</v>
      </c>
      <c r="WL15">
        <v>0</v>
      </c>
      <c r="WM15">
        <v>214</v>
      </c>
      <c r="WN15">
        <v>1391</v>
      </c>
      <c r="WO15">
        <v>890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505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170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699</v>
      </c>
      <c r="XR15">
        <v>1048</v>
      </c>
      <c r="XS15">
        <v>95</v>
      </c>
      <c r="XT15">
        <v>0</v>
      </c>
      <c r="XU15">
        <v>0</v>
      </c>
      <c r="XV15">
        <v>0</v>
      </c>
      <c r="XW15">
        <v>0</v>
      </c>
      <c r="XX15">
        <v>315</v>
      </c>
      <c r="XY15">
        <v>0</v>
      </c>
      <c r="XZ15">
        <v>27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246</v>
      </c>
      <c r="YK15">
        <v>0</v>
      </c>
      <c r="YL15">
        <v>1433</v>
      </c>
      <c r="YM15">
        <v>0</v>
      </c>
      <c r="YN15">
        <v>0</v>
      </c>
      <c r="YO15">
        <v>0</v>
      </c>
      <c r="YP15">
        <v>0</v>
      </c>
      <c r="YQ15">
        <v>53</v>
      </c>
      <c r="YR15">
        <v>650</v>
      </c>
      <c r="YS15">
        <v>2040</v>
      </c>
      <c r="YT15">
        <v>722</v>
      </c>
      <c r="YU15">
        <v>600</v>
      </c>
      <c r="YV15">
        <v>0</v>
      </c>
      <c r="YW15">
        <v>0</v>
      </c>
      <c r="YX15">
        <v>0</v>
      </c>
      <c r="YY15">
        <v>0</v>
      </c>
      <c r="YZ15">
        <v>1172</v>
      </c>
      <c r="ZA15">
        <v>360</v>
      </c>
      <c r="ZB15">
        <v>220</v>
      </c>
      <c r="ZC15">
        <v>0</v>
      </c>
      <c r="ZD15">
        <v>0</v>
      </c>
      <c r="ZE15">
        <v>219</v>
      </c>
      <c r="ZF15">
        <v>0</v>
      </c>
      <c r="ZG15">
        <v>650</v>
      </c>
      <c r="ZH15">
        <v>75</v>
      </c>
      <c r="ZI15">
        <v>0</v>
      </c>
      <c r="ZJ15">
        <v>0</v>
      </c>
      <c r="ZK15">
        <v>0</v>
      </c>
      <c r="ZL15">
        <v>5725</v>
      </c>
      <c r="ZM15">
        <v>0</v>
      </c>
      <c r="ZN15">
        <v>0</v>
      </c>
      <c r="ZO15">
        <v>0</v>
      </c>
      <c r="ZP15">
        <v>186</v>
      </c>
      <c r="ZQ15">
        <v>0</v>
      </c>
      <c r="ZR15">
        <v>0</v>
      </c>
      <c r="ZS15">
        <v>30</v>
      </c>
      <c r="ZT15">
        <v>39</v>
      </c>
      <c r="ZU15">
        <v>4684</v>
      </c>
      <c r="ZV15">
        <v>0</v>
      </c>
      <c r="ZW15">
        <v>275</v>
      </c>
      <c r="ZX15">
        <v>0</v>
      </c>
      <c r="ZY15">
        <v>0</v>
      </c>
      <c r="ZZ15">
        <v>0</v>
      </c>
      <c r="AAA15">
        <v>0</v>
      </c>
      <c r="AAB15">
        <v>1628</v>
      </c>
      <c r="AAC15">
        <v>204</v>
      </c>
      <c r="AAD15">
        <v>0</v>
      </c>
      <c r="AAE15">
        <v>0</v>
      </c>
      <c r="AAF15">
        <v>0</v>
      </c>
      <c r="AAG15">
        <v>0</v>
      </c>
      <c r="AAH15">
        <v>56</v>
      </c>
      <c r="AAI15">
        <v>114</v>
      </c>
      <c r="AAJ15">
        <v>0</v>
      </c>
      <c r="AAK15">
        <v>74</v>
      </c>
      <c r="AAL15">
        <v>0</v>
      </c>
      <c r="AAM15">
        <v>0</v>
      </c>
      <c r="AAN15">
        <v>0</v>
      </c>
      <c r="AAO15">
        <v>5000</v>
      </c>
      <c r="AAP15">
        <v>1023</v>
      </c>
      <c r="AAQ15">
        <v>10</v>
      </c>
      <c r="AAR15">
        <v>3999</v>
      </c>
      <c r="AAS15">
        <v>0</v>
      </c>
      <c r="AAT15">
        <v>0</v>
      </c>
      <c r="AAU15">
        <v>0</v>
      </c>
      <c r="AAV15">
        <v>2200</v>
      </c>
      <c r="AAW15">
        <v>488</v>
      </c>
      <c r="AAX15">
        <v>1112</v>
      </c>
      <c r="AAY15">
        <v>0</v>
      </c>
      <c r="AAZ15">
        <v>0</v>
      </c>
      <c r="ABA15">
        <v>0</v>
      </c>
      <c r="ABB15">
        <v>0</v>
      </c>
      <c r="ABC15">
        <v>2033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3</v>
      </c>
      <c r="ABK15">
        <v>158</v>
      </c>
      <c r="ABL15">
        <v>266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224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382</v>
      </c>
      <c r="ABZ15">
        <v>145</v>
      </c>
      <c r="ACA15">
        <v>0</v>
      </c>
      <c r="ACB15">
        <v>0</v>
      </c>
      <c r="ACC15">
        <v>0</v>
      </c>
      <c r="ACD15">
        <v>0</v>
      </c>
      <c r="ACE15">
        <v>80</v>
      </c>
      <c r="ACF15">
        <v>0</v>
      </c>
      <c r="ACG15">
        <v>57</v>
      </c>
      <c r="ACH15">
        <v>793</v>
      </c>
      <c r="ACI15">
        <v>0</v>
      </c>
      <c r="ACJ15">
        <v>0</v>
      </c>
      <c r="ACK15">
        <v>0</v>
      </c>
      <c r="ACL15">
        <v>0</v>
      </c>
      <c r="ACM15">
        <v>840</v>
      </c>
      <c r="ACN15">
        <v>0</v>
      </c>
      <c r="ACO15">
        <v>45</v>
      </c>
      <c r="ACP15">
        <v>0</v>
      </c>
      <c r="ACQ15">
        <v>0</v>
      </c>
      <c r="ACR15">
        <v>349</v>
      </c>
      <c r="ACS15">
        <v>0</v>
      </c>
      <c r="ACT15">
        <v>335</v>
      </c>
      <c r="ACU15">
        <v>0</v>
      </c>
      <c r="ACV15">
        <v>0</v>
      </c>
      <c r="ACW15">
        <v>0</v>
      </c>
      <c r="ACX15">
        <v>0</v>
      </c>
      <c r="ACY15">
        <v>35</v>
      </c>
      <c r="ACZ15">
        <v>32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987</v>
      </c>
      <c r="ADG15">
        <v>202</v>
      </c>
      <c r="ADH15">
        <v>70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298</v>
      </c>
      <c r="ADO15">
        <v>360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56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39</v>
      </c>
      <c r="AEK15">
        <v>28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474</v>
      </c>
      <c r="AER15">
        <v>0</v>
      </c>
      <c r="AES15">
        <v>46</v>
      </c>
      <c r="AET15">
        <v>0</v>
      </c>
      <c r="AEU15">
        <v>0</v>
      </c>
      <c r="AEV15">
        <v>0</v>
      </c>
      <c r="AEW15">
        <v>0</v>
      </c>
      <c r="AEX15">
        <v>2280</v>
      </c>
      <c r="AEY15">
        <v>186</v>
      </c>
      <c r="AEZ15">
        <v>43</v>
      </c>
      <c r="AFA15">
        <v>0</v>
      </c>
      <c r="AFB15">
        <v>0</v>
      </c>
      <c r="AFC15">
        <v>0</v>
      </c>
      <c r="AFD15">
        <v>0</v>
      </c>
      <c r="AFE15">
        <v>86</v>
      </c>
      <c r="AFF15">
        <v>38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904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563</v>
      </c>
      <c r="AFT15">
        <v>0</v>
      </c>
      <c r="AFU15">
        <v>396</v>
      </c>
      <c r="AFV15">
        <v>0</v>
      </c>
      <c r="AFW15">
        <v>0</v>
      </c>
      <c r="AFX15">
        <v>0</v>
      </c>
      <c r="AFY15">
        <v>279</v>
      </c>
      <c r="AFZ15">
        <v>0</v>
      </c>
      <c r="AGA15">
        <v>751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2175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57</v>
      </c>
      <c r="AGN15">
        <v>818</v>
      </c>
      <c r="AGO15">
        <v>0</v>
      </c>
      <c r="AGP15">
        <v>1069</v>
      </c>
      <c r="AGQ15">
        <v>3400</v>
      </c>
      <c r="AGR15">
        <v>0</v>
      </c>
      <c r="AGS15">
        <v>0</v>
      </c>
      <c r="AGT15">
        <v>163</v>
      </c>
      <c r="AGU15">
        <v>654</v>
      </c>
      <c r="AGV15">
        <v>0</v>
      </c>
      <c r="AGW15">
        <v>0</v>
      </c>
      <c r="AGX15">
        <v>0</v>
      </c>
      <c r="AGY15">
        <v>0</v>
      </c>
      <c r="AGZ15">
        <v>150</v>
      </c>
      <c r="AHA15">
        <v>165</v>
      </c>
      <c r="AHB15">
        <v>0</v>
      </c>
      <c r="AHC15">
        <v>0</v>
      </c>
      <c r="AHD15">
        <v>1038</v>
      </c>
      <c r="AHE15">
        <v>0</v>
      </c>
      <c r="AHH15">
        <v>0</v>
      </c>
      <c r="AHI15">
        <v>1405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225</v>
      </c>
      <c r="AHP15">
        <v>1565</v>
      </c>
      <c r="AHQ15">
        <v>0</v>
      </c>
      <c r="AHR15">
        <v>16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16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838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1058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227</v>
      </c>
      <c r="AIS15">
        <v>534</v>
      </c>
      <c r="AIT15">
        <v>0</v>
      </c>
      <c r="AIU15">
        <v>0</v>
      </c>
      <c r="AIV15">
        <v>0</v>
      </c>
      <c r="AIW15">
        <v>0</v>
      </c>
      <c r="AIX15">
        <v>456</v>
      </c>
      <c r="AIY15">
        <v>1942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1517</v>
      </c>
      <c r="AJG15">
        <v>2045</v>
      </c>
      <c r="AJH15">
        <v>1973</v>
      </c>
      <c r="AJI15">
        <v>0</v>
      </c>
      <c r="AJJ15">
        <v>0</v>
      </c>
      <c r="AJK15">
        <v>0</v>
      </c>
      <c r="AJL15">
        <v>0</v>
      </c>
      <c r="AJM15">
        <v>3292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2000</v>
      </c>
      <c r="AJV15">
        <v>94</v>
      </c>
      <c r="AJW15">
        <v>0</v>
      </c>
      <c r="AJX15">
        <v>0</v>
      </c>
      <c r="AJY15">
        <v>0</v>
      </c>
      <c r="AJZ15">
        <v>67</v>
      </c>
      <c r="AKA15">
        <v>1698</v>
      </c>
      <c r="AKB15">
        <v>0</v>
      </c>
      <c r="AKC15">
        <v>0</v>
      </c>
      <c r="AKD15">
        <v>0</v>
      </c>
      <c r="AKE15">
        <v>0</v>
      </c>
      <c r="AKF15">
        <v>151</v>
      </c>
    </row>
    <row r="16" spans="1:1010">
      <c r="A16">
        <v>14</v>
      </c>
      <c r="B16" t="s">
        <v>108</v>
      </c>
      <c r="C16" s="1">
        <v>82630</v>
      </c>
      <c r="D16" s="2" t="s">
        <v>28</v>
      </c>
      <c r="E16" s="3" t="s">
        <v>88</v>
      </c>
      <c r="F16" s="1" t="s">
        <v>97</v>
      </c>
      <c r="G16" s="1" t="s">
        <v>12</v>
      </c>
      <c r="H16" s="1" t="s">
        <v>103</v>
      </c>
      <c r="I16" s="1" t="s">
        <v>45</v>
      </c>
      <c r="J16" s="1" t="s">
        <v>46</v>
      </c>
      <c r="K16">
        <v>0</v>
      </c>
      <c r="L16">
        <v>0</v>
      </c>
      <c r="M16">
        <v>0</v>
      </c>
      <c r="N16">
        <v>0</v>
      </c>
      <c r="O16">
        <v>0</v>
      </c>
      <c r="P16">
        <v>58</v>
      </c>
      <c r="Q16">
        <v>0</v>
      </c>
      <c r="R16">
        <v>0</v>
      </c>
      <c r="S16">
        <v>0</v>
      </c>
      <c r="T16">
        <v>0</v>
      </c>
      <c r="U16">
        <v>30254</v>
      </c>
      <c r="V16">
        <v>0</v>
      </c>
      <c r="W16">
        <v>52044</v>
      </c>
      <c r="X16">
        <v>1802</v>
      </c>
      <c r="Y16">
        <v>3931</v>
      </c>
      <c r="Z16">
        <v>710</v>
      </c>
      <c r="AA16">
        <v>1700</v>
      </c>
      <c r="AB16">
        <v>0</v>
      </c>
      <c r="AC16">
        <v>0</v>
      </c>
      <c r="AD16">
        <v>0</v>
      </c>
      <c r="AE16">
        <v>120</v>
      </c>
      <c r="AF16">
        <v>0</v>
      </c>
      <c r="AG16">
        <v>4118</v>
      </c>
      <c r="AH16">
        <v>1431</v>
      </c>
      <c r="AI16">
        <v>1865</v>
      </c>
      <c r="AJ16">
        <v>0</v>
      </c>
      <c r="AK16">
        <v>3388</v>
      </c>
      <c r="AL16">
        <v>27640</v>
      </c>
      <c r="AM16">
        <v>102060</v>
      </c>
      <c r="AN16">
        <v>57840</v>
      </c>
      <c r="AO16">
        <v>25200</v>
      </c>
      <c r="AP16">
        <v>1001</v>
      </c>
      <c r="AQ16">
        <v>0</v>
      </c>
      <c r="AR16">
        <v>374</v>
      </c>
      <c r="AS16">
        <v>0</v>
      </c>
      <c r="AT16">
        <v>6189</v>
      </c>
      <c r="AU16">
        <v>5904</v>
      </c>
      <c r="AV16">
        <v>9612</v>
      </c>
      <c r="AW16">
        <v>6743</v>
      </c>
      <c r="AX16">
        <v>0</v>
      </c>
      <c r="AY16">
        <v>11812</v>
      </c>
      <c r="AZ16">
        <v>1482</v>
      </c>
      <c r="BA16">
        <v>15930</v>
      </c>
      <c r="BB16">
        <v>20112</v>
      </c>
      <c r="BC16">
        <v>21116</v>
      </c>
      <c r="BD16">
        <v>8872</v>
      </c>
      <c r="BE16">
        <v>0</v>
      </c>
      <c r="BF16">
        <v>4420</v>
      </c>
      <c r="BG16">
        <v>0</v>
      </c>
      <c r="BH16">
        <v>0</v>
      </c>
      <c r="BI16">
        <v>219</v>
      </c>
      <c r="BJ16">
        <v>1</v>
      </c>
      <c r="BK16">
        <v>2628</v>
      </c>
      <c r="BL16">
        <v>0</v>
      </c>
      <c r="BM16">
        <v>272</v>
      </c>
      <c r="BN16">
        <v>0</v>
      </c>
      <c r="BO16">
        <v>7808</v>
      </c>
      <c r="BP16">
        <v>29694</v>
      </c>
      <c r="BQ16">
        <v>976</v>
      </c>
      <c r="BR16">
        <v>0</v>
      </c>
      <c r="BS16">
        <v>0</v>
      </c>
      <c r="BT16">
        <v>0</v>
      </c>
      <c r="BU16" s="33">
        <v>0</v>
      </c>
      <c r="BV16" s="33">
        <v>0</v>
      </c>
      <c r="BW16" s="33">
        <v>52107</v>
      </c>
      <c r="BX16" s="33">
        <v>45089</v>
      </c>
      <c r="BY16" s="33">
        <v>0</v>
      </c>
      <c r="BZ16" s="33">
        <v>0</v>
      </c>
      <c r="CA16" s="33">
        <v>0</v>
      </c>
      <c r="CB16">
        <v>0</v>
      </c>
      <c r="CC16">
        <v>1051</v>
      </c>
      <c r="CD16">
        <v>0</v>
      </c>
      <c r="CE16">
        <v>5278</v>
      </c>
      <c r="CF16">
        <v>29123</v>
      </c>
      <c r="CG16">
        <v>0</v>
      </c>
      <c r="CH16">
        <v>22181</v>
      </c>
      <c r="CI16">
        <v>1200</v>
      </c>
      <c r="CJ16">
        <v>21600</v>
      </c>
      <c r="CK16">
        <v>180</v>
      </c>
      <c r="CL16">
        <v>0</v>
      </c>
      <c r="CM16">
        <v>0</v>
      </c>
      <c r="CN16">
        <v>0</v>
      </c>
      <c r="CO16">
        <v>0</v>
      </c>
      <c r="CP16">
        <v>60</v>
      </c>
      <c r="CQ16">
        <v>328</v>
      </c>
      <c r="CR16">
        <v>0</v>
      </c>
      <c r="CS16">
        <v>10799</v>
      </c>
      <c r="CT16">
        <v>4327</v>
      </c>
      <c r="CU16">
        <v>0</v>
      </c>
      <c r="CV16">
        <v>50419</v>
      </c>
      <c r="CW16">
        <v>10732</v>
      </c>
      <c r="CX16">
        <v>23532</v>
      </c>
      <c r="CY16">
        <v>14930</v>
      </c>
      <c r="CZ16">
        <v>12189</v>
      </c>
      <c r="DA16">
        <v>5604</v>
      </c>
      <c r="DB16">
        <v>0</v>
      </c>
      <c r="DC16">
        <v>7932</v>
      </c>
      <c r="DD16">
        <v>0</v>
      </c>
      <c r="DE16">
        <v>8352</v>
      </c>
      <c r="DF16">
        <v>2022</v>
      </c>
      <c r="DG16">
        <v>0</v>
      </c>
      <c r="DH16">
        <v>453</v>
      </c>
      <c r="DI16">
        <v>0</v>
      </c>
      <c r="DJ16">
        <v>17880</v>
      </c>
      <c r="DK16">
        <v>0</v>
      </c>
      <c r="DL16">
        <v>0</v>
      </c>
      <c r="DM16">
        <v>0</v>
      </c>
      <c r="DN16">
        <v>379</v>
      </c>
      <c r="DO16">
        <v>924</v>
      </c>
      <c r="DP16">
        <v>0</v>
      </c>
      <c r="DQ16">
        <v>0</v>
      </c>
      <c r="DR16">
        <v>354</v>
      </c>
      <c r="DS16">
        <v>3528</v>
      </c>
      <c r="DT16">
        <v>2840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23764</v>
      </c>
      <c r="EA16">
        <v>0</v>
      </c>
      <c r="EB16">
        <v>0</v>
      </c>
      <c r="EC16">
        <v>0</v>
      </c>
      <c r="ED16">
        <v>0</v>
      </c>
      <c r="EE16">
        <v>739</v>
      </c>
      <c r="EF16">
        <v>969</v>
      </c>
      <c r="EG16">
        <v>0</v>
      </c>
      <c r="EH16">
        <v>36</v>
      </c>
      <c r="EI16">
        <v>1198</v>
      </c>
      <c r="EJ16">
        <v>278</v>
      </c>
      <c r="EK16">
        <v>0</v>
      </c>
      <c r="EL16">
        <v>0</v>
      </c>
      <c r="EM16">
        <v>100</v>
      </c>
      <c r="EN16">
        <v>622</v>
      </c>
      <c r="EO16">
        <v>7020</v>
      </c>
      <c r="EP16">
        <v>3322</v>
      </c>
      <c r="EQ16">
        <v>576</v>
      </c>
      <c r="ER16">
        <v>0</v>
      </c>
      <c r="ES16">
        <v>3210</v>
      </c>
      <c r="ET16">
        <v>0</v>
      </c>
      <c r="EU16">
        <v>648</v>
      </c>
      <c r="EV16">
        <v>0</v>
      </c>
      <c r="EW16">
        <v>784</v>
      </c>
      <c r="EX16">
        <v>1596</v>
      </c>
      <c r="EY16">
        <v>0</v>
      </c>
      <c r="EZ16">
        <v>8736</v>
      </c>
      <c r="FA16">
        <v>20470</v>
      </c>
      <c r="FB16">
        <v>0</v>
      </c>
      <c r="FC16">
        <v>802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140</v>
      </c>
      <c r="FL16">
        <v>0</v>
      </c>
      <c r="FM16">
        <v>0</v>
      </c>
      <c r="FN16">
        <v>6890</v>
      </c>
      <c r="FO16">
        <v>0</v>
      </c>
      <c r="FP16">
        <v>2500</v>
      </c>
      <c r="FQ16">
        <v>0</v>
      </c>
      <c r="FR16">
        <v>193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1731</v>
      </c>
      <c r="GF16">
        <v>108</v>
      </c>
      <c r="GG16">
        <v>888</v>
      </c>
      <c r="GH16">
        <v>0</v>
      </c>
      <c r="GI16">
        <v>3110</v>
      </c>
      <c r="GJ16">
        <v>0</v>
      </c>
      <c r="GK16">
        <v>0</v>
      </c>
      <c r="GL16">
        <v>0</v>
      </c>
      <c r="GM16">
        <v>1116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17164</v>
      </c>
      <c r="GU16">
        <v>0</v>
      </c>
      <c r="GV16">
        <v>0</v>
      </c>
      <c r="GW16">
        <v>1218</v>
      </c>
      <c r="GX16">
        <v>0</v>
      </c>
      <c r="GY16">
        <v>36</v>
      </c>
      <c r="GZ16">
        <v>144</v>
      </c>
      <c r="HA16">
        <v>569</v>
      </c>
      <c r="HB16">
        <v>25500</v>
      </c>
      <c r="HC16">
        <v>0</v>
      </c>
      <c r="HD16">
        <v>1125</v>
      </c>
      <c r="HE16">
        <v>0</v>
      </c>
      <c r="HF16">
        <v>0</v>
      </c>
      <c r="HG16">
        <v>1000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480</v>
      </c>
      <c r="HN16">
        <v>2546</v>
      </c>
      <c r="HO16">
        <v>585</v>
      </c>
      <c r="HP16">
        <v>2898</v>
      </c>
      <c r="HQ16">
        <v>0</v>
      </c>
      <c r="HR16">
        <v>0</v>
      </c>
      <c r="HS16">
        <v>4251</v>
      </c>
      <c r="HT16">
        <v>4254</v>
      </c>
      <c r="HU16">
        <v>432</v>
      </c>
      <c r="HV16">
        <v>87224</v>
      </c>
      <c r="HW16">
        <v>3328</v>
      </c>
      <c r="HX16">
        <v>0</v>
      </c>
      <c r="HY16">
        <v>259</v>
      </c>
      <c r="HZ16">
        <v>0</v>
      </c>
      <c r="IA16">
        <v>0</v>
      </c>
      <c r="IB16">
        <v>0</v>
      </c>
      <c r="IC16">
        <v>2045</v>
      </c>
      <c r="ID16">
        <v>4822</v>
      </c>
      <c r="IE16">
        <v>0</v>
      </c>
      <c r="IF16">
        <v>0</v>
      </c>
      <c r="IG16">
        <v>0</v>
      </c>
      <c r="IH16">
        <v>1680</v>
      </c>
      <c r="II16">
        <v>2322</v>
      </c>
      <c r="IJ16">
        <v>126</v>
      </c>
      <c r="IK16">
        <v>344</v>
      </c>
      <c r="IL16">
        <v>0</v>
      </c>
      <c r="IM16">
        <v>1</v>
      </c>
      <c r="IN16">
        <v>0</v>
      </c>
      <c r="IO16">
        <v>0</v>
      </c>
      <c r="IP16">
        <v>0</v>
      </c>
      <c r="IQ16">
        <v>0</v>
      </c>
      <c r="IR16">
        <v>6168</v>
      </c>
      <c r="IS16">
        <v>0</v>
      </c>
      <c r="IT16">
        <v>0</v>
      </c>
      <c r="IU16">
        <v>0</v>
      </c>
      <c r="IV16">
        <v>1680</v>
      </c>
      <c r="IW16">
        <v>0</v>
      </c>
      <c r="IX16">
        <v>2136</v>
      </c>
      <c r="IY16">
        <v>3982</v>
      </c>
      <c r="IZ16">
        <v>0</v>
      </c>
      <c r="JA16">
        <v>365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2003</v>
      </c>
      <c r="JK16">
        <v>0</v>
      </c>
      <c r="JL16">
        <v>457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49</v>
      </c>
      <c r="JU16">
        <v>0</v>
      </c>
      <c r="JV16">
        <v>0</v>
      </c>
      <c r="JW16">
        <v>0</v>
      </c>
      <c r="JX16">
        <v>0</v>
      </c>
      <c r="JY16">
        <v>26180</v>
      </c>
      <c r="JZ16">
        <v>3455</v>
      </c>
      <c r="KA16">
        <v>0</v>
      </c>
      <c r="KB16">
        <v>0</v>
      </c>
      <c r="KC16">
        <v>1534</v>
      </c>
      <c r="KD16">
        <v>2665</v>
      </c>
      <c r="KE16">
        <v>1</v>
      </c>
      <c r="KF16">
        <v>0</v>
      </c>
      <c r="KG16">
        <v>1318</v>
      </c>
      <c r="KH16">
        <v>3681</v>
      </c>
      <c r="KI16">
        <v>0</v>
      </c>
      <c r="KJ16">
        <v>0</v>
      </c>
      <c r="KK16">
        <v>1004</v>
      </c>
      <c r="KL16">
        <v>14412</v>
      </c>
      <c r="KM16">
        <v>10769</v>
      </c>
      <c r="KN16">
        <v>0</v>
      </c>
      <c r="KO16">
        <v>597</v>
      </c>
      <c r="KP16">
        <v>0</v>
      </c>
      <c r="KQ16">
        <v>0</v>
      </c>
      <c r="KR16">
        <v>0</v>
      </c>
      <c r="KS16">
        <v>0</v>
      </c>
      <c r="KT16">
        <v>306</v>
      </c>
      <c r="KU16">
        <v>2</v>
      </c>
      <c r="KV16">
        <v>395</v>
      </c>
      <c r="KW16">
        <v>0</v>
      </c>
      <c r="KX16">
        <v>1635</v>
      </c>
      <c r="KY16">
        <v>800</v>
      </c>
      <c r="KZ16">
        <v>0</v>
      </c>
      <c r="LA16">
        <v>0</v>
      </c>
      <c r="LB16">
        <v>56</v>
      </c>
      <c r="LC16">
        <v>2</v>
      </c>
      <c r="LD16">
        <v>0</v>
      </c>
      <c r="LE16">
        <v>0</v>
      </c>
      <c r="LF16">
        <v>2025</v>
      </c>
      <c r="LG16">
        <v>48</v>
      </c>
      <c r="LH16">
        <v>0</v>
      </c>
      <c r="LI16">
        <v>2860</v>
      </c>
      <c r="LJ16">
        <v>4320</v>
      </c>
      <c r="LK16">
        <v>0</v>
      </c>
      <c r="LL16">
        <v>2016</v>
      </c>
      <c r="LM16">
        <v>1956</v>
      </c>
      <c r="LN16">
        <v>240</v>
      </c>
      <c r="LO16">
        <v>1</v>
      </c>
      <c r="LP16">
        <v>289</v>
      </c>
      <c r="LQ16">
        <v>3315</v>
      </c>
      <c r="LR16">
        <v>0</v>
      </c>
      <c r="LS16">
        <v>30500</v>
      </c>
      <c r="LT16">
        <v>590</v>
      </c>
      <c r="LU16">
        <v>1949</v>
      </c>
      <c r="LV16">
        <v>3436</v>
      </c>
      <c r="LW16">
        <v>1865</v>
      </c>
      <c r="LX16">
        <v>2851</v>
      </c>
      <c r="LY16">
        <v>0</v>
      </c>
      <c r="LZ16">
        <v>5328</v>
      </c>
      <c r="MA16">
        <v>3344</v>
      </c>
      <c r="MB16">
        <v>1479</v>
      </c>
      <c r="MC16">
        <v>0</v>
      </c>
      <c r="MD16">
        <v>51872</v>
      </c>
      <c r="ME16">
        <v>68</v>
      </c>
      <c r="MF16">
        <v>0</v>
      </c>
      <c r="MG16">
        <v>481</v>
      </c>
      <c r="MH16">
        <v>0</v>
      </c>
      <c r="MI16">
        <v>3156</v>
      </c>
      <c r="MJ16">
        <v>4072</v>
      </c>
      <c r="MK16">
        <v>701</v>
      </c>
      <c r="ML16">
        <v>0</v>
      </c>
      <c r="MM16">
        <v>0</v>
      </c>
      <c r="MN16">
        <v>2340</v>
      </c>
      <c r="MO16">
        <v>4612</v>
      </c>
      <c r="MP16">
        <v>0</v>
      </c>
      <c r="MQ16">
        <v>1139</v>
      </c>
      <c r="MR16">
        <v>828</v>
      </c>
      <c r="MS16">
        <v>2188</v>
      </c>
      <c r="MT16">
        <v>0</v>
      </c>
      <c r="MU16">
        <v>0</v>
      </c>
      <c r="MV16">
        <v>56075</v>
      </c>
      <c r="MW16">
        <v>0</v>
      </c>
      <c r="MX16">
        <v>1126</v>
      </c>
      <c r="MY16">
        <v>1072</v>
      </c>
      <c r="MZ16">
        <v>1246</v>
      </c>
      <c r="NA16">
        <v>0</v>
      </c>
      <c r="NB16">
        <v>0</v>
      </c>
      <c r="NC16">
        <v>0</v>
      </c>
      <c r="ND16">
        <v>4738</v>
      </c>
      <c r="NE16">
        <v>360</v>
      </c>
      <c r="NF16">
        <v>5946</v>
      </c>
      <c r="NG16">
        <v>0</v>
      </c>
      <c r="NH16">
        <v>0</v>
      </c>
      <c r="NI16">
        <v>32572</v>
      </c>
      <c r="NJ16">
        <v>0</v>
      </c>
      <c r="NK16">
        <v>5625</v>
      </c>
      <c r="NL16">
        <v>0</v>
      </c>
      <c r="NM16">
        <v>700</v>
      </c>
      <c r="NN16">
        <v>0</v>
      </c>
      <c r="NO16">
        <v>0</v>
      </c>
      <c r="NP16">
        <v>29106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2904</v>
      </c>
      <c r="OC16">
        <v>0</v>
      </c>
      <c r="OD16">
        <v>5755</v>
      </c>
      <c r="OE16">
        <v>953</v>
      </c>
      <c r="OF16">
        <v>744</v>
      </c>
      <c r="OG16">
        <v>1358</v>
      </c>
      <c r="OH16">
        <v>4006</v>
      </c>
      <c r="OI16">
        <v>12996</v>
      </c>
      <c r="OJ16">
        <v>0</v>
      </c>
      <c r="OK16">
        <v>9570</v>
      </c>
      <c r="OL16">
        <v>1020</v>
      </c>
      <c r="OM16">
        <v>4400</v>
      </c>
      <c r="ON16">
        <v>15670</v>
      </c>
      <c r="OO16">
        <v>840</v>
      </c>
      <c r="OP16">
        <v>776</v>
      </c>
      <c r="OQ16">
        <v>0</v>
      </c>
      <c r="OR16">
        <v>19836</v>
      </c>
      <c r="OS16">
        <v>2608</v>
      </c>
      <c r="OT16">
        <v>0</v>
      </c>
      <c r="OU16">
        <v>0</v>
      </c>
      <c r="OV16">
        <v>3530</v>
      </c>
      <c r="OW16">
        <v>5455</v>
      </c>
      <c r="OX16">
        <v>0</v>
      </c>
      <c r="OY16">
        <v>3110</v>
      </c>
      <c r="OZ16">
        <v>14405</v>
      </c>
      <c r="PA16">
        <v>644</v>
      </c>
      <c r="PB16">
        <v>0</v>
      </c>
      <c r="PC16">
        <v>65100</v>
      </c>
      <c r="PD16">
        <v>5279</v>
      </c>
      <c r="PE16">
        <v>0</v>
      </c>
      <c r="PF16">
        <v>0</v>
      </c>
      <c r="PG16">
        <v>5472</v>
      </c>
      <c r="PH16">
        <v>6001</v>
      </c>
      <c r="PI16">
        <v>8511</v>
      </c>
      <c r="PJ16">
        <v>78</v>
      </c>
      <c r="PK16">
        <v>8361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578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8024</v>
      </c>
      <c r="QL16">
        <v>12550</v>
      </c>
      <c r="QM16">
        <v>3794</v>
      </c>
      <c r="QN16">
        <v>0</v>
      </c>
      <c r="QO16">
        <v>10783</v>
      </c>
      <c r="QP16">
        <v>10515</v>
      </c>
      <c r="QQ16">
        <v>82631</v>
      </c>
      <c r="QR16">
        <v>13758</v>
      </c>
      <c r="QS16">
        <v>52332</v>
      </c>
      <c r="QT16">
        <v>1900</v>
      </c>
      <c r="QU16">
        <v>0</v>
      </c>
      <c r="QV16">
        <v>7563</v>
      </c>
      <c r="QW16">
        <v>1554</v>
      </c>
      <c r="QX16">
        <v>1793</v>
      </c>
      <c r="QY16">
        <v>0</v>
      </c>
      <c r="QZ16">
        <v>0</v>
      </c>
      <c r="RA16">
        <v>576</v>
      </c>
      <c r="RB16">
        <v>0</v>
      </c>
      <c r="RC16">
        <v>0</v>
      </c>
      <c r="RD16">
        <v>0</v>
      </c>
      <c r="RE16">
        <v>0</v>
      </c>
      <c r="RF16">
        <v>4602</v>
      </c>
      <c r="RG16">
        <v>2668</v>
      </c>
      <c r="RH16">
        <v>0</v>
      </c>
      <c r="RI16">
        <v>0</v>
      </c>
      <c r="RJ16">
        <v>0</v>
      </c>
      <c r="RK16">
        <v>260</v>
      </c>
      <c r="RL16">
        <v>6083</v>
      </c>
      <c r="RM16">
        <v>0</v>
      </c>
      <c r="RN16">
        <v>0</v>
      </c>
      <c r="RO16">
        <v>1364</v>
      </c>
      <c r="RP16">
        <v>0</v>
      </c>
      <c r="RQ16">
        <v>3480</v>
      </c>
      <c r="RR16">
        <v>60</v>
      </c>
      <c r="RS16">
        <v>2875</v>
      </c>
      <c r="RT16">
        <v>303</v>
      </c>
      <c r="RU16">
        <v>8437</v>
      </c>
      <c r="RV16">
        <v>23128</v>
      </c>
      <c r="RW16">
        <v>0</v>
      </c>
      <c r="RX16">
        <v>11173</v>
      </c>
      <c r="RY16">
        <v>0</v>
      </c>
      <c r="RZ16">
        <v>636</v>
      </c>
      <c r="SA16">
        <v>0</v>
      </c>
      <c r="SB16">
        <v>0</v>
      </c>
      <c r="SC16">
        <v>0</v>
      </c>
      <c r="SD16">
        <v>0</v>
      </c>
      <c r="SE16">
        <v>6448</v>
      </c>
      <c r="SF16">
        <v>1172</v>
      </c>
      <c r="SG16">
        <v>45340</v>
      </c>
      <c r="SH16">
        <v>0</v>
      </c>
      <c r="SI16">
        <v>1442</v>
      </c>
      <c r="SJ16">
        <v>2666</v>
      </c>
      <c r="SK16">
        <v>0</v>
      </c>
      <c r="SL16">
        <v>1040</v>
      </c>
      <c r="SM16">
        <v>4643</v>
      </c>
      <c r="SN16">
        <v>0</v>
      </c>
      <c r="SO16">
        <v>24722</v>
      </c>
      <c r="SP16">
        <v>3773</v>
      </c>
      <c r="SQ16">
        <v>1016</v>
      </c>
      <c r="SR16">
        <v>0</v>
      </c>
      <c r="SS16">
        <v>1195</v>
      </c>
      <c r="ST16">
        <v>21696</v>
      </c>
      <c r="SU16">
        <v>2470</v>
      </c>
      <c r="SV16">
        <v>3285</v>
      </c>
      <c r="SW16">
        <v>0</v>
      </c>
      <c r="SX16">
        <v>0</v>
      </c>
      <c r="SY16">
        <v>0</v>
      </c>
      <c r="SZ16">
        <v>735</v>
      </c>
      <c r="TA16">
        <v>210</v>
      </c>
      <c r="TB16">
        <v>3615</v>
      </c>
      <c r="TC16">
        <v>130</v>
      </c>
      <c r="TD16">
        <v>0</v>
      </c>
      <c r="TE16">
        <v>2596</v>
      </c>
      <c r="TF16">
        <v>0</v>
      </c>
      <c r="TG16">
        <v>2152</v>
      </c>
      <c r="TH16">
        <v>828</v>
      </c>
      <c r="TI16">
        <v>527</v>
      </c>
      <c r="TJ16">
        <v>6375</v>
      </c>
      <c r="TK16">
        <v>3999</v>
      </c>
      <c r="TL16">
        <v>5336</v>
      </c>
      <c r="TM16">
        <v>0</v>
      </c>
      <c r="TN16">
        <v>0</v>
      </c>
      <c r="TO16">
        <v>0</v>
      </c>
      <c r="TP16">
        <v>348</v>
      </c>
      <c r="TQ16">
        <v>96</v>
      </c>
      <c r="TR16">
        <v>25134</v>
      </c>
      <c r="TS16">
        <v>26900</v>
      </c>
      <c r="TT16">
        <v>0</v>
      </c>
      <c r="TU16">
        <v>0</v>
      </c>
      <c r="TV16">
        <v>0</v>
      </c>
      <c r="TW16">
        <v>376</v>
      </c>
      <c r="TX16">
        <v>0</v>
      </c>
      <c r="TY16">
        <v>0</v>
      </c>
      <c r="TZ16">
        <v>0</v>
      </c>
      <c r="UA16">
        <v>0</v>
      </c>
      <c r="UB16">
        <v>5302</v>
      </c>
      <c r="UC16">
        <v>344</v>
      </c>
      <c r="UD16">
        <v>7051</v>
      </c>
      <c r="UE16">
        <v>281</v>
      </c>
      <c r="UF16">
        <v>0</v>
      </c>
      <c r="UG16">
        <v>0</v>
      </c>
      <c r="UH16">
        <v>0</v>
      </c>
      <c r="UI16">
        <v>10716</v>
      </c>
      <c r="UJ16">
        <v>0</v>
      </c>
      <c r="UK16">
        <v>150</v>
      </c>
      <c r="UL16">
        <v>0</v>
      </c>
      <c r="UM16">
        <v>0</v>
      </c>
      <c r="UN16">
        <v>357</v>
      </c>
      <c r="UO16">
        <v>0</v>
      </c>
      <c r="UP16">
        <v>2269</v>
      </c>
      <c r="UQ16">
        <v>7216</v>
      </c>
      <c r="UR16">
        <v>2801</v>
      </c>
      <c r="US16">
        <v>49151</v>
      </c>
      <c r="UT16">
        <v>38759</v>
      </c>
      <c r="UU16">
        <v>0</v>
      </c>
      <c r="UV16">
        <v>0</v>
      </c>
      <c r="UW16">
        <v>0</v>
      </c>
      <c r="UX16">
        <v>13010</v>
      </c>
      <c r="UY16">
        <v>6304</v>
      </c>
      <c r="UZ16">
        <v>0</v>
      </c>
      <c r="VA16">
        <v>2555</v>
      </c>
      <c r="VB16">
        <v>22202</v>
      </c>
      <c r="VC16">
        <v>0</v>
      </c>
      <c r="VD16">
        <v>6526</v>
      </c>
      <c r="VE16">
        <v>1486</v>
      </c>
      <c r="VF16">
        <v>86</v>
      </c>
      <c r="VG16">
        <v>3132</v>
      </c>
      <c r="VH16">
        <v>40</v>
      </c>
      <c r="VI16">
        <v>4032</v>
      </c>
      <c r="VJ16">
        <v>0</v>
      </c>
      <c r="VK16">
        <v>1225</v>
      </c>
      <c r="VL16">
        <v>9157</v>
      </c>
      <c r="VM16">
        <v>40838</v>
      </c>
      <c r="VN16">
        <v>0</v>
      </c>
      <c r="VO16">
        <v>1430</v>
      </c>
      <c r="VP16">
        <v>732</v>
      </c>
      <c r="VQ16">
        <v>0</v>
      </c>
      <c r="VR16">
        <v>8516</v>
      </c>
      <c r="VS16">
        <v>0</v>
      </c>
      <c r="VT16">
        <v>11776</v>
      </c>
      <c r="VU16">
        <v>0</v>
      </c>
      <c r="VV16">
        <v>155</v>
      </c>
      <c r="VW16">
        <v>3032</v>
      </c>
      <c r="VX16">
        <v>0</v>
      </c>
      <c r="VY16">
        <v>16188</v>
      </c>
      <c r="VZ16">
        <v>16786</v>
      </c>
      <c r="WA16">
        <v>0</v>
      </c>
      <c r="WB16">
        <v>72</v>
      </c>
      <c r="WC16">
        <v>1729</v>
      </c>
      <c r="WD16">
        <v>0</v>
      </c>
      <c r="WE16">
        <v>0</v>
      </c>
      <c r="WF16">
        <v>17521</v>
      </c>
      <c r="WG16">
        <v>0</v>
      </c>
      <c r="WH16">
        <v>2000</v>
      </c>
      <c r="WI16">
        <v>112</v>
      </c>
      <c r="WJ16">
        <v>326</v>
      </c>
      <c r="WK16">
        <v>0</v>
      </c>
      <c r="WL16">
        <v>0</v>
      </c>
      <c r="WM16">
        <v>2536</v>
      </c>
      <c r="WN16">
        <v>21225</v>
      </c>
      <c r="WO16">
        <v>4014</v>
      </c>
      <c r="WP16">
        <v>90019</v>
      </c>
      <c r="WQ16">
        <v>3631</v>
      </c>
      <c r="WR16">
        <v>0</v>
      </c>
      <c r="WS16">
        <v>0</v>
      </c>
      <c r="WT16">
        <v>0</v>
      </c>
      <c r="WU16">
        <v>32755</v>
      </c>
      <c r="WV16">
        <v>0</v>
      </c>
      <c r="WW16">
        <v>13787</v>
      </c>
      <c r="WX16">
        <v>0</v>
      </c>
      <c r="WY16">
        <v>0</v>
      </c>
      <c r="WZ16">
        <v>0</v>
      </c>
      <c r="XA16">
        <v>3004</v>
      </c>
      <c r="XB16">
        <v>16751</v>
      </c>
      <c r="XC16">
        <v>8404</v>
      </c>
      <c r="XD16">
        <v>11564</v>
      </c>
      <c r="XE16">
        <v>1961</v>
      </c>
      <c r="XF16">
        <v>0</v>
      </c>
      <c r="XG16">
        <v>0</v>
      </c>
      <c r="XH16">
        <v>4030</v>
      </c>
      <c r="XI16">
        <v>10533</v>
      </c>
      <c r="XJ16">
        <v>0</v>
      </c>
      <c r="XK16">
        <v>10912</v>
      </c>
      <c r="XL16">
        <v>6191</v>
      </c>
      <c r="XM16">
        <v>0</v>
      </c>
      <c r="XN16">
        <v>0</v>
      </c>
      <c r="XO16">
        <v>0</v>
      </c>
      <c r="XP16">
        <v>214</v>
      </c>
      <c r="XQ16">
        <v>12658</v>
      </c>
      <c r="XR16">
        <v>0</v>
      </c>
      <c r="XS16">
        <v>7055</v>
      </c>
      <c r="XT16">
        <v>1532</v>
      </c>
      <c r="XU16">
        <v>0</v>
      </c>
      <c r="XV16">
        <v>0</v>
      </c>
      <c r="XW16">
        <v>13244</v>
      </c>
      <c r="XX16">
        <v>9017</v>
      </c>
      <c r="XY16">
        <v>0</v>
      </c>
      <c r="XZ16">
        <v>465</v>
      </c>
      <c r="YA16">
        <v>0</v>
      </c>
      <c r="YB16">
        <v>0</v>
      </c>
      <c r="YC16">
        <v>13130</v>
      </c>
      <c r="YD16">
        <v>13438</v>
      </c>
      <c r="YE16">
        <v>3126</v>
      </c>
      <c r="YF16">
        <v>0</v>
      </c>
      <c r="YG16">
        <v>0</v>
      </c>
      <c r="YH16">
        <v>0</v>
      </c>
      <c r="YI16">
        <v>0</v>
      </c>
      <c r="YJ16">
        <v>4740</v>
      </c>
      <c r="YK16">
        <v>0</v>
      </c>
      <c r="YL16">
        <v>1208</v>
      </c>
      <c r="YM16">
        <v>10231</v>
      </c>
      <c r="YN16">
        <v>8454</v>
      </c>
      <c r="YO16">
        <v>312</v>
      </c>
      <c r="YP16">
        <v>0</v>
      </c>
      <c r="YQ16">
        <v>988</v>
      </c>
      <c r="YR16">
        <v>8410</v>
      </c>
      <c r="YS16">
        <v>8704</v>
      </c>
      <c r="YT16">
        <v>1038</v>
      </c>
      <c r="YU16">
        <v>707</v>
      </c>
      <c r="YV16">
        <v>1221</v>
      </c>
      <c r="YW16">
        <v>0</v>
      </c>
      <c r="YX16">
        <v>17420</v>
      </c>
      <c r="YY16">
        <v>240</v>
      </c>
      <c r="YZ16">
        <v>7824</v>
      </c>
      <c r="ZA16">
        <v>387</v>
      </c>
      <c r="ZB16">
        <v>0</v>
      </c>
      <c r="ZC16">
        <v>0</v>
      </c>
      <c r="ZD16">
        <v>0</v>
      </c>
      <c r="ZE16">
        <v>8286</v>
      </c>
      <c r="ZF16">
        <v>876</v>
      </c>
      <c r="ZG16">
        <v>464</v>
      </c>
      <c r="ZH16">
        <v>940</v>
      </c>
      <c r="ZI16">
        <v>726</v>
      </c>
      <c r="ZJ16">
        <v>1040</v>
      </c>
      <c r="ZK16">
        <v>6524</v>
      </c>
      <c r="ZL16">
        <v>7835</v>
      </c>
      <c r="ZM16">
        <v>540</v>
      </c>
      <c r="ZN16">
        <v>0</v>
      </c>
      <c r="ZO16">
        <v>9870</v>
      </c>
      <c r="ZP16">
        <v>3528</v>
      </c>
      <c r="ZQ16">
        <v>0</v>
      </c>
      <c r="ZR16">
        <v>0</v>
      </c>
      <c r="ZS16">
        <v>135</v>
      </c>
      <c r="ZT16">
        <v>0</v>
      </c>
      <c r="ZU16">
        <v>0</v>
      </c>
      <c r="ZV16">
        <v>0</v>
      </c>
      <c r="ZW16">
        <v>139</v>
      </c>
      <c r="ZX16">
        <v>335</v>
      </c>
      <c r="ZY16">
        <v>0</v>
      </c>
      <c r="ZZ16">
        <v>12809</v>
      </c>
      <c r="AAA16">
        <v>0</v>
      </c>
      <c r="AAB16">
        <v>0</v>
      </c>
      <c r="AAC16">
        <v>792</v>
      </c>
      <c r="AAD16">
        <v>0</v>
      </c>
      <c r="AAE16">
        <v>2754</v>
      </c>
      <c r="AAF16">
        <v>0</v>
      </c>
      <c r="AAG16">
        <v>58373</v>
      </c>
      <c r="AAH16">
        <v>0</v>
      </c>
      <c r="AAI16">
        <v>0</v>
      </c>
      <c r="AAJ16">
        <v>57627</v>
      </c>
      <c r="AAK16">
        <v>0</v>
      </c>
      <c r="AAL16">
        <v>4538</v>
      </c>
      <c r="AAM16">
        <v>0</v>
      </c>
      <c r="AAN16">
        <v>12966</v>
      </c>
      <c r="AAO16">
        <v>0</v>
      </c>
      <c r="AAP16">
        <v>796</v>
      </c>
      <c r="AAQ16">
        <v>520</v>
      </c>
      <c r="AAR16">
        <v>1642</v>
      </c>
      <c r="AAS16">
        <v>1345</v>
      </c>
      <c r="AAT16">
        <v>0</v>
      </c>
      <c r="AAU16">
        <v>0</v>
      </c>
      <c r="AAV16">
        <v>1476</v>
      </c>
      <c r="AAW16">
        <v>0</v>
      </c>
      <c r="AAX16">
        <v>1144</v>
      </c>
      <c r="AAY16">
        <v>4859</v>
      </c>
      <c r="AAZ16">
        <v>0</v>
      </c>
      <c r="ABA16">
        <v>0</v>
      </c>
      <c r="ABB16">
        <v>0</v>
      </c>
      <c r="ABC16">
        <v>2476</v>
      </c>
      <c r="ABD16">
        <v>6009</v>
      </c>
      <c r="ABE16">
        <v>0</v>
      </c>
      <c r="ABF16">
        <v>8314</v>
      </c>
      <c r="ABG16">
        <v>402</v>
      </c>
      <c r="ABH16">
        <v>0</v>
      </c>
      <c r="ABI16">
        <v>8224</v>
      </c>
      <c r="ABJ16">
        <v>0</v>
      </c>
      <c r="ABK16">
        <v>910</v>
      </c>
      <c r="ABL16">
        <v>11647</v>
      </c>
      <c r="ABM16">
        <v>2060</v>
      </c>
      <c r="ABN16">
        <v>4339</v>
      </c>
      <c r="ABO16">
        <v>0</v>
      </c>
      <c r="ABP16">
        <v>6708</v>
      </c>
      <c r="ABQ16">
        <v>1498</v>
      </c>
      <c r="ABR16">
        <v>16</v>
      </c>
      <c r="ABS16">
        <v>4518</v>
      </c>
      <c r="ABT16">
        <v>7522</v>
      </c>
      <c r="ABU16">
        <v>2780</v>
      </c>
      <c r="ABV16">
        <v>0</v>
      </c>
      <c r="ABW16">
        <v>5133</v>
      </c>
      <c r="ABX16">
        <v>5662</v>
      </c>
      <c r="ABY16">
        <v>27901</v>
      </c>
      <c r="ABZ16">
        <v>69333</v>
      </c>
      <c r="ACA16">
        <v>19832</v>
      </c>
      <c r="ACB16">
        <v>1341</v>
      </c>
      <c r="ACC16">
        <v>0</v>
      </c>
      <c r="ACD16">
        <v>6537</v>
      </c>
      <c r="ACE16">
        <v>5232</v>
      </c>
      <c r="ACF16">
        <v>2018</v>
      </c>
      <c r="ACG16">
        <v>16052</v>
      </c>
      <c r="ACH16">
        <v>0</v>
      </c>
      <c r="ACI16">
        <v>0</v>
      </c>
      <c r="ACJ16">
        <v>0</v>
      </c>
      <c r="ACK16">
        <v>5340</v>
      </c>
      <c r="ACL16">
        <v>2440</v>
      </c>
      <c r="ACM16">
        <v>5342</v>
      </c>
      <c r="ACN16">
        <v>0</v>
      </c>
      <c r="ACO16">
        <v>1384</v>
      </c>
      <c r="ACP16">
        <v>0</v>
      </c>
      <c r="ACQ16">
        <v>0</v>
      </c>
      <c r="ACR16">
        <v>0</v>
      </c>
      <c r="ACS16">
        <v>13210</v>
      </c>
      <c r="ACT16">
        <v>0</v>
      </c>
      <c r="ACU16">
        <v>0</v>
      </c>
      <c r="ACV16">
        <v>0</v>
      </c>
      <c r="ACW16">
        <v>0</v>
      </c>
      <c r="ACX16">
        <v>13725</v>
      </c>
      <c r="ACY16">
        <v>4780</v>
      </c>
      <c r="ACZ16">
        <v>5836</v>
      </c>
      <c r="ADA16">
        <v>7818</v>
      </c>
      <c r="ADB16">
        <v>0</v>
      </c>
      <c r="ADC16">
        <v>14598</v>
      </c>
      <c r="ADD16">
        <v>14598</v>
      </c>
      <c r="ADE16">
        <v>26150</v>
      </c>
      <c r="ADF16">
        <v>6</v>
      </c>
      <c r="ADG16">
        <v>0</v>
      </c>
      <c r="ADH16">
        <v>12697</v>
      </c>
      <c r="ADI16">
        <v>11166</v>
      </c>
      <c r="ADJ16">
        <v>7026</v>
      </c>
      <c r="ADK16">
        <v>7026</v>
      </c>
      <c r="ADL16">
        <v>0</v>
      </c>
      <c r="ADM16">
        <v>10223</v>
      </c>
      <c r="ADN16">
        <v>0</v>
      </c>
      <c r="ADO16">
        <v>4564</v>
      </c>
      <c r="ADP16">
        <v>7998</v>
      </c>
      <c r="ADQ16">
        <v>15455</v>
      </c>
      <c r="ADR16">
        <v>826</v>
      </c>
      <c r="ADS16">
        <v>0</v>
      </c>
      <c r="ADT16">
        <v>1564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19788</v>
      </c>
      <c r="AEB16">
        <v>0</v>
      </c>
      <c r="AEC16">
        <v>0</v>
      </c>
      <c r="AED16">
        <v>0</v>
      </c>
      <c r="AEE16">
        <v>0</v>
      </c>
      <c r="AEF16">
        <v>20</v>
      </c>
      <c r="AEG16">
        <v>0</v>
      </c>
      <c r="AEH16">
        <v>3678</v>
      </c>
      <c r="AEI16">
        <v>17737</v>
      </c>
      <c r="AEJ16">
        <v>0</v>
      </c>
      <c r="AEK16">
        <v>16533</v>
      </c>
      <c r="AEL16">
        <v>1260</v>
      </c>
      <c r="AEM16">
        <v>9321</v>
      </c>
      <c r="AEN16">
        <v>0</v>
      </c>
      <c r="AEO16">
        <v>48960</v>
      </c>
      <c r="AEP16">
        <v>5528</v>
      </c>
      <c r="AEQ16">
        <v>6922</v>
      </c>
      <c r="AER16">
        <v>0</v>
      </c>
      <c r="AES16">
        <v>7240</v>
      </c>
      <c r="AET16">
        <v>5322</v>
      </c>
      <c r="AEU16">
        <v>0</v>
      </c>
      <c r="AEV16">
        <v>8782</v>
      </c>
      <c r="AEW16">
        <v>13818</v>
      </c>
      <c r="AEX16">
        <v>485</v>
      </c>
      <c r="AEY16">
        <v>0</v>
      </c>
      <c r="AEZ16">
        <v>10670</v>
      </c>
      <c r="AFA16">
        <v>2766</v>
      </c>
      <c r="AFB16">
        <v>0</v>
      </c>
      <c r="AFC16">
        <v>18989</v>
      </c>
      <c r="AFD16">
        <v>9901</v>
      </c>
      <c r="AFE16">
        <v>279</v>
      </c>
      <c r="AFF16">
        <v>10281</v>
      </c>
      <c r="AFG16">
        <v>1704</v>
      </c>
      <c r="AFH16">
        <v>464</v>
      </c>
      <c r="AFI16">
        <v>0</v>
      </c>
      <c r="AFJ16">
        <v>8948</v>
      </c>
      <c r="AFK16">
        <v>0</v>
      </c>
      <c r="AFL16">
        <v>4050</v>
      </c>
      <c r="AFM16">
        <v>0</v>
      </c>
      <c r="AFN16">
        <v>0</v>
      </c>
      <c r="AFO16">
        <v>0</v>
      </c>
      <c r="AFP16">
        <v>0</v>
      </c>
      <c r="AFQ16">
        <v>185</v>
      </c>
      <c r="AFR16">
        <v>8244</v>
      </c>
      <c r="AFS16">
        <v>0</v>
      </c>
      <c r="AFT16">
        <v>36338</v>
      </c>
      <c r="AFU16">
        <v>0</v>
      </c>
      <c r="AFV16">
        <v>248</v>
      </c>
      <c r="AFW16">
        <v>0</v>
      </c>
      <c r="AFX16">
        <v>27055</v>
      </c>
      <c r="AFY16">
        <v>16257</v>
      </c>
      <c r="AFZ16">
        <v>2688</v>
      </c>
      <c r="AGA16">
        <v>30485</v>
      </c>
      <c r="AGB16">
        <v>5056</v>
      </c>
      <c r="AGC16">
        <v>0</v>
      </c>
      <c r="AGD16">
        <v>0</v>
      </c>
      <c r="AGE16">
        <v>8843</v>
      </c>
      <c r="AGF16">
        <v>2852</v>
      </c>
      <c r="AGG16">
        <v>370</v>
      </c>
      <c r="AGH16">
        <v>12860</v>
      </c>
      <c r="AGI16">
        <v>18076</v>
      </c>
      <c r="AGJ16">
        <v>0</v>
      </c>
      <c r="AGK16">
        <v>0</v>
      </c>
      <c r="AGL16">
        <v>2876</v>
      </c>
      <c r="AGM16">
        <v>36552</v>
      </c>
      <c r="AGN16">
        <v>57329</v>
      </c>
      <c r="AGO16">
        <v>0</v>
      </c>
      <c r="AGP16">
        <v>2132</v>
      </c>
      <c r="AGQ16">
        <v>6750</v>
      </c>
      <c r="AGR16">
        <v>0</v>
      </c>
      <c r="AGS16">
        <v>11825</v>
      </c>
      <c r="AGT16">
        <v>386</v>
      </c>
      <c r="AGU16">
        <v>1052</v>
      </c>
      <c r="AGV16">
        <v>4436</v>
      </c>
      <c r="AGW16">
        <v>17791</v>
      </c>
      <c r="AGX16">
        <v>468</v>
      </c>
      <c r="AGY16">
        <v>0</v>
      </c>
      <c r="AGZ16">
        <v>534</v>
      </c>
      <c r="AHA16">
        <v>0</v>
      </c>
      <c r="AHB16">
        <v>1636</v>
      </c>
      <c r="AHC16">
        <v>7951</v>
      </c>
      <c r="AHD16">
        <v>11871</v>
      </c>
      <c r="AHE16">
        <v>736</v>
      </c>
      <c r="AHH16">
        <v>0</v>
      </c>
      <c r="AHI16">
        <v>1952</v>
      </c>
      <c r="AHJ16">
        <v>5536</v>
      </c>
      <c r="AHK16">
        <v>47745</v>
      </c>
      <c r="AHL16">
        <v>0</v>
      </c>
      <c r="AHM16">
        <v>0</v>
      </c>
      <c r="AHN16">
        <v>0</v>
      </c>
      <c r="AHO16">
        <v>5183</v>
      </c>
      <c r="AHP16">
        <v>4264</v>
      </c>
      <c r="AHQ16">
        <v>456</v>
      </c>
      <c r="AHR16">
        <v>620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9755</v>
      </c>
      <c r="AHY16">
        <v>8044</v>
      </c>
      <c r="AHZ16">
        <v>1576</v>
      </c>
      <c r="AIA16">
        <v>0</v>
      </c>
      <c r="AIB16">
        <v>1382</v>
      </c>
      <c r="AIC16">
        <v>1526</v>
      </c>
      <c r="AID16">
        <v>72424</v>
      </c>
      <c r="AIE16">
        <v>1992</v>
      </c>
      <c r="AIF16">
        <v>4811</v>
      </c>
      <c r="AIG16">
        <v>440</v>
      </c>
      <c r="AIH16">
        <v>0</v>
      </c>
      <c r="AII16">
        <v>4833</v>
      </c>
      <c r="AIJ16">
        <v>10152</v>
      </c>
      <c r="AIK16">
        <v>134</v>
      </c>
      <c r="AIL16">
        <v>4597</v>
      </c>
      <c r="AIM16">
        <v>0</v>
      </c>
      <c r="AIN16">
        <v>2122</v>
      </c>
      <c r="AIO16">
        <v>0</v>
      </c>
      <c r="AIP16">
        <v>0</v>
      </c>
      <c r="AIQ16">
        <v>6446</v>
      </c>
      <c r="AIR16">
        <v>0</v>
      </c>
      <c r="AIS16">
        <v>19350</v>
      </c>
      <c r="AIT16">
        <v>1552</v>
      </c>
      <c r="AIU16">
        <v>10885</v>
      </c>
      <c r="AIV16">
        <v>0</v>
      </c>
      <c r="AIW16">
        <v>19562</v>
      </c>
      <c r="AIX16">
        <v>2935</v>
      </c>
      <c r="AIY16">
        <v>7232</v>
      </c>
      <c r="AIZ16">
        <v>2344</v>
      </c>
      <c r="AJA16">
        <v>4892</v>
      </c>
      <c r="AJB16">
        <v>7204</v>
      </c>
      <c r="AJC16">
        <v>0</v>
      </c>
      <c r="AJD16">
        <v>3960</v>
      </c>
      <c r="AJE16">
        <v>4734</v>
      </c>
      <c r="AJF16">
        <v>2621</v>
      </c>
      <c r="AJG16">
        <v>408</v>
      </c>
      <c r="AJH16">
        <v>682</v>
      </c>
      <c r="AJI16">
        <v>0</v>
      </c>
      <c r="AJJ16">
        <v>0</v>
      </c>
      <c r="AJK16">
        <v>8884</v>
      </c>
      <c r="AJL16">
        <v>0</v>
      </c>
      <c r="AJM16">
        <v>47950</v>
      </c>
      <c r="AJN16">
        <v>59356</v>
      </c>
      <c r="AJO16">
        <v>15909</v>
      </c>
      <c r="AJP16">
        <v>1372</v>
      </c>
      <c r="AJQ16">
        <v>0</v>
      </c>
      <c r="AJR16">
        <v>0</v>
      </c>
      <c r="AJS16">
        <v>49849</v>
      </c>
      <c r="AJT16">
        <v>0</v>
      </c>
      <c r="AJU16">
        <v>6098</v>
      </c>
      <c r="AJV16">
        <v>2432</v>
      </c>
      <c r="AJW16">
        <v>0</v>
      </c>
      <c r="AJX16">
        <v>0</v>
      </c>
      <c r="AJY16">
        <v>1884</v>
      </c>
      <c r="AJZ16">
        <v>59727</v>
      </c>
      <c r="AKA16">
        <v>0</v>
      </c>
      <c r="AKB16">
        <v>5131</v>
      </c>
      <c r="AKC16">
        <v>10297</v>
      </c>
      <c r="AKD16">
        <v>853</v>
      </c>
      <c r="AKE16">
        <v>0</v>
      </c>
      <c r="AKF16">
        <v>20368</v>
      </c>
    </row>
    <row r="17" spans="1:968" s="19" customFormat="1">
      <c r="A17" s="19">
        <v>15</v>
      </c>
      <c r="B17" s="19" t="s">
        <v>109</v>
      </c>
      <c r="C17" s="20">
        <v>82630</v>
      </c>
      <c r="D17" s="20" t="s">
        <v>28</v>
      </c>
      <c r="E17" s="20" t="s">
        <v>99</v>
      </c>
      <c r="F17" s="20" t="s">
        <v>100</v>
      </c>
      <c r="G17" s="20" t="s">
        <v>12</v>
      </c>
      <c r="H17" s="20" t="s">
        <v>103</v>
      </c>
      <c r="I17" s="20" t="s">
        <v>45</v>
      </c>
      <c r="J17" s="20" t="s">
        <v>46</v>
      </c>
      <c r="BR17" s="19">
        <v>0</v>
      </c>
      <c r="BS17" s="19">
        <v>0</v>
      </c>
      <c r="BT17" s="19">
        <v>0</v>
      </c>
      <c r="BU17" s="19">
        <v>0</v>
      </c>
      <c r="BV17" s="19">
        <v>0</v>
      </c>
      <c r="BW17" s="19">
        <v>0</v>
      </c>
      <c r="BX17" s="19">
        <v>0</v>
      </c>
      <c r="BY17" s="19">
        <v>0</v>
      </c>
      <c r="BZ17" s="19">
        <v>0</v>
      </c>
      <c r="CA17" s="19">
        <v>0</v>
      </c>
      <c r="CB17" s="19">
        <v>0</v>
      </c>
      <c r="CC17" s="19">
        <v>0</v>
      </c>
      <c r="CD17" s="19">
        <v>0</v>
      </c>
      <c r="CE17" s="19">
        <v>0</v>
      </c>
      <c r="CF17" s="19">
        <v>0</v>
      </c>
      <c r="CG17" s="19">
        <v>0</v>
      </c>
      <c r="CH17" s="19">
        <v>0</v>
      </c>
      <c r="CI17" s="19">
        <v>0</v>
      </c>
      <c r="CJ17" s="19">
        <v>0</v>
      </c>
      <c r="CK17" s="19">
        <v>0</v>
      </c>
      <c r="CL17" s="19">
        <v>0</v>
      </c>
      <c r="CM17" s="19">
        <v>0</v>
      </c>
      <c r="CN17" s="19">
        <v>0</v>
      </c>
      <c r="CO17" s="19">
        <v>0</v>
      </c>
      <c r="CP17" s="19">
        <v>0</v>
      </c>
      <c r="CQ17" s="19">
        <v>0</v>
      </c>
      <c r="CR17" s="19">
        <v>0</v>
      </c>
      <c r="CS17" s="19">
        <v>0</v>
      </c>
      <c r="CT17" s="19">
        <v>0</v>
      </c>
      <c r="CU17" s="19">
        <v>0</v>
      </c>
      <c r="CV17" s="19">
        <v>0</v>
      </c>
      <c r="CW17" s="19">
        <v>0</v>
      </c>
      <c r="CX17" s="19">
        <v>0</v>
      </c>
      <c r="CY17" s="19">
        <v>0</v>
      </c>
      <c r="CZ17" s="19">
        <v>0</v>
      </c>
      <c r="DA17" s="19">
        <v>0</v>
      </c>
      <c r="DB17" s="19">
        <v>0</v>
      </c>
      <c r="DC17" s="19">
        <v>0</v>
      </c>
      <c r="DD17" s="19">
        <v>0</v>
      </c>
      <c r="DE17" s="19">
        <v>0</v>
      </c>
      <c r="DF17" s="19">
        <v>0</v>
      </c>
      <c r="DG17" s="19">
        <v>0</v>
      </c>
      <c r="DH17" s="19">
        <v>0</v>
      </c>
      <c r="DI17" s="19">
        <v>0</v>
      </c>
      <c r="DJ17" s="19">
        <v>0</v>
      </c>
      <c r="DK17" s="19">
        <v>0</v>
      </c>
      <c r="DL17" s="19">
        <v>0</v>
      </c>
      <c r="DM17" s="19">
        <v>0</v>
      </c>
      <c r="DN17" s="19">
        <v>0</v>
      </c>
      <c r="DO17" s="19">
        <v>0</v>
      </c>
      <c r="DP17" s="19">
        <v>0</v>
      </c>
      <c r="DQ17" s="19">
        <v>0</v>
      </c>
      <c r="DR17" s="19">
        <v>0</v>
      </c>
      <c r="DS17" s="19">
        <v>0</v>
      </c>
      <c r="DT17" s="19">
        <v>0</v>
      </c>
      <c r="DU17" s="19">
        <v>0</v>
      </c>
      <c r="DV17" s="19">
        <v>0</v>
      </c>
      <c r="DW17" s="19">
        <v>0</v>
      </c>
      <c r="DX17" s="19">
        <v>0</v>
      </c>
      <c r="DY17" s="19">
        <v>0</v>
      </c>
      <c r="DZ17" s="19">
        <v>0</v>
      </c>
      <c r="EA17" s="19">
        <v>0</v>
      </c>
      <c r="EB17" s="19">
        <v>0</v>
      </c>
      <c r="EC17" s="19">
        <v>0</v>
      </c>
      <c r="ED17" s="19">
        <v>0</v>
      </c>
      <c r="EE17" s="19">
        <v>0</v>
      </c>
      <c r="EF17" s="19">
        <v>0</v>
      </c>
      <c r="EG17" s="19">
        <v>0</v>
      </c>
      <c r="EH17" s="19">
        <v>0</v>
      </c>
      <c r="EI17" s="19">
        <v>0</v>
      </c>
      <c r="EJ17" s="19">
        <v>0</v>
      </c>
      <c r="EK17" s="19">
        <v>0</v>
      </c>
      <c r="EL17" s="19">
        <v>0</v>
      </c>
      <c r="EM17" s="19">
        <v>0</v>
      </c>
      <c r="EN17" s="19">
        <v>0</v>
      </c>
      <c r="EO17" s="19">
        <v>0</v>
      </c>
      <c r="EP17" s="19">
        <v>0</v>
      </c>
      <c r="EQ17" s="19">
        <v>0</v>
      </c>
      <c r="ER17" s="19">
        <v>0</v>
      </c>
      <c r="ES17" s="19">
        <v>0</v>
      </c>
      <c r="ET17" s="19">
        <v>0</v>
      </c>
      <c r="EU17" s="19">
        <v>0</v>
      </c>
      <c r="EV17" s="19">
        <v>0</v>
      </c>
      <c r="EW17" s="19">
        <v>0</v>
      </c>
      <c r="EX17" s="19">
        <v>0</v>
      </c>
      <c r="EY17" s="19">
        <v>0</v>
      </c>
      <c r="EZ17" s="19">
        <v>0</v>
      </c>
      <c r="FA17" s="19">
        <v>0</v>
      </c>
      <c r="FB17" s="19">
        <v>0</v>
      </c>
      <c r="FC17" s="19">
        <v>0</v>
      </c>
      <c r="FD17" s="19">
        <v>0</v>
      </c>
      <c r="FE17" s="19">
        <v>0</v>
      </c>
      <c r="FF17" s="19">
        <v>0</v>
      </c>
      <c r="FG17" s="19">
        <v>0</v>
      </c>
      <c r="FH17" s="19">
        <v>0</v>
      </c>
      <c r="FI17" s="19">
        <v>0</v>
      </c>
      <c r="FJ17" s="19">
        <v>0</v>
      </c>
      <c r="FK17" s="19">
        <v>0</v>
      </c>
      <c r="FL17" s="19">
        <v>0</v>
      </c>
      <c r="FM17" s="19">
        <v>0</v>
      </c>
      <c r="FN17" s="19">
        <v>0</v>
      </c>
      <c r="FO17" s="19">
        <v>0</v>
      </c>
      <c r="FP17" s="19">
        <v>0</v>
      </c>
      <c r="FQ17" s="19">
        <v>0</v>
      </c>
      <c r="FR17" s="19">
        <v>0</v>
      </c>
      <c r="FS17" s="19">
        <v>0</v>
      </c>
      <c r="FT17" s="19">
        <v>0</v>
      </c>
      <c r="FU17" s="19">
        <v>0</v>
      </c>
      <c r="FV17" s="19">
        <v>0</v>
      </c>
      <c r="FW17" s="19">
        <v>0</v>
      </c>
      <c r="FX17" s="19">
        <v>0</v>
      </c>
      <c r="FY17" s="129">
        <v>0</v>
      </c>
      <c r="FZ17" s="129">
        <v>0</v>
      </c>
      <c r="GA17" s="129">
        <v>0</v>
      </c>
      <c r="GB17" s="129">
        <v>0</v>
      </c>
      <c r="GC17" s="129">
        <v>0</v>
      </c>
      <c r="GD17" s="129">
        <v>0</v>
      </c>
      <c r="GE17" s="129">
        <v>0</v>
      </c>
      <c r="GF17" s="129">
        <v>0</v>
      </c>
      <c r="GG17" s="129">
        <v>0</v>
      </c>
      <c r="GH17" s="129">
        <v>0</v>
      </c>
      <c r="GI17" s="129">
        <v>0</v>
      </c>
      <c r="GJ17" s="129">
        <v>0</v>
      </c>
      <c r="GK17" s="129">
        <v>0</v>
      </c>
      <c r="GL17" s="129">
        <v>0</v>
      </c>
      <c r="GM17" s="129">
        <v>0</v>
      </c>
      <c r="GN17" s="129">
        <v>0</v>
      </c>
      <c r="GO17" s="129">
        <v>0</v>
      </c>
      <c r="GP17" s="129">
        <v>0</v>
      </c>
      <c r="GQ17" s="129">
        <v>0</v>
      </c>
      <c r="GR17" s="129">
        <v>0</v>
      </c>
      <c r="GS17" s="129">
        <v>0</v>
      </c>
      <c r="GT17" s="129">
        <v>0</v>
      </c>
      <c r="GU17" s="129">
        <v>0</v>
      </c>
      <c r="GV17" s="129">
        <v>0</v>
      </c>
      <c r="GW17" s="129">
        <v>0</v>
      </c>
      <c r="GX17" s="129">
        <v>0</v>
      </c>
      <c r="GY17" s="129">
        <v>0</v>
      </c>
      <c r="GZ17" s="129">
        <v>0</v>
      </c>
      <c r="HA17" s="129">
        <v>0</v>
      </c>
      <c r="HB17" s="129">
        <v>0</v>
      </c>
      <c r="HC17" s="19">
        <v>0</v>
      </c>
      <c r="HD17" s="19">
        <v>0</v>
      </c>
      <c r="HE17" s="19">
        <v>0</v>
      </c>
      <c r="HF17" s="19">
        <v>0</v>
      </c>
      <c r="HG17" s="19">
        <v>0</v>
      </c>
      <c r="HH17" s="19">
        <v>0</v>
      </c>
      <c r="HI17" s="19">
        <v>0</v>
      </c>
      <c r="HJ17" s="19">
        <v>0</v>
      </c>
      <c r="HK17" s="19">
        <v>0</v>
      </c>
      <c r="HL17" s="19">
        <v>0</v>
      </c>
      <c r="HM17" s="19">
        <v>0</v>
      </c>
      <c r="HN17" s="19">
        <v>0</v>
      </c>
      <c r="HO17" s="19">
        <v>0</v>
      </c>
      <c r="HP17" s="19">
        <v>0</v>
      </c>
      <c r="HQ17" s="19">
        <v>0</v>
      </c>
      <c r="HR17" s="19">
        <v>0</v>
      </c>
      <c r="HS17" s="19">
        <v>0</v>
      </c>
      <c r="HT17" s="19">
        <v>0</v>
      </c>
      <c r="HU17" s="19">
        <v>0</v>
      </c>
      <c r="HV17" s="19">
        <v>0</v>
      </c>
      <c r="HW17" s="19">
        <v>0</v>
      </c>
      <c r="HX17" s="19">
        <v>0</v>
      </c>
      <c r="HY17" s="19">
        <v>0</v>
      </c>
      <c r="HZ17" s="19">
        <v>0</v>
      </c>
      <c r="IA17" s="19">
        <v>0</v>
      </c>
      <c r="IB17" s="19">
        <v>0</v>
      </c>
      <c r="IC17" s="19">
        <v>0</v>
      </c>
      <c r="ID17" s="19">
        <v>0</v>
      </c>
      <c r="IE17" s="19">
        <v>0</v>
      </c>
      <c r="IF17" s="19">
        <v>0</v>
      </c>
      <c r="IG17" s="19">
        <v>0</v>
      </c>
      <c r="IH17" s="19">
        <v>0</v>
      </c>
      <c r="II17" s="19">
        <v>0</v>
      </c>
      <c r="IJ17" s="19">
        <v>0</v>
      </c>
      <c r="IK17" s="19">
        <v>0</v>
      </c>
      <c r="IL17" s="19">
        <v>0</v>
      </c>
      <c r="IM17" s="19">
        <v>0</v>
      </c>
      <c r="IN17" s="19">
        <v>0</v>
      </c>
      <c r="IO17" s="19">
        <v>0</v>
      </c>
      <c r="IP17" s="19">
        <v>0</v>
      </c>
      <c r="IQ17" s="19">
        <v>0</v>
      </c>
      <c r="IR17" s="19">
        <v>0</v>
      </c>
      <c r="IS17" s="19">
        <v>0</v>
      </c>
      <c r="IT17" s="19">
        <v>0</v>
      </c>
      <c r="IU17" s="19">
        <v>0</v>
      </c>
      <c r="IV17" s="19">
        <v>0</v>
      </c>
      <c r="IW17" s="19">
        <v>0</v>
      </c>
      <c r="IX17" s="19">
        <v>0</v>
      </c>
      <c r="IY17" s="19">
        <v>0</v>
      </c>
      <c r="IZ17" s="19">
        <v>0</v>
      </c>
      <c r="JA17" s="19">
        <v>0</v>
      </c>
      <c r="JB17" s="19">
        <v>0</v>
      </c>
      <c r="JC17" s="19">
        <v>0</v>
      </c>
      <c r="JD17" s="19">
        <v>0</v>
      </c>
      <c r="JE17" s="19">
        <v>0</v>
      </c>
      <c r="JF17" s="19">
        <v>0</v>
      </c>
      <c r="JG17" s="19">
        <v>0</v>
      </c>
      <c r="JH17" s="19">
        <v>0</v>
      </c>
      <c r="JI17" s="19">
        <v>0</v>
      </c>
      <c r="JJ17" s="19">
        <v>0</v>
      </c>
      <c r="JK17" s="19">
        <v>0</v>
      </c>
      <c r="JL17" s="19">
        <v>0</v>
      </c>
      <c r="JM17" s="19">
        <v>0</v>
      </c>
      <c r="JN17" s="19">
        <v>0</v>
      </c>
      <c r="JO17" s="19">
        <v>0</v>
      </c>
      <c r="JP17" s="19">
        <v>0</v>
      </c>
      <c r="JQ17" s="19">
        <v>0</v>
      </c>
      <c r="JR17" s="19">
        <v>0</v>
      </c>
      <c r="JS17" s="19">
        <v>0</v>
      </c>
      <c r="JT17" s="19">
        <v>0</v>
      </c>
      <c r="JU17" s="19">
        <v>0</v>
      </c>
      <c r="JV17" s="19">
        <v>0</v>
      </c>
      <c r="JW17" s="19">
        <v>0</v>
      </c>
      <c r="JX17" s="19">
        <v>0</v>
      </c>
      <c r="JY17" s="19">
        <v>0</v>
      </c>
      <c r="JZ17" s="19">
        <v>0</v>
      </c>
      <c r="KA17" s="19">
        <v>0</v>
      </c>
      <c r="KB17" s="19">
        <v>0</v>
      </c>
      <c r="KC17" s="19">
        <v>0</v>
      </c>
      <c r="KD17" s="19">
        <v>0</v>
      </c>
      <c r="KE17" s="19">
        <v>0</v>
      </c>
      <c r="KF17" s="19">
        <v>0</v>
      </c>
      <c r="KG17" s="19">
        <v>0</v>
      </c>
      <c r="KH17" s="19">
        <v>0</v>
      </c>
      <c r="KI17" s="19">
        <v>0</v>
      </c>
      <c r="KJ17" s="19">
        <v>0</v>
      </c>
      <c r="KK17" s="19">
        <v>0</v>
      </c>
      <c r="KL17" s="19">
        <v>0</v>
      </c>
      <c r="KM17" s="19">
        <v>0</v>
      </c>
      <c r="KN17" s="19">
        <v>0</v>
      </c>
      <c r="KO17" s="19">
        <v>0</v>
      </c>
      <c r="KP17" s="19">
        <v>0</v>
      </c>
      <c r="KQ17" s="19">
        <v>0</v>
      </c>
      <c r="KR17" s="19">
        <v>0</v>
      </c>
      <c r="KS17" s="19">
        <v>0</v>
      </c>
      <c r="KT17" s="19">
        <v>0</v>
      </c>
      <c r="KU17" s="19">
        <v>0</v>
      </c>
      <c r="KV17" s="19">
        <v>0</v>
      </c>
      <c r="KW17" s="19">
        <v>0</v>
      </c>
      <c r="KX17" s="19">
        <v>0</v>
      </c>
      <c r="KY17" s="19">
        <v>0</v>
      </c>
      <c r="KZ17" s="19">
        <v>0</v>
      </c>
      <c r="LA17" s="19">
        <v>0</v>
      </c>
      <c r="LB17" s="19">
        <v>0</v>
      </c>
      <c r="LC17" s="19">
        <v>0</v>
      </c>
      <c r="LD17" s="19">
        <v>0</v>
      </c>
      <c r="LE17" s="19">
        <v>0</v>
      </c>
      <c r="LF17" s="19">
        <v>0</v>
      </c>
      <c r="LG17" s="19">
        <v>0</v>
      </c>
      <c r="LH17" s="19">
        <v>0</v>
      </c>
      <c r="LI17" s="19">
        <v>0</v>
      </c>
      <c r="LJ17" s="19">
        <v>0</v>
      </c>
      <c r="LK17" s="19">
        <v>0</v>
      </c>
      <c r="LL17" s="19">
        <v>0</v>
      </c>
      <c r="LM17" s="19">
        <v>0</v>
      </c>
      <c r="LN17" s="19">
        <v>0</v>
      </c>
      <c r="LO17" s="19">
        <v>0</v>
      </c>
      <c r="LP17" s="19">
        <v>0</v>
      </c>
      <c r="LQ17" s="19">
        <v>0</v>
      </c>
      <c r="LR17" s="19">
        <v>0</v>
      </c>
      <c r="LS17" s="19">
        <v>0</v>
      </c>
      <c r="LT17" s="19">
        <v>0</v>
      </c>
      <c r="LU17" s="19">
        <v>0</v>
      </c>
      <c r="LV17" s="19">
        <v>0</v>
      </c>
      <c r="LW17" s="19">
        <v>0</v>
      </c>
      <c r="LX17" s="19">
        <v>0</v>
      </c>
      <c r="LY17" s="19">
        <v>0</v>
      </c>
      <c r="LZ17" s="19">
        <v>0</v>
      </c>
      <c r="MA17" s="19">
        <v>0</v>
      </c>
      <c r="MB17" s="19">
        <v>0</v>
      </c>
      <c r="MC17" s="19">
        <v>0</v>
      </c>
      <c r="MD17" s="19">
        <v>0</v>
      </c>
      <c r="ME17" s="19">
        <v>0</v>
      </c>
      <c r="MF17" s="19">
        <v>0</v>
      </c>
      <c r="MG17" s="19">
        <v>0</v>
      </c>
      <c r="MH17" s="19">
        <v>0</v>
      </c>
      <c r="MI17" s="19">
        <v>0</v>
      </c>
      <c r="MJ17" s="19">
        <v>0</v>
      </c>
      <c r="MK17" s="19">
        <v>0</v>
      </c>
      <c r="ML17" s="19">
        <v>0</v>
      </c>
      <c r="MM17" s="19">
        <v>0</v>
      </c>
      <c r="MN17" s="19">
        <v>0</v>
      </c>
      <c r="MO17" s="19">
        <v>0</v>
      </c>
      <c r="MP17" s="19">
        <v>0</v>
      </c>
      <c r="MQ17" s="19">
        <v>0</v>
      </c>
      <c r="MR17" s="19">
        <v>0</v>
      </c>
      <c r="MS17" s="19">
        <v>0</v>
      </c>
      <c r="MT17" s="19">
        <v>0</v>
      </c>
      <c r="MU17" s="19">
        <v>0</v>
      </c>
      <c r="MV17" s="19">
        <v>0</v>
      </c>
      <c r="MW17" s="19">
        <v>0</v>
      </c>
      <c r="MX17" s="19">
        <v>0</v>
      </c>
      <c r="MY17" s="19">
        <v>0</v>
      </c>
      <c r="MZ17" s="19">
        <v>0</v>
      </c>
      <c r="NA17" s="19">
        <v>0</v>
      </c>
      <c r="NB17" s="19">
        <v>0</v>
      </c>
      <c r="NC17" s="19">
        <v>0</v>
      </c>
      <c r="ND17" s="19">
        <v>0</v>
      </c>
      <c r="NE17" s="19">
        <v>0</v>
      </c>
      <c r="NF17" s="19">
        <v>0</v>
      </c>
      <c r="NG17" s="19">
        <v>0</v>
      </c>
      <c r="NH17" s="19">
        <v>0</v>
      </c>
      <c r="NI17" s="19">
        <v>0</v>
      </c>
      <c r="NJ17" s="19">
        <v>0</v>
      </c>
      <c r="NK17" s="19">
        <v>0</v>
      </c>
      <c r="NL17" s="19">
        <v>0</v>
      </c>
      <c r="NM17" s="19">
        <v>0</v>
      </c>
      <c r="NN17" s="19">
        <v>0</v>
      </c>
      <c r="NO17" s="19">
        <v>0</v>
      </c>
      <c r="NP17" s="19">
        <v>0</v>
      </c>
      <c r="NQ17" s="19">
        <v>0</v>
      </c>
      <c r="NR17" s="19">
        <v>0</v>
      </c>
      <c r="NS17" s="19">
        <v>0</v>
      </c>
      <c r="NT17" s="19">
        <v>0</v>
      </c>
      <c r="NU17" s="19">
        <v>0</v>
      </c>
      <c r="NV17" s="19">
        <v>0</v>
      </c>
      <c r="NW17" s="19">
        <v>0</v>
      </c>
      <c r="NX17" s="19">
        <v>0</v>
      </c>
      <c r="NY17" s="19">
        <v>0</v>
      </c>
      <c r="NZ17" s="19">
        <v>0</v>
      </c>
      <c r="OA17" s="19">
        <v>0</v>
      </c>
      <c r="OB17" s="19">
        <v>0</v>
      </c>
      <c r="OC17" s="19">
        <v>0</v>
      </c>
      <c r="OD17" s="19">
        <v>0</v>
      </c>
      <c r="OE17" s="19">
        <v>0</v>
      </c>
      <c r="OF17" s="19">
        <v>0</v>
      </c>
      <c r="OG17" s="19">
        <v>0</v>
      </c>
      <c r="OH17" s="19">
        <v>0</v>
      </c>
      <c r="OI17" s="19">
        <v>0</v>
      </c>
      <c r="OJ17" s="19">
        <v>0</v>
      </c>
      <c r="OK17" s="19">
        <v>0</v>
      </c>
      <c r="OL17" s="19">
        <v>0</v>
      </c>
      <c r="OM17" s="19">
        <v>0</v>
      </c>
      <c r="ON17" s="19">
        <v>0</v>
      </c>
      <c r="OO17" s="19">
        <v>0</v>
      </c>
      <c r="OP17" s="19">
        <v>0</v>
      </c>
      <c r="OQ17" s="19">
        <v>0</v>
      </c>
      <c r="OR17" s="19">
        <v>0</v>
      </c>
      <c r="OS17" s="19">
        <v>0</v>
      </c>
      <c r="OT17" s="19">
        <v>0</v>
      </c>
      <c r="OU17" s="19">
        <v>0</v>
      </c>
      <c r="OV17" s="19">
        <v>0</v>
      </c>
      <c r="OW17" s="19">
        <v>0</v>
      </c>
      <c r="OX17" s="19">
        <v>0</v>
      </c>
      <c r="OY17" s="19">
        <v>0</v>
      </c>
      <c r="OZ17" s="19">
        <v>0</v>
      </c>
      <c r="PA17" s="19">
        <v>0</v>
      </c>
      <c r="PB17" s="19">
        <v>0</v>
      </c>
      <c r="PC17" s="19">
        <v>0</v>
      </c>
      <c r="PD17" s="19">
        <v>0</v>
      </c>
      <c r="PE17" s="19">
        <v>0</v>
      </c>
      <c r="PF17" s="19">
        <v>0</v>
      </c>
      <c r="PG17" s="19">
        <v>0</v>
      </c>
      <c r="PH17" s="19">
        <v>0</v>
      </c>
      <c r="PI17" s="19">
        <v>0</v>
      </c>
      <c r="PJ17" s="19">
        <v>0</v>
      </c>
      <c r="PK17" s="19">
        <v>0</v>
      </c>
      <c r="PL17" s="19">
        <v>0</v>
      </c>
      <c r="PM17" s="19">
        <v>0</v>
      </c>
      <c r="PN17" s="19">
        <v>0</v>
      </c>
      <c r="PO17" s="19">
        <v>0</v>
      </c>
      <c r="PP17" s="19">
        <v>0</v>
      </c>
      <c r="PQ17" s="19">
        <v>0</v>
      </c>
      <c r="PR17" s="19">
        <v>0</v>
      </c>
      <c r="PS17" s="19">
        <v>0</v>
      </c>
      <c r="PT17" s="19">
        <v>0</v>
      </c>
      <c r="PU17" s="19">
        <v>0</v>
      </c>
      <c r="PV17" s="19">
        <v>0</v>
      </c>
      <c r="PW17" s="19">
        <v>0</v>
      </c>
      <c r="PX17" s="19">
        <v>0</v>
      </c>
      <c r="PY17" s="19">
        <v>0</v>
      </c>
      <c r="PZ17" s="19">
        <v>0</v>
      </c>
      <c r="QA17" s="19">
        <v>0</v>
      </c>
      <c r="QB17" s="19">
        <v>0</v>
      </c>
      <c r="QC17" s="19">
        <v>0</v>
      </c>
      <c r="QD17" s="19">
        <v>0</v>
      </c>
      <c r="QE17" s="19">
        <v>0</v>
      </c>
      <c r="QF17" s="19">
        <v>0</v>
      </c>
      <c r="QG17" s="19">
        <v>0</v>
      </c>
      <c r="QH17" s="19">
        <v>0</v>
      </c>
      <c r="QI17" s="19">
        <v>0</v>
      </c>
      <c r="QJ17" s="19">
        <v>0</v>
      </c>
      <c r="QK17" s="19">
        <v>0</v>
      </c>
      <c r="QL17" s="19">
        <v>0</v>
      </c>
      <c r="QM17" s="19">
        <v>0</v>
      </c>
      <c r="QN17" s="19">
        <v>0</v>
      </c>
      <c r="QO17" s="19">
        <v>0</v>
      </c>
      <c r="QP17" s="19">
        <v>0</v>
      </c>
      <c r="QQ17" s="19">
        <v>0</v>
      </c>
      <c r="QR17" s="19">
        <v>0</v>
      </c>
      <c r="QS17" s="19">
        <v>0</v>
      </c>
      <c r="QT17" s="19">
        <v>0</v>
      </c>
      <c r="QU17" s="19">
        <v>0</v>
      </c>
      <c r="QV17" s="19">
        <v>0</v>
      </c>
      <c r="QW17" s="19">
        <v>0</v>
      </c>
      <c r="QX17" s="19">
        <v>0</v>
      </c>
      <c r="QY17" s="19">
        <v>0</v>
      </c>
      <c r="QZ17" s="19">
        <v>0</v>
      </c>
      <c r="RA17" s="19">
        <v>0</v>
      </c>
      <c r="RB17" s="19">
        <v>0</v>
      </c>
      <c r="RC17" s="19">
        <v>0</v>
      </c>
      <c r="RD17" s="19">
        <v>0</v>
      </c>
      <c r="RE17" s="19">
        <v>0</v>
      </c>
      <c r="RF17" s="19">
        <v>0</v>
      </c>
      <c r="RG17" s="19">
        <v>0</v>
      </c>
      <c r="RH17" s="19">
        <v>0</v>
      </c>
      <c r="RI17" s="19">
        <v>0</v>
      </c>
      <c r="RJ17" s="19">
        <v>0</v>
      </c>
      <c r="RK17" s="19">
        <v>0</v>
      </c>
      <c r="RL17" s="19">
        <v>0</v>
      </c>
      <c r="RM17" s="19">
        <v>0</v>
      </c>
      <c r="RN17" s="19">
        <v>0</v>
      </c>
      <c r="RO17" s="19">
        <v>0</v>
      </c>
      <c r="RP17" s="19">
        <v>0</v>
      </c>
      <c r="RQ17" s="19">
        <v>0</v>
      </c>
      <c r="RR17" s="19">
        <v>0</v>
      </c>
      <c r="RS17" s="19">
        <v>0</v>
      </c>
      <c r="RT17" s="19">
        <v>0</v>
      </c>
      <c r="RU17" s="19">
        <v>0</v>
      </c>
      <c r="RV17" s="19">
        <v>0</v>
      </c>
      <c r="RW17" s="19">
        <v>0</v>
      </c>
      <c r="RX17" s="19">
        <v>0</v>
      </c>
      <c r="RY17" s="19">
        <v>0</v>
      </c>
      <c r="RZ17" s="19">
        <v>0</v>
      </c>
      <c r="SA17" s="19">
        <v>0</v>
      </c>
      <c r="SB17" s="19">
        <v>0</v>
      </c>
      <c r="SC17" s="19">
        <v>0</v>
      </c>
      <c r="SD17" s="19">
        <v>0</v>
      </c>
      <c r="SE17" s="19">
        <v>0</v>
      </c>
      <c r="SF17" s="19">
        <v>0</v>
      </c>
      <c r="SG17" s="19">
        <v>0</v>
      </c>
      <c r="SH17" s="19">
        <v>0</v>
      </c>
      <c r="SI17" s="19">
        <v>0</v>
      </c>
      <c r="SJ17" s="19">
        <v>0</v>
      </c>
      <c r="SK17" s="19">
        <v>0</v>
      </c>
      <c r="SL17" s="19">
        <v>0</v>
      </c>
      <c r="SM17" s="19">
        <v>0</v>
      </c>
      <c r="SN17" s="19">
        <v>0</v>
      </c>
      <c r="SO17" s="19">
        <v>0</v>
      </c>
      <c r="SP17" s="19">
        <v>0</v>
      </c>
      <c r="SQ17" s="19">
        <v>0</v>
      </c>
      <c r="SR17" s="19">
        <v>0</v>
      </c>
      <c r="SS17" s="19">
        <v>0</v>
      </c>
      <c r="ST17" s="19">
        <v>0</v>
      </c>
      <c r="SU17" s="19">
        <v>0</v>
      </c>
      <c r="SV17" s="19">
        <v>0</v>
      </c>
      <c r="SW17" s="19">
        <v>0</v>
      </c>
      <c r="SX17" s="19">
        <v>0</v>
      </c>
      <c r="SY17" s="19">
        <v>0</v>
      </c>
      <c r="SZ17" s="19">
        <v>0</v>
      </c>
      <c r="TA17" s="19">
        <v>0</v>
      </c>
      <c r="TB17" s="19">
        <v>0</v>
      </c>
      <c r="TC17" s="19">
        <v>0</v>
      </c>
      <c r="TD17" s="19">
        <v>0</v>
      </c>
      <c r="TE17" s="19">
        <v>0</v>
      </c>
      <c r="TF17" s="19">
        <v>0</v>
      </c>
      <c r="TG17" s="19">
        <v>0</v>
      </c>
      <c r="TH17" s="19">
        <v>0</v>
      </c>
      <c r="TI17" s="19">
        <v>0</v>
      </c>
      <c r="TJ17" s="19">
        <v>0</v>
      </c>
      <c r="TK17" s="19">
        <v>0</v>
      </c>
      <c r="TL17" s="19">
        <v>0</v>
      </c>
      <c r="TM17" s="19">
        <v>0</v>
      </c>
      <c r="TN17" s="19">
        <v>0</v>
      </c>
      <c r="TO17" s="19">
        <v>0</v>
      </c>
      <c r="TP17" s="19">
        <v>0</v>
      </c>
      <c r="TQ17" s="19">
        <v>0</v>
      </c>
      <c r="TR17" s="19">
        <v>0</v>
      </c>
      <c r="TS17" s="19">
        <v>0</v>
      </c>
      <c r="TT17" s="19">
        <v>0</v>
      </c>
      <c r="TU17" s="19">
        <v>0</v>
      </c>
      <c r="TV17" s="19">
        <v>0</v>
      </c>
      <c r="TW17" s="19">
        <v>0</v>
      </c>
      <c r="TX17" s="19">
        <v>0</v>
      </c>
      <c r="TY17" s="19">
        <v>0</v>
      </c>
      <c r="TZ17" s="19">
        <v>0</v>
      </c>
      <c r="UA17" s="19">
        <v>0</v>
      </c>
      <c r="UB17" s="19">
        <v>0</v>
      </c>
      <c r="UC17" s="19">
        <v>0</v>
      </c>
      <c r="UD17" s="19">
        <v>0</v>
      </c>
      <c r="UE17" s="19">
        <v>0</v>
      </c>
      <c r="UF17" s="19">
        <v>0</v>
      </c>
      <c r="UG17" s="19">
        <v>0</v>
      </c>
      <c r="UH17" s="19">
        <v>0</v>
      </c>
      <c r="UI17" s="19">
        <v>0</v>
      </c>
      <c r="UJ17" s="19">
        <v>0</v>
      </c>
      <c r="UK17" s="19">
        <v>0</v>
      </c>
      <c r="UL17" s="19">
        <v>0</v>
      </c>
      <c r="UM17" s="19">
        <v>0</v>
      </c>
      <c r="UN17" s="19">
        <v>0</v>
      </c>
      <c r="UO17" s="19">
        <v>0</v>
      </c>
      <c r="UP17" s="19">
        <v>0</v>
      </c>
      <c r="UQ17" s="19">
        <v>0</v>
      </c>
      <c r="UR17" s="19">
        <v>0</v>
      </c>
      <c r="US17" s="19">
        <v>0</v>
      </c>
      <c r="UT17" s="19">
        <v>0</v>
      </c>
      <c r="UU17" s="19">
        <v>0</v>
      </c>
      <c r="UV17" s="19">
        <v>0</v>
      </c>
      <c r="UW17" s="19">
        <v>0</v>
      </c>
      <c r="UX17" s="19">
        <v>0</v>
      </c>
      <c r="UY17" s="19">
        <v>0</v>
      </c>
      <c r="UZ17" s="19">
        <v>0</v>
      </c>
      <c r="VA17" s="19">
        <v>0</v>
      </c>
      <c r="VB17" s="19">
        <v>0</v>
      </c>
      <c r="VC17" s="19">
        <v>0</v>
      </c>
      <c r="VD17" s="19">
        <v>0</v>
      </c>
      <c r="VE17" s="19">
        <v>0</v>
      </c>
      <c r="VF17" s="19">
        <v>0</v>
      </c>
      <c r="VG17" s="19">
        <v>0</v>
      </c>
      <c r="VH17" s="19">
        <v>0</v>
      </c>
      <c r="VI17" s="19">
        <v>0</v>
      </c>
      <c r="VJ17" s="19">
        <v>0</v>
      </c>
      <c r="VK17" s="19">
        <v>0</v>
      </c>
      <c r="VL17" s="19">
        <v>0</v>
      </c>
      <c r="VM17" s="19">
        <v>0</v>
      </c>
      <c r="VN17" s="19">
        <v>0</v>
      </c>
      <c r="VO17" s="19">
        <v>0</v>
      </c>
      <c r="VP17" s="19">
        <v>0</v>
      </c>
      <c r="VQ17" s="19">
        <v>0</v>
      </c>
      <c r="VR17" s="19">
        <v>0</v>
      </c>
      <c r="VS17" s="19">
        <v>0</v>
      </c>
      <c r="VT17" s="19">
        <v>0</v>
      </c>
      <c r="VU17" s="19">
        <v>0</v>
      </c>
      <c r="VV17" s="19">
        <v>0</v>
      </c>
      <c r="VW17" s="19">
        <v>0</v>
      </c>
      <c r="VX17" s="19">
        <v>0</v>
      </c>
      <c r="VY17" s="19">
        <v>0</v>
      </c>
      <c r="VZ17" s="19">
        <v>0</v>
      </c>
      <c r="WA17" s="19">
        <v>0</v>
      </c>
      <c r="WB17" s="19">
        <v>0</v>
      </c>
      <c r="WC17" s="19">
        <v>0</v>
      </c>
      <c r="WD17" s="19">
        <v>0</v>
      </c>
      <c r="WE17" s="19">
        <v>0</v>
      </c>
      <c r="WF17" s="19">
        <v>0</v>
      </c>
      <c r="WG17" s="19">
        <v>0</v>
      </c>
      <c r="WH17" s="19">
        <v>0</v>
      </c>
      <c r="WI17" s="19">
        <v>0</v>
      </c>
      <c r="WJ17" s="19">
        <v>0</v>
      </c>
      <c r="WK17" s="19">
        <v>0</v>
      </c>
      <c r="WL17" s="19">
        <v>0</v>
      </c>
      <c r="WM17" s="19">
        <v>0</v>
      </c>
      <c r="WN17" s="19">
        <v>0</v>
      </c>
      <c r="WO17" s="19">
        <v>0</v>
      </c>
      <c r="WP17" s="19">
        <v>0</v>
      </c>
      <c r="WQ17" s="19">
        <v>0</v>
      </c>
      <c r="WR17" s="19">
        <v>0</v>
      </c>
      <c r="WS17" s="19">
        <v>0</v>
      </c>
      <c r="WT17" s="19">
        <v>0</v>
      </c>
      <c r="WU17" s="19">
        <v>0</v>
      </c>
      <c r="WV17" s="19">
        <v>0</v>
      </c>
      <c r="WW17" s="19">
        <v>0</v>
      </c>
      <c r="WX17" s="19">
        <v>0</v>
      </c>
      <c r="WY17" s="19">
        <v>0</v>
      </c>
      <c r="WZ17" s="19">
        <v>0</v>
      </c>
      <c r="XA17" s="19">
        <v>0</v>
      </c>
      <c r="XB17" s="19">
        <v>0</v>
      </c>
      <c r="XC17" s="19">
        <v>0</v>
      </c>
      <c r="XD17" s="19">
        <v>0</v>
      </c>
      <c r="XE17" s="19">
        <v>0</v>
      </c>
      <c r="XF17" s="19">
        <v>0</v>
      </c>
      <c r="XG17" s="19">
        <v>0</v>
      </c>
      <c r="XH17" s="19">
        <v>0</v>
      </c>
      <c r="XI17" s="19">
        <v>0</v>
      </c>
      <c r="XJ17" s="19">
        <v>0</v>
      </c>
      <c r="XK17" s="19">
        <v>0</v>
      </c>
      <c r="XL17" s="19">
        <v>0</v>
      </c>
      <c r="XM17" s="19">
        <v>0</v>
      </c>
      <c r="XN17" s="19">
        <v>0</v>
      </c>
      <c r="XO17" s="19">
        <v>0</v>
      </c>
      <c r="XP17" s="19">
        <v>0</v>
      </c>
      <c r="XQ17" s="19">
        <v>0</v>
      </c>
      <c r="XR17" s="19">
        <v>0</v>
      </c>
      <c r="XS17" s="19">
        <v>0</v>
      </c>
      <c r="XT17" s="19">
        <v>0</v>
      </c>
      <c r="XU17" s="19">
        <v>0</v>
      </c>
      <c r="XV17" s="19">
        <v>0</v>
      </c>
      <c r="XW17" s="19">
        <v>0</v>
      </c>
      <c r="XX17" s="19">
        <v>0</v>
      </c>
      <c r="XY17" s="19">
        <v>0</v>
      </c>
      <c r="XZ17" s="19">
        <v>0</v>
      </c>
      <c r="YA17" s="19">
        <v>0</v>
      </c>
      <c r="YB17" s="19">
        <v>0</v>
      </c>
      <c r="YC17" s="19">
        <v>0</v>
      </c>
      <c r="YD17" s="19">
        <v>0</v>
      </c>
      <c r="YE17" s="19">
        <v>0</v>
      </c>
      <c r="YF17" s="19">
        <v>0</v>
      </c>
      <c r="YG17" s="19">
        <v>0</v>
      </c>
      <c r="YH17" s="19">
        <v>0</v>
      </c>
      <c r="YI17" s="19">
        <v>0</v>
      </c>
      <c r="YJ17" s="19">
        <v>0</v>
      </c>
      <c r="YK17" s="19">
        <v>0</v>
      </c>
      <c r="YL17" s="19">
        <v>0</v>
      </c>
      <c r="YM17" s="19">
        <v>0</v>
      </c>
      <c r="YN17" s="19">
        <v>0</v>
      </c>
      <c r="YO17" s="19">
        <v>0</v>
      </c>
      <c r="YP17" s="19">
        <v>0</v>
      </c>
      <c r="YQ17" s="19">
        <v>0</v>
      </c>
      <c r="YR17" s="19">
        <v>0</v>
      </c>
      <c r="YS17" s="19">
        <v>0</v>
      </c>
      <c r="YT17" s="19">
        <v>0</v>
      </c>
      <c r="YU17" s="19">
        <v>0</v>
      </c>
      <c r="YV17" s="19">
        <v>0</v>
      </c>
      <c r="YW17" s="19">
        <v>0</v>
      </c>
      <c r="YX17" s="19">
        <v>0</v>
      </c>
      <c r="YY17" s="19">
        <v>0</v>
      </c>
      <c r="YZ17" s="19">
        <v>0</v>
      </c>
      <c r="ZA17" s="19">
        <v>0</v>
      </c>
      <c r="ZB17" s="19">
        <v>0</v>
      </c>
      <c r="ZC17" s="19">
        <v>0</v>
      </c>
      <c r="ZD17" s="19">
        <v>0</v>
      </c>
      <c r="ZE17" s="19">
        <v>0</v>
      </c>
      <c r="ZF17" s="19">
        <v>0</v>
      </c>
      <c r="ZG17" s="19">
        <v>0</v>
      </c>
      <c r="ZH17" s="19">
        <v>0</v>
      </c>
      <c r="ZI17" s="19">
        <v>0</v>
      </c>
      <c r="ZJ17" s="19">
        <v>0</v>
      </c>
      <c r="ZK17" s="19">
        <v>0</v>
      </c>
      <c r="ZL17" s="19">
        <v>0</v>
      </c>
      <c r="ZM17" s="19">
        <v>0</v>
      </c>
      <c r="ZN17" s="19">
        <v>0</v>
      </c>
      <c r="ZO17" s="19">
        <v>0</v>
      </c>
      <c r="ZP17" s="19">
        <v>0</v>
      </c>
      <c r="ZQ17" s="19">
        <v>0</v>
      </c>
      <c r="ZR17" s="19">
        <v>0</v>
      </c>
      <c r="ZS17" s="19">
        <v>0</v>
      </c>
      <c r="ZT17" s="19">
        <v>0</v>
      </c>
      <c r="ZU17" s="19">
        <v>0</v>
      </c>
      <c r="ZV17" s="19">
        <v>0</v>
      </c>
      <c r="ZW17" s="19">
        <v>0</v>
      </c>
      <c r="ZX17" s="19">
        <v>0</v>
      </c>
      <c r="ZY17" s="19">
        <v>0</v>
      </c>
      <c r="ZZ17" s="19">
        <v>0</v>
      </c>
      <c r="AAA17" s="19">
        <v>0</v>
      </c>
      <c r="AAB17" s="19">
        <v>0</v>
      </c>
      <c r="AAC17" s="19">
        <v>0</v>
      </c>
      <c r="AAD17" s="19">
        <v>0</v>
      </c>
      <c r="AAE17" s="19">
        <v>0</v>
      </c>
      <c r="AAF17" s="19">
        <v>0</v>
      </c>
      <c r="AAG17" s="19">
        <v>0</v>
      </c>
      <c r="AAH17" s="19">
        <v>0</v>
      </c>
      <c r="AAI17" s="19">
        <v>0</v>
      </c>
      <c r="AAJ17" s="19">
        <v>0</v>
      </c>
      <c r="AAK17" s="19">
        <v>0</v>
      </c>
      <c r="AAL17" s="19">
        <v>0</v>
      </c>
      <c r="AAM17" s="19">
        <v>0</v>
      </c>
      <c r="AAN17" s="19">
        <v>0</v>
      </c>
      <c r="AAO17" s="19">
        <v>0</v>
      </c>
      <c r="AAP17" s="19">
        <v>0</v>
      </c>
      <c r="AAQ17" s="19">
        <v>0</v>
      </c>
      <c r="AAR17" s="19">
        <v>0</v>
      </c>
      <c r="AAS17" s="19">
        <v>0</v>
      </c>
      <c r="AAT17" s="19">
        <v>0</v>
      </c>
      <c r="AAU17" s="19">
        <v>0</v>
      </c>
      <c r="AAV17" s="19">
        <v>0</v>
      </c>
      <c r="AAW17" s="19">
        <v>0</v>
      </c>
      <c r="AAX17" s="19">
        <v>0</v>
      </c>
      <c r="AAY17" s="19">
        <v>0</v>
      </c>
      <c r="AAZ17" s="19">
        <v>0</v>
      </c>
      <c r="ABA17" s="19">
        <v>0</v>
      </c>
      <c r="ABB17" s="19">
        <v>0</v>
      </c>
      <c r="ABC17" s="19">
        <v>0</v>
      </c>
      <c r="ABD17" s="19">
        <v>0</v>
      </c>
      <c r="ABE17" s="19">
        <v>0</v>
      </c>
      <c r="ABF17" s="19">
        <v>0</v>
      </c>
      <c r="ABG17" s="19">
        <v>0</v>
      </c>
      <c r="ABH17" s="19">
        <v>0</v>
      </c>
      <c r="ABI17" s="19">
        <v>0</v>
      </c>
      <c r="ABJ17" s="19">
        <v>0</v>
      </c>
      <c r="ABK17" s="19">
        <v>0</v>
      </c>
      <c r="ABL17" s="19">
        <v>0</v>
      </c>
      <c r="ABM17" s="19">
        <v>0</v>
      </c>
      <c r="ABN17" s="19">
        <v>0</v>
      </c>
      <c r="ABO17" s="19">
        <v>0</v>
      </c>
      <c r="ABP17" s="19">
        <v>0</v>
      </c>
      <c r="ABQ17" s="19">
        <v>0</v>
      </c>
      <c r="ABR17" s="19">
        <v>0</v>
      </c>
      <c r="ABS17" s="19">
        <v>0</v>
      </c>
      <c r="ABT17" s="19">
        <v>0</v>
      </c>
      <c r="ABU17" s="19">
        <v>0</v>
      </c>
      <c r="ABV17" s="19">
        <v>0</v>
      </c>
      <c r="ABW17" s="19">
        <v>0</v>
      </c>
      <c r="ABX17" s="19">
        <v>0</v>
      </c>
      <c r="ABY17" s="19">
        <v>0</v>
      </c>
      <c r="ABZ17" s="19">
        <v>0</v>
      </c>
      <c r="ACA17" s="19">
        <v>0</v>
      </c>
      <c r="ACB17" s="19">
        <v>0</v>
      </c>
      <c r="ACC17" s="19">
        <v>0</v>
      </c>
      <c r="ACD17" s="19">
        <v>0</v>
      </c>
      <c r="ACE17" s="19">
        <v>0</v>
      </c>
      <c r="ACF17" s="19">
        <v>0</v>
      </c>
      <c r="ACG17" s="19">
        <v>0</v>
      </c>
      <c r="ACH17" s="19">
        <v>0</v>
      </c>
      <c r="ACI17" s="19">
        <v>0</v>
      </c>
      <c r="ACJ17" s="19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 s="31">
        <v>0</v>
      </c>
      <c r="ACS17" s="19">
        <v>0</v>
      </c>
      <c r="ACT17" s="19">
        <v>0</v>
      </c>
      <c r="ACU17" s="19">
        <v>0</v>
      </c>
      <c r="ACV17" s="19">
        <v>0</v>
      </c>
      <c r="ACW17" s="19">
        <v>0</v>
      </c>
      <c r="ACX17" s="19">
        <v>0</v>
      </c>
      <c r="ACY17" s="19">
        <v>0</v>
      </c>
      <c r="ACZ17" s="19">
        <v>0</v>
      </c>
      <c r="ADA17" s="19">
        <v>0</v>
      </c>
      <c r="ADB17" s="19">
        <v>0</v>
      </c>
      <c r="ADC17" s="19">
        <v>0</v>
      </c>
      <c r="ADD17" s="31">
        <v>0</v>
      </c>
      <c r="ADE17" s="19">
        <v>0</v>
      </c>
      <c r="ADF17" s="19">
        <v>0</v>
      </c>
      <c r="ADG17" s="19">
        <v>0</v>
      </c>
      <c r="ADH17" s="19">
        <v>0</v>
      </c>
      <c r="ADI17" s="19">
        <v>0</v>
      </c>
      <c r="ADJ17" s="19">
        <v>0</v>
      </c>
      <c r="ADK17" s="31">
        <v>0</v>
      </c>
      <c r="ADL17" s="19">
        <v>0</v>
      </c>
      <c r="ADM17" s="19">
        <v>0</v>
      </c>
      <c r="ADN17" s="19">
        <v>0</v>
      </c>
      <c r="ADO17" s="19">
        <v>0</v>
      </c>
      <c r="ADP17" s="19">
        <v>0</v>
      </c>
      <c r="ADQ17" s="19">
        <v>0</v>
      </c>
      <c r="ADR17" s="19">
        <v>0</v>
      </c>
      <c r="ADS17" s="19">
        <v>0</v>
      </c>
      <c r="ADT17" s="31">
        <v>0</v>
      </c>
      <c r="ADU17" s="19">
        <v>0</v>
      </c>
      <c r="ADV17" s="19">
        <v>0</v>
      </c>
      <c r="ADW17" s="19">
        <v>0</v>
      </c>
      <c r="ADX17">
        <v>0</v>
      </c>
      <c r="ADY17">
        <v>0</v>
      </c>
      <c r="ADZ17" s="19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 s="31">
        <v>0</v>
      </c>
      <c r="AEI17" s="19">
        <v>0</v>
      </c>
      <c r="AEJ17" s="19">
        <v>0</v>
      </c>
      <c r="AEK17" s="19">
        <v>0</v>
      </c>
      <c r="AEL17" s="19">
        <v>0</v>
      </c>
      <c r="AEM17" s="19">
        <v>0</v>
      </c>
      <c r="AEN17" s="19">
        <v>0</v>
      </c>
      <c r="AEO17" s="31">
        <v>0</v>
      </c>
      <c r="AEP17" s="19">
        <v>0</v>
      </c>
      <c r="AEQ17" s="19">
        <v>0</v>
      </c>
      <c r="AER17" s="19">
        <v>0</v>
      </c>
      <c r="AES17" s="19">
        <v>0</v>
      </c>
      <c r="AET17" s="19">
        <v>0</v>
      </c>
      <c r="AEU17" s="19">
        <v>0</v>
      </c>
      <c r="AEV17" s="19">
        <v>0</v>
      </c>
      <c r="AEW17" s="19">
        <v>0</v>
      </c>
      <c r="AEX17" s="19">
        <v>0</v>
      </c>
      <c r="AEY17" s="19">
        <v>0</v>
      </c>
      <c r="AEZ17" s="19">
        <v>0</v>
      </c>
      <c r="AFA17" s="19">
        <v>0</v>
      </c>
      <c r="AFB17" s="19">
        <v>0</v>
      </c>
      <c r="AFC17" s="19">
        <v>0</v>
      </c>
      <c r="AFD17" s="19">
        <v>0</v>
      </c>
      <c r="AFE17" s="19">
        <v>0</v>
      </c>
      <c r="AFF17" s="19">
        <v>0</v>
      </c>
      <c r="AFG17" s="19">
        <v>0</v>
      </c>
      <c r="AFH17" s="19">
        <v>0</v>
      </c>
      <c r="AFI17" s="19">
        <v>0</v>
      </c>
      <c r="AFJ17" s="31">
        <v>0</v>
      </c>
      <c r="AFK17" s="19">
        <v>0</v>
      </c>
      <c r="AFL17" s="19">
        <v>0</v>
      </c>
      <c r="AFM17" s="19">
        <v>0</v>
      </c>
      <c r="AFN17" s="19">
        <v>0</v>
      </c>
      <c r="AFO17" s="19">
        <v>0</v>
      </c>
      <c r="AFP17" s="19">
        <v>0</v>
      </c>
      <c r="AFQ17" s="31">
        <v>0</v>
      </c>
      <c r="AFR17" s="19">
        <v>0</v>
      </c>
      <c r="AFS17" s="19">
        <v>0</v>
      </c>
      <c r="AFT17" s="19">
        <v>0</v>
      </c>
      <c r="AFU17" s="19">
        <v>0</v>
      </c>
      <c r="AFV17" s="19">
        <v>0</v>
      </c>
      <c r="AFW17" s="19">
        <v>0</v>
      </c>
      <c r="AFX17" s="31">
        <v>0</v>
      </c>
      <c r="AFY17" s="19">
        <v>0</v>
      </c>
      <c r="AFZ17" s="19">
        <v>0</v>
      </c>
      <c r="AGA17" s="19">
        <v>0</v>
      </c>
      <c r="AGB17" s="19">
        <v>0</v>
      </c>
      <c r="AGC17" s="19">
        <v>0</v>
      </c>
      <c r="AGD17" s="19">
        <v>0</v>
      </c>
      <c r="AGE17" s="19">
        <v>0</v>
      </c>
      <c r="AGF17" s="19">
        <v>0</v>
      </c>
      <c r="AGG17" s="19">
        <v>0</v>
      </c>
      <c r="AGH17" s="19">
        <v>0</v>
      </c>
      <c r="AGI17" s="19">
        <v>0</v>
      </c>
      <c r="AGJ17" s="19">
        <v>0</v>
      </c>
      <c r="AGK17" s="31">
        <v>0</v>
      </c>
      <c r="AGL17" s="31">
        <v>0</v>
      </c>
      <c r="AGM17" s="19">
        <v>0</v>
      </c>
      <c r="AGN17" s="19">
        <v>0</v>
      </c>
      <c r="AGO17" s="19">
        <v>0</v>
      </c>
      <c r="AGP17" s="19">
        <v>0</v>
      </c>
      <c r="AGQ17" s="19">
        <v>0</v>
      </c>
      <c r="AGR17" s="19">
        <v>0</v>
      </c>
      <c r="AGS17" s="19">
        <v>0</v>
      </c>
      <c r="AGT17" s="19">
        <v>0</v>
      </c>
      <c r="AGU17" s="19">
        <v>0</v>
      </c>
      <c r="AGV17" s="19">
        <v>0</v>
      </c>
      <c r="AGW17" s="31">
        <v>0</v>
      </c>
      <c r="AGX17" s="19">
        <v>0</v>
      </c>
      <c r="AGY17" s="31">
        <v>0</v>
      </c>
      <c r="AGZ17" s="31">
        <v>0</v>
      </c>
      <c r="AHA17" s="19">
        <v>0</v>
      </c>
      <c r="AHB17" s="19">
        <v>0</v>
      </c>
      <c r="AHC17" s="19">
        <v>0</v>
      </c>
      <c r="AHD17" s="19">
        <v>0</v>
      </c>
      <c r="AHE17" s="19">
        <v>0</v>
      </c>
      <c r="AHH17" s="19">
        <v>0</v>
      </c>
      <c r="AHI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 s="31">
        <v>0</v>
      </c>
      <c r="AJD17" s="19">
        <v>0</v>
      </c>
      <c r="AJE17" s="19">
        <v>0</v>
      </c>
      <c r="AJF17" s="19">
        <v>0</v>
      </c>
      <c r="AJG17" s="19">
        <v>0</v>
      </c>
      <c r="AJH17" s="19">
        <v>0</v>
      </c>
      <c r="AJI17" s="19">
        <v>0</v>
      </c>
      <c r="AJJ17" s="19">
        <v>0</v>
      </c>
      <c r="AJK17" s="19">
        <v>0</v>
      </c>
      <c r="AJL17" s="19">
        <v>0</v>
      </c>
      <c r="AJM17" s="19">
        <v>0</v>
      </c>
      <c r="AJN17" s="19">
        <v>0</v>
      </c>
      <c r="AJO17" s="19">
        <v>0</v>
      </c>
      <c r="AJP17" s="19">
        <v>0</v>
      </c>
      <c r="AJQ17" s="19">
        <v>0</v>
      </c>
      <c r="AJR17" s="19">
        <v>0</v>
      </c>
      <c r="AJS17" s="19">
        <v>0</v>
      </c>
      <c r="AJT17" s="19">
        <v>0</v>
      </c>
      <c r="AJU17" s="19">
        <v>0</v>
      </c>
      <c r="AJV17" s="19">
        <v>0</v>
      </c>
      <c r="AJW17" s="19">
        <v>0</v>
      </c>
      <c r="AJX17" s="19">
        <v>0</v>
      </c>
      <c r="AJY17" s="19">
        <v>0</v>
      </c>
      <c r="AJZ17" s="19">
        <v>0</v>
      </c>
      <c r="AKA17" s="19">
        <v>0</v>
      </c>
      <c r="AKB17" s="31">
        <v>0</v>
      </c>
      <c r="AKC17" s="19">
        <v>0</v>
      </c>
      <c r="AKD17" s="19">
        <v>0</v>
      </c>
      <c r="AKE17" s="19">
        <v>0</v>
      </c>
      <c r="AKF17" s="19">
        <v>0</v>
      </c>
    </row>
    <row r="18" spans="1:968" s="19" customFormat="1">
      <c r="A18" s="19">
        <v>16</v>
      </c>
      <c r="B18" s="19" t="s">
        <v>110</v>
      </c>
      <c r="C18" s="20">
        <v>82630</v>
      </c>
      <c r="D18" s="20" t="s">
        <v>28</v>
      </c>
      <c r="E18" s="20" t="s">
        <v>99</v>
      </c>
      <c r="F18" s="20" t="s">
        <v>69</v>
      </c>
      <c r="G18" s="20" t="s">
        <v>12</v>
      </c>
      <c r="H18" s="20" t="s">
        <v>103</v>
      </c>
      <c r="I18" s="20" t="s">
        <v>45</v>
      </c>
      <c r="J18" s="20" t="s">
        <v>46</v>
      </c>
      <c r="K18" s="19">
        <v>2592</v>
      </c>
      <c r="L18" s="19">
        <v>0</v>
      </c>
      <c r="M18" s="19">
        <v>0</v>
      </c>
      <c r="N18" s="19">
        <v>1746</v>
      </c>
      <c r="O18" s="19">
        <v>0</v>
      </c>
      <c r="P18" s="19">
        <v>0</v>
      </c>
      <c r="Q18" s="19">
        <v>0</v>
      </c>
      <c r="R18" s="19">
        <v>0</v>
      </c>
      <c r="S18" s="19">
        <v>36</v>
      </c>
      <c r="T18" s="19">
        <v>11105</v>
      </c>
      <c r="U18" s="19">
        <v>0</v>
      </c>
      <c r="V18" s="19">
        <v>0</v>
      </c>
      <c r="W18" s="19">
        <v>2536</v>
      </c>
      <c r="X18" s="19">
        <v>284</v>
      </c>
      <c r="Y18" s="19">
        <v>70075</v>
      </c>
      <c r="Z18" s="19">
        <v>27947</v>
      </c>
      <c r="AA18" s="19">
        <v>17400</v>
      </c>
      <c r="AB18" s="19">
        <v>38845</v>
      </c>
      <c r="AC18" s="19">
        <v>0</v>
      </c>
      <c r="AD18" s="19">
        <v>8544</v>
      </c>
      <c r="AE18" s="19">
        <v>8330</v>
      </c>
      <c r="AF18" s="19">
        <v>0</v>
      </c>
      <c r="AG18" s="19">
        <v>64180</v>
      </c>
      <c r="AH18" s="19">
        <v>874</v>
      </c>
      <c r="AI18" s="19">
        <v>0</v>
      </c>
      <c r="AJ18" s="19">
        <v>0</v>
      </c>
      <c r="AK18" s="19">
        <v>0</v>
      </c>
      <c r="AL18" s="19">
        <v>0</v>
      </c>
      <c r="AM18" s="19">
        <v>26933</v>
      </c>
      <c r="AN18" s="19">
        <v>0</v>
      </c>
      <c r="AO18" s="19">
        <v>0</v>
      </c>
      <c r="AP18" s="19">
        <v>0</v>
      </c>
      <c r="AQ18" s="19">
        <v>0</v>
      </c>
      <c r="AR18" s="19">
        <v>62263</v>
      </c>
      <c r="AS18" s="19">
        <v>0</v>
      </c>
      <c r="AT18" s="19">
        <v>31648</v>
      </c>
      <c r="AU18" s="19">
        <v>298</v>
      </c>
      <c r="AV18" s="19">
        <v>1253</v>
      </c>
      <c r="AW18" s="19">
        <v>7040</v>
      </c>
      <c r="AX18" s="19">
        <v>0</v>
      </c>
      <c r="AY18" s="19">
        <v>0</v>
      </c>
      <c r="AZ18" s="19">
        <v>0</v>
      </c>
      <c r="BA18" s="19">
        <v>176</v>
      </c>
      <c r="BB18" s="19">
        <v>0</v>
      </c>
      <c r="BC18" s="19">
        <v>0</v>
      </c>
      <c r="BD18" s="19">
        <v>0</v>
      </c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>
        <v>0</v>
      </c>
      <c r="BM18" s="19">
        <v>0</v>
      </c>
      <c r="BN18" s="19">
        <v>0</v>
      </c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>
        <v>0</v>
      </c>
      <c r="BW18" s="19">
        <v>0</v>
      </c>
      <c r="BX18" s="19">
        <v>0</v>
      </c>
      <c r="BY18" s="19">
        <v>0</v>
      </c>
      <c r="BZ18" s="19">
        <v>0</v>
      </c>
      <c r="CA18" s="19">
        <v>0</v>
      </c>
      <c r="CB18" s="19">
        <v>0</v>
      </c>
      <c r="CC18" s="19">
        <v>0</v>
      </c>
      <c r="CD18" s="19">
        <v>0</v>
      </c>
      <c r="CE18" s="19">
        <v>0</v>
      </c>
      <c r="CF18" s="19">
        <v>0</v>
      </c>
      <c r="CG18" s="19">
        <v>0</v>
      </c>
      <c r="CH18" s="19">
        <v>0</v>
      </c>
      <c r="CI18" s="19">
        <v>0</v>
      </c>
      <c r="CJ18" s="19">
        <v>0</v>
      </c>
      <c r="CK18" s="19">
        <v>0</v>
      </c>
      <c r="CL18" s="19">
        <v>0</v>
      </c>
      <c r="CM18" s="19">
        <v>0</v>
      </c>
      <c r="CN18" s="19">
        <v>0</v>
      </c>
      <c r="CO18" s="19">
        <v>0</v>
      </c>
      <c r="CP18" s="19">
        <v>0</v>
      </c>
      <c r="CQ18" s="19">
        <v>0</v>
      </c>
      <c r="CR18" s="19">
        <v>0</v>
      </c>
      <c r="CS18" s="19">
        <v>0</v>
      </c>
      <c r="CT18" s="19">
        <v>0</v>
      </c>
      <c r="CU18" s="19">
        <v>0</v>
      </c>
      <c r="CV18" s="19">
        <v>0</v>
      </c>
      <c r="CW18" s="19">
        <v>0</v>
      </c>
      <c r="CX18" s="19">
        <v>0</v>
      </c>
      <c r="CY18" s="19">
        <v>0</v>
      </c>
      <c r="CZ18" s="19">
        <v>0</v>
      </c>
      <c r="DA18" s="19">
        <v>0</v>
      </c>
      <c r="DB18" s="19">
        <v>0</v>
      </c>
      <c r="DC18" s="19">
        <v>0</v>
      </c>
      <c r="DD18" s="19">
        <v>0</v>
      </c>
      <c r="DE18" s="19">
        <v>0</v>
      </c>
      <c r="DF18" s="19">
        <v>0</v>
      </c>
      <c r="DG18" s="19">
        <v>0</v>
      </c>
      <c r="DH18" s="19">
        <v>0</v>
      </c>
      <c r="DI18" s="19">
        <v>0</v>
      </c>
      <c r="DJ18" s="19">
        <v>0</v>
      </c>
      <c r="DK18" s="19">
        <v>0</v>
      </c>
      <c r="DL18" s="19">
        <v>0</v>
      </c>
      <c r="DM18" s="19">
        <v>0</v>
      </c>
      <c r="DN18" s="19">
        <v>0</v>
      </c>
      <c r="DO18" s="19">
        <v>0</v>
      </c>
      <c r="DP18" s="19">
        <v>0</v>
      </c>
      <c r="DQ18" s="19">
        <v>0</v>
      </c>
      <c r="DR18" s="19">
        <v>0</v>
      </c>
      <c r="DS18" s="19">
        <v>0</v>
      </c>
      <c r="DT18" s="19">
        <v>0</v>
      </c>
      <c r="DU18" s="19">
        <v>0</v>
      </c>
      <c r="DV18" s="19">
        <v>0</v>
      </c>
      <c r="DW18" s="19">
        <v>0</v>
      </c>
      <c r="DX18" s="19">
        <v>0</v>
      </c>
      <c r="DY18" s="19">
        <v>0</v>
      </c>
      <c r="DZ18" s="19">
        <v>0</v>
      </c>
      <c r="EA18" s="19">
        <v>0</v>
      </c>
      <c r="EB18" s="19">
        <v>0</v>
      </c>
      <c r="EC18" s="19">
        <v>0</v>
      </c>
      <c r="ED18" s="19">
        <v>0</v>
      </c>
      <c r="EE18" s="19">
        <v>0</v>
      </c>
      <c r="EF18" s="19">
        <v>0</v>
      </c>
      <c r="EG18" s="19">
        <v>0</v>
      </c>
      <c r="EH18" s="19">
        <v>0</v>
      </c>
      <c r="EI18" s="19">
        <v>0</v>
      </c>
      <c r="EJ18" s="19">
        <v>0</v>
      </c>
      <c r="EK18" s="19">
        <v>0</v>
      </c>
      <c r="EL18" s="19">
        <v>0</v>
      </c>
      <c r="EM18" s="19">
        <v>0</v>
      </c>
      <c r="EN18" s="19">
        <v>0</v>
      </c>
      <c r="EO18" s="19">
        <v>0</v>
      </c>
      <c r="EP18" s="19">
        <v>0</v>
      </c>
      <c r="EQ18" s="19">
        <v>0</v>
      </c>
      <c r="ER18" s="19">
        <v>0</v>
      </c>
      <c r="ES18" s="19">
        <v>0</v>
      </c>
      <c r="ET18" s="19">
        <v>0</v>
      </c>
      <c r="EU18" s="19">
        <v>0</v>
      </c>
      <c r="EV18" s="19">
        <v>0</v>
      </c>
      <c r="EW18" s="19">
        <v>0</v>
      </c>
      <c r="EX18" s="19">
        <v>0</v>
      </c>
      <c r="EY18" s="19">
        <v>0</v>
      </c>
      <c r="EZ18" s="19">
        <v>0</v>
      </c>
      <c r="FA18" s="19">
        <v>0</v>
      </c>
      <c r="FB18" s="19">
        <v>0</v>
      </c>
      <c r="FC18" s="19">
        <v>0</v>
      </c>
      <c r="FD18" s="19">
        <v>0</v>
      </c>
      <c r="FE18" s="19">
        <v>0</v>
      </c>
      <c r="FF18" s="19">
        <v>0</v>
      </c>
      <c r="FG18" s="19">
        <v>0</v>
      </c>
      <c r="FH18" s="19">
        <v>0</v>
      </c>
      <c r="FI18" s="19">
        <v>0</v>
      </c>
      <c r="FJ18" s="19">
        <v>0</v>
      </c>
      <c r="FK18" s="19">
        <v>0</v>
      </c>
      <c r="FL18" s="19">
        <v>0</v>
      </c>
      <c r="FM18" s="19">
        <v>0</v>
      </c>
      <c r="FN18" s="19">
        <v>0</v>
      </c>
      <c r="FO18" s="19">
        <v>0</v>
      </c>
      <c r="FP18" s="19">
        <v>0</v>
      </c>
      <c r="FQ18" s="19">
        <v>0</v>
      </c>
      <c r="FR18" s="19">
        <v>0</v>
      </c>
      <c r="FS18" s="19">
        <v>0</v>
      </c>
      <c r="FT18" s="19">
        <v>0</v>
      </c>
      <c r="FU18" s="19">
        <v>0</v>
      </c>
      <c r="FV18" s="19">
        <v>0</v>
      </c>
      <c r="FW18" s="19">
        <v>0</v>
      </c>
      <c r="FX18" s="19">
        <v>0</v>
      </c>
      <c r="FY18" s="129">
        <v>0</v>
      </c>
      <c r="FZ18" s="129">
        <v>0</v>
      </c>
      <c r="GA18" s="129">
        <v>0</v>
      </c>
      <c r="GB18" s="129">
        <v>0</v>
      </c>
      <c r="GC18" s="129">
        <v>0</v>
      </c>
      <c r="GD18" s="129">
        <v>0</v>
      </c>
      <c r="GE18" s="129">
        <v>0</v>
      </c>
      <c r="GF18" s="129">
        <v>0</v>
      </c>
      <c r="GG18" s="129">
        <v>0</v>
      </c>
      <c r="GH18" s="129">
        <v>0</v>
      </c>
      <c r="GI18" s="129">
        <v>0</v>
      </c>
      <c r="GJ18" s="129">
        <v>0</v>
      </c>
      <c r="GK18" s="129">
        <v>0</v>
      </c>
      <c r="GL18" s="129">
        <v>0</v>
      </c>
      <c r="GM18" s="129">
        <v>0</v>
      </c>
      <c r="GN18" s="129">
        <v>0</v>
      </c>
      <c r="GO18" s="129">
        <v>0</v>
      </c>
      <c r="GP18" s="129">
        <v>0</v>
      </c>
      <c r="GQ18" s="129">
        <v>0</v>
      </c>
      <c r="GR18" s="129">
        <v>0</v>
      </c>
      <c r="GS18" s="129">
        <v>0</v>
      </c>
      <c r="GT18" s="129">
        <v>0</v>
      </c>
      <c r="GU18" s="129">
        <v>0</v>
      </c>
      <c r="GV18" s="129">
        <v>0</v>
      </c>
      <c r="GW18" s="129">
        <v>0</v>
      </c>
      <c r="GX18" s="129">
        <v>0</v>
      </c>
      <c r="GY18" s="129">
        <v>0</v>
      </c>
      <c r="GZ18" s="129">
        <v>0</v>
      </c>
      <c r="HA18" s="129">
        <v>0</v>
      </c>
      <c r="HB18" s="129">
        <v>0</v>
      </c>
      <c r="HC18" s="19">
        <v>0</v>
      </c>
      <c r="HD18" s="19">
        <v>0</v>
      </c>
      <c r="HE18" s="19">
        <v>0</v>
      </c>
      <c r="HF18" s="19">
        <v>0</v>
      </c>
      <c r="HG18" s="19">
        <v>0</v>
      </c>
      <c r="HH18" s="19">
        <v>0</v>
      </c>
      <c r="HI18" s="19">
        <v>0</v>
      </c>
      <c r="HJ18" s="19">
        <v>0</v>
      </c>
      <c r="HK18" s="19">
        <v>0</v>
      </c>
      <c r="HL18" s="19">
        <v>0</v>
      </c>
      <c r="HM18" s="19">
        <v>0</v>
      </c>
      <c r="HN18" s="19">
        <v>0</v>
      </c>
      <c r="HO18" s="19">
        <v>0</v>
      </c>
      <c r="HP18" s="19">
        <v>0</v>
      </c>
      <c r="HQ18" s="19">
        <v>0</v>
      </c>
      <c r="HR18" s="19">
        <v>0</v>
      </c>
      <c r="HS18" s="19">
        <v>0</v>
      </c>
      <c r="HT18" s="19">
        <v>0</v>
      </c>
      <c r="HU18" s="19">
        <v>0</v>
      </c>
      <c r="HV18" s="19">
        <v>0</v>
      </c>
      <c r="HW18" s="19">
        <v>0</v>
      </c>
      <c r="HX18" s="19">
        <v>0</v>
      </c>
      <c r="HY18" s="19">
        <v>0</v>
      </c>
      <c r="HZ18" s="19">
        <v>0</v>
      </c>
      <c r="IA18" s="19">
        <v>0</v>
      </c>
      <c r="IB18" s="19">
        <v>0</v>
      </c>
      <c r="IC18" s="19">
        <v>0</v>
      </c>
      <c r="ID18" s="19">
        <v>0</v>
      </c>
      <c r="IE18" s="19">
        <v>0</v>
      </c>
      <c r="IF18" s="19">
        <v>0</v>
      </c>
      <c r="IG18" s="19">
        <v>0</v>
      </c>
      <c r="IH18" s="19">
        <v>0</v>
      </c>
      <c r="II18" s="19">
        <v>0</v>
      </c>
      <c r="IJ18" s="19">
        <v>0</v>
      </c>
      <c r="IK18" s="19">
        <v>0</v>
      </c>
      <c r="IL18" s="19">
        <v>0</v>
      </c>
      <c r="IM18" s="19">
        <v>0</v>
      </c>
      <c r="IN18" s="19">
        <v>0</v>
      </c>
      <c r="IO18" s="19">
        <v>0</v>
      </c>
      <c r="IP18" s="19">
        <v>0</v>
      </c>
      <c r="IQ18" s="19">
        <v>0</v>
      </c>
      <c r="IR18" s="19">
        <v>0</v>
      </c>
      <c r="IS18" s="19">
        <v>0</v>
      </c>
      <c r="IT18" s="19">
        <v>0</v>
      </c>
      <c r="IU18" s="19">
        <v>0</v>
      </c>
      <c r="IV18" s="19">
        <v>0</v>
      </c>
      <c r="IW18" s="19">
        <v>0</v>
      </c>
      <c r="IX18" s="19">
        <v>0</v>
      </c>
      <c r="IY18" s="19">
        <v>0</v>
      </c>
      <c r="IZ18" s="19">
        <v>0</v>
      </c>
      <c r="JA18" s="19">
        <v>0</v>
      </c>
      <c r="JB18" s="19">
        <v>0</v>
      </c>
      <c r="JC18" s="19">
        <v>0</v>
      </c>
      <c r="JD18" s="19">
        <v>0</v>
      </c>
      <c r="JE18" s="19">
        <v>0</v>
      </c>
      <c r="JF18" s="19">
        <v>0</v>
      </c>
      <c r="JG18" s="19">
        <v>0</v>
      </c>
      <c r="JH18" s="19">
        <v>0</v>
      </c>
      <c r="JI18" s="19">
        <v>0</v>
      </c>
      <c r="JJ18" s="19">
        <v>0</v>
      </c>
      <c r="JK18" s="19">
        <v>0</v>
      </c>
      <c r="JL18" s="19">
        <v>0</v>
      </c>
      <c r="JM18" s="19">
        <v>0</v>
      </c>
      <c r="JN18" s="19">
        <v>0</v>
      </c>
      <c r="JO18" s="19">
        <v>0</v>
      </c>
      <c r="JP18" s="19">
        <v>0</v>
      </c>
      <c r="JQ18" s="19">
        <v>0</v>
      </c>
      <c r="JR18" s="19">
        <v>0</v>
      </c>
      <c r="JS18" s="19">
        <v>0</v>
      </c>
      <c r="JT18" s="19">
        <v>0</v>
      </c>
      <c r="JU18" s="19">
        <v>0</v>
      </c>
      <c r="JV18" s="19">
        <v>0</v>
      </c>
      <c r="JW18" s="19">
        <v>0</v>
      </c>
      <c r="JX18" s="19">
        <v>0</v>
      </c>
      <c r="JY18" s="19">
        <v>0</v>
      </c>
      <c r="JZ18" s="19">
        <v>0</v>
      </c>
      <c r="KA18" s="19">
        <v>0</v>
      </c>
      <c r="KB18" s="19">
        <v>0</v>
      </c>
      <c r="KC18" s="19">
        <v>0</v>
      </c>
      <c r="KD18" s="19">
        <v>0</v>
      </c>
      <c r="KE18" s="19">
        <v>0</v>
      </c>
      <c r="KF18" s="19">
        <v>0</v>
      </c>
      <c r="KG18" s="19">
        <v>0</v>
      </c>
      <c r="KH18" s="19">
        <v>0</v>
      </c>
      <c r="KI18" s="19">
        <v>0</v>
      </c>
      <c r="KJ18" s="19">
        <v>0</v>
      </c>
      <c r="KK18" s="19">
        <v>0</v>
      </c>
      <c r="KL18" s="19">
        <v>0</v>
      </c>
      <c r="KM18" s="19">
        <v>0</v>
      </c>
      <c r="KN18" s="19">
        <v>0</v>
      </c>
      <c r="KO18" s="19">
        <v>0</v>
      </c>
      <c r="KP18" s="19">
        <v>0</v>
      </c>
      <c r="KQ18" s="19">
        <v>0</v>
      </c>
      <c r="KR18" s="19">
        <v>0</v>
      </c>
      <c r="KS18" s="19">
        <v>0</v>
      </c>
      <c r="KT18" s="19">
        <v>0</v>
      </c>
      <c r="KU18" s="19">
        <v>0</v>
      </c>
      <c r="KV18" s="19">
        <v>0</v>
      </c>
      <c r="KW18" s="19">
        <v>0</v>
      </c>
      <c r="KX18" s="19">
        <v>0</v>
      </c>
      <c r="KY18" s="19">
        <v>0</v>
      </c>
      <c r="KZ18" s="19">
        <v>0</v>
      </c>
      <c r="LA18" s="19">
        <v>0</v>
      </c>
      <c r="LB18" s="19">
        <v>0</v>
      </c>
      <c r="LC18" s="19">
        <v>0</v>
      </c>
      <c r="LD18" s="19">
        <v>0</v>
      </c>
      <c r="LE18" s="19">
        <v>0</v>
      </c>
      <c r="LF18" s="19">
        <v>0</v>
      </c>
      <c r="LG18" s="19">
        <v>0</v>
      </c>
      <c r="LH18" s="19">
        <v>0</v>
      </c>
      <c r="LI18" s="19">
        <v>0</v>
      </c>
      <c r="LJ18" s="19">
        <v>0</v>
      </c>
      <c r="LK18" s="19">
        <v>0</v>
      </c>
      <c r="LL18" s="19">
        <v>0</v>
      </c>
      <c r="LM18" s="19">
        <v>0</v>
      </c>
      <c r="LN18" s="19">
        <v>0</v>
      </c>
      <c r="LO18" s="19">
        <v>0</v>
      </c>
      <c r="LP18" s="19">
        <v>0</v>
      </c>
      <c r="LQ18" s="19">
        <v>0</v>
      </c>
      <c r="LR18" s="19">
        <v>0</v>
      </c>
      <c r="LS18" s="19">
        <v>0</v>
      </c>
      <c r="LT18" s="19">
        <v>0</v>
      </c>
      <c r="LU18" s="19">
        <v>0</v>
      </c>
      <c r="LV18" s="19">
        <v>0</v>
      </c>
      <c r="LW18" s="19">
        <v>0</v>
      </c>
      <c r="LX18" s="19">
        <v>0</v>
      </c>
      <c r="LY18" s="19">
        <v>0</v>
      </c>
      <c r="LZ18" s="19">
        <v>0</v>
      </c>
      <c r="MA18" s="19">
        <v>0</v>
      </c>
      <c r="MB18" s="19">
        <v>0</v>
      </c>
      <c r="MC18" s="19">
        <v>0</v>
      </c>
      <c r="MD18" s="19">
        <v>0</v>
      </c>
      <c r="ME18" s="19">
        <v>0</v>
      </c>
      <c r="MF18" s="19">
        <v>0</v>
      </c>
      <c r="MG18" s="19">
        <v>0</v>
      </c>
      <c r="MH18" s="19">
        <v>0</v>
      </c>
      <c r="MI18" s="19">
        <v>0</v>
      </c>
      <c r="MJ18" s="19">
        <v>0</v>
      </c>
      <c r="MK18" s="19">
        <v>0</v>
      </c>
      <c r="ML18" s="19">
        <v>0</v>
      </c>
      <c r="MM18" s="19">
        <v>0</v>
      </c>
      <c r="MN18" s="19">
        <v>0</v>
      </c>
      <c r="MO18" s="19">
        <v>0</v>
      </c>
      <c r="MP18" s="19">
        <v>0</v>
      </c>
      <c r="MQ18" s="19">
        <v>0</v>
      </c>
      <c r="MR18" s="19">
        <v>0</v>
      </c>
      <c r="MS18" s="19">
        <v>0</v>
      </c>
      <c r="MT18" s="19">
        <v>0</v>
      </c>
      <c r="MU18" s="19">
        <v>0</v>
      </c>
      <c r="MV18" s="19">
        <v>0</v>
      </c>
      <c r="MW18" s="19">
        <v>0</v>
      </c>
      <c r="MX18" s="19">
        <v>0</v>
      </c>
      <c r="MY18" s="19">
        <v>0</v>
      </c>
      <c r="MZ18" s="19">
        <v>0</v>
      </c>
      <c r="NA18" s="19">
        <v>0</v>
      </c>
      <c r="NB18" s="19">
        <v>0</v>
      </c>
      <c r="NC18" s="19">
        <v>0</v>
      </c>
      <c r="ND18" s="19">
        <v>0</v>
      </c>
      <c r="NE18" s="19">
        <v>0</v>
      </c>
      <c r="NF18" s="19">
        <v>0</v>
      </c>
      <c r="NG18" s="19">
        <v>0</v>
      </c>
      <c r="NH18" s="19">
        <v>0</v>
      </c>
      <c r="NI18" s="19">
        <v>0</v>
      </c>
      <c r="NJ18" s="19">
        <v>0</v>
      </c>
      <c r="NK18" s="19">
        <v>0</v>
      </c>
      <c r="NL18" s="19">
        <v>0</v>
      </c>
      <c r="NM18" s="19">
        <v>0</v>
      </c>
      <c r="NN18" s="19">
        <v>0</v>
      </c>
      <c r="NO18" s="19">
        <v>0</v>
      </c>
      <c r="NP18" s="19">
        <v>0</v>
      </c>
      <c r="NQ18" s="19">
        <v>0</v>
      </c>
      <c r="NR18" s="19">
        <v>0</v>
      </c>
      <c r="NS18" s="19">
        <v>0</v>
      </c>
      <c r="NT18" s="19">
        <v>0</v>
      </c>
      <c r="NU18" s="19">
        <v>0</v>
      </c>
      <c r="NV18" s="19">
        <v>0</v>
      </c>
      <c r="NW18" s="19">
        <v>0</v>
      </c>
      <c r="NX18" s="19">
        <v>0</v>
      </c>
      <c r="NY18" s="19">
        <v>0</v>
      </c>
      <c r="NZ18" s="19">
        <v>0</v>
      </c>
      <c r="OA18" s="19">
        <v>0</v>
      </c>
      <c r="OB18" s="19">
        <v>0</v>
      </c>
      <c r="OC18" s="19">
        <v>0</v>
      </c>
      <c r="OD18" s="19">
        <v>0</v>
      </c>
      <c r="OE18" s="19">
        <v>0</v>
      </c>
      <c r="OF18" s="19">
        <v>0</v>
      </c>
      <c r="OG18" s="19">
        <v>0</v>
      </c>
      <c r="OH18" s="19">
        <v>0</v>
      </c>
      <c r="OI18" s="19">
        <v>0</v>
      </c>
      <c r="OJ18" s="19">
        <v>0</v>
      </c>
      <c r="OK18" s="19">
        <v>0</v>
      </c>
      <c r="OL18" s="19">
        <v>0</v>
      </c>
      <c r="OM18" s="19">
        <v>0</v>
      </c>
      <c r="ON18" s="19">
        <v>0</v>
      </c>
      <c r="OO18" s="19">
        <v>0</v>
      </c>
      <c r="OP18" s="19">
        <v>0</v>
      </c>
      <c r="OQ18" s="19">
        <v>0</v>
      </c>
      <c r="OR18" s="19">
        <v>0</v>
      </c>
      <c r="OS18" s="19">
        <v>0</v>
      </c>
      <c r="OT18" s="19">
        <v>0</v>
      </c>
      <c r="OU18" s="19">
        <v>0</v>
      </c>
      <c r="OV18" s="19">
        <v>0</v>
      </c>
      <c r="OW18" s="19">
        <v>0</v>
      </c>
      <c r="OX18" s="19">
        <v>0</v>
      </c>
      <c r="OY18" s="19">
        <v>0</v>
      </c>
      <c r="OZ18" s="19">
        <v>0</v>
      </c>
      <c r="PA18" s="19">
        <v>0</v>
      </c>
      <c r="PB18" s="19">
        <v>0</v>
      </c>
      <c r="PC18" s="19">
        <v>0</v>
      </c>
      <c r="PD18" s="19">
        <v>0</v>
      </c>
      <c r="PE18" s="19">
        <v>0</v>
      </c>
      <c r="PF18" s="19">
        <v>0</v>
      </c>
      <c r="PG18" s="19">
        <v>0</v>
      </c>
      <c r="PH18" s="19">
        <v>0</v>
      </c>
      <c r="PI18" s="19">
        <v>0</v>
      </c>
      <c r="PJ18" s="19">
        <v>0</v>
      </c>
      <c r="PK18" s="19">
        <v>0</v>
      </c>
      <c r="PL18" s="19">
        <v>0</v>
      </c>
      <c r="PM18" s="19">
        <v>0</v>
      </c>
      <c r="PN18" s="19">
        <v>0</v>
      </c>
      <c r="PO18" s="19">
        <v>0</v>
      </c>
      <c r="PP18" s="19">
        <v>0</v>
      </c>
      <c r="PQ18" s="19">
        <v>0</v>
      </c>
      <c r="PR18" s="19">
        <v>0</v>
      </c>
      <c r="PS18" s="19">
        <v>0</v>
      </c>
      <c r="PT18" s="19">
        <v>0</v>
      </c>
      <c r="PU18" s="19">
        <v>0</v>
      </c>
      <c r="PV18" s="19">
        <v>0</v>
      </c>
      <c r="PW18" s="19">
        <v>0</v>
      </c>
      <c r="PX18" s="19">
        <v>0</v>
      </c>
      <c r="PY18" s="19">
        <v>0</v>
      </c>
      <c r="PZ18" s="19">
        <v>0</v>
      </c>
      <c r="QA18" s="19">
        <v>0</v>
      </c>
      <c r="QB18" s="19">
        <v>0</v>
      </c>
      <c r="QC18" s="19">
        <v>0</v>
      </c>
      <c r="QD18" s="19">
        <v>0</v>
      </c>
      <c r="QE18" s="19">
        <v>0</v>
      </c>
      <c r="QF18" s="19">
        <v>0</v>
      </c>
      <c r="QG18" s="19">
        <v>0</v>
      </c>
      <c r="QH18" s="19">
        <v>0</v>
      </c>
      <c r="QI18" s="19">
        <v>0</v>
      </c>
      <c r="QJ18" s="19">
        <v>0</v>
      </c>
      <c r="QK18" s="19">
        <v>0</v>
      </c>
      <c r="QL18" s="19">
        <v>0</v>
      </c>
      <c r="QM18" s="19">
        <v>0</v>
      </c>
      <c r="QN18" s="19">
        <v>0</v>
      </c>
      <c r="QO18" s="19">
        <v>0</v>
      </c>
      <c r="QP18" s="19">
        <v>0</v>
      </c>
      <c r="QQ18" s="19">
        <v>0</v>
      </c>
      <c r="QR18" s="19">
        <v>0</v>
      </c>
      <c r="QS18" s="19">
        <v>0</v>
      </c>
      <c r="QT18" s="19">
        <v>0</v>
      </c>
      <c r="QU18" s="19">
        <v>0</v>
      </c>
      <c r="QV18" s="19">
        <v>0</v>
      </c>
      <c r="QW18" s="19">
        <v>0</v>
      </c>
      <c r="QX18" s="19">
        <v>0</v>
      </c>
      <c r="QY18" s="19">
        <v>0</v>
      </c>
      <c r="QZ18" s="19">
        <v>0</v>
      </c>
      <c r="RA18" s="19">
        <v>0</v>
      </c>
      <c r="RB18" s="19">
        <v>0</v>
      </c>
      <c r="RC18" s="19">
        <v>0</v>
      </c>
      <c r="RD18" s="19">
        <v>0</v>
      </c>
      <c r="RE18" s="19">
        <v>0</v>
      </c>
      <c r="RF18" s="19">
        <v>0</v>
      </c>
      <c r="RG18" s="19">
        <v>0</v>
      </c>
      <c r="RH18" s="19">
        <v>0</v>
      </c>
      <c r="RI18" s="19">
        <v>0</v>
      </c>
      <c r="RJ18" s="19">
        <v>0</v>
      </c>
      <c r="RK18" s="19">
        <v>0</v>
      </c>
      <c r="RL18" s="19">
        <v>0</v>
      </c>
      <c r="RM18" s="19">
        <v>0</v>
      </c>
      <c r="RN18" s="19">
        <v>0</v>
      </c>
      <c r="RO18" s="19">
        <v>0</v>
      </c>
      <c r="RP18" s="19">
        <v>0</v>
      </c>
      <c r="RQ18" s="19">
        <v>0</v>
      </c>
      <c r="RR18" s="19">
        <v>0</v>
      </c>
      <c r="RS18" s="19">
        <v>0</v>
      </c>
      <c r="RT18" s="19">
        <v>0</v>
      </c>
      <c r="RU18" s="19">
        <v>0</v>
      </c>
      <c r="RV18" s="19">
        <v>0</v>
      </c>
      <c r="RW18" s="19">
        <v>0</v>
      </c>
      <c r="RX18" s="19">
        <v>0</v>
      </c>
      <c r="RY18" s="19">
        <v>0</v>
      </c>
      <c r="RZ18" s="19">
        <v>0</v>
      </c>
      <c r="SA18" s="19">
        <v>0</v>
      </c>
      <c r="SB18" s="19">
        <v>0</v>
      </c>
      <c r="SC18" s="19">
        <v>0</v>
      </c>
      <c r="SD18" s="19">
        <v>0</v>
      </c>
      <c r="SE18" s="19">
        <v>0</v>
      </c>
      <c r="SF18" s="19">
        <v>0</v>
      </c>
      <c r="SG18" s="19">
        <v>0</v>
      </c>
      <c r="SH18" s="19">
        <v>0</v>
      </c>
      <c r="SI18" s="19">
        <v>0</v>
      </c>
      <c r="SJ18" s="19">
        <v>0</v>
      </c>
      <c r="SK18" s="19">
        <v>0</v>
      </c>
      <c r="SL18" s="19">
        <v>0</v>
      </c>
      <c r="SM18" s="19">
        <v>0</v>
      </c>
      <c r="SN18" s="19">
        <v>0</v>
      </c>
      <c r="SO18" s="19">
        <v>0</v>
      </c>
      <c r="SP18" s="19">
        <v>0</v>
      </c>
      <c r="SQ18" s="19">
        <v>0</v>
      </c>
      <c r="SR18" s="19">
        <v>0</v>
      </c>
      <c r="SS18" s="19">
        <v>0</v>
      </c>
      <c r="ST18" s="19">
        <v>0</v>
      </c>
      <c r="SU18" s="19">
        <v>0</v>
      </c>
      <c r="SV18" s="19">
        <v>0</v>
      </c>
      <c r="SW18" s="19">
        <v>0</v>
      </c>
      <c r="SX18" s="19">
        <v>0</v>
      </c>
      <c r="SY18" s="19">
        <v>0</v>
      </c>
      <c r="SZ18" s="19">
        <v>0</v>
      </c>
      <c r="TA18" s="19">
        <v>0</v>
      </c>
      <c r="TB18" s="19">
        <v>0</v>
      </c>
      <c r="TC18" s="19">
        <v>0</v>
      </c>
      <c r="TD18" s="19">
        <v>0</v>
      </c>
      <c r="TE18" s="19">
        <v>0</v>
      </c>
      <c r="TF18" s="19">
        <v>0</v>
      </c>
      <c r="TG18" s="19">
        <v>0</v>
      </c>
      <c r="TH18" s="19">
        <v>0</v>
      </c>
      <c r="TI18" s="19">
        <v>0</v>
      </c>
      <c r="TJ18" s="19">
        <v>0</v>
      </c>
      <c r="TK18" s="19">
        <v>0</v>
      </c>
      <c r="TL18" s="19">
        <v>0</v>
      </c>
      <c r="TM18" s="19">
        <v>0</v>
      </c>
      <c r="TN18" s="19">
        <v>0</v>
      </c>
      <c r="TO18" s="19">
        <v>0</v>
      </c>
      <c r="TP18" s="19">
        <v>0</v>
      </c>
      <c r="TQ18" s="19">
        <v>0</v>
      </c>
      <c r="TR18" s="19">
        <v>0</v>
      </c>
      <c r="TS18" s="19">
        <v>0</v>
      </c>
      <c r="TT18" s="19">
        <v>0</v>
      </c>
      <c r="TU18" s="19">
        <v>0</v>
      </c>
      <c r="TV18" s="19">
        <v>0</v>
      </c>
      <c r="TW18" s="19">
        <v>0</v>
      </c>
      <c r="TX18" s="19">
        <v>0</v>
      </c>
      <c r="TY18" s="19">
        <v>0</v>
      </c>
      <c r="TZ18" s="19">
        <v>0</v>
      </c>
      <c r="UA18" s="19">
        <v>0</v>
      </c>
      <c r="UB18" s="19">
        <v>0</v>
      </c>
      <c r="UC18" s="19">
        <v>0</v>
      </c>
      <c r="UD18" s="19">
        <v>0</v>
      </c>
      <c r="UE18" s="19">
        <v>0</v>
      </c>
      <c r="UF18" s="19">
        <v>0</v>
      </c>
      <c r="UG18" s="19">
        <v>0</v>
      </c>
      <c r="UH18" s="19">
        <v>0</v>
      </c>
      <c r="UI18" s="19">
        <v>0</v>
      </c>
      <c r="UJ18" s="19">
        <v>0</v>
      </c>
      <c r="UK18" s="19">
        <v>0</v>
      </c>
      <c r="UL18" s="19">
        <v>0</v>
      </c>
      <c r="UM18" s="19">
        <v>0</v>
      </c>
      <c r="UN18" s="19">
        <v>0</v>
      </c>
      <c r="UO18" s="19">
        <v>0</v>
      </c>
      <c r="UP18" s="19">
        <v>0</v>
      </c>
      <c r="UQ18" s="19">
        <v>0</v>
      </c>
      <c r="UR18" s="19">
        <v>0</v>
      </c>
      <c r="US18" s="19">
        <v>0</v>
      </c>
      <c r="UT18" s="19">
        <v>0</v>
      </c>
      <c r="UU18" s="19">
        <v>0</v>
      </c>
      <c r="UV18" s="19">
        <v>0</v>
      </c>
      <c r="UW18" s="19">
        <v>0</v>
      </c>
      <c r="UX18" s="19">
        <v>0</v>
      </c>
      <c r="UY18" s="19">
        <v>0</v>
      </c>
      <c r="UZ18" s="19">
        <v>0</v>
      </c>
      <c r="VA18" s="19">
        <v>0</v>
      </c>
      <c r="VB18" s="19">
        <v>0</v>
      </c>
      <c r="VC18" s="19">
        <v>0</v>
      </c>
      <c r="VD18" s="19">
        <v>0</v>
      </c>
      <c r="VE18" s="19">
        <v>0</v>
      </c>
      <c r="VF18" s="19">
        <v>0</v>
      </c>
      <c r="VG18" s="19">
        <v>0</v>
      </c>
      <c r="VH18" s="19">
        <v>0</v>
      </c>
      <c r="VI18" s="19">
        <v>0</v>
      </c>
      <c r="VJ18" s="19">
        <v>0</v>
      </c>
      <c r="VK18" s="19">
        <v>0</v>
      </c>
      <c r="VL18" s="19">
        <v>0</v>
      </c>
      <c r="VM18" s="19">
        <v>0</v>
      </c>
      <c r="VN18" s="19">
        <v>0</v>
      </c>
      <c r="VO18" s="19">
        <v>0</v>
      </c>
      <c r="VP18" s="19">
        <v>0</v>
      </c>
      <c r="VQ18" s="19">
        <v>0</v>
      </c>
      <c r="VR18" s="19">
        <v>0</v>
      </c>
      <c r="VS18" s="19">
        <v>0</v>
      </c>
      <c r="VT18" s="19">
        <v>0</v>
      </c>
      <c r="VU18" s="19">
        <v>0</v>
      </c>
      <c r="VV18" s="19">
        <v>0</v>
      </c>
      <c r="VW18" s="19">
        <v>0</v>
      </c>
      <c r="VX18" s="19">
        <v>0</v>
      </c>
      <c r="VY18" s="19">
        <v>0</v>
      </c>
      <c r="VZ18" s="19">
        <v>0</v>
      </c>
      <c r="WA18" s="19">
        <v>0</v>
      </c>
      <c r="WB18" s="19">
        <v>0</v>
      </c>
      <c r="WC18" s="19">
        <v>0</v>
      </c>
      <c r="WD18" s="19">
        <v>0</v>
      </c>
      <c r="WE18" s="19">
        <v>0</v>
      </c>
      <c r="WF18" s="19">
        <v>0</v>
      </c>
      <c r="WG18" s="19">
        <v>0</v>
      </c>
      <c r="WH18" s="19">
        <v>0</v>
      </c>
      <c r="WI18" s="19">
        <v>0</v>
      </c>
      <c r="WJ18" s="19">
        <v>0</v>
      </c>
      <c r="WK18" s="19">
        <v>0</v>
      </c>
      <c r="WL18" s="19">
        <v>0</v>
      </c>
      <c r="WM18" s="19">
        <v>0</v>
      </c>
      <c r="WN18" s="19">
        <v>0</v>
      </c>
      <c r="WO18" s="19">
        <v>0</v>
      </c>
      <c r="WP18" s="19">
        <v>0</v>
      </c>
      <c r="WQ18" s="19">
        <v>0</v>
      </c>
      <c r="WR18" s="19">
        <v>0</v>
      </c>
      <c r="WS18" s="19">
        <v>0</v>
      </c>
      <c r="WT18" s="19">
        <v>0</v>
      </c>
      <c r="WU18" s="19">
        <v>0</v>
      </c>
      <c r="WV18" s="19">
        <v>0</v>
      </c>
      <c r="WW18" s="19">
        <v>0</v>
      </c>
      <c r="WX18" s="19">
        <v>0</v>
      </c>
      <c r="WY18" s="19">
        <v>0</v>
      </c>
      <c r="WZ18" s="19">
        <v>0</v>
      </c>
      <c r="XA18" s="19">
        <v>0</v>
      </c>
      <c r="XB18" s="19">
        <v>0</v>
      </c>
      <c r="XC18" s="19">
        <v>0</v>
      </c>
      <c r="XD18" s="19">
        <v>0</v>
      </c>
      <c r="XE18" s="19">
        <v>0</v>
      </c>
      <c r="XF18" s="19">
        <v>0</v>
      </c>
      <c r="XG18" s="19">
        <v>0</v>
      </c>
      <c r="XH18" s="19">
        <v>0</v>
      </c>
      <c r="XI18" s="19">
        <v>0</v>
      </c>
      <c r="XJ18" s="19">
        <v>0</v>
      </c>
      <c r="XK18" s="19">
        <v>0</v>
      </c>
      <c r="XL18" s="19">
        <v>0</v>
      </c>
      <c r="XM18" s="19">
        <v>0</v>
      </c>
      <c r="XN18" s="19">
        <v>0</v>
      </c>
      <c r="XO18" s="19">
        <v>0</v>
      </c>
      <c r="XP18" s="19">
        <v>0</v>
      </c>
      <c r="XQ18" s="19">
        <v>0</v>
      </c>
      <c r="XR18" s="19">
        <v>0</v>
      </c>
      <c r="XS18" s="19">
        <v>0</v>
      </c>
      <c r="XT18" s="19">
        <v>0</v>
      </c>
      <c r="XU18" s="19">
        <v>0</v>
      </c>
      <c r="XV18" s="19">
        <v>0</v>
      </c>
      <c r="XW18" s="19">
        <v>0</v>
      </c>
      <c r="XX18" s="19">
        <v>0</v>
      </c>
      <c r="XY18" s="19">
        <v>0</v>
      </c>
      <c r="XZ18" s="19">
        <v>0</v>
      </c>
      <c r="YA18" s="19">
        <v>0</v>
      </c>
      <c r="YB18" s="19">
        <v>0</v>
      </c>
      <c r="YC18" s="19">
        <v>0</v>
      </c>
      <c r="YD18" s="19">
        <v>0</v>
      </c>
      <c r="YE18" s="19">
        <v>0</v>
      </c>
      <c r="YF18" s="19">
        <v>0</v>
      </c>
      <c r="YG18" s="19">
        <v>0</v>
      </c>
      <c r="YH18" s="19">
        <v>0</v>
      </c>
      <c r="YI18" s="19">
        <v>0</v>
      </c>
      <c r="YJ18" s="19">
        <v>0</v>
      </c>
      <c r="YK18" s="19">
        <v>0</v>
      </c>
      <c r="YL18" s="19">
        <v>0</v>
      </c>
      <c r="YM18" s="19">
        <v>0</v>
      </c>
      <c r="YN18" s="19">
        <v>0</v>
      </c>
      <c r="YO18" s="19">
        <v>0</v>
      </c>
      <c r="YP18" s="19">
        <v>0</v>
      </c>
      <c r="YQ18" s="19">
        <v>0</v>
      </c>
      <c r="YR18" s="19">
        <v>0</v>
      </c>
      <c r="YS18" s="19">
        <v>0</v>
      </c>
      <c r="YT18" s="19">
        <v>0</v>
      </c>
      <c r="YU18" s="19">
        <v>0</v>
      </c>
      <c r="YV18" s="19">
        <v>0</v>
      </c>
      <c r="YW18" s="19">
        <v>0</v>
      </c>
      <c r="YX18" s="19">
        <v>0</v>
      </c>
      <c r="YY18" s="19">
        <v>0</v>
      </c>
      <c r="YZ18" s="19">
        <v>0</v>
      </c>
      <c r="ZA18" s="19">
        <v>0</v>
      </c>
      <c r="ZB18" s="19">
        <v>0</v>
      </c>
      <c r="ZC18" s="19">
        <v>0</v>
      </c>
      <c r="ZD18" s="19">
        <v>0</v>
      </c>
      <c r="ZE18" s="19">
        <v>0</v>
      </c>
      <c r="ZF18" s="19">
        <v>0</v>
      </c>
      <c r="ZG18" s="19">
        <v>0</v>
      </c>
      <c r="ZH18" s="19">
        <v>0</v>
      </c>
      <c r="ZI18" s="19">
        <v>0</v>
      </c>
      <c r="ZJ18" s="19">
        <v>0</v>
      </c>
      <c r="ZK18" s="19">
        <v>0</v>
      </c>
      <c r="ZL18" s="19">
        <v>0</v>
      </c>
      <c r="ZM18" s="19">
        <v>0</v>
      </c>
      <c r="ZN18" s="19">
        <v>0</v>
      </c>
      <c r="ZO18" s="19">
        <v>0</v>
      </c>
      <c r="ZP18" s="19">
        <v>0</v>
      </c>
      <c r="ZQ18" s="19">
        <v>0</v>
      </c>
      <c r="ZR18" s="19">
        <v>0</v>
      </c>
      <c r="ZS18" s="19">
        <v>0</v>
      </c>
      <c r="ZT18" s="19">
        <v>0</v>
      </c>
      <c r="ZU18" s="19">
        <v>0</v>
      </c>
      <c r="ZV18" s="19">
        <v>0</v>
      </c>
      <c r="ZW18" s="19">
        <v>0</v>
      </c>
      <c r="ZX18" s="19">
        <v>0</v>
      </c>
      <c r="ZY18" s="19">
        <v>0</v>
      </c>
      <c r="ZZ18" s="19">
        <v>0</v>
      </c>
      <c r="AAA18" s="19">
        <v>0</v>
      </c>
      <c r="AAB18" s="19">
        <v>0</v>
      </c>
      <c r="AAC18" s="19">
        <v>0</v>
      </c>
      <c r="AAD18" s="19">
        <v>0</v>
      </c>
      <c r="AAE18" s="19">
        <v>0</v>
      </c>
      <c r="AAF18" s="19">
        <v>0</v>
      </c>
      <c r="AAG18" s="19">
        <v>0</v>
      </c>
      <c r="AAH18" s="19">
        <v>0</v>
      </c>
      <c r="AAI18" s="19">
        <v>0</v>
      </c>
      <c r="AAJ18" s="19">
        <v>0</v>
      </c>
      <c r="AAK18" s="19">
        <v>0</v>
      </c>
      <c r="AAL18" s="19">
        <v>0</v>
      </c>
      <c r="AAM18" s="19">
        <v>0</v>
      </c>
      <c r="AAN18" s="19">
        <v>0</v>
      </c>
      <c r="AAO18" s="19">
        <v>0</v>
      </c>
      <c r="AAP18" s="19">
        <v>0</v>
      </c>
      <c r="AAQ18" s="19">
        <v>0</v>
      </c>
      <c r="AAR18" s="19">
        <v>0</v>
      </c>
      <c r="AAS18" s="19">
        <v>0</v>
      </c>
      <c r="AAT18" s="19">
        <v>0</v>
      </c>
      <c r="AAU18" s="19">
        <v>0</v>
      </c>
      <c r="AAV18" s="19">
        <v>0</v>
      </c>
      <c r="AAW18" s="19">
        <v>0</v>
      </c>
      <c r="AAX18" s="19">
        <v>0</v>
      </c>
      <c r="AAY18" s="19">
        <v>0</v>
      </c>
      <c r="AAZ18" s="19">
        <v>0</v>
      </c>
      <c r="ABA18" s="19">
        <v>0</v>
      </c>
      <c r="ABB18" s="19">
        <v>0</v>
      </c>
      <c r="ABC18" s="19">
        <v>0</v>
      </c>
      <c r="ABD18" s="19">
        <v>0</v>
      </c>
      <c r="ABE18" s="19">
        <v>0</v>
      </c>
      <c r="ABF18" s="19">
        <v>0</v>
      </c>
      <c r="ABG18" s="19">
        <v>0</v>
      </c>
      <c r="ABH18" s="19">
        <v>0</v>
      </c>
      <c r="ABI18" s="19">
        <v>0</v>
      </c>
      <c r="ABJ18" s="19">
        <v>0</v>
      </c>
      <c r="ABK18" s="19">
        <v>0</v>
      </c>
      <c r="ABL18" s="19">
        <v>0</v>
      </c>
      <c r="ABM18" s="19">
        <v>0</v>
      </c>
      <c r="ABN18" s="19">
        <v>0</v>
      </c>
      <c r="ABO18" s="19">
        <v>0</v>
      </c>
      <c r="ABP18" s="19">
        <v>0</v>
      </c>
      <c r="ABQ18" s="19">
        <v>0</v>
      </c>
      <c r="ABR18" s="19">
        <v>0</v>
      </c>
      <c r="ABS18" s="19">
        <v>0</v>
      </c>
      <c r="ABT18" s="19">
        <v>0</v>
      </c>
      <c r="ABU18" s="19">
        <v>0</v>
      </c>
      <c r="ABV18" s="19">
        <v>0</v>
      </c>
      <c r="ABW18" s="19">
        <v>0</v>
      </c>
      <c r="ABX18" s="19">
        <v>0</v>
      </c>
      <c r="ABY18" s="19">
        <v>0</v>
      </c>
      <c r="ABZ18" s="19">
        <v>0</v>
      </c>
      <c r="ACA18" s="19">
        <v>0</v>
      </c>
      <c r="ACB18" s="19">
        <v>0</v>
      </c>
      <c r="ACC18" s="19">
        <v>0</v>
      </c>
      <c r="ACD18" s="19">
        <v>0</v>
      </c>
      <c r="ACE18" s="19">
        <v>0</v>
      </c>
      <c r="ACF18" s="19">
        <v>0</v>
      </c>
      <c r="ACG18" s="19">
        <v>0</v>
      </c>
      <c r="ACH18" s="19">
        <v>0</v>
      </c>
      <c r="ACI18" s="19">
        <v>0</v>
      </c>
      <c r="ACJ18" s="19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 s="31">
        <v>0</v>
      </c>
      <c r="ACS18" s="19">
        <v>0</v>
      </c>
      <c r="ACT18" s="19">
        <v>0</v>
      </c>
      <c r="ACU18" s="19">
        <v>0</v>
      </c>
      <c r="ACV18" s="19">
        <v>0</v>
      </c>
      <c r="ACW18" s="19">
        <v>0</v>
      </c>
      <c r="ACX18" s="19">
        <v>0</v>
      </c>
      <c r="ACY18" s="19">
        <v>0</v>
      </c>
      <c r="ACZ18" s="19">
        <v>0</v>
      </c>
      <c r="ADA18" s="19">
        <v>0</v>
      </c>
      <c r="ADB18" s="19">
        <v>0</v>
      </c>
      <c r="ADC18" s="19">
        <v>0</v>
      </c>
      <c r="ADD18" s="31">
        <v>0</v>
      </c>
      <c r="ADE18" s="19">
        <v>0</v>
      </c>
      <c r="ADF18" s="19">
        <v>0</v>
      </c>
      <c r="ADG18" s="19">
        <v>0</v>
      </c>
      <c r="ADH18" s="19">
        <v>0</v>
      </c>
      <c r="ADI18" s="19">
        <v>0</v>
      </c>
      <c r="ADJ18" s="19">
        <v>0</v>
      </c>
      <c r="ADK18" s="31">
        <v>0</v>
      </c>
      <c r="ADL18" s="19">
        <v>0</v>
      </c>
      <c r="ADM18" s="19">
        <v>0</v>
      </c>
      <c r="ADN18" s="19">
        <v>0</v>
      </c>
      <c r="ADO18" s="19">
        <v>0</v>
      </c>
      <c r="ADP18" s="19">
        <v>0</v>
      </c>
      <c r="ADQ18" s="19">
        <v>0</v>
      </c>
      <c r="ADR18" s="19">
        <v>0</v>
      </c>
      <c r="ADS18" s="19">
        <v>0</v>
      </c>
      <c r="ADT18" s="31">
        <v>0</v>
      </c>
      <c r="ADU18" s="19">
        <v>0</v>
      </c>
      <c r="ADV18" s="19">
        <v>0</v>
      </c>
      <c r="ADW18" s="19">
        <v>0</v>
      </c>
      <c r="ADX18">
        <v>0</v>
      </c>
      <c r="ADY18">
        <v>0</v>
      </c>
      <c r="ADZ18" s="19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 s="31">
        <v>0</v>
      </c>
      <c r="AEI18" s="19">
        <v>0</v>
      </c>
      <c r="AEJ18" s="19">
        <v>0</v>
      </c>
      <c r="AEK18" s="19">
        <v>0</v>
      </c>
      <c r="AEL18" s="19">
        <v>0</v>
      </c>
      <c r="AEM18" s="19">
        <v>0</v>
      </c>
      <c r="AEN18" s="19">
        <v>0</v>
      </c>
      <c r="AEO18" s="31">
        <v>0</v>
      </c>
      <c r="AEP18" s="19">
        <v>0</v>
      </c>
      <c r="AEQ18" s="19">
        <v>0</v>
      </c>
      <c r="AER18" s="19">
        <v>0</v>
      </c>
      <c r="AES18" s="19">
        <v>0</v>
      </c>
      <c r="AET18" s="19">
        <v>0</v>
      </c>
      <c r="AEU18" s="19">
        <v>0</v>
      </c>
      <c r="AEV18" s="19">
        <v>0</v>
      </c>
      <c r="AEW18" s="19">
        <v>0</v>
      </c>
      <c r="AEX18" s="19">
        <v>0</v>
      </c>
      <c r="AEY18" s="19">
        <v>0</v>
      </c>
      <c r="AEZ18" s="19">
        <v>0</v>
      </c>
      <c r="AFA18" s="19">
        <v>0</v>
      </c>
      <c r="AFB18" s="19">
        <v>0</v>
      </c>
      <c r="AFC18" s="19">
        <v>0</v>
      </c>
      <c r="AFD18" s="19">
        <v>0</v>
      </c>
      <c r="AFE18" s="19">
        <v>0</v>
      </c>
      <c r="AFF18" s="19">
        <v>0</v>
      </c>
      <c r="AFG18" s="19">
        <v>0</v>
      </c>
      <c r="AFH18" s="19">
        <v>0</v>
      </c>
      <c r="AFI18" s="19">
        <v>0</v>
      </c>
      <c r="AFJ18" s="31">
        <v>0</v>
      </c>
      <c r="AFK18" s="19">
        <v>0</v>
      </c>
      <c r="AFL18" s="19">
        <v>0</v>
      </c>
      <c r="AFM18" s="19">
        <v>0</v>
      </c>
      <c r="AFN18" s="19">
        <v>0</v>
      </c>
      <c r="AFO18" s="19">
        <v>0</v>
      </c>
      <c r="AFP18" s="19">
        <v>0</v>
      </c>
      <c r="AFQ18" s="31">
        <v>0</v>
      </c>
      <c r="AFR18" s="19">
        <v>0</v>
      </c>
      <c r="AFS18" s="19">
        <v>0</v>
      </c>
      <c r="AFT18" s="19">
        <v>0</v>
      </c>
      <c r="AFU18" s="19">
        <v>0</v>
      </c>
      <c r="AFV18" s="19">
        <v>0</v>
      </c>
      <c r="AFW18" s="19">
        <v>0</v>
      </c>
      <c r="AFX18" s="31">
        <v>0</v>
      </c>
      <c r="AFY18" s="19">
        <v>0</v>
      </c>
      <c r="AFZ18" s="19">
        <v>0</v>
      </c>
      <c r="AGA18" s="19">
        <v>0</v>
      </c>
      <c r="AGB18" s="19">
        <v>0</v>
      </c>
      <c r="AGC18" s="19">
        <v>0</v>
      </c>
      <c r="AGD18" s="19">
        <v>0</v>
      </c>
      <c r="AGE18" s="19">
        <v>0</v>
      </c>
      <c r="AGF18" s="19">
        <v>0</v>
      </c>
      <c r="AGG18" s="19">
        <v>0</v>
      </c>
      <c r="AGH18" s="19">
        <v>0</v>
      </c>
      <c r="AGI18" s="19">
        <v>0</v>
      </c>
      <c r="AGJ18" s="19">
        <v>0</v>
      </c>
      <c r="AGK18" s="31">
        <v>0</v>
      </c>
      <c r="AGL18" s="31">
        <v>0</v>
      </c>
      <c r="AGM18" s="19">
        <v>0</v>
      </c>
      <c r="AGN18" s="19">
        <v>0</v>
      </c>
      <c r="AGO18" s="19">
        <v>0</v>
      </c>
      <c r="AGP18" s="19">
        <v>0</v>
      </c>
      <c r="AGQ18" s="19">
        <v>0</v>
      </c>
      <c r="AGR18" s="19">
        <v>0</v>
      </c>
      <c r="AGS18" s="19">
        <v>0</v>
      </c>
      <c r="AGT18" s="19">
        <v>0</v>
      </c>
      <c r="AGU18" s="19">
        <v>0</v>
      </c>
      <c r="AGV18" s="19">
        <v>0</v>
      </c>
      <c r="AGW18" s="31">
        <v>0</v>
      </c>
      <c r="AGX18" s="19">
        <v>0</v>
      </c>
      <c r="AGY18" s="31">
        <v>0</v>
      </c>
      <c r="AGZ18" s="31">
        <v>0</v>
      </c>
      <c r="AHA18" s="19">
        <v>0</v>
      </c>
      <c r="AHB18" s="19">
        <v>0</v>
      </c>
      <c r="AHC18" s="19">
        <v>0</v>
      </c>
      <c r="AHD18" s="19">
        <v>0</v>
      </c>
      <c r="AHE18" s="19">
        <v>0</v>
      </c>
      <c r="AHH18" s="19">
        <v>0</v>
      </c>
      <c r="AHI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 s="31">
        <v>0</v>
      </c>
      <c r="AJD18" s="19">
        <v>0</v>
      </c>
      <c r="AJE18" s="19">
        <v>0</v>
      </c>
      <c r="AJF18" s="19">
        <v>0</v>
      </c>
      <c r="AJG18" s="19">
        <v>0</v>
      </c>
      <c r="AJH18" s="19">
        <v>0</v>
      </c>
      <c r="AJI18" s="19">
        <v>0</v>
      </c>
      <c r="AJJ18" s="19">
        <v>0</v>
      </c>
      <c r="AJK18" s="19">
        <v>0</v>
      </c>
      <c r="AJL18" s="19">
        <v>0</v>
      </c>
      <c r="AJM18" s="19">
        <v>0</v>
      </c>
      <c r="AJN18" s="19">
        <v>0</v>
      </c>
      <c r="AJO18" s="19">
        <v>0</v>
      </c>
      <c r="AJP18" s="19">
        <v>0</v>
      </c>
      <c r="AJQ18" s="19">
        <v>0</v>
      </c>
      <c r="AJR18" s="19">
        <v>0</v>
      </c>
      <c r="AJS18" s="19">
        <v>0</v>
      </c>
      <c r="AJT18" s="19">
        <v>0</v>
      </c>
      <c r="AJU18" s="19">
        <v>0</v>
      </c>
      <c r="AJV18" s="19">
        <v>0</v>
      </c>
      <c r="AJW18" s="19">
        <v>0</v>
      </c>
      <c r="AJX18" s="19">
        <v>0</v>
      </c>
      <c r="AJY18" s="19">
        <v>0</v>
      </c>
      <c r="AJZ18" s="19">
        <v>0</v>
      </c>
      <c r="AKA18" s="19">
        <v>0</v>
      </c>
      <c r="AKB18" s="31">
        <v>0</v>
      </c>
      <c r="AKC18" s="19">
        <v>0</v>
      </c>
      <c r="AKD18" s="19">
        <v>0</v>
      </c>
      <c r="AKE18" s="19">
        <v>0</v>
      </c>
      <c r="AKF18" s="19">
        <v>0</v>
      </c>
    </row>
    <row r="19" spans="1:968" s="8" customFormat="1">
      <c r="C19" s="9">
        <v>82640</v>
      </c>
      <c r="D19" s="9" t="s">
        <v>28</v>
      </c>
      <c r="E19" s="9" t="s">
        <v>111</v>
      </c>
      <c r="F19" s="10"/>
      <c r="G19" s="10"/>
      <c r="H19" s="10"/>
      <c r="I19" s="10"/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BU19" s="34"/>
      <c r="BV19" s="34"/>
      <c r="BW19" s="34"/>
      <c r="BX19" s="34"/>
      <c r="BY19" s="34"/>
      <c r="BZ19" s="34"/>
      <c r="CA19" s="34"/>
      <c r="AEU19" s="8">
        <v>0</v>
      </c>
    </row>
    <row r="20" spans="1:968">
      <c r="A20">
        <v>1</v>
      </c>
      <c r="B20" t="s">
        <v>112</v>
      </c>
      <c r="C20" s="1">
        <v>82640</v>
      </c>
      <c r="D20" s="1" t="s">
        <v>28</v>
      </c>
      <c r="E20" s="1" t="s">
        <v>113</v>
      </c>
      <c r="F20" s="1" t="s">
        <v>11</v>
      </c>
      <c r="G20" s="1" t="s">
        <v>33</v>
      </c>
      <c r="H20" s="1" t="s">
        <v>114</v>
      </c>
      <c r="I20" s="1" t="s">
        <v>45</v>
      </c>
      <c r="J20" s="1" t="s">
        <v>46</v>
      </c>
      <c r="K20">
        <v>49336</v>
      </c>
      <c r="L20">
        <v>4352</v>
      </c>
      <c r="M20">
        <v>21515</v>
      </c>
      <c r="N20">
        <v>12249</v>
      </c>
      <c r="O20">
        <v>0</v>
      </c>
      <c r="P20">
        <v>10112</v>
      </c>
      <c r="Q20">
        <v>6843</v>
      </c>
      <c r="R20">
        <v>8671</v>
      </c>
      <c r="S20">
        <v>144937</v>
      </c>
      <c r="T20">
        <v>19900</v>
      </c>
      <c r="U20">
        <v>18823</v>
      </c>
      <c r="V20">
        <v>0</v>
      </c>
      <c r="W20">
        <v>22572</v>
      </c>
      <c r="X20">
        <v>11386</v>
      </c>
      <c r="Y20">
        <v>14774</v>
      </c>
      <c r="Z20">
        <v>39493</v>
      </c>
      <c r="AA20">
        <v>28323</v>
      </c>
      <c r="AB20">
        <v>16615</v>
      </c>
      <c r="AC20">
        <v>0</v>
      </c>
      <c r="AD20">
        <v>28000</v>
      </c>
      <c r="AE20">
        <v>20709</v>
      </c>
      <c r="AF20">
        <v>38151</v>
      </c>
      <c r="AG20">
        <v>156302</v>
      </c>
      <c r="AH20">
        <v>88004</v>
      </c>
      <c r="AI20">
        <v>5752</v>
      </c>
      <c r="AJ20">
        <v>0</v>
      </c>
      <c r="AK20">
        <v>12199</v>
      </c>
      <c r="AL20">
        <v>16201</v>
      </c>
      <c r="AM20">
        <v>5695</v>
      </c>
      <c r="AN20">
        <v>106464</v>
      </c>
      <c r="AO20">
        <v>9657</v>
      </c>
      <c r="AP20">
        <v>2794</v>
      </c>
      <c r="AQ20">
        <v>0</v>
      </c>
      <c r="AR20">
        <v>11568</v>
      </c>
      <c r="AS20">
        <v>0</v>
      </c>
      <c r="AT20">
        <v>47449</v>
      </c>
      <c r="AU20">
        <v>24620</v>
      </c>
      <c r="AV20">
        <v>36325</v>
      </c>
      <c r="AW20">
        <v>50484</v>
      </c>
      <c r="AX20">
        <v>0</v>
      </c>
      <c r="AY20">
        <v>13621</v>
      </c>
      <c r="AZ20">
        <v>25320</v>
      </c>
      <c r="BA20">
        <v>26268</v>
      </c>
      <c r="BB20">
        <v>14129</v>
      </c>
      <c r="BC20">
        <v>36930</v>
      </c>
      <c r="BD20">
        <v>17797</v>
      </c>
      <c r="BE20">
        <v>0</v>
      </c>
      <c r="BF20">
        <v>36633</v>
      </c>
      <c r="BG20">
        <v>20550</v>
      </c>
      <c r="BH20">
        <v>91777</v>
      </c>
      <c r="BI20">
        <v>16734</v>
      </c>
      <c r="BJ20">
        <v>25208</v>
      </c>
      <c r="BK20">
        <v>9922</v>
      </c>
      <c r="BL20">
        <v>0</v>
      </c>
      <c r="BM20">
        <v>11669</v>
      </c>
      <c r="BN20">
        <v>18805</v>
      </c>
      <c r="BO20">
        <v>70163</v>
      </c>
      <c r="BP20">
        <v>22830</v>
      </c>
      <c r="BQ20">
        <v>226</v>
      </c>
      <c r="BR20">
        <v>0</v>
      </c>
      <c r="BS20">
        <v>0</v>
      </c>
      <c r="BT20">
        <v>0</v>
      </c>
      <c r="BU20" s="33">
        <v>0</v>
      </c>
      <c r="BV20" s="33">
        <v>19572</v>
      </c>
      <c r="BW20" s="33">
        <v>7783</v>
      </c>
      <c r="BX20" s="33">
        <v>8715</v>
      </c>
      <c r="BY20" s="33">
        <v>16748</v>
      </c>
      <c r="BZ20" s="33">
        <v>0</v>
      </c>
      <c r="CA20" s="33">
        <v>9175</v>
      </c>
      <c r="CB20">
        <v>18652</v>
      </c>
      <c r="CC20">
        <v>45153</v>
      </c>
      <c r="CD20">
        <v>11868</v>
      </c>
      <c r="CE20">
        <v>44425</v>
      </c>
      <c r="CF20">
        <v>59139</v>
      </c>
      <c r="CG20">
        <v>2997</v>
      </c>
      <c r="CH20">
        <v>23722</v>
      </c>
      <c r="CI20">
        <v>107254</v>
      </c>
      <c r="CJ20">
        <v>78421</v>
      </c>
      <c r="CK20">
        <v>18181</v>
      </c>
      <c r="CL20">
        <v>264369</v>
      </c>
      <c r="CM20">
        <v>0</v>
      </c>
      <c r="CN20">
        <v>0</v>
      </c>
      <c r="CO20">
        <v>11252</v>
      </c>
      <c r="CP20">
        <v>12319</v>
      </c>
      <c r="CQ20">
        <v>18920</v>
      </c>
      <c r="CR20">
        <v>106752</v>
      </c>
      <c r="CS20">
        <v>16170</v>
      </c>
      <c r="CT20">
        <v>15970</v>
      </c>
      <c r="CU20">
        <v>0</v>
      </c>
      <c r="CV20">
        <v>11246</v>
      </c>
      <c r="CW20">
        <v>15629</v>
      </c>
      <c r="CX20">
        <v>6056</v>
      </c>
      <c r="CY20">
        <v>6659</v>
      </c>
      <c r="CZ20">
        <v>12731</v>
      </c>
      <c r="DA20">
        <v>25314</v>
      </c>
      <c r="DB20">
        <v>3569</v>
      </c>
      <c r="DC20">
        <v>12554</v>
      </c>
      <c r="DD20">
        <v>35679</v>
      </c>
      <c r="DE20">
        <v>32245</v>
      </c>
      <c r="DF20">
        <v>335398</v>
      </c>
      <c r="DG20">
        <v>34947</v>
      </c>
      <c r="DH20">
        <v>29354</v>
      </c>
      <c r="DI20">
        <v>8959</v>
      </c>
      <c r="DJ20">
        <v>28172</v>
      </c>
      <c r="DK20">
        <v>70739</v>
      </c>
      <c r="DL20">
        <v>34289</v>
      </c>
      <c r="DM20">
        <v>58662</v>
      </c>
      <c r="DN20">
        <v>28041</v>
      </c>
      <c r="DO20">
        <v>33314</v>
      </c>
      <c r="DP20">
        <v>0</v>
      </c>
      <c r="DQ20">
        <v>15732</v>
      </c>
      <c r="DR20">
        <v>43857</v>
      </c>
      <c r="DS20">
        <v>17080</v>
      </c>
      <c r="DT20">
        <v>32649</v>
      </c>
      <c r="DU20">
        <v>12533</v>
      </c>
      <c r="DV20">
        <v>14563</v>
      </c>
      <c r="DW20">
        <v>9321</v>
      </c>
      <c r="DX20">
        <v>54307</v>
      </c>
      <c r="DY20">
        <v>28790</v>
      </c>
      <c r="DZ20">
        <v>27205</v>
      </c>
      <c r="EA20">
        <v>11505</v>
      </c>
      <c r="EB20">
        <v>6269</v>
      </c>
      <c r="EC20">
        <v>356</v>
      </c>
      <c r="ED20">
        <v>0</v>
      </c>
      <c r="EE20">
        <v>5611</v>
      </c>
      <c r="EF20">
        <v>25393</v>
      </c>
      <c r="EG20">
        <v>14216</v>
      </c>
      <c r="EH20">
        <v>68453</v>
      </c>
      <c r="EI20">
        <v>26126</v>
      </c>
      <c r="EJ20">
        <v>9038</v>
      </c>
      <c r="EK20">
        <v>0</v>
      </c>
      <c r="EL20">
        <v>14551</v>
      </c>
      <c r="EM20">
        <v>29425</v>
      </c>
      <c r="EN20">
        <v>26710</v>
      </c>
      <c r="EO20">
        <v>147756</v>
      </c>
      <c r="EP20">
        <v>50738</v>
      </c>
      <c r="EQ20">
        <v>40585</v>
      </c>
      <c r="ER20">
        <v>2197</v>
      </c>
      <c r="ES20">
        <v>31272</v>
      </c>
      <c r="ET20">
        <v>20309</v>
      </c>
      <c r="EU20">
        <v>29145</v>
      </c>
      <c r="EV20">
        <v>21415</v>
      </c>
      <c r="EW20">
        <v>19108</v>
      </c>
      <c r="EX20">
        <v>35695</v>
      </c>
      <c r="EY20">
        <v>0</v>
      </c>
      <c r="EZ20">
        <v>3949</v>
      </c>
      <c r="FA20">
        <v>11317</v>
      </c>
      <c r="FB20">
        <v>19910</v>
      </c>
      <c r="FC20">
        <v>18304</v>
      </c>
      <c r="FD20">
        <v>7186</v>
      </c>
      <c r="FE20">
        <v>22751</v>
      </c>
      <c r="FF20">
        <v>0</v>
      </c>
      <c r="FG20">
        <v>10108</v>
      </c>
      <c r="FH20">
        <v>49081</v>
      </c>
      <c r="FI20">
        <v>41764</v>
      </c>
      <c r="FJ20">
        <v>48424</v>
      </c>
      <c r="FK20">
        <v>13176</v>
      </c>
      <c r="FL20">
        <v>0</v>
      </c>
      <c r="FM20">
        <v>0</v>
      </c>
      <c r="FN20">
        <v>66515</v>
      </c>
      <c r="FO20">
        <v>24330</v>
      </c>
      <c r="FP20">
        <v>52982</v>
      </c>
      <c r="FQ20">
        <v>138002</v>
      </c>
      <c r="FR20">
        <v>27124</v>
      </c>
      <c r="FS20">
        <v>0</v>
      </c>
      <c r="FT20">
        <v>0</v>
      </c>
      <c r="FU20">
        <v>0</v>
      </c>
      <c r="FV20">
        <v>9113</v>
      </c>
      <c r="FW20">
        <v>46957</v>
      </c>
      <c r="FX20">
        <v>31084</v>
      </c>
      <c r="FY20">
        <v>97928</v>
      </c>
      <c r="FZ20">
        <v>14790</v>
      </c>
      <c r="GA20">
        <v>173</v>
      </c>
      <c r="GB20">
        <v>27532</v>
      </c>
      <c r="GC20">
        <v>24657</v>
      </c>
      <c r="GD20">
        <v>32604</v>
      </c>
      <c r="GE20">
        <v>38159</v>
      </c>
      <c r="GF20">
        <v>22744</v>
      </c>
      <c r="GG20">
        <v>13992</v>
      </c>
      <c r="GH20">
        <v>0</v>
      </c>
      <c r="GI20">
        <v>22666</v>
      </c>
      <c r="GJ20">
        <v>68929</v>
      </c>
      <c r="GK20">
        <v>0</v>
      </c>
      <c r="GL20">
        <v>31988</v>
      </c>
      <c r="GM20">
        <v>7019</v>
      </c>
      <c r="GN20">
        <v>1318</v>
      </c>
      <c r="GO20">
        <v>0</v>
      </c>
      <c r="GP20">
        <v>16828</v>
      </c>
      <c r="GQ20">
        <v>20192</v>
      </c>
      <c r="GR20">
        <v>25680</v>
      </c>
      <c r="GS20">
        <v>14937</v>
      </c>
      <c r="GT20">
        <v>14671</v>
      </c>
      <c r="GU20">
        <v>35813</v>
      </c>
      <c r="GV20">
        <v>0</v>
      </c>
      <c r="GW20">
        <v>1502</v>
      </c>
      <c r="GX20">
        <v>8047</v>
      </c>
      <c r="GY20">
        <v>16068</v>
      </c>
      <c r="GZ20">
        <v>18945</v>
      </c>
      <c r="HA20">
        <v>16854</v>
      </c>
      <c r="HB20">
        <v>7074</v>
      </c>
      <c r="HC20">
        <v>0</v>
      </c>
      <c r="HD20">
        <v>3588</v>
      </c>
      <c r="HE20">
        <v>18204</v>
      </c>
      <c r="HF20">
        <v>0</v>
      </c>
      <c r="HG20">
        <v>6711</v>
      </c>
      <c r="HH20">
        <v>12380</v>
      </c>
      <c r="HI20">
        <v>26755</v>
      </c>
      <c r="HJ20">
        <v>0</v>
      </c>
      <c r="HK20">
        <v>6741</v>
      </c>
      <c r="HL20">
        <v>26474</v>
      </c>
      <c r="HM20">
        <v>37328</v>
      </c>
      <c r="HN20">
        <v>28145</v>
      </c>
      <c r="HO20">
        <v>6104</v>
      </c>
      <c r="HP20">
        <v>35012</v>
      </c>
      <c r="HQ20">
        <v>0</v>
      </c>
      <c r="HR20">
        <v>0</v>
      </c>
      <c r="HS20">
        <v>48009</v>
      </c>
      <c r="HT20">
        <v>10464</v>
      </c>
      <c r="HU20">
        <v>13693</v>
      </c>
      <c r="HV20">
        <v>4037</v>
      </c>
      <c r="HW20">
        <v>6532</v>
      </c>
      <c r="HX20">
        <v>1824</v>
      </c>
      <c r="HY20">
        <v>2648</v>
      </c>
      <c r="HZ20">
        <v>32248</v>
      </c>
      <c r="IA20">
        <v>20040</v>
      </c>
      <c r="IB20">
        <v>18831</v>
      </c>
      <c r="IC20">
        <v>27169</v>
      </c>
      <c r="ID20">
        <v>24900</v>
      </c>
      <c r="IE20">
        <v>0</v>
      </c>
      <c r="IF20">
        <v>122016</v>
      </c>
      <c r="IG20">
        <v>23214</v>
      </c>
      <c r="IH20">
        <v>7954</v>
      </c>
      <c r="II20">
        <v>36837</v>
      </c>
      <c r="IJ20">
        <v>58371</v>
      </c>
      <c r="IK20">
        <v>10981</v>
      </c>
      <c r="IL20">
        <v>2856</v>
      </c>
      <c r="IM20">
        <v>12064</v>
      </c>
      <c r="IN20">
        <v>30562</v>
      </c>
      <c r="IO20">
        <v>23429</v>
      </c>
      <c r="IP20">
        <v>18357</v>
      </c>
      <c r="IQ20">
        <v>289622</v>
      </c>
      <c r="IR20">
        <v>23665</v>
      </c>
      <c r="IS20">
        <v>0</v>
      </c>
      <c r="IT20">
        <v>5272</v>
      </c>
      <c r="IU20">
        <v>36596</v>
      </c>
      <c r="IV20">
        <v>12328</v>
      </c>
      <c r="IW20">
        <v>10463</v>
      </c>
      <c r="IX20">
        <v>24360</v>
      </c>
      <c r="IY20">
        <v>11421</v>
      </c>
      <c r="IZ20">
        <v>0</v>
      </c>
      <c r="JA20">
        <v>28416</v>
      </c>
      <c r="JB20">
        <v>15021</v>
      </c>
      <c r="JC20">
        <v>26786</v>
      </c>
      <c r="JD20">
        <v>37599</v>
      </c>
      <c r="JE20">
        <v>22169</v>
      </c>
      <c r="JF20">
        <v>6776</v>
      </c>
      <c r="JG20">
        <v>0</v>
      </c>
      <c r="JH20">
        <v>9803</v>
      </c>
      <c r="JI20">
        <v>49325</v>
      </c>
      <c r="JJ20">
        <v>19395</v>
      </c>
      <c r="JK20">
        <v>56241</v>
      </c>
      <c r="JL20">
        <v>58295</v>
      </c>
      <c r="JM20">
        <v>28836</v>
      </c>
      <c r="JN20">
        <v>0</v>
      </c>
      <c r="JO20">
        <v>99052</v>
      </c>
      <c r="JP20">
        <v>95439</v>
      </c>
      <c r="JQ20">
        <v>96354</v>
      </c>
      <c r="JR20">
        <v>8570</v>
      </c>
      <c r="JS20">
        <v>27149</v>
      </c>
      <c r="JT20">
        <v>8888</v>
      </c>
      <c r="JU20">
        <v>0</v>
      </c>
      <c r="JV20">
        <v>7465</v>
      </c>
      <c r="JW20">
        <v>19802</v>
      </c>
      <c r="JX20">
        <v>0</v>
      </c>
      <c r="JY20">
        <v>17811</v>
      </c>
      <c r="JZ20">
        <v>24908</v>
      </c>
      <c r="KA20">
        <v>34382</v>
      </c>
      <c r="KB20">
        <v>0</v>
      </c>
      <c r="KC20">
        <v>17581</v>
      </c>
      <c r="KD20">
        <v>30955</v>
      </c>
      <c r="KE20">
        <v>21715</v>
      </c>
      <c r="KF20">
        <v>19684</v>
      </c>
      <c r="KG20">
        <v>18686</v>
      </c>
      <c r="KH20">
        <v>113092</v>
      </c>
      <c r="KI20">
        <v>0</v>
      </c>
      <c r="KJ20">
        <v>0</v>
      </c>
      <c r="KK20">
        <v>32923</v>
      </c>
      <c r="KL20">
        <v>38349</v>
      </c>
      <c r="KM20">
        <v>15168</v>
      </c>
      <c r="KN20">
        <v>13103</v>
      </c>
      <c r="KO20">
        <v>28017</v>
      </c>
      <c r="KP20">
        <v>0</v>
      </c>
      <c r="KQ20">
        <v>115618</v>
      </c>
      <c r="KR20">
        <v>51522</v>
      </c>
      <c r="KS20">
        <v>22427</v>
      </c>
      <c r="KT20">
        <v>29949</v>
      </c>
      <c r="KU20">
        <v>68116</v>
      </c>
      <c r="KV20">
        <v>26975</v>
      </c>
      <c r="KW20">
        <v>0</v>
      </c>
      <c r="KX20">
        <v>10440</v>
      </c>
      <c r="KY20">
        <v>38176</v>
      </c>
      <c r="KZ20">
        <v>48591</v>
      </c>
      <c r="LA20">
        <v>27548</v>
      </c>
      <c r="LB20">
        <v>21849</v>
      </c>
      <c r="LC20">
        <v>13933</v>
      </c>
      <c r="LD20">
        <v>0</v>
      </c>
      <c r="LE20">
        <v>34275</v>
      </c>
      <c r="LF20">
        <v>30867</v>
      </c>
      <c r="LG20">
        <v>33031</v>
      </c>
      <c r="LH20">
        <v>21694</v>
      </c>
      <c r="LI20">
        <v>27981</v>
      </c>
      <c r="LJ20">
        <v>7780</v>
      </c>
      <c r="LK20">
        <v>0</v>
      </c>
      <c r="LL20">
        <v>14160</v>
      </c>
      <c r="LM20">
        <v>130557</v>
      </c>
      <c r="LN20">
        <v>29683</v>
      </c>
      <c r="LO20">
        <v>16669</v>
      </c>
      <c r="LP20">
        <v>34285</v>
      </c>
      <c r="LQ20">
        <v>28925</v>
      </c>
      <c r="LR20">
        <v>0</v>
      </c>
      <c r="LS20">
        <v>12557</v>
      </c>
      <c r="LT20">
        <v>101402</v>
      </c>
      <c r="LU20">
        <v>7121</v>
      </c>
      <c r="LV20">
        <v>41549</v>
      </c>
      <c r="LW20">
        <v>40976</v>
      </c>
      <c r="LX20">
        <v>38446</v>
      </c>
      <c r="LY20">
        <v>0</v>
      </c>
      <c r="LZ20">
        <v>60048</v>
      </c>
      <c r="MA20">
        <v>22366</v>
      </c>
      <c r="MB20">
        <v>25881</v>
      </c>
      <c r="MC20">
        <v>27011</v>
      </c>
      <c r="MD20">
        <v>136896</v>
      </c>
      <c r="ME20">
        <v>46547</v>
      </c>
      <c r="MF20">
        <v>0</v>
      </c>
      <c r="MG20">
        <v>50832</v>
      </c>
      <c r="MH20">
        <v>37138</v>
      </c>
      <c r="MI20">
        <v>58451</v>
      </c>
      <c r="MJ20">
        <v>35020</v>
      </c>
      <c r="MK20">
        <v>47463</v>
      </c>
      <c r="ML20">
        <v>104830</v>
      </c>
      <c r="MM20">
        <v>0</v>
      </c>
      <c r="MN20">
        <v>20834</v>
      </c>
      <c r="MO20">
        <v>88769</v>
      </c>
      <c r="MP20">
        <v>35471</v>
      </c>
      <c r="MQ20">
        <v>30760</v>
      </c>
      <c r="MR20">
        <v>31833</v>
      </c>
      <c r="MS20">
        <v>15209</v>
      </c>
      <c r="MT20">
        <v>0</v>
      </c>
      <c r="MU20">
        <v>0</v>
      </c>
      <c r="MV20">
        <v>17839</v>
      </c>
      <c r="MW20">
        <v>58228</v>
      </c>
      <c r="MX20">
        <v>12565</v>
      </c>
      <c r="MY20">
        <v>30022</v>
      </c>
      <c r="MZ20">
        <v>20459</v>
      </c>
      <c r="NA20">
        <v>0</v>
      </c>
      <c r="NB20">
        <v>15044</v>
      </c>
      <c r="NC20">
        <v>40016</v>
      </c>
      <c r="ND20">
        <v>7991</v>
      </c>
      <c r="NE20">
        <v>9253</v>
      </c>
      <c r="NF20">
        <v>79638</v>
      </c>
      <c r="NG20">
        <v>19042</v>
      </c>
      <c r="NH20">
        <v>0</v>
      </c>
      <c r="NI20">
        <v>39835</v>
      </c>
      <c r="NJ20">
        <v>38643</v>
      </c>
      <c r="NK20">
        <v>35044</v>
      </c>
      <c r="NL20">
        <v>28279</v>
      </c>
      <c r="NM20">
        <v>9931</v>
      </c>
      <c r="NN20">
        <v>11135</v>
      </c>
      <c r="NO20">
        <v>2262</v>
      </c>
      <c r="NP20">
        <v>10568</v>
      </c>
      <c r="NQ20">
        <v>28229</v>
      </c>
      <c r="NR20">
        <v>46994</v>
      </c>
      <c r="NS20">
        <v>22656</v>
      </c>
      <c r="NT20">
        <v>55563</v>
      </c>
      <c r="NU20">
        <v>49119</v>
      </c>
      <c r="NV20">
        <v>0</v>
      </c>
      <c r="NW20">
        <v>22744</v>
      </c>
      <c r="NX20">
        <v>111827</v>
      </c>
      <c r="NY20">
        <v>152401</v>
      </c>
      <c r="NZ20">
        <v>113402</v>
      </c>
      <c r="OA20">
        <v>17774</v>
      </c>
      <c r="OB20">
        <v>28316</v>
      </c>
      <c r="OC20">
        <v>1083</v>
      </c>
      <c r="OD20">
        <v>44922</v>
      </c>
      <c r="OE20">
        <v>19379</v>
      </c>
      <c r="OF20">
        <v>81520</v>
      </c>
      <c r="OG20">
        <v>32477</v>
      </c>
      <c r="OH20">
        <v>33036</v>
      </c>
      <c r="OI20">
        <v>12018</v>
      </c>
      <c r="OJ20">
        <v>0</v>
      </c>
      <c r="OK20">
        <v>9245</v>
      </c>
      <c r="OL20">
        <v>17175</v>
      </c>
      <c r="OM20">
        <v>13973</v>
      </c>
      <c r="ON20">
        <v>20089</v>
      </c>
      <c r="OO20">
        <v>24156</v>
      </c>
      <c r="OP20">
        <v>47605</v>
      </c>
      <c r="OQ20">
        <v>0</v>
      </c>
      <c r="OR20">
        <v>16662</v>
      </c>
      <c r="OS20">
        <v>18870</v>
      </c>
      <c r="OT20">
        <v>9068</v>
      </c>
      <c r="OU20">
        <v>1257</v>
      </c>
      <c r="OV20">
        <v>48109</v>
      </c>
      <c r="OW20">
        <v>26867</v>
      </c>
      <c r="OX20">
        <v>575</v>
      </c>
      <c r="OY20">
        <v>29280</v>
      </c>
      <c r="OZ20">
        <v>54526</v>
      </c>
      <c r="PA20">
        <v>25848</v>
      </c>
      <c r="PB20">
        <v>119078</v>
      </c>
      <c r="PC20">
        <v>34825</v>
      </c>
      <c r="PD20">
        <v>201951</v>
      </c>
      <c r="PE20">
        <v>0</v>
      </c>
      <c r="PF20">
        <v>17854</v>
      </c>
      <c r="PG20">
        <v>25843</v>
      </c>
      <c r="PH20">
        <v>15222</v>
      </c>
      <c r="PI20">
        <v>26652</v>
      </c>
      <c r="PJ20">
        <v>54454</v>
      </c>
      <c r="PK20">
        <v>101035</v>
      </c>
      <c r="PL20">
        <v>8094</v>
      </c>
      <c r="PM20">
        <v>137465</v>
      </c>
      <c r="PN20">
        <v>61505</v>
      </c>
      <c r="PO20">
        <v>99684</v>
      </c>
      <c r="PP20">
        <v>32704</v>
      </c>
      <c r="PQ20">
        <v>16404</v>
      </c>
      <c r="PR20">
        <v>20572</v>
      </c>
      <c r="PS20">
        <v>0</v>
      </c>
      <c r="PT20">
        <v>2105</v>
      </c>
      <c r="PU20">
        <v>0</v>
      </c>
      <c r="PV20">
        <v>0</v>
      </c>
      <c r="PW20">
        <v>817</v>
      </c>
      <c r="PX20">
        <v>4480</v>
      </c>
      <c r="PY20">
        <v>3849</v>
      </c>
      <c r="PZ20">
        <v>0</v>
      </c>
      <c r="QA20">
        <v>5086</v>
      </c>
      <c r="QB20">
        <v>30648</v>
      </c>
      <c r="QC20">
        <v>101074</v>
      </c>
      <c r="QD20">
        <v>70233</v>
      </c>
      <c r="QE20">
        <v>11203</v>
      </c>
      <c r="QF20">
        <v>19103</v>
      </c>
      <c r="QG20">
        <v>0</v>
      </c>
      <c r="QH20">
        <v>10654</v>
      </c>
      <c r="QI20">
        <v>19905</v>
      </c>
      <c r="QJ20">
        <v>23492</v>
      </c>
      <c r="QK20">
        <v>36239</v>
      </c>
      <c r="QL20">
        <v>103699</v>
      </c>
      <c r="QM20">
        <v>15933</v>
      </c>
      <c r="QN20">
        <v>0</v>
      </c>
      <c r="QO20">
        <v>72199</v>
      </c>
      <c r="QP20">
        <v>84823</v>
      </c>
      <c r="QQ20">
        <v>43641</v>
      </c>
      <c r="QR20">
        <v>11403</v>
      </c>
      <c r="QS20">
        <v>11486</v>
      </c>
      <c r="QT20">
        <v>39771</v>
      </c>
      <c r="QU20">
        <v>0</v>
      </c>
      <c r="QV20">
        <v>11919</v>
      </c>
      <c r="QW20">
        <v>86648</v>
      </c>
      <c r="QX20">
        <v>184707</v>
      </c>
      <c r="QY20">
        <v>11851</v>
      </c>
      <c r="QZ20">
        <v>58620</v>
      </c>
      <c r="RA20">
        <v>8675</v>
      </c>
      <c r="RB20">
        <v>1286</v>
      </c>
      <c r="RC20">
        <v>3652</v>
      </c>
      <c r="RD20">
        <v>190798</v>
      </c>
      <c r="RE20">
        <v>26641</v>
      </c>
      <c r="RF20">
        <v>62429</v>
      </c>
      <c r="RG20">
        <v>9820</v>
      </c>
      <c r="RH20">
        <v>0</v>
      </c>
      <c r="RI20">
        <v>0</v>
      </c>
      <c r="RJ20">
        <v>93020</v>
      </c>
      <c r="RK20">
        <v>42603</v>
      </c>
      <c r="RL20">
        <v>56917</v>
      </c>
      <c r="RM20">
        <v>81836</v>
      </c>
      <c r="RN20">
        <v>15996</v>
      </c>
      <c r="RO20">
        <v>17339</v>
      </c>
      <c r="RP20">
        <v>0</v>
      </c>
      <c r="RQ20">
        <v>18487</v>
      </c>
      <c r="RR20">
        <v>15299</v>
      </c>
      <c r="RS20">
        <v>20959</v>
      </c>
      <c r="RT20">
        <v>8786</v>
      </c>
      <c r="RU20">
        <v>132898</v>
      </c>
      <c r="RV20">
        <v>24292</v>
      </c>
      <c r="RW20">
        <v>0</v>
      </c>
      <c r="RX20">
        <v>10260</v>
      </c>
      <c r="RY20">
        <v>38675</v>
      </c>
      <c r="RZ20">
        <v>56395</v>
      </c>
      <c r="SA20">
        <v>20988</v>
      </c>
      <c r="SB20">
        <v>23938</v>
      </c>
      <c r="SC20">
        <v>3195</v>
      </c>
      <c r="SD20">
        <v>965</v>
      </c>
      <c r="SE20">
        <v>21969</v>
      </c>
      <c r="SF20">
        <v>19723</v>
      </c>
      <c r="SG20">
        <v>24693</v>
      </c>
      <c r="SH20">
        <v>6867</v>
      </c>
      <c r="SI20">
        <v>8620</v>
      </c>
      <c r="SJ20">
        <v>93579</v>
      </c>
      <c r="SK20">
        <v>3488</v>
      </c>
      <c r="SL20">
        <v>39942</v>
      </c>
      <c r="SM20">
        <v>41058</v>
      </c>
      <c r="SN20">
        <v>15194</v>
      </c>
      <c r="SO20">
        <v>7439</v>
      </c>
      <c r="SP20">
        <v>12188</v>
      </c>
      <c r="SQ20">
        <v>33463</v>
      </c>
      <c r="SR20">
        <v>2810</v>
      </c>
      <c r="SS20">
        <v>27983</v>
      </c>
      <c r="ST20">
        <v>72352</v>
      </c>
      <c r="SU20">
        <v>23170</v>
      </c>
      <c r="SV20">
        <v>38524</v>
      </c>
      <c r="SW20">
        <v>18645</v>
      </c>
      <c r="SX20">
        <v>26141</v>
      </c>
      <c r="SY20">
        <v>2919</v>
      </c>
      <c r="SZ20">
        <v>5712</v>
      </c>
      <c r="TA20">
        <v>13997</v>
      </c>
      <c r="TB20">
        <v>32657</v>
      </c>
      <c r="TC20">
        <v>10617</v>
      </c>
      <c r="TD20">
        <v>129251</v>
      </c>
      <c r="TE20">
        <v>42703</v>
      </c>
      <c r="TF20">
        <v>0</v>
      </c>
      <c r="TG20">
        <v>28538</v>
      </c>
      <c r="TH20">
        <v>18465</v>
      </c>
      <c r="TI20">
        <v>29354</v>
      </c>
      <c r="TJ20">
        <v>36512</v>
      </c>
      <c r="TK20">
        <v>32850</v>
      </c>
      <c r="TL20">
        <v>23976</v>
      </c>
      <c r="TM20">
        <v>0</v>
      </c>
      <c r="TN20">
        <v>20922</v>
      </c>
      <c r="TO20">
        <v>72372</v>
      </c>
      <c r="TP20">
        <v>41202</v>
      </c>
      <c r="TQ20">
        <v>44835</v>
      </c>
      <c r="TR20">
        <v>31414</v>
      </c>
      <c r="TS20">
        <v>26333</v>
      </c>
      <c r="TT20">
        <v>914</v>
      </c>
      <c r="TU20">
        <v>0</v>
      </c>
      <c r="TV20">
        <v>0</v>
      </c>
      <c r="TW20">
        <v>2177</v>
      </c>
      <c r="TX20">
        <v>9462</v>
      </c>
      <c r="TY20">
        <v>12793</v>
      </c>
      <c r="TZ20">
        <v>12008</v>
      </c>
      <c r="UA20">
        <v>0</v>
      </c>
      <c r="UB20">
        <v>20635</v>
      </c>
      <c r="UC20">
        <v>53832</v>
      </c>
      <c r="UD20">
        <v>37893</v>
      </c>
      <c r="UE20">
        <v>14009</v>
      </c>
      <c r="UF20">
        <v>12014</v>
      </c>
      <c r="UG20">
        <v>9097</v>
      </c>
      <c r="UH20">
        <v>0</v>
      </c>
      <c r="UI20">
        <v>99241</v>
      </c>
      <c r="UJ20">
        <v>25024</v>
      </c>
      <c r="UK20">
        <v>35854</v>
      </c>
      <c r="UL20">
        <v>0</v>
      </c>
      <c r="UM20">
        <v>26011</v>
      </c>
      <c r="UN20">
        <v>25476</v>
      </c>
      <c r="UO20">
        <v>0</v>
      </c>
      <c r="UP20">
        <v>55886</v>
      </c>
      <c r="UQ20">
        <v>37761</v>
      </c>
      <c r="UR20">
        <v>25427</v>
      </c>
      <c r="US20">
        <v>23035</v>
      </c>
      <c r="UT20">
        <v>22140</v>
      </c>
      <c r="UU20">
        <v>10221</v>
      </c>
      <c r="UV20">
        <v>0</v>
      </c>
      <c r="UW20">
        <v>14681</v>
      </c>
      <c r="UX20">
        <v>51746</v>
      </c>
      <c r="UY20">
        <v>46604</v>
      </c>
      <c r="UZ20">
        <v>130747</v>
      </c>
      <c r="VA20">
        <v>83628</v>
      </c>
      <c r="VB20">
        <v>65705</v>
      </c>
      <c r="VC20">
        <v>0</v>
      </c>
      <c r="VD20">
        <v>15558</v>
      </c>
      <c r="VE20">
        <v>17003</v>
      </c>
      <c r="VF20">
        <v>48213</v>
      </c>
      <c r="VG20">
        <v>18560</v>
      </c>
      <c r="VH20">
        <v>36063</v>
      </c>
      <c r="VI20">
        <v>31029</v>
      </c>
      <c r="VJ20">
        <v>0</v>
      </c>
      <c r="VK20">
        <v>11908</v>
      </c>
      <c r="VL20">
        <v>64745</v>
      </c>
      <c r="VM20">
        <v>15377</v>
      </c>
      <c r="VN20">
        <v>14593</v>
      </c>
      <c r="VO20">
        <v>11612</v>
      </c>
      <c r="VP20">
        <v>25640</v>
      </c>
      <c r="VQ20">
        <v>0</v>
      </c>
      <c r="VR20">
        <v>37900</v>
      </c>
      <c r="VS20">
        <v>1092</v>
      </c>
      <c r="VT20">
        <v>108522</v>
      </c>
      <c r="VU20">
        <v>12844</v>
      </c>
      <c r="VV20">
        <v>27931</v>
      </c>
      <c r="VW20">
        <v>17034</v>
      </c>
      <c r="VX20">
        <v>0</v>
      </c>
      <c r="VY20">
        <v>9043</v>
      </c>
      <c r="VZ20">
        <v>46624</v>
      </c>
      <c r="WA20">
        <v>14137</v>
      </c>
      <c r="WB20">
        <v>12344</v>
      </c>
      <c r="WC20">
        <v>12484</v>
      </c>
      <c r="WD20">
        <v>38863</v>
      </c>
      <c r="WE20">
        <v>0</v>
      </c>
      <c r="WF20">
        <v>44797</v>
      </c>
      <c r="WG20">
        <v>19493</v>
      </c>
      <c r="WH20">
        <v>41061</v>
      </c>
      <c r="WI20">
        <v>7082</v>
      </c>
      <c r="WJ20">
        <v>34100</v>
      </c>
      <c r="WK20">
        <v>9030</v>
      </c>
      <c r="WL20">
        <v>0</v>
      </c>
      <c r="WM20">
        <v>6033</v>
      </c>
      <c r="WN20">
        <v>54429</v>
      </c>
      <c r="WO20">
        <v>24877</v>
      </c>
      <c r="WP20">
        <v>14058</v>
      </c>
      <c r="WQ20">
        <v>22770</v>
      </c>
      <c r="WR20">
        <v>16832</v>
      </c>
      <c r="WS20">
        <v>22501</v>
      </c>
      <c r="WT20">
        <v>63390</v>
      </c>
      <c r="WU20">
        <v>18744</v>
      </c>
      <c r="WV20">
        <v>59584</v>
      </c>
      <c r="WW20">
        <v>30182</v>
      </c>
      <c r="WX20">
        <v>63955</v>
      </c>
      <c r="WY20">
        <v>242301</v>
      </c>
      <c r="WZ20">
        <v>0</v>
      </c>
      <c r="XA20">
        <v>4332</v>
      </c>
      <c r="XB20">
        <v>13467</v>
      </c>
      <c r="XC20">
        <v>22678</v>
      </c>
      <c r="XD20">
        <v>23274</v>
      </c>
      <c r="XE20">
        <v>8525</v>
      </c>
      <c r="XF20">
        <v>10003</v>
      </c>
      <c r="XG20">
        <v>0</v>
      </c>
      <c r="XH20">
        <v>17032</v>
      </c>
      <c r="XI20">
        <v>19337</v>
      </c>
      <c r="XJ20">
        <v>25480</v>
      </c>
      <c r="XK20">
        <v>79093</v>
      </c>
      <c r="XL20">
        <v>24930</v>
      </c>
      <c r="XM20">
        <v>10590</v>
      </c>
      <c r="XN20">
        <v>0</v>
      </c>
      <c r="XO20">
        <v>11788</v>
      </c>
      <c r="XP20">
        <v>4395</v>
      </c>
      <c r="XQ20">
        <v>8766</v>
      </c>
      <c r="XR20">
        <v>16742</v>
      </c>
      <c r="XS20">
        <v>6452</v>
      </c>
      <c r="XT20">
        <v>28524</v>
      </c>
      <c r="XU20">
        <v>0</v>
      </c>
      <c r="XV20">
        <v>0</v>
      </c>
      <c r="XW20">
        <v>12588</v>
      </c>
      <c r="XX20">
        <v>10323</v>
      </c>
      <c r="XY20">
        <v>12069</v>
      </c>
      <c r="XZ20">
        <v>29457</v>
      </c>
      <c r="YA20">
        <v>5446</v>
      </c>
      <c r="YB20">
        <v>8412</v>
      </c>
      <c r="YC20">
        <v>128975</v>
      </c>
      <c r="YD20">
        <v>22227</v>
      </c>
      <c r="YE20">
        <v>26582</v>
      </c>
      <c r="YF20">
        <v>14185</v>
      </c>
      <c r="YG20">
        <v>13802</v>
      </c>
      <c r="YH20">
        <v>13802</v>
      </c>
      <c r="YI20">
        <v>0</v>
      </c>
      <c r="YJ20">
        <v>35347</v>
      </c>
      <c r="YK20">
        <v>0</v>
      </c>
      <c r="YL20">
        <v>16410</v>
      </c>
      <c r="YM20">
        <v>58019</v>
      </c>
      <c r="YN20">
        <v>31716</v>
      </c>
      <c r="YO20">
        <v>8638</v>
      </c>
      <c r="YP20">
        <v>0</v>
      </c>
      <c r="YQ20">
        <v>6037</v>
      </c>
      <c r="YR20">
        <v>29183</v>
      </c>
      <c r="YS20">
        <v>151333</v>
      </c>
      <c r="YT20">
        <v>40702</v>
      </c>
      <c r="YU20">
        <v>22658</v>
      </c>
      <c r="YV20">
        <v>28133</v>
      </c>
      <c r="YW20">
        <v>0</v>
      </c>
      <c r="YX20">
        <v>8065</v>
      </c>
      <c r="YY20">
        <v>10214</v>
      </c>
      <c r="YZ20">
        <v>19869</v>
      </c>
      <c r="ZA20">
        <v>12166</v>
      </c>
      <c r="ZB20">
        <v>111405</v>
      </c>
      <c r="ZC20">
        <v>32960</v>
      </c>
      <c r="ZD20">
        <v>0</v>
      </c>
      <c r="ZE20">
        <v>16348</v>
      </c>
      <c r="ZF20">
        <v>36970</v>
      </c>
      <c r="ZG20">
        <v>20631</v>
      </c>
      <c r="ZH20">
        <v>32240</v>
      </c>
      <c r="ZI20">
        <v>20939</v>
      </c>
      <c r="ZJ20">
        <v>14489</v>
      </c>
      <c r="ZK20">
        <v>39284</v>
      </c>
      <c r="ZL20">
        <v>25307</v>
      </c>
      <c r="ZM20">
        <v>23085</v>
      </c>
      <c r="ZN20">
        <v>0</v>
      </c>
      <c r="ZO20">
        <v>135227</v>
      </c>
      <c r="ZP20">
        <v>19696</v>
      </c>
      <c r="ZQ20">
        <v>11676</v>
      </c>
      <c r="ZR20">
        <v>1722</v>
      </c>
      <c r="ZS20">
        <v>10676</v>
      </c>
      <c r="ZT20">
        <v>34538</v>
      </c>
      <c r="ZU20">
        <v>47429</v>
      </c>
      <c r="ZV20">
        <v>15306</v>
      </c>
      <c r="ZW20">
        <v>42488</v>
      </c>
      <c r="ZX20">
        <v>26709</v>
      </c>
      <c r="ZY20">
        <v>0</v>
      </c>
      <c r="ZZ20">
        <v>18406</v>
      </c>
      <c r="AAA20">
        <v>36288</v>
      </c>
      <c r="AAB20">
        <v>20750</v>
      </c>
      <c r="AAC20">
        <v>20246</v>
      </c>
      <c r="AAD20">
        <v>71558</v>
      </c>
      <c r="AAE20">
        <v>38701</v>
      </c>
      <c r="AAF20">
        <v>421</v>
      </c>
      <c r="AAG20">
        <v>11999</v>
      </c>
      <c r="AAH20">
        <v>51660</v>
      </c>
      <c r="AAI20">
        <v>26613</v>
      </c>
      <c r="AAJ20">
        <v>31071</v>
      </c>
      <c r="AAK20">
        <v>65508</v>
      </c>
      <c r="AAL20">
        <v>33381</v>
      </c>
      <c r="AAM20">
        <v>0</v>
      </c>
      <c r="AAN20">
        <v>96813</v>
      </c>
      <c r="AAO20">
        <v>23071</v>
      </c>
      <c r="AAP20">
        <v>19853</v>
      </c>
      <c r="AAQ20">
        <v>15078</v>
      </c>
      <c r="AAR20">
        <v>14625</v>
      </c>
      <c r="AAS20">
        <v>82068</v>
      </c>
      <c r="AAT20">
        <v>20745</v>
      </c>
      <c r="AAU20">
        <v>0</v>
      </c>
      <c r="AAV20">
        <v>26339</v>
      </c>
      <c r="AAW20">
        <v>34197</v>
      </c>
      <c r="AAX20">
        <v>44329</v>
      </c>
      <c r="AAY20">
        <v>135978</v>
      </c>
      <c r="AAZ20">
        <v>22623</v>
      </c>
      <c r="ABA20">
        <v>0</v>
      </c>
      <c r="ABB20">
        <v>96384</v>
      </c>
      <c r="ABC20">
        <v>21505</v>
      </c>
      <c r="ABD20">
        <v>19121</v>
      </c>
      <c r="ABE20">
        <v>4258</v>
      </c>
      <c r="ABF20">
        <v>21472</v>
      </c>
      <c r="ABG20">
        <v>104040</v>
      </c>
      <c r="ABH20">
        <v>5094</v>
      </c>
      <c r="ABI20">
        <v>19328</v>
      </c>
      <c r="ABJ20">
        <v>9945</v>
      </c>
      <c r="ABK20">
        <v>5772</v>
      </c>
      <c r="ABL20">
        <v>7270</v>
      </c>
      <c r="ABM20">
        <v>15461</v>
      </c>
      <c r="ABN20">
        <v>62906</v>
      </c>
      <c r="ABO20">
        <v>1765</v>
      </c>
      <c r="ABP20">
        <v>77123</v>
      </c>
      <c r="ABQ20">
        <v>21796</v>
      </c>
      <c r="ABR20">
        <v>155867</v>
      </c>
      <c r="ABS20">
        <v>34989</v>
      </c>
      <c r="ABT20">
        <v>158890</v>
      </c>
      <c r="ABU20">
        <v>9761</v>
      </c>
      <c r="ABV20">
        <v>1905</v>
      </c>
      <c r="ABW20">
        <v>19294</v>
      </c>
      <c r="ABX20">
        <v>14314</v>
      </c>
      <c r="ABY20">
        <v>31926</v>
      </c>
      <c r="ABZ20">
        <v>244731</v>
      </c>
      <c r="ACA20">
        <v>85088</v>
      </c>
      <c r="ACB20">
        <v>61739</v>
      </c>
      <c r="ACC20">
        <v>0</v>
      </c>
      <c r="ACD20">
        <v>42294</v>
      </c>
      <c r="ACE20">
        <v>20318</v>
      </c>
      <c r="ACF20">
        <v>3446</v>
      </c>
      <c r="ACG20">
        <v>25163</v>
      </c>
      <c r="ACH20">
        <v>10084</v>
      </c>
      <c r="ACI20">
        <v>1117</v>
      </c>
      <c r="ACJ20">
        <v>0</v>
      </c>
      <c r="ACK20">
        <v>42661</v>
      </c>
      <c r="ACL20">
        <v>27015</v>
      </c>
      <c r="ACM20">
        <v>28387</v>
      </c>
      <c r="ACN20">
        <v>27451</v>
      </c>
      <c r="ACO20">
        <v>23488</v>
      </c>
      <c r="ACP20">
        <v>48198</v>
      </c>
      <c r="ACQ20">
        <v>0</v>
      </c>
      <c r="ACR20">
        <v>123285</v>
      </c>
      <c r="ACS20">
        <v>85616</v>
      </c>
      <c r="ACT20">
        <v>22504</v>
      </c>
      <c r="ACU20">
        <v>76436</v>
      </c>
      <c r="ACV20">
        <v>0</v>
      </c>
      <c r="ACW20">
        <v>10310</v>
      </c>
      <c r="ACX20">
        <v>12653</v>
      </c>
      <c r="ACY20">
        <v>16438</v>
      </c>
      <c r="ACZ20">
        <v>6723</v>
      </c>
      <c r="ADA20">
        <v>11619</v>
      </c>
      <c r="ADB20">
        <v>42394</v>
      </c>
      <c r="ADC20">
        <v>118618</v>
      </c>
      <c r="ADD20">
        <v>118618</v>
      </c>
      <c r="ADE20">
        <v>11118</v>
      </c>
      <c r="ADF20">
        <v>13850</v>
      </c>
      <c r="ADG20">
        <v>25080</v>
      </c>
      <c r="ADH20">
        <v>29665</v>
      </c>
      <c r="ADI20">
        <v>116212</v>
      </c>
      <c r="ADJ20">
        <v>27943</v>
      </c>
      <c r="ADK20">
        <v>27943</v>
      </c>
      <c r="ADL20">
        <v>0</v>
      </c>
      <c r="ADM20">
        <v>61982</v>
      </c>
      <c r="ADN20">
        <v>8421</v>
      </c>
      <c r="ADO20">
        <v>21597</v>
      </c>
      <c r="ADP20">
        <v>36147</v>
      </c>
      <c r="ADQ20">
        <v>157852</v>
      </c>
      <c r="ADR20">
        <v>30129</v>
      </c>
      <c r="ADS20">
        <v>0</v>
      </c>
      <c r="ADT20">
        <v>90147</v>
      </c>
      <c r="ADU20">
        <v>3596</v>
      </c>
      <c r="ADV20">
        <v>0</v>
      </c>
      <c r="ADW20">
        <v>0</v>
      </c>
      <c r="ADX20">
        <v>6408</v>
      </c>
      <c r="ADY20">
        <v>10</v>
      </c>
      <c r="ADZ20">
        <v>0</v>
      </c>
      <c r="AEA20">
        <v>67718</v>
      </c>
      <c r="AEB20">
        <v>46559</v>
      </c>
      <c r="AEC20">
        <v>34827</v>
      </c>
      <c r="AED20">
        <v>31342</v>
      </c>
      <c r="AEE20">
        <v>76469</v>
      </c>
      <c r="AEF20">
        <v>14446</v>
      </c>
      <c r="AEG20">
        <v>0</v>
      </c>
      <c r="AEH20">
        <v>19884</v>
      </c>
      <c r="AEI20">
        <v>22588</v>
      </c>
      <c r="AEJ20">
        <v>11402</v>
      </c>
      <c r="AEK20">
        <v>29748</v>
      </c>
      <c r="AEL20">
        <v>37146</v>
      </c>
      <c r="AEM20">
        <v>24627</v>
      </c>
      <c r="AEN20">
        <v>0</v>
      </c>
      <c r="AEO20">
        <v>21581</v>
      </c>
      <c r="AEP20">
        <v>171082</v>
      </c>
      <c r="AEQ20">
        <v>22279</v>
      </c>
      <c r="AER20">
        <v>10602</v>
      </c>
      <c r="AES20">
        <v>13530</v>
      </c>
      <c r="AET20">
        <v>27931</v>
      </c>
      <c r="AEU20">
        <v>0</v>
      </c>
      <c r="AEV20">
        <v>17491</v>
      </c>
      <c r="AEW20">
        <v>23676</v>
      </c>
      <c r="AEX20">
        <v>16238</v>
      </c>
      <c r="AEY20">
        <v>25139</v>
      </c>
      <c r="AEZ20">
        <v>35914</v>
      </c>
      <c r="AFA20">
        <v>11138</v>
      </c>
      <c r="AFB20">
        <v>0</v>
      </c>
      <c r="AFC20">
        <v>19590</v>
      </c>
      <c r="AFD20">
        <v>23789</v>
      </c>
      <c r="AFE20">
        <v>23303</v>
      </c>
      <c r="AFF20">
        <v>23087</v>
      </c>
      <c r="AFG20">
        <v>20250</v>
      </c>
      <c r="AFH20">
        <v>13043</v>
      </c>
      <c r="AFI20">
        <v>976</v>
      </c>
      <c r="AFJ20">
        <v>20833</v>
      </c>
      <c r="AFK20">
        <v>42813</v>
      </c>
      <c r="AFL20">
        <v>3811</v>
      </c>
      <c r="AFM20">
        <v>45471</v>
      </c>
      <c r="AFN20">
        <v>14328</v>
      </c>
      <c r="AFO20">
        <v>22725</v>
      </c>
      <c r="AFP20">
        <v>0</v>
      </c>
      <c r="AFQ20">
        <v>10158</v>
      </c>
      <c r="AFR20">
        <v>21371</v>
      </c>
      <c r="AFS20">
        <v>21280</v>
      </c>
      <c r="AFT20">
        <v>32175</v>
      </c>
      <c r="AFU20">
        <v>130447</v>
      </c>
      <c r="AFV20">
        <v>50290</v>
      </c>
      <c r="AFW20">
        <v>807</v>
      </c>
      <c r="AFX20">
        <v>5515</v>
      </c>
      <c r="AFY20">
        <v>4761</v>
      </c>
      <c r="AFZ20">
        <v>28122</v>
      </c>
      <c r="AGA20">
        <v>28907</v>
      </c>
      <c r="AGB20">
        <v>21272</v>
      </c>
      <c r="AGC20">
        <v>14957</v>
      </c>
      <c r="AGD20">
        <v>0</v>
      </c>
      <c r="AGE20">
        <v>79730</v>
      </c>
      <c r="AGF20">
        <v>29207</v>
      </c>
      <c r="AGG20">
        <v>21650</v>
      </c>
      <c r="AGH20">
        <v>1881</v>
      </c>
      <c r="AGI20">
        <v>9109</v>
      </c>
      <c r="AGJ20">
        <v>0</v>
      </c>
      <c r="AGK20">
        <v>0</v>
      </c>
      <c r="AGL20">
        <v>24230</v>
      </c>
      <c r="AGM20">
        <v>28128</v>
      </c>
      <c r="AGN20">
        <v>26148</v>
      </c>
      <c r="AGO20">
        <v>13494</v>
      </c>
      <c r="AGP20">
        <v>39464</v>
      </c>
      <c r="AGQ20">
        <v>22963</v>
      </c>
      <c r="AGR20">
        <v>0</v>
      </c>
      <c r="AGS20">
        <v>25528</v>
      </c>
      <c r="AGT20">
        <v>10423</v>
      </c>
      <c r="AGU20">
        <v>107049</v>
      </c>
      <c r="AGV20">
        <v>23425</v>
      </c>
      <c r="AGW20">
        <v>13590</v>
      </c>
      <c r="AGX20">
        <v>18829</v>
      </c>
      <c r="AGY20">
        <v>0</v>
      </c>
      <c r="AGZ20">
        <v>18526</v>
      </c>
      <c r="AHA20">
        <v>34341</v>
      </c>
      <c r="AHB20">
        <v>37980</v>
      </c>
      <c r="AHC20">
        <v>14519</v>
      </c>
      <c r="AHD20">
        <v>47188</v>
      </c>
      <c r="AHE20">
        <v>60032</v>
      </c>
      <c r="AHH20">
        <v>0</v>
      </c>
      <c r="AHI20">
        <v>30550</v>
      </c>
      <c r="AHJ20">
        <v>30870</v>
      </c>
      <c r="AHK20">
        <v>65796</v>
      </c>
      <c r="AHL20">
        <v>21168</v>
      </c>
      <c r="AHM20">
        <v>0</v>
      </c>
      <c r="AHN20">
        <v>4948</v>
      </c>
      <c r="AHO20">
        <v>101042</v>
      </c>
      <c r="AHP20">
        <v>12091</v>
      </c>
      <c r="AHQ20">
        <v>47023</v>
      </c>
      <c r="AHR20">
        <v>24256</v>
      </c>
      <c r="AHS20">
        <v>65809</v>
      </c>
      <c r="AHT20">
        <v>0</v>
      </c>
      <c r="AHU20">
        <v>0</v>
      </c>
      <c r="AHV20">
        <v>0</v>
      </c>
      <c r="AHW20">
        <v>11671</v>
      </c>
      <c r="AHX20">
        <v>25278</v>
      </c>
      <c r="AHY20">
        <v>14009</v>
      </c>
      <c r="AHZ20">
        <v>9386</v>
      </c>
      <c r="AIA20">
        <v>0</v>
      </c>
      <c r="AIB20">
        <v>43639</v>
      </c>
      <c r="AIC20">
        <v>39893</v>
      </c>
      <c r="AID20">
        <v>22940</v>
      </c>
      <c r="AIE20">
        <v>261034</v>
      </c>
      <c r="AIF20">
        <v>19171</v>
      </c>
      <c r="AIG20">
        <v>26394</v>
      </c>
      <c r="AIH20">
        <v>0</v>
      </c>
      <c r="AII20">
        <v>14434</v>
      </c>
      <c r="AIJ20">
        <v>25044</v>
      </c>
      <c r="AIK20">
        <v>67632</v>
      </c>
      <c r="AIL20">
        <v>18124</v>
      </c>
      <c r="AIM20">
        <v>0</v>
      </c>
      <c r="AIN20">
        <v>53452</v>
      </c>
      <c r="AIO20">
        <v>0</v>
      </c>
      <c r="AIP20">
        <v>0</v>
      </c>
      <c r="AIQ20">
        <v>2382</v>
      </c>
      <c r="AIR20">
        <v>22581</v>
      </c>
      <c r="AIS20">
        <v>115886</v>
      </c>
      <c r="AIT20">
        <v>29280</v>
      </c>
      <c r="AIU20">
        <v>32618</v>
      </c>
      <c r="AIV20">
        <v>618</v>
      </c>
      <c r="AIW20">
        <v>13402</v>
      </c>
      <c r="AIX20">
        <v>59793</v>
      </c>
      <c r="AIY20">
        <v>37260</v>
      </c>
      <c r="AIZ20">
        <v>40449</v>
      </c>
      <c r="AJA20">
        <v>315489</v>
      </c>
      <c r="AJB20">
        <v>38533</v>
      </c>
      <c r="AJC20">
        <v>60</v>
      </c>
      <c r="AJD20">
        <v>22018</v>
      </c>
      <c r="AJE20">
        <v>26403</v>
      </c>
      <c r="AJF20">
        <v>12995</v>
      </c>
      <c r="AJG20">
        <v>34596</v>
      </c>
      <c r="AJH20">
        <v>34663</v>
      </c>
      <c r="AJI20">
        <v>39681</v>
      </c>
      <c r="AJJ20">
        <v>0</v>
      </c>
      <c r="AJK20">
        <v>2241</v>
      </c>
      <c r="AJL20">
        <v>17165</v>
      </c>
      <c r="AJM20">
        <v>19389</v>
      </c>
      <c r="AJN20">
        <v>16163</v>
      </c>
      <c r="AJO20">
        <v>85750</v>
      </c>
      <c r="AJP20">
        <v>228609</v>
      </c>
      <c r="AJQ20">
        <v>0</v>
      </c>
      <c r="AJR20">
        <v>0</v>
      </c>
      <c r="AJS20">
        <v>26250</v>
      </c>
      <c r="AJT20">
        <v>0</v>
      </c>
      <c r="AJU20">
        <v>8610</v>
      </c>
      <c r="AJV20">
        <v>36175</v>
      </c>
      <c r="AJW20">
        <v>22569</v>
      </c>
      <c r="AJX20">
        <v>0</v>
      </c>
      <c r="AJY20">
        <v>12710</v>
      </c>
      <c r="AJZ20">
        <v>31969</v>
      </c>
      <c r="AKA20">
        <v>14324</v>
      </c>
      <c r="AKB20">
        <v>32543</v>
      </c>
      <c r="AKC20">
        <v>45127</v>
      </c>
      <c r="AKD20">
        <v>23192</v>
      </c>
      <c r="AKE20">
        <v>0</v>
      </c>
      <c r="AKF20">
        <v>41892</v>
      </c>
    </row>
    <row r="21" spans="1:968">
      <c r="A21">
        <v>2</v>
      </c>
      <c r="B21" t="s">
        <v>115</v>
      </c>
      <c r="C21" s="1">
        <v>82640</v>
      </c>
      <c r="D21" s="1" t="s">
        <v>28</v>
      </c>
      <c r="E21" s="1" t="s">
        <v>113</v>
      </c>
      <c r="F21" s="1" t="s">
        <v>17</v>
      </c>
      <c r="G21" s="1" t="s">
        <v>33</v>
      </c>
      <c r="H21" s="1" t="s">
        <v>114</v>
      </c>
      <c r="I21" s="1" t="s">
        <v>45</v>
      </c>
      <c r="J21" s="1" t="s">
        <v>46</v>
      </c>
      <c r="K21">
        <v>0</v>
      </c>
      <c r="L21">
        <v>18</v>
      </c>
      <c r="M21">
        <v>0</v>
      </c>
      <c r="N21">
        <v>1</v>
      </c>
      <c r="O21">
        <v>0</v>
      </c>
      <c r="P21">
        <v>840</v>
      </c>
      <c r="Q21">
        <v>2514</v>
      </c>
      <c r="R21">
        <v>1627</v>
      </c>
      <c r="S21">
        <v>4754</v>
      </c>
      <c r="T21">
        <v>3170</v>
      </c>
      <c r="U21">
        <v>345</v>
      </c>
      <c r="V21">
        <v>0</v>
      </c>
      <c r="W21">
        <v>1931</v>
      </c>
      <c r="X21">
        <v>8</v>
      </c>
      <c r="Y21">
        <v>0</v>
      </c>
      <c r="Z21">
        <v>0</v>
      </c>
      <c r="AA21">
        <v>32</v>
      </c>
      <c r="AB21">
        <v>0</v>
      </c>
      <c r="AC21">
        <v>0</v>
      </c>
      <c r="AD21">
        <v>0</v>
      </c>
      <c r="AE21">
        <v>120</v>
      </c>
      <c r="AF21">
        <v>5006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4985</v>
      </c>
      <c r="AU21">
        <v>4365</v>
      </c>
      <c r="AV21">
        <v>0</v>
      </c>
      <c r="AW21">
        <v>1696</v>
      </c>
      <c r="AX21">
        <v>0</v>
      </c>
      <c r="AY21">
        <v>0</v>
      </c>
      <c r="AZ21">
        <v>14</v>
      </c>
      <c r="BA21">
        <v>0</v>
      </c>
      <c r="BB21">
        <v>0</v>
      </c>
      <c r="BC21">
        <v>43</v>
      </c>
      <c r="BD21">
        <v>0</v>
      </c>
      <c r="BE21">
        <v>0</v>
      </c>
      <c r="BF21">
        <v>0</v>
      </c>
      <c r="BG21">
        <v>0</v>
      </c>
      <c r="BH21">
        <v>1322</v>
      </c>
      <c r="BI21">
        <v>187</v>
      </c>
      <c r="BJ21">
        <v>0</v>
      </c>
      <c r="BK21">
        <v>0</v>
      </c>
      <c r="BL21">
        <v>0</v>
      </c>
      <c r="BM21">
        <v>3914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 s="33">
        <v>0</v>
      </c>
      <c r="BV21" s="33">
        <v>0</v>
      </c>
      <c r="BW21" s="33">
        <v>0</v>
      </c>
      <c r="BX21" s="33">
        <v>0</v>
      </c>
      <c r="BY21" s="33">
        <v>5244</v>
      </c>
      <c r="BZ21" s="33">
        <v>0</v>
      </c>
      <c r="CA21" s="33">
        <v>2</v>
      </c>
      <c r="CB21">
        <v>0</v>
      </c>
      <c r="CC21">
        <v>1275</v>
      </c>
      <c r="CD21">
        <v>1329</v>
      </c>
      <c r="CE21">
        <v>2251</v>
      </c>
      <c r="CF21">
        <v>1</v>
      </c>
      <c r="CG21">
        <v>2911</v>
      </c>
      <c r="CH21">
        <v>1864</v>
      </c>
      <c r="CI21">
        <v>2302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1</v>
      </c>
      <c r="CY21">
        <v>1</v>
      </c>
      <c r="CZ21">
        <v>0</v>
      </c>
      <c r="DA21">
        <v>0</v>
      </c>
      <c r="DB21">
        <v>0</v>
      </c>
      <c r="DC21">
        <v>5030</v>
      </c>
      <c r="DD21">
        <v>2</v>
      </c>
      <c r="DE21">
        <v>0</v>
      </c>
      <c r="DF21">
        <v>4509</v>
      </c>
      <c r="DG21">
        <v>515</v>
      </c>
      <c r="DH21">
        <v>2923</v>
      </c>
      <c r="DI21">
        <v>0</v>
      </c>
      <c r="DJ21">
        <v>0</v>
      </c>
      <c r="DK21">
        <v>20</v>
      </c>
      <c r="DL21">
        <v>0</v>
      </c>
      <c r="DM21">
        <v>5088</v>
      </c>
      <c r="DN21">
        <v>0</v>
      </c>
      <c r="DO21">
        <v>0</v>
      </c>
      <c r="DP21">
        <v>0</v>
      </c>
      <c r="DQ21">
        <v>0</v>
      </c>
      <c r="DR21">
        <v>73</v>
      </c>
      <c r="DS21">
        <v>1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100</v>
      </c>
      <c r="EC21">
        <v>0</v>
      </c>
      <c r="ED21">
        <v>0</v>
      </c>
      <c r="EE21">
        <v>0</v>
      </c>
      <c r="EF21">
        <v>0</v>
      </c>
      <c r="EG21">
        <v>5204</v>
      </c>
      <c r="EH21">
        <v>0</v>
      </c>
      <c r="EI21">
        <v>1089</v>
      </c>
      <c r="EJ21">
        <v>1797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3</v>
      </c>
      <c r="EV21">
        <v>0</v>
      </c>
      <c r="EW21">
        <v>0</v>
      </c>
      <c r="EX21">
        <v>1</v>
      </c>
      <c r="EY21">
        <v>0</v>
      </c>
      <c r="EZ21">
        <v>0</v>
      </c>
      <c r="FA21">
        <v>0</v>
      </c>
      <c r="FB21">
        <v>0</v>
      </c>
      <c r="FC21">
        <v>2</v>
      </c>
      <c r="FD21">
        <v>0</v>
      </c>
      <c r="FE21">
        <v>0</v>
      </c>
      <c r="FF21">
        <v>0</v>
      </c>
      <c r="FG21">
        <v>217</v>
      </c>
      <c r="FH21">
        <v>0</v>
      </c>
      <c r="FI21">
        <v>0</v>
      </c>
      <c r="FJ21">
        <v>1775</v>
      </c>
      <c r="FK21">
        <v>3465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1982</v>
      </c>
      <c r="FR21">
        <v>2539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80</v>
      </c>
      <c r="FY21">
        <v>5</v>
      </c>
      <c r="FZ21">
        <v>1</v>
      </c>
      <c r="GA21">
        <v>1</v>
      </c>
      <c r="GB21">
        <v>0</v>
      </c>
      <c r="GC21">
        <v>0</v>
      </c>
      <c r="GD21">
        <v>0</v>
      </c>
      <c r="GE21">
        <v>773</v>
      </c>
      <c r="GF21">
        <v>16</v>
      </c>
      <c r="GG21">
        <v>0</v>
      </c>
      <c r="GH21">
        <v>0</v>
      </c>
      <c r="GI21">
        <v>11</v>
      </c>
      <c r="GJ21">
        <v>15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2321</v>
      </c>
      <c r="GT21">
        <v>4779</v>
      </c>
      <c r="GU21">
        <v>0</v>
      </c>
      <c r="GV21">
        <v>0</v>
      </c>
      <c r="GW21">
        <v>0</v>
      </c>
      <c r="GX21">
        <v>0</v>
      </c>
      <c r="GY21">
        <v>9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1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4507</v>
      </c>
      <c r="HW21">
        <v>0</v>
      </c>
      <c r="HX21">
        <v>0</v>
      </c>
      <c r="HY21">
        <v>-114</v>
      </c>
      <c r="HZ21">
        <v>0</v>
      </c>
      <c r="IA21">
        <v>0</v>
      </c>
      <c r="IB21">
        <v>371</v>
      </c>
      <c r="IC21">
        <v>0</v>
      </c>
      <c r="ID21">
        <v>0</v>
      </c>
      <c r="IE21">
        <v>0</v>
      </c>
      <c r="IF21">
        <v>2</v>
      </c>
      <c r="IG21">
        <v>0</v>
      </c>
      <c r="IH21">
        <v>0</v>
      </c>
      <c r="II21">
        <v>0</v>
      </c>
      <c r="IJ21">
        <v>1</v>
      </c>
      <c r="IK21">
        <v>0</v>
      </c>
      <c r="IL21">
        <v>0</v>
      </c>
      <c r="IM21">
        <v>0</v>
      </c>
      <c r="IN21">
        <v>0</v>
      </c>
      <c r="IO21">
        <v>1</v>
      </c>
      <c r="IP21">
        <v>34</v>
      </c>
      <c r="IQ21">
        <v>1</v>
      </c>
      <c r="IR21">
        <v>0</v>
      </c>
      <c r="IS21">
        <v>0</v>
      </c>
      <c r="IT21">
        <v>0</v>
      </c>
      <c r="IU21">
        <v>62</v>
      </c>
      <c r="IV21">
        <v>0</v>
      </c>
      <c r="IW21">
        <v>1209</v>
      </c>
      <c r="IX21">
        <v>3811</v>
      </c>
      <c r="IY21">
        <v>0</v>
      </c>
      <c r="IZ21">
        <v>0</v>
      </c>
      <c r="JA21">
        <v>1192</v>
      </c>
      <c r="JB21">
        <v>3171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50</v>
      </c>
      <c r="JI21">
        <v>456</v>
      </c>
      <c r="JJ21">
        <v>0</v>
      </c>
      <c r="JK21">
        <v>61</v>
      </c>
      <c r="JL21">
        <v>0</v>
      </c>
      <c r="JM21">
        <v>30</v>
      </c>
      <c r="JN21">
        <v>0</v>
      </c>
      <c r="JO21">
        <v>0</v>
      </c>
      <c r="JP21">
        <v>360</v>
      </c>
      <c r="JQ21">
        <v>159</v>
      </c>
      <c r="JR21">
        <v>16</v>
      </c>
      <c r="JS21">
        <v>0</v>
      </c>
      <c r="JT21">
        <v>0</v>
      </c>
      <c r="JU21">
        <v>0</v>
      </c>
      <c r="JV21">
        <v>572</v>
      </c>
      <c r="JW21">
        <v>26</v>
      </c>
      <c r="JX21">
        <v>0</v>
      </c>
      <c r="JY21">
        <v>0</v>
      </c>
      <c r="JZ21">
        <v>1745</v>
      </c>
      <c r="KA21">
        <v>0</v>
      </c>
      <c r="KB21">
        <v>0</v>
      </c>
      <c r="KC21">
        <v>0</v>
      </c>
      <c r="KD21">
        <v>3968</v>
      </c>
      <c r="KE21">
        <v>1128</v>
      </c>
      <c r="KF21">
        <v>0</v>
      </c>
      <c r="KG21">
        <v>2009</v>
      </c>
      <c r="KH21">
        <v>0</v>
      </c>
      <c r="KI21">
        <v>0</v>
      </c>
      <c r="KJ21">
        <v>0</v>
      </c>
      <c r="KK21">
        <v>36</v>
      </c>
      <c r="KL21">
        <v>371</v>
      </c>
      <c r="KM21">
        <v>35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19</v>
      </c>
      <c r="KU21">
        <v>321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16</v>
      </c>
      <c r="LG21">
        <v>0</v>
      </c>
      <c r="LH21">
        <v>1565</v>
      </c>
      <c r="LI21">
        <v>497</v>
      </c>
      <c r="LJ21">
        <v>2349</v>
      </c>
      <c r="LK21">
        <v>0</v>
      </c>
      <c r="LL21">
        <v>195</v>
      </c>
      <c r="LM21">
        <v>-1584</v>
      </c>
      <c r="LN21">
        <v>36</v>
      </c>
      <c r="LO21">
        <v>0</v>
      </c>
      <c r="LP21">
        <v>0</v>
      </c>
      <c r="LQ21">
        <v>75</v>
      </c>
      <c r="LR21">
        <v>0</v>
      </c>
      <c r="LS21">
        <v>1</v>
      </c>
      <c r="LT21">
        <v>37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4</v>
      </c>
      <c r="MB21">
        <v>0</v>
      </c>
      <c r="MC21">
        <v>1</v>
      </c>
      <c r="MD21">
        <v>0</v>
      </c>
      <c r="ME21">
        <v>400</v>
      </c>
      <c r="MF21">
        <v>0</v>
      </c>
      <c r="MG21">
        <v>14</v>
      </c>
      <c r="MH21">
        <v>0</v>
      </c>
      <c r="MI21">
        <v>0</v>
      </c>
      <c r="MJ21">
        <v>0</v>
      </c>
      <c r="MK21">
        <v>1741</v>
      </c>
      <c r="ML21">
        <v>3048</v>
      </c>
      <c r="MM21">
        <v>0</v>
      </c>
      <c r="MN21">
        <v>202</v>
      </c>
      <c r="MO21">
        <v>4</v>
      </c>
      <c r="MP21">
        <v>0</v>
      </c>
      <c r="MQ21">
        <v>1522</v>
      </c>
      <c r="MR21">
        <v>997</v>
      </c>
      <c r="MS21">
        <v>0</v>
      </c>
      <c r="MT21">
        <v>0</v>
      </c>
      <c r="MU21">
        <v>0</v>
      </c>
      <c r="MV21">
        <v>6</v>
      </c>
      <c r="MW21">
        <v>0</v>
      </c>
      <c r="MX21">
        <v>0</v>
      </c>
      <c r="MY21">
        <v>430</v>
      </c>
      <c r="MZ21">
        <v>0</v>
      </c>
      <c r="NA21">
        <v>0</v>
      </c>
      <c r="NB21">
        <v>0</v>
      </c>
      <c r="NC21">
        <v>3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4824</v>
      </c>
      <c r="NS21">
        <v>137</v>
      </c>
      <c r="NT21">
        <v>692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234</v>
      </c>
      <c r="OA21">
        <v>0</v>
      </c>
      <c r="OB21">
        <v>0</v>
      </c>
      <c r="OC21">
        <v>4</v>
      </c>
      <c r="OD21">
        <v>0</v>
      </c>
      <c r="OE21">
        <v>114</v>
      </c>
      <c r="OF21">
        <v>34</v>
      </c>
      <c r="OG21">
        <v>0</v>
      </c>
      <c r="OH21">
        <v>4</v>
      </c>
      <c r="OI21">
        <v>0</v>
      </c>
      <c r="OJ21">
        <v>0</v>
      </c>
      <c r="OK21">
        <v>0</v>
      </c>
      <c r="OL21">
        <v>0</v>
      </c>
      <c r="OM21">
        <v>1</v>
      </c>
      <c r="ON21">
        <v>14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3</v>
      </c>
      <c r="OU21">
        <v>0</v>
      </c>
      <c r="OV21">
        <v>1926</v>
      </c>
      <c r="OW21">
        <v>1506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3</v>
      </c>
      <c r="PD21">
        <v>0</v>
      </c>
      <c r="PE21">
        <v>0</v>
      </c>
      <c r="PF21">
        <v>4</v>
      </c>
      <c r="PG21">
        <v>0</v>
      </c>
      <c r="PH21">
        <v>0</v>
      </c>
      <c r="PI21">
        <v>132</v>
      </c>
      <c r="PJ21">
        <v>205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2230</v>
      </c>
      <c r="QC21">
        <v>1896</v>
      </c>
      <c r="QD21">
        <v>975</v>
      </c>
      <c r="QE21">
        <v>2451</v>
      </c>
      <c r="QF21">
        <v>2554</v>
      </c>
      <c r="QG21">
        <v>0</v>
      </c>
      <c r="QH21">
        <v>0</v>
      </c>
      <c r="QI21">
        <v>0</v>
      </c>
      <c r="QJ21">
        <v>1553</v>
      </c>
      <c r="QK21">
        <v>122</v>
      </c>
      <c r="QL21">
        <v>585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24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1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1</v>
      </c>
      <c r="RF21">
        <v>3005</v>
      </c>
      <c r="RG21">
        <v>2052</v>
      </c>
      <c r="RH21">
        <v>0</v>
      </c>
      <c r="RI21">
        <v>0</v>
      </c>
      <c r="RJ21">
        <v>0</v>
      </c>
      <c r="RK21">
        <v>3661</v>
      </c>
      <c r="RL21">
        <v>0</v>
      </c>
      <c r="RM21">
        <v>0</v>
      </c>
      <c r="RN21">
        <v>874</v>
      </c>
      <c r="RO21">
        <v>0</v>
      </c>
      <c r="RP21">
        <v>0</v>
      </c>
      <c r="RQ21">
        <v>0</v>
      </c>
      <c r="RR21">
        <v>0</v>
      </c>
      <c r="RS21">
        <v>8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1586</v>
      </c>
      <c r="RZ21">
        <v>510</v>
      </c>
      <c r="SA21">
        <v>2</v>
      </c>
      <c r="SB21">
        <v>0</v>
      </c>
      <c r="SC21">
        <v>1</v>
      </c>
      <c r="SD21">
        <v>0</v>
      </c>
      <c r="SE21">
        <v>0</v>
      </c>
      <c r="SF21">
        <v>1</v>
      </c>
      <c r="SG21">
        <v>3303</v>
      </c>
      <c r="SH21">
        <v>66</v>
      </c>
      <c r="SI21">
        <v>0</v>
      </c>
      <c r="SJ21">
        <v>7</v>
      </c>
      <c r="SK21">
        <v>0</v>
      </c>
      <c r="SL21">
        <v>0</v>
      </c>
      <c r="SM21">
        <v>3</v>
      </c>
      <c r="SN21">
        <v>63</v>
      </c>
      <c r="SO21">
        <v>0</v>
      </c>
      <c r="SP21">
        <v>892</v>
      </c>
      <c r="SQ21">
        <v>0</v>
      </c>
      <c r="SR21">
        <v>0</v>
      </c>
      <c r="SS21">
        <v>0</v>
      </c>
      <c r="ST21">
        <v>0</v>
      </c>
      <c r="SU21">
        <v>7</v>
      </c>
      <c r="SV21">
        <v>0</v>
      </c>
      <c r="SW21">
        <v>0</v>
      </c>
      <c r="SX21">
        <v>2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1372</v>
      </c>
      <c r="TE21">
        <v>0</v>
      </c>
      <c r="TF21">
        <v>0</v>
      </c>
      <c r="TG21">
        <v>0</v>
      </c>
      <c r="TH21">
        <v>0</v>
      </c>
      <c r="TI21">
        <v>3</v>
      </c>
      <c r="TJ21">
        <v>0</v>
      </c>
      <c r="TK21">
        <v>421</v>
      </c>
      <c r="TL21">
        <v>382</v>
      </c>
      <c r="TM21">
        <v>0</v>
      </c>
      <c r="TN21">
        <v>3752</v>
      </c>
      <c r="TO21">
        <v>0</v>
      </c>
      <c r="TP21">
        <v>849</v>
      </c>
      <c r="TQ21">
        <v>2535</v>
      </c>
      <c r="TR21">
        <v>908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794</v>
      </c>
      <c r="UC21">
        <v>2</v>
      </c>
      <c r="UD21">
        <v>1011</v>
      </c>
      <c r="UE21">
        <v>1696</v>
      </c>
      <c r="UF21">
        <v>29</v>
      </c>
      <c r="UG21">
        <v>30</v>
      </c>
      <c r="UH21">
        <v>0</v>
      </c>
      <c r="UI21">
        <v>0</v>
      </c>
      <c r="UJ21">
        <v>73</v>
      </c>
      <c r="UK21">
        <v>104</v>
      </c>
      <c r="UL21">
        <v>0</v>
      </c>
      <c r="UM21">
        <v>1869</v>
      </c>
      <c r="UN21">
        <v>62</v>
      </c>
      <c r="UO21">
        <v>0</v>
      </c>
      <c r="UP21">
        <v>17</v>
      </c>
      <c r="UQ21">
        <v>861</v>
      </c>
      <c r="UR21">
        <v>2741</v>
      </c>
      <c r="US21">
        <v>47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5</v>
      </c>
      <c r="UZ21">
        <v>750</v>
      </c>
      <c r="VA21">
        <v>210</v>
      </c>
      <c r="VB21">
        <v>1600</v>
      </c>
      <c r="VC21">
        <v>0</v>
      </c>
      <c r="VD21">
        <v>0</v>
      </c>
      <c r="VE21">
        <v>0</v>
      </c>
      <c r="VF21">
        <v>2596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143</v>
      </c>
      <c r="VM21">
        <v>0</v>
      </c>
      <c r="VN21">
        <v>1</v>
      </c>
      <c r="VO21">
        <v>1</v>
      </c>
      <c r="VP21">
        <v>0</v>
      </c>
      <c r="VQ21">
        <v>0</v>
      </c>
      <c r="VR21">
        <v>650</v>
      </c>
      <c r="VS21">
        <v>0</v>
      </c>
      <c r="VT21">
        <v>38</v>
      </c>
      <c r="VU21">
        <v>3428</v>
      </c>
      <c r="VV21">
        <v>1102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5000</v>
      </c>
      <c r="WE21">
        <v>0</v>
      </c>
      <c r="WF21">
        <v>0</v>
      </c>
      <c r="WG21">
        <v>0</v>
      </c>
      <c r="WH21">
        <v>254</v>
      </c>
      <c r="WI21">
        <v>4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1924</v>
      </c>
      <c r="WP21">
        <v>70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780</v>
      </c>
      <c r="WY21">
        <v>2192</v>
      </c>
      <c r="WZ21">
        <v>0</v>
      </c>
      <c r="XA21">
        <v>2802</v>
      </c>
      <c r="XB21">
        <v>800</v>
      </c>
      <c r="XC21">
        <v>3486</v>
      </c>
      <c r="XD21">
        <v>1453</v>
      </c>
      <c r="XE21">
        <v>0</v>
      </c>
      <c r="XF21">
        <v>976</v>
      </c>
      <c r="XG21">
        <v>0</v>
      </c>
      <c r="XH21">
        <v>0</v>
      </c>
      <c r="XI21">
        <v>1084</v>
      </c>
      <c r="XJ21">
        <v>752</v>
      </c>
      <c r="XK21">
        <v>1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10</v>
      </c>
      <c r="XR21">
        <v>0</v>
      </c>
      <c r="XS21">
        <v>495</v>
      </c>
      <c r="XT21">
        <v>0</v>
      </c>
      <c r="XU21">
        <v>0</v>
      </c>
      <c r="XV21">
        <v>0</v>
      </c>
      <c r="XW21">
        <v>0</v>
      </c>
      <c r="XX21">
        <v>17</v>
      </c>
      <c r="XY21">
        <v>0</v>
      </c>
      <c r="XZ21">
        <v>37</v>
      </c>
      <c r="YA21">
        <v>0</v>
      </c>
      <c r="YB21">
        <v>0</v>
      </c>
      <c r="YC21">
        <v>0</v>
      </c>
      <c r="YD21">
        <v>0</v>
      </c>
      <c r="YE21">
        <v>5090</v>
      </c>
      <c r="YF21">
        <v>2166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6</v>
      </c>
      <c r="YM21">
        <v>984</v>
      </c>
      <c r="YN21">
        <v>1169</v>
      </c>
      <c r="YO21">
        <v>0</v>
      </c>
      <c r="YP21">
        <v>0</v>
      </c>
      <c r="YQ21">
        <v>9</v>
      </c>
      <c r="YR21">
        <v>0</v>
      </c>
      <c r="YS21">
        <v>969</v>
      </c>
      <c r="YT21">
        <v>5</v>
      </c>
      <c r="YU21">
        <v>2</v>
      </c>
      <c r="YV21">
        <v>0</v>
      </c>
      <c r="YW21">
        <v>0</v>
      </c>
      <c r="YX21">
        <v>2</v>
      </c>
      <c r="YY21">
        <v>536</v>
      </c>
      <c r="YZ21">
        <v>0</v>
      </c>
      <c r="ZA21">
        <v>4984</v>
      </c>
      <c r="ZB21">
        <v>13</v>
      </c>
      <c r="ZC21">
        <v>74</v>
      </c>
      <c r="ZD21">
        <v>0</v>
      </c>
      <c r="ZE21">
        <v>0</v>
      </c>
      <c r="ZF21">
        <v>7</v>
      </c>
      <c r="ZG21">
        <v>0</v>
      </c>
      <c r="ZH21">
        <v>697</v>
      </c>
      <c r="ZI21">
        <v>22</v>
      </c>
      <c r="ZJ21">
        <v>0</v>
      </c>
      <c r="ZK21">
        <v>0</v>
      </c>
      <c r="ZL21">
        <v>1</v>
      </c>
      <c r="ZM21">
        <v>2</v>
      </c>
      <c r="ZN21">
        <v>0</v>
      </c>
      <c r="ZO21">
        <v>0</v>
      </c>
      <c r="ZP21">
        <v>2</v>
      </c>
      <c r="ZQ21">
        <v>3</v>
      </c>
      <c r="ZR21">
        <v>0</v>
      </c>
      <c r="ZS21">
        <v>4</v>
      </c>
      <c r="ZT21">
        <v>1239</v>
      </c>
      <c r="ZU21">
        <v>4</v>
      </c>
      <c r="ZV21">
        <v>742</v>
      </c>
      <c r="ZW21">
        <v>0</v>
      </c>
      <c r="ZX21">
        <v>0</v>
      </c>
      <c r="ZY21">
        <v>0</v>
      </c>
      <c r="ZZ21">
        <v>11</v>
      </c>
      <c r="AAA21">
        <v>0</v>
      </c>
      <c r="AAB21">
        <v>11</v>
      </c>
      <c r="AAC21">
        <v>2278</v>
      </c>
      <c r="AAD21">
        <v>1404</v>
      </c>
      <c r="AAE21">
        <v>0</v>
      </c>
      <c r="AAF21">
        <v>0</v>
      </c>
      <c r="AAG21">
        <v>16</v>
      </c>
      <c r="AAH21">
        <v>0</v>
      </c>
      <c r="AAI21">
        <v>0</v>
      </c>
      <c r="AAJ21">
        <v>0</v>
      </c>
      <c r="AAK21">
        <v>1</v>
      </c>
      <c r="AAL21">
        <v>0</v>
      </c>
      <c r="AAM21">
        <v>0</v>
      </c>
      <c r="AAN21">
        <v>991</v>
      </c>
      <c r="AAO21">
        <v>2682</v>
      </c>
      <c r="AAP21">
        <v>0</v>
      </c>
      <c r="AAQ21">
        <v>0</v>
      </c>
      <c r="AAR21">
        <v>166</v>
      </c>
      <c r="AAS21">
        <v>0</v>
      </c>
      <c r="AAT21">
        <v>0</v>
      </c>
      <c r="AAU21">
        <v>0</v>
      </c>
      <c r="AAV21">
        <v>2</v>
      </c>
      <c r="AAW21">
        <v>1</v>
      </c>
      <c r="AAX21">
        <v>0</v>
      </c>
      <c r="AAY21">
        <v>3000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2612</v>
      </c>
      <c r="ABH21">
        <v>0</v>
      </c>
      <c r="ABI21">
        <v>1</v>
      </c>
      <c r="ABJ21">
        <v>0</v>
      </c>
      <c r="ABK21">
        <v>0</v>
      </c>
      <c r="ABL21">
        <v>1</v>
      </c>
      <c r="ABM21">
        <v>0</v>
      </c>
      <c r="ABN21">
        <v>0</v>
      </c>
      <c r="ABO21">
        <v>0</v>
      </c>
      <c r="ABP21">
        <v>0</v>
      </c>
      <c r="ABQ21">
        <v>10</v>
      </c>
      <c r="ABR21">
        <v>1631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2</v>
      </c>
      <c r="ABY21">
        <v>0</v>
      </c>
      <c r="ABZ21">
        <v>297</v>
      </c>
      <c r="ACA21">
        <v>0</v>
      </c>
      <c r="ACB21">
        <v>0</v>
      </c>
      <c r="ACC21">
        <v>0</v>
      </c>
      <c r="ACD21">
        <v>1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23</v>
      </c>
      <c r="ACL21">
        <v>0</v>
      </c>
      <c r="ACM21">
        <v>0</v>
      </c>
      <c r="ACN21">
        <v>993</v>
      </c>
      <c r="ACO21">
        <v>947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626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22</v>
      </c>
      <c r="ADF21">
        <v>0</v>
      </c>
      <c r="ADG21">
        <v>0</v>
      </c>
      <c r="ADH21">
        <v>135</v>
      </c>
      <c r="ADI21">
        <v>40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2259</v>
      </c>
      <c r="ADQ21">
        <v>858</v>
      </c>
      <c r="ADR21">
        <v>72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798</v>
      </c>
      <c r="AED21">
        <v>537</v>
      </c>
      <c r="AEE21">
        <v>2464</v>
      </c>
      <c r="AEF21">
        <v>3049</v>
      </c>
      <c r="AEG21">
        <v>0</v>
      </c>
      <c r="AEH21">
        <v>289</v>
      </c>
      <c r="AEI21">
        <v>1</v>
      </c>
      <c r="AEJ21">
        <v>1</v>
      </c>
      <c r="AEK21">
        <v>338</v>
      </c>
      <c r="AEL21">
        <v>1</v>
      </c>
      <c r="AEM21">
        <v>500</v>
      </c>
      <c r="AEN21">
        <v>0</v>
      </c>
      <c r="AEO21">
        <v>0</v>
      </c>
      <c r="AEP21">
        <v>0</v>
      </c>
      <c r="AEQ21">
        <v>0</v>
      </c>
      <c r="AER21">
        <v>2325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755</v>
      </c>
      <c r="AFF21">
        <v>1631</v>
      </c>
      <c r="AFG21">
        <v>702</v>
      </c>
      <c r="AFH21">
        <v>982</v>
      </c>
      <c r="AFI21">
        <v>10</v>
      </c>
      <c r="AFJ21">
        <v>18</v>
      </c>
      <c r="AFK21">
        <v>0</v>
      </c>
      <c r="AFL21">
        <v>399</v>
      </c>
      <c r="AFM21">
        <v>837</v>
      </c>
      <c r="AFN21">
        <v>0</v>
      </c>
      <c r="AFO21">
        <v>2</v>
      </c>
      <c r="AFP21">
        <v>0</v>
      </c>
      <c r="AFQ21">
        <v>0</v>
      </c>
      <c r="AFR21">
        <v>0</v>
      </c>
      <c r="AFS21">
        <v>0</v>
      </c>
      <c r="AFT21">
        <v>2</v>
      </c>
      <c r="AFU21">
        <v>0</v>
      </c>
      <c r="AFV21">
        <v>0</v>
      </c>
      <c r="AFW21">
        <v>0</v>
      </c>
      <c r="AFX21">
        <v>11</v>
      </c>
      <c r="AFY21">
        <v>0</v>
      </c>
      <c r="AFZ21">
        <v>428</v>
      </c>
      <c r="AGA21">
        <v>2538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1305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1772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138</v>
      </c>
      <c r="AHC21">
        <v>0</v>
      </c>
      <c r="AHD21">
        <v>1</v>
      </c>
      <c r="AHE21">
        <v>1</v>
      </c>
      <c r="AHH21">
        <v>0</v>
      </c>
      <c r="AHI21">
        <v>5</v>
      </c>
      <c r="AHJ21">
        <v>184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5383</v>
      </c>
      <c r="AHQ21">
        <v>345</v>
      </c>
      <c r="AHR21">
        <v>15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57</v>
      </c>
      <c r="AHY21">
        <v>0</v>
      </c>
      <c r="AHZ21">
        <v>9</v>
      </c>
      <c r="AIA21">
        <v>0</v>
      </c>
      <c r="AIB21">
        <v>9</v>
      </c>
      <c r="AIC21">
        <v>0</v>
      </c>
      <c r="AID21">
        <v>495</v>
      </c>
      <c r="AIE21">
        <v>0</v>
      </c>
      <c r="AIF21">
        <v>0</v>
      </c>
      <c r="AIG21">
        <v>728</v>
      </c>
      <c r="AIH21">
        <v>0</v>
      </c>
      <c r="AII21">
        <v>5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903</v>
      </c>
      <c r="AIS21">
        <v>1294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178</v>
      </c>
      <c r="AJL21">
        <v>883</v>
      </c>
      <c r="AJM21">
        <v>623</v>
      </c>
      <c r="AJN21">
        <v>751</v>
      </c>
      <c r="AJO21">
        <v>3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9</v>
      </c>
      <c r="AJW21">
        <v>1013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</row>
    <row r="22" spans="1:968">
      <c r="A22">
        <v>3</v>
      </c>
      <c r="B22" s="18" t="s">
        <v>116</v>
      </c>
      <c r="C22" s="1">
        <v>82640</v>
      </c>
      <c r="D22" s="1" t="s">
        <v>28</v>
      </c>
      <c r="E22" s="1" t="s">
        <v>113</v>
      </c>
      <c r="F22" s="32" t="s">
        <v>31</v>
      </c>
      <c r="G22" s="1" t="s">
        <v>33</v>
      </c>
      <c r="H22" s="1" t="s">
        <v>114</v>
      </c>
      <c r="I22" s="1" t="s">
        <v>45</v>
      </c>
      <c r="J22" s="1" t="s">
        <v>46</v>
      </c>
      <c r="K22">
        <v>28</v>
      </c>
      <c r="L22">
        <v>6701</v>
      </c>
      <c r="M22">
        <v>9692</v>
      </c>
      <c r="N22">
        <v>179</v>
      </c>
      <c r="O22">
        <v>0</v>
      </c>
      <c r="P22">
        <v>34959</v>
      </c>
      <c r="Q22">
        <v>13733</v>
      </c>
      <c r="R22">
        <v>4515</v>
      </c>
      <c r="S22">
        <v>16616</v>
      </c>
      <c r="T22">
        <v>1849</v>
      </c>
      <c r="U22">
        <v>22750</v>
      </c>
      <c r="V22">
        <v>0</v>
      </c>
      <c r="W22">
        <v>18138</v>
      </c>
      <c r="X22">
        <v>11837</v>
      </c>
      <c r="Y22">
        <v>6397</v>
      </c>
      <c r="Z22">
        <v>780</v>
      </c>
      <c r="AA22">
        <v>15541</v>
      </c>
      <c r="AB22">
        <v>1536</v>
      </c>
      <c r="AC22">
        <v>0</v>
      </c>
      <c r="AD22">
        <v>15300</v>
      </c>
      <c r="AE22">
        <v>13401</v>
      </c>
      <c r="AF22">
        <v>2856</v>
      </c>
      <c r="AG22">
        <v>5552</v>
      </c>
      <c r="AH22">
        <v>3560</v>
      </c>
      <c r="AI22">
        <v>1069</v>
      </c>
      <c r="AJ22">
        <v>0</v>
      </c>
      <c r="AK22">
        <v>3936</v>
      </c>
      <c r="AL22">
        <v>1920</v>
      </c>
      <c r="AM22">
        <v>1230</v>
      </c>
      <c r="AN22">
        <v>805</v>
      </c>
      <c r="AO22">
        <v>423</v>
      </c>
      <c r="AP22">
        <v>34</v>
      </c>
      <c r="AQ22">
        <v>0</v>
      </c>
      <c r="AR22">
        <v>8295</v>
      </c>
      <c r="AS22">
        <v>0</v>
      </c>
      <c r="AT22">
        <v>14103</v>
      </c>
      <c r="AU22">
        <v>12509</v>
      </c>
      <c r="AV22">
        <v>11363</v>
      </c>
      <c r="AW22">
        <v>4624</v>
      </c>
      <c r="AX22">
        <v>0</v>
      </c>
      <c r="AY22">
        <v>59</v>
      </c>
      <c r="AZ22">
        <v>4676</v>
      </c>
      <c r="BA22">
        <v>51039</v>
      </c>
      <c r="BB22">
        <v>11365</v>
      </c>
      <c r="BC22">
        <v>10789</v>
      </c>
      <c r="BD22">
        <v>5020</v>
      </c>
      <c r="BE22">
        <v>0</v>
      </c>
      <c r="BF22">
        <v>3237</v>
      </c>
      <c r="BG22">
        <v>742</v>
      </c>
      <c r="BH22">
        <v>3366</v>
      </c>
      <c r="BI22">
        <v>4925</v>
      </c>
      <c r="BJ22">
        <v>6355</v>
      </c>
      <c r="BK22">
        <v>35</v>
      </c>
      <c r="BL22">
        <v>0</v>
      </c>
      <c r="BM22">
        <v>853</v>
      </c>
      <c r="BN22">
        <v>5737</v>
      </c>
      <c r="BO22">
        <v>994</v>
      </c>
      <c r="BP22">
        <v>12</v>
      </c>
      <c r="BQ22">
        <v>0</v>
      </c>
      <c r="BR22">
        <v>0</v>
      </c>
      <c r="BS22">
        <v>0</v>
      </c>
      <c r="BT22">
        <v>0</v>
      </c>
      <c r="BU22" s="33">
        <v>0</v>
      </c>
      <c r="BV22" s="33">
        <v>5133</v>
      </c>
      <c r="BW22" s="33">
        <v>7950</v>
      </c>
      <c r="BX22" s="33">
        <v>15794</v>
      </c>
      <c r="BY22" s="33">
        <v>5888</v>
      </c>
      <c r="BZ22" s="33">
        <v>0</v>
      </c>
      <c r="CA22" s="33">
        <v>17201</v>
      </c>
      <c r="CB22">
        <v>8335</v>
      </c>
      <c r="CC22">
        <v>19082</v>
      </c>
      <c r="CD22">
        <v>20500</v>
      </c>
      <c r="CE22">
        <v>43281</v>
      </c>
      <c r="CF22">
        <v>18726</v>
      </c>
      <c r="CG22">
        <v>0</v>
      </c>
      <c r="CH22">
        <v>9606</v>
      </c>
      <c r="CI22">
        <v>11221</v>
      </c>
      <c r="CJ22">
        <v>14980</v>
      </c>
      <c r="CK22">
        <v>18472</v>
      </c>
      <c r="CL22">
        <v>9662</v>
      </c>
      <c r="CM22">
        <v>0</v>
      </c>
      <c r="CN22">
        <v>0</v>
      </c>
      <c r="CO22">
        <v>11722</v>
      </c>
      <c r="CP22">
        <v>15078</v>
      </c>
      <c r="CQ22">
        <v>15105</v>
      </c>
      <c r="CR22">
        <v>18373</v>
      </c>
      <c r="CS22">
        <v>38747</v>
      </c>
      <c r="CT22">
        <v>5664</v>
      </c>
      <c r="CU22">
        <v>0</v>
      </c>
      <c r="CV22">
        <v>13738</v>
      </c>
      <c r="CW22">
        <v>28583</v>
      </c>
      <c r="CX22">
        <v>31436</v>
      </c>
      <c r="CY22">
        <v>1254</v>
      </c>
      <c r="CZ22">
        <v>6948</v>
      </c>
      <c r="DA22">
        <v>10299</v>
      </c>
      <c r="DB22">
        <v>5</v>
      </c>
      <c r="DC22">
        <v>7781</v>
      </c>
      <c r="DD22">
        <v>12480</v>
      </c>
      <c r="DE22">
        <v>26391</v>
      </c>
      <c r="DF22">
        <v>35841</v>
      </c>
      <c r="DG22">
        <v>24229</v>
      </c>
      <c r="DH22">
        <v>5234</v>
      </c>
      <c r="DI22">
        <v>0</v>
      </c>
      <c r="DJ22">
        <v>9705</v>
      </c>
      <c r="DK22">
        <v>3005</v>
      </c>
      <c r="DL22">
        <v>6379</v>
      </c>
      <c r="DM22">
        <v>12334</v>
      </c>
      <c r="DN22">
        <v>6597</v>
      </c>
      <c r="DO22">
        <v>2356</v>
      </c>
      <c r="DP22">
        <v>0</v>
      </c>
      <c r="DQ22">
        <v>52998</v>
      </c>
      <c r="DR22">
        <v>26205</v>
      </c>
      <c r="DS22">
        <v>16735</v>
      </c>
      <c r="DT22">
        <v>20212</v>
      </c>
      <c r="DU22">
        <v>28536</v>
      </c>
      <c r="DV22">
        <v>32154</v>
      </c>
      <c r="DW22">
        <v>14094</v>
      </c>
      <c r="DX22">
        <v>47489</v>
      </c>
      <c r="DY22">
        <v>38899</v>
      </c>
      <c r="DZ22">
        <v>29725</v>
      </c>
      <c r="EA22">
        <v>61966</v>
      </c>
      <c r="EB22">
        <v>8606</v>
      </c>
      <c r="EC22">
        <v>12866</v>
      </c>
      <c r="ED22">
        <v>0</v>
      </c>
      <c r="EE22">
        <v>20857</v>
      </c>
      <c r="EF22">
        <v>14305</v>
      </c>
      <c r="EG22">
        <v>12590</v>
      </c>
      <c r="EH22">
        <v>61307</v>
      </c>
      <c r="EI22">
        <v>14402</v>
      </c>
      <c r="EJ22">
        <v>21008</v>
      </c>
      <c r="EK22">
        <v>0</v>
      </c>
      <c r="EL22">
        <v>31193</v>
      </c>
      <c r="EM22">
        <v>29989</v>
      </c>
      <c r="EN22">
        <v>17118</v>
      </c>
      <c r="EO22">
        <v>14106</v>
      </c>
      <c r="EP22">
        <v>21561</v>
      </c>
      <c r="EQ22">
        <v>10849</v>
      </c>
      <c r="ER22">
        <v>0</v>
      </c>
      <c r="ES22">
        <v>23986</v>
      </c>
      <c r="ET22">
        <v>28326</v>
      </c>
      <c r="EU22">
        <v>30315</v>
      </c>
      <c r="EV22">
        <v>26916</v>
      </c>
      <c r="EW22">
        <v>30524</v>
      </c>
      <c r="EX22">
        <v>9651</v>
      </c>
      <c r="EY22">
        <v>0</v>
      </c>
      <c r="EZ22">
        <v>27895</v>
      </c>
      <c r="FA22">
        <v>7003</v>
      </c>
      <c r="FB22">
        <v>8389</v>
      </c>
      <c r="FC22">
        <v>6408</v>
      </c>
      <c r="FD22">
        <v>11928</v>
      </c>
      <c r="FE22">
        <v>3391</v>
      </c>
      <c r="FF22">
        <v>0</v>
      </c>
      <c r="FG22">
        <v>20623</v>
      </c>
      <c r="FH22">
        <v>14395</v>
      </c>
      <c r="FI22">
        <v>35307</v>
      </c>
      <c r="FJ22">
        <v>21667</v>
      </c>
      <c r="FK22">
        <v>22017</v>
      </c>
      <c r="FL22">
        <v>0</v>
      </c>
      <c r="FM22">
        <v>0</v>
      </c>
      <c r="FN22">
        <v>16647</v>
      </c>
      <c r="FO22">
        <v>32638</v>
      </c>
      <c r="FP22">
        <v>27539</v>
      </c>
      <c r="FQ22">
        <v>20651</v>
      </c>
      <c r="FR22">
        <v>44002</v>
      </c>
      <c r="FS22">
        <v>0</v>
      </c>
      <c r="FT22">
        <v>0</v>
      </c>
      <c r="FU22">
        <v>0</v>
      </c>
      <c r="FV22">
        <v>2253</v>
      </c>
      <c r="FW22">
        <v>17763</v>
      </c>
      <c r="FX22">
        <v>11391</v>
      </c>
      <c r="FY22">
        <v>17761</v>
      </c>
      <c r="FZ22">
        <v>8413</v>
      </c>
      <c r="GA22">
        <v>433</v>
      </c>
      <c r="GB22">
        <v>16191</v>
      </c>
      <c r="GC22">
        <v>23833</v>
      </c>
      <c r="GD22">
        <v>33232</v>
      </c>
      <c r="GE22">
        <v>25371</v>
      </c>
      <c r="GF22">
        <v>74829</v>
      </c>
      <c r="GG22">
        <v>22705</v>
      </c>
      <c r="GH22">
        <v>3646</v>
      </c>
      <c r="GI22">
        <v>37031</v>
      </c>
      <c r="GJ22">
        <v>33107</v>
      </c>
      <c r="GK22">
        <v>0</v>
      </c>
      <c r="GL22">
        <v>4518</v>
      </c>
      <c r="GM22">
        <v>23406</v>
      </c>
      <c r="GN22">
        <v>0</v>
      </c>
      <c r="GO22">
        <v>0</v>
      </c>
      <c r="GP22">
        <v>13507</v>
      </c>
      <c r="GQ22">
        <v>5709</v>
      </c>
      <c r="GR22">
        <v>5199</v>
      </c>
      <c r="GS22">
        <v>7833</v>
      </c>
      <c r="GT22">
        <v>5661</v>
      </c>
      <c r="GU22">
        <v>2941</v>
      </c>
      <c r="GV22">
        <v>2766</v>
      </c>
      <c r="GW22">
        <v>3485</v>
      </c>
      <c r="GX22">
        <v>4252</v>
      </c>
      <c r="GY22">
        <v>4796</v>
      </c>
      <c r="GZ22">
        <v>3516</v>
      </c>
      <c r="HA22">
        <v>4718</v>
      </c>
      <c r="HB22">
        <v>6983</v>
      </c>
      <c r="HC22">
        <v>0</v>
      </c>
      <c r="HD22">
        <v>22000</v>
      </c>
      <c r="HE22">
        <v>56741</v>
      </c>
      <c r="HF22">
        <v>0</v>
      </c>
      <c r="HG22">
        <v>29513</v>
      </c>
      <c r="HH22">
        <v>33982</v>
      </c>
      <c r="HI22">
        <v>47619</v>
      </c>
      <c r="HJ22">
        <v>4</v>
      </c>
      <c r="HK22">
        <v>47708</v>
      </c>
      <c r="HL22">
        <v>33769</v>
      </c>
      <c r="HM22">
        <v>21438</v>
      </c>
      <c r="HN22">
        <v>14309</v>
      </c>
      <c r="HO22">
        <v>15975</v>
      </c>
      <c r="HP22">
        <v>2811</v>
      </c>
      <c r="HQ22">
        <v>0</v>
      </c>
      <c r="HR22">
        <v>0</v>
      </c>
      <c r="HS22">
        <v>5972</v>
      </c>
      <c r="HT22">
        <v>5459</v>
      </c>
      <c r="HU22">
        <v>10242</v>
      </c>
      <c r="HV22">
        <v>36640</v>
      </c>
      <c r="HW22">
        <v>10529</v>
      </c>
      <c r="HX22">
        <v>0</v>
      </c>
      <c r="HY22">
        <v>30121</v>
      </c>
      <c r="HZ22">
        <v>36306</v>
      </c>
      <c r="IA22">
        <v>25494</v>
      </c>
      <c r="IB22">
        <v>11583</v>
      </c>
      <c r="IC22">
        <v>16699</v>
      </c>
      <c r="ID22">
        <v>7457</v>
      </c>
      <c r="IE22">
        <v>0</v>
      </c>
      <c r="IF22">
        <v>22330</v>
      </c>
      <c r="IG22">
        <v>21069</v>
      </c>
      <c r="IH22">
        <v>55402</v>
      </c>
      <c r="II22">
        <v>17775</v>
      </c>
      <c r="IJ22">
        <v>10724</v>
      </c>
      <c r="IK22">
        <v>11486</v>
      </c>
      <c r="IL22">
        <v>0</v>
      </c>
      <c r="IM22">
        <v>6570</v>
      </c>
      <c r="IN22">
        <v>16626</v>
      </c>
      <c r="IO22">
        <v>25384</v>
      </c>
      <c r="IP22">
        <v>38032</v>
      </c>
      <c r="IQ22">
        <v>33287</v>
      </c>
      <c r="IR22">
        <v>3831</v>
      </c>
      <c r="IS22">
        <v>0</v>
      </c>
      <c r="IT22">
        <v>7500</v>
      </c>
      <c r="IU22">
        <v>8537</v>
      </c>
      <c r="IV22">
        <v>14247</v>
      </c>
      <c r="IW22">
        <v>34623</v>
      </c>
      <c r="IX22">
        <v>15119</v>
      </c>
      <c r="IY22">
        <v>9470</v>
      </c>
      <c r="IZ22">
        <v>0</v>
      </c>
      <c r="JA22">
        <v>19208</v>
      </c>
      <c r="JB22">
        <v>15047</v>
      </c>
      <c r="JC22">
        <v>26163</v>
      </c>
      <c r="JD22">
        <v>17801</v>
      </c>
      <c r="JE22">
        <v>9495</v>
      </c>
      <c r="JF22">
        <v>7708</v>
      </c>
      <c r="JG22">
        <v>0</v>
      </c>
      <c r="JH22">
        <v>42131</v>
      </c>
      <c r="JI22">
        <v>19583</v>
      </c>
      <c r="JJ22">
        <v>13935</v>
      </c>
      <c r="JK22">
        <v>40973</v>
      </c>
      <c r="JL22">
        <v>47293</v>
      </c>
      <c r="JM22">
        <v>35024</v>
      </c>
      <c r="JN22">
        <v>0</v>
      </c>
      <c r="JO22">
        <v>16162</v>
      </c>
      <c r="JP22">
        <v>19810</v>
      </c>
      <c r="JQ22">
        <v>23968</v>
      </c>
      <c r="JR22">
        <v>32623</v>
      </c>
      <c r="JS22">
        <v>23858</v>
      </c>
      <c r="JT22">
        <v>14441</v>
      </c>
      <c r="JU22">
        <v>0</v>
      </c>
      <c r="JV22">
        <v>15025</v>
      </c>
      <c r="JW22">
        <v>7222</v>
      </c>
      <c r="JX22">
        <v>0</v>
      </c>
      <c r="JY22">
        <v>5424</v>
      </c>
      <c r="JZ22">
        <v>10178</v>
      </c>
      <c r="KA22">
        <v>7649</v>
      </c>
      <c r="KB22">
        <v>0</v>
      </c>
      <c r="KC22">
        <v>9890</v>
      </c>
      <c r="KD22">
        <v>24966</v>
      </c>
      <c r="KE22">
        <v>51128</v>
      </c>
      <c r="KF22">
        <v>26247</v>
      </c>
      <c r="KG22">
        <v>22707</v>
      </c>
      <c r="KH22">
        <v>20615</v>
      </c>
      <c r="KI22">
        <v>0</v>
      </c>
      <c r="KJ22">
        <v>0</v>
      </c>
      <c r="KK22">
        <v>9724</v>
      </c>
      <c r="KL22">
        <v>19716</v>
      </c>
      <c r="KM22">
        <v>30333</v>
      </c>
      <c r="KN22">
        <v>29094</v>
      </c>
      <c r="KO22">
        <v>26315</v>
      </c>
      <c r="KP22">
        <v>0</v>
      </c>
      <c r="KQ22">
        <v>27140</v>
      </c>
      <c r="KR22">
        <v>23524</v>
      </c>
      <c r="KS22">
        <v>36086</v>
      </c>
      <c r="KT22">
        <v>13857</v>
      </c>
      <c r="KU22">
        <v>21879</v>
      </c>
      <c r="KV22">
        <v>8472</v>
      </c>
      <c r="KW22">
        <v>0</v>
      </c>
      <c r="KX22">
        <v>37062</v>
      </c>
      <c r="KY22">
        <v>23845</v>
      </c>
      <c r="KZ22">
        <v>41973</v>
      </c>
      <c r="LA22">
        <v>13137</v>
      </c>
      <c r="LB22">
        <v>21430</v>
      </c>
      <c r="LC22">
        <v>4508</v>
      </c>
      <c r="LD22">
        <v>0</v>
      </c>
      <c r="LE22">
        <v>9939</v>
      </c>
      <c r="LF22">
        <v>16797</v>
      </c>
      <c r="LG22">
        <v>21193</v>
      </c>
      <c r="LH22">
        <v>13862</v>
      </c>
      <c r="LI22">
        <v>27220</v>
      </c>
      <c r="LJ22" s="31">
        <v>20020</v>
      </c>
      <c r="LK22">
        <v>0</v>
      </c>
      <c r="LL22">
        <v>25706</v>
      </c>
      <c r="LM22">
        <v>18200</v>
      </c>
      <c r="LN22">
        <v>17149</v>
      </c>
      <c r="LO22">
        <v>27882</v>
      </c>
      <c r="LP22">
        <v>22224</v>
      </c>
      <c r="LQ22">
        <v>17000</v>
      </c>
      <c r="LR22">
        <v>2494</v>
      </c>
      <c r="LS22">
        <v>13188</v>
      </c>
      <c r="LT22">
        <v>20511</v>
      </c>
      <c r="LU22">
        <v>26119</v>
      </c>
      <c r="LV22">
        <v>56679</v>
      </c>
      <c r="LW22">
        <v>45150</v>
      </c>
      <c r="LX22">
        <v>24376</v>
      </c>
      <c r="LY22">
        <v>0</v>
      </c>
      <c r="LZ22">
        <v>13790</v>
      </c>
      <c r="MA22">
        <v>29417</v>
      </c>
      <c r="MB22">
        <v>35742</v>
      </c>
      <c r="MC22">
        <v>32351</v>
      </c>
      <c r="MD22">
        <v>12386</v>
      </c>
      <c r="ME22">
        <v>7142</v>
      </c>
      <c r="MF22">
        <v>9040</v>
      </c>
      <c r="MG22">
        <v>23665</v>
      </c>
      <c r="MH22">
        <v>16251</v>
      </c>
      <c r="MI22">
        <v>14662</v>
      </c>
      <c r="MJ22">
        <v>14265</v>
      </c>
      <c r="MK22">
        <v>19711</v>
      </c>
      <c r="ML22">
        <v>17667</v>
      </c>
      <c r="MM22">
        <v>0</v>
      </c>
      <c r="MN22">
        <v>20204</v>
      </c>
      <c r="MO22">
        <v>24911</v>
      </c>
      <c r="MP22">
        <v>25123</v>
      </c>
      <c r="MQ22">
        <v>37510</v>
      </c>
      <c r="MR22">
        <v>26952</v>
      </c>
      <c r="MS22">
        <v>29097</v>
      </c>
      <c r="MT22">
        <v>3105</v>
      </c>
      <c r="MU22">
        <v>8255</v>
      </c>
      <c r="MV22">
        <v>16341</v>
      </c>
      <c r="MW22">
        <v>16046</v>
      </c>
      <c r="MX22">
        <v>33263</v>
      </c>
      <c r="MY22">
        <v>31955</v>
      </c>
      <c r="MZ22">
        <v>10428</v>
      </c>
      <c r="NA22">
        <v>10991</v>
      </c>
      <c r="NB22">
        <v>15521</v>
      </c>
      <c r="NC22">
        <v>89623</v>
      </c>
      <c r="ND22">
        <v>3079</v>
      </c>
      <c r="NE22">
        <v>18220</v>
      </c>
      <c r="NF22">
        <v>21546</v>
      </c>
      <c r="NG22">
        <v>25574</v>
      </c>
      <c r="NH22">
        <v>0</v>
      </c>
      <c r="NI22">
        <v>30845</v>
      </c>
      <c r="NJ22">
        <v>31089</v>
      </c>
      <c r="NK22">
        <v>14666</v>
      </c>
      <c r="NL22">
        <v>9950</v>
      </c>
      <c r="NM22">
        <v>28295</v>
      </c>
      <c r="NN22">
        <v>15909</v>
      </c>
      <c r="NO22">
        <v>381</v>
      </c>
      <c r="NP22">
        <v>18486</v>
      </c>
      <c r="NQ22">
        <v>10844</v>
      </c>
      <c r="NR22">
        <v>15364</v>
      </c>
      <c r="NS22">
        <v>16572</v>
      </c>
      <c r="NT22">
        <v>20050</v>
      </c>
      <c r="NU22">
        <v>9433</v>
      </c>
      <c r="NV22">
        <v>0</v>
      </c>
      <c r="NW22">
        <v>14121</v>
      </c>
      <c r="NX22">
        <v>22854</v>
      </c>
      <c r="NY22">
        <v>5429</v>
      </c>
      <c r="NZ22">
        <v>21850</v>
      </c>
      <c r="OA22">
        <v>46160</v>
      </c>
      <c r="OB22">
        <v>62584</v>
      </c>
      <c r="OC22">
        <v>5319</v>
      </c>
      <c r="OD22">
        <v>20352</v>
      </c>
      <c r="OE22">
        <v>25735</v>
      </c>
      <c r="OF22">
        <v>25132</v>
      </c>
      <c r="OG22">
        <v>23687</v>
      </c>
      <c r="OH22">
        <v>22887</v>
      </c>
      <c r="OI22">
        <v>15356</v>
      </c>
      <c r="OJ22">
        <v>0</v>
      </c>
      <c r="OK22">
        <v>12037</v>
      </c>
      <c r="OL22">
        <v>14318</v>
      </c>
      <c r="OM22">
        <v>28429</v>
      </c>
      <c r="ON22">
        <v>20969</v>
      </c>
      <c r="OO22">
        <v>7643</v>
      </c>
      <c r="OP22">
        <v>2400</v>
      </c>
      <c r="OQ22">
        <v>0</v>
      </c>
      <c r="OR22">
        <v>16224</v>
      </c>
      <c r="OS22">
        <v>9149</v>
      </c>
      <c r="OT22">
        <v>39828</v>
      </c>
      <c r="OU22">
        <v>0</v>
      </c>
      <c r="OV22">
        <v>6136</v>
      </c>
      <c r="OW22">
        <v>40304</v>
      </c>
      <c r="OX22">
        <v>0</v>
      </c>
      <c r="OY22">
        <v>3751</v>
      </c>
      <c r="OZ22">
        <v>8910</v>
      </c>
      <c r="PA22">
        <v>16794</v>
      </c>
      <c r="PB22">
        <v>33499</v>
      </c>
      <c r="PC22">
        <v>11025</v>
      </c>
      <c r="PD22">
        <v>11729</v>
      </c>
      <c r="PE22">
        <v>0</v>
      </c>
      <c r="PF22">
        <v>27235</v>
      </c>
      <c r="PG22">
        <v>18051</v>
      </c>
      <c r="PH22">
        <v>47033</v>
      </c>
      <c r="PI22">
        <v>37240</v>
      </c>
      <c r="PJ22">
        <v>96354</v>
      </c>
      <c r="PK22">
        <v>33577</v>
      </c>
      <c r="PL22">
        <v>1901</v>
      </c>
      <c r="PM22">
        <v>12379</v>
      </c>
      <c r="PN22">
        <v>19193</v>
      </c>
      <c r="PO22">
        <v>5746</v>
      </c>
      <c r="PP22">
        <v>20724</v>
      </c>
      <c r="PQ22">
        <v>47088</v>
      </c>
      <c r="PR22">
        <v>285</v>
      </c>
      <c r="PS22">
        <v>0</v>
      </c>
      <c r="PT22">
        <v>0</v>
      </c>
      <c r="PU22">
        <v>0</v>
      </c>
      <c r="PV22">
        <v>0</v>
      </c>
      <c r="PW22">
        <v>5978</v>
      </c>
      <c r="PX22">
        <v>16812</v>
      </c>
      <c r="PY22">
        <v>14007</v>
      </c>
      <c r="PZ22">
        <v>0</v>
      </c>
      <c r="QA22">
        <v>26136</v>
      </c>
      <c r="QB22">
        <v>14923</v>
      </c>
      <c r="QC22">
        <v>21618</v>
      </c>
      <c r="QD22">
        <v>8366</v>
      </c>
      <c r="QE22">
        <v>24421</v>
      </c>
      <c r="QF22">
        <v>16001</v>
      </c>
      <c r="QG22">
        <v>0</v>
      </c>
      <c r="QH22">
        <v>17976</v>
      </c>
      <c r="QI22">
        <v>25469</v>
      </c>
      <c r="QJ22">
        <v>73104</v>
      </c>
      <c r="QK22">
        <v>33492</v>
      </c>
      <c r="QL22">
        <v>45350</v>
      </c>
      <c r="QM22">
        <v>19545</v>
      </c>
      <c r="QN22">
        <v>0</v>
      </c>
      <c r="QO22">
        <v>4547</v>
      </c>
      <c r="QP22">
        <v>7152</v>
      </c>
      <c r="QQ22">
        <v>29527</v>
      </c>
      <c r="QR22">
        <v>15861</v>
      </c>
      <c r="QS22">
        <v>18395</v>
      </c>
      <c r="QT22">
        <v>50756</v>
      </c>
      <c r="QU22">
        <v>0</v>
      </c>
      <c r="QV22">
        <v>13076</v>
      </c>
      <c r="QW22">
        <v>31619</v>
      </c>
      <c r="QX22">
        <v>36823</v>
      </c>
      <c r="QY22">
        <v>51975</v>
      </c>
      <c r="QZ22">
        <v>28832</v>
      </c>
      <c r="RA22">
        <v>4138</v>
      </c>
      <c r="RB22">
        <v>0</v>
      </c>
      <c r="RC22">
        <v>8717</v>
      </c>
      <c r="RD22">
        <v>13966</v>
      </c>
      <c r="RE22">
        <v>23538</v>
      </c>
      <c r="RF22">
        <v>22792</v>
      </c>
      <c r="RG22">
        <v>29576</v>
      </c>
      <c r="RH22">
        <v>0</v>
      </c>
      <c r="RI22">
        <v>0</v>
      </c>
      <c r="RJ22">
        <v>31060</v>
      </c>
      <c r="RK22">
        <v>21802</v>
      </c>
      <c r="RL22">
        <v>18134</v>
      </c>
      <c r="RM22">
        <v>29598</v>
      </c>
      <c r="RN22">
        <v>31192</v>
      </c>
      <c r="RO22">
        <v>11275</v>
      </c>
      <c r="RP22">
        <v>0</v>
      </c>
      <c r="RQ22">
        <v>37955</v>
      </c>
      <c r="RR22">
        <v>50071</v>
      </c>
      <c r="RS22">
        <v>22298</v>
      </c>
      <c r="RT22">
        <v>37585</v>
      </c>
      <c r="RU22">
        <v>36030</v>
      </c>
      <c r="RV22">
        <v>22725</v>
      </c>
      <c r="RW22">
        <v>275</v>
      </c>
      <c r="RX22">
        <v>60496</v>
      </c>
      <c r="RY22">
        <v>22885</v>
      </c>
      <c r="RZ22">
        <v>38434</v>
      </c>
      <c r="SA22">
        <v>20932</v>
      </c>
      <c r="SB22">
        <v>32375</v>
      </c>
      <c r="SC22">
        <v>6083</v>
      </c>
      <c r="SD22">
        <v>9</v>
      </c>
      <c r="SE22">
        <v>18473</v>
      </c>
      <c r="SF22">
        <v>17929</v>
      </c>
      <c r="SG22">
        <v>24040</v>
      </c>
      <c r="SH22">
        <v>14322</v>
      </c>
      <c r="SI22">
        <v>26933</v>
      </c>
      <c r="SJ22">
        <v>9120</v>
      </c>
      <c r="SK22">
        <v>0</v>
      </c>
      <c r="SL22">
        <v>17278</v>
      </c>
      <c r="SM22">
        <v>11297</v>
      </c>
      <c r="SN22">
        <v>18528</v>
      </c>
      <c r="SO22">
        <v>9896</v>
      </c>
      <c r="SP22">
        <v>21129</v>
      </c>
      <c r="SQ22">
        <v>9214</v>
      </c>
      <c r="SR22">
        <v>0</v>
      </c>
      <c r="SS22">
        <v>12523</v>
      </c>
      <c r="ST22">
        <v>35793</v>
      </c>
      <c r="SU22">
        <v>14930</v>
      </c>
      <c r="SV22">
        <v>30746</v>
      </c>
      <c r="SW22">
        <v>19651</v>
      </c>
      <c r="SX22">
        <v>44111</v>
      </c>
      <c r="SY22">
        <v>1553</v>
      </c>
      <c r="SZ22">
        <v>9301</v>
      </c>
      <c r="TA22">
        <v>5251</v>
      </c>
      <c r="TB22">
        <v>6013</v>
      </c>
      <c r="TC22">
        <v>13402</v>
      </c>
      <c r="TD22">
        <v>8823</v>
      </c>
      <c r="TE22">
        <v>15737</v>
      </c>
      <c r="TF22">
        <v>0</v>
      </c>
      <c r="TG22">
        <v>23263</v>
      </c>
      <c r="TH22">
        <v>17775</v>
      </c>
      <c r="TI22">
        <v>31276</v>
      </c>
      <c r="TJ22">
        <v>19885</v>
      </c>
      <c r="TK22">
        <v>41628</v>
      </c>
      <c r="TL22">
        <v>9004</v>
      </c>
      <c r="TM22">
        <v>796</v>
      </c>
      <c r="TN22">
        <v>4813</v>
      </c>
      <c r="TO22">
        <v>13060</v>
      </c>
      <c r="TP22">
        <v>32848</v>
      </c>
      <c r="TQ22">
        <v>40587</v>
      </c>
      <c r="TR22">
        <v>43739</v>
      </c>
      <c r="TS22">
        <v>22192</v>
      </c>
      <c r="TT22">
        <v>0</v>
      </c>
      <c r="TU22">
        <v>0</v>
      </c>
      <c r="TV22">
        <v>0</v>
      </c>
      <c r="TW22">
        <v>9490</v>
      </c>
      <c r="TX22">
        <v>11550</v>
      </c>
      <c r="TY22">
        <v>58290</v>
      </c>
      <c r="TZ22">
        <v>26895</v>
      </c>
      <c r="UA22">
        <v>0</v>
      </c>
      <c r="UB22">
        <v>23062</v>
      </c>
      <c r="UC22">
        <v>27710</v>
      </c>
      <c r="UD22">
        <v>21858</v>
      </c>
      <c r="UE22">
        <v>15127</v>
      </c>
      <c r="UF22">
        <v>37069</v>
      </c>
      <c r="UG22">
        <v>20311</v>
      </c>
      <c r="UH22">
        <v>9</v>
      </c>
      <c r="UI22">
        <v>19685</v>
      </c>
      <c r="UJ22">
        <v>7482</v>
      </c>
      <c r="UK22">
        <v>27162</v>
      </c>
      <c r="UL22">
        <v>0</v>
      </c>
      <c r="UM22">
        <v>5342</v>
      </c>
      <c r="UN22">
        <v>8931</v>
      </c>
      <c r="UO22">
        <v>0</v>
      </c>
      <c r="UP22">
        <v>13097</v>
      </c>
      <c r="UQ22">
        <v>8331</v>
      </c>
      <c r="UR22">
        <v>28486</v>
      </c>
      <c r="US22">
        <v>10742</v>
      </c>
      <c r="UT22">
        <v>8200</v>
      </c>
      <c r="UU22">
        <v>0</v>
      </c>
      <c r="UV22">
        <v>0</v>
      </c>
      <c r="UW22">
        <v>24720</v>
      </c>
      <c r="UX22">
        <v>17646</v>
      </c>
      <c r="UY22">
        <v>9580</v>
      </c>
      <c r="UZ22">
        <v>3760</v>
      </c>
      <c r="VA22">
        <v>2386</v>
      </c>
      <c r="VB22">
        <v>2528</v>
      </c>
      <c r="VC22">
        <v>0</v>
      </c>
      <c r="VD22">
        <v>5069</v>
      </c>
      <c r="VE22">
        <v>8080</v>
      </c>
      <c r="VF22">
        <v>2336</v>
      </c>
      <c r="VG22">
        <v>3618</v>
      </c>
      <c r="VH22">
        <v>64921</v>
      </c>
      <c r="VI22">
        <v>5497</v>
      </c>
      <c r="VJ22">
        <v>0</v>
      </c>
      <c r="VK22">
        <v>33823</v>
      </c>
      <c r="VL22">
        <v>32350</v>
      </c>
      <c r="VM22">
        <v>29886</v>
      </c>
      <c r="VN22">
        <v>15588</v>
      </c>
      <c r="VO22">
        <v>16106</v>
      </c>
      <c r="VP22">
        <v>4095</v>
      </c>
      <c r="VQ22">
        <v>0</v>
      </c>
      <c r="VR22">
        <v>23828</v>
      </c>
      <c r="VS22">
        <v>0</v>
      </c>
      <c r="VT22">
        <v>38768</v>
      </c>
      <c r="VU22">
        <v>64352</v>
      </c>
      <c r="VV22">
        <v>19384</v>
      </c>
      <c r="VW22">
        <v>6206</v>
      </c>
      <c r="VX22">
        <v>6368</v>
      </c>
      <c r="VY22">
        <v>31176</v>
      </c>
      <c r="VZ22">
        <v>29513</v>
      </c>
      <c r="WA22">
        <v>19284</v>
      </c>
      <c r="WB22">
        <v>28794</v>
      </c>
      <c r="WC22">
        <v>18042</v>
      </c>
      <c r="WD22">
        <v>60286</v>
      </c>
      <c r="WE22">
        <v>0</v>
      </c>
      <c r="WF22">
        <v>16891</v>
      </c>
      <c r="WG22">
        <v>13546</v>
      </c>
      <c r="WH22">
        <v>35227</v>
      </c>
      <c r="WI22">
        <v>32421</v>
      </c>
      <c r="WJ22">
        <v>11055</v>
      </c>
      <c r="WK22">
        <v>6462</v>
      </c>
      <c r="WL22">
        <v>0</v>
      </c>
      <c r="WM22">
        <v>37113</v>
      </c>
      <c r="WN22">
        <v>10897</v>
      </c>
      <c r="WO22">
        <v>41802</v>
      </c>
      <c r="WP22">
        <v>27564</v>
      </c>
      <c r="WQ22">
        <v>20136</v>
      </c>
      <c r="WR22">
        <v>16604</v>
      </c>
      <c r="WS22">
        <v>0</v>
      </c>
      <c r="WT22">
        <v>6520</v>
      </c>
      <c r="WU22">
        <v>11442</v>
      </c>
      <c r="WV22">
        <v>14774</v>
      </c>
      <c r="WW22">
        <v>24678</v>
      </c>
      <c r="WX22">
        <v>22111</v>
      </c>
      <c r="WY22">
        <v>11186</v>
      </c>
      <c r="WZ22">
        <v>0</v>
      </c>
      <c r="XA22">
        <v>18027</v>
      </c>
      <c r="XB22">
        <v>32957</v>
      </c>
      <c r="XC22">
        <v>39449</v>
      </c>
      <c r="XD22">
        <v>23119</v>
      </c>
      <c r="XE22">
        <v>74225</v>
      </c>
      <c r="XF22">
        <v>22061</v>
      </c>
      <c r="XG22">
        <v>0</v>
      </c>
      <c r="XH22">
        <v>16256</v>
      </c>
      <c r="XI22">
        <v>64110</v>
      </c>
      <c r="XJ22">
        <v>24379</v>
      </c>
      <c r="XK22">
        <v>21327</v>
      </c>
      <c r="XL22">
        <v>29182</v>
      </c>
      <c r="XM22">
        <v>13375</v>
      </c>
      <c r="XN22">
        <v>0</v>
      </c>
      <c r="XO22">
        <v>48243</v>
      </c>
      <c r="XP22">
        <v>30914</v>
      </c>
      <c r="XQ22">
        <v>28247</v>
      </c>
      <c r="XR22">
        <v>39816</v>
      </c>
      <c r="XS22">
        <v>23913</v>
      </c>
      <c r="XT22">
        <v>11464</v>
      </c>
      <c r="XU22">
        <v>0</v>
      </c>
      <c r="XV22">
        <v>0</v>
      </c>
      <c r="XW22">
        <v>14992</v>
      </c>
      <c r="XX22">
        <v>30600</v>
      </c>
      <c r="XY22">
        <v>67764</v>
      </c>
      <c r="XZ22">
        <v>3737</v>
      </c>
      <c r="YA22">
        <v>11304</v>
      </c>
      <c r="YB22">
        <v>20422</v>
      </c>
      <c r="YC22">
        <v>23030</v>
      </c>
      <c r="YD22">
        <v>40928</v>
      </c>
      <c r="YE22">
        <v>24133</v>
      </c>
      <c r="YF22">
        <v>37685</v>
      </c>
      <c r="YG22">
        <v>12528</v>
      </c>
      <c r="YH22">
        <v>12528</v>
      </c>
      <c r="YI22">
        <v>0</v>
      </c>
      <c r="YJ22">
        <v>11936</v>
      </c>
      <c r="YK22">
        <v>0</v>
      </c>
      <c r="YL22">
        <v>27875</v>
      </c>
      <c r="YM22">
        <v>14954</v>
      </c>
      <c r="YN22">
        <v>40847</v>
      </c>
      <c r="YO22">
        <v>36411</v>
      </c>
      <c r="YP22">
        <v>0</v>
      </c>
      <c r="YQ22">
        <v>41493</v>
      </c>
      <c r="YR22">
        <v>14104</v>
      </c>
      <c r="YS22">
        <v>27731</v>
      </c>
      <c r="YT22">
        <v>51505</v>
      </c>
      <c r="YU22">
        <v>17912</v>
      </c>
      <c r="YV22">
        <v>11313</v>
      </c>
      <c r="YW22">
        <v>0</v>
      </c>
      <c r="YX22">
        <v>40158</v>
      </c>
      <c r="YY22">
        <v>25229</v>
      </c>
      <c r="YZ22">
        <v>22106</v>
      </c>
      <c r="ZA22">
        <v>20529</v>
      </c>
      <c r="ZB22">
        <v>9327</v>
      </c>
      <c r="ZC22">
        <v>1743</v>
      </c>
      <c r="ZD22">
        <v>0</v>
      </c>
      <c r="ZE22">
        <v>25113</v>
      </c>
      <c r="ZF22">
        <v>55080</v>
      </c>
      <c r="ZG22">
        <v>32517</v>
      </c>
      <c r="ZH22">
        <v>15633</v>
      </c>
      <c r="ZI22">
        <v>32179</v>
      </c>
      <c r="ZJ22">
        <v>36615</v>
      </c>
      <c r="ZK22">
        <v>35300</v>
      </c>
      <c r="ZL22">
        <v>33804</v>
      </c>
      <c r="ZM22">
        <v>17095</v>
      </c>
      <c r="ZN22">
        <v>0</v>
      </c>
      <c r="ZO22">
        <v>44151</v>
      </c>
      <c r="ZP22">
        <v>23279</v>
      </c>
      <c r="ZQ22">
        <v>17780</v>
      </c>
      <c r="ZR22">
        <v>0</v>
      </c>
      <c r="ZS22">
        <v>12546</v>
      </c>
      <c r="ZT22">
        <v>22523</v>
      </c>
      <c r="ZU22">
        <v>30058</v>
      </c>
      <c r="ZV22">
        <v>30615</v>
      </c>
      <c r="ZW22">
        <v>46088</v>
      </c>
      <c r="ZX22">
        <v>17927</v>
      </c>
      <c r="ZY22">
        <v>0</v>
      </c>
      <c r="ZZ22">
        <v>41786</v>
      </c>
      <c r="AAA22">
        <v>28972</v>
      </c>
      <c r="AAB22">
        <v>26637</v>
      </c>
      <c r="AAC22">
        <v>23487</v>
      </c>
      <c r="AAD22">
        <v>6755</v>
      </c>
      <c r="AAE22">
        <v>8898</v>
      </c>
      <c r="AAF22">
        <v>9988</v>
      </c>
      <c r="AAG22">
        <v>6803</v>
      </c>
      <c r="AAH22">
        <v>32694</v>
      </c>
      <c r="AAI22">
        <v>14301</v>
      </c>
      <c r="AAJ22">
        <v>11361</v>
      </c>
      <c r="AAK22">
        <v>34078</v>
      </c>
      <c r="AAL22">
        <v>21795</v>
      </c>
      <c r="AAM22">
        <v>0</v>
      </c>
      <c r="AAN22">
        <v>72648</v>
      </c>
      <c r="AAO22">
        <v>33177</v>
      </c>
      <c r="AAP22">
        <v>31802</v>
      </c>
      <c r="AAQ22">
        <v>44677</v>
      </c>
      <c r="AAR22">
        <v>25170</v>
      </c>
      <c r="AAS22">
        <v>64992</v>
      </c>
      <c r="AAT22">
        <v>838</v>
      </c>
      <c r="AAU22">
        <v>0</v>
      </c>
      <c r="AAV22">
        <v>70884</v>
      </c>
      <c r="AAW22">
        <v>61734</v>
      </c>
      <c r="AAX22">
        <v>30854</v>
      </c>
      <c r="AAY22">
        <v>32099</v>
      </c>
      <c r="AAZ22">
        <v>12147</v>
      </c>
      <c r="ABA22">
        <v>0</v>
      </c>
      <c r="ABB22">
        <v>26027</v>
      </c>
      <c r="ABC22">
        <v>19180</v>
      </c>
      <c r="ABD22">
        <v>27822</v>
      </c>
      <c r="ABE22">
        <v>12280</v>
      </c>
      <c r="ABF22">
        <v>51719</v>
      </c>
      <c r="ABG22">
        <v>9399</v>
      </c>
      <c r="ABH22">
        <v>0</v>
      </c>
      <c r="ABI22">
        <v>13969</v>
      </c>
      <c r="ABJ22">
        <v>9366</v>
      </c>
      <c r="ABK22">
        <v>9860</v>
      </c>
      <c r="ABL22">
        <v>8455</v>
      </c>
      <c r="ABM22">
        <v>21718</v>
      </c>
      <c r="ABN22">
        <v>6752</v>
      </c>
      <c r="ABO22">
        <v>0</v>
      </c>
      <c r="ABP22">
        <v>26678</v>
      </c>
      <c r="ABQ22">
        <v>23105</v>
      </c>
      <c r="ABR22">
        <v>37289</v>
      </c>
      <c r="ABS22">
        <v>8984</v>
      </c>
      <c r="ABT22">
        <v>11099</v>
      </c>
      <c r="ABU22">
        <v>11624</v>
      </c>
      <c r="ABV22">
        <v>0</v>
      </c>
      <c r="ABW22">
        <v>24931</v>
      </c>
      <c r="ABX22">
        <v>49396</v>
      </c>
      <c r="ABY22">
        <v>30299</v>
      </c>
      <c r="ABZ22">
        <v>24928</v>
      </c>
      <c r="ACA22">
        <v>32515</v>
      </c>
      <c r="ACB22">
        <v>27386</v>
      </c>
      <c r="ACC22">
        <v>519</v>
      </c>
      <c r="ACD22">
        <v>10568</v>
      </c>
      <c r="ACE22">
        <v>20303</v>
      </c>
      <c r="ACF22">
        <v>16985</v>
      </c>
      <c r="ACG22">
        <v>13520</v>
      </c>
      <c r="ACH22">
        <v>63144</v>
      </c>
      <c r="ACI22">
        <v>35368</v>
      </c>
      <c r="ACJ22">
        <v>0</v>
      </c>
      <c r="ACK22">
        <v>14843</v>
      </c>
      <c r="ACL22">
        <v>10514</v>
      </c>
      <c r="ACM22">
        <v>2821</v>
      </c>
      <c r="ACN22">
        <v>9736</v>
      </c>
      <c r="ACO22">
        <v>6935</v>
      </c>
      <c r="ACP22">
        <v>4797</v>
      </c>
      <c r="ACQ22">
        <v>0</v>
      </c>
      <c r="ACR22">
        <v>6118</v>
      </c>
      <c r="ACS22">
        <v>35532</v>
      </c>
      <c r="ACT22">
        <v>13697</v>
      </c>
      <c r="ACU22">
        <v>27683</v>
      </c>
      <c r="ACV22">
        <v>4193</v>
      </c>
      <c r="ACW22">
        <v>4556</v>
      </c>
      <c r="ACX22">
        <v>7936</v>
      </c>
      <c r="ACY22">
        <v>18709</v>
      </c>
      <c r="ACZ22">
        <v>13602</v>
      </c>
      <c r="ADA22">
        <v>18523</v>
      </c>
      <c r="ADB22">
        <v>18252</v>
      </c>
      <c r="ADC22">
        <v>2936</v>
      </c>
      <c r="ADD22">
        <v>2936</v>
      </c>
      <c r="ADE22">
        <v>7118</v>
      </c>
      <c r="ADF22">
        <v>16200</v>
      </c>
      <c r="ADG22">
        <v>14428</v>
      </c>
      <c r="ADH22">
        <v>12676</v>
      </c>
      <c r="ADI22">
        <v>11339</v>
      </c>
      <c r="ADJ22">
        <v>4836</v>
      </c>
      <c r="ADK22">
        <v>4836</v>
      </c>
      <c r="ADL22">
        <v>0</v>
      </c>
      <c r="ADM22">
        <v>3621</v>
      </c>
      <c r="ADN22">
        <v>8250</v>
      </c>
      <c r="ADO22">
        <v>18586</v>
      </c>
      <c r="ADP22">
        <v>18104</v>
      </c>
      <c r="ADQ22">
        <v>10903</v>
      </c>
      <c r="ADR22">
        <v>3906</v>
      </c>
      <c r="ADS22">
        <v>0</v>
      </c>
      <c r="ADT22">
        <v>5353</v>
      </c>
      <c r="ADU22">
        <v>2640</v>
      </c>
      <c r="ADV22">
        <v>0</v>
      </c>
      <c r="ADW22">
        <v>0</v>
      </c>
      <c r="ADX22">
        <v>401</v>
      </c>
      <c r="ADY22">
        <v>512</v>
      </c>
      <c r="ADZ22">
        <v>0</v>
      </c>
      <c r="AEA22">
        <v>3580</v>
      </c>
      <c r="AEB22">
        <v>4429</v>
      </c>
      <c r="AEC22">
        <v>33120</v>
      </c>
      <c r="AED22">
        <v>11214</v>
      </c>
      <c r="AEE22">
        <v>48622</v>
      </c>
      <c r="AEF22">
        <v>8578</v>
      </c>
      <c r="AEG22">
        <v>0</v>
      </c>
      <c r="AEH22">
        <v>28970</v>
      </c>
      <c r="AEI22">
        <v>16581</v>
      </c>
      <c r="AEJ22">
        <v>6399</v>
      </c>
      <c r="AEK22">
        <v>14884</v>
      </c>
      <c r="AEL22">
        <v>24448</v>
      </c>
      <c r="AEM22">
        <v>5979</v>
      </c>
      <c r="AEN22">
        <v>0</v>
      </c>
      <c r="AEO22">
        <v>10032</v>
      </c>
      <c r="AEP22">
        <v>27452</v>
      </c>
      <c r="AEQ22">
        <v>17192</v>
      </c>
      <c r="AER22">
        <v>17623</v>
      </c>
      <c r="AES22">
        <v>14633</v>
      </c>
      <c r="AET22">
        <v>10705</v>
      </c>
      <c r="AEU22">
        <v>0</v>
      </c>
      <c r="AEV22">
        <v>12106</v>
      </c>
      <c r="AEW22">
        <v>8707</v>
      </c>
      <c r="AEX22">
        <v>15467</v>
      </c>
      <c r="AEY22">
        <v>20236</v>
      </c>
      <c r="AEZ22">
        <v>7529</v>
      </c>
      <c r="AFA22">
        <v>1728</v>
      </c>
      <c r="AFB22">
        <v>0</v>
      </c>
      <c r="AFC22">
        <v>4316</v>
      </c>
      <c r="AFD22">
        <v>49343</v>
      </c>
      <c r="AFE22">
        <v>26347</v>
      </c>
      <c r="AFF22">
        <v>4418</v>
      </c>
      <c r="AFG22">
        <v>15162</v>
      </c>
      <c r="AFH22">
        <v>14462</v>
      </c>
      <c r="AFI22">
        <v>0</v>
      </c>
      <c r="AFJ22">
        <v>22192</v>
      </c>
      <c r="AFK22">
        <v>23293</v>
      </c>
      <c r="AFL22">
        <v>21015</v>
      </c>
      <c r="AFM22">
        <v>12801</v>
      </c>
      <c r="AFN22">
        <v>14193</v>
      </c>
      <c r="AFO22">
        <v>11236</v>
      </c>
      <c r="AFP22">
        <v>363</v>
      </c>
      <c r="AFQ22">
        <v>26080</v>
      </c>
      <c r="AFR22">
        <v>18076</v>
      </c>
      <c r="AFS22">
        <v>16920</v>
      </c>
      <c r="AFT22">
        <v>51622</v>
      </c>
      <c r="AFU22">
        <v>28517</v>
      </c>
      <c r="AFV22">
        <v>16397</v>
      </c>
      <c r="AFW22">
        <v>0</v>
      </c>
      <c r="AFX22">
        <v>23240</v>
      </c>
      <c r="AFY22">
        <v>40533</v>
      </c>
      <c r="AFZ22">
        <v>22883</v>
      </c>
      <c r="AGA22">
        <v>4919</v>
      </c>
      <c r="AGB22">
        <v>11400</v>
      </c>
      <c r="AGC22">
        <v>18975</v>
      </c>
      <c r="AGD22">
        <v>0</v>
      </c>
      <c r="AGE22">
        <v>24298</v>
      </c>
      <c r="AGF22">
        <v>10560</v>
      </c>
      <c r="AGG22">
        <v>22424</v>
      </c>
      <c r="AGH22">
        <v>17033</v>
      </c>
      <c r="AGI22">
        <v>50855</v>
      </c>
      <c r="AGJ22">
        <v>0</v>
      </c>
      <c r="AGK22">
        <v>0</v>
      </c>
      <c r="AGL22">
        <v>13454</v>
      </c>
      <c r="AGM22">
        <v>37608</v>
      </c>
      <c r="AGN22">
        <v>13971</v>
      </c>
      <c r="AGO22">
        <v>10659</v>
      </c>
      <c r="AGP22">
        <v>13918</v>
      </c>
      <c r="AGQ22">
        <v>8275</v>
      </c>
      <c r="AGR22">
        <v>228</v>
      </c>
      <c r="AGS22">
        <v>30819</v>
      </c>
      <c r="AGT22">
        <v>28997</v>
      </c>
      <c r="AGU22">
        <v>12147</v>
      </c>
      <c r="AGV22">
        <v>7205</v>
      </c>
      <c r="AGW22">
        <v>53385</v>
      </c>
      <c r="AGX22">
        <v>33588</v>
      </c>
      <c r="AGY22">
        <v>0</v>
      </c>
      <c r="AGZ22">
        <v>10889</v>
      </c>
      <c r="AHA22">
        <v>34409</v>
      </c>
      <c r="AHB22">
        <v>26760</v>
      </c>
      <c r="AHC22">
        <v>13719</v>
      </c>
      <c r="AHD22">
        <v>7224</v>
      </c>
      <c r="AHE22">
        <v>8018</v>
      </c>
      <c r="AHH22">
        <v>0</v>
      </c>
      <c r="AHI22">
        <v>8449</v>
      </c>
      <c r="AHJ22">
        <v>11753</v>
      </c>
      <c r="AHK22">
        <v>22599</v>
      </c>
      <c r="AHL22">
        <v>12360</v>
      </c>
      <c r="AHM22">
        <v>0</v>
      </c>
      <c r="AHN22">
        <v>1193</v>
      </c>
      <c r="AHO22">
        <v>33934</v>
      </c>
      <c r="AHP22">
        <v>41580</v>
      </c>
      <c r="AHQ22">
        <v>17084</v>
      </c>
      <c r="AHR22">
        <v>20201</v>
      </c>
      <c r="AHS22">
        <v>36330</v>
      </c>
      <c r="AHT22">
        <v>0</v>
      </c>
      <c r="AHU22">
        <v>0</v>
      </c>
      <c r="AHV22">
        <v>0</v>
      </c>
      <c r="AHW22">
        <v>4177</v>
      </c>
      <c r="AHX22">
        <v>9602</v>
      </c>
      <c r="AHY22">
        <v>20690</v>
      </c>
      <c r="AHZ22">
        <v>5869</v>
      </c>
      <c r="AIA22">
        <v>84</v>
      </c>
      <c r="AIB22">
        <v>16907</v>
      </c>
      <c r="AIC22">
        <v>15627</v>
      </c>
      <c r="AID22">
        <v>25923</v>
      </c>
      <c r="AIE22">
        <v>21106</v>
      </c>
      <c r="AIF22">
        <v>49194</v>
      </c>
      <c r="AIG22">
        <v>14960</v>
      </c>
      <c r="AIH22">
        <v>0</v>
      </c>
      <c r="AII22">
        <v>7487</v>
      </c>
      <c r="AIJ22">
        <v>12831</v>
      </c>
      <c r="AIK22">
        <v>2610</v>
      </c>
      <c r="AIL22">
        <v>601</v>
      </c>
      <c r="AIM22">
        <v>0</v>
      </c>
      <c r="AIN22">
        <v>4034</v>
      </c>
      <c r="AIO22">
        <v>0</v>
      </c>
      <c r="AIP22">
        <v>99</v>
      </c>
      <c r="AIQ22">
        <v>34815</v>
      </c>
      <c r="AIR22">
        <v>23265</v>
      </c>
      <c r="AIS22">
        <v>27714</v>
      </c>
      <c r="AIT22">
        <v>13951</v>
      </c>
      <c r="AIU22">
        <v>5546</v>
      </c>
      <c r="AIV22">
        <v>0</v>
      </c>
      <c r="AIW22">
        <v>16072</v>
      </c>
      <c r="AIX22">
        <v>6437</v>
      </c>
      <c r="AIY22">
        <v>11076</v>
      </c>
      <c r="AIZ22">
        <v>5234</v>
      </c>
      <c r="AJA22">
        <v>12580</v>
      </c>
      <c r="AJB22">
        <v>6022</v>
      </c>
      <c r="AJC22">
        <v>0</v>
      </c>
      <c r="AJD22">
        <v>5321</v>
      </c>
      <c r="AJE22">
        <v>198</v>
      </c>
      <c r="AJF22">
        <v>2718</v>
      </c>
      <c r="AJG22">
        <v>169</v>
      </c>
      <c r="AJH22">
        <v>67128</v>
      </c>
      <c r="AJI22">
        <v>20743</v>
      </c>
      <c r="AJJ22">
        <v>0</v>
      </c>
      <c r="AJK22">
        <v>66950</v>
      </c>
      <c r="AJL22">
        <v>18051</v>
      </c>
      <c r="AJM22">
        <v>7014</v>
      </c>
      <c r="AJN22">
        <v>1475</v>
      </c>
      <c r="AJO22">
        <v>875</v>
      </c>
      <c r="AJP22">
        <v>404</v>
      </c>
      <c r="AJQ22">
        <v>0</v>
      </c>
      <c r="AJR22">
        <v>0</v>
      </c>
      <c r="AJS22">
        <v>13901</v>
      </c>
      <c r="AJT22">
        <v>0</v>
      </c>
      <c r="AJU22">
        <v>8020</v>
      </c>
      <c r="AJV22">
        <v>11219</v>
      </c>
      <c r="AJW22">
        <v>2526</v>
      </c>
      <c r="AJX22">
        <v>0</v>
      </c>
      <c r="AJY22">
        <v>28819</v>
      </c>
      <c r="AJZ22">
        <v>44965</v>
      </c>
      <c r="AKA22">
        <v>21792</v>
      </c>
      <c r="AKB22">
        <v>18973</v>
      </c>
      <c r="AKC22">
        <v>32368</v>
      </c>
      <c r="AKD22">
        <v>3700</v>
      </c>
      <c r="AKE22">
        <v>0</v>
      </c>
      <c r="AKF22">
        <v>10262</v>
      </c>
    </row>
    <row r="23" spans="1:968">
      <c r="A23">
        <v>4</v>
      </c>
      <c r="B23" t="s">
        <v>117</v>
      </c>
      <c r="C23" s="1">
        <v>82640</v>
      </c>
      <c r="D23" s="1" t="s">
        <v>28</v>
      </c>
      <c r="E23" s="1" t="s">
        <v>113</v>
      </c>
      <c r="F23" s="1" t="s">
        <v>95</v>
      </c>
      <c r="G23" s="1" t="s">
        <v>33</v>
      </c>
      <c r="H23" s="1" t="s">
        <v>114</v>
      </c>
      <c r="I23" s="1" t="s">
        <v>45</v>
      </c>
      <c r="J23" s="1" t="s">
        <v>46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36</v>
      </c>
      <c r="R23">
        <v>0</v>
      </c>
      <c r="S23">
        <v>0</v>
      </c>
      <c r="T23">
        <v>0</v>
      </c>
      <c r="U23">
        <v>175</v>
      </c>
      <c r="V23">
        <v>0</v>
      </c>
      <c r="W23">
        <v>0</v>
      </c>
      <c r="X23">
        <v>0</v>
      </c>
      <c r="Y23">
        <v>0</v>
      </c>
      <c r="Z23">
        <v>0</v>
      </c>
      <c r="AA23">
        <v>12</v>
      </c>
      <c r="AB23">
        <v>0</v>
      </c>
      <c r="AC23">
        <v>0</v>
      </c>
      <c r="AD23">
        <v>0</v>
      </c>
      <c r="AE23">
        <v>0</v>
      </c>
      <c r="AF23">
        <v>85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 s="33">
        <v>0</v>
      </c>
      <c r="BV23" s="33">
        <v>0</v>
      </c>
      <c r="BW23" s="33">
        <v>0</v>
      </c>
      <c r="BX23" s="33">
        <v>0</v>
      </c>
      <c r="BY23" s="33">
        <v>0</v>
      </c>
      <c r="BZ23" s="33">
        <v>0</v>
      </c>
      <c r="CA23" s="33">
        <v>0</v>
      </c>
      <c r="CB23">
        <v>0</v>
      </c>
      <c r="CC23">
        <v>36</v>
      </c>
      <c r="CD23">
        <v>0</v>
      </c>
      <c r="CE23">
        <v>256</v>
      </c>
      <c r="CF23">
        <v>517</v>
      </c>
      <c r="CG23">
        <v>0</v>
      </c>
      <c r="CH23">
        <v>189</v>
      </c>
      <c r="CI23">
        <v>0</v>
      </c>
      <c r="CJ23">
        <v>6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410</v>
      </c>
      <c r="DR23">
        <v>12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63</v>
      </c>
      <c r="DY23">
        <v>0</v>
      </c>
      <c r="DZ23">
        <v>248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1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24</v>
      </c>
      <c r="IC23">
        <v>0</v>
      </c>
      <c r="ID23">
        <v>5</v>
      </c>
      <c r="IE23">
        <v>0</v>
      </c>
      <c r="IF23">
        <v>1</v>
      </c>
      <c r="IG23">
        <v>0</v>
      </c>
      <c r="IH23">
        <v>0</v>
      </c>
      <c r="II23">
        <v>0</v>
      </c>
      <c r="IJ23">
        <v>36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120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11</v>
      </c>
      <c r="JP23">
        <v>60</v>
      </c>
      <c r="JQ23">
        <v>0</v>
      </c>
      <c r="JR23">
        <v>0</v>
      </c>
      <c r="JS23">
        <v>144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4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10800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12</v>
      </c>
      <c r="KN23">
        <v>460</v>
      </c>
      <c r="KO23">
        <v>49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1336</v>
      </c>
      <c r="KW23">
        <v>0</v>
      </c>
      <c r="KX23">
        <v>0</v>
      </c>
      <c r="KY23">
        <v>166</v>
      </c>
      <c r="KZ23">
        <v>1046</v>
      </c>
      <c r="LA23">
        <v>618</v>
      </c>
      <c r="LB23">
        <v>1140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55</v>
      </c>
      <c r="LI23">
        <v>444</v>
      </c>
      <c r="LJ23">
        <v>0</v>
      </c>
      <c r="LK23">
        <v>0</v>
      </c>
      <c r="LL23">
        <v>421</v>
      </c>
      <c r="LM23">
        <v>0</v>
      </c>
      <c r="LN23">
        <v>24</v>
      </c>
      <c r="LO23">
        <v>7561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4450</v>
      </c>
      <c r="LW23">
        <v>688</v>
      </c>
      <c r="LX23">
        <v>0</v>
      </c>
      <c r="LY23">
        <v>0</v>
      </c>
      <c r="LZ23">
        <v>0</v>
      </c>
      <c r="MA23">
        <v>73</v>
      </c>
      <c r="MB23">
        <v>0</v>
      </c>
      <c r="MC23">
        <v>1004</v>
      </c>
      <c r="MD23">
        <v>679</v>
      </c>
      <c r="ME23">
        <v>6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24</v>
      </c>
      <c r="ML23">
        <v>10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1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289</v>
      </c>
      <c r="MY23">
        <v>54</v>
      </c>
      <c r="MZ23">
        <v>49</v>
      </c>
      <c r="NA23">
        <v>0</v>
      </c>
      <c r="NB23">
        <v>0</v>
      </c>
      <c r="NC23">
        <v>0</v>
      </c>
      <c r="ND23">
        <v>0</v>
      </c>
      <c r="NE23">
        <v>-4</v>
      </c>
      <c r="NF23">
        <v>379</v>
      </c>
      <c r="NG23">
        <v>0</v>
      </c>
      <c r="NH23">
        <v>0</v>
      </c>
      <c r="NI23">
        <v>119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48</v>
      </c>
      <c r="NQ23">
        <v>0</v>
      </c>
      <c r="NR23">
        <v>18</v>
      </c>
      <c r="NS23">
        <v>0</v>
      </c>
      <c r="NT23">
        <v>0</v>
      </c>
      <c r="NU23">
        <v>1</v>
      </c>
      <c r="NV23">
        <v>0</v>
      </c>
      <c r="NW23">
        <v>0</v>
      </c>
      <c r="NX23">
        <v>517</v>
      </c>
      <c r="NY23">
        <v>0</v>
      </c>
      <c r="NZ23">
        <v>0</v>
      </c>
      <c r="OA23">
        <v>12</v>
      </c>
      <c r="OB23">
        <v>0</v>
      </c>
      <c r="OC23">
        <v>0</v>
      </c>
      <c r="OD23">
        <v>0</v>
      </c>
      <c r="OE23">
        <v>1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-1</v>
      </c>
      <c r="OT23">
        <v>1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7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36</v>
      </c>
      <c r="QD23">
        <v>1500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211</v>
      </c>
      <c r="RA23">
        <v>0</v>
      </c>
      <c r="RB23">
        <v>0</v>
      </c>
      <c r="RC23">
        <v>0</v>
      </c>
      <c r="RD23">
        <v>571</v>
      </c>
      <c r="RE23">
        <v>1212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1467</v>
      </c>
      <c r="RN23">
        <v>72</v>
      </c>
      <c r="RO23">
        <v>1148</v>
      </c>
      <c r="RP23">
        <v>0</v>
      </c>
      <c r="RQ23">
        <v>417</v>
      </c>
      <c r="RR23">
        <v>4</v>
      </c>
      <c r="RS23">
        <v>1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5</v>
      </c>
      <c r="SV23">
        <v>12</v>
      </c>
      <c r="SW23">
        <v>0</v>
      </c>
      <c r="SX23">
        <v>2</v>
      </c>
      <c r="SY23">
        <v>0</v>
      </c>
      <c r="SZ23">
        <v>2472</v>
      </c>
      <c r="TA23">
        <v>0</v>
      </c>
      <c r="TB23">
        <v>1587</v>
      </c>
      <c r="TC23">
        <v>425</v>
      </c>
      <c r="TD23">
        <v>18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8</v>
      </c>
      <c r="TT23">
        <v>0</v>
      </c>
      <c r="TU23">
        <v>0</v>
      </c>
      <c r="TV23">
        <v>0</v>
      </c>
      <c r="TW23">
        <v>0</v>
      </c>
      <c r="TX23">
        <v>2948</v>
      </c>
      <c r="TY23">
        <v>0</v>
      </c>
      <c r="TZ23">
        <v>0</v>
      </c>
      <c r="UA23">
        <v>0</v>
      </c>
      <c r="UB23">
        <v>36</v>
      </c>
      <c r="UC23">
        <v>0</v>
      </c>
      <c r="UD23">
        <v>0</v>
      </c>
      <c r="UE23">
        <v>0</v>
      </c>
      <c r="UF23">
        <v>18</v>
      </c>
      <c r="UG23">
        <v>0</v>
      </c>
      <c r="UH23">
        <v>0</v>
      </c>
      <c r="UI23">
        <v>1203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862</v>
      </c>
      <c r="UQ23">
        <v>10011</v>
      </c>
      <c r="UR23">
        <v>371</v>
      </c>
      <c r="US23">
        <v>1190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626</v>
      </c>
      <c r="VH23">
        <v>0</v>
      </c>
      <c r="VI23">
        <v>4</v>
      </c>
      <c r="VJ23">
        <v>0</v>
      </c>
      <c r="VK23">
        <v>0</v>
      </c>
      <c r="VL23">
        <v>0</v>
      </c>
      <c r="VM23">
        <v>0</v>
      </c>
      <c r="VN23">
        <v>2647</v>
      </c>
      <c r="VO23">
        <v>2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1</v>
      </c>
      <c r="WA23">
        <v>0</v>
      </c>
      <c r="WB23">
        <v>48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10000</v>
      </c>
      <c r="WI23">
        <v>0</v>
      </c>
      <c r="WJ23">
        <v>0</v>
      </c>
      <c r="WK23">
        <v>1945</v>
      </c>
      <c r="WL23">
        <v>0</v>
      </c>
      <c r="WM23">
        <v>12</v>
      </c>
      <c r="WN23">
        <v>2403</v>
      </c>
      <c r="WO23">
        <v>186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394</v>
      </c>
      <c r="WW23">
        <v>1</v>
      </c>
      <c r="WX23">
        <v>0</v>
      </c>
      <c r="WY23">
        <v>0</v>
      </c>
      <c r="WZ23">
        <v>0</v>
      </c>
      <c r="XA23">
        <v>0</v>
      </c>
      <c r="XB23">
        <v>1</v>
      </c>
      <c r="XC23">
        <v>1</v>
      </c>
      <c r="XD23">
        <v>246</v>
      </c>
      <c r="XE23">
        <v>196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12</v>
      </c>
      <c r="XL23">
        <v>0</v>
      </c>
      <c r="XM23">
        <v>0</v>
      </c>
      <c r="XN23">
        <v>0</v>
      </c>
      <c r="XO23">
        <v>1113</v>
      </c>
      <c r="XP23">
        <v>538</v>
      </c>
      <c r="XQ23">
        <v>0</v>
      </c>
      <c r="XR23">
        <v>2104</v>
      </c>
      <c r="XS23">
        <v>840</v>
      </c>
      <c r="XT23">
        <v>0</v>
      </c>
      <c r="XU23">
        <v>0</v>
      </c>
      <c r="XV23">
        <v>0</v>
      </c>
      <c r="XW23">
        <v>811</v>
      </c>
      <c r="XX23">
        <v>0</v>
      </c>
      <c r="XY23">
        <v>440</v>
      </c>
      <c r="XZ23">
        <v>5</v>
      </c>
      <c r="YA23">
        <v>0</v>
      </c>
      <c r="YB23">
        <v>0</v>
      </c>
      <c r="YC23">
        <v>1153</v>
      </c>
      <c r="YD23">
        <v>2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720</v>
      </c>
      <c r="YN23">
        <v>675</v>
      </c>
      <c r="YO23">
        <v>2</v>
      </c>
      <c r="YP23">
        <v>0</v>
      </c>
      <c r="YQ23">
        <v>6</v>
      </c>
      <c r="YR23">
        <v>692</v>
      </c>
      <c r="YS23">
        <v>3009</v>
      </c>
      <c r="YT23">
        <v>9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2392</v>
      </c>
      <c r="ZA23">
        <v>48</v>
      </c>
      <c r="ZB23">
        <v>1416</v>
      </c>
      <c r="ZC23">
        <v>0</v>
      </c>
      <c r="ZD23">
        <v>0</v>
      </c>
      <c r="ZE23">
        <v>452</v>
      </c>
      <c r="ZF23">
        <v>119</v>
      </c>
      <c r="ZG23">
        <v>0</v>
      </c>
      <c r="ZH23">
        <v>612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18</v>
      </c>
      <c r="ZQ23">
        <v>0</v>
      </c>
      <c r="ZR23">
        <v>0</v>
      </c>
      <c r="ZS23">
        <v>0</v>
      </c>
      <c r="ZT23">
        <v>0</v>
      </c>
      <c r="ZU23">
        <v>24</v>
      </c>
      <c r="ZV23">
        <v>0</v>
      </c>
      <c r="ZW23">
        <v>0</v>
      </c>
      <c r="ZX23">
        <v>13</v>
      </c>
      <c r="ZY23">
        <v>0</v>
      </c>
      <c r="ZZ23">
        <v>717</v>
      </c>
      <c r="AAA23">
        <v>85</v>
      </c>
      <c r="AAB23">
        <v>647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213</v>
      </c>
      <c r="AAK23">
        <v>135</v>
      </c>
      <c r="AAL23">
        <v>0</v>
      </c>
      <c r="AAM23">
        <v>0</v>
      </c>
      <c r="AAN23">
        <v>68</v>
      </c>
      <c r="AAO23">
        <v>0</v>
      </c>
      <c r="AAP23">
        <v>36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4270</v>
      </c>
      <c r="AAW23">
        <v>2</v>
      </c>
      <c r="AAX23">
        <v>15000</v>
      </c>
      <c r="AAY23">
        <v>13</v>
      </c>
      <c r="AAZ23">
        <v>1657</v>
      </c>
      <c r="ABA23">
        <v>0</v>
      </c>
      <c r="ABB23">
        <v>0</v>
      </c>
      <c r="ABC23">
        <v>2967</v>
      </c>
      <c r="ABD23">
        <v>1149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32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12</v>
      </c>
      <c r="ABT23">
        <v>12</v>
      </c>
      <c r="ABU23">
        <v>0</v>
      </c>
      <c r="ABV23">
        <v>0</v>
      </c>
      <c r="ABW23">
        <v>0</v>
      </c>
      <c r="ABX23">
        <v>737</v>
      </c>
      <c r="ABY23">
        <v>832</v>
      </c>
      <c r="ABZ23">
        <v>935</v>
      </c>
      <c r="ACA23">
        <v>93</v>
      </c>
      <c r="ACB23">
        <v>4</v>
      </c>
      <c r="ACC23">
        <v>0</v>
      </c>
      <c r="ACD23">
        <v>460</v>
      </c>
      <c r="ACE23">
        <v>0</v>
      </c>
      <c r="ACF23">
        <v>0</v>
      </c>
      <c r="ACG23">
        <v>171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24</v>
      </c>
      <c r="ACT23">
        <v>0</v>
      </c>
      <c r="ACU23">
        <v>1529</v>
      </c>
      <c r="ACV23">
        <v>0</v>
      </c>
      <c r="ACW23">
        <v>0</v>
      </c>
      <c r="ACX23">
        <v>0</v>
      </c>
      <c r="ACY23">
        <v>12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338</v>
      </c>
      <c r="ADH23">
        <v>6</v>
      </c>
      <c r="ADI23">
        <v>1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2900</v>
      </c>
      <c r="ADQ23">
        <v>0</v>
      </c>
      <c r="ADR23">
        <v>0</v>
      </c>
      <c r="ADS23">
        <v>0</v>
      </c>
      <c r="ADT23">
        <v>-2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1</v>
      </c>
      <c r="AEB23">
        <v>30</v>
      </c>
      <c r="AEC23">
        <v>12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44</v>
      </c>
      <c r="AEM23">
        <v>0</v>
      </c>
      <c r="AEN23">
        <v>0</v>
      </c>
      <c r="AEO23">
        <v>0</v>
      </c>
      <c r="AEP23">
        <v>0</v>
      </c>
      <c r="AEQ23">
        <v>65</v>
      </c>
      <c r="AER23">
        <v>120</v>
      </c>
      <c r="AES23">
        <v>0</v>
      </c>
      <c r="AET23">
        <v>6</v>
      </c>
      <c r="AEU23">
        <v>0</v>
      </c>
      <c r="AEV23">
        <v>691</v>
      </c>
      <c r="AEW23">
        <v>1326</v>
      </c>
      <c r="AEX23">
        <v>258</v>
      </c>
      <c r="AEY23">
        <v>4383</v>
      </c>
      <c r="AEZ23">
        <v>842</v>
      </c>
      <c r="AFA23">
        <v>0</v>
      </c>
      <c r="AFB23">
        <v>0</v>
      </c>
      <c r="AFC23">
        <v>20</v>
      </c>
      <c r="AFD23">
        <v>0</v>
      </c>
      <c r="AFE23">
        <v>15</v>
      </c>
      <c r="AFF23">
        <v>0</v>
      </c>
      <c r="AFG23">
        <v>24</v>
      </c>
      <c r="AFH23">
        <v>89</v>
      </c>
      <c r="AFI23">
        <v>0</v>
      </c>
      <c r="AFJ23">
        <v>734</v>
      </c>
      <c r="AFK23">
        <v>19</v>
      </c>
      <c r="AFL23">
        <v>653</v>
      </c>
      <c r="AFM23">
        <v>12</v>
      </c>
      <c r="AFN23">
        <v>0</v>
      </c>
      <c r="AFO23">
        <v>0</v>
      </c>
      <c r="AFP23">
        <v>0</v>
      </c>
      <c r="AFQ23">
        <v>93</v>
      </c>
      <c r="AFR23">
        <v>0</v>
      </c>
      <c r="AFS23">
        <v>0</v>
      </c>
      <c r="AFT23">
        <v>0</v>
      </c>
      <c r="AFU23">
        <v>0</v>
      </c>
      <c r="AFV23">
        <v>563</v>
      </c>
      <c r="AFW23">
        <v>0</v>
      </c>
      <c r="AFX23">
        <v>108</v>
      </c>
      <c r="AFY23">
        <v>0</v>
      </c>
      <c r="AFZ23">
        <v>0</v>
      </c>
      <c r="AGA23">
        <v>1492</v>
      </c>
      <c r="AGB23">
        <v>1194</v>
      </c>
      <c r="AGC23">
        <v>23</v>
      </c>
      <c r="AGD23">
        <v>0</v>
      </c>
      <c r="AGE23">
        <v>0</v>
      </c>
      <c r="AGF23">
        <v>3526</v>
      </c>
      <c r="AGG23">
        <v>4</v>
      </c>
      <c r="AGH23">
        <v>0</v>
      </c>
      <c r="AGI23">
        <v>6</v>
      </c>
      <c r="AGJ23">
        <v>0</v>
      </c>
      <c r="AGK23">
        <v>0</v>
      </c>
      <c r="AGL23">
        <v>0</v>
      </c>
      <c r="AGM23">
        <v>0</v>
      </c>
      <c r="AGN23">
        <v>12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1019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30</v>
      </c>
      <c r="AHB23">
        <v>222</v>
      </c>
      <c r="AHC23">
        <v>15</v>
      </c>
      <c r="AHD23">
        <v>164</v>
      </c>
      <c r="AHE23">
        <v>0</v>
      </c>
      <c r="AHH23">
        <v>0</v>
      </c>
      <c r="AHI23">
        <v>0</v>
      </c>
      <c r="AHJ23">
        <v>311</v>
      </c>
      <c r="AHK23">
        <v>1</v>
      </c>
      <c r="AHL23">
        <v>1588</v>
      </c>
      <c r="AHM23">
        <v>0</v>
      </c>
      <c r="AHN23">
        <v>0</v>
      </c>
      <c r="AHO23">
        <v>427</v>
      </c>
      <c r="AHP23">
        <v>0</v>
      </c>
      <c r="AHQ23">
        <v>387</v>
      </c>
      <c r="AHR23">
        <v>1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120</v>
      </c>
      <c r="AHY23">
        <v>0</v>
      </c>
      <c r="AHZ23">
        <v>1</v>
      </c>
      <c r="AIA23">
        <v>0</v>
      </c>
      <c r="AIB23">
        <v>0</v>
      </c>
      <c r="AIC23">
        <v>0</v>
      </c>
      <c r="AID23">
        <v>12</v>
      </c>
      <c r="AIE23">
        <v>0</v>
      </c>
      <c r="AIF23">
        <v>0</v>
      </c>
      <c r="AIG23">
        <v>0</v>
      </c>
      <c r="AIH23">
        <v>0</v>
      </c>
      <c r="AII23">
        <v>205</v>
      </c>
      <c r="AIJ23">
        <v>60</v>
      </c>
      <c r="AIK23">
        <v>0</v>
      </c>
      <c r="AIL23">
        <v>1678</v>
      </c>
      <c r="AIM23">
        <v>0</v>
      </c>
      <c r="AIN23">
        <v>1</v>
      </c>
      <c r="AIO23">
        <v>0</v>
      </c>
      <c r="AIP23">
        <v>0</v>
      </c>
      <c r="AIQ23">
        <v>0</v>
      </c>
      <c r="AIR23">
        <v>0</v>
      </c>
      <c r="AIS23">
        <v>816</v>
      </c>
      <c r="AIT23">
        <v>16</v>
      </c>
      <c r="AIU23">
        <v>0</v>
      </c>
      <c r="AIV23">
        <v>0</v>
      </c>
      <c r="AIW23">
        <v>0</v>
      </c>
      <c r="AIX23">
        <v>228</v>
      </c>
      <c r="AIY23">
        <v>60</v>
      </c>
      <c r="AIZ23">
        <v>25</v>
      </c>
      <c r="AJA23">
        <v>0</v>
      </c>
      <c r="AJB23">
        <v>574</v>
      </c>
      <c r="AJC23">
        <v>0</v>
      </c>
      <c r="AJD23">
        <v>0</v>
      </c>
      <c r="AJE23">
        <v>0</v>
      </c>
      <c r="AJF23">
        <v>82</v>
      </c>
      <c r="AJG23">
        <v>820</v>
      </c>
      <c r="AJH23">
        <v>4</v>
      </c>
      <c r="AJI23">
        <v>165</v>
      </c>
      <c r="AJJ23">
        <v>0</v>
      </c>
      <c r="AJK23">
        <v>45</v>
      </c>
      <c r="AJL23">
        <v>0</v>
      </c>
      <c r="AJM23">
        <v>101</v>
      </c>
      <c r="AJN23">
        <v>666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1319</v>
      </c>
      <c r="AKD23">
        <v>0</v>
      </c>
      <c r="AKE23">
        <v>0</v>
      </c>
      <c r="AKF23">
        <v>0</v>
      </c>
    </row>
    <row r="24" spans="1:968">
      <c r="A24">
        <v>5</v>
      </c>
      <c r="B24" t="s">
        <v>118</v>
      </c>
      <c r="C24" s="1">
        <v>82640</v>
      </c>
      <c r="D24" s="1" t="s">
        <v>28</v>
      </c>
      <c r="E24" s="1" t="s">
        <v>113</v>
      </c>
      <c r="F24" s="1" t="s">
        <v>11</v>
      </c>
      <c r="G24" s="1" t="s">
        <v>12</v>
      </c>
      <c r="H24" s="1" t="s">
        <v>119</v>
      </c>
      <c r="I24" s="1" t="s">
        <v>45</v>
      </c>
      <c r="J24" s="1" t="s">
        <v>46</v>
      </c>
      <c r="K24">
        <v>62786</v>
      </c>
      <c r="L24">
        <v>62019</v>
      </c>
      <c r="M24">
        <v>53962</v>
      </c>
      <c r="N24">
        <v>41638</v>
      </c>
      <c r="O24">
        <v>0</v>
      </c>
      <c r="P24">
        <v>55535</v>
      </c>
      <c r="Q24">
        <v>36440</v>
      </c>
      <c r="R24">
        <v>33055</v>
      </c>
      <c r="S24">
        <v>66376</v>
      </c>
      <c r="T24">
        <v>186209</v>
      </c>
      <c r="U24">
        <v>78646</v>
      </c>
      <c r="V24">
        <v>0</v>
      </c>
      <c r="W24">
        <v>29344</v>
      </c>
      <c r="X24">
        <v>22677</v>
      </c>
      <c r="Y24">
        <v>31842</v>
      </c>
      <c r="Z24">
        <v>32350</v>
      </c>
      <c r="AA24">
        <v>37651</v>
      </c>
      <c r="AB24">
        <v>42642</v>
      </c>
      <c r="AC24">
        <v>0</v>
      </c>
      <c r="AD24">
        <v>24397</v>
      </c>
      <c r="AE24">
        <v>44501</v>
      </c>
      <c r="AF24">
        <v>41765</v>
      </c>
      <c r="AG24">
        <v>89468</v>
      </c>
      <c r="AH24">
        <v>35937</v>
      </c>
      <c r="AI24">
        <v>72921</v>
      </c>
      <c r="AJ24">
        <v>0</v>
      </c>
      <c r="AK24">
        <v>49965</v>
      </c>
      <c r="AL24">
        <v>69693</v>
      </c>
      <c r="AM24">
        <v>23015</v>
      </c>
      <c r="AN24">
        <v>22998</v>
      </c>
      <c r="AO24">
        <v>116268</v>
      </c>
      <c r="AP24">
        <v>44553</v>
      </c>
      <c r="AQ24">
        <v>0</v>
      </c>
      <c r="AR24">
        <v>26341</v>
      </c>
      <c r="AS24">
        <v>0</v>
      </c>
      <c r="AT24">
        <v>55800</v>
      </c>
      <c r="AU24">
        <v>61355</v>
      </c>
      <c r="AV24">
        <v>59211</v>
      </c>
      <c r="AW24">
        <v>51941</v>
      </c>
      <c r="AX24">
        <v>0</v>
      </c>
      <c r="AY24">
        <v>58967</v>
      </c>
      <c r="AZ24">
        <v>40351</v>
      </c>
      <c r="BA24">
        <v>64590</v>
      </c>
      <c r="BB24">
        <v>51338</v>
      </c>
      <c r="BC24">
        <v>50867</v>
      </c>
      <c r="BD24">
        <v>87341</v>
      </c>
      <c r="BE24">
        <v>0</v>
      </c>
      <c r="BF24">
        <v>85905</v>
      </c>
      <c r="BG24">
        <v>50736</v>
      </c>
      <c r="BH24">
        <v>45757</v>
      </c>
      <c r="BI24">
        <v>96797</v>
      </c>
      <c r="BJ24">
        <v>70914</v>
      </c>
      <c r="BK24">
        <v>56164</v>
      </c>
      <c r="BL24">
        <v>0</v>
      </c>
      <c r="BM24">
        <v>85263</v>
      </c>
      <c r="BN24">
        <v>76364</v>
      </c>
      <c r="BO24">
        <v>49247</v>
      </c>
      <c r="BP24">
        <v>10600</v>
      </c>
      <c r="BQ24">
        <v>7</v>
      </c>
      <c r="BR24">
        <v>0</v>
      </c>
      <c r="BS24">
        <v>0</v>
      </c>
      <c r="BT24">
        <v>0</v>
      </c>
      <c r="BU24" s="33">
        <v>0</v>
      </c>
      <c r="BV24" s="33">
        <v>1649</v>
      </c>
      <c r="BW24" s="33">
        <v>32595</v>
      </c>
      <c r="BX24" s="33">
        <v>48090</v>
      </c>
      <c r="BY24" s="33">
        <v>31050</v>
      </c>
      <c r="BZ24" s="33">
        <v>0</v>
      </c>
      <c r="CA24" s="33">
        <v>44271</v>
      </c>
      <c r="CB24">
        <v>42840</v>
      </c>
      <c r="CC24">
        <v>51086</v>
      </c>
      <c r="CD24">
        <v>41209</v>
      </c>
      <c r="CE24">
        <v>49200</v>
      </c>
      <c r="CF24">
        <v>44437</v>
      </c>
      <c r="CG24">
        <v>0</v>
      </c>
      <c r="CH24">
        <v>51746</v>
      </c>
      <c r="CI24">
        <v>56778</v>
      </c>
      <c r="CJ24">
        <v>66051</v>
      </c>
      <c r="CK24">
        <v>32303</v>
      </c>
      <c r="CL24">
        <v>93736</v>
      </c>
      <c r="CM24">
        <v>0</v>
      </c>
      <c r="CN24">
        <v>0</v>
      </c>
      <c r="CO24">
        <v>18467</v>
      </c>
      <c r="CP24">
        <v>29024</v>
      </c>
      <c r="CQ24">
        <v>45873</v>
      </c>
      <c r="CR24">
        <v>32735</v>
      </c>
      <c r="CS24">
        <v>26382</v>
      </c>
      <c r="CT24">
        <v>60568</v>
      </c>
      <c r="CU24">
        <v>0</v>
      </c>
      <c r="CV24">
        <v>22842</v>
      </c>
      <c r="CW24">
        <v>9751</v>
      </c>
      <c r="CX24">
        <v>25576</v>
      </c>
      <c r="CY24">
        <v>26050</v>
      </c>
      <c r="CZ24">
        <v>23129</v>
      </c>
      <c r="DA24">
        <v>37706</v>
      </c>
      <c r="DB24">
        <v>0</v>
      </c>
      <c r="DC24">
        <v>19698</v>
      </c>
      <c r="DD24">
        <v>15323</v>
      </c>
      <c r="DE24">
        <v>23552</v>
      </c>
      <c r="DF24">
        <v>23120</v>
      </c>
      <c r="DG24">
        <v>31962</v>
      </c>
      <c r="DH24">
        <v>31874</v>
      </c>
      <c r="DI24">
        <v>0</v>
      </c>
      <c r="DJ24">
        <v>23420</v>
      </c>
      <c r="DK24">
        <v>36272</v>
      </c>
      <c r="DL24">
        <v>66305</v>
      </c>
      <c r="DM24">
        <v>26650</v>
      </c>
      <c r="DN24">
        <v>30800</v>
      </c>
      <c r="DO24">
        <v>18621</v>
      </c>
      <c r="DP24">
        <v>0</v>
      </c>
      <c r="DQ24">
        <v>25871</v>
      </c>
      <c r="DR24">
        <v>41507</v>
      </c>
      <c r="DS24">
        <v>42608</v>
      </c>
      <c r="DT24">
        <v>20094</v>
      </c>
      <c r="DU24">
        <v>32607</v>
      </c>
      <c r="DV24">
        <v>23351</v>
      </c>
      <c r="DW24">
        <v>0</v>
      </c>
      <c r="DX24">
        <v>15268</v>
      </c>
      <c r="DY24">
        <v>32032</v>
      </c>
      <c r="DZ24">
        <v>50191</v>
      </c>
      <c r="EA24">
        <v>19583</v>
      </c>
      <c r="EB24">
        <v>16341</v>
      </c>
      <c r="EC24">
        <v>25374</v>
      </c>
      <c r="ED24">
        <v>0</v>
      </c>
      <c r="EE24">
        <v>7288</v>
      </c>
      <c r="EF24">
        <v>26390</v>
      </c>
      <c r="EG24">
        <v>36627</v>
      </c>
      <c r="EH24">
        <v>29124</v>
      </c>
      <c r="EI24">
        <v>25511</v>
      </c>
      <c r="EJ24">
        <v>24913</v>
      </c>
      <c r="EK24">
        <v>0</v>
      </c>
      <c r="EL24">
        <v>57577</v>
      </c>
      <c r="EM24">
        <v>55132</v>
      </c>
      <c r="EN24">
        <v>26972</v>
      </c>
      <c r="EO24">
        <v>49365</v>
      </c>
      <c r="EP24">
        <v>49023</v>
      </c>
      <c r="EQ24">
        <v>24287</v>
      </c>
      <c r="ER24">
        <v>0</v>
      </c>
      <c r="ES24">
        <v>68273</v>
      </c>
      <c r="ET24">
        <v>29179</v>
      </c>
      <c r="EU24">
        <v>44063</v>
      </c>
      <c r="EV24">
        <v>19235</v>
      </c>
      <c r="EW24">
        <v>21043</v>
      </c>
      <c r="EX24">
        <v>21613</v>
      </c>
      <c r="EY24">
        <v>0</v>
      </c>
      <c r="EZ24">
        <v>28186</v>
      </c>
      <c r="FA24">
        <v>12287</v>
      </c>
      <c r="FB24">
        <v>34801</v>
      </c>
      <c r="FC24">
        <v>15695</v>
      </c>
      <c r="FD24">
        <v>13004</v>
      </c>
      <c r="FE24">
        <v>24876</v>
      </c>
      <c r="FF24">
        <v>0</v>
      </c>
      <c r="FG24">
        <v>22255</v>
      </c>
      <c r="FH24">
        <v>40098</v>
      </c>
      <c r="FI24">
        <v>50553</v>
      </c>
      <c r="FJ24">
        <v>19236</v>
      </c>
      <c r="FK24">
        <v>44850</v>
      </c>
      <c r="FL24">
        <v>0</v>
      </c>
      <c r="FM24">
        <v>0</v>
      </c>
      <c r="FN24">
        <v>66987</v>
      </c>
      <c r="FO24">
        <v>32528</v>
      </c>
      <c r="FP24">
        <v>31849</v>
      </c>
      <c r="FQ24">
        <v>36849</v>
      </c>
      <c r="FR24">
        <v>27248</v>
      </c>
      <c r="FS24">
        <v>0</v>
      </c>
      <c r="FT24">
        <v>0</v>
      </c>
      <c r="FU24">
        <v>0</v>
      </c>
      <c r="FV24">
        <v>18200</v>
      </c>
      <c r="FW24">
        <v>14269</v>
      </c>
      <c r="FX24">
        <v>20293</v>
      </c>
      <c r="FY24">
        <v>38235</v>
      </c>
      <c r="FZ24">
        <v>40212</v>
      </c>
      <c r="GA24">
        <v>7</v>
      </c>
      <c r="GB24">
        <v>9216</v>
      </c>
      <c r="GC24">
        <v>48109</v>
      </c>
      <c r="GD24">
        <v>31961</v>
      </c>
      <c r="GE24">
        <v>44268</v>
      </c>
      <c r="GF24">
        <v>35707</v>
      </c>
      <c r="GG24">
        <v>31616</v>
      </c>
      <c r="GH24">
        <v>0</v>
      </c>
      <c r="GI24">
        <v>20444</v>
      </c>
      <c r="GJ24">
        <v>32325</v>
      </c>
      <c r="GK24">
        <v>0</v>
      </c>
      <c r="GL24">
        <v>61170</v>
      </c>
      <c r="GM24">
        <v>65434</v>
      </c>
      <c r="GN24">
        <v>0</v>
      </c>
      <c r="GO24">
        <v>0</v>
      </c>
      <c r="GP24">
        <v>31320</v>
      </c>
      <c r="GQ24">
        <v>42911</v>
      </c>
      <c r="GR24">
        <v>28487</v>
      </c>
      <c r="GS24">
        <v>61459</v>
      </c>
      <c r="GT24">
        <v>31358</v>
      </c>
      <c r="GU24">
        <v>27837</v>
      </c>
      <c r="GV24">
        <v>0</v>
      </c>
      <c r="GW24">
        <v>41355</v>
      </c>
      <c r="GX24">
        <v>28451</v>
      </c>
      <c r="GY24">
        <v>25493</v>
      </c>
      <c r="GZ24">
        <v>28689</v>
      </c>
      <c r="HA24">
        <v>41884</v>
      </c>
      <c r="HB24">
        <v>41224</v>
      </c>
      <c r="HC24">
        <v>0</v>
      </c>
      <c r="HD24">
        <v>39159</v>
      </c>
      <c r="HE24">
        <v>25331</v>
      </c>
      <c r="HF24">
        <v>0</v>
      </c>
      <c r="HG24">
        <v>28583</v>
      </c>
      <c r="HH24">
        <v>35256</v>
      </c>
      <c r="HI24">
        <v>18404</v>
      </c>
      <c r="HJ24">
        <v>0</v>
      </c>
      <c r="HK24">
        <v>24820</v>
      </c>
      <c r="HL24">
        <v>25847</v>
      </c>
      <c r="HM24">
        <v>22432</v>
      </c>
      <c r="HN24">
        <v>33854</v>
      </c>
      <c r="HO24">
        <v>25482</v>
      </c>
      <c r="HP24">
        <v>44284</v>
      </c>
      <c r="HQ24">
        <v>0</v>
      </c>
      <c r="HR24">
        <v>0</v>
      </c>
      <c r="HS24">
        <v>34150</v>
      </c>
      <c r="HT24">
        <v>46073</v>
      </c>
      <c r="HU24">
        <v>40069</v>
      </c>
      <c r="HV24">
        <v>24435</v>
      </c>
      <c r="HW24">
        <v>18598</v>
      </c>
      <c r="HX24">
        <v>0</v>
      </c>
      <c r="HY24">
        <v>13951</v>
      </c>
      <c r="HZ24">
        <v>13947</v>
      </c>
      <c r="IA24">
        <v>36259</v>
      </c>
      <c r="IB24">
        <v>23369</v>
      </c>
      <c r="IC24">
        <v>21943</v>
      </c>
      <c r="ID24">
        <v>23182</v>
      </c>
      <c r="IE24">
        <v>0</v>
      </c>
      <c r="IF24">
        <v>15336</v>
      </c>
      <c r="IG24">
        <v>19770</v>
      </c>
      <c r="IH24">
        <v>15122</v>
      </c>
      <c r="II24">
        <v>42397</v>
      </c>
      <c r="IJ24">
        <v>31134</v>
      </c>
      <c r="IK24">
        <v>28580</v>
      </c>
      <c r="IL24">
        <v>0</v>
      </c>
      <c r="IM24">
        <v>11312</v>
      </c>
      <c r="IN24">
        <v>14869</v>
      </c>
      <c r="IO24">
        <v>28162</v>
      </c>
      <c r="IP24">
        <v>33560</v>
      </c>
      <c r="IQ24">
        <v>41276</v>
      </c>
      <c r="IR24">
        <v>32931</v>
      </c>
      <c r="IS24">
        <v>0</v>
      </c>
      <c r="IT24">
        <v>17224</v>
      </c>
      <c r="IU24">
        <v>26399</v>
      </c>
      <c r="IV24">
        <v>22611</v>
      </c>
      <c r="IW24">
        <v>23364</v>
      </c>
      <c r="IX24">
        <v>23144</v>
      </c>
      <c r="IY24">
        <v>35512</v>
      </c>
      <c r="IZ24">
        <v>0</v>
      </c>
      <c r="JA24">
        <v>32548</v>
      </c>
      <c r="JB24">
        <v>34430</v>
      </c>
      <c r="JC24">
        <v>32852</v>
      </c>
      <c r="JD24">
        <v>30601</v>
      </c>
      <c r="JE24">
        <v>23392</v>
      </c>
      <c r="JF24">
        <v>26599</v>
      </c>
      <c r="JG24">
        <v>0</v>
      </c>
      <c r="JH24">
        <v>8015</v>
      </c>
      <c r="JI24">
        <v>17273</v>
      </c>
      <c r="JJ24">
        <v>46609</v>
      </c>
      <c r="JK24">
        <v>31876</v>
      </c>
      <c r="JL24">
        <v>35427</v>
      </c>
      <c r="JM24">
        <v>27073</v>
      </c>
      <c r="JN24">
        <v>0</v>
      </c>
      <c r="JO24">
        <v>32491</v>
      </c>
      <c r="JP24">
        <v>28069</v>
      </c>
      <c r="JQ24">
        <v>34549</v>
      </c>
      <c r="JR24">
        <v>24766</v>
      </c>
      <c r="JS24">
        <v>10255</v>
      </c>
      <c r="JT24">
        <v>15021</v>
      </c>
      <c r="JU24">
        <v>0</v>
      </c>
      <c r="JV24">
        <v>9388</v>
      </c>
      <c r="JW24">
        <v>22600</v>
      </c>
      <c r="JX24">
        <v>0</v>
      </c>
      <c r="JY24">
        <v>46749</v>
      </c>
      <c r="JZ24">
        <v>35362</v>
      </c>
      <c r="KA24">
        <v>30679</v>
      </c>
      <c r="KB24">
        <v>0</v>
      </c>
      <c r="KC24">
        <v>31560</v>
      </c>
      <c r="KD24">
        <v>24521</v>
      </c>
      <c r="KE24">
        <v>18447</v>
      </c>
      <c r="KF24">
        <v>24448</v>
      </c>
      <c r="KG24">
        <v>30097</v>
      </c>
      <c r="KH24">
        <v>31161</v>
      </c>
      <c r="KI24">
        <v>0</v>
      </c>
      <c r="KJ24">
        <v>0</v>
      </c>
      <c r="KK24">
        <v>17344</v>
      </c>
      <c r="KL24">
        <v>41537</v>
      </c>
      <c r="KM24">
        <v>51877</v>
      </c>
      <c r="KN24">
        <v>31031</v>
      </c>
      <c r="KO24">
        <v>27598</v>
      </c>
      <c r="KP24">
        <v>0</v>
      </c>
      <c r="KQ24">
        <v>18611</v>
      </c>
      <c r="KR24">
        <v>30016</v>
      </c>
      <c r="KS24">
        <v>37654</v>
      </c>
      <c r="KT24">
        <v>25601</v>
      </c>
      <c r="KU24">
        <v>34212</v>
      </c>
      <c r="KV24">
        <v>30083</v>
      </c>
      <c r="KW24">
        <v>0</v>
      </c>
      <c r="KX24">
        <v>53817</v>
      </c>
      <c r="KY24">
        <v>45375</v>
      </c>
      <c r="KZ24">
        <v>40172</v>
      </c>
      <c r="LA24">
        <v>34167</v>
      </c>
      <c r="LB24">
        <v>30325</v>
      </c>
      <c r="LC24">
        <v>25286</v>
      </c>
      <c r="LD24">
        <v>0</v>
      </c>
      <c r="LE24">
        <v>14190</v>
      </c>
      <c r="LF24">
        <v>24571</v>
      </c>
      <c r="LG24">
        <v>57268</v>
      </c>
      <c r="LH24">
        <v>24837</v>
      </c>
      <c r="LI24">
        <v>38652</v>
      </c>
      <c r="LJ24">
        <v>19764</v>
      </c>
      <c r="LK24">
        <v>0</v>
      </c>
      <c r="LL24">
        <v>19577</v>
      </c>
      <c r="LM24">
        <v>38111</v>
      </c>
      <c r="LN24">
        <v>20565</v>
      </c>
      <c r="LO24">
        <v>30982</v>
      </c>
      <c r="LP24">
        <v>23005</v>
      </c>
      <c r="LQ24">
        <v>45609</v>
      </c>
      <c r="LR24">
        <v>0</v>
      </c>
      <c r="LS24">
        <v>21335</v>
      </c>
      <c r="LT24">
        <v>16203</v>
      </c>
      <c r="LU24">
        <v>22918</v>
      </c>
      <c r="LV24">
        <v>42809</v>
      </c>
      <c r="LW24">
        <v>25343</v>
      </c>
      <c r="LX24">
        <v>28919</v>
      </c>
      <c r="LY24">
        <v>0</v>
      </c>
      <c r="LZ24">
        <v>13856</v>
      </c>
      <c r="MA24">
        <v>32381</v>
      </c>
      <c r="MB24">
        <v>25137</v>
      </c>
      <c r="MC24">
        <v>31604</v>
      </c>
      <c r="MD24">
        <v>55995</v>
      </c>
      <c r="ME24">
        <v>23742</v>
      </c>
      <c r="MF24">
        <v>0</v>
      </c>
      <c r="MG24">
        <v>43861</v>
      </c>
      <c r="MH24">
        <v>21378</v>
      </c>
      <c r="MI24">
        <v>34061</v>
      </c>
      <c r="MJ24">
        <v>55103</v>
      </c>
      <c r="MK24">
        <v>42873</v>
      </c>
      <c r="ML24">
        <v>33228</v>
      </c>
      <c r="MM24">
        <v>0</v>
      </c>
      <c r="MN24">
        <v>32233</v>
      </c>
      <c r="MO24">
        <v>56235</v>
      </c>
      <c r="MP24">
        <v>42341</v>
      </c>
      <c r="MQ24">
        <v>44004</v>
      </c>
      <c r="MR24">
        <v>42095</v>
      </c>
      <c r="MS24">
        <v>46290</v>
      </c>
      <c r="MT24">
        <v>0</v>
      </c>
      <c r="MU24">
        <v>0</v>
      </c>
      <c r="MV24">
        <v>41654</v>
      </c>
      <c r="MW24">
        <v>49712</v>
      </c>
      <c r="MX24">
        <v>34764</v>
      </c>
      <c r="MY24">
        <v>32081</v>
      </c>
      <c r="MZ24">
        <v>44629</v>
      </c>
      <c r="NA24">
        <v>0</v>
      </c>
      <c r="NB24">
        <v>47213</v>
      </c>
      <c r="NC24">
        <v>47101</v>
      </c>
      <c r="ND24">
        <v>75</v>
      </c>
      <c r="NE24">
        <v>31133</v>
      </c>
      <c r="NF24">
        <v>52723</v>
      </c>
      <c r="NG24">
        <v>33972</v>
      </c>
      <c r="NH24">
        <v>0</v>
      </c>
      <c r="NI24">
        <v>27271</v>
      </c>
      <c r="NJ24">
        <v>34117</v>
      </c>
      <c r="NK24">
        <v>46326</v>
      </c>
      <c r="NL24">
        <v>42930</v>
      </c>
      <c r="NM24">
        <v>61269</v>
      </c>
      <c r="NN24">
        <v>36467</v>
      </c>
      <c r="NO24">
        <v>0</v>
      </c>
      <c r="NP24">
        <v>30936</v>
      </c>
      <c r="NQ24">
        <v>58915</v>
      </c>
      <c r="NR24">
        <v>36282</v>
      </c>
      <c r="NS24">
        <v>54666</v>
      </c>
      <c r="NT24">
        <v>37319</v>
      </c>
      <c r="NU24">
        <v>48333</v>
      </c>
      <c r="NV24">
        <v>0</v>
      </c>
      <c r="NW24">
        <v>35384</v>
      </c>
      <c r="NX24">
        <v>46090</v>
      </c>
      <c r="NY24">
        <v>49206</v>
      </c>
      <c r="NZ24">
        <v>35802</v>
      </c>
      <c r="OA24">
        <v>141078</v>
      </c>
      <c r="OB24">
        <v>18970</v>
      </c>
      <c r="OC24">
        <v>0</v>
      </c>
      <c r="OD24">
        <v>35355</v>
      </c>
      <c r="OE24">
        <v>41705</v>
      </c>
      <c r="OF24">
        <v>66417</v>
      </c>
      <c r="OG24">
        <v>52296</v>
      </c>
      <c r="OH24">
        <v>38330</v>
      </c>
      <c r="OI24">
        <v>55470</v>
      </c>
      <c r="OJ24">
        <v>0</v>
      </c>
      <c r="OK24">
        <v>27982</v>
      </c>
      <c r="OL24">
        <v>33441</v>
      </c>
      <c r="OM24">
        <v>61980</v>
      </c>
      <c r="ON24">
        <v>56572</v>
      </c>
      <c r="OO24">
        <v>52575</v>
      </c>
      <c r="OP24">
        <v>19097</v>
      </c>
      <c r="OQ24">
        <v>0</v>
      </c>
      <c r="OR24">
        <v>30517</v>
      </c>
      <c r="OS24">
        <v>44178</v>
      </c>
      <c r="OT24">
        <v>62718</v>
      </c>
      <c r="OU24">
        <v>0</v>
      </c>
      <c r="OV24">
        <v>67290</v>
      </c>
      <c r="OW24">
        <v>64425</v>
      </c>
      <c r="OX24">
        <v>0</v>
      </c>
      <c r="OY24">
        <v>34492</v>
      </c>
      <c r="OZ24">
        <v>48526</v>
      </c>
      <c r="PA24">
        <v>36499</v>
      </c>
      <c r="PB24">
        <v>76081</v>
      </c>
      <c r="PC24">
        <v>46489</v>
      </c>
      <c r="PD24">
        <v>33516</v>
      </c>
      <c r="PE24">
        <v>0</v>
      </c>
      <c r="PF24">
        <v>97680</v>
      </c>
      <c r="PG24">
        <v>59116</v>
      </c>
      <c r="PH24">
        <v>93489</v>
      </c>
      <c r="PI24">
        <v>43045</v>
      </c>
      <c r="PJ24">
        <v>68815</v>
      </c>
      <c r="PK24">
        <v>106642</v>
      </c>
      <c r="PL24">
        <v>4</v>
      </c>
      <c r="PM24">
        <v>60819</v>
      </c>
      <c r="PN24">
        <v>101316</v>
      </c>
      <c r="PO24">
        <v>52429</v>
      </c>
      <c r="PP24">
        <v>99442</v>
      </c>
      <c r="PQ24">
        <v>48395</v>
      </c>
      <c r="PR24">
        <v>3774</v>
      </c>
      <c r="PS24">
        <v>0</v>
      </c>
      <c r="PT24">
        <v>5786</v>
      </c>
      <c r="PU24">
        <v>0</v>
      </c>
      <c r="PV24">
        <v>0</v>
      </c>
      <c r="PW24">
        <v>4901</v>
      </c>
      <c r="PX24">
        <v>64676</v>
      </c>
      <c r="PY24">
        <v>39706</v>
      </c>
      <c r="PZ24">
        <v>0</v>
      </c>
      <c r="QA24">
        <v>29673</v>
      </c>
      <c r="QB24">
        <v>34614</v>
      </c>
      <c r="QC24">
        <v>56889</v>
      </c>
      <c r="QD24">
        <v>88820</v>
      </c>
      <c r="QE24">
        <v>63106</v>
      </c>
      <c r="QF24">
        <v>23988</v>
      </c>
      <c r="QG24">
        <v>0</v>
      </c>
      <c r="QH24">
        <v>45324</v>
      </c>
      <c r="QI24">
        <v>31374</v>
      </c>
      <c r="QJ24">
        <v>34657</v>
      </c>
      <c r="QK24">
        <v>35204</v>
      </c>
      <c r="QL24">
        <v>37181</v>
      </c>
      <c r="QM24">
        <v>26600</v>
      </c>
      <c r="QN24">
        <v>0</v>
      </c>
      <c r="QO24">
        <v>52443</v>
      </c>
      <c r="QP24">
        <v>40428</v>
      </c>
      <c r="QQ24">
        <v>55953</v>
      </c>
      <c r="QR24">
        <v>32969</v>
      </c>
      <c r="QS24">
        <v>38952</v>
      </c>
      <c r="QT24">
        <v>19717</v>
      </c>
      <c r="QU24">
        <v>0</v>
      </c>
      <c r="QV24">
        <v>21146</v>
      </c>
      <c r="QW24">
        <v>51576</v>
      </c>
      <c r="QX24">
        <v>23474</v>
      </c>
      <c r="QY24">
        <v>105739</v>
      </c>
      <c r="QZ24">
        <v>34712</v>
      </c>
      <c r="RA24">
        <v>12088</v>
      </c>
      <c r="RB24">
        <v>0</v>
      </c>
      <c r="RC24">
        <v>22652</v>
      </c>
      <c r="RD24">
        <v>26039</v>
      </c>
      <c r="RE24">
        <v>51757</v>
      </c>
      <c r="RF24">
        <v>57004</v>
      </c>
      <c r="RG24">
        <v>58801</v>
      </c>
      <c r="RH24">
        <v>0</v>
      </c>
      <c r="RI24">
        <v>0</v>
      </c>
      <c r="RJ24">
        <v>19163</v>
      </c>
      <c r="RK24">
        <v>36019</v>
      </c>
      <c r="RL24">
        <v>35394</v>
      </c>
      <c r="RM24">
        <v>40976</v>
      </c>
      <c r="RN24">
        <v>22101</v>
      </c>
      <c r="RO24">
        <v>15780</v>
      </c>
      <c r="RP24">
        <v>0</v>
      </c>
      <c r="RQ24">
        <v>33460</v>
      </c>
      <c r="RR24">
        <v>28709</v>
      </c>
      <c r="RS24">
        <v>44632</v>
      </c>
      <c r="RT24">
        <v>29112</v>
      </c>
      <c r="RU24">
        <v>57424</v>
      </c>
      <c r="RV24">
        <v>26772</v>
      </c>
      <c r="RW24">
        <v>0</v>
      </c>
      <c r="RX24">
        <v>40503</v>
      </c>
      <c r="RY24">
        <v>34192</v>
      </c>
      <c r="RZ24">
        <v>47607</v>
      </c>
      <c r="SA24">
        <v>20480</v>
      </c>
      <c r="SB24">
        <v>32196</v>
      </c>
      <c r="SC24">
        <v>10177</v>
      </c>
      <c r="SD24">
        <v>0</v>
      </c>
      <c r="SE24">
        <v>24573</v>
      </c>
      <c r="SF24">
        <v>41165</v>
      </c>
      <c r="SG24">
        <v>22906</v>
      </c>
      <c r="SH24">
        <v>38818</v>
      </c>
      <c r="SI24">
        <v>33552</v>
      </c>
      <c r="SJ24">
        <v>25882</v>
      </c>
      <c r="SK24">
        <v>0</v>
      </c>
      <c r="SL24">
        <v>19130</v>
      </c>
      <c r="SM24">
        <v>29965</v>
      </c>
      <c r="SN24">
        <v>56903</v>
      </c>
      <c r="SO24">
        <v>26205</v>
      </c>
      <c r="SP24">
        <v>28649</v>
      </c>
      <c r="SQ24">
        <v>15812</v>
      </c>
      <c r="SR24">
        <v>0</v>
      </c>
      <c r="SS24">
        <v>22362</v>
      </c>
      <c r="ST24">
        <v>32843</v>
      </c>
      <c r="SU24">
        <v>40791</v>
      </c>
      <c r="SV24">
        <v>62881</v>
      </c>
      <c r="SW24">
        <v>32118</v>
      </c>
      <c r="SX24">
        <v>26506</v>
      </c>
      <c r="SY24">
        <v>0</v>
      </c>
      <c r="SZ24">
        <v>18511</v>
      </c>
      <c r="TA24">
        <v>46056</v>
      </c>
      <c r="TB24">
        <v>32177</v>
      </c>
      <c r="TC24">
        <v>31964</v>
      </c>
      <c r="TD24">
        <v>25210</v>
      </c>
      <c r="TE24">
        <v>32120</v>
      </c>
      <c r="TF24">
        <v>0</v>
      </c>
      <c r="TG24">
        <v>24208</v>
      </c>
      <c r="TH24">
        <v>25185</v>
      </c>
      <c r="TI24">
        <v>35908</v>
      </c>
      <c r="TJ24">
        <v>32644</v>
      </c>
      <c r="TK24">
        <v>34297</v>
      </c>
      <c r="TL24">
        <v>21598</v>
      </c>
      <c r="TM24">
        <v>0</v>
      </c>
      <c r="TN24">
        <v>0</v>
      </c>
      <c r="TO24">
        <v>40378</v>
      </c>
      <c r="TP24">
        <v>37798</v>
      </c>
      <c r="TQ24">
        <v>56971</v>
      </c>
      <c r="TR24">
        <v>60561</v>
      </c>
      <c r="TS24">
        <v>53367</v>
      </c>
      <c r="TT24">
        <v>0</v>
      </c>
      <c r="TU24">
        <v>0</v>
      </c>
      <c r="TV24">
        <v>0</v>
      </c>
      <c r="TW24">
        <v>26258</v>
      </c>
      <c r="TX24">
        <v>16886</v>
      </c>
      <c r="TY24">
        <v>21549</v>
      </c>
      <c r="TZ24">
        <v>48146</v>
      </c>
      <c r="UA24">
        <v>0</v>
      </c>
      <c r="UB24">
        <v>12293</v>
      </c>
      <c r="UC24">
        <v>39918</v>
      </c>
      <c r="UD24">
        <v>41082</v>
      </c>
      <c r="UE24">
        <v>30420</v>
      </c>
      <c r="UF24">
        <v>28067</v>
      </c>
      <c r="UG24">
        <v>13328</v>
      </c>
      <c r="UH24">
        <v>0</v>
      </c>
      <c r="UI24">
        <v>19461</v>
      </c>
      <c r="UJ24">
        <v>41154</v>
      </c>
      <c r="UK24">
        <v>54282</v>
      </c>
      <c r="UL24">
        <v>0</v>
      </c>
      <c r="UM24">
        <v>24136</v>
      </c>
      <c r="UN24">
        <v>41118</v>
      </c>
      <c r="UO24">
        <v>0</v>
      </c>
      <c r="UP24">
        <v>45279</v>
      </c>
      <c r="UQ24">
        <v>37155</v>
      </c>
      <c r="UR24">
        <v>42900</v>
      </c>
      <c r="US24">
        <v>56556</v>
      </c>
      <c r="UT24">
        <v>44251</v>
      </c>
      <c r="UU24">
        <v>0</v>
      </c>
      <c r="UV24">
        <v>0</v>
      </c>
      <c r="UW24">
        <v>0</v>
      </c>
      <c r="UX24">
        <v>37971</v>
      </c>
      <c r="UY24">
        <v>55259</v>
      </c>
      <c r="UZ24">
        <v>35802</v>
      </c>
      <c r="VA24">
        <v>49709</v>
      </c>
      <c r="VB24">
        <v>26905</v>
      </c>
      <c r="VC24">
        <v>0</v>
      </c>
      <c r="VD24">
        <v>20810</v>
      </c>
      <c r="VE24">
        <v>45332</v>
      </c>
      <c r="VF24">
        <v>42881</v>
      </c>
      <c r="VG24">
        <v>43351</v>
      </c>
      <c r="VH24">
        <v>38488</v>
      </c>
      <c r="VI24">
        <v>30854</v>
      </c>
      <c r="VJ24">
        <v>0</v>
      </c>
      <c r="VK24">
        <v>25726</v>
      </c>
      <c r="VL24">
        <v>36403</v>
      </c>
      <c r="VM24">
        <v>38129</v>
      </c>
      <c r="VN24">
        <v>23818</v>
      </c>
      <c r="VO24">
        <v>15237</v>
      </c>
      <c r="VP24">
        <v>12737</v>
      </c>
      <c r="VQ24">
        <v>0</v>
      </c>
      <c r="VR24">
        <v>26539</v>
      </c>
      <c r="VS24">
        <v>0</v>
      </c>
      <c r="VT24">
        <v>29912</v>
      </c>
      <c r="VU24">
        <v>82322</v>
      </c>
      <c r="VV24">
        <v>45439</v>
      </c>
      <c r="VW24">
        <v>46548</v>
      </c>
      <c r="VX24">
        <v>0</v>
      </c>
      <c r="VY24">
        <v>22950</v>
      </c>
      <c r="VZ24">
        <v>51830</v>
      </c>
      <c r="WA24">
        <v>56957</v>
      </c>
      <c r="WB24">
        <v>13692</v>
      </c>
      <c r="WC24">
        <v>33950</v>
      </c>
      <c r="WD24">
        <v>15937</v>
      </c>
      <c r="WE24">
        <v>0</v>
      </c>
      <c r="WF24">
        <v>16403</v>
      </c>
      <c r="WG24">
        <v>26126</v>
      </c>
      <c r="WH24">
        <v>39479</v>
      </c>
      <c r="WI24">
        <v>17872</v>
      </c>
      <c r="WJ24">
        <v>16259</v>
      </c>
      <c r="WK24">
        <v>23028</v>
      </c>
      <c r="WL24">
        <v>0</v>
      </c>
      <c r="WM24">
        <v>40184</v>
      </c>
      <c r="WN24">
        <v>25446</v>
      </c>
      <c r="WO24">
        <v>31626</v>
      </c>
      <c r="WP24">
        <v>45019</v>
      </c>
      <c r="WQ24">
        <v>39835</v>
      </c>
      <c r="WR24">
        <v>25016</v>
      </c>
      <c r="WS24">
        <v>0</v>
      </c>
      <c r="WT24">
        <v>24817</v>
      </c>
      <c r="WU24">
        <v>67526</v>
      </c>
      <c r="WV24">
        <v>41398</v>
      </c>
      <c r="WW24">
        <v>51923</v>
      </c>
      <c r="WX24">
        <v>35701</v>
      </c>
      <c r="WY24">
        <v>17200</v>
      </c>
      <c r="WZ24">
        <v>0</v>
      </c>
      <c r="XA24">
        <v>13825</v>
      </c>
      <c r="XB24">
        <v>24449</v>
      </c>
      <c r="XC24">
        <v>29838</v>
      </c>
      <c r="XD24">
        <v>40597</v>
      </c>
      <c r="XE24">
        <v>35452</v>
      </c>
      <c r="XF24">
        <v>22128</v>
      </c>
      <c r="XG24">
        <v>0</v>
      </c>
      <c r="XH24">
        <v>25113</v>
      </c>
      <c r="XI24">
        <v>40333</v>
      </c>
      <c r="XJ24">
        <v>34341</v>
      </c>
      <c r="XK24">
        <v>37439</v>
      </c>
      <c r="XL24">
        <v>39041</v>
      </c>
      <c r="XM24">
        <v>32545</v>
      </c>
      <c r="XN24">
        <v>0</v>
      </c>
      <c r="XO24">
        <v>26052</v>
      </c>
      <c r="XP24">
        <v>22872</v>
      </c>
      <c r="XQ24">
        <v>20183</v>
      </c>
      <c r="XR24">
        <v>25361</v>
      </c>
      <c r="XS24">
        <v>18790</v>
      </c>
      <c r="XT24">
        <v>15006</v>
      </c>
      <c r="XU24">
        <v>0</v>
      </c>
      <c r="XV24">
        <v>0</v>
      </c>
      <c r="XW24">
        <v>53318</v>
      </c>
      <c r="XX24">
        <v>27418</v>
      </c>
      <c r="XY24">
        <v>22257</v>
      </c>
      <c r="XZ24">
        <v>46148</v>
      </c>
      <c r="YA24">
        <v>25607</v>
      </c>
      <c r="YB24">
        <v>11810</v>
      </c>
      <c r="YC24">
        <v>14469</v>
      </c>
      <c r="YD24">
        <v>43750</v>
      </c>
      <c r="YE24">
        <v>40312</v>
      </c>
      <c r="YF24">
        <v>24781</v>
      </c>
      <c r="YG24">
        <v>23937</v>
      </c>
      <c r="YH24">
        <v>23937</v>
      </c>
      <c r="YI24">
        <v>0</v>
      </c>
      <c r="YJ24">
        <v>12240</v>
      </c>
      <c r="YK24">
        <v>0</v>
      </c>
      <c r="YL24">
        <v>54689</v>
      </c>
      <c r="YM24">
        <v>40515</v>
      </c>
      <c r="YN24">
        <v>30833</v>
      </c>
      <c r="YO24">
        <v>28682</v>
      </c>
      <c r="YP24">
        <v>0</v>
      </c>
      <c r="YQ24">
        <v>10392</v>
      </c>
      <c r="YR24">
        <v>35646</v>
      </c>
      <c r="YS24">
        <v>37129</v>
      </c>
      <c r="YT24">
        <v>31650</v>
      </c>
      <c r="YU24">
        <v>88798</v>
      </c>
      <c r="YV24">
        <v>14975</v>
      </c>
      <c r="YW24">
        <v>0</v>
      </c>
      <c r="YX24">
        <v>24175</v>
      </c>
      <c r="YY24">
        <v>29233</v>
      </c>
      <c r="YZ24">
        <v>36289</v>
      </c>
      <c r="ZA24">
        <v>42568</v>
      </c>
      <c r="ZB24">
        <v>33027</v>
      </c>
      <c r="ZC24">
        <v>10951</v>
      </c>
      <c r="ZD24">
        <v>0</v>
      </c>
      <c r="ZE24">
        <v>12887</v>
      </c>
      <c r="ZF24">
        <v>80101</v>
      </c>
      <c r="ZG24">
        <v>37441</v>
      </c>
      <c r="ZH24">
        <v>26354</v>
      </c>
      <c r="ZI24">
        <v>24511</v>
      </c>
      <c r="ZJ24">
        <v>20834</v>
      </c>
      <c r="ZK24">
        <v>18095</v>
      </c>
      <c r="ZL24">
        <v>40829</v>
      </c>
      <c r="ZM24">
        <v>43911</v>
      </c>
      <c r="ZN24">
        <v>0</v>
      </c>
      <c r="ZO24">
        <v>25927</v>
      </c>
      <c r="ZP24">
        <v>40822</v>
      </c>
      <c r="ZQ24">
        <v>31179</v>
      </c>
      <c r="ZR24">
        <v>0</v>
      </c>
      <c r="ZS24">
        <v>24764</v>
      </c>
      <c r="ZT24">
        <v>28131</v>
      </c>
      <c r="ZU24">
        <v>32404</v>
      </c>
      <c r="ZV24">
        <v>29147</v>
      </c>
      <c r="ZW24">
        <v>37571</v>
      </c>
      <c r="ZX24">
        <v>25010</v>
      </c>
      <c r="ZY24">
        <v>0</v>
      </c>
      <c r="ZZ24">
        <v>18608</v>
      </c>
      <c r="AAA24">
        <v>33861</v>
      </c>
      <c r="AAB24">
        <v>31097</v>
      </c>
      <c r="AAC24">
        <v>23832</v>
      </c>
      <c r="AAD24">
        <v>59233</v>
      </c>
      <c r="AAE24">
        <v>48509</v>
      </c>
      <c r="AAF24">
        <v>1</v>
      </c>
      <c r="AAG24">
        <v>20513</v>
      </c>
      <c r="AAH24">
        <v>71169</v>
      </c>
      <c r="AAI24">
        <v>14161</v>
      </c>
      <c r="AAJ24">
        <v>44954</v>
      </c>
      <c r="AAK24">
        <v>40317</v>
      </c>
      <c r="AAL24">
        <v>38898</v>
      </c>
      <c r="AAM24">
        <v>0</v>
      </c>
      <c r="AAN24">
        <v>15090</v>
      </c>
      <c r="AAO24">
        <v>46239</v>
      </c>
      <c r="AAP24">
        <v>34988</v>
      </c>
      <c r="AAQ24">
        <v>20684</v>
      </c>
      <c r="AAR24">
        <v>31840</v>
      </c>
      <c r="AAS24">
        <v>30349</v>
      </c>
      <c r="AAT24">
        <v>0</v>
      </c>
      <c r="AAU24">
        <v>0</v>
      </c>
      <c r="AAV24">
        <v>31229</v>
      </c>
      <c r="AAW24">
        <v>55851</v>
      </c>
      <c r="AAX24">
        <v>21843</v>
      </c>
      <c r="AAY24">
        <v>40881</v>
      </c>
      <c r="AAZ24">
        <v>56282</v>
      </c>
      <c r="ABA24">
        <v>0</v>
      </c>
      <c r="ABB24">
        <v>25314</v>
      </c>
      <c r="ABC24">
        <v>43955</v>
      </c>
      <c r="ABD24">
        <v>27937</v>
      </c>
      <c r="ABE24">
        <v>14873</v>
      </c>
      <c r="ABF24">
        <v>46540</v>
      </c>
      <c r="ABG24">
        <v>28913</v>
      </c>
      <c r="ABH24">
        <v>0</v>
      </c>
      <c r="ABI24">
        <v>25551</v>
      </c>
      <c r="ABJ24">
        <v>48110</v>
      </c>
      <c r="ABK24">
        <v>19744</v>
      </c>
      <c r="ABL24">
        <v>36981</v>
      </c>
      <c r="ABM24">
        <v>20892</v>
      </c>
      <c r="ABN24">
        <v>105186</v>
      </c>
      <c r="ABO24">
        <v>0</v>
      </c>
      <c r="ABP24">
        <v>31999</v>
      </c>
      <c r="ABQ24">
        <v>55219</v>
      </c>
      <c r="ABR24">
        <v>45860</v>
      </c>
      <c r="ABS24">
        <v>59543</v>
      </c>
      <c r="ABT24">
        <v>42780</v>
      </c>
      <c r="ABU24">
        <v>51548</v>
      </c>
      <c r="ABV24">
        <v>13738</v>
      </c>
      <c r="ABW24">
        <v>25112</v>
      </c>
      <c r="ABX24">
        <v>47984</v>
      </c>
      <c r="ABY24">
        <v>66085</v>
      </c>
      <c r="ABZ24">
        <v>27468</v>
      </c>
      <c r="ACA24">
        <v>26257</v>
      </c>
      <c r="ACB24">
        <v>25408</v>
      </c>
      <c r="ACC24">
        <v>0</v>
      </c>
      <c r="ACD24">
        <v>35906</v>
      </c>
      <c r="ACE24">
        <v>29165</v>
      </c>
      <c r="ACF24">
        <v>51631</v>
      </c>
      <c r="ACG24">
        <v>23653</v>
      </c>
      <c r="ACH24">
        <v>25411</v>
      </c>
      <c r="ACI24">
        <v>40160</v>
      </c>
      <c r="ACJ24">
        <v>0</v>
      </c>
      <c r="ACK24">
        <v>33977</v>
      </c>
      <c r="ACL24">
        <v>81569</v>
      </c>
      <c r="ACM24">
        <v>55858</v>
      </c>
      <c r="ACN24">
        <v>35861</v>
      </c>
      <c r="ACO24">
        <v>24616</v>
      </c>
      <c r="ACP24">
        <v>35419</v>
      </c>
      <c r="ACQ24">
        <v>0</v>
      </c>
      <c r="ACR24">
        <v>58658</v>
      </c>
      <c r="ACS24">
        <v>85013</v>
      </c>
      <c r="ACT24">
        <v>98329</v>
      </c>
      <c r="ACU24">
        <v>45625</v>
      </c>
      <c r="ACV24">
        <v>38299</v>
      </c>
      <c r="ACW24">
        <v>24177</v>
      </c>
      <c r="ACX24">
        <v>61148</v>
      </c>
      <c r="ACY24">
        <v>42234</v>
      </c>
      <c r="ACZ24">
        <v>49258</v>
      </c>
      <c r="ADA24">
        <v>47843</v>
      </c>
      <c r="ADB24">
        <v>98474</v>
      </c>
      <c r="ADC24">
        <v>39705</v>
      </c>
      <c r="ADD24">
        <v>39720</v>
      </c>
      <c r="ADE24">
        <v>34350</v>
      </c>
      <c r="ADF24">
        <v>100844</v>
      </c>
      <c r="ADG24">
        <v>50427</v>
      </c>
      <c r="ADH24">
        <v>68405</v>
      </c>
      <c r="ADI24">
        <v>85397</v>
      </c>
      <c r="ADJ24">
        <v>105593</v>
      </c>
      <c r="ADK24">
        <v>105593</v>
      </c>
      <c r="ADL24">
        <v>0</v>
      </c>
      <c r="ADM24">
        <v>72059</v>
      </c>
      <c r="ADN24">
        <v>56008</v>
      </c>
      <c r="ADO24">
        <v>70602</v>
      </c>
      <c r="ADP24">
        <v>81483</v>
      </c>
      <c r="ADQ24">
        <v>77613</v>
      </c>
      <c r="ADR24">
        <v>28844</v>
      </c>
      <c r="ADS24">
        <v>0</v>
      </c>
      <c r="ADT24">
        <v>55465</v>
      </c>
      <c r="ADU24">
        <v>9697</v>
      </c>
      <c r="ADV24">
        <v>0</v>
      </c>
      <c r="ADW24">
        <v>0</v>
      </c>
      <c r="ADX24">
        <v>3104</v>
      </c>
      <c r="ADY24">
        <v>10263</v>
      </c>
      <c r="ADZ24">
        <v>0</v>
      </c>
      <c r="AEA24">
        <v>40108</v>
      </c>
      <c r="AEB24">
        <v>43196</v>
      </c>
      <c r="AEC24">
        <v>66955</v>
      </c>
      <c r="AED24">
        <v>49610</v>
      </c>
      <c r="AEE24">
        <v>71119</v>
      </c>
      <c r="AEF24">
        <v>34691</v>
      </c>
      <c r="AEG24">
        <v>0</v>
      </c>
      <c r="AEH24">
        <v>34673</v>
      </c>
      <c r="AEI24">
        <v>65383</v>
      </c>
      <c r="AEJ24">
        <v>27437</v>
      </c>
      <c r="AEK24">
        <v>61323</v>
      </c>
      <c r="AEL24">
        <v>27331</v>
      </c>
      <c r="AEM24">
        <v>45613</v>
      </c>
      <c r="AEN24">
        <v>0</v>
      </c>
      <c r="AEO24">
        <v>19903</v>
      </c>
      <c r="AEP24">
        <v>28612</v>
      </c>
      <c r="AEQ24">
        <v>27810</v>
      </c>
      <c r="AER24">
        <v>37975</v>
      </c>
      <c r="AES24">
        <v>29210</v>
      </c>
      <c r="AET24">
        <v>20415</v>
      </c>
      <c r="AEU24">
        <v>0</v>
      </c>
      <c r="AEV24">
        <v>17472</v>
      </c>
      <c r="AEW24">
        <v>21754</v>
      </c>
      <c r="AEX24">
        <v>16870</v>
      </c>
      <c r="AEY24">
        <v>23954</v>
      </c>
      <c r="AEZ24">
        <v>33156</v>
      </c>
      <c r="AFA24">
        <v>8286</v>
      </c>
      <c r="AFB24">
        <v>0</v>
      </c>
      <c r="AFC24">
        <v>15767</v>
      </c>
      <c r="AFD24">
        <v>29731</v>
      </c>
      <c r="AFE24">
        <v>19106</v>
      </c>
      <c r="AFF24">
        <v>33585</v>
      </c>
      <c r="AFG24">
        <v>49495</v>
      </c>
      <c r="AFH24">
        <v>23870</v>
      </c>
      <c r="AFI24">
        <v>0</v>
      </c>
      <c r="AFJ24">
        <v>18110</v>
      </c>
      <c r="AFK24">
        <v>28452</v>
      </c>
      <c r="AFL24">
        <v>20572</v>
      </c>
      <c r="AFM24">
        <v>23631</v>
      </c>
      <c r="AFN24">
        <v>31761</v>
      </c>
      <c r="AFO24">
        <v>19693</v>
      </c>
      <c r="AFP24">
        <v>0</v>
      </c>
      <c r="AFQ24">
        <v>13441</v>
      </c>
      <c r="AFR24">
        <v>24087</v>
      </c>
      <c r="AFS24">
        <v>29622</v>
      </c>
      <c r="AFT24">
        <v>24042</v>
      </c>
      <c r="AFU24">
        <v>19870</v>
      </c>
      <c r="AFV24">
        <v>33874</v>
      </c>
      <c r="AFW24">
        <v>0</v>
      </c>
      <c r="AFX24">
        <v>18314</v>
      </c>
      <c r="AFY24">
        <v>30661</v>
      </c>
      <c r="AFZ24">
        <v>37646</v>
      </c>
      <c r="AGA24">
        <v>52685</v>
      </c>
      <c r="AGB24">
        <v>26855</v>
      </c>
      <c r="AGC24">
        <v>24900</v>
      </c>
      <c r="AGD24">
        <v>0</v>
      </c>
      <c r="AGE24">
        <v>22471</v>
      </c>
      <c r="AGF24">
        <v>20778</v>
      </c>
      <c r="AGG24">
        <v>29823</v>
      </c>
      <c r="AGH24">
        <v>30186</v>
      </c>
      <c r="AGI24">
        <v>34130</v>
      </c>
      <c r="AGJ24">
        <v>0</v>
      </c>
      <c r="AGK24">
        <v>0</v>
      </c>
      <c r="AGL24">
        <v>21565</v>
      </c>
      <c r="AGM24">
        <v>33448</v>
      </c>
      <c r="AGN24">
        <v>24120</v>
      </c>
      <c r="AGO24">
        <v>36491</v>
      </c>
      <c r="AGP24">
        <v>40243</v>
      </c>
      <c r="AGQ24">
        <v>28610</v>
      </c>
      <c r="AGR24">
        <v>10383</v>
      </c>
      <c r="AGS24">
        <v>21440</v>
      </c>
      <c r="AGT24">
        <v>25066</v>
      </c>
      <c r="AGU24">
        <v>19124</v>
      </c>
      <c r="AGV24">
        <v>35172</v>
      </c>
      <c r="AGW24">
        <v>39935</v>
      </c>
      <c r="AGX24">
        <v>28072</v>
      </c>
      <c r="AGY24">
        <v>0</v>
      </c>
      <c r="AGZ24">
        <v>23768</v>
      </c>
      <c r="AHA24">
        <v>34110</v>
      </c>
      <c r="AHB24">
        <v>54111</v>
      </c>
      <c r="AHC24">
        <v>41068</v>
      </c>
      <c r="AHD24">
        <v>37474</v>
      </c>
      <c r="AHE24">
        <v>15285</v>
      </c>
      <c r="AHH24">
        <v>0</v>
      </c>
      <c r="AHI24">
        <v>13828</v>
      </c>
      <c r="AHJ24">
        <v>55339</v>
      </c>
      <c r="AHK24">
        <v>39851</v>
      </c>
      <c r="AHL24">
        <v>32511</v>
      </c>
      <c r="AHM24">
        <v>0</v>
      </c>
      <c r="AHN24">
        <v>8248</v>
      </c>
      <c r="AHO24">
        <v>25679</v>
      </c>
      <c r="AHP24">
        <v>45587</v>
      </c>
      <c r="AHQ24">
        <v>31901</v>
      </c>
      <c r="AHR24">
        <v>53573</v>
      </c>
      <c r="AHS24">
        <v>65291</v>
      </c>
      <c r="AHT24">
        <v>0</v>
      </c>
      <c r="AHU24">
        <v>0</v>
      </c>
      <c r="AHV24">
        <v>0</v>
      </c>
      <c r="AHW24">
        <v>5931</v>
      </c>
      <c r="AHX24">
        <v>31069</v>
      </c>
      <c r="AHY24">
        <v>34954</v>
      </c>
      <c r="AHZ24">
        <v>23762</v>
      </c>
      <c r="AIA24">
        <v>0</v>
      </c>
      <c r="AIB24">
        <v>11621</v>
      </c>
      <c r="AIC24">
        <v>33508</v>
      </c>
      <c r="AID24">
        <v>38401</v>
      </c>
      <c r="AIE24">
        <v>21578</v>
      </c>
      <c r="AIF24">
        <v>68853</v>
      </c>
      <c r="AIG24">
        <v>51458</v>
      </c>
      <c r="AIH24">
        <v>0</v>
      </c>
      <c r="AII24">
        <v>12280</v>
      </c>
      <c r="AIJ24">
        <v>26093</v>
      </c>
      <c r="AIK24">
        <v>19101</v>
      </c>
      <c r="AIL24">
        <v>20927</v>
      </c>
      <c r="AIM24">
        <v>0</v>
      </c>
      <c r="AIN24">
        <v>30007</v>
      </c>
      <c r="AIO24">
        <v>0</v>
      </c>
      <c r="AIP24">
        <v>13457</v>
      </c>
      <c r="AIQ24">
        <v>15810</v>
      </c>
      <c r="AIR24">
        <v>37654</v>
      </c>
      <c r="AIS24">
        <v>25384</v>
      </c>
      <c r="AIT24">
        <v>31820</v>
      </c>
      <c r="AIU24">
        <v>28730</v>
      </c>
      <c r="AIV24">
        <v>0</v>
      </c>
      <c r="AIW24">
        <v>13541</v>
      </c>
      <c r="AIX24">
        <v>27004</v>
      </c>
      <c r="AIY24">
        <v>29488</v>
      </c>
      <c r="AIZ24">
        <v>37164</v>
      </c>
      <c r="AJA24">
        <v>28237</v>
      </c>
      <c r="AJB24">
        <v>29743</v>
      </c>
      <c r="AJC24">
        <v>0</v>
      </c>
      <c r="AJD24">
        <v>22995</v>
      </c>
      <c r="AJE24">
        <v>58163</v>
      </c>
      <c r="AJF24">
        <v>31832</v>
      </c>
      <c r="AJG24">
        <v>36031</v>
      </c>
      <c r="AJH24">
        <v>34966</v>
      </c>
      <c r="AJI24">
        <v>11297</v>
      </c>
      <c r="AJJ24">
        <v>0</v>
      </c>
      <c r="AJK24">
        <v>9265</v>
      </c>
      <c r="AJL24">
        <v>27931</v>
      </c>
      <c r="AJM24">
        <v>27142</v>
      </c>
      <c r="AJN24">
        <v>34386</v>
      </c>
      <c r="AJO24">
        <v>36220</v>
      </c>
      <c r="AJP24">
        <v>21687</v>
      </c>
      <c r="AJQ24">
        <v>0</v>
      </c>
      <c r="AJR24">
        <v>0</v>
      </c>
      <c r="AJS24">
        <v>46483</v>
      </c>
      <c r="AJT24">
        <v>7851</v>
      </c>
      <c r="AJU24">
        <v>93698</v>
      </c>
      <c r="AJV24">
        <v>48578</v>
      </c>
      <c r="AJW24">
        <v>27099</v>
      </c>
      <c r="AJX24">
        <v>4006</v>
      </c>
      <c r="AJY24">
        <v>21329</v>
      </c>
      <c r="AJZ24">
        <v>31853</v>
      </c>
      <c r="AKA24">
        <v>33792</v>
      </c>
      <c r="AKB24">
        <v>46725</v>
      </c>
      <c r="AKC24">
        <v>30154</v>
      </c>
      <c r="AKD24">
        <v>33962</v>
      </c>
      <c r="AKE24">
        <v>0</v>
      </c>
      <c r="AKF24">
        <v>24414</v>
      </c>
    </row>
    <row r="25" spans="1:968">
      <c r="A25">
        <v>6</v>
      </c>
      <c r="B25" t="s">
        <v>120</v>
      </c>
      <c r="C25" s="1">
        <v>82640</v>
      </c>
      <c r="D25" s="1" t="s">
        <v>28</v>
      </c>
      <c r="E25" s="1" t="s">
        <v>113</v>
      </c>
      <c r="F25" s="1" t="s">
        <v>17</v>
      </c>
      <c r="G25" s="1" t="s">
        <v>12</v>
      </c>
      <c r="H25" s="1" t="s">
        <v>119</v>
      </c>
      <c r="I25" s="1" t="s">
        <v>45</v>
      </c>
      <c r="J25" s="1" t="s">
        <v>46</v>
      </c>
      <c r="K25">
        <v>112</v>
      </c>
      <c r="L25">
        <v>0</v>
      </c>
      <c r="M25">
        <v>18</v>
      </c>
      <c r="N25">
        <v>18</v>
      </c>
      <c r="O25">
        <v>0</v>
      </c>
      <c r="P25">
        <v>100</v>
      </c>
      <c r="Q25">
        <v>5</v>
      </c>
      <c r="R25">
        <v>1900</v>
      </c>
      <c r="S25">
        <v>2567</v>
      </c>
      <c r="T25">
        <v>1739</v>
      </c>
      <c r="U25">
        <v>2788</v>
      </c>
      <c r="V25">
        <v>0</v>
      </c>
      <c r="W25">
        <v>2769</v>
      </c>
      <c r="X25">
        <v>682</v>
      </c>
      <c r="Y25">
        <v>160</v>
      </c>
      <c r="Z25">
        <v>2</v>
      </c>
      <c r="AA25">
        <v>13</v>
      </c>
      <c r="AB25">
        <v>0</v>
      </c>
      <c r="AC25">
        <v>0</v>
      </c>
      <c r="AD25">
        <v>132</v>
      </c>
      <c r="AE25">
        <v>147</v>
      </c>
      <c r="AF25">
        <v>124</v>
      </c>
      <c r="AG25">
        <v>0</v>
      </c>
      <c r="AH25">
        <v>2</v>
      </c>
      <c r="AI25">
        <v>0</v>
      </c>
      <c r="AJ25">
        <v>0</v>
      </c>
      <c r="AK25">
        <v>15</v>
      </c>
      <c r="AL25">
        <v>54</v>
      </c>
      <c r="AM25">
        <v>152</v>
      </c>
      <c r="AN25">
        <v>1</v>
      </c>
      <c r="AO25">
        <v>10</v>
      </c>
      <c r="AP25">
        <v>0</v>
      </c>
      <c r="AQ25">
        <v>0</v>
      </c>
      <c r="AR25">
        <v>0</v>
      </c>
      <c r="AS25">
        <v>0</v>
      </c>
      <c r="AT25">
        <v>185</v>
      </c>
      <c r="AU25">
        <v>37</v>
      </c>
      <c r="AV25">
        <v>1330</v>
      </c>
      <c r="AW25">
        <v>4779</v>
      </c>
      <c r="AX25">
        <v>0</v>
      </c>
      <c r="AY25">
        <v>747</v>
      </c>
      <c r="AZ25">
        <v>361</v>
      </c>
      <c r="BA25">
        <v>27</v>
      </c>
      <c r="BB25">
        <v>1</v>
      </c>
      <c r="BC25">
        <v>143</v>
      </c>
      <c r="BD25">
        <v>42</v>
      </c>
      <c r="BE25">
        <v>0</v>
      </c>
      <c r="BF25">
        <v>6</v>
      </c>
      <c r="BG25">
        <v>17</v>
      </c>
      <c r="BH25">
        <v>100</v>
      </c>
      <c r="BI25">
        <v>166</v>
      </c>
      <c r="BJ25">
        <v>31</v>
      </c>
      <c r="BK25">
        <v>1291</v>
      </c>
      <c r="BL25">
        <v>0</v>
      </c>
      <c r="BM25">
        <v>0</v>
      </c>
      <c r="BN25">
        <v>489</v>
      </c>
      <c r="BO25">
        <v>2200</v>
      </c>
      <c r="BP25">
        <v>0</v>
      </c>
      <c r="BQ25">
        <v>0</v>
      </c>
      <c r="BR25">
        <v>0</v>
      </c>
      <c r="BS25">
        <v>0</v>
      </c>
      <c r="BT25">
        <v>0</v>
      </c>
      <c r="BU25" s="33">
        <v>0</v>
      </c>
      <c r="BV25" s="33">
        <v>0</v>
      </c>
      <c r="BW25" s="33">
        <v>0</v>
      </c>
      <c r="BX25" s="33">
        <v>36</v>
      </c>
      <c r="BY25" s="33">
        <v>109</v>
      </c>
      <c r="BZ25" s="33">
        <v>0</v>
      </c>
      <c r="CA25" s="33">
        <v>1305</v>
      </c>
      <c r="CB25">
        <v>3957</v>
      </c>
      <c r="CC25">
        <v>22</v>
      </c>
      <c r="CD25">
        <v>981</v>
      </c>
      <c r="CE25">
        <v>1285</v>
      </c>
      <c r="CF25">
        <v>2923</v>
      </c>
      <c r="CG25">
        <v>0</v>
      </c>
      <c r="CH25">
        <v>1746</v>
      </c>
      <c r="CI25">
        <v>3030</v>
      </c>
      <c r="CJ25">
        <v>306</v>
      </c>
      <c r="CK25">
        <v>3214</v>
      </c>
      <c r="CL25">
        <v>1</v>
      </c>
      <c r="CM25">
        <v>0</v>
      </c>
      <c r="CN25">
        <v>0</v>
      </c>
      <c r="CO25">
        <v>26</v>
      </c>
      <c r="CP25">
        <v>60</v>
      </c>
      <c r="CQ25">
        <v>100</v>
      </c>
      <c r="CR25">
        <v>195</v>
      </c>
      <c r="CS25">
        <v>10</v>
      </c>
      <c r="CT25">
        <v>33</v>
      </c>
      <c r="CU25">
        <v>0</v>
      </c>
      <c r="CV25">
        <v>50</v>
      </c>
      <c r="CW25">
        <v>12</v>
      </c>
      <c r="CX25">
        <v>364</v>
      </c>
      <c r="CY25">
        <v>0</v>
      </c>
      <c r="CZ25">
        <v>143</v>
      </c>
      <c r="DA25">
        <v>0</v>
      </c>
      <c r="DB25">
        <v>0</v>
      </c>
      <c r="DC25">
        <v>0</v>
      </c>
      <c r="DD25">
        <v>5046</v>
      </c>
      <c r="DE25">
        <v>447</v>
      </c>
      <c r="DF25">
        <v>1286</v>
      </c>
      <c r="DG25">
        <v>3404</v>
      </c>
      <c r="DH25">
        <v>2508</v>
      </c>
      <c r="DI25">
        <v>0</v>
      </c>
      <c r="DJ25">
        <v>2785</v>
      </c>
      <c r="DK25">
        <v>40</v>
      </c>
      <c r="DL25">
        <v>412</v>
      </c>
      <c r="DM25">
        <v>0</v>
      </c>
      <c r="DN25">
        <v>190</v>
      </c>
      <c r="DO25">
        <v>298</v>
      </c>
      <c r="DP25">
        <v>0</v>
      </c>
      <c r="DQ25">
        <v>0</v>
      </c>
      <c r="DR25">
        <v>10</v>
      </c>
      <c r="DS25">
        <v>324</v>
      </c>
      <c r="DT25">
        <v>16</v>
      </c>
      <c r="DU25">
        <v>136</v>
      </c>
      <c r="DV25">
        <v>0</v>
      </c>
      <c r="DW25">
        <v>0</v>
      </c>
      <c r="DX25">
        <v>950</v>
      </c>
      <c r="DY25">
        <v>6</v>
      </c>
      <c r="DZ25">
        <v>422</v>
      </c>
      <c r="EA25">
        <v>43</v>
      </c>
      <c r="EB25">
        <v>326</v>
      </c>
      <c r="EC25">
        <v>0</v>
      </c>
      <c r="ED25">
        <v>0</v>
      </c>
      <c r="EE25">
        <v>72</v>
      </c>
      <c r="EF25">
        <v>48</v>
      </c>
      <c r="EG25">
        <v>119</v>
      </c>
      <c r="EH25">
        <v>5225</v>
      </c>
      <c r="EI25">
        <v>16</v>
      </c>
      <c r="EJ25">
        <v>1058</v>
      </c>
      <c r="EK25">
        <v>0</v>
      </c>
      <c r="EL25">
        <v>127</v>
      </c>
      <c r="EM25">
        <v>1812</v>
      </c>
      <c r="EN25">
        <v>140</v>
      </c>
      <c r="EO25">
        <v>0</v>
      </c>
      <c r="EP25">
        <v>65</v>
      </c>
      <c r="EQ25">
        <v>2</v>
      </c>
      <c r="ER25">
        <v>0</v>
      </c>
      <c r="ES25">
        <v>0</v>
      </c>
      <c r="ET25">
        <v>4</v>
      </c>
      <c r="EU25">
        <v>39</v>
      </c>
      <c r="EV25">
        <v>2</v>
      </c>
      <c r="EW25">
        <v>11</v>
      </c>
      <c r="EX25">
        <v>7</v>
      </c>
      <c r="EY25">
        <v>0</v>
      </c>
      <c r="EZ25">
        <v>0</v>
      </c>
      <c r="FA25">
        <v>0</v>
      </c>
      <c r="FB25">
        <v>12</v>
      </c>
      <c r="FC25">
        <v>0</v>
      </c>
      <c r="FD25">
        <v>30</v>
      </c>
      <c r="FE25">
        <v>0</v>
      </c>
      <c r="FF25">
        <v>0</v>
      </c>
      <c r="FG25">
        <v>0</v>
      </c>
      <c r="FH25">
        <v>0</v>
      </c>
      <c r="FI25">
        <v>11</v>
      </c>
      <c r="FJ25">
        <v>0</v>
      </c>
      <c r="FK25">
        <v>3601</v>
      </c>
      <c r="FL25">
        <v>0</v>
      </c>
      <c r="FM25">
        <v>0</v>
      </c>
      <c r="FN25">
        <v>1926</v>
      </c>
      <c r="FO25">
        <v>74</v>
      </c>
      <c r="FP25">
        <v>263</v>
      </c>
      <c r="FQ25">
        <v>0</v>
      </c>
      <c r="FR25">
        <v>1635</v>
      </c>
      <c r="FS25">
        <v>0</v>
      </c>
      <c r="FT25">
        <v>0</v>
      </c>
      <c r="FU25">
        <v>0</v>
      </c>
      <c r="FV25">
        <v>3139</v>
      </c>
      <c r="FW25">
        <v>8</v>
      </c>
      <c r="FX25">
        <v>0</v>
      </c>
      <c r="FY25">
        <v>867</v>
      </c>
      <c r="FZ25">
        <v>0</v>
      </c>
      <c r="GA25">
        <v>0</v>
      </c>
      <c r="GB25">
        <v>5</v>
      </c>
      <c r="GC25">
        <v>0</v>
      </c>
      <c r="GD25">
        <v>96</v>
      </c>
      <c r="GE25">
        <v>7</v>
      </c>
      <c r="GF25">
        <v>340</v>
      </c>
      <c r="GG25">
        <v>432</v>
      </c>
      <c r="GH25">
        <v>0</v>
      </c>
      <c r="GI25">
        <v>41</v>
      </c>
      <c r="GJ25">
        <v>12</v>
      </c>
      <c r="GK25">
        <v>0</v>
      </c>
      <c r="GL25">
        <v>0</v>
      </c>
      <c r="GM25">
        <v>2</v>
      </c>
      <c r="GN25">
        <v>0</v>
      </c>
      <c r="GO25">
        <v>0</v>
      </c>
      <c r="GP25">
        <v>7</v>
      </c>
      <c r="GQ25">
        <v>560</v>
      </c>
      <c r="GR25">
        <v>0</v>
      </c>
      <c r="GS25">
        <v>79</v>
      </c>
      <c r="GT25">
        <v>1</v>
      </c>
      <c r="GU25">
        <v>5622</v>
      </c>
      <c r="GV25">
        <v>0</v>
      </c>
      <c r="GW25">
        <v>1438</v>
      </c>
      <c r="GX25">
        <v>0</v>
      </c>
      <c r="GY25">
        <v>96</v>
      </c>
      <c r="GZ25">
        <v>2</v>
      </c>
      <c r="HA25">
        <v>264</v>
      </c>
      <c r="HB25">
        <v>1226</v>
      </c>
      <c r="HC25">
        <v>0</v>
      </c>
      <c r="HD25">
        <v>110</v>
      </c>
      <c r="HE25">
        <v>6</v>
      </c>
      <c r="HF25">
        <v>0</v>
      </c>
      <c r="HG25">
        <v>57</v>
      </c>
      <c r="HH25">
        <v>22</v>
      </c>
      <c r="HI25">
        <v>91</v>
      </c>
      <c r="HJ25">
        <v>0</v>
      </c>
      <c r="HK25">
        <v>35</v>
      </c>
      <c r="HL25">
        <v>154</v>
      </c>
      <c r="HM25">
        <v>4</v>
      </c>
      <c r="HN25">
        <v>11</v>
      </c>
      <c r="HO25">
        <v>135</v>
      </c>
      <c r="HP25">
        <v>50</v>
      </c>
      <c r="HQ25">
        <v>0</v>
      </c>
      <c r="HR25">
        <v>0</v>
      </c>
      <c r="HS25">
        <v>19</v>
      </c>
      <c r="HT25">
        <v>124</v>
      </c>
      <c r="HU25">
        <v>9</v>
      </c>
      <c r="HV25">
        <v>2149</v>
      </c>
      <c r="HW25">
        <v>2306</v>
      </c>
      <c r="HX25">
        <v>0</v>
      </c>
      <c r="HY25">
        <v>57</v>
      </c>
      <c r="HZ25">
        <v>10000</v>
      </c>
      <c r="IA25">
        <v>196</v>
      </c>
      <c r="IB25">
        <v>438</v>
      </c>
      <c r="IC25">
        <v>42</v>
      </c>
      <c r="ID25">
        <v>0</v>
      </c>
      <c r="IE25">
        <v>0</v>
      </c>
      <c r="IF25">
        <v>100</v>
      </c>
      <c r="IG25">
        <v>4</v>
      </c>
      <c r="IH25">
        <v>0</v>
      </c>
      <c r="II25">
        <v>247</v>
      </c>
      <c r="IJ25">
        <v>131</v>
      </c>
      <c r="IK25">
        <v>0</v>
      </c>
      <c r="IL25">
        <v>0</v>
      </c>
      <c r="IM25">
        <v>0</v>
      </c>
      <c r="IN25">
        <v>0</v>
      </c>
      <c r="IO25">
        <v>9</v>
      </c>
      <c r="IP25">
        <v>10015</v>
      </c>
      <c r="IQ25">
        <v>617</v>
      </c>
      <c r="IR25">
        <v>3</v>
      </c>
      <c r="IS25">
        <v>0</v>
      </c>
      <c r="IT25">
        <v>10270</v>
      </c>
      <c r="IU25">
        <v>3037</v>
      </c>
      <c r="IV25">
        <v>78</v>
      </c>
      <c r="IW25">
        <v>77</v>
      </c>
      <c r="IX25">
        <v>2773</v>
      </c>
      <c r="IY25">
        <v>2516</v>
      </c>
      <c r="IZ25">
        <v>0</v>
      </c>
      <c r="JA25">
        <v>0</v>
      </c>
      <c r="JB25">
        <v>33</v>
      </c>
      <c r="JC25">
        <v>2757</v>
      </c>
      <c r="JD25">
        <v>1754</v>
      </c>
      <c r="JE25">
        <v>91</v>
      </c>
      <c r="JF25">
        <v>0</v>
      </c>
      <c r="JG25">
        <v>0</v>
      </c>
      <c r="JH25">
        <v>10</v>
      </c>
      <c r="JI25">
        <v>0</v>
      </c>
      <c r="JJ25">
        <v>471</v>
      </c>
      <c r="JK25">
        <v>12</v>
      </c>
      <c r="JL25">
        <v>4</v>
      </c>
      <c r="JM25">
        <v>0</v>
      </c>
      <c r="JN25">
        <v>0</v>
      </c>
      <c r="JO25">
        <v>6</v>
      </c>
      <c r="JP25">
        <v>0</v>
      </c>
      <c r="JQ25">
        <v>391</v>
      </c>
      <c r="JR25">
        <v>0</v>
      </c>
      <c r="JS25">
        <v>193</v>
      </c>
      <c r="JT25">
        <v>36</v>
      </c>
      <c r="JU25">
        <v>0</v>
      </c>
      <c r="JV25">
        <v>16</v>
      </c>
      <c r="JW25">
        <v>575</v>
      </c>
      <c r="JX25">
        <v>0</v>
      </c>
      <c r="JY25">
        <v>54</v>
      </c>
      <c r="JZ25">
        <v>120</v>
      </c>
      <c r="KA25">
        <v>1692</v>
      </c>
      <c r="KB25">
        <v>0</v>
      </c>
      <c r="KC25">
        <v>10</v>
      </c>
      <c r="KD25">
        <v>15</v>
      </c>
      <c r="KE25">
        <v>1001</v>
      </c>
      <c r="KF25">
        <v>4236</v>
      </c>
      <c r="KG25">
        <v>180</v>
      </c>
      <c r="KH25">
        <v>625</v>
      </c>
      <c r="KI25">
        <v>0</v>
      </c>
      <c r="KJ25">
        <v>0</v>
      </c>
      <c r="KK25">
        <v>1309</v>
      </c>
      <c r="KL25">
        <v>135</v>
      </c>
      <c r="KM25">
        <v>294</v>
      </c>
      <c r="KN25">
        <v>49</v>
      </c>
      <c r="KO25">
        <v>0</v>
      </c>
      <c r="KP25">
        <v>0</v>
      </c>
      <c r="KQ25">
        <v>93</v>
      </c>
      <c r="KR25">
        <v>0</v>
      </c>
      <c r="KS25">
        <v>0</v>
      </c>
      <c r="KT25">
        <v>6</v>
      </c>
      <c r="KU25">
        <v>94</v>
      </c>
      <c r="KV25">
        <v>321</v>
      </c>
      <c r="KW25">
        <v>0</v>
      </c>
      <c r="KX25">
        <v>29</v>
      </c>
      <c r="KY25">
        <v>0</v>
      </c>
      <c r="KZ25">
        <v>272</v>
      </c>
      <c r="LA25">
        <v>0</v>
      </c>
      <c r="LB25">
        <v>299</v>
      </c>
      <c r="LC25">
        <v>0</v>
      </c>
      <c r="LD25">
        <v>0</v>
      </c>
      <c r="LE25">
        <v>124</v>
      </c>
      <c r="LF25">
        <v>0</v>
      </c>
      <c r="LG25">
        <v>3</v>
      </c>
      <c r="LH25">
        <v>-1144</v>
      </c>
      <c r="LI25">
        <v>203</v>
      </c>
      <c r="LJ25">
        <v>2532</v>
      </c>
      <c r="LK25">
        <v>0</v>
      </c>
      <c r="LL25">
        <v>2013</v>
      </c>
      <c r="LM25">
        <v>176</v>
      </c>
      <c r="LN25">
        <v>0</v>
      </c>
      <c r="LO25">
        <v>288</v>
      </c>
      <c r="LP25">
        <v>0</v>
      </c>
      <c r="LQ25">
        <v>18</v>
      </c>
      <c r="LR25">
        <v>0</v>
      </c>
      <c r="LS25">
        <v>264</v>
      </c>
      <c r="LT25">
        <v>0</v>
      </c>
      <c r="LU25">
        <v>48</v>
      </c>
      <c r="LV25">
        <v>227</v>
      </c>
      <c r="LW25">
        <v>65</v>
      </c>
      <c r="LX25">
        <v>1</v>
      </c>
      <c r="LY25">
        <v>0</v>
      </c>
      <c r="LZ25">
        <v>0</v>
      </c>
      <c r="MA25">
        <v>10</v>
      </c>
      <c r="MB25">
        <v>152</v>
      </c>
      <c r="MC25">
        <v>48</v>
      </c>
      <c r="MD25">
        <v>0</v>
      </c>
      <c r="ME25">
        <v>168</v>
      </c>
      <c r="MF25">
        <v>0</v>
      </c>
      <c r="MG25">
        <v>7</v>
      </c>
      <c r="MH25">
        <v>6</v>
      </c>
      <c r="MI25">
        <v>6</v>
      </c>
      <c r="MJ25">
        <v>156</v>
      </c>
      <c r="MK25">
        <v>125</v>
      </c>
      <c r="ML25">
        <v>1811</v>
      </c>
      <c r="MM25">
        <v>0</v>
      </c>
      <c r="MN25">
        <v>3259</v>
      </c>
      <c r="MO25">
        <v>0</v>
      </c>
      <c r="MP25">
        <v>55</v>
      </c>
      <c r="MQ25">
        <v>42</v>
      </c>
      <c r="MR25">
        <v>1530</v>
      </c>
      <c r="MS25">
        <v>1014</v>
      </c>
      <c r="MT25">
        <v>0</v>
      </c>
      <c r="MU25">
        <v>0</v>
      </c>
      <c r="MV25">
        <v>186</v>
      </c>
      <c r="MW25">
        <v>198</v>
      </c>
      <c r="MX25">
        <v>408</v>
      </c>
      <c r="MY25">
        <v>2</v>
      </c>
      <c r="MZ25">
        <v>68</v>
      </c>
      <c r="NA25">
        <v>0</v>
      </c>
      <c r="NB25">
        <v>7</v>
      </c>
      <c r="NC25">
        <v>32</v>
      </c>
      <c r="ND25">
        <v>0</v>
      </c>
      <c r="NE25">
        <v>0</v>
      </c>
      <c r="NF25">
        <v>0</v>
      </c>
      <c r="NG25">
        <v>255</v>
      </c>
      <c r="NH25">
        <v>0</v>
      </c>
      <c r="NI25">
        <v>0</v>
      </c>
      <c r="NJ25">
        <v>10</v>
      </c>
      <c r="NK25">
        <v>10</v>
      </c>
      <c r="NL25">
        <v>0</v>
      </c>
      <c r="NM25">
        <v>163</v>
      </c>
      <c r="NN25">
        <v>44</v>
      </c>
      <c r="NO25">
        <v>0</v>
      </c>
      <c r="NP25">
        <v>69</v>
      </c>
      <c r="NQ25">
        <v>246</v>
      </c>
      <c r="NR25">
        <v>350</v>
      </c>
      <c r="NS25">
        <v>4879</v>
      </c>
      <c r="NT25">
        <v>313</v>
      </c>
      <c r="NU25">
        <v>840</v>
      </c>
      <c r="NV25">
        <v>0</v>
      </c>
      <c r="NW25">
        <v>0</v>
      </c>
      <c r="NX25">
        <v>3</v>
      </c>
      <c r="NY25">
        <v>100</v>
      </c>
      <c r="NZ25">
        <v>251</v>
      </c>
      <c r="OA25">
        <v>16</v>
      </c>
      <c r="OB25">
        <v>0</v>
      </c>
      <c r="OC25">
        <v>0</v>
      </c>
      <c r="OD25">
        <v>92</v>
      </c>
      <c r="OE25">
        <v>114</v>
      </c>
      <c r="OF25">
        <v>9</v>
      </c>
      <c r="OG25">
        <v>0</v>
      </c>
      <c r="OH25">
        <v>0</v>
      </c>
      <c r="OI25">
        <v>459</v>
      </c>
      <c r="OJ25">
        <v>0</v>
      </c>
      <c r="OK25">
        <v>0</v>
      </c>
      <c r="OL25">
        <v>0</v>
      </c>
      <c r="OM25">
        <v>23</v>
      </c>
      <c r="ON25">
        <v>31</v>
      </c>
      <c r="OO25">
        <v>432</v>
      </c>
      <c r="OP25">
        <v>93</v>
      </c>
      <c r="OQ25">
        <v>0</v>
      </c>
      <c r="OR25">
        <v>0</v>
      </c>
      <c r="OS25">
        <v>0</v>
      </c>
      <c r="OT25">
        <v>24</v>
      </c>
      <c r="OU25">
        <v>0</v>
      </c>
      <c r="OV25">
        <v>107</v>
      </c>
      <c r="OW25">
        <v>3139</v>
      </c>
      <c r="OX25">
        <v>0</v>
      </c>
      <c r="OY25">
        <v>200</v>
      </c>
      <c r="OZ25">
        <v>0</v>
      </c>
      <c r="PA25">
        <v>9</v>
      </c>
      <c r="PB25">
        <v>0</v>
      </c>
      <c r="PC25">
        <v>64</v>
      </c>
      <c r="PD25">
        <v>14</v>
      </c>
      <c r="PE25">
        <v>0</v>
      </c>
      <c r="PF25">
        <v>0</v>
      </c>
      <c r="PG25">
        <v>9</v>
      </c>
      <c r="PH25">
        <v>8</v>
      </c>
      <c r="PI25">
        <v>203</v>
      </c>
      <c r="PJ25">
        <v>0</v>
      </c>
      <c r="PK25">
        <v>201</v>
      </c>
      <c r="PL25">
        <v>0</v>
      </c>
      <c r="PM25">
        <v>119</v>
      </c>
      <c r="PN25">
        <v>36</v>
      </c>
      <c r="PO25">
        <v>17</v>
      </c>
      <c r="PP25">
        <v>3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109</v>
      </c>
      <c r="PY25">
        <v>14</v>
      </c>
      <c r="PZ25">
        <v>0</v>
      </c>
      <c r="QA25">
        <v>0</v>
      </c>
      <c r="QB25">
        <v>28</v>
      </c>
      <c r="QC25">
        <v>3541</v>
      </c>
      <c r="QD25">
        <v>586</v>
      </c>
      <c r="QE25">
        <v>562</v>
      </c>
      <c r="QF25">
        <v>3602</v>
      </c>
      <c r="QG25">
        <v>0</v>
      </c>
      <c r="QH25">
        <v>19</v>
      </c>
      <c r="QI25">
        <v>1978</v>
      </c>
      <c r="QJ25">
        <v>0</v>
      </c>
      <c r="QK25">
        <v>1845</v>
      </c>
      <c r="QL25">
        <v>1</v>
      </c>
      <c r="QM25">
        <v>11</v>
      </c>
      <c r="QN25">
        <v>0</v>
      </c>
      <c r="QO25">
        <v>585</v>
      </c>
      <c r="QP25">
        <v>20</v>
      </c>
      <c r="QQ25">
        <v>0</v>
      </c>
      <c r="QR25">
        <v>23</v>
      </c>
      <c r="QS25">
        <v>24</v>
      </c>
      <c r="QT25">
        <v>30</v>
      </c>
      <c r="QU25">
        <v>0</v>
      </c>
      <c r="QV25">
        <v>0</v>
      </c>
      <c r="QW25">
        <v>3</v>
      </c>
      <c r="QX25">
        <v>197</v>
      </c>
      <c r="QY25">
        <v>0</v>
      </c>
      <c r="QZ25">
        <v>12</v>
      </c>
      <c r="RA25">
        <v>58</v>
      </c>
      <c r="RB25">
        <v>0</v>
      </c>
      <c r="RC25">
        <v>24</v>
      </c>
      <c r="RD25">
        <v>27</v>
      </c>
      <c r="RE25">
        <v>163</v>
      </c>
      <c r="RF25">
        <v>3</v>
      </c>
      <c r="RG25">
        <v>1806</v>
      </c>
      <c r="RH25">
        <v>0</v>
      </c>
      <c r="RI25">
        <v>0</v>
      </c>
      <c r="RJ25">
        <v>3</v>
      </c>
      <c r="RK25">
        <v>3250</v>
      </c>
      <c r="RL25">
        <v>3571</v>
      </c>
      <c r="RM25">
        <v>138</v>
      </c>
      <c r="RN25">
        <v>658</v>
      </c>
      <c r="RO25">
        <v>325</v>
      </c>
      <c r="RP25">
        <v>0</v>
      </c>
      <c r="RQ25">
        <v>0</v>
      </c>
      <c r="RR25">
        <v>1</v>
      </c>
      <c r="RS25">
        <v>137</v>
      </c>
      <c r="RT25">
        <v>50</v>
      </c>
      <c r="RU25">
        <v>83</v>
      </c>
      <c r="RV25">
        <v>0</v>
      </c>
      <c r="RW25">
        <v>0</v>
      </c>
      <c r="RX25">
        <v>0</v>
      </c>
      <c r="RY25">
        <v>3</v>
      </c>
      <c r="RZ25">
        <v>719</v>
      </c>
      <c r="SA25">
        <v>291</v>
      </c>
      <c r="SB25">
        <v>279</v>
      </c>
      <c r="SC25">
        <v>1111</v>
      </c>
      <c r="SD25">
        <v>0</v>
      </c>
      <c r="SE25">
        <v>0</v>
      </c>
      <c r="SF25">
        <v>0</v>
      </c>
      <c r="SG25">
        <v>10</v>
      </c>
      <c r="SH25">
        <v>3441</v>
      </c>
      <c r="SI25">
        <v>0</v>
      </c>
      <c r="SJ25">
        <v>0</v>
      </c>
      <c r="SK25">
        <v>0</v>
      </c>
      <c r="SL25">
        <v>55</v>
      </c>
      <c r="SM25">
        <v>0</v>
      </c>
      <c r="SN25">
        <v>0</v>
      </c>
      <c r="SO25">
        <v>198</v>
      </c>
      <c r="SP25">
        <v>126</v>
      </c>
      <c r="SQ25">
        <v>875</v>
      </c>
      <c r="SR25">
        <v>0</v>
      </c>
      <c r="SS25">
        <v>0</v>
      </c>
      <c r="ST25">
        <v>0</v>
      </c>
      <c r="SU25">
        <v>159</v>
      </c>
      <c r="SV25">
        <v>51</v>
      </c>
      <c r="SW25">
        <v>0</v>
      </c>
      <c r="SX25">
        <v>0</v>
      </c>
      <c r="SY25">
        <v>0</v>
      </c>
      <c r="SZ25">
        <v>2</v>
      </c>
      <c r="TA25">
        <v>0</v>
      </c>
      <c r="TB25">
        <v>13</v>
      </c>
      <c r="TC25">
        <v>69</v>
      </c>
      <c r="TD25">
        <v>50</v>
      </c>
      <c r="TE25">
        <v>730</v>
      </c>
      <c r="TF25">
        <v>0</v>
      </c>
      <c r="TG25">
        <v>1008</v>
      </c>
      <c r="TH25">
        <v>4</v>
      </c>
      <c r="TI25">
        <v>0</v>
      </c>
      <c r="TJ25">
        <v>10</v>
      </c>
      <c r="TK25">
        <v>232</v>
      </c>
      <c r="TL25">
        <v>420</v>
      </c>
      <c r="TM25">
        <v>0</v>
      </c>
      <c r="TN25">
        <v>0</v>
      </c>
      <c r="TO25">
        <v>3483</v>
      </c>
      <c r="TP25">
        <v>1126</v>
      </c>
      <c r="TQ25">
        <v>677</v>
      </c>
      <c r="TR25">
        <v>2560</v>
      </c>
      <c r="TS25">
        <v>1005</v>
      </c>
      <c r="TT25">
        <v>0</v>
      </c>
      <c r="TU25">
        <v>0</v>
      </c>
      <c r="TV25">
        <v>0</v>
      </c>
      <c r="TW25">
        <v>0</v>
      </c>
      <c r="TX25">
        <v>6</v>
      </c>
      <c r="TY25">
        <v>10</v>
      </c>
      <c r="TZ25">
        <v>164</v>
      </c>
      <c r="UA25">
        <v>0</v>
      </c>
      <c r="UB25">
        <v>644</v>
      </c>
      <c r="UC25">
        <v>150</v>
      </c>
      <c r="UD25">
        <v>0</v>
      </c>
      <c r="UE25">
        <v>811</v>
      </c>
      <c r="UF25">
        <v>1975</v>
      </c>
      <c r="UG25">
        <v>283</v>
      </c>
      <c r="UH25">
        <v>0</v>
      </c>
      <c r="UI25">
        <v>0</v>
      </c>
      <c r="UJ25">
        <v>10</v>
      </c>
      <c r="UK25">
        <v>10</v>
      </c>
      <c r="UL25">
        <v>0</v>
      </c>
      <c r="UM25">
        <v>0</v>
      </c>
      <c r="UN25">
        <v>2127</v>
      </c>
      <c r="UO25">
        <v>0</v>
      </c>
      <c r="UP25">
        <v>0</v>
      </c>
      <c r="UQ25">
        <v>0</v>
      </c>
      <c r="UR25">
        <v>1065</v>
      </c>
      <c r="US25">
        <v>3119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16</v>
      </c>
      <c r="UZ25">
        <v>150</v>
      </c>
      <c r="VA25">
        <v>1014</v>
      </c>
      <c r="VB25">
        <v>556</v>
      </c>
      <c r="VC25">
        <v>0</v>
      </c>
      <c r="VD25">
        <v>1041</v>
      </c>
      <c r="VE25">
        <v>10</v>
      </c>
      <c r="VF25">
        <v>2268</v>
      </c>
      <c r="VG25">
        <v>2781</v>
      </c>
      <c r="VH25">
        <v>72</v>
      </c>
      <c r="VI25">
        <v>71</v>
      </c>
      <c r="VJ25">
        <v>0</v>
      </c>
      <c r="VK25">
        <v>23</v>
      </c>
      <c r="VL25">
        <v>89</v>
      </c>
      <c r="VM25">
        <v>143</v>
      </c>
      <c r="VN25">
        <v>184</v>
      </c>
      <c r="VO25">
        <v>101</v>
      </c>
      <c r="VP25">
        <v>0</v>
      </c>
      <c r="VQ25">
        <v>0</v>
      </c>
      <c r="VR25">
        <v>628</v>
      </c>
      <c r="VS25">
        <v>0</v>
      </c>
      <c r="VT25">
        <v>0</v>
      </c>
      <c r="VU25">
        <v>2924</v>
      </c>
      <c r="VV25">
        <v>522</v>
      </c>
      <c r="VW25">
        <v>300</v>
      </c>
      <c r="VX25">
        <v>0</v>
      </c>
      <c r="VY25">
        <v>36</v>
      </c>
      <c r="VZ25">
        <v>772</v>
      </c>
      <c r="WA25">
        <v>0</v>
      </c>
      <c r="WB25">
        <v>119</v>
      </c>
      <c r="WC25">
        <v>29</v>
      </c>
      <c r="WD25">
        <v>0</v>
      </c>
      <c r="WE25">
        <v>0</v>
      </c>
      <c r="WF25">
        <v>0</v>
      </c>
      <c r="WG25">
        <v>0</v>
      </c>
      <c r="WH25">
        <v>216</v>
      </c>
      <c r="WI25">
        <v>254</v>
      </c>
      <c r="WJ25">
        <v>24</v>
      </c>
      <c r="WK25">
        <v>0</v>
      </c>
      <c r="WL25">
        <v>0</v>
      </c>
      <c r="WM25">
        <v>0</v>
      </c>
      <c r="WN25">
        <v>3</v>
      </c>
      <c r="WO25">
        <v>88</v>
      </c>
      <c r="WP25">
        <v>945</v>
      </c>
      <c r="WQ25">
        <v>1069</v>
      </c>
      <c r="WR25">
        <v>0</v>
      </c>
      <c r="WS25">
        <v>0</v>
      </c>
      <c r="WT25">
        <v>0</v>
      </c>
      <c r="WU25">
        <v>0</v>
      </c>
      <c r="WV25">
        <v>15</v>
      </c>
      <c r="WW25">
        <v>0</v>
      </c>
      <c r="WX25">
        <v>0</v>
      </c>
      <c r="WY25">
        <v>838</v>
      </c>
      <c r="WZ25">
        <v>0</v>
      </c>
      <c r="XA25">
        <v>1043</v>
      </c>
      <c r="XB25">
        <v>3947</v>
      </c>
      <c r="XC25">
        <v>800</v>
      </c>
      <c r="XD25">
        <v>25</v>
      </c>
      <c r="XE25">
        <v>5165</v>
      </c>
      <c r="XF25">
        <v>487</v>
      </c>
      <c r="XG25">
        <v>0</v>
      </c>
      <c r="XH25">
        <v>489</v>
      </c>
      <c r="XI25">
        <v>0</v>
      </c>
      <c r="XJ25">
        <v>0</v>
      </c>
      <c r="XK25">
        <v>1832</v>
      </c>
      <c r="XL25">
        <v>607</v>
      </c>
      <c r="XM25">
        <v>654</v>
      </c>
      <c r="XN25">
        <v>0</v>
      </c>
      <c r="XO25">
        <v>0</v>
      </c>
      <c r="XP25">
        <v>0</v>
      </c>
      <c r="XQ25">
        <v>0</v>
      </c>
      <c r="XR25">
        <v>914</v>
      </c>
      <c r="XS25">
        <v>552</v>
      </c>
      <c r="XT25">
        <v>0</v>
      </c>
      <c r="XU25">
        <v>0</v>
      </c>
      <c r="XV25">
        <v>0</v>
      </c>
      <c r="XW25">
        <v>0</v>
      </c>
      <c r="XX25">
        <v>150</v>
      </c>
      <c r="XY25">
        <v>0</v>
      </c>
      <c r="XZ25">
        <v>0</v>
      </c>
      <c r="YA25">
        <v>209</v>
      </c>
      <c r="YB25">
        <v>0</v>
      </c>
      <c r="YC25">
        <v>0</v>
      </c>
      <c r="YD25">
        <v>0</v>
      </c>
      <c r="YE25">
        <v>0</v>
      </c>
      <c r="YF25">
        <v>4475</v>
      </c>
      <c r="YG25">
        <v>2830</v>
      </c>
      <c r="YH25">
        <v>2830</v>
      </c>
      <c r="YI25">
        <v>0</v>
      </c>
      <c r="YJ25">
        <v>0</v>
      </c>
      <c r="YK25">
        <v>0</v>
      </c>
      <c r="YL25">
        <v>534</v>
      </c>
      <c r="YM25">
        <v>0</v>
      </c>
      <c r="YN25">
        <v>984</v>
      </c>
      <c r="YO25">
        <v>1260</v>
      </c>
      <c r="YP25">
        <v>0</v>
      </c>
      <c r="YQ25">
        <v>0</v>
      </c>
      <c r="YR25">
        <v>0</v>
      </c>
      <c r="YS25">
        <v>0</v>
      </c>
      <c r="YT25">
        <v>1299</v>
      </c>
      <c r="YU25">
        <v>26</v>
      </c>
      <c r="YV25">
        <v>0</v>
      </c>
      <c r="YW25">
        <v>0</v>
      </c>
      <c r="YX25">
        <v>0</v>
      </c>
      <c r="YY25">
        <v>534</v>
      </c>
      <c r="YZ25">
        <v>0</v>
      </c>
      <c r="ZA25">
        <v>1890</v>
      </c>
      <c r="ZB25">
        <v>3156</v>
      </c>
      <c r="ZC25">
        <v>54</v>
      </c>
      <c r="ZD25">
        <v>0</v>
      </c>
      <c r="ZE25">
        <v>42</v>
      </c>
      <c r="ZF25">
        <v>0</v>
      </c>
      <c r="ZG25">
        <v>93</v>
      </c>
      <c r="ZH25">
        <v>0</v>
      </c>
      <c r="ZI25">
        <v>707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124</v>
      </c>
      <c r="ZP25">
        <v>86</v>
      </c>
      <c r="ZQ25">
        <v>0</v>
      </c>
      <c r="ZR25">
        <v>0</v>
      </c>
      <c r="ZS25">
        <v>74</v>
      </c>
      <c r="ZT25">
        <v>0</v>
      </c>
      <c r="ZU25">
        <v>1345</v>
      </c>
      <c r="ZV25">
        <v>4</v>
      </c>
      <c r="ZW25">
        <v>744</v>
      </c>
      <c r="ZX25">
        <v>33</v>
      </c>
      <c r="ZY25">
        <v>0</v>
      </c>
      <c r="ZZ25">
        <v>100</v>
      </c>
      <c r="AAA25">
        <v>0</v>
      </c>
      <c r="AAB25">
        <v>4</v>
      </c>
      <c r="AAC25">
        <v>1038</v>
      </c>
      <c r="AAD25">
        <v>1215</v>
      </c>
      <c r="AAE25">
        <v>1528</v>
      </c>
      <c r="AAF25">
        <v>0</v>
      </c>
      <c r="AAG25">
        <v>0</v>
      </c>
      <c r="AAH25">
        <v>0</v>
      </c>
      <c r="AAI25">
        <v>0</v>
      </c>
      <c r="AAJ25">
        <v>86</v>
      </c>
      <c r="AAK25">
        <v>0</v>
      </c>
      <c r="AAL25">
        <v>27</v>
      </c>
      <c r="AAM25">
        <v>0</v>
      </c>
      <c r="AAN25">
        <v>0</v>
      </c>
      <c r="AAO25">
        <v>2690</v>
      </c>
      <c r="AAP25">
        <v>981</v>
      </c>
      <c r="AAQ25">
        <v>69</v>
      </c>
      <c r="AAR25">
        <v>0</v>
      </c>
      <c r="AAS25">
        <v>165</v>
      </c>
      <c r="AAT25">
        <v>0</v>
      </c>
      <c r="AAU25">
        <v>0</v>
      </c>
      <c r="AAV25">
        <v>0</v>
      </c>
      <c r="AAW25">
        <v>16</v>
      </c>
      <c r="AAX25">
        <v>18</v>
      </c>
      <c r="AAY25">
        <v>2</v>
      </c>
      <c r="AAZ25">
        <v>0</v>
      </c>
      <c r="ABA25">
        <v>0</v>
      </c>
      <c r="ABB25">
        <v>13</v>
      </c>
      <c r="ABC25">
        <v>0</v>
      </c>
      <c r="ABD25">
        <v>0</v>
      </c>
      <c r="ABE25">
        <v>0</v>
      </c>
      <c r="ABF25">
        <v>31</v>
      </c>
      <c r="ABG25">
        <v>3305</v>
      </c>
      <c r="ABH25">
        <v>0</v>
      </c>
      <c r="ABI25">
        <v>882</v>
      </c>
      <c r="ABJ25">
        <v>1025</v>
      </c>
      <c r="ABK25">
        <v>0</v>
      </c>
      <c r="ABL25">
        <v>164</v>
      </c>
      <c r="ABM25">
        <v>0</v>
      </c>
      <c r="ABN25">
        <v>0</v>
      </c>
      <c r="ABO25">
        <v>0</v>
      </c>
      <c r="ABP25">
        <v>0</v>
      </c>
      <c r="ABQ25">
        <v>216</v>
      </c>
      <c r="ABR25">
        <v>1133</v>
      </c>
      <c r="ABS25">
        <v>498</v>
      </c>
      <c r="ABT25">
        <v>176</v>
      </c>
      <c r="ABU25">
        <v>0</v>
      </c>
      <c r="ABV25">
        <v>0</v>
      </c>
      <c r="ABW25">
        <v>15</v>
      </c>
      <c r="ABX25">
        <v>1</v>
      </c>
      <c r="ABY25">
        <v>0</v>
      </c>
      <c r="ABZ25">
        <v>163</v>
      </c>
      <c r="ACA25">
        <v>0</v>
      </c>
      <c r="ACB25">
        <v>291</v>
      </c>
      <c r="ACC25">
        <v>0</v>
      </c>
      <c r="ACD25">
        <v>0</v>
      </c>
      <c r="ACE25">
        <v>0</v>
      </c>
      <c r="ACF25">
        <v>26</v>
      </c>
      <c r="ACG25">
        <v>0</v>
      </c>
      <c r="ACH25">
        <v>0</v>
      </c>
      <c r="ACI25">
        <v>0</v>
      </c>
      <c r="ACJ25">
        <v>0</v>
      </c>
      <c r="ACK25">
        <v>17</v>
      </c>
      <c r="ACL25">
        <v>0</v>
      </c>
      <c r="ACM25">
        <v>0</v>
      </c>
      <c r="ACN25">
        <v>37</v>
      </c>
      <c r="ACO25">
        <v>1343</v>
      </c>
      <c r="ACP25">
        <v>693</v>
      </c>
      <c r="ACQ25">
        <v>0</v>
      </c>
      <c r="ACR25">
        <v>0</v>
      </c>
      <c r="ACS25">
        <v>0</v>
      </c>
      <c r="ACT25">
        <v>0</v>
      </c>
      <c r="ACU25">
        <v>635</v>
      </c>
      <c r="ACV25">
        <v>0</v>
      </c>
      <c r="ACW25">
        <v>15</v>
      </c>
      <c r="ACX25">
        <v>0</v>
      </c>
      <c r="ACY25">
        <v>0</v>
      </c>
      <c r="ACZ25">
        <v>0</v>
      </c>
      <c r="ADA25">
        <v>0</v>
      </c>
      <c r="ADB25">
        <v>10</v>
      </c>
      <c r="ADC25">
        <v>0</v>
      </c>
      <c r="ADD25">
        <v>0</v>
      </c>
      <c r="ADE25">
        <v>0</v>
      </c>
      <c r="ADF25">
        <v>0</v>
      </c>
      <c r="ADG25">
        <v>55</v>
      </c>
      <c r="ADH25">
        <v>0</v>
      </c>
      <c r="ADI25">
        <v>124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92</v>
      </c>
      <c r="ADP25">
        <v>6</v>
      </c>
      <c r="ADQ25">
        <v>0</v>
      </c>
      <c r="ADR25">
        <v>1534</v>
      </c>
      <c r="ADS25">
        <v>0</v>
      </c>
      <c r="ADT25">
        <v>0</v>
      </c>
      <c r="ADU25">
        <v>1583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300</v>
      </c>
      <c r="AED25">
        <v>669</v>
      </c>
      <c r="AEE25">
        <v>1044</v>
      </c>
      <c r="AEF25">
        <v>1822</v>
      </c>
      <c r="AEG25">
        <v>0</v>
      </c>
      <c r="AEH25">
        <v>593</v>
      </c>
      <c r="AEI25">
        <v>39</v>
      </c>
      <c r="AEJ25">
        <v>289</v>
      </c>
      <c r="AEK25">
        <v>0</v>
      </c>
      <c r="AEL25">
        <v>206</v>
      </c>
      <c r="AEM25">
        <v>0</v>
      </c>
      <c r="AEN25">
        <v>0</v>
      </c>
      <c r="AEO25">
        <v>1902</v>
      </c>
      <c r="AEP25">
        <v>0</v>
      </c>
      <c r="AEQ25">
        <v>1</v>
      </c>
      <c r="AER25">
        <v>693</v>
      </c>
      <c r="AES25">
        <v>1629</v>
      </c>
      <c r="AET25">
        <v>411</v>
      </c>
      <c r="AEU25">
        <v>0</v>
      </c>
      <c r="AEV25">
        <v>0</v>
      </c>
      <c r="AEW25">
        <v>0</v>
      </c>
      <c r="AEX25">
        <v>0</v>
      </c>
      <c r="AEY25">
        <v>114</v>
      </c>
      <c r="AEZ25">
        <v>0</v>
      </c>
      <c r="AFA25">
        <v>1</v>
      </c>
      <c r="AFB25">
        <v>0</v>
      </c>
      <c r="AFC25">
        <v>49</v>
      </c>
      <c r="AFD25">
        <v>0</v>
      </c>
      <c r="AFE25">
        <v>0</v>
      </c>
      <c r="AFF25">
        <v>987</v>
      </c>
      <c r="AFG25">
        <v>1416</v>
      </c>
      <c r="AFH25">
        <v>1179</v>
      </c>
      <c r="AFI25">
        <v>0</v>
      </c>
      <c r="AFJ25">
        <v>564</v>
      </c>
      <c r="AFK25">
        <v>18</v>
      </c>
      <c r="AFL25">
        <v>5</v>
      </c>
      <c r="AFM25">
        <v>929</v>
      </c>
      <c r="AFN25">
        <v>300</v>
      </c>
      <c r="AFO25">
        <v>33</v>
      </c>
      <c r="AFP25">
        <v>0</v>
      </c>
      <c r="AFQ25">
        <v>0</v>
      </c>
      <c r="AFR25">
        <v>2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18</v>
      </c>
      <c r="AFY25">
        <v>0</v>
      </c>
      <c r="AFZ25">
        <v>10</v>
      </c>
      <c r="AGA25">
        <v>0</v>
      </c>
      <c r="AGB25">
        <v>2959</v>
      </c>
      <c r="AGC25">
        <v>3</v>
      </c>
      <c r="AGD25">
        <v>0</v>
      </c>
      <c r="AGE25">
        <v>0</v>
      </c>
      <c r="AGF25">
        <v>0</v>
      </c>
      <c r="AGG25">
        <v>0</v>
      </c>
      <c r="AGH25">
        <v>140</v>
      </c>
      <c r="AGI25">
        <v>1185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9</v>
      </c>
      <c r="AGU25">
        <v>0</v>
      </c>
      <c r="AGV25">
        <v>6</v>
      </c>
      <c r="AGW25">
        <v>0</v>
      </c>
      <c r="AGX25">
        <v>0</v>
      </c>
      <c r="AGY25">
        <v>0</v>
      </c>
      <c r="AGZ25">
        <v>0</v>
      </c>
      <c r="AHA25">
        <v>926</v>
      </c>
      <c r="AHB25">
        <v>984</v>
      </c>
      <c r="AHC25">
        <v>30</v>
      </c>
      <c r="AHD25">
        <v>138</v>
      </c>
      <c r="AHE25">
        <v>0</v>
      </c>
      <c r="AHH25">
        <v>0</v>
      </c>
      <c r="AHI25">
        <v>0</v>
      </c>
      <c r="AHJ25">
        <v>0</v>
      </c>
      <c r="AHK25">
        <v>30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4906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1</v>
      </c>
      <c r="AHZ25">
        <v>3</v>
      </c>
      <c r="AIA25">
        <v>0</v>
      </c>
      <c r="AIB25">
        <v>12</v>
      </c>
      <c r="AIC25">
        <v>1086</v>
      </c>
      <c r="AID25">
        <v>0</v>
      </c>
      <c r="AIE25">
        <v>0</v>
      </c>
      <c r="AIF25">
        <v>0</v>
      </c>
      <c r="AIG25">
        <v>10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123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1120</v>
      </c>
      <c r="AIY25">
        <v>1</v>
      </c>
      <c r="AIZ25">
        <v>0</v>
      </c>
      <c r="AJA25">
        <v>130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15</v>
      </c>
      <c r="AJL25">
        <v>178</v>
      </c>
      <c r="AJM25">
        <v>0</v>
      </c>
      <c r="AJN25">
        <v>1025</v>
      </c>
      <c r="AJO25">
        <v>471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110</v>
      </c>
      <c r="AJW25">
        <v>1013</v>
      </c>
      <c r="AJX25">
        <v>0</v>
      </c>
      <c r="AJY25">
        <v>0</v>
      </c>
      <c r="AJZ25">
        <v>0</v>
      </c>
      <c r="AKA25">
        <v>6</v>
      </c>
      <c r="AKB25">
        <v>0</v>
      </c>
      <c r="AKC25">
        <v>0</v>
      </c>
      <c r="AKD25">
        <v>0</v>
      </c>
      <c r="AKE25">
        <v>0</v>
      </c>
      <c r="AKF25">
        <v>0</v>
      </c>
    </row>
    <row r="26" spans="1:968">
      <c r="A26">
        <v>7</v>
      </c>
      <c r="B26" s="18" t="s">
        <v>121</v>
      </c>
      <c r="C26" s="1">
        <v>82640</v>
      </c>
      <c r="D26" s="1" t="s">
        <v>28</v>
      </c>
      <c r="E26" s="1" t="s">
        <v>113</v>
      </c>
      <c r="F26" s="32" t="s">
        <v>31</v>
      </c>
      <c r="G26" s="1" t="s">
        <v>12</v>
      </c>
      <c r="H26" s="1" t="s">
        <v>119</v>
      </c>
      <c r="I26" s="1" t="s">
        <v>45</v>
      </c>
      <c r="J26" s="1" t="s">
        <v>46</v>
      </c>
      <c r="K26">
        <v>3507</v>
      </c>
      <c r="L26" s="31">
        <v>-37</v>
      </c>
      <c r="M26">
        <v>13674</v>
      </c>
      <c r="N26">
        <v>8579</v>
      </c>
      <c r="O26">
        <v>0</v>
      </c>
      <c r="P26">
        <v>10142</v>
      </c>
      <c r="Q26">
        <v>11801</v>
      </c>
      <c r="R26">
        <v>12733</v>
      </c>
      <c r="S26">
        <v>18716</v>
      </c>
      <c r="T26">
        <v>12796</v>
      </c>
      <c r="U26">
        <v>24580</v>
      </c>
      <c r="V26">
        <v>0</v>
      </c>
      <c r="W26">
        <v>15588</v>
      </c>
      <c r="X26">
        <v>13813</v>
      </c>
      <c r="Y26">
        <v>15692</v>
      </c>
      <c r="Z26">
        <v>14908</v>
      </c>
      <c r="AA26">
        <v>25202</v>
      </c>
      <c r="AB26">
        <v>26331</v>
      </c>
      <c r="AC26">
        <v>0</v>
      </c>
      <c r="AD26">
        <v>6169</v>
      </c>
      <c r="AE26">
        <v>13795</v>
      </c>
      <c r="AF26">
        <v>5455</v>
      </c>
      <c r="AG26">
        <v>7347</v>
      </c>
      <c r="AH26">
        <v>17955</v>
      </c>
      <c r="AI26">
        <v>8911</v>
      </c>
      <c r="AJ26">
        <v>0</v>
      </c>
      <c r="AK26">
        <v>6128</v>
      </c>
      <c r="AL26">
        <v>8446</v>
      </c>
      <c r="AM26">
        <v>9691</v>
      </c>
      <c r="AN26">
        <v>6595</v>
      </c>
      <c r="AO26">
        <v>4462</v>
      </c>
      <c r="AP26">
        <v>9915</v>
      </c>
      <c r="AQ26">
        <v>0</v>
      </c>
      <c r="AR26">
        <v>7148</v>
      </c>
      <c r="AS26">
        <v>0</v>
      </c>
      <c r="AT26">
        <v>9286</v>
      </c>
      <c r="AU26">
        <v>9505</v>
      </c>
      <c r="AV26">
        <v>14819</v>
      </c>
      <c r="AW26">
        <v>8540</v>
      </c>
      <c r="AX26">
        <v>0</v>
      </c>
      <c r="AY26">
        <v>9977</v>
      </c>
      <c r="AZ26">
        <v>14991</v>
      </c>
      <c r="BA26">
        <v>12044</v>
      </c>
      <c r="BB26">
        <v>9859</v>
      </c>
      <c r="BC26">
        <v>10658</v>
      </c>
      <c r="BD26">
        <v>18878</v>
      </c>
      <c r="BE26">
        <v>0</v>
      </c>
      <c r="BF26">
        <v>10925</v>
      </c>
      <c r="BG26">
        <v>17357</v>
      </c>
      <c r="BH26">
        <v>13846</v>
      </c>
      <c r="BI26">
        <v>15998</v>
      </c>
      <c r="BJ26">
        <v>23335</v>
      </c>
      <c r="BK26">
        <v>16149</v>
      </c>
      <c r="BL26">
        <v>0</v>
      </c>
      <c r="BM26">
        <v>6919</v>
      </c>
      <c r="BN26">
        <v>1984</v>
      </c>
      <c r="BO26">
        <v>12797</v>
      </c>
      <c r="BP26">
        <v>0</v>
      </c>
      <c r="BQ26">
        <v>0</v>
      </c>
      <c r="BR26">
        <v>0</v>
      </c>
      <c r="BS26">
        <v>0</v>
      </c>
      <c r="BT26">
        <v>0</v>
      </c>
      <c r="BU26" s="33">
        <v>0</v>
      </c>
      <c r="BV26" s="33">
        <v>8019</v>
      </c>
      <c r="BW26" s="33">
        <v>16087</v>
      </c>
      <c r="BX26" s="33">
        <v>13602</v>
      </c>
      <c r="BY26" s="33">
        <v>23064</v>
      </c>
      <c r="BZ26" s="33">
        <v>0</v>
      </c>
      <c r="CA26" s="33">
        <v>26518</v>
      </c>
      <c r="CB26">
        <v>12284</v>
      </c>
      <c r="CC26">
        <v>16079</v>
      </c>
      <c r="CD26">
        <v>19855</v>
      </c>
      <c r="CE26">
        <v>15079</v>
      </c>
      <c r="CF26">
        <v>19636</v>
      </c>
      <c r="CG26">
        <v>12516</v>
      </c>
      <c r="CH26">
        <v>18566</v>
      </c>
      <c r="CI26">
        <v>24605</v>
      </c>
      <c r="CJ26">
        <v>16249</v>
      </c>
      <c r="CK26">
        <v>25009</v>
      </c>
      <c r="CL26">
        <v>19332</v>
      </c>
      <c r="CM26">
        <v>0</v>
      </c>
      <c r="CN26">
        <v>0</v>
      </c>
      <c r="CO26">
        <v>9743</v>
      </c>
      <c r="CP26">
        <v>15490</v>
      </c>
      <c r="CQ26">
        <v>13236</v>
      </c>
      <c r="CR26">
        <v>20837</v>
      </c>
      <c r="CS26">
        <v>18126</v>
      </c>
      <c r="CT26">
        <v>8019</v>
      </c>
      <c r="CU26">
        <v>0</v>
      </c>
      <c r="CV26">
        <v>16656</v>
      </c>
      <c r="CW26">
        <v>14432</v>
      </c>
      <c r="CX26">
        <v>10952</v>
      </c>
      <c r="CY26">
        <v>12008</v>
      </c>
      <c r="CZ26">
        <v>10968</v>
      </c>
      <c r="DA26">
        <v>8629</v>
      </c>
      <c r="DB26">
        <v>5</v>
      </c>
      <c r="DC26">
        <v>9719</v>
      </c>
      <c r="DD26">
        <v>16746</v>
      </c>
      <c r="DE26">
        <v>11011</v>
      </c>
      <c r="DF26">
        <v>14468</v>
      </c>
      <c r="DG26">
        <v>14402</v>
      </c>
      <c r="DH26">
        <v>19833</v>
      </c>
      <c r="DI26">
        <v>7653</v>
      </c>
      <c r="DJ26">
        <v>9659</v>
      </c>
      <c r="DK26">
        <v>10491</v>
      </c>
      <c r="DL26">
        <v>8574</v>
      </c>
      <c r="DM26">
        <v>7119</v>
      </c>
      <c r="DN26">
        <v>15542</v>
      </c>
      <c r="DO26">
        <v>8926</v>
      </c>
      <c r="DP26">
        <v>0</v>
      </c>
      <c r="DQ26">
        <v>17871</v>
      </c>
      <c r="DR26">
        <v>13083</v>
      </c>
      <c r="DS26">
        <v>17205</v>
      </c>
      <c r="DT26">
        <v>26670</v>
      </c>
      <c r="DU26">
        <v>22519</v>
      </c>
      <c r="DV26">
        <v>17638</v>
      </c>
      <c r="DW26">
        <v>21043</v>
      </c>
      <c r="DX26">
        <v>16278</v>
      </c>
      <c r="DY26">
        <v>22328</v>
      </c>
      <c r="DZ26">
        <v>20226</v>
      </c>
      <c r="EA26">
        <v>32043</v>
      </c>
      <c r="EB26">
        <v>25697</v>
      </c>
      <c r="EC26">
        <v>9768</v>
      </c>
      <c r="ED26">
        <v>6502</v>
      </c>
      <c r="EE26">
        <v>16646</v>
      </c>
      <c r="EF26">
        <v>29314</v>
      </c>
      <c r="EG26">
        <v>13316</v>
      </c>
      <c r="EH26">
        <v>14245</v>
      </c>
      <c r="EI26">
        <v>17731</v>
      </c>
      <c r="EJ26">
        <v>13947</v>
      </c>
      <c r="EK26">
        <v>7072</v>
      </c>
      <c r="EL26">
        <v>11099</v>
      </c>
      <c r="EM26">
        <v>32302</v>
      </c>
      <c r="EN26">
        <v>17907</v>
      </c>
      <c r="EO26">
        <v>28874</v>
      </c>
      <c r="EP26">
        <v>30390</v>
      </c>
      <c r="EQ26">
        <v>19923</v>
      </c>
      <c r="ER26">
        <v>0</v>
      </c>
      <c r="ES26">
        <v>11477</v>
      </c>
      <c r="ET26">
        <v>29749</v>
      </c>
      <c r="EU26">
        <v>17117</v>
      </c>
      <c r="EV26">
        <v>28720</v>
      </c>
      <c r="EW26">
        <v>25927</v>
      </c>
      <c r="EX26">
        <v>26159</v>
      </c>
      <c r="EY26">
        <v>0</v>
      </c>
      <c r="EZ26">
        <v>8584</v>
      </c>
      <c r="FA26">
        <v>15773</v>
      </c>
      <c r="FB26">
        <v>18597</v>
      </c>
      <c r="FC26">
        <v>16373</v>
      </c>
      <c r="FD26">
        <v>12969</v>
      </c>
      <c r="FE26">
        <v>9716</v>
      </c>
      <c r="FF26">
        <v>0</v>
      </c>
      <c r="FG26">
        <v>11080</v>
      </c>
      <c r="FH26">
        <v>12850</v>
      </c>
      <c r="FI26">
        <v>20788</v>
      </c>
      <c r="FJ26">
        <v>19240</v>
      </c>
      <c r="FK26">
        <v>17954</v>
      </c>
      <c r="FL26">
        <v>4821</v>
      </c>
      <c r="FM26">
        <v>0</v>
      </c>
      <c r="FN26">
        <v>18298</v>
      </c>
      <c r="FO26">
        <v>16686</v>
      </c>
      <c r="FP26">
        <v>17343</v>
      </c>
      <c r="FQ26">
        <v>30865</v>
      </c>
      <c r="FR26">
        <v>24764</v>
      </c>
      <c r="FS26">
        <v>0</v>
      </c>
      <c r="FT26">
        <v>0</v>
      </c>
      <c r="FU26">
        <v>0</v>
      </c>
      <c r="FV26">
        <v>9265</v>
      </c>
      <c r="FW26">
        <v>14906</v>
      </c>
      <c r="FX26">
        <v>22186</v>
      </c>
      <c r="FY26">
        <v>27814</v>
      </c>
      <c r="FZ26">
        <v>24304</v>
      </c>
      <c r="GA26">
        <v>4762</v>
      </c>
      <c r="GB26">
        <v>18455</v>
      </c>
      <c r="GC26">
        <v>15336</v>
      </c>
      <c r="GD26">
        <v>28703</v>
      </c>
      <c r="GE26">
        <v>14048</v>
      </c>
      <c r="GF26">
        <v>11750</v>
      </c>
      <c r="GG26">
        <v>18444</v>
      </c>
      <c r="GH26">
        <v>7085</v>
      </c>
      <c r="GI26">
        <v>7909</v>
      </c>
      <c r="GJ26">
        <v>40070</v>
      </c>
      <c r="GK26">
        <v>0</v>
      </c>
      <c r="GL26">
        <v>21551</v>
      </c>
      <c r="GM26">
        <v>26619</v>
      </c>
      <c r="GN26">
        <v>0</v>
      </c>
      <c r="GO26">
        <v>0</v>
      </c>
      <c r="GP26">
        <v>19494</v>
      </c>
      <c r="GQ26">
        <v>16303</v>
      </c>
      <c r="GR26">
        <v>8090</v>
      </c>
      <c r="GS26">
        <v>21261</v>
      </c>
      <c r="GT26">
        <v>13259</v>
      </c>
      <c r="GU26">
        <v>6381</v>
      </c>
      <c r="GV26">
        <v>2766</v>
      </c>
      <c r="GW26">
        <v>3417</v>
      </c>
      <c r="GX26">
        <v>4030</v>
      </c>
      <c r="GY26">
        <v>4913</v>
      </c>
      <c r="GZ26">
        <v>3516</v>
      </c>
      <c r="HA26">
        <v>5665</v>
      </c>
      <c r="HB26">
        <v>8614</v>
      </c>
      <c r="HC26">
        <v>0</v>
      </c>
      <c r="HD26">
        <v>16609</v>
      </c>
      <c r="HE26">
        <v>36828</v>
      </c>
      <c r="HF26">
        <v>4570</v>
      </c>
      <c r="HG26">
        <v>34288</v>
      </c>
      <c r="HH26">
        <v>27964</v>
      </c>
      <c r="HI26">
        <v>33149</v>
      </c>
      <c r="HJ26">
        <v>4063</v>
      </c>
      <c r="HK26">
        <v>20627</v>
      </c>
      <c r="HL26">
        <v>33822</v>
      </c>
      <c r="HM26">
        <v>29619</v>
      </c>
      <c r="HN26">
        <v>26261</v>
      </c>
      <c r="HO26">
        <v>29912</v>
      </c>
      <c r="HP26">
        <v>5780</v>
      </c>
      <c r="HQ26">
        <v>0</v>
      </c>
      <c r="HR26">
        <v>0</v>
      </c>
      <c r="HS26">
        <v>18584</v>
      </c>
      <c r="HT26">
        <v>11074</v>
      </c>
      <c r="HU26">
        <v>12925</v>
      </c>
      <c r="HV26">
        <v>15427</v>
      </c>
      <c r="HW26">
        <v>23234</v>
      </c>
      <c r="HX26">
        <v>0</v>
      </c>
      <c r="HY26">
        <v>22780</v>
      </c>
      <c r="HZ26">
        <v>44056</v>
      </c>
      <c r="IA26">
        <v>14610</v>
      </c>
      <c r="IB26">
        <v>22974</v>
      </c>
      <c r="IC26">
        <v>21576</v>
      </c>
      <c r="ID26">
        <v>14126</v>
      </c>
      <c r="IE26">
        <v>0</v>
      </c>
      <c r="IF26">
        <v>11125</v>
      </c>
      <c r="IG26">
        <v>22557</v>
      </c>
      <c r="IH26">
        <v>49024</v>
      </c>
      <c r="II26">
        <v>27276</v>
      </c>
      <c r="IJ26">
        <v>18949</v>
      </c>
      <c r="IK26">
        <v>8834</v>
      </c>
      <c r="IL26">
        <v>0</v>
      </c>
      <c r="IM26">
        <v>10015</v>
      </c>
      <c r="IN26">
        <v>17526</v>
      </c>
      <c r="IO26">
        <v>25182</v>
      </c>
      <c r="IP26">
        <v>27527</v>
      </c>
      <c r="IQ26">
        <v>13057</v>
      </c>
      <c r="IR26">
        <v>26493</v>
      </c>
      <c r="IS26">
        <v>0</v>
      </c>
      <c r="IT26">
        <v>21620</v>
      </c>
      <c r="IU26">
        <v>22396</v>
      </c>
      <c r="IV26">
        <v>18083</v>
      </c>
      <c r="IW26">
        <v>19047</v>
      </c>
      <c r="IX26">
        <v>18058</v>
      </c>
      <c r="IY26">
        <v>25760</v>
      </c>
      <c r="IZ26">
        <v>0</v>
      </c>
      <c r="JA26">
        <v>18046</v>
      </c>
      <c r="JB26">
        <v>25751</v>
      </c>
      <c r="JC26">
        <v>21510</v>
      </c>
      <c r="JD26">
        <v>15914</v>
      </c>
      <c r="JE26">
        <v>21178</v>
      </c>
      <c r="JF26">
        <v>14392</v>
      </c>
      <c r="JG26">
        <v>1299</v>
      </c>
      <c r="JH26">
        <v>31359</v>
      </c>
      <c r="JI26">
        <v>24125</v>
      </c>
      <c r="JJ26">
        <v>21789</v>
      </c>
      <c r="JK26">
        <v>21432</v>
      </c>
      <c r="JL26">
        <v>26987</v>
      </c>
      <c r="JM26">
        <v>26213</v>
      </c>
      <c r="JN26">
        <v>0</v>
      </c>
      <c r="JO26">
        <v>19524</v>
      </c>
      <c r="JP26">
        <v>14792</v>
      </c>
      <c r="JQ26">
        <v>21631</v>
      </c>
      <c r="JR26">
        <v>18571</v>
      </c>
      <c r="JS26">
        <v>22573</v>
      </c>
      <c r="JT26">
        <v>21355</v>
      </c>
      <c r="JU26">
        <v>2958</v>
      </c>
      <c r="JV26">
        <v>15059</v>
      </c>
      <c r="JW26">
        <v>27239</v>
      </c>
      <c r="JX26">
        <v>0</v>
      </c>
      <c r="JY26">
        <v>20924</v>
      </c>
      <c r="JZ26">
        <v>20363</v>
      </c>
      <c r="KA26">
        <v>14538</v>
      </c>
      <c r="KB26">
        <v>0</v>
      </c>
      <c r="KC26">
        <v>13406</v>
      </c>
      <c r="KD26">
        <v>16716</v>
      </c>
      <c r="KE26">
        <v>42883</v>
      </c>
      <c r="KF26">
        <v>27015</v>
      </c>
      <c r="KG26">
        <v>26236</v>
      </c>
      <c r="KH26">
        <v>25694</v>
      </c>
      <c r="KI26">
        <v>2565</v>
      </c>
      <c r="KJ26">
        <v>0</v>
      </c>
      <c r="KK26">
        <v>10087</v>
      </c>
      <c r="KL26">
        <v>20086</v>
      </c>
      <c r="KM26">
        <v>19832</v>
      </c>
      <c r="KN26">
        <v>28057</v>
      </c>
      <c r="KO26">
        <v>24126</v>
      </c>
      <c r="KP26">
        <v>5306</v>
      </c>
      <c r="KQ26">
        <v>16975</v>
      </c>
      <c r="KR26">
        <v>29168</v>
      </c>
      <c r="KS26">
        <v>18742</v>
      </c>
      <c r="KT26">
        <v>17137</v>
      </c>
      <c r="KU26">
        <v>21596</v>
      </c>
      <c r="KV26">
        <v>12613</v>
      </c>
      <c r="KW26">
        <v>0</v>
      </c>
      <c r="KX26">
        <v>11560</v>
      </c>
      <c r="KY26">
        <v>16625</v>
      </c>
      <c r="KZ26">
        <v>21962</v>
      </c>
      <c r="LA26">
        <v>17367</v>
      </c>
      <c r="LB26">
        <v>16326</v>
      </c>
      <c r="LC26">
        <v>20644</v>
      </c>
      <c r="LD26">
        <v>0</v>
      </c>
      <c r="LE26">
        <v>23811</v>
      </c>
      <c r="LF26">
        <v>18030</v>
      </c>
      <c r="LG26">
        <v>13334</v>
      </c>
      <c r="LH26">
        <v>20199</v>
      </c>
      <c r="LI26">
        <v>24803</v>
      </c>
      <c r="LJ26" s="31">
        <v>21759</v>
      </c>
      <c r="LK26">
        <v>6281</v>
      </c>
      <c r="LL26">
        <v>21535</v>
      </c>
      <c r="LM26">
        <v>18372</v>
      </c>
      <c r="LN26">
        <v>17870</v>
      </c>
      <c r="LO26">
        <v>18329</v>
      </c>
      <c r="LP26">
        <v>15381</v>
      </c>
      <c r="LQ26">
        <v>17701</v>
      </c>
      <c r="LR26">
        <v>15039</v>
      </c>
      <c r="LS26">
        <v>22641</v>
      </c>
      <c r="LT26">
        <v>17997</v>
      </c>
      <c r="LU26">
        <v>20612</v>
      </c>
      <c r="LV26">
        <v>20101</v>
      </c>
      <c r="LW26">
        <v>23765</v>
      </c>
      <c r="LX26">
        <v>26856</v>
      </c>
      <c r="LY26">
        <v>4914</v>
      </c>
      <c r="LZ26">
        <v>25890</v>
      </c>
      <c r="MA26">
        <v>22792</v>
      </c>
      <c r="MB26">
        <v>44660</v>
      </c>
      <c r="MC26">
        <v>37454</v>
      </c>
      <c r="MD26">
        <v>8958</v>
      </c>
      <c r="ME26">
        <v>19448</v>
      </c>
      <c r="MF26">
        <v>6764</v>
      </c>
      <c r="MG26">
        <v>12649</v>
      </c>
      <c r="MH26">
        <v>18025</v>
      </c>
      <c r="MI26">
        <v>20807</v>
      </c>
      <c r="MJ26">
        <v>12351</v>
      </c>
      <c r="MK26">
        <v>18115</v>
      </c>
      <c r="ML26">
        <v>15848</v>
      </c>
      <c r="MM26">
        <v>2881</v>
      </c>
      <c r="MN26">
        <v>15789</v>
      </c>
      <c r="MO26">
        <v>18208</v>
      </c>
      <c r="MP26">
        <v>22599</v>
      </c>
      <c r="MQ26">
        <v>26866</v>
      </c>
      <c r="MR26">
        <v>25914</v>
      </c>
      <c r="MS26">
        <v>24188</v>
      </c>
      <c r="MT26">
        <v>6063</v>
      </c>
      <c r="MU26">
        <v>6409</v>
      </c>
      <c r="MV26">
        <v>13480</v>
      </c>
      <c r="MW26">
        <v>22846</v>
      </c>
      <c r="MX26">
        <v>36452</v>
      </c>
      <c r="MY26">
        <v>29283</v>
      </c>
      <c r="MZ26">
        <v>32824</v>
      </c>
      <c r="NA26">
        <v>6557</v>
      </c>
      <c r="NB26">
        <v>16750</v>
      </c>
      <c r="NC26">
        <v>30290</v>
      </c>
      <c r="ND26">
        <v>6067</v>
      </c>
      <c r="NE26">
        <v>21410</v>
      </c>
      <c r="NF26">
        <v>22211</v>
      </c>
      <c r="NG26">
        <v>22163</v>
      </c>
      <c r="NH26">
        <v>9229</v>
      </c>
      <c r="NI26">
        <v>31900</v>
      </c>
      <c r="NJ26">
        <v>38911</v>
      </c>
      <c r="NK26">
        <v>21251</v>
      </c>
      <c r="NL26">
        <v>25152</v>
      </c>
      <c r="NM26">
        <v>30273</v>
      </c>
      <c r="NN26">
        <v>11833</v>
      </c>
      <c r="NO26">
        <v>0</v>
      </c>
      <c r="NP26">
        <v>16966</v>
      </c>
      <c r="NQ26">
        <v>25235</v>
      </c>
      <c r="NR26">
        <v>13063</v>
      </c>
      <c r="NS26">
        <v>14284</v>
      </c>
      <c r="NT26">
        <v>20111</v>
      </c>
      <c r="NU26">
        <v>20743</v>
      </c>
      <c r="NV26">
        <v>5068</v>
      </c>
      <c r="NW26">
        <v>16914</v>
      </c>
      <c r="NX26">
        <v>15161</v>
      </c>
      <c r="NY26">
        <v>23753</v>
      </c>
      <c r="NZ26">
        <v>12883</v>
      </c>
      <c r="OA26">
        <v>25371</v>
      </c>
      <c r="OB26">
        <v>17113</v>
      </c>
      <c r="OC26">
        <v>0</v>
      </c>
      <c r="OD26">
        <v>11659</v>
      </c>
      <c r="OE26">
        <v>17426</v>
      </c>
      <c r="OF26">
        <v>27004</v>
      </c>
      <c r="OG26">
        <v>12749</v>
      </c>
      <c r="OH26">
        <v>15350</v>
      </c>
      <c r="OI26">
        <v>40515</v>
      </c>
      <c r="OJ26">
        <v>0</v>
      </c>
      <c r="OK26">
        <v>44134</v>
      </c>
      <c r="OL26">
        <v>22132</v>
      </c>
      <c r="OM26">
        <v>12161</v>
      </c>
      <c r="ON26">
        <v>41180</v>
      </c>
      <c r="OO26">
        <v>16422</v>
      </c>
      <c r="OP26">
        <v>38454</v>
      </c>
      <c r="OQ26">
        <v>0</v>
      </c>
      <c r="OR26">
        <v>22641</v>
      </c>
      <c r="OS26">
        <v>29060</v>
      </c>
      <c r="OT26">
        <v>14631</v>
      </c>
      <c r="OU26">
        <v>0</v>
      </c>
      <c r="OV26">
        <v>17103</v>
      </c>
      <c r="OW26">
        <v>13924</v>
      </c>
      <c r="OX26">
        <v>0</v>
      </c>
      <c r="OY26">
        <v>19163</v>
      </c>
      <c r="OZ26">
        <v>15742</v>
      </c>
      <c r="PA26">
        <v>53821</v>
      </c>
      <c r="PB26">
        <v>16429</v>
      </c>
      <c r="PC26">
        <v>43240</v>
      </c>
      <c r="PD26">
        <v>18629</v>
      </c>
      <c r="PE26">
        <v>2833</v>
      </c>
      <c r="PF26">
        <v>14800</v>
      </c>
      <c r="PG26">
        <v>16993</v>
      </c>
      <c r="PH26">
        <v>17249</v>
      </c>
      <c r="PI26">
        <v>43406</v>
      </c>
      <c r="PJ26">
        <v>29833</v>
      </c>
      <c r="PK26">
        <v>33618</v>
      </c>
      <c r="PL26">
        <v>4622</v>
      </c>
      <c r="PM26">
        <v>32161</v>
      </c>
      <c r="PN26">
        <v>34234</v>
      </c>
      <c r="PO26">
        <v>65106</v>
      </c>
      <c r="PP26">
        <v>23283</v>
      </c>
      <c r="PQ26">
        <v>13941</v>
      </c>
      <c r="PR26">
        <v>384</v>
      </c>
      <c r="PS26">
        <v>0</v>
      </c>
      <c r="PT26">
        <v>3005</v>
      </c>
      <c r="PU26">
        <v>0</v>
      </c>
      <c r="PV26">
        <v>0</v>
      </c>
      <c r="PW26">
        <v>10155</v>
      </c>
      <c r="PX26">
        <v>17556</v>
      </c>
      <c r="PY26">
        <v>20348</v>
      </c>
      <c r="PZ26">
        <v>0</v>
      </c>
      <c r="QA26">
        <v>24764</v>
      </c>
      <c r="QB26">
        <v>20258</v>
      </c>
      <c r="QC26">
        <v>18510</v>
      </c>
      <c r="QD26">
        <v>21032</v>
      </c>
      <c r="QE26">
        <v>13994</v>
      </c>
      <c r="QF26">
        <v>10326</v>
      </c>
      <c r="QG26">
        <v>4009</v>
      </c>
      <c r="QH26">
        <v>10072</v>
      </c>
      <c r="QI26">
        <v>17331</v>
      </c>
      <c r="QJ26">
        <v>20492</v>
      </c>
      <c r="QK26">
        <v>28278</v>
      </c>
      <c r="QL26">
        <v>30302</v>
      </c>
      <c r="QM26">
        <v>23260</v>
      </c>
      <c r="QN26">
        <v>4450</v>
      </c>
      <c r="QO26">
        <v>19739</v>
      </c>
      <c r="QP26">
        <v>14431</v>
      </c>
      <c r="QQ26">
        <v>13863</v>
      </c>
      <c r="QR26">
        <v>19720</v>
      </c>
      <c r="QS26">
        <v>19824</v>
      </c>
      <c r="QT26">
        <v>15742</v>
      </c>
      <c r="QU26">
        <v>0</v>
      </c>
      <c r="QV26">
        <v>17371</v>
      </c>
      <c r="QW26">
        <v>26376</v>
      </c>
      <c r="QX26">
        <v>17273</v>
      </c>
      <c r="QY26">
        <v>20236</v>
      </c>
      <c r="QZ26">
        <v>32848</v>
      </c>
      <c r="RA26">
        <v>20211</v>
      </c>
      <c r="RB26">
        <v>0</v>
      </c>
      <c r="RC26">
        <v>17994</v>
      </c>
      <c r="RD26">
        <v>20546</v>
      </c>
      <c r="RE26">
        <v>26216</v>
      </c>
      <c r="RF26">
        <v>28486</v>
      </c>
      <c r="RG26">
        <v>25735</v>
      </c>
      <c r="RH26">
        <v>4071</v>
      </c>
      <c r="RI26">
        <v>0</v>
      </c>
      <c r="RJ26">
        <v>19604</v>
      </c>
      <c r="RK26">
        <v>17599</v>
      </c>
      <c r="RL26">
        <v>24986</v>
      </c>
      <c r="RM26">
        <v>22671</v>
      </c>
      <c r="RN26">
        <v>19256</v>
      </c>
      <c r="RO26">
        <v>28235</v>
      </c>
      <c r="RP26">
        <v>0</v>
      </c>
      <c r="RQ26">
        <v>19638</v>
      </c>
      <c r="RR26">
        <v>45488</v>
      </c>
      <c r="RS26">
        <v>27676</v>
      </c>
      <c r="RT26">
        <v>26383</v>
      </c>
      <c r="RU26">
        <v>25157</v>
      </c>
      <c r="RV26">
        <v>23644</v>
      </c>
      <c r="RW26">
        <v>0</v>
      </c>
      <c r="RX26">
        <v>21067</v>
      </c>
      <c r="RY26">
        <v>19329</v>
      </c>
      <c r="RZ26">
        <v>37455</v>
      </c>
      <c r="SA26">
        <v>27190</v>
      </c>
      <c r="SB26">
        <v>36564</v>
      </c>
      <c r="SC26">
        <v>27684</v>
      </c>
      <c r="SD26">
        <v>0</v>
      </c>
      <c r="SE26">
        <v>30103</v>
      </c>
      <c r="SF26">
        <v>13861</v>
      </c>
      <c r="SG26">
        <v>13821</v>
      </c>
      <c r="SH26">
        <v>24495</v>
      </c>
      <c r="SI26">
        <v>19843</v>
      </c>
      <c r="SJ26">
        <v>16760</v>
      </c>
      <c r="SK26">
        <v>0</v>
      </c>
      <c r="SL26">
        <v>11077</v>
      </c>
      <c r="SM26">
        <v>15227</v>
      </c>
      <c r="SN26">
        <v>19627</v>
      </c>
      <c r="SO26">
        <v>28641</v>
      </c>
      <c r="SP26">
        <v>18817</v>
      </c>
      <c r="SQ26">
        <v>13403</v>
      </c>
      <c r="SR26">
        <v>0</v>
      </c>
      <c r="SS26">
        <v>18577</v>
      </c>
      <c r="ST26">
        <v>23486</v>
      </c>
      <c r="SU26">
        <v>19566</v>
      </c>
      <c r="SV26">
        <v>25777</v>
      </c>
      <c r="SW26">
        <v>46331</v>
      </c>
      <c r="SX26">
        <v>27771</v>
      </c>
      <c r="SY26">
        <v>1553</v>
      </c>
      <c r="SZ26">
        <v>25013</v>
      </c>
      <c r="TA26">
        <v>15963</v>
      </c>
      <c r="TB26">
        <v>26916</v>
      </c>
      <c r="TC26">
        <v>16331</v>
      </c>
      <c r="TD26">
        <v>9615</v>
      </c>
      <c r="TE26">
        <v>24922</v>
      </c>
      <c r="TF26">
        <v>0</v>
      </c>
      <c r="TG26">
        <v>28152</v>
      </c>
      <c r="TH26">
        <v>20548</v>
      </c>
      <c r="TI26">
        <v>17561</v>
      </c>
      <c r="TJ26">
        <v>18894</v>
      </c>
      <c r="TK26">
        <v>32216</v>
      </c>
      <c r="TL26">
        <v>16169</v>
      </c>
      <c r="TM26">
        <v>1577</v>
      </c>
      <c r="TN26">
        <v>4802</v>
      </c>
      <c r="TO26">
        <v>17692</v>
      </c>
      <c r="TP26">
        <v>27576</v>
      </c>
      <c r="TQ26">
        <v>22716</v>
      </c>
      <c r="TR26">
        <v>21500</v>
      </c>
      <c r="TS26">
        <v>19812</v>
      </c>
      <c r="TT26">
        <v>0</v>
      </c>
      <c r="TU26">
        <v>0</v>
      </c>
      <c r="TV26">
        <v>0</v>
      </c>
      <c r="TW26">
        <v>12938</v>
      </c>
      <c r="TX26">
        <v>17499</v>
      </c>
      <c r="TY26">
        <v>16474</v>
      </c>
      <c r="TZ26">
        <v>19045</v>
      </c>
      <c r="UA26">
        <v>0</v>
      </c>
      <c r="UB26">
        <v>13657</v>
      </c>
      <c r="UC26">
        <v>24475</v>
      </c>
      <c r="UD26">
        <v>24171</v>
      </c>
      <c r="UE26">
        <v>28694</v>
      </c>
      <c r="UF26">
        <v>22921</v>
      </c>
      <c r="UG26">
        <v>29129</v>
      </c>
      <c r="UH26">
        <v>2985</v>
      </c>
      <c r="UI26">
        <v>22231</v>
      </c>
      <c r="UJ26">
        <v>32627</v>
      </c>
      <c r="UK26">
        <v>39933</v>
      </c>
      <c r="UL26">
        <v>6738</v>
      </c>
      <c r="UM26">
        <v>20540</v>
      </c>
      <c r="UN26">
        <v>20506</v>
      </c>
      <c r="UO26">
        <v>5613</v>
      </c>
      <c r="UP26">
        <v>12319</v>
      </c>
      <c r="UQ26">
        <v>14569</v>
      </c>
      <c r="UR26">
        <v>17539</v>
      </c>
      <c r="US26">
        <v>21458</v>
      </c>
      <c r="UT26">
        <v>13203</v>
      </c>
      <c r="UU26">
        <v>1446</v>
      </c>
      <c r="UV26">
        <v>0</v>
      </c>
      <c r="UW26">
        <v>16683</v>
      </c>
      <c r="UX26">
        <v>18622</v>
      </c>
      <c r="UY26">
        <v>14766</v>
      </c>
      <c r="UZ26">
        <v>16912</v>
      </c>
      <c r="VA26">
        <v>15426</v>
      </c>
      <c r="VB26">
        <v>3422</v>
      </c>
      <c r="VC26">
        <v>0</v>
      </c>
      <c r="VD26">
        <v>5069</v>
      </c>
      <c r="VE26">
        <v>8080</v>
      </c>
      <c r="VF26">
        <v>2758</v>
      </c>
      <c r="VG26">
        <v>3618</v>
      </c>
      <c r="VH26">
        <v>14313</v>
      </c>
      <c r="VI26">
        <v>22627</v>
      </c>
      <c r="VJ26">
        <v>0</v>
      </c>
      <c r="VK26">
        <v>33146</v>
      </c>
      <c r="VL26">
        <v>15285</v>
      </c>
      <c r="VM26">
        <v>20610</v>
      </c>
      <c r="VN26">
        <v>25462</v>
      </c>
      <c r="VO26">
        <v>25843</v>
      </c>
      <c r="VP26">
        <v>19827</v>
      </c>
      <c r="VQ26">
        <v>14841</v>
      </c>
      <c r="VR26">
        <v>17305</v>
      </c>
      <c r="VS26">
        <v>0</v>
      </c>
      <c r="VT26">
        <v>25697</v>
      </c>
      <c r="VU26">
        <v>22221</v>
      </c>
      <c r="VV26">
        <v>27628</v>
      </c>
      <c r="VW26">
        <v>22046</v>
      </c>
      <c r="VX26">
        <v>16676</v>
      </c>
      <c r="VY26">
        <v>22247</v>
      </c>
      <c r="VZ26">
        <v>32156</v>
      </c>
      <c r="WA26">
        <v>17867</v>
      </c>
      <c r="WB26">
        <v>19644</v>
      </c>
      <c r="WC26">
        <v>22579</v>
      </c>
      <c r="WD26">
        <v>24735</v>
      </c>
      <c r="WE26">
        <v>0</v>
      </c>
      <c r="WF26">
        <v>12822</v>
      </c>
      <c r="WG26">
        <v>13081</v>
      </c>
      <c r="WH26">
        <v>22090</v>
      </c>
      <c r="WI26">
        <v>26927</v>
      </c>
      <c r="WJ26">
        <v>24732</v>
      </c>
      <c r="WK26">
        <v>17834</v>
      </c>
      <c r="WL26">
        <v>0</v>
      </c>
      <c r="WM26">
        <v>36277</v>
      </c>
      <c r="WN26">
        <v>34816</v>
      </c>
      <c r="WO26">
        <v>29855</v>
      </c>
      <c r="WP26">
        <v>32813</v>
      </c>
      <c r="WQ26">
        <v>52822</v>
      </c>
      <c r="WR26">
        <v>38159</v>
      </c>
      <c r="WS26">
        <v>0</v>
      </c>
      <c r="WT26">
        <v>17806</v>
      </c>
      <c r="WU26">
        <v>8131</v>
      </c>
      <c r="WV26">
        <v>10080</v>
      </c>
      <c r="WW26">
        <v>19460</v>
      </c>
      <c r="WX26">
        <v>21194</v>
      </c>
      <c r="WY26">
        <v>24270</v>
      </c>
      <c r="WZ26">
        <v>2279</v>
      </c>
      <c r="XA26">
        <v>14132</v>
      </c>
      <c r="XB26">
        <v>11962</v>
      </c>
      <c r="XC26">
        <v>13043</v>
      </c>
      <c r="XD26">
        <v>21440</v>
      </c>
      <c r="XE26">
        <v>16376</v>
      </c>
      <c r="XF26">
        <v>23649</v>
      </c>
      <c r="XG26">
        <v>10178</v>
      </c>
      <c r="XH26">
        <v>18025</v>
      </c>
      <c r="XI26">
        <v>29351</v>
      </c>
      <c r="XJ26">
        <v>23270</v>
      </c>
      <c r="XK26">
        <v>25194</v>
      </c>
      <c r="XL26">
        <v>18729</v>
      </c>
      <c r="XM26">
        <v>19700</v>
      </c>
      <c r="XN26">
        <v>2652</v>
      </c>
      <c r="XO26">
        <v>18275</v>
      </c>
      <c r="XP26">
        <v>29680</v>
      </c>
      <c r="XQ26">
        <v>47980</v>
      </c>
      <c r="XR26">
        <v>43368</v>
      </c>
      <c r="XS26">
        <v>16570</v>
      </c>
      <c r="XT26">
        <v>27484</v>
      </c>
      <c r="XU26">
        <v>0</v>
      </c>
      <c r="XV26">
        <v>0</v>
      </c>
      <c r="XW26">
        <v>16700</v>
      </c>
      <c r="XX26">
        <v>34673</v>
      </c>
      <c r="XY26">
        <v>89370</v>
      </c>
      <c r="XZ26">
        <v>17026</v>
      </c>
      <c r="YA26">
        <v>15923</v>
      </c>
      <c r="YB26">
        <v>15135</v>
      </c>
      <c r="YC26">
        <v>13647</v>
      </c>
      <c r="YD26">
        <v>17199</v>
      </c>
      <c r="YE26">
        <v>20486</v>
      </c>
      <c r="YF26">
        <v>19108</v>
      </c>
      <c r="YG26">
        <v>10931</v>
      </c>
      <c r="YH26">
        <v>10931</v>
      </c>
      <c r="YI26">
        <v>0</v>
      </c>
      <c r="YJ26">
        <v>19685</v>
      </c>
      <c r="YK26">
        <v>0</v>
      </c>
      <c r="YL26">
        <v>26270</v>
      </c>
      <c r="YM26">
        <v>15831</v>
      </c>
      <c r="YN26">
        <v>25753</v>
      </c>
      <c r="YO26">
        <v>20935</v>
      </c>
      <c r="YP26">
        <v>4477</v>
      </c>
      <c r="YQ26">
        <v>21186</v>
      </c>
      <c r="YR26">
        <v>35909</v>
      </c>
      <c r="YS26">
        <v>27764</v>
      </c>
      <c r="YT26">
        <v>22258</v>
      </c>
      <c r="YU26">
        <v>46240</v>
      </c>
      <c r="YV26">
        <v>16240</v>
      </c>
      <c r="YW26">
        <v>0</v>
      </c>
      <c r="YX26">
        <v>18163</v>
      </c>
      <c r="YY26">
        <v>31206</v>
      </c>
      <c r="YZ26">
        <v>19944</v>
      </c>
      <c r="ZA26">
        <v>18351</v>
      </c>
      <c r="ZB26">
        <v>10288</v>
      </c>
      <c r="ZC26">
        <v>13808</v>
      </c>
      <c r="ZD26">
        <v>0</v>
      </c>
      <c r="ZE26">
        <v>26878</v>
      </c>
      <c r="ZF26">
        <v>30055</v>
      </c>
      <c r="ZG26">
        <v>16867</v>
      </c>
      <c r="ZH26">
        <v>16213</v>
      </c>
      <c r="ZI26">
        <v>17132</v>
      </c>
      <c r="ZJ26">
        <v>22376</v>
      </c>
      <c r="ZK26">
        <v>28502</v>
      </c>
      <c r="ZL26">
        <v>18626</v>
      </c>
      <c r="ZM26">
        <v>20903</v>
      </c>
      <c r="ZN26">
        <v>0</v>
      </c>
      <c r="ZO26">
        <v>40503</v>
      </c>
      <c r="ZP26">
        <v>21974</v>
      </c>
      <c r="ZQ26">
        <v>22836</v>
      </c>
      <c r="ZR26">
        <v>0</v>
      </c>
      <c r="ZS26">
        <v>14233</v>
      </c>
      <c r="ZT26">
        <v>17915</v>
      </c>
      <c r="ZU26">
        <v>20590</v>
      </c>
      <c r="ZV26">
        <v>17498</v>
      </c>
      <c r="ZW26">
        <v>19740</v>
      </c>
      <c r="ZX26">
        <v>16924</v>
      </c>
      <c r="ZY26">
        <v>0</v>
      </c>
      <c r="ZZ26">
        <v>20064</v>
      </c>
      <c r="AAA26">
        <v>25262</v>
      </c>
      <c r="AAB26">
        <v>37379</v>
      </c>
      <c r="AAC26">
        <v>28492</v>
      </c>
      <c r="AAD26">
        <v>27699</v>
      </c>
      <c r="AAE26">
        <v>20439</v>
      </c>
      <c r="AAF26">
        <v>2068</v>
      </c>
      <c r="AAG26">
        <v>69328</v>
      </c>
      <c r="AAH26">
        <v>64497</v>
      </c>
      <c r="AAI26">
        <v>20482</v>
      </c>
      <c r="AAJ26">
        <v>23321</v>
      </c>
      <c r="AAK26">
        <v>20494</v>
      </c>
      <c r="AAL26">
        <v>17052</v>
      </c>
      <c r="AAM26">
        <v>1564</v>
      </c>
      <c r="AAN26">
        <v>12829</v>
      </c>
      <c r="AAO26">
        <v>21113</v>
      </c>
      <c r="AAP26">
        <v>19588</v>
      </c>
      <c r="AAQ26">
        <v>31099</v>
      </c>
      <c r="AAR26">
        <v>32033</v>
      </c>
      <c r="AAS26">
        <v>42168</v>
      </c>
      <c r="AAT26">
        <v>0</v>
      </c>
      <c r="AAU26">
        <v>0</v>
      </c>
      <c r="AAV26">
        <v>23110</v>
      </c>
      <c r="AAW26">
        <v>34150</v>
      </c>
      <c r="AAX26">
        <v>17514</v>
      </c>
      <c r="AAY26">
        <v>25266</v>
      </c>
      <c r="AAZ26">
        <v>23268</v>
      </c>
      <c r="ABA26">
        <v>8234</v>
      </c>
      <c r="ABB26">
        <v>14600</v>
      </c>
      <c r="ABC26">
        <v>33787</v>
      </c>
      <c r="ABD26">
        <v>25446</v>
      </c>
      <c r="ABE26">
        <v>10461</v>
      </c>
      <c r="ABF26">
        <v>24842</v>
      </c>
      <c r="ABG26">
        <v>29948</v>
      </c>
      <c r="ABH26">
        <v>0</v>
      </c>
      <c r="ABI26">
        <v>18344</v>
      </c>
      <c r="ABJ26">
        <v>19557</v>
      </c>
      <c r="ABK26">
        <v>22154</v>
      </c>
      <c r="ABL26">
        <v>65762</v>
      </c>
      <c r="ABM26">
        <v>65347</v>
      </c>
      <c r="ABN26">
        <v>11168</v>
      </c>
      <c r="ABO26">
        <v>0</v>
      </c>
      <c r="ABP26">
        <v>10623</v>
      </c>
      <c r="ABQ26">
        <v>15672</v>
      </c>
      <c r="ABR26">
        <v>13734</v>
      </c>
      <c r="ABS26">
        <v>15109</v>
      </c>
      <c r="ABT26">
        <v>34500</v>
      </c>
      <c r="ABU26">
        <v>29392</v>
      </c>
      <c r="ABV26">
        <v>6967</v>
      </c>
      <c r="ABW26">
        <v>14036</v>
      </c>
      <c r="ABX26">
        <v>36038</v>
      </c>
      <c r="ABY26">
        <v>21450</v>
      </c>
      <c r="ABZ26">
        <v>24344</v>
      </c>
      <c r="ACA26">
        <v>24924</v>
      </c>
      <c r="ACB26">
        <v>18442</v>
      </c>
      <c r="ACC26">
        <v>4892</v>
      </c>
      <c r="ACD26">
        <v>19759</v>
      </c>
      <c r="ACE26">
        <v>20680</v>
      </c>
      <c r="ACF26">
        <v>20679</v>
      </c>
      <c r="ACG26">
        <v>22361</v>
      </c>
      <c r="ACH26">
        <v>24745</v>
      </c>
      <c r="ACI26">
        <v>21156</v>
      </c>
      <c r="ACJ26">
        <v>3128</v>
      </c>
      <c r="ACK26">
        <v>36842</v>
      </c>
      <c r="ACL26">
        <v>10002</v>
      </c>
      <c r="ACM26">
        <v>37017</v>
      </c>
      <c r="ACN26">
        <v>11991</v>
      </c>
      <c r="ACO26">
        <v>49490</v>
      </c>
      <c r="ACP26">
        <v>16324</v>
      </c>
      <c r="ACQ26">
        <v>0</v>
      </c>
      <c r="ACR26">
        <v>9494</v>
      </c>
      <c r="ACS26">
        <v>14787</v>
      </c>
      <c r="ACT26">
        <v>18551</v>
      </c>
      <c r="ACU26">
        <v>38147</v>
      </c>
      <c r="ACV26">
        <v>5251</v>
      </c>
      <c r="ACW26">
        <v>17167</v>
      </c>
      <c r="ACX26">
        <v>26149</v>
      </c>
      <c r="ACY26">
        <v>19132</v>
      </c>
      <c r="ACZ26">
        <v>13035</v>
      </c>
      <c r="ADA26">
        <v>18830</v>
      </c>
      <c r="ADB26">
        <v>21693</v>
      </c>
      <c r="ADC26">
        <v>13176</v>
      </c>
      <c r="ADD26">
        <v>13176</v>
      </c>
      <c r="ADE26">
        <v>15254</v>
      </c>
      <c r="ADF26">
        <v>14247</v>
      </c>
      <c r="ADG26">
        <v>20987</v>
      </c>
      <c r="ADH26">
        <v>33594</v>
      </c>
      <c r="ADI26">
        <v>34152</v>
      </c>
      <c r="ADJ26">
        <v>21648</v>
      </c>
      <c r="ADK26">
        <v>21648</v>
      </c>
      <c r="ADL26">
        <v>0</v>
      </c>
      <c r="ADM26">
        <v>8404</v>
      </c>
      <c r="ADN26">
        <v>14944</v>
      </c>
      <c r="ADO26">
        <v>14657</v>
      </c>
      <c r="ADP26">
        <v>12342</v>
      </c>
      <c r="ADQ26">
        <v>18792</v>
      </c>
      <c r="ADR26">
        <v>1442</v>
      </c>
      <c r="ADS26">
        <v>0</v>
      </c>
      <c r="ADT26">
        <v>580</v>
      </c>
      <c r="ADU26">
        <v>6989</v>
      </c>
      <c r="ADV26">
        <v>0</v>
      </c>
      <c r="ADW26">
        <v>0</v>
      </c>
      <c r="ADX26">
        <v>12344</v>
      </c>
      <c r="ADY26">
        <v>12136</v>
      </c>
      <c r="ADZ26">
        <v>0</v>
      </c>
      <c r="AEA26">
        <v>17389</v>
      </c>
      <c r="AEB26">
        <v>15382</v>
      </c>
      <c r="AEC26">
        <v>16923</v>
      </c>
      <c r="AED26">
        <v>20929</v>
      </c>
      <c r="AEE26">
        <v>16703</v>
      </c>
      <c r="AEF26">
        <v>14943</v>
      </c>
      <c r="AEG26">
        <v>0</v>
      </c>
      <c r="AEH26">
        <v>26858</v>
      </c>
      <c r="AEI26">
        <v>15987</v>
      </c>
      <c r="AEJ26">
        <v>15807</v>
      </c>
      <c r="AEK26">
        <v>35529</v>
      </c>
      <c r="AEL26">
        <v>26434</v>
      </c>
      <c r="AEM26">
        <v>24071</v>
      </c>
      <c r="AEN26">
        <v>0</v>
      </c>
      <c r="AEO26">
        <v>12250</v>
      </c>
      <c r="AEP26">
        <v>28645</v>
      </c>
      <c r="AEQ26">
        <v>21053</v>
      </c>
      <c r="AER26">
        <v>35651</v>
      </c>
      <c r="AES26">
        <v>32272</v>
      </c>
      <c r="AET26">
        <v>21228</v>
      </c>
      <c r="AEU26">
        <v>0</v>
      </c>
      <c r="AEV26">
        <v>13546</v>
      </c>
      <c r="AEW26">
        <v>16144</v>
      </c>
      <c r="AEX26">
        <v>17441</v>
      </c>
      <c r="AEY26">
        <v>14512</v>
      </c>
      <c r="AEZ26">
        <v>24917</v>
      </c>
      <c r="AFA26">
        <v>31250</v>
      </c>
      <c r="AFB26">
        <v>0</v>
      </c>
      <c r="AFC26">
        <v>8635</v>
      </c>
      <c r="AFD26">
        <v>13624</v>
      </c>
      <c r="AFE26">
        <v>8789</v>
      </c>
      <c r="AFF26">
        <v>14867</v>
      </c>
      <c r="AFG26">
        <v>28023</v>
      </c>
      <c r="AFH26">
        <v>21522</v>
      </c>
      <c r="AFI26">
        <v>0</v>
      </c>
      <c r="AFJ26">
        <v>16478</v>
      </c>
      <c r="AFK26">
        <v>16828</v>
      </c>
      <c r="AFL26">
        <v>17245</v>
      </c>
      <c r="AFM26">
        <v>18011</v>
      </c>
      <c r="AFN26">
        <v>10948</v>
      </c>
      <c r="AFO26">
        <v>24721</v>
      </c>
      <c r="AFP26">
        <v>0</v>
      </c>
      <c r="AFQ26">
        <v>16166</v>
      </c>
      <c r="AFR26">
        <v>14740</v>
      </c>
      <c r="AFS26">
        <v>21377</v>
      </c>
      <c r="AFT26">
        <v>22365</v>
      </c>
      <c r="AFU26">
        <v>23481</v>
      </c>
      <c r="AFV26">
        <v>24197</v>
      </c>
      <c r="AFW26">
        <v>0</v>
      </c>
      <c r="AFX26">
        <v>13629</v>
      </c>
      <c r="AFY26">
        <v>18180</v>
      </c>
      <c r="AFZ26">
        <v>15013</v>
      </c>
      <c r="AGA26">
        <v>18421</v>
      </c>
      <c r="AGB26">
        <v>16523</v>
      </c>
      <c r="AGC26">
        <v>11591</v>
      </c>
      <c r="AGD26">
        <v>3088</v>
      </c>
      <c r="AGE26">
        <v>9368</v>
      </c>
      <c r="AGF26">
        <v>10103</v>
      </c>
      <c r="AGG26">
        <v>19303</v>
      </c>
      <c r="AGH26">
        <v>20290</v>
      </c>
      <c r="AGI26">
        <v>19501</v>
      </c>
      <c r="AGJ26">
        <v>11048</v>
      </c>
      <c r="AGK26">
        <v>0</v>
      </c>
      <c r="AGL26">
        <v>13391</v>
      </c>
      <c r="AGM26">
        <v>18931</v>
      </c>
      <c r="AGN26">
        <v>27171</v>
      </c>
      <c r="AGO26">
        <v>32662</v>
      </c>
      <c r="AGP26">
        <v>17787</v>
      </c>
      <c r="AGQ26">
        <v>12691</v>
      </c>
      <c r="AGR26">
        <v>7866</v>
      </c>
      <c r="AGS26">
        <v>11821</v>
      </c>
      <c r="AGT26">
        <v>9923</v>
      </c>
      <c r="AGU26">
        <v>20943</v>
      </c>
      <c r="AGV26">
        <v>16882</v>
      </c>
      <c r="AGW26">
        <v>30099</v>
      </c>
      <c r="AGX26">
        <v>17757</v>
      </c>
      <c r="AGY26">
        <v>6869</v>
      </c>
      <c r="AGZ26">
        <v>17323</v>
      </c>
      <c r="AHA26">
        <v>25506</v>
      </c>
      <c r="AHB26">
        <v>25909</v>
      </c>
      <c r="AHC26">
        <v>29255</v>
      </c>
      <c r="AHD26">
        <v>17421</v>
      </c>
      <c r="AHE26">
        <v>27521</v>
      </c>
      <c r="AHH26">
        <v>0</v>
      </c>
      <c r="AHI26">
        <v>9413</v>
      </c>
      <c r="AHJ26">
        <v>16555</v>
      </c>
      <c r="AHK26">
        <v>14078</v>
      </c>
      <c r="AHL26">
        <v>16043</v>
      </c>
      <c r="AHM26">
        <v>0</v>
      </c>
      <c r="AHN26">
        <v>9783</v>
      </c>
      <c r="AHO26">
        <v>12604</v>
      </c>
      <c r="AHP26">
        <v>14521</v>
      </c>
      <c r="AHQ26">
        <v>23361</v>
      </c>
      <c r="AHR26">
        <v>27273</v>
      </c>
      <c r="AHS26">
        <v>17494</v>
      </c>
      <c r="AHT26">
        <v>3337</v>
      </c>
      <c r="AHU26">
        <v>0</v>
      </c>
      <c r="AHV26">
        <v>0</v>
      </c>
      <c r="AHW26">
        <v>11480</v>
      </c>
      <c r="AHX26">
        <v>31343</v>
      </c>
      <c r="AHY26">
        <v>32891</v>
      </c>
      <c r="AHZ26">
        <v>10057</v>
      </c>
      <c r="AIA26">
        <v>0</v>
      </c>
      <c r="AIB26">
        <v>16291</v>
      </c>
      <c r="AIC26">
        <v>16016</v>
      </c>
      <c r="AID26">
        <v>21589</v>
      </c>
      <c r="AIE26">
        <v>13974</v>
      </c>
      <c r="AIF26">
        <v>24587</v>
      </c>
      <c r="AIG26">
        <v>12782</v>
      </c>
      <c r="AIH26">
        <v>0</v>
      </c>
      <c r="AII26">
        <v>10490</v>
      </c>
      <c r="AIJ26">
        <v>15486</v>
      </c>
      <c r="AIK26">
        <v>12194</v>
      </c>
      <c r="AIL26">
        <v>15090</v>
      </c>
      <c r="AIM26">
        <v>0</v>
      </c>
      <c r="AIN26">
        <v>11484</v>
      </c>
      <c r="AIO26">
        <v>0</v>
      </c>
      <c r="AIP26">
        <v>5502</v>
      </c>
      <c r="AIQ26">
        <v>19048</v>
      </c>
      <c r="AIR26">
        <v>18217</v>
      </c>
      <c r="AIS26">
        <v>13324</v>
      </c>
      <c r="AIT26">
        <v>14385</v>
      </c>
      <c r="AIU26">
        <v>10047</v>
      </c>
      <c r="AIV26">
        <v>17668</v>
      </c>
      <c r="AIW26">
        <v>21807</v>
      </c>
      <c r="AIX26">
        <v>28770</v>
      </c>
      <c r="AIY26">
        <v>15080</v>
      </c>
      <c r="AIZ26">
        <v>21560</v>
      </c>
      <c r="AJA26">
        <v>9022</v>
      </c>
      <c r="AJB26">
        <v>5811</v>
      </c>
      <c r="AJC26">
        <v>0</v>
      </c>
      <c r="AJD26">
        <v>5184</v>
      </c>
      <c r="AJE26">
        <v>1630</v>
      </c>
      <c r="AJF26">
        <v>3917</v>
      </c>
      <c r="AJG26">
        <v>1789</v>
      </c>
      <c r="AJH26">
        <v>3745</v>
      </c>
      <c r="AJI26">
        <v>16484</v>
      </c>
      <c r="AJJ26">
        <v>2330</v>
      </c>
      <c r="AJK26">
        <v>19234</v>
      </c>
      <c r="AJL26">
        <v>13834</v>
      </c>
      <c r="AJM26">
        <v>13595</v>
      </c>
      <c r="AJN26">
        <v>8816</v>
      </c>
      <c r="AJO26">
        <v>23679</v>
      </c>
      <c r="AJP26">
        <v>23134</v>
      </c>
      <c r="AJQ26">
        <v>0</v>
      </c>
      <c r="AJR26">
        <v>0</v>
      </c>
      <c r="AJS26">
        <v>14659</v>
      </c>
      <c r="AJT26">
        <v>8779</v>
      </c>
      <c r="AJU26">
        <v>16986</v>
      </c>
      <c r="AJV26">
        <v>11574</v>
      </c>
      <c r="AJW26">
        <v>10607</v>
      </c>
      <c r="AJX26">
        <v>6423</v>
      </c>
      <c r="AJY26">
        <v>17236</v>
      </c>
      <c r="AJZ26">
        <v>24060</v>
      </c>
      <c r="AKA26">
        <v>27414</v>
      </c>
      <c r="AKB26">
        <v>33054</v>
      </c>
      <c r="AKC26">
        <v>25238</v>
      </c>
      <c r="AKD26">
        <v>25806</v>
      </c>
      <c r="AKE26">
        <v>0</v>
      </c>
      <c r="AKF26">
        <v>28676</v>
      </c>
    </row>
    <row r="27" spans="1:968">
      <c r="A27">
        <v>8</v>
      </c>
      <c r="B27" t="s">
        <v>122</v>
      </c>
      <c r="C27" s="1">
        <v>82640</v>
      </c>
      <c r="D27" s="1" t="s">
        <v>28</v>
      </c>
      <c r="E27" s="1" t="s">
        <v>113</v>
      </c>
      <c r="F27" s="1" t="s">
        <v>95</v>
      </c>
      <c r="G27" s="1" t="s">
        <v>12</v>
      </c>
      <c r="H27" s="1" t="s">
        <v>119</v>
      </c>
      <c r="I27" s="1" t="s">
        <v>45</v>
      </c>
      <c r="J27" s="1" t="s">
        <v>46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36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12</v>
      </c>
      <c r="AB27">
        <v>0</v>
      </c>
      <c r="AC27">
        <v>0</v>
      </c>
      <c r="AD27">
        <v>0</v>
      </c>
      <c r="AE27">
        <v>0</v>
      </c>
      <c r="AF27">
        <v>85</v>
      </c>
      <c r="AG27">
        <v>0</v>
      </c>
      <c r="AH27">
        <v>0</v>
      </c>
      <c r="AI27">
        <v>0</v>
      </c>
      <c r="AJ27">
        <v>0</v>
      </c>
      <c r="AK27">
        <v>884</v>
      </c>
      <c r="AL27">
        <v>0</v>
      </c>
      <c r="AM27">
        <v>46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9</v>
      </c>
      <c r="BP27">
        <v>0</v>
      </c>
      <c r="BQ27">
        <v>0</v>
      </c>
      <c r="BR27">
        <v>0</v>
      </c>
      <c r="BS27">
        <v>0</v>
      </c>
      <c r="BT27">
        <v>0</v>
      </c>
      <c r="BU27" s="33">
        <v>0</v>
      </c>
      <c r="BV27" s="33">
        <v>0</v>
      </c>
      <c r="BW27" s="33">
        <v>0</v>
      </c>
      <c r="BX27" s="33">
        <v>0</v>
      </c>
      <c r="BY27" s="33">
        <v>0</v>
      </c>
      <c r="BZ27" s="33">
        <v>0</v>
      </c>
      <c r="CA27" s="33">
        <v>0</v>
      </c>
      <c r="CB27">
        <v>0</v>
      </c>
      <c r="CC27">
        <v>36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60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36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72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24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12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24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24</v>
      </c>
      <c r="IC27">
        <v>0</v>
      </c>
      <c r="ID27">
        <v>5</v>
      </c>
      <c r="IE27">
        <v>0</v>
      </c>
      <c r="IF27">
        <v>0</v>
      </c>
      <c r="IG27">
        <v>0</v>
      </c>
      <c r="IH27">
        <v>0</v>
      </c>
      <c r="II27">
        <v>1559</v>
      </c>
      <c r="IJ27">
        <v>36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24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60</v>
      </c>
      <c r="JQ27">
        <v>0</v>
      </c>
      <c r="JR27">
        <v>0</v>
      </c>
      <c r="JS27">
        <v>144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12</v>
      </c>
      <c r="KN27">
        <v>460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5</v>
      </c>
      <c r="KZ27">
        <v>48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55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24</v>
      </c>
      <c r="LO27">
        <v>2521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1</v>
      </c>
      <c r="LW27">
        <v>1500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6</v>
      </c>
      <c r="MF27">
        <v>0</v>
      </c>
      <c r="MG27">
        <v>0</v>
      </c>
      <c r="MH27">
        <v>50</v>
      </c>
      <c r="MI27">
        <v>0</v>
      </c>
      <c r="MJ27">
        <v>0</v>
      </c>
      <c r="MK27">
        <v>24</v>
      </c>
      <c r="ML27">
        <v>10</v>
      </c>
      <c r="MM27">
        <v>0</v>
      </c>
      <c r="MN27">
        <v>3974</v>
      </c>
      <c r="MO27">
        <v>0</v>
      </c>
      <c r="MP27">
        <v>0</v>
      </c>
      <c r="MQ27">
        <v>3300</v>
      </c>
      <c r="MR27">
        <v>362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12</v>
      </c>
      <c r="MY27">
        <v>54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-54</v>
      </c>
      <c r="NF27">
        <v>95</v>
      </c>
      <c r="NG27">
        <v>0</v>
      </c>
      <c r="NH27">
        <v>0</v>
      </c>
      <c r="NI27">
        <v>1369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48</v>
      </c>
      <c r="NQ27">
        <v>0</v>
      </c>
      <c r="NR27">
        <v>18</v>
      </c>
      <c r="NS27">
        <v>0</v>
      </c>
      <c r="NT27">
        <v>0</v>
      </c>
      <c r="NU27">
        <v>1</v>
      </c>
      <c r="NV27">
        <v>0</v>
      </c>
      <c r="NW27">
        <v>0</v>
      </c>
      <c r="NX27">
        <v>231</v>
      </c>
      <c r="NY27">
        <v>0</v>
      </c>
      <c r="NZ27">
        <v>0</v>
      </c>
      <c r="OA27">
        <v>12</v>
      </c>
      <c r="OB27">
        <v>0</v>
      </c>
      <c r="OC27">
        <v>0</v>
      </c>
      <c r="OD27">
        <v>259</v>
      </c>
      <c r="OE27">
        <v>1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176</v>
      </c>
      <c r="OM27">
        <v>0</v>
      </c>
      <c r="ON27">
        <v>0</v>
      </c>
      <c r="OO27">
        <v>7</v>
      </c>
      <c r="OP27">
        <v>0</v>
      </c>
      <c r="OQ27">
        <v>0</v>
      </c>
      <c r="OR27">
        <v>1500</v>
      </c>
      <c r="OS27">
        <v>199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145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1595</v>
      </c>
      <c r="QC27">
        <v>36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36</v>
      </c>
      <c r="RF27">
        <v>0</v>
      </c>
      <c r="RG27">
        <v>0</v>
      </c>
      <c r="RH27">
        <v>0</v>
      </c>
      <c r="RI27">
        <v>0</v>
      </c>
      <c r="RJ27">
        <v>750</v>
      </c>
      <c r="RK27">
        <v>0</v>
      </c>
      <c r="RL27">
        <v>0</v>
      </c>
      <c r="RM27">
        <v>12</v>
      </c>
      <c r="RN27">
        <v>72</v>
      </c>
      <c r="RO27">
        <v>0</v>
      </c>
      <c r="RP27">
        <v>0</v>
      </c>
      <c r="RQ27">
        <v>0</v>
      </c>
      <c r="RR27">
        <v>4</v>
      </c>
      <c r="RS27">
        <v>2328</v>
      </c>
      <c r="RT27">
        <v>194</v>
      </c>
      <c r="RU27">
        <v>0</v>
      </c>
      <c r="RV27">
        <v>0</v>
      </c>
      <c r="RW27">
        <v>0</v>
      </c>
      <c r="RX27">
        <v>2</v>
      </c>
      <c r="RY27">
        <v>476</v>
      </c>
      <c r="RZ27">
        <v>114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922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644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5</v>
      </c>
      <c r="SV27">
        <v>12</v>
      </c>
      <c r="SW27">
        <v>0</v>
      </c>
      <c r="SX27">
        <v>2</v>
      </c>
      <c r="SY27">
        <v>0</v>
      </c>
      <c r="SZ27">
        <v>0</v>
      </c>
      <c r="TA27">
        <v>0</v>
      </c>
      <c r="TB27">
        <v>0</v>
      </c>
      <c r="TC27">
        <v>53</v>
      </c>
      <c r="TD27">
        <v>18</v>
      </c>
      <c r="TE27">
        <v>0</v>
      </c>
      <c r="TF27">
        <v>0</v>
      </c>
      <c r="TG27">
        <v>0</v>
      </c>
      <c r="TH27">
        <v>0</v>
      </c>
      <c r="TI27">
        <v>12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400</v>
      </c>
      <c r="TR27">
        <v>42</v>
      </c>
      <c r="TS27">
        <v>8</v>
      </c>
      <c r="TT27">
        <v>0</v>
      </c>
      <c r="TU27">
        <v>0</v>
      </c>
      <c r="TV27">
        <v>0</v>
      </c>
      <c r="TW27">
        <v>0</v>
      </c>
      <c r="TX27">
        <v>1896</v>
      </c>
      <c r="TY27">
        <v>0</v>
      </c>
      <c r="TZ27">
        <v>0</v>
      </c>
      <c r="UA27">
        <v>0</v>
      </c>
      <c r="UB27">
        <v>36</v>
      </c>
      <c r="UC27">
        <v>0</v>
      </c>
      <c r="UD27">
        <v>345</v>
      </c>
      <c r="UE27">
        <v>0</v>
      </c>
      <c r="UF27">
        <v>18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235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491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594</v>
      </c>
      <c r="VG27">
        <v>0</v>
      </c>
      <c r="VH27">
        <v>0</v>
      </c>
      <c r="VI27">
        <v>4</v>
      </c>
      <c r="VJ27">
        <v>0</v>
      </c>
      <c r="VK27">
        <v>1155</v>
      </c>
      <c r="VL27">
        <v>0</v>
      </c>
      <c r="VM27">
        <v>0</v>
      </c>
      <c r="VN27">
        <v>0</v>
      </c>
      <c r="VO27">
        <v>2</v>
      </c>
      <c r="VP27">
        <v>0</v>
      </c>
      <c r="VQ27">
        <v>0</v>
      </c>
      <c r="VR27">
        <v>219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1</v>
      </c>
      <c r="WA27">
        <v>850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12</v>
      </c>
      <c r="WN27">
        <v>116</v>
      </c>
      <c r="WO27">
        <v>1803</v>
      </c>
      <c r="WP27">
        <v>0</v>
      </c>
      <c r="WQ27">
        <v>919</v>
      </c>
      <c r="WR27">
        <v>0</v>
      </c>
      <c r="WS27">
        <v>0</v>
      </c>
      <c r="WT27">
        <v>0</v>
      </c>
      <c r="WU27">
        <v>1</v>
      </c>
      <c r="WV27">
        <v>222</v>
      </c>
      <c r="WW27">
        <v>1</v>
      </c>
      <c r="WX27">
        <v>0</v>
      </c>
      <c r="WY27">
        <v>0</v>
      </c>
      <c r="WZ27">
        <v>0</v>
      </c>
      <c r="XA27">
        <v>0</v>
      </c>
      <c r="XB27">
        <v>619</v>
      </c>
      <c r="XC27">
        <v>1</v>
      </c>
      <c r="XD27">
        <v>0</v>
      </c>
      <c r="XE27">
        <v>39</v>
      </c>
      <c r="XF27">
        <v>0</v>
      </c>
      <c r="XG27">
        <v>0</v>
      </c>
      <c r="XH27">
        <v>0</v>
      </c>
      <c r="XI27">
        <v>0</v>
      </c>
      <c r="XJ27">
        <v>1128</v>
      </c>
      <c r="XK27">
        <v>0</v>
      </c>
      <c r="XL27">
        <v>0</v>
      </c>
      <c r="XM27">
        <v>0</v>
      </c>
      <c r="XN27">
        <v>0</v>
      </c>
      <c r="XO27">
        <v>1113</v>
      </c>
      <c r="XP27">
        <v>550</v>
      </c>
      <c r="XQ27">
        <v>0</v>
      </c>
      <c r="XR27">
        <v>1054</v>
      </c>
      <c r="XS27">
        <v>0</v>
      </c>
      <c r="XT27">
        <v>700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1099</v>
      </c>
      <c r="YA27">
        <v>0</v>
      </c>
      <c r="YB27">
        <v>1</v>
      </c>
      <c r="YC27">
        <v>0</v>
      </c>
      <c r="YD27">
        <v>2</v>
      </c>
      <c r="YE27">
        <v>0</v>
      </c>
      <c r="YF27">
        <v>905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2</v>
      </c>
      <c r="YP27">
        <v>0</v>
      </c>
      <c r="YQ27">
        <v>6</v>
      </c>
      <c r="YR27">
        <v>0</v>
      </c>
      <c r="YS27">
        <v>0</v>
      </c>
      <c r="YT27">
        <v>1151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48</v>
      </c>
      <c r="ZB27">
        <v>1142</v>
      </c>
      <c r="ZC27">
        <v>0</v>
      </c>
      <c r="ZD27">
        <v>0</v>
      </c>
      <c r="ZE27">
        <v>0</v>
      </c>
      <c r="ZF27">
        <v>120</v>
      </c>
      <c r="ZG27">
        <v>269</v>
      </c>
      <c r="ZH27">
        <v>2</v>
      </c>
      <c r="ZI27">
        <v>0</v>
      </c>
      <c r="ZJ27">
        <v>0</v>
      </c>
      <c r="ZK27">
        <v>0</v>
      </c>
      <c r="ZL27">
        <v>0</v>
      </c>
      <c r="ZM27">
        <v>1071</v>
      </c>
      <c r="ZN27">
        <v>0</v>
      </c>
      <c r="ZO27">
        <v>0</v>
      </c>
      <c r="ZP27">
        <v>18</v>
      </c>
      <c r="ZQ27">
        <v>0</v>
      </c>
      <c r="ZR27">
        <v>0</v>
      </c>
      <c r="ZS27">
        <v>0</v>
      </c>
      <c r="ZT27">
        <v>0</v>
      </c>
      <c r="ZU27">
        <v>416</v>
      </c>
      <c r="ZV27">
        <v>0</v>
      </c>
      <c r="ZW27">
        <v>0</v>
      </c>
      <c r="ZX27">
        <v>13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1095</v>
      </c>
      <c r="AAJ27">
        <v>0</v>
      </c>
      <c r="AAK27">
        <v>4</v>
      </c>
      <c r="AAL27">
        <v>0</v>
      </c>
      <c r="AAM27">
        <v>0</v>
      </c>
      <c r="AAN27">
        <v>68</v>
      </c>
      <c r="AAO27">
        <v>0</v>
      </c>
      <c r="AAP27">
        <v>36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2</v>
      </c>
      <c r="AAX27">
        <v>0</v>
      </c>
      <c r="AAY27">
        <v>13</v>
      </c>
      <c r="AAZ27">
        <v>0</v>
      </c>
      <c r="ABA27">
        <v>0</v>
      </c>
      <c r="ABB27">
        <v>0</v>
      </c>
      <c r="ABC27">
        <v>2</v>
      </c>
      <c r="ABD27">
        <v>1201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748</v>
      </c>
      <c r="ABL27">
        <v>32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1229</v>
      </c>
      <c r="ABT27">
        <v>12</v>
      </c>
      <c r="ABU27">
        <v>0</v>
      </c>
      <c r="ABV27">
        <v>0</v>
      </c>
      <c r="ABW27">
        <v>0</v>
      </c>
      <c r="ABX27">
        <v>0</v>
      </c>
      <c r="ABY27">
        <v>1245</v>
      </c>
      <c r="ABZ27">
        <v>1</v>
      </c>
      <c r="ACA27">
        <v>18</v>
      </c>
      <c r="ACB27">
        <v>4</v>
      </c>
      <c r="ACC27">
        <v>0</v>
      </c>
      <c r="ACD27">
        <v>0</v>
      </c>
      <c r="ACE27">
        <v>0</v>
      </c>
      <c r="ACF27">
        <v>460</v>
      </c>
      <c r="ACG27">
        <v>1082</v>
      </c>
      <c r="ACH27">
        <v>1</v>
      </c>
      <c r="ACI27">
        <v>0</v>
      </c>
      <c r="ACJ27">
        <v>0</v>
      </c>
      <c r="ACK27">
        <v>0</v>
      </c>
      <c r="ACL27">
        <v>0</v>
      </c>
      <c r="ACM27">
        <v>953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24</v>
      </c>
      <c r="ACT27">
        <v>659</v>
      </c>
      <c r="ACU27">
        <v>0</v>
      </c>
      <c r="ACV27">
        <v>0</v>
      </c>
      <c r="ACW27">
        <v>0</v>
      </c>
      <c r="ACX27">
        <v>0</v>
      </c>
      <c r="ACY27">
        <v>12</v>
      </c>
      <c r="ACZ27">
        <v>708</v>
      </c>
      <c r="ADA27">
        <v>0</v>
      </c>
      <c r="ADB27">
        <v>25</v>
      </c>
      <c r="ADC27">
        <v>0</v>
      </c>
      <c r="ADD27">
        <v>0</v>
      </c>
      <c r="ADE27">
        <v>0</v>
      </c>
      <c r="ADF27">
        <v>0</v>
      </c>
      <c r="ADG27">
        <v>385</v>
      </c>
      <c r="ADH27">
        <v>6</v>
      </c>
      <c r="ADI27">
        <v>1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678</v>
      </c>
      <c r="ADP27">
        <v>0</v>
      </c>
      <c r="ADQ27">
        <v>0</v>
      </c>
      <c r="ADR27">
        <v>0</v>
      </c>
      <c r="ADS27">
        <v>0</v>
      </c>
      <c r="ADT27">
        <v>-5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5</v>
      </c>
      <c r="AEB27">
        <v>30</v>
      </c>
      <c r="AEC27">
        <v>1129</v>
      </c>
      <c r="AED27">
        <v>0</v>
      </c>
      <c r="AEE27">
        <v>1</v>
      </c>
      <c r="AEF27">
        <v>0</v>
      </c>
      <c r="AEG27">
        <v>0</v>
      </c>
      <c r="AEH27">
        <v>0</v>
      </c>
      <c r="AEI27">
        <v>0</v>
      </c>
      <c r="AEJ27">
        <v>361</v>
      </c>
      <c r="AEK27">
        <v>0</v>
      </c>
      <c r="AEL27">
        <v>44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580</v>
      </c>
      <c r="AES27">
        <v>125</v>
      </c>
      <c r="AET27">
        <v>6</v>
      </c>
      <c r="AEU27">
        <v>0</v>
      </c>
      <c r="AEV27">
        <v>0</v>
      </c>
      <c r="AEW27">
        <v>0</v>
      </c>
      <c r="AEX27">
        <v>157</v>
      </c>
      <c r="AEY27">
        <v>0</v>
      </c>
      <c r="AEZ27">
        <v>295</v>
      </c>
      <c r="AFA27">
        <v>1178</v>
      </c>
      <c r="AFB27">
        <v>0</v>
      </c>
      <c r="AFC27">
        <v>20</v>
      </c>
      <c r="AFD27">
        <v>334</v>
      </c>
      <c r="AFE27">
        <v>15</v>
      </c>
      <c r="AFF27">
        <v>152</v>
      </c>
      <c r="AFG27">
        <v>24</v>
      </c>
      <c r="AFH27">
        <v>0</v>
      </c>
      <c r="AFI27">
        <v>0</v>
      </c>
      <c r="AFJ27">
        <v>12</v>
      </c>
      <c r="AFK27">
        <v>19</v>
      </c>
      <c r="AFL27">
        <v>1770</v>
      </c>
      <c r="AFM27">
        <v>12</v>
      </c>
      <c r="AFN27">
        <v>0</v>
      </c>
      <c r="AFO27">
        <v>0</v>
      </c>
      <c r="AFP27">
        <v>0</v>
      </c>
      <c r="AFQ27">
        <v>93</v>
      </c>
      <c r="AFR27">
        <v>0</v>
      </c>
      <c r="AFS27">
        <v>815</v>
      </c>
      <c r="AFT27">
        <v>0</v>
      </c>
      <c r="AFU27">
        <v>1171</v>
      </c>
      <c r="AFV27">
        <v>0</v>
      </c>
      <c r="AFW27">
        <v>0</v>
      </c>
      <c r="AFX27">
        <v>141</v>
      </c>
      <c r="AFY27">
        <v>0</v>
      </c>
      <c r="AFZ27">
        <v>1463</v>
      </c>
      <c r="AGA27">
        <v>208</v>
      </c>
      <c r="AGB27">
        <v>0</v>
      </c>
      <c r="AGC27">
        <v>0</v>
      </c>
      <c r="AGD27">
        <v>0</v>
      </c>
      <c r="AGE27">
        <v>2900</v>
      </c>
      <c r="AGF27">
        <v>1</v>
      </c>
      <c r="AGG27">
        <v>284</v>
      </c>
      <c r="AGH27">
        <v>0</v>
      </c>
      <c r="AGI27">
        <v>6</v>
      </c>
      <c r="AGJ27">
        <v>0</v>
      </c>
      <c r="AGK27">
        <v>0</v>
      </c>
      <c r="AGL27">
        <v>0</v>
      </c>
      <c r="AGM27">
        <v>0</v>
      </c>
      <c r="AGN27">
        <v>1236</v>
      </c>
      <c r="AGO27">
        <v>0</v>
      </c>
      <c r="AGP27">
        <v>690</v>
      </c>
      <c r="AGQ27">
        <v>0</v>
      </c>
      <c r="AGR27">
        <v>0</v>
      </c>
      <c r="AGS27">
        <v>0</v>
      </c>
      <c r="AGT27">
        <v>24</v>
      </c>
      <c r="AGU27">
        <v>359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10</v>
      </c>
      <c r="AHB27">
        <v>1448</v>
      </c>
      <c r="AHC27">
        <v>15</v>
      </c>
      <c r="AHD27">
        <v>0</v>
      </c>
      <c r="AHE27">
        <v>0</v>
      </c>
      <c r="AHH27">
        <v>0</v>
      </c>
      <c r="AHI27">
        <v>314</v>
      </c>
      <c r="AHJ27">
        <v>218</v>
      </c>
      <c r="AHK27">
        <v>1</v>
      </c>
      <c r="AHL27">
        <v>163</v>
      </c>
      <c r="AHM27">
        <v>0</v>
      </c>
      <c r="AHN27">
        <v>0</v>
      </c>
      <c r="AHO27">
        <v>25</v>
      </c>
      <c r="AHP27">
        <v>148</v>
      </c>
      <c r="AHQ27">
        <v>434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87</v>
      </c>
      <c r="AHX27">
        <v>832</v>
      </c>
      <c r="AHY27">
        <v>1275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500</v>
      </c>
      <c r="AIL27">
        <v>36</v>
      </c>
      <c r="AIM27">
        <v>0</v>
      </c>
      <c r="AIN27">
        <v>1</v>
      </c>
      <c r="AIO27">
        <v>0</v>
      </c>
      <c r="AIP27">
        <v>0</v>
      </c>
      <c r="AIQ27">
        <v>0</v>
      </c>
      <c r="AIR27">
        <v>890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12</v>
      </c>
      <c r="AIY27">
        <v>908</v>
      </c>
      <c r="AIZ27">
        <v>25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452</v>
      </c>
      <c r="AJG27">
        <v>0</v>
      </c>
      <c r="AJH27">
        <v>24</v>
      </c>
      <c r="AJI27">
        <v>0</v>
      </c>
      <c r="AJJ27">
        <v>0</v>
      </c>
      <c r="AJK27">
        <v>45</v>
      </c>
      <c r="AJL27">
        <v>0</v>
      </c>
      <c r="AJM27">
        <v>101</v>
      </c>
      <c r="AJN27">
        <v>335</v>
      </c>
      <c r="AJO27">
        <v>239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149</v>
      </c>
      <c r="AJV27">
        <v>312</v>
      </c>
      <c r="AJW27">
        <v>0</v>
      </c>
      <c r="AJX27">
        <v>0</v>
      </c>
      <c r="AJY27">
        <v>0</v>
      </c>
      <c r="AJZ27">
        <v>1</v>
      </c>
      <c r="AKA27">
        <v>286</v>
      </c>
      <c r="AKB27">
        <v>0</v>
      </c>
      <c r="AKC27">
        <v>1</v>
      </c>
      <c r="AKD27">
        <v>0</v>
      </c>
      <c r="AKE27">
        <v>0</v>
      </c>
      <c r="AKF27">
        <v>0</v>
      </c>
    </row>
    <row r="28" spans="1:968" s="8" customFormat="1">
      <c r="C28" s="9">
        <v>82612</v>
      </c>
      <c r="D28" s="9" t="s">
        <v>28</v>
      </c>
      <c r="E28" s="9" t="s">
        <v>97</v>
      </c>
      <c r="F28" s="10"/>
      <c r="G28" s="10"/>
      <c r="H28" s="10"/>
      <c r="I28" s="10"/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BU28" s="34"/>
      <c r="BV28" s="34"/>
      <c r="BW28" s="34"/>
      <c r="BX28" s="34"/>
      <c r="BY28" s="34"/>
      <c r="BZ28" s="34"/>
      <c r="CA28" s="34"/>
      <c r="AEU28" s="8">
        <v>0</v>
      </c>
    </row>
    <row r="29" spans="1:968">
      <c r="A29">
        <v>1</v>
      </c>
      <c r="B29" t="s">
        <v>123</v>
      </c>
      <c r="C29" s="1">
        <v>82612</v>
      </c>
      <c r="D29" s="1" t="s">
        <v>28</v>
      </c>
      <c r="E29" s="1" t="s">
        <v>97</v>
      </c>
      <c r="F29" s="1" t="s">
        <v>97</v>
      </c>
      <c r="G29" s="1" t="s">
        <v>33</v>
      </c>
      <c r="H29" s="1" t="s">
        <v>114</v>
      </c>
      <c r="I29" s="1" t="s">
        <v>45</v>
      </c>
      <c r="J29" s="1" t="s">
        <v>46</v>
      </c>
      <c r="K29">
        <v>4</v>
      </c>
      <c r="L29">
        <v>5505</v>
      </c>
      <c r="M29">
        <v>6</v>
      </c>
      <c r="N29">
        <v>53</v>
      </c>
      <c r="O29">
        <v>0</v>
      </c>
      <c r="P29">
        <v>7432</v>
      </c>
      <c r="Q29">
        <v>47</v>
      </c>
      <c r="R29">
        <v>2</v>
      </c>
      <c r="S29">
        <v>4</v>
      </c>
      <c r="T29">
        <v>3280</v>
      </c>
      <c r="U29">
        <v>0</v>
      </c>
      <c r="V29">
        <v>0</v>
      </c>
      <c r="W29">
        <v>44</v>
      </c>
      <c r="X29">
        <v>17</v>
      </c>
      <c r="Y29">
        <v>0</v>
      </c>
      <c r="Z29">
        <v>8750</v>
      </c>
      <c r="AA29">
        <v>23544</v>
      </c>
      <c r="AB29">
        <v>89</v>
      </c>
      <c r="AC29">
        <v>0</v>
      </c>
      <c r="AD29">
        <v>47</v>
      </c>
      <c r="AE29">
        <v>9</v>
      </c>
      <c r="AF29">
        <v>70704</v>
      </c>
      <c r="AG29">
        <v>70834</v>
      </c>
      <c r="AH29">
        <v>12502</v>
      </c>
      <c r="AI29">
        <v>139</v>
      </c>
      <c r="AJ29">
        <v>0</v>
      </c>
      <c r="AK29">
        <v>4</v>
      </c>
      <c r="AL29">
        <v>300</v>
      </c>
      <c r="AM29">
        <v>7</v>
      </c>
      <c r="AN29">
        <v>0</v>
      </c>
      <c r="AO29">
        <v>5199</v>
      </c>
      <c r="AP29">
        <v>1177</v>
      </c>
      <c r="AQ29">
        <v>0</v>
      </c>
      <c r="AR29">
        <v>684</v>
      </c>
      <c r="AS29">
        <v>0</v>
      </c>
      <c r="AT29">
        <v>1129</v>
      </c>
      <c r="AU29">
        <v>32401</v>
      </c>
      <c r="AV29">
        <v>83</v>
      </c>
      <c r="AW29">
        <v>1810</v>
      </c>
      <c r="AX29">
        <v>0</v>
      </c>
      <c r="AY29">
        <v>354</v>
      </c>
      <c r="AZ29">
        <v>673</v>
      </c>
      <c r="BA29">
        <v>0</v>
      </c>
      <c r="BB29">
        <v>1049</v>
      </c>
      <c r="BC29">
        <v>118</v>
      </c>
      <c r="BD29">
        <v>26762</v>
      </c>
      <c r="BE29">
        <v>0</v>
      </c>
      <c r="BF29">
        <v>1472</v>
      </c>
      <c r="BG29">
        <v>36013</v>
      </c>
      <c r="BH29">
        <v>6271</v>
      </c>
      <c r="BI29">
        <v>5505</v>
      </c>
      <c r="BJ29">
        <v>163</v>
      </c>
      <c r="BK29">
        <v>117</v>
      </c>
      <c r="BL29">
        <v>0</v>
      </c>
      <c r="BM29">
        <v>0</v>
      </c>
      <c r="BN29">
        <v>378</v>
      </c>
      <c r="BO29">
        <v>115</v>
      </c>
      <c r="BP29">
        <v>17</v>
      </c>
      <c r="BQ29">
        <v>0</v>
      </c>
      <c r="BR29">
        <v>0</v>
      </c>
      <c r="BS29">
        <v>0</v>
      </c>
      <c r="BT29">
        <v>0</v>
      </c>
      <c r="BU29" s="33">
        <v>113</v>
      </c>
      <c r="BV29" s="33">
        <v>115</v>
      </c>
      <c r="BW29" s="33">
        <v>163</v>
      </c>
      <c r="BX29" s="33">
        <v>1</v>
      </c>
      <c r="BY29" s="33">
        <v>377</v>
      </c>
      <c r="BZ29" s="33">
        <v>0</v>
      </c>
      <c r="CA29" s="33">
        <v>446</v>
      </c>
      <c r="CB29">
        <v>57077</v>
      </c>
      <c r="CC29">
        <v>12384</v>
      </c>
      <c r="CD29">
        <v>63842</v>
      </c>
      <c r="CE29">
        <v>406310</v>
      </c>
      <c r="CF29">
        <v>1553</v>
      </c>
      <c r="CG29">
        <v>0</v>
      </c>
      <c r="CH29">
        <v>7614</v>
      </c>
      <c r="CI29">
        <v>88594</v>
      </c>
      <c r="CJ29">
        <v>26621</v>
      </c>
      <c r="CK29">
        <v>58930</v>
      </c>
      <c r="CL29">
        <v>124874</v>
      </c>
      <c r="CM29">
        <v>0</v>
      </c>
      <c r="CN29">
        <v>0</v>
      </c>
      <c r="CO29">
        <v>99714</v>
      </c>
      <c r="CP29">
        <v>89021</v>
      </c>
      <c r="CQ29">
        <v>30182</v>
      </c>
      <c r="CR29">
        <v>24429</v>
      </c>
      <c r="CS29">
        <v>23781</v>
      </c>
      <c r="CT29">
        <v>4182</v>
      </c>
      <c r="CU29">
        <v>176572</v>
      </c>
      <c r="CV29">
        <v>28031</v>
      </c>
      <c r="CW29">
        <v>65800</v>
      </c>
      <c r="CX29">
        <v>66606</v>
      </c>
      <c r="CY29">
        <v>40689</v>
      </c>
      <c r="CZ29">
        <v>103956</v>
      </c>
      <c r="DA29">
        <v>38847</v>
      </c>
      <c r="DB29">
        <v>81194</v>
      </c>
      <c r="DC29">
        <v>114319</v>
      </c>
      <c r="DD29">
        <v>69390</v>
      </c>
      <c r="DE29">
        <v>66439</v>
      </c>
      <c r="DF29">
        <v>69875</v>
      </c>
      <c r="DG29">
        <v>49890</v>
      </c>
      <c r="DH29">
        <v>7607</v>
      </c>
      <c r="DI29">
        <v>81868</v>
      </c>
      <c r="DJ29">
        <v>448295</v>
      </c>
      <c r="DK29">
        <v>17206</v>
      </c>
      <c r="DL29">
        <v>7524</v>
      </c>
      <c r="DM29">
        <v>17608</v>
      </c>
      <c r="DN29">
        <v>7725</v>
      </c>
      <c r="DO29">
        <v>221</v>
      </c>
      <c r="DP29">
        <v>0</v>
      </c>
      <c r="DQ29">
        <v>69617</v>
      </c>
      <c r="DR29">
        <v>53483</v>
      </c>
      <c r="DS29">
        <v>42986</v>
      </c>
      <c r="DT29">
        <v>34650</v>
      </c>
      <c r="DU29">
        <v>27025</v>
      </c>
      <c r="DV29">
        <v>2954</v>
      </c>
      <c r="DW29">
        <v>0</v>
      </c>
      <c r="DX29">
        <v>3572</v>
      </c>
      <c r="DY29">
        <v>15841</v>
      </c>
      <c r="DZ29">
        <v>40202</v>
      </c>
      <c r="EA29">
        <v>40303</v>
      </c>
      <c r="EB29">
        <v>50599</v>
      </c>
      <c r="EC29">
        <v>36575</v>
      </c>
      <c r="ED29">
        <v>0</v>
      </c>
      <c r="EE29">
        <v>51344</v>
      </c>
      <c r="EF29">
        <v>39012</v>
      </c>
      <c r="EG29">
        <v>60736</v>
      </c>
      <c r="EH29">
        <v>48912</v>
      </c>
      <c r="EI29">
        <v>27706</v>
      </c>
      <c r="EJ29">
        <v>46742</v>
      </c>
      <c r="EK29">
        <v>0</v>
      </c>
      <c r="EL29">
        <v>53629</v>
      </c>
      <c r="EM29">
        <v>53798</v>
      </c>
      <c r="EN29">
        <v>41000</v>
      </c>
      <c r="EO29">
        <v>57319</v>
      </c>
      <c r="EP29">
        <v>20593</v>
      </c>
      <c r="EQ29">
        <v>17741</v>
      </c>
      <c r="ER29">
        <v>0</v>
      </c>
      <c r="ES29">
        <v>52175</v>
      </c>
      <c r="ET29">
        <v>165227</v>
      </c>
      <c r="EU29">
        <v>35845</v>
      </c>
      <c r="EV29">
        <v>283844</v>
      </c>
      <c r="EW29">
        <v>3322</v>
      </c>
      <c r="EX29">
        <v>6657</v>
      </c>
      <c r="EY29">
        <v>202</v>
      </c>
      <c r="EZ29">
        <v>73019</v>
      </c>
      <c r="FA29">
        <v>41416</v>
      </c>
      <c r="FB29">
        <v>23091</v>
      </c>
      <c r="FC29">
        <v>11145</v>
      </c>
      <c r="FD29">
        <v>19377</v>
      </c>
      <c r="FE29">
        <v>0</v>
      </c>
      <c r="FF29">
        <v>0</v>
      </c>
      <c r="FG29">
        <v>7423</v>
      </c>
      <c r="FH29">
        <v>539</v>
      </c>
      <c r="FI29">
        <v>1848</v>
      </c>
      <c r="FJ29">
        <v>873</v>
      </c>
      <c r="FK29">
        <v>49636</v>
      </c>
      <c r="FL29">
        <v>0</v>
      </c>
      <c r="FM29">
        <v>0</v>
      </c>
      <c r="FN29">
        <v>52365</v>
      </c>
      <c r="FO29">
        <v>31904</v>
      </c>
      <c r="FP29">
        <v>46237</v>
      </c>
      <c r="FQ29">
        <v>67965</v>
      </c>
      <c r="FR29">
        <v>30897</v>
      </c>
      <c r="FS29">
        <v>0</v>
      </c>
      <c r="FT29">
        <v>0</v>
      </c>
      <c r="FU29">
        <v>0</v>
      </c>
      <c r="FV29">
        <v>82</v>
      </c>
      <c r="FW29">
        <v>8</v>
      </c>
      <c r="FX29">
        <v>28920</v>
      </c>
      <c r="FY29">
        <v>44071</v>
      </c>
      <c r="FZ29">
        <v>33801</v>
      </c>
      <c r="GA29">
        <v>0</v>
      </c>
      <c r="GB29">
        <v>22357</v>
      </c>
      <c r="GC29">
        <v>0</v>
      </c>
      <c r="GD29">
        <v>108779</v>
      </c>
      <c r="GE29">
        <v>14401</v>
      </c>
      <c r="GF29">
        <v>58552</v>
      </c>
      <c r="GG29">
        <v>41432</v>
      </c>
      <c r="GH29">
        <v>0</v>
      </c>
      <c r="GI29">
        <v>0</v>
      </c>
      <c r="GJ29">
        <v>257188</v>
      </c>
      <c r="GK29">
        <v>178</v>
      </c>
      <c r="GL29">
        <v>0</v>
      </c>
      <c r="GM29">
        <v>538</v>
      </c>
      <c r="GN29">
        <v>0</v>
      </c>
      <c r="GO29">
        <v>0</v>
      </c>
      <c r="GP29">
        <v>1212</v>
      </c>
      <c r="GQ29">
        <v>544</v>
      </c>
      <c r="GR29">
        <v>26</v>
      </c>
      <c r="GS29">
        <v>257</v>
      </c>
      <c r="GT29">
        <v>274</v>
      </c>
      <c r="GU29">
        <v>9</v>
      </c>
      <c r="GV29">
        <v>0</v>
      </c>
      <c r="GW29">
        <v>179</v>
      </c>
      <c r="GX29">
        <v>0</v>
      </c>
      <c r="GY29">
        <v>15</v>
      </c>
      <c r="GZ29">
        <v>100</v>
      </c>
      <c r="HA29">
        <v>183</v>
      </c>
      <c r="HB29">
        <v>73</v>
      </c>
      <c r="HC29">
        <v>0</v>
      </c>
      <c r="HD29">
        <v>3</v>
      </c>
      <c r="HE29">
        <v>77</v>
      </c>
      <c r="HF29">
        <v>0</v>
      </c>
      <c r="HG29">
        <v>0</v>
      </c>
      <c r="HH29">
        <v>0</v>
      </c>
      <c r="HI29">
        <v>13</v>
      </c>
      <c r="HJ29">
        <v>0</v>
      </c>
      <c r="HK29">
        <v>26</v>
      </c>
      <c r="HL29">
        <v>0</v>
      </c>
      <c r="HM29">
        <v>18</v>
      </c>
      <c r="HN29">
        <v>0</v>
      </c>
      <c r="HO29">
        <v>1528</v>
      </c>
      <c r="HP29">
        <v>10683</v>
      </c>
      <c r="HQ29">
        <v>0</v>
      </c>
      <c r="HR29">
        <v>0</v>
      </c>
      <c r="HS29">
        <v>16739</v>
      </c>
      <c r="HT29">
        <v>51325</v>
      </c>
      <c r="HU29">
        <v>23788</v>
      </c>
      <c r="HV29">
        <v>13895</v>
      </c>
      <c r="HW29">
        <v>6567</v>
      </c>
      <c r="HX29">
        <v>0</v>
      </c>
      <c r="HY29">
        <v>76637</v>
      </c>
      <c r="HZ29">
        <v>47850</v>
      </c>
      <c r="IA29">
        <v>15091</v>
      </c>
      <c r="IB29">
        <v>32358</v>
      </c>
      <c r="IC29">
        <v>25860</v>
      </c>
      <c r="ID29">
        <v>4012</v>
      </c>
      <c r="IE29">
        <v>0</v>
      </c>
      <c r="IF29">
        <v>131120</v>
      </c>
      <c r="IG29">
        <v>121445</v>
      </c>
      <c r="IH29">
        <v>29138</v>
      </c>
      <c r="II29">
        <v>45720</v>
      </c>
      <c r="IJ29">
        <v>15</v>
      </c>
      <c r="IK29">
        <v>18819</v>
      </c>
      <c r="IL29">
        <v>0</v>
      </c>
      <c r="IM29">
        <v>29791</v>
      </c>
      <c r="IN29">
        <v>106455</v>
      </c>
      <c r="IO29">
        <v>17720</v>
      </c>
      <c r="IP29">
        <v>30737</v>
      </c>
      <c r="IQ29">
        <v>27566</v>
      </c>
      <c r="IR29">
        <v>21197</v>
      </c>
      <c r="IS29">
        <v>0</v>
      </c>
      <c r="IT29">
        <v>1914</v>
      </c>
      <c r="IU29">
        <v>14267</v>
      </c>
      <c r="IV29">
        <v>50362</v>
      </c>
      <c r="IW29">
        <v>35664</v>
      </c>
      <c r="IX29">
        <v>54087</v>
      </c>
      <c r="IY29">
        <v>11028</v>
      </c>
      <c r="IZ29">
        <v>0</v>
      </c>
      <c r="JA29">
        <v>39200</v>
      </c>
      <c r="JB29">
        <v>17383</v>
      </c>
      <c r="JC29">
        <v>11865</v>
      </c>
      <c r="JD29">
        <v>47046</v>
      </c>
      <c r="JE29">
        <v>51281</v>
      </c>
      <c r="JF29">
        <v>74513</v>
      </c>
      <c r="JG29">
        <v>0</v>
      </c>
      <c r="JH29">
        <v>153456</v>
      </c>
      <c r="JI29">
        <v>56377</v>
      </c>
      <c r="JJ29">
        <v>18893</v>
      </c>
      <c r="JK29">
        <v>13070</v>
      </c>
      <c r="JL29">
        <v>946</v>
      </c>
      <c r="JM29">
        <v>10760</v>
      </c>
      <c r="JN29">
        <v>558</v>
      </c>
      <c r="JO29">
        <v>7082</v>
      </c>
      <c r="JP29">
        <v>22322</v>
      </c>
      <c r="JQ29">
        <v>5895</v>
      </c>
      <c r="JR29">
        <v>726</v>
      </c>
      <c r="JS29">
        <v>12667</v>
      </c>
      <c r="JT29">
        <v>21826</v>
      </c>
      <c r="JU29">
        <v>0</v>
      </c>
      <c r="JV29">
        <v>3410</v>
      </c>
      <c r="JW29">
        <v>3855</v>
      </c>
      <c r="JX29">
        <v>0</v>
      </c>
      <c r="JY29">
        <v>4109</v>
      </c>
      <c r="JZ29">
        <v>828</v>
      </c>
      <c r="KA29">
        <v>114</v>
      </c>
      <c r="KB29">
        <v>0</v>
      </c>
      <c r="KC29">
        <v>11419</v>
      </c>
      <c r="KD29">
        <v>147701</v>
      </c>
      <c r="KE29">
        <v>44198</v>
      </c>
      <c r="KF29">
        <v>796</v>
      </c>
      <c r="KG29">
        <v>23038</v>
      </c>
      <c r="KH29">
        <v>15487</v>
      </c>
      <c r="KI29">
        <v>0</v>
      </c>
      <c r="KJ29">
        <v>0</v>
      </c>
      <c r="KK29">
        <v>69388</v>
      </c>
      <c r="KL29">
        <v>27406</v>
      </c>
      <c r="KM29">
        <v>40620</v>
      </c>
      <c r="KN29">
        <v>72763</v>
      </c>
      <c r="KO29">
        <v>2770</v>
      </c>
      <c r="KP29">
        <v>10</v>
      </c>
      <c r="KQ29">
        <v>41032</v>
      </c>
      <c r="KR29">
        <v>57294</v>
      </c>
      <c r="KS29">
        <v>15714</v>
      </c>
      <c r="KT29">
        <v>27</v>
      </c>
      <c r="KU29">
        <v>4160</v>
      </c>
      <c r="KV29">
        <v>648</v>
      </c>
      <c r="KW29">
        <v>0</v>
      </c>
      <c r="KX29">
        <v>980</v>
      </c>
      <c r="KY29">
        <v>0</v>
      </c>
      <c r="KZ29">
        <v>41064</v>
      </c>
      <c r="LA29">
        <v>179142</v>
      </c>
      <c r="LB29">
        <v>173811</v>
      </c>
      <c r="LC29">
        <v>1412</v>
      </c>
      <c r="LD29">
        <v>0</v>
      </c>
      <c r="LE29">
        <v>7177</v>
      </c>
      <c r="LF29">
        <v>4</v>
      </c>
      <c r="LG29">
        <v>27687</v>
      </c>
      <c r="LH29">
        <v>17287</v>
      </c>
      <c r="LI29">
        <v>33170</v>
      </c>
      <c r="LJ29">
        <v>601</v>
      </c>
      <c r="LK29">
        <v>0</v>
      </c>
      <c r="LL29">
        <v>85025</v>
      </c>
      <c r="LM29">
        <v>12905</v>
      </c>
      <c r="LN29">
        <v>29227</v>
      </c>
      <c r="LO29">
        <v>11208</v>
      </c>
      <c r="LP29">
        <v>22026</v>
      </c>
      <c r="LQ29">
        <v>9154</v>
      </c>
      <c r="LR29">
        <v>0</v>
      </c>
      <c r="LS29">
        <v>220099</v>
      </c>
      <c r="LT29">
        <v>12900</v>
      </c>
      <c r="LU29">
        <v>40254</v>
      </c>
      <c r="LV29">
        <v>31786</v>
      </c>
      <c r="LW29">
        <v>48573</v>
      </c>
      <c r="LX29">
        <v>4020</v>
      </c>
      <c r="LY29">
        <v>0</v>
      </c>
      <c r="LZ29">
        <v>19458</v>
      </c>
      <c r="MA29">
        <v>119902</v>
      </c>
      <c r="MB29">
        <v>83691</v>
      </c>
      <c r="MC29">
        <v>37821</v>
      </c>
      <c r="MD29">
        <v>33235</v>
      </c>
      <c r="ME29">
        <v>28512</v>
      </c>
      <c r="MF29">
        <v>0</v>
      </c>
      <c r="MG29">
        <v>24672</v>
      </c>
      <c r="MH29">
        <v>26100</v>
      </c>
      <c r="MI29">
        <v>61911</v>
      </c>
      <c r="MJ29">
        <v>4340</v>
      </c>
      <c r="MK29">
        <v>1280</v>
      </c>
      <c r="ML29">
        <v>2689</v>
      </c>
      <c r="MM29">
        <v>0</v>
      </c>
      <c r="MN29">
        <v>102051</v>
      </c>
      <c r="MO29">
        <v>177675</v>
      </c>
      <c r="MP29">
        <v>144368</v>
      </c>
      <c r="MQ29">
        <v>121924</v>
      </c>
      <c r="MR29">
        <v>19593</v>
      </c>
      <c r="MS29">
        <v>1543</v>
      </c>
      <c r="MT29">
        <v>3198</v>
      </c>
      <c r="MU29">
        <v>0</v>
      </c>
      <c r="MV29">
        <v>8491</v>
      </c>
      <c r="MW29">
        <v>7673</v>
      </c>
      <c r="MX29">
        <v>33454</v>
      </c>
      <c r="MY29">
        <v>110929</v>
      </c>
      <c r="MZ29">
        <v>4958</v>
      </c>
      <c r="NA29">
        <v>0</v>
      </c>
      <c r="NB29">
        <v>50161</v>
      </c>
      <c r="NC29">
        <v>88473</v>
      </c>
      <c r="ND29">
        <v>20289</v>
      </c>
      <c r="NE29">
        <v>41078</v>
      </c>
      <c r="NF29">
        <v>28685</v>
      </c>
      <c r="NG29">
        <v>20843</v>
      </c>
      <c r="NH29">
        <v>0</v>
      </c>
      <c r="NI29">
        <v>71956</v>
      </c>
      <c r="NJ29">
        <v>224266</v>
      </c>
      <c r="NK29">
        <v>8139</v>
      </c>
      <c r="NL29">
        <v>106769</v>
      </c>
      <c r="NM29">
        <v>12326</v>
      </c>
      <c r="NN29">
        <v>135150</v>
      </c>
      <c r="NO29">
        <v>0</v>
      </c>
      <c r="NP29">
        <v>66024</v>
      </c>
      <c r="NQ29">
        <v>60520</v>
      </c>
      <c r="NR29">
        <v>1095</v>
      </c>
      <c r="NS29">
        <v>65416</v>
      </c>
      <c r="NT29">
        <v>49862</v>
      </c>
      <c r="NU29">
        <v>1053</v>
      </c>
      <c r="NV29">
        <v>0</v>
      </c>
      <c r="NW29">
        <v>5927</v>
      </c>
      <c r="NX29">
        <v>0</v>
      </c>
      <c r="NY29">
        <v>7249</v>
      </c>
      <c r="NZ29">
        <v>5668</v>
      </c>
      <c r="OA29">
        <v>13982</v>
      </c>
      <c r="OB29">
        <v>21017</v>
      </c>
      <c r="OC29">
        <v>0</v>
      </c>
      <c r="OD29">
        <v>10847</v>
      </c>
      <c r="OE29">
        <v>55265</v>
      </c>
      <c r="OF29">
        <v>57652</v>
      </c>
      <c r="OG29">
        <v>11148</v>
      </c>
      <c r="OH29">
        <v>129654</v>
      </c>
      <c r="OI29">
        <v>10167</v>
      </c>
      <c r="OJ29">
        <v>0</v>
      </c>
      <c r="OK29">
        <v>98691</v>
      </c>
      <c r="OL29">
        <v>27248</v>
      </c>
      <c r="OM29">
        <v>123356</v>
      </c>
      <c r="ON29">
        <v>39866</v>
      </c>
      <c r="OO29">
        <v>32022</v>
      </c>
      <c r="OP29">
        <v>35091</v>
      </c>
      <c r="OQ29">
        <v>0</v>
      </c>
      <c r="OR29">
        <v>27983</v>
      </c>
      <c r="OS29">
        <v>30583</v>
      </c>
      <c r="OT29">
        <v>18790</v>
      </c>
      <c r="OU29">
        <v>0</v>
      </c>
      <c r="OV29">
        <v>27943</v>
      </c>
      <c r="OW29">
        <v>2000</v>
      </c>
      <c r="OX29">
        <v>0</v>
      </c>
      <c r="OY29">
        <v>17917</v>
      </c>
      <c r="OZ29">
        <v>46014</v>
      </c>
      <c r="PA29">
        <v>23383</v>
      </c>
      <c r="PB29">
        <v>8522</v>
      </c>
      <c r="PC29">
        <v>57851</v>
      </c>
      <c r="PD29">
        <v>21518</v>
      </c>
      <c r="PE29">
        <v>0</v>
      </c>
      <c r="PF29">
        <v>50618</v>
      </c>
      <c r="PG29">
        <v>46429</v>
      </c>
      <c r="PH29">
        <v>41447</v>
      </c>
      <c r="PI29">
        <v>834</v>
      </c>
      <c r="PJ29">
        <v>45337</v>
      </c>
      <c r="PK29">
        <v>62521</v>
      </c>
      <c r="PL29">
        <v>1361</v>
      </c>
      <c r="PM29">
        <v>271308</v>
      </c>
      <c r="PN29">
        <v>106851</v>
      </c>
      <c r="PO29">
        <v>30457</v>
      </c>
      <c r="PP29">
        <v>27718</v>
      </c>
      <c r="PQ29">
        <v>116347</v>
      </c>
      <c r="PR29">
        <v>37400</v>
      </c>
      <c r="PS29">
        <v>86</v>
      </c>
      <c r="PT29">
        <v>0</v>
      </c>
      <c r="PU29">
        <v>0</v>
      </c>
      <c r="PV29">
        <v>0</v>
      </c>
      <c r="PW29">
        <v>15808</v>
      </c>
      <c r="PX29">
        <v>5053</v>
      </c>
      <c r="PY29">
        <v>9251</v>
      </c>
      <c r="PZ29">
        <v>0</v>
      </c>
      <c r="QA29">
        <v>191493</v>
      </c>
      <c r="QB29">
        <v>29320</v>
      </c>
      <c r="QC29">
        <v>129343</v>
      </c>
      <c r="QD29">
        <v>16331</v>
      </c>
      <c r="QE29">
        <v>37038</v>
      </c>
      <c r="QF29">
        <v>150</v>
      </c>
      <c r="QG29">
        <v>0</v>
      </c>
      <c r="QH29">
        <v>30786</v>
      </c>
      <c r="QI29">
        <v>61085</v>
      </c>
      <c r="QJ29">
        <v>12</v>
      </c>
      <c r="QK29">
        <v>15903</v>
      </c>
      <c r="QL29">
        <v>45507</v>
      </c>
      <c r="QM29">
        <v>0</v>
      </c>
      <c r="QN29">
        <v>0</v>
      </c>
      <c r="QO29">
        <v>75619</v>
      </c>
      <c r="QP29">
        <v>18577</v>
      </c>
      <c r="QQ29">
        <v>20699</v>
      </c>
      <c r="QR29">
        <v>16325</v>
      </c>
      <c r="QS29">
        <v>5786</v>
      </c>
      <c r="QT29">
        <v>52152</v>
      </c>
      <c r="QU29">
        <v>0</v>
      </c>
      <c r="QV29">
        <v>38086</v>
      </c>
      <c r="QW29">
        <v>11356</v>
      </c>
      <c r="QX29">
        <v>39185</v>
      </c>
      <c r="QY29">
        <v>49722</v>
      </c>
      <c r="QZ29">
        <v>157785</v>
      </c>
      <c r="RA29">
        <v>1507</v>
      </c>
      <c r="RB29">
        <v>0</v>
      </c>
      <c r="RC29">
        <v>74683</v>
      </c>
      <c r="RD29">
        <v>11077</v>
      </c>
      <c r="RE29">
        <v>14094</v>
      </c>
      <c r="RF29">
        <v>23429</v>
      </c>
      <c r="RG29">
        <v>35859</v>
      </c>
      <c r="RH29">
        <v>0</v>
      </c>
      <c r="RI29">
        <v>0</v>
      </c>
      <c r="RJ29">
        <v>11500</v>
      </c>
      <c r="RK29">
        <v>64436</v>
      </c>
      <c r="RL29">
        <v>908</v>
      </c>
      <c r="RM29">
        <v>64300</v>
      </c>
      <c r="RN29">
        <v>19934</v>
      </c>
      <c r="RO29">
        <v>5561</v>
      </c>
      <c r="RP29">
        <v>0</v>
      </c>
      <c r="RQ29">
        <v>26184</v>
      </c>
      <c r="RR29">
        <v>52530</v>
      </c>
      <c r="RS29">
        <v>6729</v>
      </c>
      <c r="RT29">
        <v>19291</v>
      </c>
      <c r="RU29">
        <v>60383</v>
      </c>
      <c r="RV29">
        <v>37921</v>
      </c>
      <c r="RW29">
        <v>0</v>
      </c>
      <c r="RX29">
        <v>69290</v>
      </c>
      <c r="RY29">
        <v>70032</v>
      </c>
      <c r="RZ29">
        <v>38653</v>
      </c>
      <c r="SA29">
        <v>8501</v>
      </c>
      <c r="SB29">
        <v>17987</v>
      </c>
      <c r="SC29">
        <v>8476</v>
      </c>
      <c r="SD29">
        <v>0</v>
      </c>
      <c r="SE29">
        <v>19367</v>
      </c>
      <c r="SF29">
        <v>1926</v>
      </c>
      <c r="SG29">
        <v>36538</v>
      </c>
      <c r="SH29">
        <v>56542</v>
      </c>
      <c r="SI29">
        <v>57584</v>
      </c>
      <c r="SJ29">
        <v>15082</v>
      </c>
      <c r="SK29">
        <v>0</v>
      </c>
      <c r="SL29">
        <v>46840</v>
      </c>
      <c r="SM29">
        <v>48946</v>
      </c>
      <c r="SN29">
        <v>74992</v>
      </c>
      <c r="SO29">
        <v>16629</v>
      </c>
      <c r="SP29">
        <v>67834</v>
      </c>
      <c r="SQ29">
        <v>13482</v>
      </c>
      <c r="SR29">
        <v>0</v>
      </c>
      <c r="SS29">
        <v>111631</v>
      </c>
      <c r="ST29">
        <v>19965</v>
      </c>
      <c r="SU29">
        <v>104268</v>
      </c>
      <c r="SV29">
        <v>84944</v>
      </c>
      <c r="SW29">
        <v>41566</v>
      </c>
      <c r="SX29">
        <v>83738</v>
      </c>
      <c r="SY29">
        <v>0</v>
      </c>
      <c r="SZ29">
        <v>103040</v>
      </c>
      <c r="TA29">
        <v>59447</v>
      </c>
      <c r="TB29">
        <v>38936</v>
      </c>
      <c r="TC29">
        <v>116100</v>
      </c>
      <c r="TD29">
        <v>46543</v>
      </c>
      <c r="TE29">
        <v>19256</v>
      </c>
      <c r="TF29">
        <v>0</v>
      </c>
      <c r="TG29">
        <v>61350</v>
      </c>
      <c r="TH29">
        <v>0</v>
      </c>
      <c r="TI29">
        <v>29577</v>
      </c>
      <c r="TJ29">
        <v>8816</v>
      </c>
      <c r="TK29">
        <v>44291</v>
      </c>
      <c r="TL29">
        <v>32488</v>
      </c>
      <c r="TM29">
        <v>0</v>
      </c>
      <c r="TN29">
        <v>29286</v>
      </c>
      <c r="TO29">
        <v>81520</v>
      </c>
      <c r="TP29">
        <v>49522</v>
      </c>
      <c r="TQ29">
        <v>33340</v>
      </c>
      <c r="TR29">
        <v>67974</v>
      </c>
      <c r="TS29">
        <v>14566</v>
      </c>
      <c r="TT29">
        <v>0</v>
      </c>
      <c r="TU29">
        <v>0</v>
      </c>
      <c r="TV29">
        <v>0</v>
      </c>
      <c r="TW29">
        <v>210165</v>
      </c>
      <c r="TX29">
        <v>11553</v>
      </c>
      <c r="TY29">
        <v>22761</v>
      </c>
      <c r="TZ29">
        <v>22461</v>
      </c>
      <c r="UA29">
        <v>0</v>
      </c>
      <c r="UB29">
        <v>20514</v>
      </c>
      <c r="UC29">
        <v>6481</v>
      </c>
      <c r="UD29">
        <v>36713</v>
      </c>
      <c r="UE29">
        <v>3892</v>
      </c>
      <c r="UF29">
        <v>17031</v>
      </c>
      <c r="UG29">
        <v>4</v>
      </c>
      <c r="UH29">
        <v>0</v>
      </c>
      <c r="UI29">
        <v>86892</v>
      </c>
      <c r="UJ29">
        <v>48519</v>
      </c>
      <c r="UK29">
        <v>57081</v>
      </c>
      <c r="UL29">
        <v>0</v>
      </c>
      <c r="UM29">
        <v>38642</v>
      </c>
      <c r="UN29">
        <v>20</v>
      </c>
      <c r="UO29">
        <v>0</v>
      </c>
      <c r="UP29">
        <v>44756</v>
      </c>
      <c r="UQ29">
        <v>15516</v>
      </c>
      <c r="UR29">
        <v>119794</v>
      </c>
      <c r="US29">
        <v>35420</v>
      </c>
      <c r="UT29">
        <v>33085</v>
      </c>
      <c r="UU29">
        <v>0</v>
      </c>
      <c r="UV29">
        <v>0</v>
      </c>
      <c r="UW29">
        <v>116734</v>
      </c>
      <c r="UX29">
        <v>35283</v>
      </c>
      <c r="UY29">
        <v>26145</v>
      </c>
      <c r="UZ29">
        <v>548</v>
      </c>
      <c r="VA29">
        <v>11931</v>
      </c>
      <c r="VB29">
        <v>259866</v>
      </c>
      <c r="VC29">
        <v>0</v>
      </c>
      <c r="VD29">
        <v>90628</v>
      </c>
      <c r="VE29">
        <v>20647</v>
      </c>
      <c r="VF29">
        <v>29176</v>
      </c>
      <c r="VG29">
        <v>37347</v>
      </c>
      <c r="VH29">
        <v>31646</v>
      </c>
      <c r="VI29">
        <v>58</v>
      </c>
      <c r="VJ29">
        <v>0</v>
      </c>
      <c r="VK29">
        <v>28278</v>
      </c>
      <c r="VL29">
        <v>33893</v>
      </c>
      <c r="VM29">
        <v>81292</v>
      </c>
      <c r="VN29">
        <v>56324</v>
      </c>
      <c r="VO29">
        <v>104937</v>
      </c>
      <c r="VP29">
        <v>0</v>
      </c>
      <c r="VQ29">
        <v>0</v>
      </c>
      <c r="VR29">
        <v>57248</v>
      </c>
      <c r="VS29">
        <v>0</v>
      </c>
      <c r="VT29">
        <v>21231</v>
      </c>
      <c r="VU29">
        <v>11124</v>
      </c>
      <c r="VV29">
        <v>83191</v>
      </c>
      <c r="VW29">
        <v>0</v>
      </c>
      <c r="VX29">
        <v>0</v>
      </c>
      <c r="VY29">
        <v>132746</v>
      </c>
      <c r="VZ29">
        <v>16498</v>
      </c>
      <c r="WA29">
        <v>56340</v>
      </c>
      <c r="WB29">
        <v>20548</v>
      </c>
      <c r="WC29">
        <v>33237</v>
      </c>
      <c r="WD29">
        <v>97</v>
      </c>
      <c r="WE29">
        <v>0</v>
      </c>
      <c r="WF29">
        <v>93099</v>
      </c>
      <c r="WG29">
        <v>33019</v>
      </c>
      <c r="WH29">
        <v>87324</v>
      </c>
      <c r="WI29">
        <v>59414</v>
      </c>
      <c r="WJ29">
        <v>12066</v>
      </c>
      <c r="WK29">
        <v>20622</v>
      </c>
      <c r="WL29">
        <v>0</v>
      </c>
      <c r="WM29">
        <v>15969</v>
      </c>
      <c r="WN29">
        <v>56628</v>
      </c>
      <c r="WO29">
        <v>46411</v>
      </c>
      <c r="WP29">
        <v>352785</v>
      </c>
      <c r="WQ29">
        <v>36246</v>
      </c>
      <c r="WR29">
        <v>0</v>
      </c>
      <c r="WS29">
        <v>0</v>
      </c>
      <c r="WT29">
        <v>17583</v>
      </c>
      <c r="WU29">
        <v>13424</v>
      </c>
      <c r="WV29">
        <v>15430</v>
      </c>
      <c r="WW29">
        <v>2870</v>
      </c>
      <c r="WX29">
        <v>343898</v>
      </c>
      <c r="WY29">
        <v>33924</v>
      </c>
      <c r="WZ29">
        <v>0</v>
      </c>
      <c r="XA29">
        <v>201315</v>
      </c>
      <c r="XB29">
        <v>248353</v>
      </c>
      <c r="XC29">
        <v>160118</v>
      </c>
      <c r="XD29">
        <v>36170</v>
      </c>
      <c r="XE29">
        <v>87612</v>
      </c>
      <c r="XF29">
        <v>42859</v>
      </c>
      <c r="XG29">
        <v>0</v>
      </c>
      <c r="XH29">
        <v>52190</v>
      </c>
      <c r="XI29">
        <v>51052</v>
      </c>
      <c r="XJ29">
        <v>39666</v>
      </c>
      <c r="XK29">
        <v>35200</v>
      </c>
      <c r="XL29">
        <v>91522</v>
      </c>
      <c r="XM29">
        <v>227132</v>
      </c>
      <c r="XN29">
        <v>0</v>
      </c>
      <c r="XO29">
        <v>35015</v>
      </c>
      <c r="XP29">
        <v>44877</v>
      </c>
      <c r="XQ29">
        <v>45504</v>
      </c>
      <c r="XR29">
        <v>51058</v>
      </c>
      <c r="XS29">
        <v>719062</v>
      </c>
      <c r="XT29">
        <v>0</v>
      </c>
      <c r="XU29">
        <v>0</v>
      </c>
      <c r="XV29">
        <v>0</v>
      </c>
      <c r="XW29">
        <v>14134</v>
      </c>
      <c r="XX29">
        <v>33747</v>
      </c>
      <c r="XY29">
        <v>46725</v>
      </c>
      <c r="XZ29">
        <v>24994</v>
      </c>
      <c r="YA29">
        <v>13715</v>
      </c>
      <c r="YB29">
        <v>42590</v>
      </c>
      <c r="YC29">
        <v>45549</v>
      </c>
      <c r="YD29">
        <v>24957</v>
      </c>
      <c r="YE29">
        <v>54492</v>
      </c>
      <c r="YF29">
        <v>2149</v>
      </c>
      <c r="YG29">
        <v>337757</v>
      </c>
      <c r="YH29">
        <v>337757</v>
      </c>
      <c r="YI29">
        <v>0</v>
      </c>
      <c r="YJ29">
        <v>13108</v>
      </c>
      <c r="YK29">
        <v>0</v>
      </c>
      <c r="YL29">
        <v>92994</v>
      </c>
      <c r="YM29">
        <v>68085</v>
      </c>
      <c r="YN29">
        <v>14027</v>
      </c>
      <c r="YO29">
        <v>42708</v>
      </c>
      <c r="YP29">
        <v>0</v>
      </c>
      <c r="YQ29">
        <v>43190</v>
      </c>
      <c r="YR29">
        <v>18050</v>
      </c>
      <c r="YS29">
        <v>45826</v>
      </c>
      <c r="YT29">
        <v>66795</v>
      </c>
      <c r="YU29">
        <v>88895</v>
      </c>
      <c r="YV29">
        <v>7899</v>
      </c>
      <c r="YW29">
        <v>0</v>
      </c>
      <c r="YX29">
        <v>55898</v>
      </c>
      <c r="YY29">
        <v>42400</v>
      </c>
      <c r="YZ29">
        <v>26621</v>
      </c>
      <c r="ZA29">
        <v>42101</v>
      </c>
      <c r="ZB29">
        <v>60155</v>
      </c>
      <c r="ZC29">
        <v>1020</v>
      </c>
      <c r="ZD29">
        <v>0</v>
      </c>
      <c r="ZE29">
        <v>30047</v>
      </c>
      <c r="ZF29">
        <v>45773</v>
      </c>
      <c r="ZG29">
        <v>11359</v>
      </c>
      <c r="ZH29">
        <v>23908</v>
      </c>
      <c r="ZI29">
        <v>33906</v>
      </c>
      <c r="ZJ29">
        <v>23708</v>
      </c>
      <c r="ZK29">
        <v>66976</v>
      </c>
      <c r="ZL29">
        <v>7715</v>
      </c>
      <c r="ZM29">
        <v>71140</v>
      </c>
      <c r="ZN29">
        <v>0</v>
      </c>
      <c r="ZO29">
        <v>18206</v>
      </c>
      <c r="ZP29">
        <v>17716</v>
      </c>
      <c r="ZQ29">
        <v>33211</v>
      </c>
      <c r="ZR29">
        <v>0</v>
      </c>
      <c r="ZS29">
        <v>8842</v>
      </c>
      <c r="ZT29">
        <v>120688</v>
      </c>
      <c r="ZU29">
        <v>34038</v>
      </c>
      <c r="ZV29">
        <v>6336</v>
      </c>
      <c r="ZW29">
        <v>21987</v>
      </c>
      <c r="ZX29">
        <v>4627</v>
      </c>
      <c r="ZY29">
        <v>0</v>
      </c>
      <c r="ZZ29">
        <v>115122</v>
      </c>
      <c r="AAA29">
        <v>34799</v>
      </c>
      <c r="AAB29">
        <v>12108</v>
      </c>
      <c r="AAC29">
        <v>9438</v>
      </c>
      <c r="AAD29">
        <v>275053</v>
      </c>
      <c r="AAE29">
        <v>16950</v>
      </c>
      <c r="AAF29">
        <v>0</v>
      </c>
      <c r="AAG29">
        <v>33757</v>
      </c>
      <c r="AAH29">
        <v>49901</v>
      </c>
      <c r="AAI29">
        <v>26128</v>
      </c>
      <c r="AAJ29">
        <v>7000</v>
      </c>
      <c r="AAK29">
        <v>26210</v>
      </c>
      <c r="AAL29">
        <v>1345</v>
      </c>
      <c r="AAM29">
        <v>0</v>
      </c>
      <c r="AAN29">
        <v>28378</v>
      </c>
      <c r="AAO29">
        <v>25162</v>
      </c>
      <c r="AAP29">
        <v>73708</v>
      </c>
      <c r="AAQ29">
        <v>19056</v>
      </c>
      <c r="AAR29">
        <v>57149</v>
      </c>
      <c r="AAS29">
        <v>32318</v>
      </c>
      <c r="AAT29">
        <v>0</v>
      </c>
      <c r="AAU29">
        <v>0</v>
      </c>
      <c r="AAV29">
        <v>36167</v>
      </c>
      <c r="AAW29">
        <v>21340</v>
      </c>
      <c r="AAX29">
        <v>66470</v>
      </c>
      <c r="AAY29">
        <v>11954</v>
      </c>
      <c r="AAZ29">
        <v>5</v>
      </c>
      <c r="ABA29">
        <v>0</v>
      </c>
      <c r="ABB29">
        <v>2409</v>
      </c>
      <c r="ABC29">
        <v>19182</v>
      </c>
      <c r="ABD29">
        <v>89084</v>
      </c>
      <c r="ABE29">
        <v>0</v>
      </c>
      <c r="ABF29">
        <v>96985</v>
      </c>
      <c r="ABG29">
        <v>6080</v>
      </c>
      <c r="ABH29">
        <v>0</v>
      </c>
      <c r="ABI29">
        <v>43205</v>
      </c>
      <c r="ABJ29">
        <v>1440</v>
      </c>
      <c r="ABK29">
        <v>5235</v>
      </c>
      <c r="ABL29">
        <v>15379</v>
      </c>
      <c r="ABM29">
        <v>38043</v>
      </c>
      <c r="ABN29">
        <v>9154</v>
      </c>
      <c r="ABO29">
        <v>0</v>
      </c>
      <c r="ABP29">
        <v>50919</v>
      </c>
      <c r="ABQ29">
        <v>1440</v>
      </c>
      <c r="ABR29">
        <v>34400</v>
      </c>
      <c r="ABS29">
        <v>45861</v>
      </c>
      <c r="ABT29">
        <v>130187</v>
      </c>
      <c r="ABU29">
        <v>36902</v>
      </c>
      <c r="ABV29">
        <v>0</v>
      </c>
      <c r="ABW29">
        <v>54766</v>
      </c>
      <c r="ABX29">
        <v>216386</v>
      </c>
      <c r="ABY29">
        <v>139209</v>
      </c>
      <c r="ABZ29">
        <v>239096</v>
      </c>
      <c r="ACA29">
        <v>229733</v>
      </c>
      <c r="ACB29">
        <v>128588</v>
      </c>
      <c r="ACC29">
        <v>0</v>
      </c>
      <c r="ACD29">
        <v>54562</v>
      </c>
      <c r="ACE29">
        <v>232221</v>
      </c>
      <c r="ACF29">
        <v>62922</v>
      </c>
      <c r="ACG29">
        <v>134515</v>
      </c>
      <c r="ACH29">
        <v>33898</v>
      </c>
      <c r="ACI29">
        <v>21543</v>
      </c>
      <c r="ACJ29">
        <v>0</v>
      </c>
      <c r="ACK29">
        <v>175664</v>
      </c>
      <c r="ACL29">
        <v>161369</v>
      </c>
      <c r="ACM29">
        <v>76450</v>
      </c>
      <c r="ACN29">
        <v>35566</v>
      </c>
      <c r="ACO29">
        <v>19284</v>
      </c>
      <c r="ACP29">
        <v>40615</v>
      </c>
      <c r="ACQ29">
        <v>0</v>
      </c>
      <c r="ACR29">
        <v>113093</v>
      </c>
      <c r="ACS29">
        <v>113669</v>
      </c>
      <c r="ACT29">
        <v>68218</v>
      </c>
      <c r="ACU29">
        <v>28070</v>
      </c>
      <c r="ACV29">
        <v>0</v>
      </c>
      <c r="ACW29">
        <v>63949</v>
      </c>
      <c r="ACX29">
        <v>45011</v>
      </c>
      <c r="ACY29">
        <v>49482</v>
      </c>
      <c r="ACZ29">
        <v>20180</v>
      </c>
      <c r="ADA29">
        <v>281226</v>
      </c>
      <c r="ADB29">
        <v>619120</v>
      </c>
      <c r="ADC29">
        <v>23995</v>
      </c>
      <c r="ADD29">
        <v>23995</v>
      </c>
      <c r="ADE29">
        <v>108975</v>
      </c>
      <c r="ADF29">
        <v>42201</v>
      </c>
      <c r="ADG29">
        <v>170147</v>
      </c>
      <c r="ADH29">
        <v>70749</v>
      </c>
      <c r="ADI29">
        <v>105874</v>
      </c>
      <c r="ADJ29">
        <v>25271</v>
      </c>
      <c r="ADK29">
        <v>25271</v>
      </c>
      <c r="ADL29">
        <v>24</v>
      </c>
      <c r="ADM29">
        <v>99690</v>
      </c>
      <c r="ADN29">
        <v>43634</v>
      </c>
      <c r="ADO29">
        <v>72102</v>
      </c>
      <c r="ADP29">
        <v>28981</v>
      </c>
      <c r="ADQ29">
        <v>55048</v>
      </c>
      <c r="ADR29">
        <v>82867</v>
      </c>
      <c r="ADS29">
        <v>0</v>
      </c>
      <c r="ADT29">
        <v>50401</v>
      </c>
      <c r="ADU29">
        <v>500</v>
      </c>
      <c r="ADV29">
        <v>0</v>
      </c>
      <c r="ADW29">
        <v>0</v>
      </c>
      <c r="ADX29">
        <v>791324</v>
      </c>
      <c r="ADY29">
        <v>0</v>
      </c>
      <c r="ADZ29">
        <v>0</v>
      </c>
      <c r="AEA29">
        <v>0</v>
      </c>
      <c r="AEB29">
        <v>73790</v>
      </c>
      <c r="AEC29">
        <v>25074</v>
      </c>
      <c r="AED29">
        <v>4164</v>
      </c>
      <c r="AEE29">
        <v>5167</v>
      </c>
      <c r="AEF29">
        <v>1</v>
      </c>
      <c r="AEG29">
        <v>0</v>
      </c>
      <c r="AEH29">
        <v>44867</v>
      </c>
      <c r="AEI29">
        <v>10668</v>
      </c>
      <c r="AEJ29">
        <v>84171</v>
      </c>
      <c r="AEK29">
        <v>74074</v>
      </c>
      <c r="AEL29">
        <v>157426</v>
      </c>
      <c r="AEM29">
        <v>31637</v>
      </c>
      <c r="AEN29">
        <v>0</v>
      </c>
      <c r="AEO29">
        <v>104079</v>
      </c>
      <c r="AEP29">
        <v>97206</v>
      </c>
      <c r="AEQ29">
        <v>29002</v>
      </c>
      <c r="AER29">
        <v>85595</v>
      </c>
      <c r="AES29">
        <v>73362</v>
      </c>
      <c r="AET29">
        <v>13191</v>
      </c>
      <c r="AEU29">
        <v>0</v>
      </c>
      <c r="AEV29">
        <v>82305</v>
      </c>
      <c r="AEW29">
        <v>13519</v>
      </c>
      <c r="AEX29">
        <v>43916</v>
      </c>
      <c r="AEY29">
        <v>20001</v>
      </c>
      <c r="AEZ29">
        <v>406917</v>
      </c>
      <c r="AFA29">
        <v>43071</v>
      </c>
      <c r="AFB29">
        <v>928</v>
      </c>
      <c r="AFC29">
        <v>45240</v>
      </c>
      <c r="AFD29">
        <v>12363</v>
      </c>
      <c r="AFE29">
        <v>183244</v>
      </c>
      <c r="AFF29">
        <v>66021</v>
      </c>
      <c r="AFG29">
        <v>180592</v>
      </c>
      <c r="AFH29">
        <v>48807</v>
      </c>
      <c r="AFI29">
        <v>0</v>
      </c>
      <c r="AFJ29">
        <v>43369</v>
      </c>
      <c r="AFK29">
        <v>1491</v>
      </c>
      <c r="AFL29">
        <v>2072</v>
      </c>
      <c r="AFM29">
        <v>16</v>
      </c>
      <c r="AFN29">
        <v>0</v>
      </c>
      <c r="AFO29">
        <v>0</v>
      </c>
      <c r="AFP29">
        <v>0</v>
      </c>
      <c r="AFQ29">
        <v>7320</v>
      </c>
      <c r="AFR29">
        <v>24175</v>
      </c>
      <c r="AFS29">
        <v>137094</v>
      </c>
      <c r="AFT29">
        <v>230758</v>
      </c>
      <c r="AFU29">
        <v>28523</v>
      </c>
      <c r="AFV29">
        <v>20657</v>
      </c>
      <c r="AFW29">
        <v>0</v>
      </c>
      <c r="AFX29">
        <v>163780</v>
      </c>
      <c r="AFY29">
        <v>70122</v>
      </c>
      <c r="AFZ29">
        <v>100011</v>
      </c>
      <c r="AGA29">
        <v>59343</v>
      </c>
      <c r="AGB29">
        <v>33594</v>
      </c>
      <c r="AGC29">
        <v>37238</v>
      </c>
      <c r="AGD29">
        <v>0</v>
      </c>
      <c r="AGE29">
        <v>138055</v>
      </c>
      <c r="AGF29">
        <v>54651</v>
      </c>
      <c r="AGG29">
        <v>59830</v>
      </c>
      <c r="AGH29">
        <v>43657</v>
      </c>
      <c r="AGI29">
        <v>30465</v>
      </c>
      <c r="AGJ29">
        <v>0</v>
      </c>
      <c r="AGK29">
        <v>0</v>
      </c>
      <c r="AGL29">
        <v>255726</v>
      </c>
      <c r="AGM29">
        <v>48690</v>
      </c>
      <c r="AGN29">
        <v>26200</v>
      </c>
      <c r="AGO29">
        <v>37263</v>
      </c>
      <c r="AGP29">
        <v>18817</v>
      </c>
      <c r="AGQ29">
        <v>14270</v>
      </c>
      <c r="AGR29">
        <v>0</v>
      </c>
      <c r="AGS29">
        <v>107605</v>
      </c>
      <c r="AGT29">
        <v>60019</v>
      </c>
      <c r="AGU29">
        <v>18570</v>
      </c>
      <c r="AGV29">
        <v>24417</v>
      </c>
      <c r="AGW29">
        <v>59012</v>
      </c>
      <c r="AGX29">
        <v>33463</v>
      </c>
      <c r="AGY29">
        <v>0</v>
      </c>
      <c r="AGZ29">
        <v>24105</v>
      </c>
      <c r="AHA29">
        <v>26216</v>
      </c>
      <c r="AHB29">
        <v>88232</v>
      </c>
      <c r="AHC29">
        <v>107042</v>
      </c>
      <c r="AHD29">
        <v>85214</v>
      </c>
      <c r="AHE29">
        <v>9817</v>
      </c>
      <c r="AHH29">
        <v>0</v>
      </c>
      <c r="AHI29">
        <v>106757</v>
      </c>
      <c r="AHJ29">
        <v>115576</v>
      </c>
      <c r="AHK29">
        <v>92370</v>
      </c>
      <c r="AHL29">
        <v>11199</v>
      </c>
      <c r="AHM29">
        <v>0</v>
      </c>
      <c r="AHN29">
        <v>0</v>
      </c>
      <c r="AHO29">
        <v>54284</v>
      </c>
      <c r="AHP29">
        <v>70800</v>
      </c>
      <c r="AHQ29">
        <v>31561</v>
      </c>
      <c r="AHR29">
        <v>101959</v>
      </c>
      <c r="AHS29">
        <v>4259</v>
      </c>
      <c r="AHT29">
        <v>0</v>
      </c>
      <c r="AHU29">
        <v>0</v>
      </c>
      <c r="AHV29">
        <v>0</v>
      </c>
      <c r="AHW29">
        <v>26934</v>
      </c>
      <c r="AHX29">
        <v>438963</v>
      </c>
      <c r="AHY29">
        <v>5628</v>
      </c>
      <c r="AHZ29">
        <v>31690</v>
      </c>
      <c r="AIA29">
        <v>0</v>
      </c>
      <c r="AIB29">
        <v>71693</v>
      </c>
      <c r="AIC29">
        <v>1698</v>
      </c>
      <c r="AID29">
        <v>137742</v>
      </c>
      <c r="AIE29">
        <v>17875</v>
      </c>
      <c r="AIF29">
        <v>14513</v>
      </c>
      <c r="AIG29">
        <v>15770</v>
      </c>
      <c r="AIH29">
        <v>0</v>
      </c>
      <c r="AII29">
        <v>58833</v>
      </c>
      <c r="AIJ29">
        <v>25432</v>
      </c>
      <c r="AIK29">
        <v>3675</v>
      </c>
      <c r="AIL29">
        <v>4707</v>
      </c>
      <c r="AIM29">
        <v>0</v>
      </c>
      <c r="AIN29">
        <v>71914</v>
      </c>
      <c r="AIO29">
        <v>0</v>
      </c>
      <c r="AIP29">
        <v>0</v>
      </c>
      <c r="AIQ29">
        <v>9695</v>
      </c>
      <c r="AIR29">
        <v>4512</v>
      </c>
      <c r="AIS29">
        <v>193060</v>
      </c>
      <c r="AIT29">
        <v>100014</v>
      </c>
      <c r="AIU29">
        <v>182503</v>
      </c>
      <c r="AIV29">
        <v>0</v>
      </c>
      <c r="AIW29">
        <v>165417</v>
      </c>
      <c r="AIX29">
        <v>329946</v>
      </c>
      <c r="AIY29">
        <v>40594</v>
      </c>
      <c r="AIZ29">
        <v>58398</v>
      </c>
      <c r="AJA29">
        <v>42676</v>
      </c>
      <c r="AJB29">
        <v>4564</v>
      </c>
      <c r="AJC29">
        <v>0</v>
      </c>
      <c r="AJD29">
        <v>19444</v>
      </c>
      <c r="AJE29">
        <v>18313</v>
      </c>
      <c r="AJF29">
        <v>15393</v>
      </c>
      <c r="AJG29">
        <v>11</v>
      </c>
      <c r="AJH29">
        <v>1990</v>
      </c>
      <c r="AJI29">
        <v>8593</v>
      </c>
      <c r="AJJ29">
        <v>0</v>
      </c>
      <c r="AJK29">
        <v>37306</v>
      </c>
      <c r="AJL29">
        <v>157093</v>
      </c>
      <c r="AJM29">
        <v>149742</v>
      </c>
      <c r="AJN29">
        <v>2374</v>
      </c>
      <c r="AJO29">
        <v>21836</v>
      </c>
      <c r="AJP29">
        <v>1024</v>
      </c>
      <c r="AJQ29">
        <v>0</v>
      </c>
      <c r="AJR29">
        <v>0</v>
      </c>
      <c r="AJS29">
        <v>130839</v>
      </c>
      <c r="AJT29">
        <v>0</v>
      </c>
      <c r="AJU29">
        <v>104160</v>
      </c>
      <c r="AJV29">
        <v>129424</v>
      </c>
      <c r="AJW29">
        <v>47571</v>
      </c>
      <c r="AJX29">
        <v>0</v>
      </c>
      <c r="AJY29">
        <v>128469</v>
      </c>
      <c r="AJZ29">
        <v>35435</v>
      </c>
      <c r="AKA29">
        <v>15503</v>
      </c>
      <c r="AKB29">
        <v>38760</v>
      </c>
      <c r="AKC29">
        <v>74636</v>
      </c>
      <c r="AKD29">
        <v>208390</v>
      </c>
      <c r="AKE29">
        <v>0</v>
      </c>
      <c r="AKF29">
        <v>36396</v>
      </c>
    </row>
    <row r="30" spans="1:968">
      <c r="A30">
        <v>2</v>
      </c>
      <c r="B30" t="s">
        <v>124</v>
      </c>
      <c r="C30" s="1">
        <v>82612</v>
      </c>
      <c r="D30" s="1" t="s">
        <v>28</v>
      </c>
      <c r="E30" s="1" t="s">
        <v>97</v>
      </c>
      <c r="F30" s="1" t="s">
        <v>97</v>
      </c>
      <c r="G30" s="1" t="s">
        <v>12</v>
      </c>
      <c r="H30" s="1" t="s">
        <v>114</v>
      </c>
      <c r="I30" s="1" t="s">
        <v>45</v>
      </c>
      <c r="J30" s="1" t="s">
        <v>46</v>
      </c>
      <c r="K30">
        <v>52016</v>
      </c>
      <c r="L30">
        <v>73675</v>
      </c>
      <c r="M30">
        <v>24166</v>
      </c>
      <c r="N30">
        <v>22876</v>
      </c>
      <c r="O30">
        <v>0</v>
      </c>
      <c r="P30">
        <v>71399</v>
      </c>
      <c r="Q30">
        <v>34901</v>
      </c>
      <c r="R30">
        <v>40748</v>
      </c>
      <c r="S30">
        <v>64327</v>
      </c>
      <c r="T30">
        <v>40309</v>
      </c>
      <c r="U30">
        <v>10550</v>
      </c>
      <c r="V30">
        <v>0</v>
      </c>
      <c r="W30">
        <v>87574</v>
      </c>
      <c r="X30">
        <v>16830</v>
      </c>
      <c r="Y30">
        <v>46581</v>
      </c>
      <c r="Z30">
        <v>86371</v>
      </c>
      <c r="AA30">
        <v>65531</v>
      </c>
      <c r="AB30">
        <v>30838</v>
      </c>
      <c r="AC30">
        <v>0</v>
      </c>
      <c r="AD30">
        <v>81695</v>
      </c>
      <c r="AE30">
        <v>28907</v>
      </c>
      <c r="AF30">
        <v>93942</v>
      </c>
      <c r="AG30">
        <v>65067</v>
      </c>
      <c r="AH30">
        <v>43172</v>
      </c>
      <c r="AI30">
        <v>24239</v>
      </c>
      <c r="AJ30">
        <v>0</v>
      </c>
      <c r="AK30">
        <v>113835</v>
      </c>
      <c r="AL30">
        <v>25186</v>
      </c>
      <c r="AM30">
        <v>76224</v>
      </c>
      <c r="AN30">
        <v>96349</v>
      </c>
      <c r="AO30">
        <v>79157</v>
      </c>
      <c r="AP30">
        <v>26526</v>
      </c>
      <c r="AQ30">
        <v>0</v>
      </c>
      <c r="AR30">
        <v>66243</v>
      </c>
      <c r="AS30">
        <v>0</v>
      </c>
      <c r="AT30">
        <v>80478</v>
      </c>
      <c r="AU30">
        <v>78871</v>
      </c>
      <c r="AV30">
        <v>42422</v>
      </c>
      <c r="AW30">
        <v>7972</v>
      </c>
      <c r="AX30">
        <v>0</v>
      </c>
      <c r="AY30">
        <v>64873</v>
      </c>
      <c r="AZ30">
        <v>35806</v>
      </c>
      <c r="BA30">
        <v>67652</v>
      </c>
      <c r="BB30">
        <v>60787</v>
      </c>
      <c r="BC30">
        <v>56490</v>
      </c>
      <c r="BD30">
        <v>53804</v>
      </c>
      <c r="BE30">
        <v>0</v>
      </c>
      <c r="BF30">
        <v>70913</v>
      </c>
      <c r="BG30">
        <v>47403</v>
      </c>
      <c r="BH30">
        <v>80188</v>
      </c>
      <c r="BI30">
        <v>75632</v>
      </c>
      <c r="BJ30">
        <v>77666</v>
      </c>
      <c r="BK30">
        <v>21457</v>
      </c>
      <c r="BL30">
        <v>0</v>
      </c>
      <c r="BM30">
        <v>85486</v>
      </c>
      <c r="BN30">
        <v>23949</v>
      </c>
      <c r="BO30">
        <v>81306</v>
      </c>
      <c r="BP30">
        <v>86952</v>
      </c>
      <c r="BQ30">
        <v>48049</v>
      </c>
      <c r="BR30">
        <v>0</v>
      </c>
      <c r="BS30">
        <v>0</v>
      </c>
      <c r="BT30">
        <v>0</v>
      </c>
      <c r="BU30" s="33">
        <v>112622</v>
      </c>
      <c r="BV30" s="33">
        <v>84550</v>
      </c>
      <c r="BW30" s="33">
        <v>75857</v>
      </c>
      <c r="BX30" s="33">
        <v>107598</v>
      </c>
      <c r="BY30" s="33">
        <v>16698</v>
      </c>
      <c r="BZ30" s="33">
        <v>0</v>
      </c>
      <c r="CA30" s="33">
        <v>74758</v>
      </c>
      <c r="CB30">
        <v>25820</v>
      </c>
      <c r="CC30">
        <v>59427</v>
      </c>
      <c r="CD30">
        <v>46186</v>
      </c>
      <c r="CE30">
        <v>34978</v>
      </c>
      <c r="CF30">
        <v>24924</v>
      </c>
      <c r="CG30">
        <v>0</v>
      </c>
      <c r="CH30">
        <v>85278</v>
      </c>
      <c r="CI30">
        <v>36128</v>
      </c>
      <c r="CJ30">
        <v>113050</v>
      </c>
      <c r="CK30">
        <v>50790</v>
      </c>
      <c r="CL30">
        <v>32660</v>
      </c>
      <c r="CM30">
        <v>0</v>
      </c>
      <c r="CN30">
        <v>0</v>
      </c>
      <c r="CO30">
        <v>81275</v>
      </c>
      <c r="CP30">
        <v>16343</v>
      </c>
      <c r="CQ30">
        <v>79071</v>
      </c>
      <c r="CR30">
        <v>55446</v>
      </c>
      <c r="CS30">
        <v>54289</v>
      </c>
      <c r="CT30">
        <v>13379</v>
      </c>
      <c r="CU30">
        <v>0</v>
      </c>
      <c r="CV30">
        <v>45992</v>
      </c>
      <c r="CW30">
        <v>18589</v>
      </c>
      <c r="CX30">
        <v>52703</v>
      </c>
      <c r="CY30">
        <v>40422</v>
      </c>
      <c r="CZ30">
        <v>37750</v>
      </c>
      <c r="DA30">
        <v>4022</v>
      </c>
      <c r="DB30">
        <v>0</v>
      </c>
      <c r="DC30">
        <v>47887</v>
      </c>
      <c r="DD30">
        <v>19862</v>
      </c>
      <c r="DE30">
        <v>96567</v>
      </c>
      <c r="DF30">
        <v>73332</v>
      </c>
      <c r="DG30">
        <v>46636</v>
      </c>
      <c r="DH30">
        <v>16927</v>
      </c>
      <c r="DI30">
        <v>0</v>
      </c>
      <c r="DJ30">
        <v>75586</v>
      </c>
      <c r="DK30">
        <v>16616</v>
      </c>
      <c r="DL30">
        <v>60041</v>
      </c>
      <c r="DM30">
        <v>54612</v>
      </c>
      <c r="DN30">
        <v>26800</v>
      </c>
      <c r="DO30">
        <v>8196</v>
      </c>
      <c r="DP30">
        <v>0</v>
      </c>
      <c r="DQ30">
        <v>74830</v>
      </c>
      <c r="DR30">
        <v>24190</v>
      </c>
      <c r="DS30">
        <v>56444</v>
      </c>
      <c r="DT30">
        <v>59272</v>
      </c>
      <c r="DU30">
        <v>43965</v>
      </c>
      <c r="DV30">
        <v>26409</v>
      </c>
      <c r="DW30">
        <v>0</v>
      </c>
      <c r="DX30">
        <v>67436</v>
      </c>
      <c r="DY30">
        <v>28585</v>
      </c>
      <c r="DZ30">
        <v>43945</v>
      </c>
      <c r="EA30">
        <v>40496</v>
      </c>
      <c r="EB30">
        <v>28890</v>
      </c>
      <c r="EC30">
        <v>17332</v>
      </c>
      <c r="ED30">
        <v>0</v>
      </c>
      <c r="EE30">
        <v>50177</v>
      </c>
      <c r="EF30">
        <v>29541</v>
      </c>
      <c r="EG30">
        <v>63992</v>
      </c>
      <c r="EH30">
        <v>50466</v>
      </c>
      <c r="EI30">
        <v>37452</v>
      </c>
      <c r="EJ30">
        <v>6347</v>
      </c>
      <c r="EK30">
        <v>0</v>
      </c>
      <c r="EL30">
        <v>43611</v>
      </c>
      <c r="EM30">
        <v>17756</v>
      </c>
      <c r="EN30">
        <v>50922</v>
      </c>
      <c r="EO30">
        <v>60732</v>
      </c>
      <c r="EP30">
        <v>34216</v>
      </c>
      <c r="EQ30">
        <v>10941</v>
      </c>
      <c r="ER30">
        <v>0</v>
      </c>
      <c r="ES30">
        <v>60182</v>
      </c>
      <c r="ET30">
        <v>12633</v>
      </c>
      <c r="EU30">
        <v>48037</v>
      </c>
      <c r="EV30">
        <v>41777</v>
      </c>
      <c r="EW30">
        <v>42442</v>
      </c>
      <c r="EX30">
        <v>32591</v>
      </c>
      <c r="EY30">
        <v>0</v>
      </c>
      <c r="EZ30">
        <v>95818</v>
      </c>
      <c r="FA30">
        <v>11754</v>
      </c>
      <c r="FB30">
        <v>52403</v>
      </c>
      <c r="FC30">
        <v>66946</v>
      </c>
      <c r="FD30">
        <v>32958</v>
      </c>
      <c r="FE30">
        <v>14926</v>
      </c>
      <c r="FF30">
        <v>0</v>
      </c>
      <c r="FG30">
        <v>44432</v>
      </c>
      <c r="FH30">
        <v>12098</v>
      </c>
      <c r="FI30">
        <v>70691</v>
      </c>
      <c r="FJ30">
        <v>77176</v>
      </c>
      <c r="FK30">
        <v>50675</v>
      </c>
      <c r="FL30">
        <v>0</v>
      </c>
      <c r="FM30">
        <v>0</v>
      </c>
      <c r="FN30">
        <v>72299</v>
      </c>
      <c r="FO30">
        <v>36322</v>
      </c>
      <c r="FP30">
        <v>69802</v>
      </c>
      <c r="FQ30">
        <v>64602</v>
      </c>
      <c r="FR30">
        <v>8893</v>
      </c>
      <c r="FS30">
        <v>0</v>
      </c>
      <c r="FT30">
        <v>0</v>
      </c>
      <c r="FU30">
        <v>0</v>
      </c>
      <c r="FV30">
        <v>101988</v>
      </c>
      <c r="FW30">
        <v>54414</v>
      </c>
      <c r="FX30">
        <v>78726</v>
      </c>
      <c r="FY30">
        <v>36163</v>
      </c>
      <c r="FZ30">
        <v>10998</v>
      </c>
      <c r="GA30">
        <v>0</v>
      </c>
      <c r="GB30">
        <v>57822</v>
      </c>
      <c r="GC30">
        <v>18392</v>
      </c>
      <c r="GD30">
        <v>68705</v>
      </c>
      <c r="GE30">
        <v>47750</v>
      </c>
      <c r="GF30">
        <v>21871</v>
      </c>
      <c r="GG30">
        <v>12034</v>
      </c>
      <c r="GH30">
        <v>0</v>
      </c>
      <c r="GI30">
        <v>74209</v>
      </c>
      <c r="GJ30">
        <v>53998</v>
      </c>
      <c r="GK30">
        <v>0</v>
      </c>
      <c r="GL30">
        <v>59984</v>
      </c>
      <c r="GM30">
        <v>22567</v>
      </c>
      <c r="GN30">
        <v>0</v>
      </c>
      <c r="GO30">
        <v>0</v>
      </c>
      <c r="GP30">
        <v>52859</v>
      </c>
      <c r="GQ30">
        <v>20172</v>
      </c>
      <c r="GR30">
        <v>52800</v>
      </c>
      <c r="GS30">
        <v>67977</v>
      </c>
      <c r="GT30">
        <v>58552</v>
      </c>
      <c r="GU30">
        <v>41175</v>
      </c>
      <c r="GV30">
        <v>0</v>
      </c>
      <c r="GW30">
        <v>76140</v>
      </c>
      <c r="GX30">
        <v>83576</v>
      </c>
      <c r="GY30">
        <v>90900</v>
      </c>
      <c r="GZ30">
        <v>54044</v>
      </c>
      <c r="HA30">
        <v>39301</v>
      </c>
      <c r="HB30">
        <v>14057</v>
      </c>
      <c r="HC30">
        <v>0</v>
      </c>
      <c r="HD30">
        <v>71063</v>
      </c>
      <c r="HE30">
        <v>72452</v>
      </c>
      <c r="HF30">
        <v>0</v>
      </c>
      <c r="HG30">
        <v>81399</v>
      </c>
      <c r="HH30">
        <v>34570</v>
      </c>
      <c r="HI30">
        <v>6641</v>
      </c>
      <c r="HJ30">
        <v>0</v>
      </c>
      <c r="HK30">
        <v>66178</v>
      </c>
      <c r="HL30">
        <v>26101</v>
      </c>
      <c r="HM30">
        <v>52395</v>
      </c>
      <c r="HN30">
        <v>66053</v>
      </c>
      <c r="HO30">
        <v>36427</v>
      </c>
      <c r="HP30">
        <v>8703</v>
      </c>
      <c r="HQ30">
        <v>0</v>
      </c>
      <c r="HR30">
        <v>0</v>
      </c>
      <c r="HS30">
        <v>71776</v>
      </c>
      <c r="HT30">
        <v>31682</v>
      </c>
      <c r="HU30">
        <v>50390</v>
      </c>
      <c r="HV30">
        <v>40395</v>
      </c>
      <c r="HW30">
        <v>14312</v>
      </c>
      <c r="HX30">
        <v>0</v>
      </c>
      <c r="HY30">
        <v>51940</v>
      </c>
      <c r="HZ30">
        <v>65062</v>
      </c>
      <c r="IA30">
        <v>75501</v>
      </c>
      <c r="IB30">
        <v>48612</v>
      </c>
      <c r="IC30">
        <v>50378</v>
      </c>
      <c r="ID30">
        <v>12795</v>
      </c>
      <c r="IE30">
        <v>0</v>
      </c>
      <c r="IF30">
        <v>44969</v>
      </c>
      <c r="IG30">
        <v>41080</v>
      </c>
      <c r="IH30">
        <v>59481</v>
      </c>
      <c r="II30">
        <v>54063</v>
      </c>
      <c r="IJ30">
        <v>43239</v>
      </c>
      <c r="IK30">
        <v>10629</v>
      </c>
      <c r="IL30">
        <v>0</v>
      </c>
      <c r="IM30">
        <v>52520</v>
      </c>
      <c r="IN30">
        <v>23948</v>
      </c>
      <c r="IO30">
        <v>58959</v>
      </c>
      <c r="IP30">
        <v>85166</v>
      </c>
      <c r="IQ30">
        <v>31988</v>
      </c>
      <c r="IR30">
        <v>23918</v>
      </c>
      <c r="IS30">
        <v>0</v>
      </c>
      <c r="IT30">
        <v>90079</v>
      </c>
      <c r="IU30">
        <v>30586</v>
      </c>
      <c r="IV30">
        <v>70736</v>
      </c>
      <c r="IW30">
        <v>70394</v>
      </c>
      <c r="IX30">
        <v>67138</v>
      </c>
      <c r="IY30">
        <v>21966</v>
      </c>
      <c r="IZ30">
        <v>0</v>
      </c>
      <c r="JA30">
        <v>63737</v>
      </c>
      <c r="JB30">
        <v>7933</v>
      </c>
      <c r="JC30">
        <v>70492</v>
      </c>
      <c r="JD30">
        <v>70753</v>
      </c>
      <c r="JE30">
        <v>39308</v>
      </c>
      <c r="JF30">
        <v>10589</v>
      </c>
      <c r="JG30">
        <v>0</v>
      </c>
      <c r="JH30">
        <v>67732</v>
      </c>
      <c r="JI30">
        <v>14768</v>
      </c>
      <c r="JJ30">
        <v>70629</v>
      </c>
      <c r="JK30">
        <v>62125</v>
      </c>
      <c r="JL30">
        <v>47103</v>
      </c>
      <c r="JM30">
        <v>18744</v>
      </c>
      <c r="JN30">
        <v>0</v>
      </c>
      <c r="JO30">
        <v>101883</v>
      </c>
      <c r="JP30">
        <v>40044</v>
      </c>
      <c r="JQ30">
        <v>80375</v>
      </c>
      <c r="JR30">
        <v>55760</v>
      </c>
      <c r="JS30">
        <v>41534</v>
      </c>
      <c r="JT30">
        <v>17116</v>
      </c>
      <c r="JU30">
        <v>0</v>
      </c>
      <c r="JV30">
        <v>88948</v>
      </c>
      <c r="JW30">
        <v>49544</v>
      </c>
      <c r="JX30">
        <v>0</v>
      </c>
      <c r="JY30">
        <v>56231</v>
      </c>
      <c r="JZ30">
        <v>43225</v>
      </c>
      <c r="KA30">
        <v>9500</v>
      </c>
      <c r="KB30">
        <v>0</v>
      </c>
      <c r="KC30">
        <v>61025</v>
      </c>
      <c r="KD30">
        <v>31385</v>
      </c>
      <c r="KE30">
        <v>80629</v>
      </c>
      <c r="KF30">
        <v>37088</v>
      </c>
      <c r="KG30">
        <v>51388</v>
      </c>
      <c r="KH30">
        <v>32362</v>
      </c>
      <c r="KI30">
        <v>0</v>
      </c>
      <c r="KJ30">
        <v>0</v>
      </c>
      <c r="KK30">
        <v>73118</v>
      </c>
      <c r="KL30">
        <v>61536</v>
      </c>
      <c r="KM30">
        <v>66283</v>
      </c>
      <c r="KN30">
        <v>43892</v>
      </c>
      <c r="KO30">
        <v>11888</v>
      </c>
      <c r="KP30">
        <v>2</v>
      </c>
      <c r="KQ30">
        <v>70943</v>
      </c>
      <c r="KR30">
        <v>7020</v>
      </c>
      <c r="KS30">
        <v>42906</v>
      </c>
      <c r="KT30">
        <v>99560</v>
      </c>
      <c r="KU30">
        <v>24721</v>
      </c>
      <c r="KV30">
        <v>13814</v>
      </c>
      <c r="KW30">
        <v>687</v>
      </c>
      <c r="KX30">
        <v>23898</v>
      </c>
      <c r="KY30">
        <v>98</v>
      </c>
      <c r="KZ30">
        <v>18442</v>
      </c>
      <c r="LA30">
        <v>81385</v>
      </c>
      <c r="LB30">
        <v>18497</v>
      </c>
      <c r="LC30">
        <v>42235</v>
      </c>
      <c r="LD30">
        <v>0</v>
      </c>
      <c r="LE30">
        <v>80222</v>
      </c>
      <c r="LF30">
        <v>22616</v>
      </c>
      <c r="LG30">
        <v>61276</v>
      </c>
      <c r="LH30">
        <v>72858</v>
      </c>
      <c r="LI30">
        <v>63167</v>
      </c>
      <c r="LJ30">
        <v>12908</v>
      </c>
      <c r="LK30">
        <v>0</v>
      </c>
      <c r="LL30">
        <v>84148</v>
      </c>
      <c r="LM30">
        <v>26100</v>
      </c>
      <c r="LN30">
        <v>71332</v>
      </c>
      <c r="LO30">
        <v>61285</v>
      </c>
      <c r="LP30">
        <v>30655</v>
      </c>
      <c r="LQ30">
        <v>11077</v>
      </c>
      <c r="LR30">
        <v>0</v>
      </c>
      <c r="LS30">
        <v>123127</v>
      </c>
      <c r="LT30">
        <v>13368</v>
      </c>
      <c r="LU30">
        <v>63845</v>
      </c>
      <c r="LV30">
        <v>62162</v>
      </c>
      <c r="LW30">
        <v>35385</v>
      </c>
      <c r="LX30">
        <v>13224</v>
      </c>
      <c r="LY30">
        <v>0</v>
      </c>
      <c r="LZ30">
        <v>65393</v>
      </c>
      <c r="MA30">
        <v>11780</v>
      </c>
      <c r="MB30">
        <v>66240</v>
      </c>
      <c r="MC30">
        <v>87023</v>
      </c>
      <c r="MD30">
        <v>39481</v>
      </c>
      <c r="ME30">
        <v>19222</v>
      </c>
      <c r="MF30">
        <v>0</v>
      </c>
      <c r="MG30">
        <v>85193</v>
      </c>
      <c r="MH30">
        <v>25310</v>
      </c>
      <c r="MI30">
        <v>84704</v>
      </c>
      <c r="MJ30">
        <v>56029</v>
      </c>
      <c r="MK30">
        <v>52952</v>
      </c>
      <c r="ML30">
        <v>11586</v>
      </c>
      <c r="MM30">
        <v>0</v>
      </c>
      <c r="MN30">
        <v>39883</v>
      </c>
      <c r="MO30">
        <v>22799</v>
      </c>
      <c r="MP30">
        <v>71291</v>
      </c>
      <c r="MQ30">
        <v>48402</v>
      </c>
      <c r="MR30">
        <v>37812</v>
      </c>
      <c r="MS30">
        <v>33520</v>
      </c>
      <c r="MT30">
        <v>6798</v>
      </c>
      <c r="MU30">
        <v>0</v>
      </c>
      <c r="MV30">
        <v>97855</v>
      </c>
      <c r="MW30">
        <v>63239</v>
      </c>
      <c r="MX30">
        <v>50965</v>
      </c>
      <c r="MY30">
        <v>54469</v>
      </c>
      <c r="MZ30">
        <v>23285</v>
      </c>
      <c r="NA30">
        <v>0</v>
      </c>
      <c r="NB30">
        <v>44986</v>
      </c>
      <c r="NC30">
        <v>84275</v>
      </c>
      <c r="ND30">
        <v>0</v>
      </c>
      <c r="NE30">
        <v>109863</v>
      </c>
      <c r="NF30">
        <v>48457</v>
      </c>
      <c r="NG30">
        <v>19698</v>
      </c>
      <c r="NH30">
        <v>0</v>
      </c>
      <c r="NI30">
        <v>67676</v>
      </c>
      <c r="NJ30">
        <v>42301</v>
      </c>
      <c r="NK30">
        <v>93008</v>
      </c>
      <c r="NL30">
        <v>49822</v>
      </c>
      <c r="NM30">
        <v>57648</v>
      </c>
      <c r="NN30">
        <v>17437</v>
      </c>
      <c r="NO30">
        <v>0</v>
      </c>
      <c r="NP30">
        <v>50573</v>
      </c>
      <c r="NQ30">
        <v>40975</v>
      </c>
      <c r="NR30">
        <v>61854</v>
      </c>
      <c r="NS30">
        <v>52156</v>
      </c>
      <c r="NT30">
        <v>67984</v>
      </c>
      <c r="NU30">
        <v>28370</v>
      </c>
      <c r="NV30">
        <v>0</v>
      </c>
      <c r="NW30">
        <v>61699</v>
      </c>
      <c r="NX30">
        <v>36937</v>
      </c>
      <c r="NY30">
        <v>96938</v>
      </c>
      <c r="NZ30">
        <v>53691</v>
      </c>
      <c r="OA30">
        <v>35778</v>
      </c>
      <c r="OB30">
        <v>13162</v>
      </c>
      <c r="OC30">
        <v>0</v>
      </c>
      <c r="OD30">
        <v>53707</v>
      </c>
      <c r="OE30">
        <v>29933</v>
      </c>
      <c r="OF30">
        <v>75099</v>
      </c>
      <c r="OG30">
        <v>54976</v>
      </c>
      <c r="OH30">
        <v>34928</v>
      </c>
      <c r="OI30">
        <v>18537</v>
      </c>
      <c r="OJ30">
        <v>0</v>
      </c>
      <c r="OK30">
        <v>62635</v>
      </c>
      <c r="OL30">
        <v>24950</v>
      </c>
      <c r="OM30">
        <v>71269</v>
      </c>
      <c r="ON30">
        <v>54367</v>
      </c>
      <c r="OO30">
        <v>57677</v>
      </c>
      <c r="OP30">
        <v>18135</v>
      </c>
      <c r="OQ30">
        <v>0</v>
      </c>
      <c r="OR30">
        <v>77961</v>
      </c>
      <c r="OS30">
        <v>55930</v>
      </c>
      <c r="OT30">
        <v>129178</v>
      </c>
      <c r="OU30">
        <v>0</v>
      </c>
      <c r="OV30">
        <v>110316</v>
      </c>
      <c r="OW30">
        <v>15528</v>
      </c>
      <c r="OX30">
        <v>0</v>
      </c>
      <c r="OY30">
        <v>58867</v>
      </c>
      <c r="OZ30">
        <v>23918</v>
      </c>
      <c r="PA30">
        <v>114098</v>
      </c>
      <c r="PB30">
        <v>77454</v>
      </c>
      <c r="PC30">
        <v>44336</v>
      </c>
      <c r="PD30">
        <v>18601</v>
      </c>
      <c r="PE30">
        <v>0</v>
      </c>
      <c r="PF30">
        <v>86290</v>
      </c>
      <c r="PG30">
        <v>29691</v>
      </c>
      <c r="PH30">
        <v>133820</v>
      </c>
      <c r="PI30">
        <v>79312</v>
      </c>
      <c r="PJ30">
        <v>73149</v>
      </c>
      <c r="PK30">
        <v>34860</v>
      </c>
      <c r="PL30">
        <v>0</v>
      </c>
      <c r="PM30">
        <v>99365</v>
      </c>
      <c r="PN30">
        <v>58473</v>
      </c>
      <c r="PO30">
        <v>94663</v>
      </c>
      <c r="PP30">
        <v>116755</v>
      </c>
      <c r="PQ30">
        <v>67876</v>
      </c>
      <c r="PR30">
        <v>73583</v>
      </c>
      <c r="PS30">
        <v>0</v>
      </c>
      <c r="PT30">
        <v>136960</v>
      </c>
      <c r="PU30">
        <v>0</v>
      </c>
      <c r="PV30">
        <v>0</v>
      </c>
      <c r="PW30">
        <v>105592</v>
      </c>
      <c r="PX30">
        <v>65097</v>
      </c>
      <c r="PY30">
        <v>27289</v>
      </c>
      <c r="PZ30">
        <v>0</v>
      </c>
      <c r="QA30">
        <v>96177</v>
      </c>
      <c r="QB30">
        <v>72334</v>
      </c>
      <c r="QC30">
        <v>160285</v>
      </c>
      <c r="QD30">
        <v>152797</v>
      </c>
      <c r="QE30">
        <v>58206</v>
      </c>
      <c r="QF30">
        <v>47346</v>
      </c>
      <c r="QG30">
        <v>0</v>
      </c>
      <c r="QH30">
        <v>51323</v>
      </c>
      <c r="QI30">
        <v>26250</v>
      </c>
      <c r="QJ30">
        <v>77842</v>
      </c>
      <c r="QK30">
        <v>48026</v>
      </c>
      <c r="QL30">
        <v>32276</v>
      </c>
      <c r="QM30">
        <v>27158</v>
      </c>
      <c r="QN30">
        <v>0</v>
      </c>
      <c r="QO30">
        <v>73363</v>
      </c>
      <c r="QP30">
        <v>12721</v>
      </c>
      <c r="QQ30">
        <v>64433</v>
      </c>
      <c r="QR30">
        <v>53603</v>
      </c>
      <c r="QS30">
        <v>34917</v>
      </c>
      <c r="QT30">
        <v>15789</v>
      </c>
      <c r="QU30">
        <v>0</v>
      </c>
      <c r="QV30">
        <v>37151</v>
      </c>
      <c r="QW30">
        <v>25897</v>
      </c>
      <c r="QX30">
        <v>63410</v>
      </c>
      <c r="QY30">
        <v>49774</v>
      </c>
      <c r="QZ30">
        <v>26293</v>
      </c>
      <c r="RA30">
        <v>22928</v>
      </c>
      <c r="RB30">
        <v>0</v>
      </c>
      <c r="RC30">
        <v>77610</v>
      </c>
      <c r="RD30">
        <v>29547</v>
      </c>
      <c r="RE30">
        <v>86858</v>
      </c>
      <c r="RF30">
        <v>61074</v>
      </c>
      <c r="RG30">
        <v>44184</v>
      </c>
      <c r="RH30">
        <v>0</v>
      </c>
      <c r="RI30">
        <v>0</v>
      </c>
      <c r="RJ30">
        <v>49437</v>
      </c>
      <c r="RK30">
        <v>11885</v>
      </c>
      <c r="RL30">
        <v>65542</v>
      </c>
      <c r="RM30">
        <v>44574</v>
      </c>
      <c r="RN30">
        <v>61557</v>
      </c>
      <c r="RO30">
        <v>15682</v>
      </c>
      <c r="RP30">
        <v>0</v>
      </c>
      <c r="RQ30">
        <v>62127</v>
      </c>
      <c r="RR30">
        <v>26092</v>
      </c>
      <c r="RS30">
        <v>91249</v>
      </c>
      <c r="RT30">
        <v>72900</v>
      </c>
      <c r="RU30">
        <v>45723</v>
      </c>
      <c r="RV30">
        <v>28905</v>
      </c>
      <c r="RW30">
        <v>0</v>
      </c>
      <c r="RX30">
        <v>39434</v>
      </c>
      <c r="RY30">
        <v>23180</v>
      </c>
      <c r="RZ30">
        <v>60121</v>
      </c>
      <c r="SA30">
        <v>55002</v>
      </c>
      <c r="SB30">
        <v>43505</v>
      </c>
      <c r="SC30">
        <v>12831</v>
      </c>
      <c r="SD30">
        <v>0</v>
      </c>
      <c r="SE30">
        <v>43558</v>
      </c>
      <c r="SF30">
        <v>18011</v>
      </c>
      <c r="SG30">
        <v>77230</v>
      </c>
      <c r="SH30">
        <v>42639</v>
      </c>
      <c r="SI30">
        <v>36180</v>
      </c>
      <c r="SJ30">
        <v>11191</v>
      </c>
      <c r="SK30">
        <v>0</v>
      </c>
      <c r="SL30">
        <v>60705</v>
      </c>
      <c r="SM30">
        <v>13108</v>
      </c>
      <c r="SN30">
        <v>76781</v>
      </c>
      <c r="SO30">
        <v>62497</v>
      </c>
      <c r="SP30">
        <v>43394</v>
      </c>
      <c r="SQ30">
        <v>6326</v>
      </c>
      <c r="SR30">
        <v>0</v>
      </c>
      <c r="SS30">
        <v>48729</v>
      </c>
      <c r="ST30">
        <v>11347</v>
      </c>
      <c r="SU30">
        <v>79102</v>
      </c>
      <c r="SV30">
        <v>129162</v>
      </c>
      <c r="SW30">
        <v>47153</v>
      </c>
      <c r="SX30">
        <v>8019</v>
      </c>
      <c r="SY30">
        <v>0</v>
      </c>
      <c r="SZ30">
        <v>36018</v>
      </c>
      <c r="TA30">
        <v>15754</v>
      </c>
      <c r="TB30">
        <v>80315</v>
      </c>
      <c r="TC30">
        <v>84087</v>
      </c>
      <c r="TD30">
        <v>43185</v>
      </c>
      <c r="TE30">
        <v>9723</v>
      </c>
      <c r="TF30">
        <v>0</v>
      </c>
      <c r="TG30">
        <v>35833</v>
      </c>
      <c r="TH30">
        <v>14423</v>
      </c>
      <c r="TI30">
        <v>80199</v>
      </c>
      <c r="TJ30">
        <v>87802</v>
      </c>
      <c r="TK30">
        <v>40012</v>
      </c>
      <c r="TL30">
        <v>14913</v>
      </c>
      <c r="TM30">
        <v>0</v>
      </c>
      <c r="TN30">
        <v>0</v>
      </c>
      <c r="TO30">
        <v>35913</v>
      </c>
      <c r="TP30">
        <v>68260</v>
      </c>
      <c r="TQ30">
        <v>100093</v>
      </c>
      <c r="TR30">
        <v>17842</v>
      </c>
      <c r="TS30">
        <v>75049</v>
      </c>
      <c r="TT30">
        <v>0</v>
      </c>
      <c r="TU30">
        <v>0</v>
      </c>
      <c r="TV30">
        <v>0</v>
      </c>
      <c r="TW30">
        <v>64244</v>
      </c>
      <c r="TX30">
        <v>33410</v>
      </c>
      <c r="TY30">
        <v>45010</v>
      </c>
      <c r="TZ30">
        <v>22741</v>
      </c>
      <c r="UA30">
        <v>0</v>
      </c>
      <c r="UB30">
        <v>47020</v>
      </c>
      <c r="UC30">
        <v>19953</v>
      </c>
      <c r="UD30">
        <v>86686</v>
      </c>
      <c r="UE30">
        <v>79663</v>
      </c>
      <c r="UF30">
        <v>30633</v>
      </c>
      <c r="UG30">
        <v>25934</v>
      </c>
      <c r="UH30">
        <v>0</v>
      </c>
      <c r="UI30">
        <v>49568</v>
      </c>
      <c r="UJ30">
        <v>25229</v>
      </c>
      <c r="UK30">
        <v>123856</v>
      </c>
      <c r="UL30">
        <v>0</v>
      </c>
      <c r="UM30">
        <v>56243</v>
      </c>
      <c r="UN30">
        <v>18982</v>
      </c>
      <c r="UO30">
        <v>0</v>
      </c>
      <c r="UP30">
        <v>71449</v>
      </c>
      <c r="UQ30">
        <v>90846</v>
      </c>
      <c r="UR30">
        <v>127408</v>
      </c>
      <c r="US30">
        <v>48125</v>
      </c>
      <c r="UT30">
        <v>32476</v>
      </c>
      <c r="UU30">
        <v>0</v>
      </c>
      <c r="UV30">
        <v>0</v>
      </c>
      <c r="UW30">
        <v>0</v>
      </c>
      <c r="UX30">
        <v>61874</v>
      </c>
      <c r="UY30">
        <v>61600</v>
      </c>
      <c r="UZ30">
        <v>75258</v>
      </c>
      <c r="VA30">
        <v>38959</v>
      </c>
      <c r="VB30">
        <v>20406</v>
      </c>
      <c r="VC30">
        <v>0</v>
      </c>
      <c r="VD30">
        <v>40934</v>
      </c>
      <c r="VE30">
        <v>23333</v>
      </c>
      <c r="VF30">
        <v>79613</v>
      </c>
      <c r="VG30">
        <v>93638</v>
      </c>
      <c r="VH30">
        <v>42464</v>
      </c>
      <c r="VI30">
        <v>17789</v>
      </c>
      <c r="VJ30">
        <v>0</v>
      </c>
      <c r="VK30">
        <v>55976</v>
      </c>
      <c r="VL30">
        <v>15547</v>
      </c>
      <c r="VM30">
        <v>68522</v>
      </c>
      <c r="VN30">
        <v>96583</v>
      </c>
      <c r="VO30">
        <v>34678</v>
      </c>
      <c r="VP30">
        <v>11679</v>
      </c>
      <c r="VQ30">
        <v>0</v>
      </c>
      <c r="VR30">
        <v>51901</v>
      </c>
      <c r="VS30">
        <v>0</v>
      </c>
      <c r="VT30">
        <v>75998</v>
      </c>
      <c r="VU30">
        <v>121507</v>
      </c>
      <c r="VV30">
        <v>51839</v>
      </c>
      <c r="VW30">
        <v>26848</v>
      </c>
      <c r="VX30">
        <v>0</v>
      </c>
      <c r="VY30">
        <v>69679</v>
      </c>
      <c r="VZ30">
        <v>24589</v>
      </c>
      <c r="WA30">
        <v>58943</v>
      </c>
      <c r="WB30">
        <v>95749</v>
      </c>
      <c r="WC30">
        <v>50598</v>
      </c>
      <c r="WD30">
        <v>24578</v>
      </c>
      <c r="WE30">
        <v>0</v>
      </c>
      <c r="WF30">
        <v>85072</v>
      </c>
      <c r="WG30">
        <v>12396</v>
      </c>
      <c r="WH30">
        <v>66116</v>
      </c>
      <c r="WI30">
        <v>73409</v>
      </c>
      <c r="WJ30">
        <v>40250</v>
      </c>
      <c r="WK30">
        <v>19594</v>
      </c>
      <c r="WL30">
        <v>0</v>
      </c>
      <c r="WM30">
        <v>68834</v>
      </c>
      <c r="WN30">
        <v>30928</v>
      </c>
      <c r="WO30">
        <v>76595</v>
      </c>
      <c r="WP30">
        <v>73715</v>
      </c>
      <c r="WQ30">
        <v>38195</v>
      </c>
      <c r="WR30">
        <v>2292</v>
      </c>
      <c r="WS30">
        <v>23586</v>
      </c>
      <c r="WT30">
        <v>38649</v>
      </c>
      <c r="WU30">
        <v>19314</v>
      </c>
      <c r="WV30">
        <v>80033</v>
      </c>
      <c r="WW30">
        <v>75049</v>
      </c>
      <c r="WX30">
        <v>60629</v>
      </c>
      <c r="WY30">
        <v>10766</v>
      </c>
      <c r="WZ30">
        <v>0</v>
      </c>
      <c r="XA30">
        <v>48334</v>
      </c>
      <c r="XB30">
        <v>10761</v>
      </c>
      <c r="XC30">
        <v>75536</v>
      </c>
      <c r="XD30">
        <v>100264</v>
      </c>
      <c r="XE30">
        <v>60531</v>
      </c>
      <c r="XF30">
        <v>26522</v>
      </c>
      <c r="XG30">
        <v>0</v>
      </c>
      <c r="XH30">
        <v>124514</v>
      </c>
      <c r="XI30">
        <v>42346</v>
      </c>
      <c r="XJ30">
        <v>136309</v>
      </c>
      <c r="XK30">
        <v>98791</v>
      </c>
      <c r="XL30">
        <v>63571</v>
      </c>
      <c r="XM30">
        <v>17590</v>
      </c>
      <c r="XN30">
        <v>0</v>
      </c>
      <c r="XO30">
        <v>61210</v>
      </c>
      <c r="XP30">
        <v>5033</v>
      </c>
      <c r="XQ30">
        <v>47777</v>
      </c>
      <c r="XR30">
        <v>124909</v>
      </c>
      <c r="XS30">
        <v>75645</v>
      </c>
      <c r="XT30">
        <v>62474</v>
      </c>
      <c r="XU30">
        <v>0</v>
      </c>
      <c r="XV30">
        <v>31</v>
      </c>
      <c r="XW30">
        <v>70458</v>
      </c>
      <c r="XX30">
        <v>101839</v>
      </c>
      <c r="XY30">
        <v>116512</v>
      </c>
      <c r="XZ30">
        <v>74687</v>
      </c>
      <c r="YA30">
        <v>45619</v>
      </c>
      <c r="YB30">
        <v>75151</v>
      </c>
      <c r="YC30">
        <v>52519</v>
      </c>
      <c r="YD30">
        <v>113339</v>
      </c>
      <c r="YE30">
        <v>137397</v>
      </c>
      <c r="YF30">
        <v>66371</v>
      </c>
      <c r="YG30">
        <v>26673</v>
      </c>
      <c r="YH30">
        <v>26673</v>
      </c>
      <c r="YI30">
        <v>0</v>
      </c>
      <c r="YJ30">
        <v>68822</v>
      </c>
      <c r="YK30">
        <v>0</v>
      </c>
      <c r="YL30">
        <v>86307</v>
      </c>
      <c r="YM30">
        <v>100696</v>
      </c>
      <c r="YN30">
        <v>50331</v>
      </c>
      <c r="YO30">
        <v>21634</v>
      </c>
      <c r="YP30">
        <v>0</v>
      </c>
      <c r="YQ30">
        <v>166845</v>
      </c>
      <c r="YR30">
        <v>26240</v>
      </c>
      <c r="YS30">
        <v>79961</v>
      </c>
      <c r="YT30">
        <v>86086</v>
      </c>
      <c r="YU30">
        <v>37983</v>
      </c>
      <c r="YV30">
        <v>37505</v>
      </c>
      <c r="YW30">
        <v>0</v>
      </c>
      <c r="YX30">
        <v>52477</v>
      </c>
      <c r="YY30">
        <v>30713</v>
      </c>
      <c r="YZ30">
        <v>110014</v>
      </c>
      <c r="ZA30">
        <v>92835</v>
      </c>
      <c r="ZB30">
        <v>69186</v>
      </c>
      <c r="ZC30">
        <v>20440</v>
      </c>
      <c r="ZD30">
        <v>0</v>
      </c>
      <c r="ZE30">
        <v>53431</v>
      </c>
      <c r="ZF30">
        <v>25422</v>
      </c>
      <c r="ZG30">
        <v>78604</v>
      </c>
      <c r="ZH30">
        <v>120531</v>
      </c>
      <c r="ZI30">
        <v>33846</v>
      </c>
      <c r="ZJ30">
        <v>26122</v>
      </c>
      <c r="ZK30">
        <v>56790</v>
      </c>
      <c r="ZL30">
        <v>12814</v>
      </c>
      <c r="ZM30">
        <v>90819</v>
      </c>
      <c r="ZN30">
        <v>0</v>
      </c>
      <c r="ZO30">
        <v>80232</v>
      </c>
      <c r="ZP30">
        <v>31726</v>
      </c>
      <c r="ZQ30">
        <v>7151</v>
      </c>
      <c r="ZR30">
        <v>0</v>
      </c>
      <c r="ZS30">
        <v>34912</v>
      </c>
      <c r="ZT30">
        <v>10059</v>
      </c>
      <c r="ZU30">
        <v>194220</v>
      </c>
      <c r="ZV30">
        <v>82824</v>
      </c>
      <c r="ZW30">
        <v>40163</v>
      </c>
      <c r="ZX30">
        <v>45715</v>
      </c>
      <c r="ZY30">
        <v>0</v>
      </c>
      <c r="ZZ30">
        <v>45375</v>
      </c>
      <c r="AAA30">
        <v>47031</v>
      </c>
      <c r="AAB30">
        <v>69624</v>
      </c>
      <c r="AAC30">
        <v>55848</v>
      </c>
      <c r="AAD30">
        <v>52475</v>
      </c>
      <c r="AAE30">
        <v>26879</v>
      </c>
      <c r="AAF30">
        <v>0</v>
      </c>
      <c r="AAG30">
        <v>53110</v>
      </c>
      <c r="AAH30">
        <v>91585</v>
      </c>
      <c r="AAI30">
        <v>57516</v>
      </c>
      <c r="AAJ30">
        <v>56584</v>
      </c>
      <c r="AAK30">
        <v>30259</v>
      </c>
      <c r="AAL30">
        <v>21450</v>
      </c>
      <c r="AAM30">
        <v>0</v>
      </c>
      <c r="AAN30">
        <v>61814</v>
      </c>
      <c r="AAO30">
        <v>13008</v>
      </c>
      <c r="AAP30">
        <v>91388</v>
      </c>
      <c r="AAQ30">
        <v>117256</v>
      </c>
      <c r="AAR30">
        <v>95210</v>
      </c>
      <c r="AAS30">
        <v>21548</v>
      </c>
      <c r="AAT30">
        <v>0</v>
      </c>
      <c r="AAU30">
        <v>7138</v>
      </c>
      <c r="AAV30">
        <v>48345</v>
      </c>
      <c r="AAW30">
        <v>73148</v>
      </c>
      <c r="AAX30">
        <v>97705</v>
      </c>
      <c r="AAY30">
        <v>59186</v>
      </c>
      <c r="AAZ30">
        <v>13497</v>
      </c>
      <c r="ABA30">
        <v>0</v>
      </c>
      <c r="ABB30">
        <v>48057</v>
      </c>
      <c r="ABC30">
        <v>47639</v>
      </c>
      <c r="ABD30">
        <v>93808</v>
      </c>
      <c r="ABE30">
        <v>0</v>
      </c>
      <c r="ABF30">
        <v>60977</v>
      </c>
      <c r="ABG30">
        <v>29474</v>
      </c>
      <c r="ABH30">
        <v>0</v>
      </c>
      <c r="ABI30">
        <v>27802</v>
      </c>
      <c r="ABJ30">
        <v>14123</v>
      </c>
      <c r="ABK30">
        <v>80400</v>
      </c>
      <c r="ABL30">
        <v>105855</v>
      </c>
      <c r="ABM30">
        <v>55658</v>
      </c>
      <c r="ABN30">
        <v>26536</v>
      </c>
      <c r="ABO30">
        <v>0</v>
      </c>
      <c r="ABP30">
        <v>54736</v>
      </c>
      <c r="ABQ30">
        <v>21744</v>
      </c>
      <c r="ABR30">
        <v>60977</v>
      </c>
      <c r="ABS30">
        <v>72836</v>
      </c>
      <c r="ABT30">
        <v>46373</v>
      </c>
      <c r="ABU30">
        <v>43212</v>
      </c>
      <c r="ABV30">
        <v>0</v>
      </c>
      <c r="ABW30">
        <v>65693</v>
      </c>
      <c r="ABX30">
        <v>9833</v>
      </c>
      <c r="ABY30">
        <v>85222</v>
      </c>
      <c r="ABZ30">
        <v>178640</v>
      </c>
      <c r="ACA30">
        <v>84115</v>
      </c>
      <c r="ACB30">
        <v>14178</v>
      </c>
      <c r="ACC30">
        <v>0</v>
      </c>
      <c r="ACD30">
        <v>44028</v>
      </c>
      <c r="ACE30">
        <v>23651</v>
      </c>
      <c r="ACF30">
        <v>139983</v>
      </c>
      <c r="ACG30">
        <v>190408</v>
      </c>
      <c r="ACH30">
        <v>91619</v>
      </c>
      <c r="ACI30">
        <v>39706</v>
      </c>
      <c r="ACJ30">
        <v>0</v>
      </c>
      <c r="ACK30">
        <v>103528</v>
      </c>
      <c r="ACL30">
        <v>29094</v>
      </c>
      <c r="ACM30">
        <v>110027</v>
      </c>
      <c r="ACN30">
        <v>168321</v>
      </c>
      <c r="ACO30">
        <v>85562</v>
      </c>
      <c r="ACP30">
        <v>11520</v>
      </c>
      <c r="ACQ30">
        <v>0</v>
      </c>
      <c r="ACR30">
        <v>58943</v>
      </c>
      <c r="ACS30">
        <v>14954</v>
      </c>
      <c r="ACT30">
        <v>106819</v>
      </c>
      <c r="ACU30">
        <v>159764</v>
      </c>
      <c r="ACV30">
        <v>0</v>
      </c>
      <c r="ACW30">
        <v>71157</v>
      </c>
      <c r="ACX30">
        <v>42482</v>
      </c>
      <c r="ACY30">
        <v>33134</v>
      </c>
      <c r="ACZ30">
        <v>77888</v>
      </c>
      <c r="ADA30">
        <v>144868</v>
      </c>
      <c r="ADB30">
        <v>49144</v>
      </c>
      <c r="ADC30">
        <v>8247</v>
      </c>
      <c r="ADD30">
        <v>8247</v>
      </c>
      <c r="ADE30">
        <v>51228</v>
      </c>
      <c r="ADF30">
        <v>32995</v>
      </c>
      <c r="ADG30">
        <v>151734</v>
      </c>
      <c r="ADH30">
        <v>86546</v>
      </c>
      <c r="ADI30">
        <v>72088</v>
      </c>
      <c r="ADJ30">
        <v>29416</v>
      </c>
      <c r="ADK30">
        <v>29416</v>
      </c>
      <c r="ADL30">
        <v>0</v>
      </c>
      <c r="ADM30">
        <v>90185</v>
      </c>
      <c r="ADN30">
        <v>72311</v>
      </c>
      <c r="ADO30">
        <v>226613</v>
      </c>
      <c r="ADP30">
        <v>116869</v>
      </c>
      <c r="ADQ30">
        <v>99574</v>
      </c>
      <c r="ADR30">
        <v>12522</v>
      </c>
      <c r="ADS30">
        <v>0</v>
      </c>
      <c r="ADT30">
        <v>53595</v>
      </c>
      <c r="ADU30">
        <v>30519</v>
      </c>
      <c r="ADV30">
        <v>0</v>
      </c>
      <c r="ADW30">
        <v>0</v>
      </c>
      <c r="ADX30">
        <v>57704</v>
      </c>
      <c r="ADY30">
        <v>42517</v>
      </c>
      <c r="ADZ30">
        <v>0</v>
      </c>
      <c r="AEA30">
        <v>109094</v>
      </c>
      <c r="AEB30">
        <v>60665</v>
      </c>
      <c r="AEC30">
        <v>235222</v>
      </c>
      <c r="AED30">
        <v>100285</v>
      </c>
      <c r="AEE30">
        <v>96574</v>
      </c>
      <c r="AEF30">
        <v>56016</v>
      </c>
      <c r="AEG30">
        <v>0</v>
      </c>
      <c r="AEH30">
        <v>80533</v>
      </c>
      <c r="AEI30">
        <v>71097</v>
      </c>
      <c r="AEJ30">
        <v>114976</v>
      </c>
      <c r="AEK30">
        <v>47528</v>
      </c>
      <c r="AEL30">
        <v>45291</v>
      </c>
      <c r="AEM30">
        <v>39973</v>
      </c>
      <c r="AEN30">
        <v>0</v>
      </c>
      <c r="AEO30">
        <v>137862</v>
      </c>
      <c r="AEP30">
        <v>51249</v>
      </c>
      <c r="AEQ30">
        <v>121547</v>
      </c>
      <c r="AER30">
        <v>65835</v>
      </c>
      <c r="AES30">
        <v>34933</v>
      </c>
      <c r="AET30">
        <v>26620</v>
      </c>
      <c r="AEU30">
        <v>0</v>
      </c>
      <c r="AEV30">
        <v>60865</v>
      </c>
      <c r="AEW30">
        <v>27674</v>
      </c>
      <c r="AEX30">
        <v>135470</v>
      </c>
      <c r="AEY30">
        <v>74277</v>
      </c>
      <c r="AEZ30">
        <v>62069</v>
      </c>
      <c r="AFA30">
        <v>24621</v>
      </c>
      <c r="AFB30">
        <v>0</v>
      </c>
      <c r="AFC30">
        <v>48440</v>
      </c>
      <c r="AFD30">
        <v>87335</v>
      </c>
      <c r="AFE30">
        <v>146296</v>
      </c>
      <c r="AFF30">
        <v>42034</v>
      </c>
      <c r="AFG30">
        <v>21985</v>
      </c>
      <c r="AFH30">
        <v>20889</v>
      </c>
      <c r="AFI30">
        <v>0</v>
      </c>
      <c r="AFJ30">
        <v>117439</v>
      </c>
      <c r="AFK30">
        <v>60040</v>
      </c>
      <c r="AFL30">
        <v>976</v>
      </c>
      <c r="AFM30">
        <v>0</v>
      </c>
      <c r="AFN30">
        <v>0</v>
      </c>
      <c r="AFO30">
        <v>0</v>
      </c>
      <c r="AFP30">
        <v>0</v>
      </c>
      <c r="AFQ30">
        <v>201</v>
      </c>
      <c r="AFR30">
        <v>31081</v>
      </c>
      <c r="AFS30">
        <v>65611</v>
      </c>
      <c r="AFT30">
        <v>108819</v>
      </c>
      <c r="AFU30">
        <v>61511</v>
      </c>
      <c r="AFV30">
        <v>61585</v>
      </c>
      <c r="AFW30">
        <v>0</v>
      </c>
      <c r="AFX30">
        <v>60282</v>
      </c>
      <c r="AFY30">
        <v>31112</v>
      </c>
      <c r="AFZ30">
        <v>144374</v>
      </c>
      <c r="AGA30">
        <v>77360</v>
      </c>
      <c r="AGB30">
        <v>42236</v>
      </c>
      <c r="AGC30">
        <v>41620</v>
      </c>
      <c r="AGD30">
        <v>0</v>
      </c>
      <c r="AGE30">
        <v>37887</v>
      </c>
      <c r="AGF30">
        <v>31388</v>
      </c>
      <c r="AGG30">
        <v>112842</v>
      </c>
      <c r="AGH30">
        <v>76670</v>
      </c>
      <c r="AGI30">
        <v>52446</v>
      </c>
      <c r="AGJ30">
        <v>0</v>
      </c>
      <c r="AGK30">
        <v>0</v>
      </c>
      <c r="AGL30">
        <v>61153</v>
      </c>
      <c r="AGM30">
        <v>33570</v>
      </c>
      <c r="AGN30">
        <v>100109</v>
      </c>
      <c r="AGO30">
        <v>54881</v>
      </c>
      <c r="AGP30">
        <v>55452</v>
      </c>
      <c r="AGQ30">
        <v>18668</v>
      </c>
      <c r="AGR30">
        <v>0</v>
      </c>
      <c r="AGS30">
        <v>57541</v>
      </c>
      <c r="AGT30">
        <v>26898</v>
      </c>
      <c r="AGU30">
        <v>144665</v>
      </c>
      <c r="AGV30">
        <v>66885</v>
      </c>
      <c r="AGW30">
        <v>40590</v>
      </c>
      <c r="AGX30">
        <v>8549</v>
      </c>
      <c r="AGY30">
        <v>0</v>
      </c>
      <c r="AGZ30">
        <v>37255</v>
      </c>
      <c r="AHA30">
        <v>19223</v>
      </c>
      <c r="AHB30">
        <v>108648</v>
      </c>
      <c r="AHC30">
        <v>66335</v>
      </c>
      <c r="AHD30">
        <v>35136</v>
      </c>
      <c r="AHE30">
        <v>21065</v>
      </c>
      <c r="AHH30">
        <v>0</v>
      </c>
      <c r="AHI30">
        <v>137281</v>
      </c>
      <c r="AHJ30">
        <v>56213</v>
      </c>
      <c r="AHK30">
        <v>44092</v>
      </c>
      <c r="AHL30">
        <v>58391</v>
      </c>
      <c r="AHM30">
        <v>0</v>
      </c>
      <c r="AHN30">
        <v>0</v>
      </c>
      <c r="AHO30">
        <v>123965</v>
      </c>
      <c r="AHP30">
        <v>68373</v>
      </c>
      <c r="AHQ30">
        <v>76534</v>
      </c>
      <c r="AHR30">
        <v>42167</v>
      </c>
      <c r="AHS30">
        <v>33064</v>
      </c>
      <c r="AHT30">
        <v>0</v>
      </c>
      <c r="AHU30">
        <v>0</v>
      </c>
      <c r="AHV30">
        <v>0</v>
      </c>
      <c r="AHW30">
        <v>63114</v>
      </c>
      <c r="AHX30">
        <v>12926</v>
      </c>
      <c r="AHY30">
        <v>36473</v>
      </c>
      <c r="AHZ30">
        <v>31558</v>
      </c>
      <c r="AIA30">
        <v>0</v>
      </c>
      <c r="AIB30">
        <v>53426</v>
      </c>
      <c r="AIC30">
        <v>36242</v>
      </c>
      <c r="AID30">
        <v>133484</v>
      </c>
      <c r="AIE30">
        <v>92811</v>
      </c>
      <c r="AIF30">
        <v>46766</v>
      </c>
      <c r="AIG30">
        <v>5939</v>
      </c>
      <c r="AIH30">
        <v>0</v>
      </c>
      <c r="AII30">
        <v>94496</v>
      </c>
      <c r="AIJ30">
        <v>31599</v>
      </c>
      <c r="AIK30">
        <v>104122</v>
      </c>
      <c r="AIL30">
        <v>53372</v>
      </c>
      <c r="AIM30">
        <v>0</v>
      </c>
      <c r="AIN30">
        <v>13511</v>
      </c>
      <c r="AIO30">
        <v>0</v>
      </c>
      <c r="AIP30">
        <v>0</v>
      </c>
      <c r="AIQ30">
        <v>30682</v>
      </c>
      <c r="AIR30">
        <v>53695</v>
      </c>
      <c r="AIS30">
        <v>73271</v>
      </c>
      <c r="AIT30">
        <v>50564</v>
      </c>
      <c r="AIU30">
        <v>15659</v>
      </c>
      <c r="AIV30">
        <v>0</v>
      </c>
      <c r="AIW30">
        <v>41265</v>
      </c>
      <c r="AIX30">
        <v>35073</v>
      </c>
      <c r="AIY30">
        <v>173307</v>
      </c>
      <c r="AIZ30">
        <v>85480</v>
      </c>
      <c r="AJA30">
        <v>65892</v>
      </c>
      <c r="AJB30">
        <v>21478</v>
      </c>
      <c r="AJC30">
        <v>0</v>
      </c>
      <c r="AJD30">
        <v>54989</v>
      </c>
      <c r="AJE30">
        <v>26183</v>
      </c>
      <c r="AJF30">
        <v>140279</v>
      </c>
      <c r="AJG30">
        <v>90812</v>
      </c>
      <c r="AJH30">
        <v>54818</v>
      </c>
      <c r="AJI30">
        <v>12701</v>
      </c>
      <c r="AJJ30">
        <v>0</v>
      </c>
      <c r="AJK30">
        <v>41425</v>
      </c>
      <c r="AJL30">
        <v>28513</v>
      </c>
      <c r="AJM30">
        <v>186816</v>
      </c>
      <c r="AJN30">
        <v>116992</v>
      </c>
      <c r="AJO30">
        <v>103467</v>
      </c>
      <c r="AJP30">
        <v>28099</v>
      </c>
      <c r="AJQ30">
        <v>0</v>
      </c>
      <c r="AJR30">
        <v>0</v>
      </c>
      <c r="AJS30">
        <v>64075</v>
      </c>
      <c r="AJT30">
        <v>0</v>
      </c>
      <c r="AJU30">
        <v>68176</v>
      </c>
      <c r="AJV30">
        <v>44340</v>
      </c>
      <c r="AJW30">
        <v>9413</v>
      </c>
      <c r="AJX30">
        <v>0</v>
      </c>
      <c r="AJY30">
        <v>46192</v>
      </c>
      <c r="AJZ30">
        <v>27172</v>
      </c>
      <c r="AKA30">
        <v>174241</v>
      </c>
      <c r="AKB30">
        <v>70196</v>
      </c>
      <c r="AKC30">
        <v>27026</v>
      </c>
      <c r="AKD30">
        <v>30410</v>
      </c>
      <c r="AKE30">
        <v>0</v>
      </c>
      <c r="AKF30">
        <v>30181</v>
      </c>
    </row>
    <row r="31" spans="1:968" s="8" customFormat="1">
      <c r="C31" s="9">
        <v>82607</v>
      </c>
      <c r="D31" s="9" t="s">
        <v>28</v>
      </c>
      <c r="E31" s="9" t="s">
        <v>93</v>
      </c>
      <c r="F31" s="10"/>
      <c r="G31" s="10"/>
      <c r="H31" s="10"/>
      <c r="I31" s="10"/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BU31" s="34"/>
      <c r="BV31" s="34"/>
      <c r="BW31" s="34"/>
      <c r="BX31" s="34"/>
      <c r="BY31" s="34"/>
      <c r="BZ31" s="34"/>
      <c r="CA31" s="34"/>
      <c r="GK31" s="8">
        <v>0</v>
      </c>
      <c r="AEU31" s="8">
        <v>0</v>
      </c>
    </row>
    <row r="32" spans="1:968">
      <c r="A32">
        <v>1</v>
      </c>
      <c r="B32" t="s">
        <v>125</v>
      </c>
      <c r="C32" s="1">
        <v>82607</v>
      </c>
      <c r="D32" s="1" t="s">
        <v>28</v>
      </c>
      <c r="E32" s="1" t="s">
        <v>93</v>
      </c>
      <c r="F32" s="1" t="s">
        <v>93</v>
      </c>
      <c r="G32" s="1" t="s">
        <v>33</v>
      </c>
      <c r="H32" s="1" t="s">
        <v>114</v>
      </c>
      <c r="I32" s="1" t="s">
        <v>45</v>
      </c>
      <c r="J32" s="1" t="s">
        <v>46</v>
      </c>
      <c r="K32">
        <v>12513</v>
      </c>
      <c r="L32">
        <v>44</v>
      </c>
      <c r="M32">
        <v>2670</v>
      </c>
      <c r="N32">
        <v>30062</v>
      </c>
      <c r="O32">
        <v>1</v>
      </c>
      <c r="P32">
        <v>375</v>
      </c>
      <c r="Q32">
        <v>66</v>
      </c>
      <c r="R32">
        <v>343</v>
      </c>
      <c r="S32">
        <v>60304</v>
      </c>
      <c r="T32">
        <v>945</v>
      </c>
      <c r="U32">
        <v>2950</v>
      </c>
      <c r="V32">
        <v>0</v>
      </c>
      <c r="W32">
        <v>3862</v>
      </c>
      <c r="X32">
        <v>259</v>
      </c>
      <c r="Y32">
        <v>0</v>
      </c>
      <c r="Z32">
        <v>188</v>
      </c>
      <c r="AA32">
        <v>486</v>
      </c>
      <c r="AB32">
        <v>194</v>
      </c>
      <c r="AC32">
        <v>0</v>
      </c>
      <c r="AD32">
        <v>-2225</v>
      </c>
      <c r="AE32">
        <v>118</v>
      </c>
      <c r="AF32">
        <v>5670</v>
      </c>
      <c r="AG32">
        <v>3134</v>
      </c>
      <c r="AH32">
        <v>222</v>
      </c>
      <c r="AI32">
        <v>111</v>
      </c>
      <c r="AJ32">
        <v>7</v>
      </c>
      <c r="AK32">
        <v>880</v>
      </c>
      <c r="AL32">
        <v>34</v>
      </c>
      <c r="AM32">
        <v>138</v>
      </c>
      <c r="AN32">
        <v>7210</v>
      </c>
      <c r="AO32">
        <v>30349</v>
      </c>
      <c r="AP32">
        <v>2497</v>
      </c>
      <c r="AQ32">
        <v>0</v>
      </c>
      <c r="AR32">
        <v>2718</v>
      </c>
      <c r="AS32">
        <v>840</v>
      </c>
      <c r="AT32">
        <v>309</v>
      </c>
      <c r="AU32">
        <v>935</v>
      </c>
      <c r="AV32">
        <v>400</v>
      </c>
      <c r="AW32">
        <v>299</v>
      </c>
      <c r="AX32">
        <v>0</v>
      </c>
      <c r="AY32">
        <v>556</v>
      </c>
      <c r="AZ32">
        <v>456</v>
      </c>
      <c r="BA32">
        <v>2023</v>
      </c>
      <c r="BB32">
        <v>377</v>
      </c>
      <c r="BC32">
        <v>117</v>
      </c>
      <c r="BD32">
        <v>692</v>
      </c>
      <c r="BE32">
        <v>0</v>
      </c>
      <c r="BF32">
        <v>321</v>
      </c>
      <c r="BG32">
        <v>334</v>
      </c>
      <c r="BH32">
        <v>181</v>
      </c>
      <c r="BI32">
        <v>155</v>
      </c>
      <c r="BJ32">
        <v>405</v>
      </c>
      <c r="BK32">
        <v>0</v>
      </c>
      <c r="BL32">
        <v>0</v>
      </c>
      <c r="BM32">
        <v>0</v>
      </c>
      <c r="BN32">
        <v>55</v>
      </c>
      <c r="BO32">
        <v>0</v>
      </c>
      <c r="BP32">
        <v>48</v>
      </c>
      <c r="BQ32">
        <v>1209</v>
      </c>
      <c r="BR32">
        <v>0</v>
      </c>
      <c r="BS32">
        <v>0</v>
      </c>
      <c r="BT32">
        <v>0</v>
      </c>
      <c r="BU32" s="33">
        <v>0</v>
      </c>
      <c r="BV32" s="33">
        <v>0</v>
      </c>
      <c r="BW32" s="33">
        <v>42</v>
      </c>
      <c r="BX32" s="33">
        <v>6</v>
      </c>
      <c r="BY32" s="33">
        <v>244</v>
      </c>
      <c r="BZ32" s="33">
        <v>0</v>
      </c>
      <c r="CA32" s="33">
        <v>1356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2608</v>
      </c>
      <c r="CI32">
        <v>2539</v>
      </c>
      <c r="CJ32">
        <v>2956</v>
      </c>
      <c r="CK32">
        <v>29539</v>
      </c>
      <c r="CL32">
        <v>605</v>
      </c>
      <c r="CM32">
        <v>0</v>
      </c>
      <c r="CN32">
        <v>0</v>
      </c>
      <c r="CO32">
        <v>2021</v>
      </c>
      <c r="CP32">
        <v>5839</v>
      </c>
      <c r="CQ32">
        <v>3573</v>
      </c>
      <c r="CR32">
        <v>1468</v>
      </c>
      <c r="CS32">
        <v>1345</v>
      </c>
      <c r="CT32">
        <v>837</v>
      </c>
      <c r="CU32">
        <v>0</v>
      </c>
      <c r="CV32">
        <v>3</v>
      </c>
      <c r="CW32">
        <v>15</v>
      </c>
      <c r="CX32">
        <v>1</v>
      </c>
      <c r="CY32">
        <v>1157</v>
      </c>
      <c r="CZ32">
        <v>5859</v>
      </c>
      <c r="DA32">
        <v>266</v>
      </c>
      <c r="DB32">
        <v>0</v>
      </c>
      <c r="DC32">
        <v>409</v>
      </c>
      <c r="DD32">
        <v>205</v>
      </c>
      <c r="DE32">
        <v>0</v>
      </c>
      <c r="DF32">
        <v>196</v>
      </c>
      <c r="DG32">
        <v>152</v>
      </c>
      <c r="DH32">
        <v>1</v>
      </c>
      <c r="DI32">
        <v>0</v>
      </c>
      <c r="DJ32">
        <v>626</v>
      </c>
      <c r="DK32">
        <v>209</v>
      </c>
      <c r="DL32">
        <v>48</v>
      </c>
      <c r="DM32">
        <v>383</v>
      </c>
      <c r="DN32">
        <v>422</v>
      </c>
      <c r="DO32">
        <v>1333</v>
      </c>
      <c r="DP32">
        <v>0</v>
      </c>
      <c r="DQ32">
        <v>10259</v>
      </c>
      <c r="DR32">
        <v>7396</v>
      </c>
      <c r="DS32">
        <v>11914</v>
      </c>
      <c r="DT32">
        <v>27859</v>
      </c>
      <c r="DU32">
        <v>8722</v>
      </c>
      <c r="DV32">
        <v>2447</v>
      </c>
      <c r="DW32">
        <v>0</v>
      </c>
      <c r="DX32">
        <v>3078</v>
      </c>
      <c r="DY32">
        <v>4414</v>
      </c>
      <c r="DZ32">
        <v>3994</v>
      </c>
      <c r="EA32">
        <v>10039</v>
      </c>
      <c r="EB32">
        <v>1112</v>
      </c>
      <c r="EC32">
        <v>0</v>
      </c>
      <c r="ED32">
        <v>0</v>
      </c>
      <c r="EE32">
        <v>2598</v>
      </c>
      <c r="EF32">
        <v>15770</v>
      </c>
      <c r="EG32">
        <v>10476</v>
      </c>
      <c r="EH32">
        <v>3353</v>
      </c>
      <c r="EI32">
        <v>31172</v>
      </c>
      <c r="EJ32">
        <v>436</v>
      </c>
      <c r="EK32">
        <v>0</v>
      </c>
      <c r="EL32">
        <v>469</v>
      </c>
      <c r="EM32">
        <v>0</v>
      </c>
      <c r="EN32">
        <v>152</v>
      </c>
      <c r="EO32">
        <v>93</v>
      </c>
      <c r="EP32">
        <v>118</v>
      </c>
      <c r="EQ32">
        <v>324</v>
      </c>
      <c r="ER32">
        <v>0</v>
      </c>
      <c r="ES32">
        <v>262</v>
      </c>
      <c r="ET32">
        <v>2010</v>
      </c>
      <c r="EU32">
        <v>4844</v>
      </c>
      <c r="EV32">
        <v>2723</v>
      </c>
      <c r="EW32">
        <v>0</v>
      </c>
      <c r="EX32">
        <v>29</v>
      </c>
      <c r="EY32">
        <v>0</v>
      </c>
      <c r="EZ32">
        <v>545</v>
      </c>
      <c r="FA32">
        <v>2</v>
      </c>
      <c r="FB32">
        <v>830</v>
      </c>
      <c r="FC32">
        <v>64</v>
      </c>
      <c r="FD32">
        <v>3928</v>
      </c>
      <c r="FE32">
        <v>1978</v>
      </c>
      <c r="FF32">
        <v>0</v>
      </c>
      <c r="FG32">
        <v>3996</v>
      </c>
      <c r="FH32">
        <v>23278</v>
      </c>
      <c r="FI32">
        <v>639</v>
      </c>
      <c r="FJ32">
        <v>4002</v>
      </c>
      <c r="FK32">
        <v>22044</v>
      </c>
      <c r="FL32">
        <v>0</v>
      </c>
      <c r="FM32">
        <v>0</v>
      </c>
      <c r="FN32">
        <v>0</v>
      </c>
      <c r="FO32">
        <v>12</v>
      </c>
      <c r="FP32">
        <v>7</v>
      </c>
      <c r="FQ32">
        <v>378</v>
      </c>
      <c r="FR32">
        <v>310</v>
      </c>
      <c r="FS32">
        <v>0</v>
      </c>
      <c r="FT32">
        <v>0</v>
      </c>
      <c r="FU32">
        <v>0</v>
      </c>
      <c r="FV32">
        <v>3</v>
      </c>
      <c r="FW32">
        <v>103</v>
      </c>
      <c r="FX32">
        <v>17681</v>
      </c>
      <c r="FY32">
        <v>4748</v>
      </c>
      <c r="FZ32">
        <v>5631</v>
      </c>
      <c r="GA32">
        <v>0</v>
      </c>
      <c r="GB32">
        <v>3169</v>
      </c>
      <c r="GC32">
        <v>637</v>
      </c>
      <c r="GD32">
        <v>1407</v>
      </c>
      <c r="GE32">
        <v>22202</v>
      </c>
      <c r="GF32">
        <v>72</v>
      </c>
      <c r="GG32">
        <v>157</v>
      </c>
      <c r="GH32">
        <v>0</v>
      </c>
      <c r="GI32">
        <v>3181</v>
      </c>
      <c r="GJ32">
        <v>26038</v>
      </c>
      <c r="GK32">
        <v>0</v>
      </c>
      <c r="GL32">
        <v>0</v>
      </c>
      <c r="GM32">
        <v>24</v>
      </c>
      <c r="GN32">
        <v>0</v>
      </c>
      <c r="GO32">
        <v>0</v>
      </c>
      <c r="GP32">
        <v>388</v>
      </c>
      <c r="GQ32">
        <v>343</v>
      </c>
      <c r="GR32">
        <v>0</v>
      </c>
      <c r="GS32">
        <v>8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5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3</v>
      </c>
      <c r="HI32">
        <v>0</v>
      </c>
      <c r="HJ32">
        <v>1</v>
      </c>
      <c r="HK32">
        <v>0</v>
      </c>
      <c r="HL32">
        <v>0</v>
      </c>
      <c r="HM32">
        <v>2775</v>
      </c>
      <c r="HN32">
        <v>0</v>
      </c>
      <c r="HO32">
        <v>2</v>
      </c>
      <c r="HP32">
        <v>3</v>
      </c>
      <c r="HQ32">
        <v>23693</v>
      </c>
      <c r="HR32">
        <v>0</v>
      </c>
      <c r="HS32">
        <v>0</v>
      </c>
      <c r="HT32">
        <v>27459</v>
      </c>
      <c r="HU32">
        <v>163</v>
      </c>
      <c r="HV32">
        <v>377</v>
      </c>
      <c r="HW32">
        <v>0</v>
      </c>
      <c r="HX32">
        <v>0</v>
      </c>
      <c r="HY32">
        <v>0</v>
      </c>
      <c r="HZ32">
        <v>0</v>
      </c>
      <c r="IA32">
        <v>75</v>
      </c>
      <c r="IB32">
        <v>5249</v>
      </c>
      <c r="IC32">
        <v>207</v>
      </c>
      <c r="ID32">
        <v>0</v>
      </c>
      <c r="IE32">
        <v>0</v>
      </c>
      <c r="IF32">
        <v>6</v>
      </c>
      <c r="IG32">
        <v>19</v>
      </c>
      <c r="IH32">
        <v>0</v>
      </c>
      <c r="II32">
        <v>4</v>
      </c>
      <c r="IJ32">
        <v>1</v>
      </c>
      <c r="IK32">
        <v>82</v>
      </c>
      <c r="IL32">
        <v>0</v>
      </c>
      <c r="IM32">
        <v>4205</v>
      </c>
      <c r="IN32">
        <v>17</v>
      </c>
      <c r="IO32">
        <v>24508</v>
      </c>
      <c r="IP32">
        <v>61</v>
      </c>
      <c r="IQ32">
        <v>1</v>
      </c>
      <c r="IR32">
        <v>0</v>
      </c>
      <c r="IS32">
        <v>0</v>
      </c>
      <c r="IT32">
        <v>7789</v>
      </c>
      <c r="IU32">
        <v>45</v>
      </c>
      <c r="IV32">
        <v>0</v>
      </c>
      <c r="IW32">
        <v>0</v>
      </c>
      <c r="IX32">
        <v>3160</v>
      </c>
      <c r="IY32">
        <v>0</v>
      </c>
      <c r="IZ32">
        <v>0</v>
      </c>
      <c r="JA32">
        <v>2012</v>
      </c>
      <c r="JB32">
        <v>1996</v>
      </c>
      <c r="JC32">
        <v>2915</v>
      </c>
      <c r="JD32">
        <v>3647</v>
      </c>
      <c r="JE32">
        <v>0</v>
      </c>
      <c r="JF32">
        <v>11</v>
      </c>
      <c r="JG32">
        <v>0</v>
      </c>
      <c r="JH32">
        <v>263</v>
      </c>
      <c r="JI32">
        <v>1788</v>
      </c>
      <c r="JJ32">
        <v>3089</v>
      </c>
      <c r="JK32">
        <v>2</v>
      </c>
      <c r="JL32">
        <v>31167</v>
      </c>
      <c r="JM32">
        <v>0</v>
      </c>
      <c r="JN32">
        <v>0</v>
      </c>
      <c r="JO32">
        <v>27846</v>
      </c>
      <c r="JP32">
        <v>277</v>
      </c>
      <c r="JQ32">
        <v>1</v>
      </c>
      <c r="JR32">
        <v>1484</v>
      </c>
      <c r="JS32">
        <v>4315</v>
      </c>
      <c r="JT32">
        <v>2853</v>
      </c>
      <c r="JU32">
        <v>0</v>
      </c>
      <c r="JV32">
        <v>2948</v>
      </c>
      <c r="JW32">
        <v>3478</v>
      </c>
      <c r="JX32">
        <v>0</v>
      </c>
      <c r="JY32">
        <v>4863</v>
      </c>
      <c r="JZ32">
        <v>4167</v>
      </c>
      <c r="KA32">
        <v>9832</v>
      </c>
      <c r="KB32">
        <v>0</v>
      </c>
      <c r="KC32">
        <v>8</v>
      </c>
      <c r="KD32">
        <v>1556</v>
      </c>
      <c r="KE32">
        <v>0</v>
      </c>
      <c r="KF32">
        <v>1025</v>
      </c>
      <c r="KG32">
        <v>0</v>
      </c>
      <c r="KH32">
        <v>0</v>
      </c>
      <c r="KI32">
        <v>0</v>
      </c>
      <c r="KJ32">
        <v>0</v>
      </c>
      <c r="KK32">
        <v>10</v>
      </c>
      <c r="KL32">
        <v>4710</v>
      </c>
      <c r="KM32">
        <v>31</v>
      </c>
      <c r="KN32">
        <v>3170</v>
      </c>
      <c r="KO32">
        <v>18316</v>
      </c>
      <c r="KP32">
        <v>0</v>
      </c>
      <c r="KQ32">
        <v>43203</v>
      </c>
      <c r="KR32">
        <v>0</v>
      </c>
      <c r="KS32">
        <v>52</v>
      </c>
      <c r="KT32">
        <v>0</v>
      </c>
      <c r="KU32">
        <v>2455</v>
      </c>
      <c r="KV32">
        <v>0</v>
      </c>
      <c r="KW32">
        <v>0</v>
      </c>
      <c r="KX32">
        <v>6077</v>
      </c>
      <c r="KY32">
        <v>3668</v>
      </c>
      <c r="KZ32">
        <v>31677</v>
      </c>
      <c r="LA32">
        <v>44</v>
      </c>
      <c r="LB32">
        <v>0</v>
      </c>
      <c r="LC32">
        <v>0</v>
      </c>
      <c r="LD32">
        <v>0</v>
      </c>
      <c r="LE32">
        <v>5920</v>
      </c>
      <c r="LF32">
        <v>2069</v>
      </c>
      <c r="LG32">
        <v>3071</v>
      </c>
      <c r="LH32">
        <v>74</v>
      </c>
      <c r="LI32">
        <v>8055</v>
      </c>
      <c r="LJ32">
        <v>17481</v>
      </c>
      <c r="LK32">
        <v>0</v>
      </c>
      <c r="LL32">
        <v>8</v>
      </c>
      <c r="LM32">
        <v>76</v>
      </c>
      <c r="LN32">
        <v>0</v>
      </c>
      <c r="LO32">
        <v>81</v>
      </c>
      <c r="LP32">
        <v>36</v>
      </c>
      <c r="LQ32">
        <v>5000</v>
      </c>
      <c r="LR32">
        <v>0</v>
      </c>
      <c r="LS32">
        <v>7565</v>
      </c>
      <c r="LT32">
        <v>0</v>
      </c>
      <c r="LU32">
        <v>3</v>
      </c>
      <c r="LV32">
        <v>4239</v>
      </c>
      <c r="LW32">
        <v>0</v>
      </c>
      <c r="LX32">
        <v>0</v>
      </c>
      <c r="LY32">
        <v>0</v>
      </c>
      <c r="LZ32">
        <v>1016</v>
      </c>
      <c r="MA32">
        <v>12552</v>
      </c>
      <c r="MB32">
        <v>0</v>
      </c>
      <c r="MC32">
        <v>28786</v>
      </c>
      <c r="MD32">
        <v>0</v>
      </c>
      <c r="ME32">
        <v>0</v>
      </c>
      <c r="MF32">
        <v>0</v>
      </c>
      <c r="MG32">
        <v>141</v>
      </c>
      <c r="MH32">
        <v>37729</v>
      </c>
      <c r="MI32">
        <v>975</v>
      </c>
      <c r="MJ32">
        <v>18390</v>
      </c>
      <c r="MK32">
        <v>9530</v>
      </c>
      <c r="ML32">
        <v>48333</v>
      </c>
      <c r="MM32">
        <v>0</v>
      </c>
      <c r="MN32">
        <v>0</v>
      </c>
      <c r="MO32">
        <v>24634</v>
      </c>
      <c r="MP32">
        <v>12430</v>
      </c>
      <c r="MQ32">
        <v>0</v>
      </c>
      <c r="MR32">
        <v>14244</v>
      </c>
      <c r="MS32">
        <v>326</v>
      </c>
      <c r="MT32">
        <v>0</v>
      </c>
      <c r="MU32">
        <v>21</v>
      </c>
      <c r="MV32">
        <v>5498</v>
      </c>
      <c r="MW32">
        <v>0</v>
      </c>
      <c r="MX32">
        <v>2951</v>
      </c>
      <c r="MY32">
        <v>35228</v>
      </c>
      <c r="MZ32">
        <v>0</v>
      </c>
      <c r="NA32">
        <v>0</v>
      </c>
      <c r="NB32">
        <v>0</v>
      </c>
      <c r="NC32">
        <v>13272</v>
      </c>
      <c r="ND32">
        <v>0</v>
      </c>
      <c r="NE32">
        <v>304</v>
      </c>
      <c r="NF32">
        <v>2790</v>
      </c>
      <c r="NG32">
        <v>42</v>
      </c>
      <c r="NH32">
        <v>0</v>
      </c>
      <c r="NI32">
        <v>2</v>
      </c>
      <c r="NJ32">
        <v>125</v>
      </c>
      <c r="NK32">
        <v>30002</v>
      </c>
      <c r="NL32">
        <v>0</v>
      </c>
      <c r="NM32">
        <v>4834</v>
      </c>
      <c r="NN32">
        <v>17304</v>
      </c>
      <c r="NO32">
        <v>0</v>
      </c>
      <c r="NP32">
        <v>944</v>
      </c>
      <c r="NQ32">
        <v>41709</v>
      </c>
      <c r="NR32">
        <v>5367</v>
      </c>
      <c r="NS32">
        <v>64</v>
      </c>
      <c r="NT32">
        <v>3606</v>
      </c>
      <c r="NU32">
        <v>736</v>
      </c>
      <c r="NV32">
        <v>0</v>
      </c>
      <c r="NW32">
        <v>1271</v>
      </c>
      <c r="NX32">
        <v>63547</v>
      </c>
      <c r="NY32">
        <v>4934</v>
      </c>
      <c r="NZ32">
        <v>10380</v>
      </c>
      <c r="OA32">
        <v>520</v>
      </c>
      <c r="OB32">
        <v>1183</v>
      </c>
      <c r="OC32">
        <v>73</v>
      </c>
      <c r="OD32">
        <v>238</v>
      </c>
      <c r="OE32">
        <v>1971</v>
      </c>
      <c r="OF32">
        <v>9978</v>
      </c>
      <c r="OG32">
        <v>6920</v>
      </c>
      <c r="OH32">
        <v>177</v>
      </c>
      <c r="OI32">
        <v>15918</v>
      </c>
      <c r="OJ32">
        <v>7900</v>
      </c>
      <c r="OK32">
        <v>129</v>
      </c>
      <c r="OL32">
        <v>0</v>
      </c>
      <c r="OM32">
        <v>116</v>
      </c>
      <c r="ON32">
        <v>106</v>
      </c>
      <c r="OO32">
        <v>2554</v>
      </c>
      <c r="OP32">
        <v>15077</v>
      </c>
      <c r="OQ32">
        <v>0</v>
      </c>
      <c r="OR32">
        <v>5838</v>
      </c>
      <c r="OS32">
        <v>39</v>
      </c>
      <c r="OT32">
        <v>27008</v>
      </c>
      <c r="OU32">
        <v>0</v>
      </c>
      <c r="OV32">
        <v>1012</v>
      </c>
      <c r="OW32">
        <v>25920</v>
      </c>
      <c r="OX32">
        <v>0</v>
      </c>
      <c r="OY32">
        <v>153</v>
      </c>
      <c r="OZ32">
        <v>199</v>
      </c>
      <c r="PA32">
        <v>21</v>
      </c>
      <c r="PB32">
        <v>1292</v>
      </c>
      <c r="PC32">
        <v>126</v>
      </c>
      <c r="PD32">
        <v>219</v>
      </c>
      <c r="PE32">
        <v>0</v>
      </c>
      <c r="PF32">
        <v>243</v>
      </c>
      <c r="PG32">
        <v>129</v>
      </c>
      <c r="PH32">
        <v>620</v>
      </c>
      <c r="PI32">
        <v>1664</v>
      </c>
      <c r="PJ32">
        <v>253</v>
      </c>
      <c r="PK32">
        <v>17729</v>
      </c>
      <c r="PL32">
        <v>0</v>
      </c>
      <c r="PM32">
        <v>91</v>
      </c>
      <c r="PN32">
        <v>1208</v>
      </c>
      <c r="PO32">
        <v>54784</v>
      </c>
      <c r="PP32">
        <v>2060</v>
      </c>
      <c r="PQ32">
        <v>27</v>
      </c>
      <c r="PR32">
        <v>7019</v>
      </c>
      <c r="PS32">
        <v>0</v>
      </c>
      <c r="PT32">
        <v>559</v>
      </c>
      <c r="PU32">
        <v>0</v>
      </c>
      <c r="PV32">
        <v>0</v>
      </c>
      <c r="PW32">
        <v>301</v>
      </c>
      <c r="PX32">
        <v>0</v>
      </c>
      <c r="PY32">
        <v>0</v>
      </c>
      <c r="PZ32">
        <v>0</v>
      </c>
      <c r="QA32">
        <v>0</v>
      </c>
      <c r="QB32">
        <v>63276</v>
      </c>
      <c r="QC32">
        <v>0</v>
      </c>
      <c r="QD32">
        <v>55</v>
      </c>
      <c r="QE32">
        <v>2194</v>
      </c>
      <c r="QF32">
        <v>149</v>
      </c>
      <c r="QG32">
        <v>0</v>
      </c>
      <c r="QH32">
        <v>37</v>
      </c>
      <c r="QI32">
        <v>150</v>
      </c>
      <c r="QJ32">
        <v>5125</v>
      </c>
      <c r="QK32">
        <v>35</v>
      </c>
      <c r="QL32">
        <v>1127</v>
      </c>
      <c r="QM32">
        <v>0</v>
      </c>
      <c r="QN32">
        <v>0</v>
      </c>
      <c r="QO32">
        <v>13210</v>
      </c>
      <c r="QP32">
        <v>200</v>
      </c>
      <c r="QQ32">
        <v>354</v>
      </c>
      <c r="QR32">
        <v>4479</v>
      </c>
      <c r="QS32">
        <v>376</v>
      </c>
      <c r="QT32">
        <v>780</v>
      </c>
      <c r="QU32">
        <v>0</v>
      </c>
      <c r="QV32">
        <v>110</v>
      </c>
      <c r="QW32">
        <v>26084</v>
      </c>
      <c r="QX32">
        <v>0</v>
      </c>
      <c r="QY32">
        <v>2220</v>
      </c>
      <c r="QZ32">
        <v>10</v>
      </c>
      <c r="RA32">
        <v>6</v>
      </c>
      <c r="RB32">
        <v>0</v>
      </c>
      <c r="RC32">
        <v>0</v>
      </c>
      <c r="RD32">
        <v>84</v>
      </c>
      <c r="RE32">
        <v>272</v>
      </c>
      <c r="RF32">
        <v>0</v>
      </c>
      <c r="RG32">
        <v>1</v>
      </c>
      <c r="RH32">
        <v>0</v>
      </c>
      <c r="RI32">
        <v>0</v>
      </c>
      <c r="RJ32">
        <v>0</v>
      </c>
      <c r="RK32">
        <v>2064</v>
      </c>
      <c r="RL32">
        <v>140</v>
      </c>
      <c r="RM32">
        <v>24655</v>
      </c>
      <c r="RN32">
        <v>2019</v>
      </c>
      <c r="RO32">
        <v>1766</v>
      </c>
      <c r="RP32">
        <v>0</v>
      </c>
      <c r="RQ32">
        <v>2454</v>
      </c>
      <c r="RR32">
        <v>1179</v>
      </c>
      <c r="RS32">
        <v>22</v>
      </c>
      <c r="RT32">
        <v>0</v>
      </c>
      <c r="RU32">
        <v>100</v>
      </c>
      <c r="RV32">
        <v>0</v>
      </c>
      <c r="RW32">
        <v>0</v>
      </c>
      <c r="RX32">
        <v>2360</v>
      </c>
      <c r="RY32">
        <v>16</v>
      </c>
      <c r="RZ32">
        <v>0</v>
      </c>
      <c r="SA32">
        <v>29627</v>
      </c>
      <c r="SB32">
        <v>45</v>
      </c>
      <c r="SC32">
        <v>0</v>
      </c>
      <c r="SD32">
        <v>0</v>
      </c>
      <c r="SE32">
        <v>0</v>
      </c>
      <c r="SF32">
        <v>3</v>
      </c>
      <c r="SG32">
        <v>3</v>
      </c>
      <c r="SH32">
        <v>72</v>
      </c>
      <c r="SI32">
        <v>42</v>
      </c>
      <c r="SJ32">
        <v>1259</v>
      </c>
      <c r="SK32">
        <v>0</v>
      </c>
      <c r="SL32">
        <v>463</v>
      </c>
      <c r="SM32">
        <v>746</v>
      </c>
      <c r="SN32">
        <v>13</v>
      </c>
      <c r="SO32">
        <v>0</v>
      </c>
      <c r="SP32">
        <v>2</v>
      </c>
      <c r="SQ32">
        <v>29</v>
      </c>
      <c r="SR32">
        <v>0</v>
      </c>
      <c r="SS32">
        <v>225</v>
      </c>
      <c r="ST32">
        <v>2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23088</v>
      </c>
      <c r="TB32">
        <v>0</v>
      </c>
      <c r="TC32">
        <v>3340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205</v>
      </c>
      <c r="TL32">
        <v>46</v>
      </c>
      <c r="TM32">
        <v>0</v>
      </c>
      <c r="TN32">
        <v>0</v>
      </c>
      <c r="TO32">
        <v>0</v>
      </c>
      <c r="TP32">
        <v>979</v>
      </c>
      <c r="TQ32">
        <v>315</v>
      </c>
      <c r="TR32">
        <v>103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156</v>
      </c>
      <c r="TY32">
        <v>137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304</v>
      </c>
      <c r="UF32">
        <v>0</v>
      </c>
      <c r="UG32">
        <v>0</v>
      </c>
      <c r="UH32">
        <v>0</v>
      </c>
      <c r="UI32">
        <v>21162</v>
      </c>
      <c r="UJ32">
        <v>7894</v>
      </c>
      <c r="UK32">
        <v>0</v>
      </c>
      <c r="UL32">
        <v>0</v>
      </c>
      <c r="UM32">
        <v>21</v>
      </c>
      <c r="UN32">
        <v>0</v>
      </c>
      <c r="UO32">
        <v>0</v>
      </c>
      <c r="UP32">
        <v>26</v>
      </c>
      <c r="UQ32">
        <v>1</v>
      </c>
      <c r="UR32">
        <v>0</v>
      </c>
      <c r="US32">
        <v>0</v>
      </c>
      <c r="UT32">
        <v>6</v>
      </c>
      <c r="UU32">
        <v>0</v>
      </c>
      <c r="UV32">
        <v>0</v>
      </c>
      <c r="UW32">
        <v>0</v>
      </c>
      <c r="UX32">
        <v>0</v>
      </c>
      <c r="UY32">
        <v>183</v>
      </c>
      <c r="UZ32">
        <v>0</v>
      </c>
      <c r="VA32">
        <v>1</v>
      </c>
      <c r="VB32">
        <v>0</v>
      </c>
      <c r="VC32">
        <v>0</v>
      </c>
      <c r="VD32">
        <v>0</v>
      </c>
      <c r="VE32">
        <v>18</v>
      </c>
      <c r="VF32">
        <v>1224</v>
      </c>
      <c r="VG32">
        <v>3</v>
      </c>
      <c r="VH32">
        <v>333</v>
      </c>
      <c r="VI32">
        <v>34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208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1</v>
      </c>
      <c r="WC32">
        <v>121</v>
      </c>
      <c r="WD32">
        <v>7387</v>
      </c>
      <c r="WE32">
        <v>0</v>
      </c>
      <c r="WF32">
        <v>15266</v>
      </c>
      <c r="WG32">
        <v>14064</v>
      </c>
      <c r="WH32">
        <v>2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21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336</v>
      </c>
      <c r="XB32">
        <v>124</v>
      </c>
      <c r="XC32">
        <v>13</v>
      </c>
      <c r="XD32">
        <v>37</v>
      </c>
      <c r="XE32">
        <v>245</v>
      </c>
      <c r="XF32">
        <v>49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227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7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2973</v>
      </c>
      <c r="XZ32">
        <v>15904</v>
      </c>
      <c r="YA32">
        <v>152</v>
      </c>
      <c r="YB32">
        <v>167</v>
      </c>
      <c r="YC32">
        <v>0</v>
      </c>
      <c r="YD32">
        <v>2</v>
      </c>
      <c r="YE32">
        <v>105</v>
      </c>
      <c r="YF32">
        <v>113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442</v>
      </c>
      <c r="YN32">
        <v>1</v>
      </c>
      <c r="YO32">
        <v>289</v>
      </c>
      <c r="YP32">
        <v>0</v>
      </c>
      <c r="YQ32">
        <v>280</v>
      </c>
      <c r="YR32">
        <v>79</v>
      </c>
      <c r="YS32">
        <v>0</v>
      </c>
      <c r="YT32">
        <v>0</v>
      </c>
      <c r="YU32">
        <v>0</v>
      </c>
      <c r="YV32">
        <v>306</v>
      </c>
      <c r="YW32">
        <v>0</v>
      </c>
      <c r="YX32">
        <v>0</v>
      </c>
      <c r="YY32">
        <v>0</v>
      </c>
      <c r="YZ32">
        <v>0</v>
      </c>
      <c r="ZA32">
        <v>14</v>
      </c>
      <c r="ZB32">
        <v>0</v>
      </c>
      <c r="ZC32">
        <v>44</v>
      </c>
      <c r="ZD32">
        <v>0</v>
      </c>
      <c r="ZE32">
        <v>0</v>
      </c>
      <c r="ZF32">
        <v>17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4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76</v>
      </c>
      <c r="ZT32">
        <v>0</v>
      </c>
      <c r="ZU32">
        <v>0</v>
      </c>
      <c r="ZV32">
        <v>1548</v>
      </c>
      <c r="ZW32">
        <v>0</v>
      </c>
      <c r="ZX32">
        <v>580</v>
      </c>
      <c r="ZY32">
        <v>0</v>
      </c>
      <c r="ZZ32">
        <v>0</v>
      </c>
      <c r="AAA32">
        <v>0</v>
      </c>
      <c r="AAB32">
        <v>0</v>
      </c>
      <c r="AAC32">
        <v>7</v>
      </c>
      <c r="AAD32">
        <v>368</v>
      </c>
      <c r="AAE32">
        <v>0</v>
      </c>
      <c r="AAF32">
        <v>0</v>
      </c>
      <c r="AAG32">
        <v>37</v>
      </c>
      <c r="AAH32">
        <v>120</v>
      </c>
      <c r="AAI32">
        <v>157</v>
      </c>
      <c r="AAJ32">
        <v>587</v>
      </c>
      <c r="AAK32">
        <v>1170</v>
      </c>
      <c r="AAL32">
        <v>0</v>
      </c>
      <c r="AAM32">
        <v>0</v>
      </c>
      <c r="AAN32">
        <v>316</v>
      </c>
      <c r="AAO32">
        <v>6942</v>
      </c>
      <c r="AAP32">
        <v>33331</v>
      </c>
      <c r="AAQ32">
        <v>8797</v>
      </c>
      <c r="AAR32">
        <v>42</v>
      </c>
      <c r="AAS32">
        <v>5</v>
      </c>
      <c r="AAT32">
        <v>0</v>
      </c>
      <c r="AAU32">
        <v>0</v>
      </c>
      <c r="AAV32">
        <v>16</v>
      </c>
      <c r="AAW32">
        <v>0</v>
      </c>
      <c r="AAX32">
        <v>18</v>
      </c>
      <c r="AAY32">
        <v>9</v>
      </c>
      <c r="AAZ32">
        <v>277</v>
      </c>
      <c r="ABA32">
        <v>0</v>
      </c>
      <c r="ABB32">
        <v>732</v>
      </c>
      <c r="ABC32">
        <v>196</v>
      </c>
      <c r="ABD32">
        <v>457</v>
      </c>
      <c r="ABE32">
        <v>19</v>
      </c>
      <c r="ABF32">
        <v>2041</v>
      </c>
      <c r="ABG32">
        <v>4</v>
      </c>
      <c r="ABH32">
        <v>0</v>
      </c>
      <c r="ABI32">
        <v>1086</v>
      </c>
      <c r="ABJ32">
        <v>753</v>
      </c>
      <c r="ABK32">
        <v>2</v>
      </c>
      <c r="ABL32">
        <v>130</v>
      </c>
      <c r="ABM32">
        <v>718</v>
      </c>
      <c r="ABN32">
        <v>61</v>
      </c>
      <c r="ABO32">
        <v>0</v>
      </c>
      <c r="ABP32">
        <v>0</v>
      </c>
      <c r="ABQ32">
        <v>0</v>
      </c>
      <c r="ABR32">
        <v>1</v>
      </c>
      <c r="ABS32">
        <v>88</v>
      </c>
      <c r="ABT32">
        <v>121</v>
      </c>
      <c r="ABU32">
        <v>1</v>
      </c>
      <c r="ABV32">
        <v>0</v>
      </c>
      <c r="ABW32">
        <v>0</v>
      </c>
      <c r="ABX32">
        <v>8</v>
      </c>
      <c r="ABY32">
        <v>0</v>
      </c>
      <c r="ABZ32">
        <v>1</v>
      </c>
      <c r="ACA32">
        <v>60</v>
      </c>
      <c r="ACB32">
        <v>0</v>
      </c>
      <c r="ACC32">
        <v>0</v>
      </c>
      <c r="ACD32">
        <v>2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5</v>
      </c>
      <c r="ACL32">
        <v>0</v>
      </c>
      <c r="ACM32">
        <v>0</v>
      </c>
      <c r="ACN32">
        <v>0</v>
      </c>
      <c r="ACO32">
        <v>0</v>
      </c>
      <c r="ACP32">
        <v>1</v>
      </c>
      <c r="ACQ32">
        <v>0</v>
      </c>
      <c r="ACR32">
        <v>16</v>
      </c>
      <c r="ACS32">
        <v>0</v>
      </c>
      <c r="ACT32">
        <v>0</v>
      </c>
      <c r="ACU32">
        <v>0</v>
      </c>
      <c r="ACV32">
        <v>0</v>
      </c>
      <c r="ACW32">
        <v>5</v>
      </c>
      <c r="ACX32">
        <v>0</v>
      </c>
      <c r="ACY32">
        <v>0</v>
      </c>
      <c r="ACZ32">
        <v>0</v>
      </c>
      <c r="ADA32">
        <v>2319</v>
      </c>
      <c r="ADB32">
        <v>0</v>
      </c>
      <c r="ADC32">
        <v>22</v>
      </c>
      <c r="ADD32">
        <v>22</v>
      </c>
      <c r="ADE32">
        <v>0</v>
      </c>
      <c r="ADF32">
        <v>13</v>
      </c>
      <c r="ADG32">
        <v>2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2</v>
      </c>
      <c r="ADO32">
        <v>0</v>
      </c>
      <c r="ADP32">
        <v>1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1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 s="134">
        <v>0</v>
      </c>
      <c r="AGL32" s="134">
        <v>0</v>
      </c>
      <c r="AGM32" s="134">
        <v>0</v>
      </c>
      <c r="AGN32" s="134">
        <v>0</v>
      </c>
      <c r="AGO32" s="134">
        <v>0</v>
      </c>
      <c r="AGP32" s="134">
        <v>0</v>
      </c>
      <c r="AGQ32" s="134">
        <v>0</v>
      </c>
      <c r="AGR32" s="134">
        <v>0</v>
      </c>
      <c r="AGS32" s="134">
        <v>0</v>
      </c>
      <c r="AGT32" s="134">
        <v>0</v>
      </c>
      <c r="AGU32" s="134">
        <v>0</v>
      </c>
      <c r="AGV32" s="134">
        <v>0</v>
      </c>
      <c r="AGW32" s="134">
        <v>0</v>
      </c>
      <c r="AGX32" s="134">
        <v>0</v>
      </c>
      <c r="AGY32" s="134">
        <v>0</v>
      </c>
      <c r="AGZ32" s="134">
        <v>0</v>
      </c>
      <c r="AHA32" s="134">
        <v>0</v>
      </c>
      <c r="AHB32" s="134">
        <v>0</v>
      </c>
      <c r="AHC32" s="134">
        <v>0</v>
      </c>
      <c r="AHD32" s="134">
        <v>0</v>
      </c>
      <c r="AHE32" s="134">
        <v>0</v>
      </c>
      <c r="AHF32" s="134"/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428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7</v>
      </c>
      <c r="AKD32">
        <v>0</v>
      </c>
      <c r="AKE32">
        <v>0</v>
      </c>
      <c r="AKF32">
        <v>0</v>
      </c>
    </row>
    <row r="33" spans="1:968">
      <c r="A33">
        <v>2</v>
      </c>
      <c r="B33" t="s">
        <v>126</v>
      </c>
      <c r="C33" s="1">
        <v>82607</v>
      </c>
      <c r="D33" s="1" t="s">
        <v>28</v>
      </c>
      <c r="E33" s="1" t="s">
        <v>93</v>
      </c>
      <c r="F33" s="1" t="s">
        <v>93</v>
      </c>
      <c r="G33" s="1" t="s">
        <v>12</v>
      </c>
      <c r="H33" s="1" t="s">
        <v>114</v>
      </c>
      <c r="I33" s="1" t="s">
        <v>45</v>
      </c>
      <c r="J33" s="1" t="s">
        <v>46</v>
      </c>
      <c r="K33">
        <v>1732</v>
      </c>
      <c r="L33">
        <v>49244</v>
      </c>
      <c r="M33">
        <v>15533</v>
      </c>
      <c r="N33">
        <v>4480</v>
      </c>
      <c r="O33">
        <v>3285</v>
      </c>
      <c r="P33">
        <v>11269</v>
      </c>
      <c r="Q33">
        <v>10236</v>
      </c>
      <c r="R33">
        <v>54693</v>
      </c>
      <c r="S33">
        <v>6144</v>
      </c>
      <c r="T33">
        <v>4204</v>
      </c>
      <c r="U33">
        <v>16406</v>
      </c>
      <c r="V33">
        <v>2661</v>
      </c>
      <c r="W33">
        <v>20517</v>
      </c>
      <c r="X33">
        <v>6782</v>
      </c>
      <c r="Y33">
        <v>6306</v>
      </c>
      <c r="Z33">
        <v>20783</v>
      </c>
      <c r="AA33">
        <v>6444</v>
      </c>
      <c r="AB33">
        <v>7137</v>
      </c>
      <c r="AC33">
        <v>0</v>
      </c>
      <c r="AD33">
        <v>4870</v>
      </c>
      <c r="AE33">
        <v>9691</v>
      </c>
      <c r="AF33">
        <v>3548</v>
      </c>
      <c r="AG33">
        <v>9919</v>
      </c>
      <c r="AH33">
        <v>4447</v>
      </c>
      <c r="AI33">
        <v>6200</v>
      </c>
      <c r="AJ33">
        <v>201</v>
      </c>
      <c r="AK33">
        <v>11591</v>
      </c>
      <c r="AL33">
        <v>9563</v>
      </c>
      <c r="AM33">
        <v>2810</v>
      </c>
      <c r="AN33">
        <v>12961</v>
      </c>
      <c r="AO33">
        <v>4540</v>
      </c>
      <c r="AP33">
        <v>4436</v>
      </c>
      <c r="AQ33">
        <v>0</v>
      </c>
      <c r="AR33">
        <v>9854</v>
      </c>
      <c r="AS33">
        <v>2091</v>
      </c>
      <c r="AT33">
        <v>1761</v>
      </c>
      <c r="AU33">
        <v>7883</v>
      </c>
      <c r="AV33">
        <v>7169</v>
      </c>
      <c r="AW33">
        <v>7880</v>
      </c>
      <c r="AX33">
        <v>0</v>
      </c>
      <c r="AY33">
        <v>5958</v>
      </c>
      <c r="AZ33">
        <v>1441</v>
      </c>
      <c r="BA33">
        <v>8228</v>
      </c>
      <c r="BB33">
        <v>9670</v>
      </c>
      <c r="BC33">
        <v>10181</v>
      </c>
      <c r="BD33">
        <v>11488</v>
      </c>
      <c r="BE33">
        <v>0</v>
      </c>
      <c r="BF33">
        <v>7065</v>
      </c>
      <c r="BG33">
        <v>3247</v>
      </c>
      <c r="BH33">
        <v>3116</v>
      </c>
      <c r="BI33">
        <v>5282</v>
      </c>
      <c r="BJ33">
        <v>2665</v>
      </c>
      <c r="BK33">
        <v>1417</v>
      </c>
      <c r="BL33">
        <v>0</v>
      </c>
      <c r="BM33">
        <v>1774</v>
      </c>
      <c r="BN33">
        <v>59</v>
      </c>
      <c r="BO33">
        <v>224</v>
      </c>
      <c r="BP33">
        <v>55</v>
      </c>
      <c r="BQ33">
        <v>1200</v>
      </c>
      <c r="BR33">
        <v>0</v>
      </c>
      <c r="BS33">
        <v>0</v>
      </c>
      <c r="BT33">
        <v>0</v>
      </c>
      <c r="BU33" s="33">
        <v>0</v>
      </c>
      <c r="BV33" s="33">
        <v>491</v>
      </c>
      <c r="BW33" s="33">
        <v>3283</v>
      </c>
      <c r="BX33" s="33">
        <v>964</v>
      </c>
      <c r="BY33" s="33">
        <v>693</v>
      </c>
      <c r="BZ33" s="33">
        <v>0</v>
      </c>
      <c r="CA33" s="33">
        <v>1011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2037</v>
      </c>
      <c r="CI33">
        <v>2601</v>
      </c>
      <c r="CJ33">
        <v>2983</v>
      </c>
      <c r="CK33">
        <v>1009</v>
      </c>
      <c r="CL33">
        <v>5408</v>
      </c>
      <c r="CM33">
        <v>0</v>
      </c>
      <c r="CN33">
        <v>0</v>
      </c>
      <c r="CO33">
        <v>7955</v>
      </c>
      <c r="CP33">
        <v>9509</v>
      </c>
      <c r="CQ33">
        <v>1328</v>
      </c>
      <c r="CR33">
        <v>2794</v>
      </c>
      <c r="CS33">
        <v>177</v>
      </c>
      <c r="CT33">
        <v>704</v>
      </c>
      <c r="CU33">
        <v>0</v>
      </c>
      <c r="CV33">
        <v>2950</v>
      </c>
      <c r="CW33">
        <v>2098</v>
      </c>
      <c r="CX33">
        <v>3167</v>
      </c>
      <c r="CY33">
        <v>1133</v>
      </c>
      <c r="CZ33">
        <v>1371</v>
      </c>
      <c r="DA33">
        <v>1168</v>
      </c>
      <c r="DB33">
        <v>0</v>
      </c>
      <c r="DC33">
        <v>1073</v>
      </c>
      <c r="DD33">
        <v>727</v>
      </c>
      <c r="DE33">
        <v>845</v>
      </c>
      <c r="DF33">
        <v>788</v>
      </c>
      <c r="DG33">
        <v>216</v>
      </c>
      <c r="DH33">
        <v>343</v>
      </c>
      <c r="DI33">
        <v>0</v>
      </c>
      <c r="DJ33">
        <v>2890</v>
      </c>
      <c r="DK33">
        <v>2437</v>
      </c>
      <c r="DL33">
        <v>389</v>
      </c>
      <c r="DM33">
        <v>281</v>
      </c>
      <c r="DN33">
        <v>381</v>
      </c>
      <c r="DO33">
        <v>3453</v>
      </c>
      <c r="DP33">
        <v>0</v>
      </c>
      <c r="DQ33">
        <v>2555</v>
      </c>
      <c r="DR33">
        <v>2905</v>
      </c>
      <c r="DS33">
        <v>1839</v>
      </c>
      <c r="DT33">
        <v>2183</v>
      </c>
      <c r="DU33">
        <v>8418</v>
      </c>
      <c r="DV33">
        <v>4417</v>
      </c>
      <c r="DW33">
        <v>0</v>
      </c>
      <c r="DX33">
        <v>3262</v>
      </c>
      <c r="DY33">
        <v>3157</v>
      </c>
      <c r="DZ33">
        <v>4164</v>
      </c>
      <c r="EA33">
        <v>2160</v>
      </c>
      <c r="EB33">
        <v>1190</v>
      </c>
      <c r="EC33">
        <v>1569</v>
      </c>
      <c r="ED33">
        <v>0</v>
      </c>
      <c r="EE33">
        <v>2664</v>
      </c>
      <c r="EF33">
        <v>2044</v>
      </c>
      <c r="EG33">
        <v>6209</v>
      </c>
      <c r="EH33">
        <v>3216</v>
      </c>
      <c r="EI33">
        <v>585</v>
      </c>
      <c r="EJ33">
        <v>1535</v>
      </c>
      <c r="EK33">
        <v>0</v>
      </c>
      <c r="EL33">
        <v>3528</v>
      </c>
      <c r="EM33">
        <v>7502</v>
      </c>
      <c r="EN33">
        <v>7299</v>
      </c>
      <c r="EO33">
        <v>5015</v>
      </c>
      <c r="EP33">
        <v>1494</v>
      </c>
      <c r="EQ33">
        <v>2672</v>
      </c>
      <c r="ER33">
        <v>0</v>
      </c>
      <c r="ES33">
        <v>1495</v>
      </c>
      <c r="ET33">
        <v>2679</v>
      </c>
      <c r="EU33">
        <v>320</v>
      </c>
      <c r="EV33">
        <v>1929</v>
      </c>
      <c r="EW33">
        <v>3148</v>
      </c>
      <c r="EX33">
        <v>294</v>
      </c>
      <c r="EY33">
        <v>0</v>
      </c>
      <c r="EZ33">
        <v>482</v>
      </c>
      <c r="FA33">
        <v>1891</v>
      </c>
      <c r="FB33">
        <v>3961</v>
      </c>
      <c r="FC33">
        <v>374</v>
      </c>
      <c r="FD33">
        <v>416</v>
      </c>
      <c r="FE33">
        <v>3458</v>
      </c>
      <c r="FF33">
        <v>0</v>
      </c>
      <c r="FG33">
        <v>731</v>
      </c>
      <c r="FH33">
        <v>1206</v>
      </c>
      <c r="FI33">
        <v>3806</v>
      </c>
      <c r="FJ33">
        <v>5088</v>
      </c>
      <c r="FK33">
        <v>2390</v>
      </c>
      <c r="FL33">
        <v>5733</v>
      </c>
      <c r="FM33">
        <v>0</v>
      </c>
      <c r="FN33">
        <v>6075</v>
      </c>
      <c r="FO33">
        <v>7573</v>
      </c>
      <c r="FP33">
        <v>4718</v>
      </c>
      <c r="FQ33">
        <v>6101</v>
      </c>
      <c r="FR33">
        <v>1152</v>
      </c>
      <c r="FS33">
        <v>0</v>
      </c>
      <c r="FT33">
        <v>0</v>
      </c>
      <c r="FU33">
        <v>0</v>
      </c>
      <c r="FV33">
        <v>4286</v>
      </c>
      <c r="FW33">
        <v>1651</v>
      </c>
      <c r="FX33">
        <v>9</v>
      </c>
      <c r="FY33">
        <v>739</v>
      </c>
      <c r="FZ33">
        <v>582</v>
      </c>
      <c r="GA33">
        <v>0</v>
      </c>
      <c r="GB33">
        <v>2031</v>
      </c>
      <c r="GC33">
        <v>923</v>
      </c>
      <c r="GD33">
        <v>2746</v>
      </c>
      <c r="GE33">
        <v>379</v>
      </c>
      <c r="GF33">
        <v>1100</v>
      </c>
      <c r="GG33">
        <v>3574</v>
      </c>
      <c r="GH33">
        <v>0</v>
      </c>
      <c r="GI33">
        <v>1709</v>
      </c>
      <c r="GJ33">
        <v>5764</v>
      </c>
      <c r="GK33">
        <v>0</v>
      </c>
      <c r="GL33">
        <v>816</v>
      </c>
      <c r="GM33">
        <v>9116</v>
      </c>
      <c r="GN33">
        <v>0</v>
      </c>
      <c r="GO33">
        <v>0</v>
      </c>
      <c r="GP33">
        <v>995</v>
      </c>
      <c r="GQ33">
        <v>3116</v>
      </c>
      <c r="GR33">
        <v>2260</v>
      </c>
      <c r="GS33">
        <v>369</v>
      </c>
      <c r="GT33">
        <v>3125</v>
      </c>
      <c r="GU33">
        <v>213</v>
      </c>
      <c r="GV33">
        <v>0</v>
      </c>
      <c r="GW33">
        <v>541</v>
      </c>
      <c r="GX33">
        <v>2659</v>
      </c>
      <c r="GY33">
        <v>3702</v>
      </c>
      <c r="GZ33">
        <v>1626</v>
      </c>
      <c r="HA33">
        <v>2607</v>
      </c>
      <c r="HB33">
        <v>2441</v>
      </c>
      <c r="HC33">
        <v>0</v>
      </c>
      <c r="HD33">
        <v>1634</v>
      </c>
      <c r="HE33">
        <v>7130</v>
      </c>
      <c r="HF33">
        <v>0</v>
      </c>
      <c r="HG33">
        <v>818</v>
      </c>
      <c r="HH33">
        <v>764</v>
      </c>
      <c r="HI33">
        <v>229</v>
      </c>
      <c r="HJ33">
        <v>15289</v>
      </c>
      <c r="HK33">
        <v>3001</v>
      </c>
      <c r="HL33">
        <v>6649</v>
      </c>
      <c r="HM33">
        <v>167</v>
      </c>
      <c r="HN33">
        <v>3518</v>
      </c>
      <c r="HO33">
        <v>389</v>
      </c>
      <c r="HP33">
        <v>253</v>
      </c>
      <c r="HQ33">
        <v>0</v>
      </c>
      <c r="HR33">
        <v>0</v>
      </c>
      <c r="HS33">
        <v>5744</v>
      </c>
      <c r="HT33">
        <v>6427</v>
      </c>
      <c r="HU33">
        <v>4912</v>
      </c>
      <c r="HV33">
        <v>6646</v>
      </c>
      <c r="HW33">
        <v>837</v>
      </c>
      <c r="HX33">
        <v>0</v>
      </c>
      <c r="HY33">
        <v>0</v>
      </c>
      <c r="HZ33">
        <v>0</v>
      </c>
      <c r="IA33">
        <v>5713</v>
      </c>
      <c r="IB33">
        <v>7139</v>
      </c>
      <c r="IC33">
        <v>1868</v>
      </c>
      <c r="ID33">
        <v>3292</v>
      </c>
      <c r="IE33">
        <v>0</v>
      </c>
      <c r="IF33">
        <v>3518</v>
      </c>
      <c r="IG33">
        <v>8340</v>
      </c>
      <c r="IH33">
        <v>4058</v>
      </c>
      <c r="II33">
        <v>2319</v>
      </c>
      <c r="IJ33">
        <v>2263</v>
      </c>
      <c r="IK33">
        <v>4909</v>
      </c>
      <c r="IL33">
        <v>0</v>
      </c>
      <c r="IM33">
        <v>1360</v>
      </c>
      <c r="IN33">
        <v>1794</v>
      </c>
      <c r="IO33">
        <v>2216</v>
      </c>
      <c r="IP33">
        <v>6284</v>
      </c>
      <c r="IQ33">
        <v>127</v>
      </c>
      <c r="IR33">
        <v>1305</v>
      </c>
      <c r="IS33">
        <v>0</v>
      </c>
      <c r="IT33">
        <v>2993</v>
      </c>
      <c r="IU33">
        <v>5922</v>
      </c>
      <c r="IV33">
        <v>700</v>
      </c>
      <c r="IW33">
        <v>374</v>
      </c>
      <c r="IX33">
        <v>957</v>
      </c>
      <c r="IY33">
        <v>32</v>
      </c>
      <c r="IZ33">
        <v>0</v>
      </c>
      <c r="JA33">
        <v>1159</v>
      </c>
      <c r="JB33">
        <v>7130</v>
      </c>
      <c r="JC33">
        <v>1989</v>
      </c>
      <c r="JD33">
        <v>2351</v>
      </c>
      <c r="JE33">
        <v>345</v>
      </c>
      <c r="JF33">
        <v>169</v>
      </c>
      <c r="JG33">
        <v>0</v>
      </c>
      <c r="JH33">
        <v>6</v>
      </c>
      <c r="JI33">
        <v>4978</v>
      </c>
      <c r="JJ33">
        <v>1227</v>
      </c>
      <c r="JK33">
        <v>552</v>
      </c>
      <c r="JL33">
        <v>169</v>
      </c>
      <c r="JM33">
        <v>35</v>
      </c>
      <c r="JN33">
        <v>0</v>
      </c>
      <c r="JO33">
        <v>0</v>
      </c>
      <c r="JP33">
        <v>7028</v>
      </c>
      <c r="JQ33">
        <v>6820</v>
      </c>
      <c r="JR33">
        <v>2462</v>
      </c>
      <c r="JS33">
        <v>2463</v>
      </c>
      <c r="JT33">
        <v>1527</v>
      </c>
      <c r="JU33">
        <v>0</v>
      </c>
      <c r="JV33">
        <v>4439</v>
      </c>
      <c r="JW33">
        <v>3503</v>
      </c>
      <c r="JX33">
        <v>0</v>
      </c>
      <c r="JY33">
        <v>7326</v>
      </c>
      <c r="JZ33">
        <v>4350</v>
      </c>
      <c r="KA33">
        <v>2239</v>
      </c>
      <c r="KB33">
        <v>0</v>
      </c>
      <c r="KC33">
        <v>5382</v>
      </c>
      <c r="KD33">
        <v>1972</v>
      </c>
      <c r="KE33">
        <v>1924</v>
      </c>
      <c r="KF33">
        <v>960</v>
      </c>
      <c r="KG33">
        <v>4493</v>
      </c>
      <c r="KH33">
        <v>2288</v>
      </c>
      <c r="KI33">
        <v>0</v>
      </c>
      <c r="KJ33">
        <v>0</v>
      </c>
      <c r="KK33">
        <v>3259</v>
      </c>
      <c r="KL33">
        <v>2529</v>
      </c>
      <c r="KM33">
        <v>1695</v>
      </c>
      <c r="KN33">
        <v>1546</v>
      </c>
      <c r="KO33">
        <v>0</v>
      </c>
      <c r="KP33">
        <v>0</v>
      </c>
      <c r="KQ33">
        <v>2021</v>
      </c>
      <c r="KR33">
        <v>13450</v>
      </c>
      <c r="KS33">
        <v>48887</v>
      </c>
      <c r="KT33">
        <v>10646</v>
      </c>
      <c r="KU33">
        <v>8910</v>
      </c>
      <c r="KV33">
        <v>2123</v>
      </c>
      <c r="KW33">
        <v>0</v>
      </c>
      <c r="KX33">
        <v>2933</v>
      </c>
      <c r="KY33">
        <v>3996</v>
      </c>
      <c r="KZ33">
        <v>4431</v>
      </c>
      <c r="LA33">
        <v>16486</v>
      </c>
      <c r="LB33">
        <v>5343</v>
      </c>
      <c r="LC33">
        <v>2810</v>
      </c>
      <c r="LD33">
        <v>0</v>
      </c>
      <c r="LE33">
        <v>1060</v>
      </c>
      <c r="LF33">
        <v>2495</v>
      </c>
      <c r="LG33">
        <v>3101</v>
      </c>
      <c r="LH33">
        <v>2256</v>
      </c>
      <c r="LI33">
        <v>3263</v>
      </c>
      <c r="LJ33">
        <v>25</v>
      </c>
      <c r="LK33">
        <v>0</v>
      </c>
      <c r="LL33">
        <v>2858</v>
      </c>
      <c r="LM33">
        <v>5298</v>
      </c>
      <c r="LN33">
        <v>7573</v>
      </c>
      <c r="LO33">
        <v>8546</v>
      </c>
      <c r="LP33">
        <v>2588</v>
      </c>
      <c r="LQ33">
        <v>3059</v>
      </c>
      <c r="LR33">
        <v>0</v>
      </c>
      <c r="LS33">
        <v>8647</v>
      </c>
      <c r="LT33">
        <v>7185</v>
      </c>
      <c r="LU33">
        <v>3523</v>
      </c>
      <c r="LV33">
        <v>6178</v>
      </c>
      <c r="LW33">
        <v>605</v>
      </c>
      <c r="LX33">
        <v>2533</v>
      </c>
      <c r="LY33">
        <v>0</v>
      </c>
      <c r="LZ33">
        <v>804</v>
      </c>
      <c r="MA33">
        <v>16574</v>
      </c>
      <c r="MB33">
        <v>3032</v>
      </c>
      <c r="MC33">
        <v>953</v>
      </c>
      <c r="MD33">
        <v>19224</v>
      </c>
      <c r="ME33">
        <v>5398</v>
      </c>
      <c r="MF33">
        <v>0</v>
      </c>
      <c r="MG33">
        <v>3052</v>
      </c>
      <c r="MH33">
        <v>7169</v>
      </c>
      <c r="MI33">
        <v>39114</v>
      </c>
      <c r="MJ33">
        <v>1350</v>
      </c>
      <c r="MK33">
        <v>15005</v>
      </c>
      <c r="ML33">
        <v>22783</v>
      </c>
      <c r="MM33">
        <v>0</v>
      </c>
      <c r="MN33">
        <v>3251</v>
      </c>
      <c r="MO33">
        <v>22790</v>
      </c>
      <c r="MP33">
        <v>6641</v>
      </c>
      <c r="MQ33">
        <v>1494</v>
      </c>
      <c r="MR33">
        <v>16630</v>
      </c>
      <c r="MS33">
        <v>7348</v>
      </c>
      <c r="MT33">
        <v>0</v>
      </c>
      <c r="MU33">
        <v>0</v>
      </c>
      <c r="MV33">
        <v>2263</v>
      </c>
      <c r="MW33">
        <v>6234</v>
      </c>
      <c r="MX33">
        <v>7987</v>
      </c>
      <c r="MY33">
        <v>6401</v>
      </c>
      <c r="MZ33">
        <v>5258</v>
      </c>
      <c r="NA33">
        <v>0</v>
      </c>
      <c r="NB33">
        <v>3753</v>
      </c>
      <c r="NC33">
        <v>2753</v>
      </c>
      <c r="ND33">
        <v>8768</v>
      </c>
      <c r="NE33">
        <v>3472</v>
      </c>
      <c r="NF33">
        <v>28593</v>
      </c>
      <c r="NG33">
        <v>7791</v>
      </c>
      <c r="NH33">
        <v>0</v>
      </c>
      <c r="NI33">
        <v>0</v>
      </c>
      <c r="NJ33">
        <v>3180</v>
      </c>
      <c r="NK33">
        <v>3512</v>
      </c>
      <c r="NL33">
        <v>3634</v>
      </c>
      <c r="NM33">
        <v>669</v>
      </c>
      <c r="NN33">
        <v>11924</v>
      </c>
      <c r="NO33">
        <v>0</v>
      </c>
      <c r="NP33">
        <v>1006</v>
      </c>
      <c r="NQ33">
        <v>2404</v>
      </c>
      <c r="NR33">
        <v>54241</v>
      </c>
      <c r="NS33">
        <v>1568</v>
      </c>
      <c r="NT33">
        <v>4227</v>
      </c>
      <c r="NU33">
        <v>7556</v>
      </c>
      <c r="NV33">
        <v>18</v>
      </c>
      <c r="NW33">
        <v>4790</v>
      </c>
      <c r="NX33">
        <v>6491</v>
      </c>
      <c r="NY33">
        <v>66412</v>
      </c>
      <c r="NZ33">
        <v>3765</v>
      </c>
      <c r="OA33">
        <v>3098</v>
      </c>
      <c r="OB33">
        <v>1304</v>
      </c>
      <c r="OC33">
        <v>10</v>
      </c>
      <c r="OD33">
        <v>1071</v>
      </c>
      <c r="OE33">
        <v>7318</v>
      </c>
      <c r="OF33">
        <v>6964</v>
      </c>
      <c r="OG33">
        <v>12243</v>
      </c>
      <c r="OH33">
        <v>5792</v>
      </c>
      <c r="OI33">
        <v>6265</v>
      </c>
      <c r="OJ33">
        <v>3800</v>
      </c>
      <c r="OK33">
        <v>2067</v>
      </c>
      <c r="OL33">
        <v>4784</v>
      </c>
      <c r="OM33">
        <v>3918</v>
      </c>
      <c r="ON33">
        <v>4391</v>
      </c>
      <c r="OO33">
        <v>5558</v>
      </c>
      <c r="OP33">
        <v>60303</v>
      </c>
      <c r="OQ33">
        <v>0</v>
      </c>
      <c r="OR33">
        <v>18068</v>
      </c>
      <c r="OS33">
        <v>5869</v>
      </c>
      <c r="OT33">
        <v>4856</v>
      </c>
      <c r="OU33">
        <v>9915</v>
      </c>
      <c r="OV33">
        <v>6383</v>
      </c>
      <c r="OW33">
        <v>7732</v>
      </c>
      <c r="OX33">
        <v>0</v>
      </c>
      <c r="OY33">
        <v>3284</v>
      </c>
      <c r="OZ33">
        <v>2933</v>
      </c>
      <c r="PA33">
        <v>1959</v>
      </c>
      <c r="PB33">
        <v>15524</v>
      </c>
      <c r="PC33">
        <v>5769</v>
      </c>
      <c r="PD33">
        <v>3924</v>
      </c>
      <c r="PE33">
        <v>0</v>
      </c>
      <c r="PF33">
        <v>6250</v>
      </c>
      <c r="PG33">
        <v>6255</v>
      </c>
      <c r="PH33">
        <v>4396</v>
      </c>
      <c r="PI33">
        <v>11133</v>
      </c>
      <c r="PJ33">
        <v>5996</v>
      </c>
      <c r="PK33">
        <v>3942</v>
      </c>
      <c r="PL33">
        <v>1260</v>
      </c>
      <c r="PM33">
        <v>4697</v>
      </c>
      <c r="PN33">
        <v>7225</v>
      </c>
      <c r="PO33">
        <v>5465</v>
      </c>
      <c r="PP33">
        <v>4280</v>
      </c>
      <c r="PQ33">
        <v>922</v>
      </c>
      <c r="PR33">
        <v>243</v>
      </c>
      <c r="PS33">
        <v>0</v>
      </c>
      <c r="PT33">
        <v>452</v>
      </c>
      <c r="PU33">
        <v>0</v>
      </c>
      <c r="PV33">
        <v>0</v>
      </c>
      <c r="PW33">
        <v>0</v>
      </c>
      <c r="PX33">
        <v>1253</v>
      </c>
      <c r="PY33">
        <v>1061</v>
      </c>
      <c r="PZ33">
        <v>0</v>
      </c>
      <c r="QA33">
        <v>373</v>
      </c>
      <c r="QB33">
        <v>3630</v>
      </c>
      <c r="QC33">
        <v>4491</v>
      </c>
      <c r="QD33">
        <v>4572</v>
      </c>
      <c r="QE33">
        <v>4820</v>
      </c>
      <c r="QF33">
        <v>4683</v>
      </c>
      <c r="QG33">
        <v>0</v>
      </c>
      <c r="QH33">
        <v>1644</v>
      </c>
      <c r="QI33">
        <v>6454</v>
      </c>
      <c r="QJ33">
        <v>6933</v>
      </c>
      <c r="QK33">
        <v>2281</v>
      </c>
      <c r="QL33">
        <v>3956</v>
      </c>
      <c r="QM33">
        <v>5454</v>
      </c>
      <c r="QN33">
        <v>0</v>
      </c>
      <c r="QO33">
        <v>2027</v>
      </c>
      <c r="QP33">
        <v>6328</v>
      </c>
      <c r="QQ33">
        <v>4047</v>
      </c>
      <c r="QR33">
        <v>3038</v>
      </c>
      <c r="QS33">
        <v>4420</v>
      </c>
      <c r="QT33">
        <v>190</v>
      </c>
      <c r="QU33">
        <v>0</v>
      </c>
      <c r="QV33">
        <v>577</v>
      </c>
      <c r="QW33">
        <v>3796</v>
      </c>
      <c r="QX33">
        <v>1173</v>
      </c>
      <c r="QY33">
        <v>3211</v>
      </c>
      <c r="QZ33">
        <v>4325</v>
      </c>
      <c r="RA33">
        <v>4135</v>
      </c>
      <c r="RB33">
        <v>0</v>
      </c>
      <c r="RC33">
        <v>8483</v>
      </c>
      <c r="RD33">
        <v>4879</v>
      </c>
      <c r="RE33">
        <v>2461</v>
      </c>
      <c r="RF33">
        <v>1781</v>
      </c>
      <c r="RG33">
        <v>190</v>
      </c>
      <c r="RH33">
        <v>0</v>
      </c>
      <c r="RI33">
        <v>0</v>
      </c>
      <c r="RJ33">
        <v>2796</v>
      </c>
      <c r="RK33">
        <v>7646</v>
      </c>
      <c r="RL33">
        <v>994</v>
      </c>
      <c r="RM33">
        <v>2228</v>
      </c>
      <c r="RN33">
        <v>4795</v>
      </c>
      <c r="RO33">
        <v>31</v>
      </c>
      <c r="RP33">
        <v>0</v>
      </c>
      <c r="RQ33">
        <v>2728</v>
      </c>
      <c r="RR33">
        <v>5698</v>
      </c>
      <c r="RS33">
        <v>1378</v>
      </c>
      <c r="RT33">
        <v>2268</v>
      </c>
      <c r="RU33">
        <v>1482</v>
      </c>
      <c r="RV33">
        <v>2648</v>
      </c>
      <c r="RW33">
        <v>0</v>
      </c>
      <c r="RX33">
        <v>3753</v>
      </c>
      <c r="RY33">
        <v>3047</v>
      </c>
      <c r="RZ33">
        <v>576</v>
      </c>
      <c r="SA33">
        <v>83</v>
      </c>
      <c r="SB33">
        <v>928</v>
      </c>
      <c r="SC33">
        <v>53</v>
      </c>
      <c r="SD33">
        <v>0</v>
      </c>
      <c r="SE33">
        <v>1406</v>
      </c>
      <c r="SF33">
        <v>580</v>
      </c>
      <c r="SG33">
        <v>4598</v>
      </c>
      <c r="SH33">
        <v>5674</v>
      </c>
      <c r="SI33">
        <v>468</v>
      </c>
      <c r="SJ33">
        <v>2123</v>
      </c>
      <c r="SK33">
        <v>0</v>
      </c>
      <c r="SL33">
        <v>1920</v>
      </c>
      <c r="SM33">
        <v>1607</v>
      </c>
      <c r="SN33">
        <v>1569</v>
      </c>
      <c r="SO33">
        <v>7061</v>
      </c>
      <c r="SP33">
        <v>4112</v>
      </c>
      <c r="SQ33">
        <v>2124</v>
      </c>
      <c r="SR33">
        <v>0</v>
      </c>
      <c r="SS33">
        <v>2639</v>
      </c>
      <c r="ST33">
        <v>1643</v>
      </c>
      <c r="SU33">
        <v>4986</v>
      </c>
      <c r="SV33">
        <v>5124</v>
      </c>
      <c r="SW33">
        <v>84</v>
      </c>
      <c r="SX33">
        <v>3245</v>
      </c>
      <c r="SY33">
        <v>0</v>
      </c>
      <c r="SZ33">
        <v>1779</v>
      </c>
      <c r="TA33">
        <v>1116</v>
      </c>
      <c r="TB33">
        <v>0</v>
      </c>
      <c r="TC33">
        <v>367</v>
      </c>
      <c r="TD33">
        <v>2236</v>
      </c>
      <c r="TE33">
        <v>567</v>
      </c>
      <c r="TF33">
        <v>0</v>
      </c>
      <c r="TG33">
        <v>429</v>
      </c>
      <c r="TH33">
        <v>3934</v>
      </c>
      <c r="TI33">
        <v>45642</v>
      </c>
      <c r="TJ33">
        <v>0</v>
      </c>
      <c r="TK33">
        <v>197</v>
      </c>
      <c r="TL33">
        <v>71</v>
      </c>
      <c r="TM33">
        <v>0</v>
      </c>
      <c r="TN33">
        <v>0</v>
      </c>
      <c r="TO33">
        <v>966</v>
      </c>
      <c r="TP33">
        <v>4992</v>
      </c>
      <c r="TQ33">
        <v>4121</v>
      </c>
      <c r="TR33">
        <v>7217</v>
      </c>
      <c r="TS33">
        <v>5196</v>
      </c>
      <c r="TT33">
        <v>0</v>
      </c>
      <c r="TU33">
        <v>0</v>
      </c>
      <c r="TV33">
        <v>0</v>
      </c>
      <c r="TW33">
        <v>2699</v>
      </c>
      <c r="TX33">
        <v>1459</v>
      </c>
      <c r="TY33">
        <v>1831</v>
      </c>
      <c r="TZ33">
        <v>2851</v>
      </c>
      <c r="UA33">
        <v>0</v>
      </c>
      <c r="UB33">
        <v>2574</v>
      </c>
      <c r="UC33">
        <v>736</v>
      </c>
      <c r="UD33">
        <v>1463</v>
      </c>
      <c r="UE33">
        <v>4739</v>
      </c>
      <c r="UF33">
        <v>560</v>
      </c>
      <c r="UG33">
        <v>619</v>
      </c>
      <c r="UH33">
        <v>0</v>
      </c>
      <c r="UI33">
        <v>2174</v>
      </c>
      <c r="UJ33">
        <v>1215</v>
      </c>
      <c r="UK33">
        <v>60</v>
      </c>
      <c r="UL33">
        <v>0</v>
      </c>
      <c r="UM33">
        <v>144</v>
      </c>
      <c r="UN33">
        <v>430</v>
      </c>
      <c r="UO33">
        <v>0</v>
      </c>
      <c r="UP33">
        <v>3940</v>
      </c>
      <c r="UQ33">
        <v>3026</v>
      </c>
      <c r="UR33">
        <v>5244</v>
      </c>
      <c r="US33">
        <v>3524</v>
      </c>
      <c r="UT33">
        <v>1896</v>
      </c>
      <c r="UU33">
        <v>0</v>
      </c>
      <c r="UV33">
        <v>0</v>
      </c>
      <c r="UW33">
        <v>0</v>
      </c>
      <c r="UX33">
        <v>1432</v>
      </c>
      <c r="UY33">
        <v>4421</v>
      </c>
      <c r="UZ33">
        <v>2901</v>
      </c>
      <c r="VA33">
        <v>2486</v>
      </c>
      <c r="VB33">
        <v>916</v>
      </c>
      <c r="VC33">
        <v>0</v>
      </c>
      <c r="VD33">
        <v>5</v>
      </c>
      <c r="VE33">
        <v>1652</v>
      </c>
      <c r="VF33">
        <v>4760</v>
      </c>
      <c r="VG33">
        <v>2775</v>
      </c>
      <c r="VH33">
        <v>425</v>
      </c>
      <c r="VI33">
        <v>1010</v>
      </c>
      <c r="VJ33">
        <v>0</v>
      </c>
      <c r="VK33">
        <v>38</v>
      </c>
      <c r="VL33">
        <v>1726</v>
      </c>
      <c r="VM33">
        <v>159</v>
      </c>
      <c r="VN33">
        <v>1392</v>
      </c>
      <c r="VO33">
        <v>183</v>
      </c>
      <c r="VP33">
        <v>921</v>
      </c>
      <c r="VQ33">
        <v>0</v>
      </c>
      <c r="VR33">
        <v>834</v>
      </c>
      <c r="VS33">
        <v>0</v>
      </c>
      <c r="VT33">
        <v>769</v>
      </c>
      <c r="VU33">
        <v>173</v>
      </c>
      <c r="VV33">
        <v>23</v>
      </c>
      <c r="VW33">
        <v>22</v>
      </c>
      <c r="VX33">
        <v>0</v>
      </c>
      <c r="VY33">
        <v>71</v>
      </c>
      <c r="VZ33">
        <v>1183</v>
      </c>
      <c r="WA33">
        <v>132</v>
      </c>
      <c r="WB33">
        <v>118</v>
      </c>
      <c r="WC33">
        <v>476</v>
      </c>
      <c r="WD33">
        <v>0</v>
      </c>
      <c r="WE33">
        <v>0</v>
      </c>
      <c r="WF33">
        <v>688</v>
      </c>
      <c r="WG33">
        <v>3705</v>
      </c>
      <c r="WH33">
        <v>2964</v>
      </c>
      <c r="WI33">
        <v>169</v>
      </c>
      <c r="WJ33">
        <v>111</v>
      </c>
      <c r="WK33">
        <v>5218</v>
      </c>
      <c r="WL33">
        <v>0</v>
      </c>
      <c r="WM33">
        <v>4438</v>
      </c>
      <c r="WN33">
        <v>6520</v>
      </c>
      <c r="WO33">
        <v>1203</v>
      </c>
      <c r="WP33">
        <v>2969</v>
      </c>
      <c r="WQ33">
        <v>1539</v>
      </c>
      <c r="WR33">
        <v>555</v>
      </c>
      <c r="WS33">
        <v>0</v>
      </c>
      <c r="WT33">
        <v>228</v>
      </c>
      <c r="WU33">
        <v>767</v>
      </c>
      <c r="WV33">
        <v>0</v>
      </c>
      <c r="WW33">
        <v>167</v>
      </c>
      <c r="WX33">
        <v>107</v>
      </c>
      <c r="WY33">
        <v>0</v>
      </c>
      <c r="WZ33">
        <v>0</v>
      </c>
      <c r="XA33">
        <v>370</v>
      </c>
      <c r="XB33">
        <v>4359</v>
      </c>
      <c r="XC33">
        <v>0</v>
      </c>
      <c r="XD33">
        <v>984</v>
      </c>
      <c r="XE33">
        <v>1147</v>
      </c>
      <c r="XF33">
        <v>73</v>
      </c>
      <c r="XG33">
        <v>0</v>
      </c>
      <c r="XH33">
        <v>1</v>
      </c>
      <c r="XI33">
        <v>1318</v>
      </c>
      <c r="XJ33">
        <v>94</v>
      </c>
      <c r="XK33">
        <v>15106</v>
      </c>
      <c r="XL33">
        <v>69</v>
      </c>
      <c r="XM33">
        <v>0</v>
      </c>
      <c r="XN33">
        <v>0</v>
      </c>
      <c r="XO33">
        <v>649</v>
      </c>
      <c r="XP33">
        <v>257</v>
      </c>
      <c r="XQ33">
        <v>40</v>
      </c>
      <c r="XR33">
        <v>336</v>
      </c>
      <c r="XS33">
        <v>691</v>
      </c>
      <c r="XT33">
        <v>0</v>
      </c>
      <c r="XU33">
        <v>0</v>
      </c>
      <c r="XV33">
        <v>0</v>
      </c>
      <c r="XW33">
        <v>1362</v>
      </c>
      <c r="XX33">
        <v>122</v>
      </c>
      <c r="XY33">
        <v>0</v>
      </c>
      <c r="XZ33">
        <v>0</v>
      </c>
      <c r="YA33">
        <v>907</v>
      </c>
      <c r="YB33">
        <v>934</v>
      </c>
      <c r="YC33">
        <v>6512</v>
      </c>
      <c r="YD33">
        <v>474</v>
      </c>
      <c r="YE33">
        <v>926</v>
      </c>
      <c r="YF33">
        <v>156</v>
      </c>
      <c r="YG33">
        <v>0</v>
      </c>
      <c r="YH33">
        <v>0</v>
      </c>
      <c r="YI33">
        <v>0</v>
      </c>
      <c r="YJ33">
        <v>633</v>
      </c>
      <c r="YK33">
        <v>0</v>
      </c>
      <c r="YL33">
        <v>110</v>
      </c>
      <c r="YM33">
        <v>295</v>
      </c>
      <c r="YN33">
        <v>85</v>
      </c>
      <c r="YO33">
        <v>0</v>
      </c>
      <c r="YP33">
        <v>0</v>
      </c>
      <c r="YQ33">
        <v>3</v>
      </c>
      <c r="YR33">
        <v>894</v>
      </c>
      <c r="YS33">
        <v>4669</v>
      </c>
      <c r="YT33">
        <v>2009</v>
      </c>
      <c r="YU33">
        <v>300</v>
      </c>
      <c r="YV33">
        <v>0</v>
      </c>
      <c r="YW33">
        <v>0</v>
      </c>
      <c r="YX33">
        <v>371</v>
      </c>
      <c r="YY33">
        <v>3932</v>
      </c>
      <c r="YZ33">
        <v>902</v>
      </c>
      <c r="ZA33">
        <v>232</v>
      </c>
      <c r="ZB33">
        <v>50</v>
      </c>
      <c r="ZC33">
        <v>0</v>
      </c>
      <c r="ZD33">
        <v>0</v>
      </c>
      <c r="ZE33">
        <v>300</v>
      </c>
      <c r="ZF33">
        <v>39</v>
      </c>
      <c r="ZG33">
        <v>725</v>
      </c>
      <c r="ZH33">
        <v>0</v>
      </c>
      <c r="ZI33">
        <v>0</v>
      </c>
      <c r="ZJ33">
        <v>34</v>
      </c>
      <c r="ZK33">
        <v>365</v>
      </c>
      <c r="ZL33">
        <v>788</v>
      </c>
      <c r="ZM33">
        <v>72</v>
      </c>
      <c r="ZN33">
        <v>0</v>
      </c>
      <c r="ZO33">
        <v>8</v>
      </c>
      <c r="ZP33">
        <v>8</v>
      </c>
      <c r="ZQ33">
        <v>0</v>
      </c>
      <c r="ZR33">
        <v>0</v>
      </c>
      <c r="ZS33">
        <v>85</v>
      </c>
      <c r="ZT33">
        <v>140</v>
      </c>
      <c r="ZU33">
        <v>3436</v>
      </c>
      <c r="ZV33">
        <v>82</v>
      </c>
      <c r="ZW33">
        <v>1220</v>
      </c>
      <c r="ZX33">
        <v>3</v>
      </c>
      <c r="ZY33">
        <v>0</v>
      </c>
      <c r="ZZ33">
        <v>95</v>
      </c>
      <c r="AAA33">
        <v>160</v>
      </c>
      <c r="AAB33">
        <v>532</v>
      </c>
      <c r="AAC33">
        <v>0</v>
      </c>
      <c r="AAD33">
        <v>46</v>
      </c>
      <c r="AAE33">
        <v>0</v>
      </c>
      <c r="AAF33">
        <v>0</v>
      </c>
      <c r="AAG33">
        <v>173</v>
      </c>
      <c r="AAH33">
        <v>5</v>
      </c>
      <c r="AAI33">
        <v>0</v>
      </c>
      <c r="AAJ33">
        <v>49</v>
      </c>
      <c r="AAK33">
        <v>0</v>
      </c>
      <c r="AAL33">
        <v>49</v>
      </c>
      <c r="AAM33">
        <v>0</v>
      </c>
      <c r="AAN33">
        <v>0</v>
      </c>
      <c r="AAO33">
        <v>1686</v>
      </c>
      <c r="AAP33">
        <v>102</v>
      </c>
      <c r="AAQ33">
        <v>39</v>
      </c>
      <c r="AAR33">
        <v>779</v>
      </c>
      <c r="AAS33">
        <v>7978</v>
      </c>
      <c r="AAT33">
        <v>0</v>
      </c>
      <c r="AAU33">
        <v>4497</v>
      </c>
      <c r="AAV33">
        <v>8902</v>
      </c>
      <c r="AAW33">
        <v>2989</v>
      </c>
      <c r="AAX33">
        <v>7525</v>
      </c>
      <c r="AAY33">
        <v>202</v>
      </c>
      <c r="AAZ33">
        <v>1164</v>
      </c>
      <c r="ABA33">
        <v>0</v>
      </c>
      <c r="ABB33">
        <v>128</v>
      </c>
      <c r="ABC33">
        <v>3285</v>
      </c>
      <c r="ABD33">
        <v>1520</v>
      </c>
      <c r="ABE33">
        <v>3544</v>
      </c>
      <c r="ABF33">
        <v>56</v>
      </c>
      <c r="ABG33">
        <v>1831</v>
      </c>
      <c r="ABH33">
        <v>0</v>
      </c>
      <c r="ABI33">
        <v>0</v>
      </c>
      <c r="ABJ33">
        <v>3344</v>
      </c>
      <c r="ABK33">
        <v>714</v>
      </c>
      <c r="ABL33">
        <v>402</v>
      </c>
      <c r="ABM33">
        <v>40</v>
      </c>
      <c r="ABN33">
        <v>167</v>
      </c>
      <c r="ABO33">
        <v>0</v>
      </c>
      <c r="ABP33">
        <v>0</v>
      </c>
      <c r="ABQ33">
        <v>888</v>
      </c>
      <c r="ABR33">
        <v>2123</v>
      </c>
      <c r="ABS33">
        <v>1055</v>
      </c>
      <c r="ABT33">
        <v>882</v>
      </c>
      <c r="ABU33">
        <v>1843</v>
      </c>
      <c r="ABV33">
        <v>0</v>
      </c>
      <c r="ABW33">
        <v>1730</v>
      </c>
      <c r="ABX33">
        <v>479</v>
      </c>
      <c r="ABY33">
        <v>0</v>
      </c>
      <c r="ABZ33">
        <v>78</v>
      </c>
      <c r="ACA33">
        <v>60</v>
      </c>
      <c r="ACB33">
        <v>138</v>
      </c>
      <c r="ACC33">
        <v>0</v>
      </c>
      <c r="ACD33">
        <v>354</v>
      </c>
      <c r="ACE33">
        <v>141</v>
      </c>
      <c r="ACF33">
        <v>106</v>
      </c>
      <c r="ACG33">
        <v>2449</v>
      </c>
      <c r="ACH33">
        <v>446</v>
      </c>
      <c r="ACI33">
        <v>1228</v>
      </c>
      <c r="ACJ33">
        <v>0</v>
      </c>
      <c r="ACK33">
        <v>0</v>
      </c>
      <c r="ACL33">
        <v>43</v>
      </c>
      <c r="ACM33">
        <v>517</v>
      </c>
      <c r="ACN33">
        <v>351</v>
      </c>
      <c r="ACO33">
        <v>11</v>
      </c>
      <c r="ACP33">
        <v>0</v>
      </c>
      <c r="ACQ33">
        <v>0</v>
      </c>
      <c r="ACR33">
        <v>0</v>
      </c>
      <c r="ACS33">
        <v>69</v>
      </c>
      <c r="ACT33">
        <v>12</v>
      </c>
      <c r="ACU33">
        <v>14</v>
      </c>
      <c r="ACV33">
        <v>0</v>
      </c>
      <c r="ACW33">
        <v>4</v>
      </c>
      <c r="ACX33">
        <v>0</v>
      </c>
      <c r="ACY33">
        <v>386</v>
      </c>
      <c r="ACZ33">
        <v>1144</v>
      </c>
      <c r="ADA33">
        <v>705</v>
      </c>
      <c r="ADB33">
        <v>217</v>
      </c>
      <c r="ADC33">
        <v>203</v>
      </c>
      <c r="ADD33">
        <v>203</v>
      </c>
      <c r="ADE33">
        <v>0</v>
      </c>
      <c r="ADF33">
        <v>0</v>
      </c>
      <c r="ADG33">
        <v>1359</v>
      </c>
      <c r="ADH33">
        <v>130</v>
      </c>
      <c r="ADI33">
        <v>2040</v>
      </c>
      <c r="ADJ33">
        <v>0</v>
      </c>
      <c r="ADK33">
        <v>0</v>
      </c>
      <c r="ADL33">
        <v>0</v>
      </c>
      <c r="ADM33">
        <v>1150</v>
      </c>
      <c r="ADN33">
        <v>16</v>
      </c>
      <c r="ADO33">
        <v>8</v>
      </c>
      <c r="ADP33">
        <v>6</v>
      </c>
      <c r="ADQ33">
        <v>222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297</v>
      </c>
      <c r="AEC33">
        <v>0</v>
      </c>
      <c r="AED33">
        <v>7</v>
      </c>
      <c r="AEE33">
        <v>12</v>
      </c>
      <c r="AEF33">
        <v>0</v>
      </c>
      <c r="AEG33">
        <v>0</v>
      </c>
      <c r="AEH33">
        <v>37</v>
      </c>
      <c r="AEI33">
        <v>19</v>
      </c>
      <c r="AEJ33">
        <v>4</v>
      </c>
      <c r="AEK33">
        <v>2</v>
      </c>
      <c r="AEL33">
        <v>2</v>
      </c>
      <c r="AEM33">
        <v>0</v>
      </c>
      <c r="AEN33">
        <v>0</v>
      </c>
      <c r="AEO33">
        <v>29</v>
      </c>
      <c r="AEP33">
        <v>10</v>
      </c>
      <c r="AEQ33">
        <v>0</v>
      </c>
      <c r="AER33">
        <v>193</v>
      </c>
      <c r="AES33">
        <v>1</v>
      </c>
      <c r="AET33">
        <v>266</v>
      </c>
      <c r="AEU33">
        <v>0</v>
      </c>
      <c r="AEV33">
        <v>13</v>
      </c>
      <c r="AEW33">
        <v>3</v>
      </c>
      <c r="AEX33">
        <v>1</v>
      </c>
      <c r="AEY33">
        <v>1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2</v>
      </c>
      <c r="AFH33">
        <v>0</v>
      </c>
      <c r="AFI33">
        <v>0</v>
      </c>
      <c r="AFJ33">
        <v>14</v>
      </c>
      <c r="AFK33">
        <v>1</v>
      </c>
      <c r="AFL33">
        <v>2</v>
      </c>
      <c r="AFM33">
        <v>0</v>
      </c>
      <c r="AFN33">
        <v>143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1383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 s="134">
        <v>0</v>
      </c>
      <c r="AGL33" s="134">
        <v>0</v>
      </c>
      <c r="AGM33" s="134">
        <v>0</v>
      </c>
      <c r="AGN33" s="134">
        <v>0</v>
      </c>
      <c r="AGO33" s="134">
        <v>0</v>
      </c>
      <c r="AGP33" s="134">
        <v>0</v>
      </c>
      <c r="AGQ33" s="134">
        <v>0</v>
      </c>
      <c r="AGR33" s="134">
        <v>0</v>
      </c>
      <c r="AGS33">
        <v>0</v>
      </c>
      <c r="AGT33">
        <v>727</v>
      </c>
      <c r="AGU33">
        <v>0</v>
      </c>
      <c r="AGV33">
        <v>0</v>
      </c>
      <c r="AGW33">
        <v>0</v>
      </c>
      <c r="AGX33">
        <v>0</v>
      </c>
      <c r="AGY33" s="134">
        <v>0</v>
      </c>
      <c r="AGZ33" s="134">
        <v>0</v>
      </c>
      <c r="AHA33" s="134">
        <v>829</v>
      </c>
      <c r="AHB33" s="134">
        <v>0</v>
      </c>
      <c r="AHC33" s="134">
        <v>0</v>
      </c>
      <c r="AHD33" s="134">
        <v>0</v>
      </c>
      <c r="AHE33" s="134">
        <v>0</v>
      </c>
      <c r="AHH33">
        <v>0</v>
      </c>
      <c r="AHI33">
        <v>0</v>
      </c>
      <c r="AHJ33">
        <v>107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1241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</row>
    <row r="34" spans="1:968" s="8" customFormat="1">
      <c r="C34" s="9">
        <v>82621</v>
      </c>
      <c r="D34" s="9" t="s">
        <v>28</v>
      </c>
      <c r="E34" s="9" t="s">
        <v>100</v>
      </c>
      <c r="F34" s="10"/>
      <c r="G34" s="10"/>
      <c r="H34" s="10"/>
      <c r="I34" s="10"/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BU34" s="34"/>
      <c r="BV34" s="34"/>
      <c r="BW34" s="34"/>
      <c r="BX34" s="34"/>
      <c r="BY34" s="34"/>
      <c r="BZ34" s="34"/>
      <c r="CA34" s="34"/>
      <c r="GK34" s="8">
        <v>0</v>
      </c>
      <c r="GL34" s="8">
        <v>0</v>
      </c>
      <c r="GM34" s="8">
        <v>0</v>
      </c>
      <c r="GN34" s="8">
        <v>0</v>
      </c>
      <c r="GO34" s="8">
        <v>0</v>
      </c>
      <c r="AEU34" s="8">
        <v>0</v>
      </c>
    </row>
    <row r="35" spans="1:968">
      <c r="A35">
        <v>1</v>
      </c>
      <c r="B35" t="s">
        <v>127</v>
      </c>
      <c r="C35" s="1">
        <v>82621</v>
      </c>
      <c r="D35" s="1" t="s">
        <v>28</v>
      </c>
      <c r="E35" s="1" t="s">
        <v>100</v>
      </c>
      <c r="F35" s="32" t="s">
        <v>100</v>
      </c>
      <c r="G35" s="1" t="s">
        <v>33</v>
      </c>
      <c r="H35" s="39" t="s">
        <v>114</v>
      </c>
      <c r="I35" s="1" t="s">
        <v>45</v>
      </c>
      <c r="J35" s="1" t="s">
        <v>46</v>
      </c>
      <c r="K35">
        <v>0</v>
      </c>
      <c r="L35">
        <v>2740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1326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8608</v>
      </c>
      <c r="AF35">
        <v>10300</v>
      </c>
      <c r="AG35">
        <v>1530</v>
      </c>
      <c r="AH35">
        <v>3060</v>
      </c>
      <c r="AI35">
        <v>0</v>
      </c>
      <c r="AJ35">
        <v>0</v>
      </c>
      <c r="AK35">
        <v>0</v>
      </c>
      <c r="AL35">
        <v>20527</v>
      </c>
      <c r="AM35">
        <v>0</v>
      </c>
      <c r="AN35">
        <v>13156</v>
      </c>
      <c r="AO35">
        <v>0</v>
      </c>
      <c r="AP35">
        <v>10732</v>
      </c>
      <c r="AQ35">
        <v>0</v>
      </c>
      <c r="AR35">
        <v>0</v>
      </c>
      <c r="AS35">
        <v>0</v>
      </c>
      <c r="AT35">
        <v>480</v>
      </c>
      <c r="AU35">
        <v>6706</v>
      </c>
      <c r="AV35">
        <v>0</v>
      </c>
      <c r="AW35">
        <v>1032</v>
      </c>
      <c r="AX35">
        <v>0</v>
      </c>
      <c r="AY35">
        <v>792</v>
      </c>
      <c r="AZ35">
        <v>0</v>
      </c>
      <c r="BA35">
        <v>2600</v>
      </c>
      <c r="BB35">
        <v>0</v>
      </c>
      <c r="BC35">
        <v>7368</v>
      </c>
      <c r="BD35">
        <v>0</v>
      </c>
      <c r="BE35">
        <v>0</v>
      </c>
      <c r="BF35">
        <v>1620</v>
      </c>
      <c r="BG35">
        <v>12348</v>
      </c>
      <c r="BH35">
        <v>4440</v>
      </c>
      <c r="BI35">
        <v>0</v>
      </c>
      <c r="BJ35">
        <v>0</v>
      </c>
      <c r="BK35">
        <v>0</v>
      </c>
      <c r="BL35">
        <v>0</v>
      </c>
      <c r="BM35">
        <v>10452</v>
      </c>
      <c r="BN35">
        <v>6577</v>
      </c>
      <c r="BO35">
        <v>3558</v>
      </c>
      <c r="BP35">
        <v>0</v>
      </c>
      <c r="BQ35">
        <v>0</v>
      </c>
      <c r="BR35">
        <v>0</v>
      </c>
      <c r="BS35">
        <v>0</v>
      </c>
      <c r="BT35">
        <v>0</v>
      </c>
      <c r="BU35" s="33">
        <v>0</v>
      </c>
      <c r="BV35" s="33">
        <v>0</v>
      </c>
      <c r="BW35" s="33">
        <v>0</v>
      </c>
      <c r="BX35" s="33">
        <v>0</v>
      </c>
      <c r="BY35" s="33">
        <v>0</v>
      </c>
      <c r="BZ35" s="33">
        <v>0</v>
      </c>
      <c r="CA35" s="33">
        <v>0</v>
      </c>
      <c r="CB35">
        <v>1200</v>
      </c>
      <c r="CC35">
        <v>0</v>
      </c>
      <c r="CD35">
        <v>3660</v>
      </c>
      <c r="CE35">
        <v>0</v>
      </c>
      <c r="CF35">
        <v>0</v>
      </c>
      <c r="CG35">
        <v>0</v>
      </c>
      <c r="CH35">
        <v>4512</v>
      </c>
      <c r="CI35">
        <v>1320</v>
      </c>
      <c r="CJ35">
        <v>5962</v>
      </c>
      <c r="CK35">
        <v>10800</v>
      </c>
      <c r="CL35">
        <v>1800</v>
      </c>
      <c r="CM35">
        <v>0</v>
      </c>
      <c r="CN35">
        <v>0</v>
      </c>
      <c r="CO35">
        <v>0</v>
      </c>
      <c r="CP35">
        <v>0</v>
      </c>
      <c r="CQ35">
        <v>15132</v>
      </c>
      <c r="CR35">
        <v>1008</v>
      </c>
      <c r="CS35">
        <v>0</v>
      </c>
      <c r="CT35">
        <v>0</v>
      </c>
      <c r="CU35">
        <v>0</v>
      </c>
      <c r="CV35">
        <v>5340</v>
      </c>
      <c r="CW35">
        <v>9412</v>
      </c>
      <c r="CX35">
        <v>9212</v>
      </c>
      <c r="CY35">
        <v>0</v>
      </c>
      <c r="CZ35">
        <v>0</v>
      </c>
      <c r="DA35">
        <v>0</v>
      </c>
      <c r="DB35">
        <v>0</v>
      </c>
      <c r="DC35">
        <v>720</v>
      </c>
      <c r="DD35">
        <v>6484</v>
      </c>
      <c r="DE35">
        <v>1314</v>
      </c>
      <c r="DF35">
        <v>10368</v>
      </c>
      <c r="DG35">
        <v>10100</v>
      </c>
      <c r="DH35">
        <v>0</v>
      </c>
      <c r="DI35">
        <v>0</v>
      </c>
      <c r="DJ35">
        <v>6630</v>
      </c>
      <c r="DK35">
        <v>3984</v>
      </c>
      <c r="DL35">
        <v>0</v>
      </c>
      <c r="DM35">
        <v>0</v>
      </c>
      <c r="DN35">
        <v>8016</v>
      </c>
      <c r="DO35">
        <v>0</v>
      </c>
      <c r="DP35">
        <v>0</v>
      </c>
      <c r="DQ35">
        <v>3024</v>
      </c>
      <c r="DR35">
        <v>2880</v>
      </c>
      <c r="DS35">
        <v>4100</v>
      </c>
      <c r="DT35">
        <v>0</v>
      </c>
      <c r="DU35">
        <v>0</v>
      </c>
      <c r="DV35">
        <v>0</v>
      </c>
      <c r="DW35">
        <v>0</v>
      </c>
      <c r="DX35">
        <v>600</v>
      </c>
      <c r="DY35">
        <v>400</v>
      </c>
      <c r="DZ35">
        <v>34634</v>
      </c>
      <c r="EA35">
        <v>34605</v>
      </c>
      <c r="EB35">
        <v>37857</v>
      </c>
      <c r="EC35">
        <v>0</v>
      </c>
      <c r="ED35">
        <v>0</v>
      </c>
      <c r="EE35">
        <v>600</v>
      </c>
      <c r="EF35">
        <v>299</v>
      </c>
      <c r="EG35">
        <v>840</v>
      </c>
      <c r="EH35">
        <v>4200</v>
      </c>
      <c r="EI35">
        <v>3120</v>
      </c>
      <c r="EJ35">
        <v>0</v>
      </c>
      <c r="EK35">
        <v>0</v>
      </c>
      <c r="EL35">
        <v>0</v>
      </c>
      <c r="EM35">
        <v>300</v>
      </c>
      <c r="EN35">
        <v>3816</v>
      </c>
      <c r="EO35">
        <v>0</v>
      </c>
      <c r="EP35">
        <v>5496</v>
      </c>
      <c r="EQ35">
        <v>0</v>
      </c>
      <c r="ER35">
        <v>0</v>
      </c>
      <c r="ES35">
        <v>2000</v>
      </c>
      <c r="ET35">
        <v>33088</v>
      </c>
      <c r="EU35">
        <v>26081</v>
      </c>
      <c r="EV35">
        <v>27999</v>
      </c>
      <c r="EW35">
        <v>29822</v>
      </c>
      <c r="EX35">
        <v>1936</v>
      </c>
      <c r="EY35">
        <v>0</v>
      </c>
      <c r="EZ35">
        <v>2280</v>
      </c>
      <c r="FA35">
        <v>4800</v>
      </c>
      <c r="FB35">
        <v>5796</v>
      </c>
      <c r="FC35">
        <v>7342</v>
      </c>
      <c r="FD35">
        <v>13236</v>
      </c>
      <c r="FE35">
        <v>29080</v>
      </c>
      <c r="FF35">
        <v>0</v>
      </c>
      <c r="FG35">
        <v>3950</v>
      </c>
      <c r="FH35">
        <v>0</v>
      </c>
      <c r="FI35">
        <v>2440</v>
      </c>
      <c r="FJ35">
        <v>0</v>
      </c>
      <c r="FK35">
        <v>7138</v>
      </c>
      <c r="FL35">
        <v>22270</v>
      </c>
      <c r="FM35">
        <v>0</v>
      </c>
      <c r="FN35">
        <v>0</v>
      </c>
      <c r="FO35">
        <v>35814</v>
      </c>
      <c r="FP35">
        <v>26267</v>
      </c>
      <c r="FQ35">
        <v>40156</v>
      </c>
      <c r="FR35">
        <v>10260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14138</v>
      </c>
      <c r="FZ35">
        <v>19254</v>
      </c>
      <c r="GA35">
        <v>0</v>
      </c>
      <c r="GB35">
        <v>26099</v>
      </c>
      <c r="GC35">
        <v>18422</v>
      </c>
      <c r="GD35">
        <v>22486</v>
      </c>
      <c r="GE35">
        <v>17388</v>
      </c>
      <c r="GF35">
        <v>3120</v>
      </c>
      <c r="GG35">
        <v>0</v>
      </c>
      <c r="GH35">
        <v>0</v>
      </c>
      <c r="GI35">
        <v>2120</v>
      </c>
      <c r="GJ35">
        <v>0</v>
      </c>
      <c r="GK35">
        <v>0</v>
      </c>
      <c r="GL35">
        <v>0</v>
      </c>
      <c r="GM35">
        <v>17940</v>
      </c>
      <c r="GN35">
        <v>0</v>
      </c>
      <c r="GO35">
        <v>0</v>
      </c>
      <c r="GP35">
        <v>37800</v>
      </c>
      <c r="GQ35">
        <v>0</v>
      </c>
      <c r="GR35">
        <v>95520</v>
      </c>
      <c r="GS35">
        <v>14296</v>
      </c>
      <c r="GT35">
        <v>30630</v>
      </c>
      <c r="GU35">
        <v>20280</v>
      </c>
      <c r="GV35">
        <v>0</v>
      </c>
      <c r="GW35">
        <v>61285</v>
      </c>
      <c r="GX35">
        <v>800</v>
      </c>
      <c r="GY35">
        <v>8346</v>
      </c>
      <c r="GZ35">
        <v>1188</v>
      </c>
      <c r="HA35">
        <v>0</v>
      </c>
      <c r="HB35">
        <v>62920</v>
      </c>
      <c r="HC35">
        <v>0</v>
      </c>
      <c r="HD35">
        <v>1818</v>
      </c>
      <c r="HE35">
        <v>1800</v>
      </c>
      <c r="HF35">
        <v>0</v>
      </c>
      <c r="HG35">
        <v>300</v>
      </c>
      <c r="HH35">
        <v>2496</v>
      </c>
      <c r="HI35">
        <v>0</v>
      </c>
      <c r="HJ35">
        <v>0</v>
      </c>
      <c r="HK35">
        <v>984</v>
      </c>
      <c r="HL35">
        <v>0</v>
      </c>
      <c r="HM35">
        <v>11964</v>
      </c>
      <c r="HN35">
        <v>12224</v>
      </c>
      <c r="HO35">
        <v>1000</v>
      </c>
      <c r="HP35">
        <v>0</v>
      </c>
      <c r="HQ35">
        <v>0</v>
      </c>
      <c r="HR35">
        <v>0</v>
      </c>
      <c r="HS35">
        <v>3240</v>
      </c>
      <c r="HT35">
        <v>0</v>
      </c>
      <c r="HU35">
        <v>2592</v>
      </c>
      <c r="HV35">
        <v>4080</v>
      </c>
      <c r="HW35">
        <v>0</v>
      </c>
      <c r="HX35">
        <v>0</v>
      </c>
      <c r="HY35">
        <v>0</v>
      </c>
      <c r="HZ35">
        <v>0</v>
      </c>
      <c r="IA35">
        <v>5052</v>
      </c>
      <c r="IB35">
        <v>0</v>
      </c>
      <c r="IC35">
        <v>0</v>
      </c>
      <c r="ID35">
        <v>9028</v>
      </c>
      <c r="IE35">
        <v>0</v>
      </c>
      <c r="IF35">
        <v>20720</v>
      </c>
      <c r="IG35">
        <v>17472</v>
      </c>
      <c r="IH35">
        <v>5660</v>
      </c>
      <c r="II35">
        <v>0</v>
      </c>
      <c r="IJ35">
        <v>13340</v>
      </c>
      <c r="IK35">
        <v>0</v>
      </c>
      <c r="IL35">
        <v>0</v>
      </c>
      <c r="IM35">
        <v>456</v>
      </c>
      <c r="IN35">
        <v>5520</v>
      </c>
      <c r="IO35">
        <v>0</v>
      </c>
      <c r="IP35">
        <v>4560</v>
      </c>
      <c r="IQ35">
        <v>1860</v>
      </c>
      <c r="IR35">
        <v>0</v>
      </c>
      <c r="IS35">
        <v>0</v>
      </c>
      <c r="IT35">
        <v>20348</v>
      </c>
      <c r="IU35">
        <v>4268</v>
      </c>
      <c r="IV35">
        <v>2400</v>
      </c>
      <c r="IW35">
        <v>0</v>
      </c>
      <c r="IX35">
        <v>2027</v>
      </c>
      <c r="IY35">
        <v>0</v>
      </c>
      <c r="IZ35">
        <v>0</v>
      </c>
      <c r="JA35">
        <v>0</v>
      </c>
      <c r="JB35">
        <v>612</v>
      </c>
      <c r="JC35">
        <v>0</v>
      </c>
      <c r="JD35">
        <v>2316</v>
      </c>
      <c r="JE35">
        <v>0</v>
      </c>
      <c r="JF35">
        <v>0</v>
      </c>
      <c r="JG35">
        <v>0</v>
      </c>
      <c r="JH35">
        <v>3780</v>
      </c>
      <c r="JI35">
        <v>3594</v>
      </c>
      <c r="JJ35">
        <v>4385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16148</v>
      </c>
      <c r="JS35">
        <v>12702</v>
      </c>
      <c r="JT35">
        <v>0</v>
      </c>
      <c r="JU35">
        <v>0</v>
      </c>
      <c r="JV35">
        <v>49486</v>
      </c>
      <c r="JW35">
        <v>20120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91955</v>
      </c>
      <c r="KO35">
        <v>0</v>
      </c>
      <c r="KP35">
        <v>0</v>
      </c>
      <c r="KQ35">
        <v>108</v>
      </c>
      <c r="KR35">
        <v>0</v>
      </c>
      <c r="KS35">
        <v>0</v>
      </c>
      <c r="KT35">
        <v>0</v>
      </c>
      <c r="KU35">
        <v>1864</v>
      </c>
      <c r="KV35">
        <v>0</v>
      </c>
      <c r="KW35">
        <v>0</v>
      </c>
      <c r="KX35">
        <v>1188</v>
      </c>
      <c r="KY35">
        <v>700</v>
      </c>
      <c r="KZ35">
        <v>0</v>
      </c>
      <c r="LA35">
        <v>0</v>
      </c>
      <c r="LB35">
        <v>2040</v>
      </c>
      <c r="LC35">
        <v>0</v>
      </c>
      <c r="LD35">
        <v>0</v>
      </c>
      <c r="LE35">
        <v>0</v>
      </c>
      <c r="LF35">
        <v>0</v>
      </c>
      <c r="LG35">
        <v>2520</v>
      </c>
      <c r="LH35">
        <v>0</v>
      </c>
      <c r="LI35">
        <v>0</v>
      </c>
      <c r="LJ35">
        <v>0</v>
      </c>
      <c r="LK35">
        <v>0</v>
      </c>
      <c r="LL35">
        <v>4176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4350</v>
      </c>
      <c r="LT35">
        <v>1032</v>
      </c>
      <c r="LU35">
        <v>792</v>
      </c>
      <c r="LV35">
        <v>10940</v>
      </c>
      <c r="LW35">
        <v>18738</v>
      </c>
      <c r="LX35">
        <v>11704</v>
      </c>
      <c r="LY35">
        <v>0</v>
      </c>
      <c r="LZ35">
        <v>22228</v>
      </c>
      <c r="MA35">
        <v>15884</v>
      </c>
      <c r="MB35">
        <v>18136</v>
      </c>
      <c r="MC35">
        <v>20516</v>
      </c>
      <c r="MD35">
        <v>10846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3456</v>
      </c>
      <c r="ML35">
        <v>0</v>
      </c>
      <c r="MM35">
        <v>0</v>
      </c>
      <c r="MN35">
        <v>7254</v>
      </c>
      <c r="MO35">
        <v>2292</v>
      </c>
      <c r="MP35">
        <v>0</v>
      </c>
      <c r="MQ35">
        <v>0</v>
      </c>
      <c r="MR35">
        <v>1080</v>
      </c>
      <c r="MS35">
        <v>0</v>
      </c>
      <c r="MT35">
        <v>0</v>
      </c>
      <c r="MU35">
        <v>0</v>
      </c>
      <c r="MV35">
        <v>1190</v>
      </c>
      <c r="MW35">
        <v>1200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23255</v>
      </c>
      <c r="NN35">
        <v>0</v>
      </c>
      <c r="NO35">
        <v>0</v>
      </c>
      <c r="NP35">
        <v>84</v>
      </c>
      <c r="NQ35">
        <v>0</v>
      </c>
      <c r="NR35">
        <v>0</v>
      </c>
      <c r="NS35">
        <v>0</v>
      </c>
      <c r="NT35">
        <v>24752</v>
      </c>
      <c r="NU35">
        <v>17688</v>
      </c>
      <c r="NV35">
        <v>0</v>
      </c>
      <c r="NW35">
        <v>11227</v>
      </c>
      <c r="NX35">
        <v>15174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17699</v>
      </c>
      <c r="OE35">
        <v>18580</v>
      </c>
      <c r="OF35">
        <v>25365</v>
      </c>
      <c r="OG35">
        <v>32781</v>
      </c>
      <c r="OH35">
        <v>0</v>
      </c>
      <c r="OI35">
        <v>0</v>
      </c>
      <c r="OJ35">
        <v>0</v>
      </c>
      <c r="OK35">
        <v>300</v>
      </c>
      <c r="OL35">
        <v>0</v>
      </c>
      <c r="OM35">
        <v>0</v>
      </c>
      <c r="ON35">
        <v>14482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2376</v>
      </c>
      <c r="QT35">
        <v>0</v>
      </c>
      <c r="QU35">
        <v>0</v>
      </c>
      <c r="QV35">
        <v>2428</v>
      </c>
      <c r="QW35">
        <v>3184</v>
      </c>
      <c r="QX35">
        <v>3294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1980</v>
      </c>
      <c r="RE35">
        <v>2100</v>
      </c>
      <c r="RF35">
        <v>1400</v>
      </c>
      <c r="RG35">
        <v>0</v>
      </c>
      <c r="RH35">
        <v>0</v>
      </c>
      <c r="RI35">
        <v>0</v>
      </c>
      <c r="RJ35">
        <v>792</v>
      </c>
      <c r="RK35">
        <v>0</v>
      </c>
      <c r="RL35">
        <v>3984</v>
      </c>
      <c r="RM35">
        <v>0</v>
      </c>
      <c r="RN35">
        <v>852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540</v>
      </c>
      <c r="SA35">
        <v>2760</v>
      </c>
      <c r="SB35">
        <v>0</v>
      </c>
      <c r="SC35">
        <v>27952</v>
      </c>
      <c r="SD35">
        <v>0</v>
      </c>
      <c r="SE35">
        <v>26870</v>
      </c>
      <c r="SF35">
        <v>13426</v>
      </c>
      <c r="SG35">
        <v>8751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1008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34354</v>
      </c>
      <c r="TA35">
        <v>2000</v>
      </c>
      <c r="TB35">
        <v>3304</v>
      </c>
      <c r="TC35">
        <v>22546</v>
      </c>
      <c r="TD35">
        <v>15999</v>
      </c>
      <c r="TE35">
        <v>11340</v>
      </c>
      <c r="TF35">
        <v>0</v>
      </c>
      <c r="TG35">
        <v>4560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1290</v>
      </c>
      <c r="TQ35">
        <v>0</v>
      </c>
      <c r="TR35">
        <v>5114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6666</v>
      </c>
      <c r="TZ35">
        <v>0</v>
      </c>
      <c r="UA35">
        <v>0</v>
      </c>
      <c r="UB35">
        <v>18990</v>
      </c>
      <c r="UC35">
        <v>16752</v>
      </c>
      <c r="UD35">
        <v>12768</v>
      </c>
      <c r="UE35">
        <v>15916</v>
      </c>
      <c r="UF35">
        <v>7022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49592</v>
      </c>
      <c r="UO35">
        <v>0</v>
      </c>
      <c r="UP35">
        <v>17153</v>
      </c>
      <c r="UQ35">
        <v>20749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60074</v>
      </c>
      <c r="YA35">
        <v>27806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2240</v>
      </c>
      <c r="ACE35">
        <v>65670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 s="134">
        <v>0</v>
      </c>
      <c r="AGL35" s="134">
        <v>0</v>
      </c>
      <c r="AGM35" s="134">
        <v>0</v>
      </c>
      <c r="AGN35" s="134">
        <v>0</v>
      </c>
      <c r="AGO35" s="134">
        <v>0</v>
      </c>
      <c r="AGP35" s="134">
        <v>0</v>
      </c>
      <c r="AGQ35" s="134">
        <v>0</v>
      </c>
      <c r="AGR35" s="134">
        <v>0</v>
      </c>
      <c r="AGS35" s="134">
        <v>0</v>
      </c>
      <c r="AGT35" s="134">
        <v>0</v>
      </c>
      <c r="AGU35" s="134">
        <v>0</v>
      </c>
      <c r="AGV35" s="134">
        <v>0</v>
      </c>
      <c r="AGW35" s="134">
        <v>0</v>
      </c>
      <c r="AGX35" s="134">
        <v>0</v>
      </c>
      <c r="AGY35" s="134">
        <v>0</v>
      </c>
      <c r="AGZ35" s="134">
        <v>0</v>
      </c>
      <c r="AHA35" s="134">
        <v>0</v>
      </c>
      <c r="AHB35" s="134">
        <v>0</v>
      </c>
      <c r="AHC35" s="134">
        <v>0</v>
      </c>
      <c r="AHD35" s="134">
        <v>0</v>
      </c>
      <c r="AHE35" s="134">
        <v>0</v>
      </c>
      <c r="AHF35" s="134"/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 s="31">
        <v>0</v>
      </c>
      <c r="AJS35" s="31">
        <v>0</v>
      </c>
      <c r="AJT35" s="31">
        <v>0</v>
      </c>
      <c r="AJU35" s="31">
        <v>0</v>
      </c>
      <c r="AJV35" s="31">
        <v>0</v>
      </c>
      <c r="AJW35" s="31">
        <v>0</v>
      </c>
      <c r="AJX35" s="31">
        <v>0</v>
      </c>
      <c r="AJY35" s="31">
        <v>0</v>
      </c>
      <c r="AJZ35" s="31">
        <v>0</v>
      </c>
      <c r="AKA35" s="31">
        <v>0</v>
      </c>
      <c r="AKB35">
        <v>0</v>
      </c>
      <c r="AKC35">
        <v>0</v>
      </c>
      <c r="AKD35">
        <v>0</v>
      </c>
      <c r="AKE35">
        <v>0</v>
      </c>
      <c r="AKF35">
        <v>0</v>
      </c>
    </row>
    <row r="36" spans="1:968">
      <c r="A36">
        <v>2</v>
      </c>
      <c r="B36" t="s">
        <v>128</v>
      </c>
      <c r="C36" s="1">
        <v>82621</v>
      </c>
      <c r="D36" s="1" t="s">
        <v>28</v>
      </c>
      <c r="E36" s="1" t="s">
        <v>100</v>
      </c>
      <c r="F36" s="32" t="s">
        <v>100</v>
      </c>
      <c r="G36" s="1" t="s">
        <v>12</v>
      </c>
      <c r="H36" s="39" t="s">
        <v>114</v>
      </c>
      <c r="I36" s="1" t="s">
        <v>45</v>
      </c>
      <c r="J36" s="1" t="s">
        <v>46</v>
      </c>
      <c r="K36">
        <v>0</v>
      </c>
      <c r="L36">
        <v>10348</v>
      </c>
      <c r="M36">
        <v>7512</v>
      </c>
      <c r="N36">
        <v>0</v>
      </c>
      <c r="O36">
        <v>0</v>
      </c>
      <c r="P36">
        <v>12458</v>
      </c>
      <c r="Q36">
        <v>23228</v>
      </c>
      <c r="R36">
        <v>5794</v>
      </c>
      <c r="S36">
        <v>4139</v>
      </c>
      <c r="T36">
        <v>10946</v>
      </c>
      <c r="U36">
        <v>0</v>
      </c>
      <c r="V36">
        <v>0</v>
      </c>
      <c r="W36">
        <v>9167</v>
      </c>
      <c r="X36">
        <v>12097</v>
      </c>
      <c r="Y36">
        <v>5860</v>
      </c>
      <c r="Z36">
        <v>9019</v>
      </c>
      <c r="AA36">
        <v>5535</v>
      </c>
      <c r="AB36">
        <v>0</v>
      </c>
      <c r="AC36">
        <v>0</v>
      </c>
      <c r="AD36">
        <v>12260</v>
      </c>
      <c r="AE36">
        <v>10287</v>
      </c>
      <c r="AF36">
        <v>3737</v>
      </c>
      <c r="AG36">
        <v>6331</v>
      </c>
      <c r="AH36">
        <v>12195</v>
      </c>
      <c r="AI36">
        <v>0</v>
      </c>
      <c r="AJ36">
        <v>0</v>
      </c>
      <c r="AK36">
        <v>10361</v>
      </c>
      <c r="AL36">
        <v>13963</v>
      </c>
      <c r="AM36">
        <v>15955</v>
      </c>
      <c r="AN36">
        <v>8978</v>
      </c>
      <c r="AO36">
        <v>13828</v>
      </c>
      <c r="AP36">
        <v>9216</v>
      </c>
      <c r="AQ36">
        <v>0</v>
      </c>
      <c r="AR36">
        <v>10450</v>
      </c>
      <c r="AS36">
        <v>0</v>
      </c>
      <c r="AT36">
        <v>13277</v>
      </c>
      <c r="AU36">
        <v>6163</v>
      </c>
      <c r="AV36">
        <v>11242</v>
      </c>
      <c r="AW36">
        <v>5611</v>
      </c>
      <c r="AX36">
        <v>0</v>
      </c>
      <c r="AY36">
        <v>7500</v>
      </c>
      <c r="AZ36">
        <v>16564</v>
      </c>
      <c r="BA36">
        <v>8517</v>
      </c>
      <c r="BB36">
        <v>11097</v>
      </c>
      <c r="BC36">
        <v>12622</v>
      </c>
      <c r="BD36">
        <v>0</v>
      </c>
      <c r="BE36">
        <v>0</v>
      </c>
      <c r="BF36">
        <v>8007</v>
      </c>
      <c r="BG36">
        <v>15476</v>
      </c>
      <c r="BH36">
        <v>3968</v>
      </c>
      <c r="BI36">
        <v>11448</v>
      </c>
      <c r="BJ36">
        <v>12723</v>
      </c>
      <c r="BK36">
        <v>13252</v>
      </c>
      <c r="BL36">
        <v>0</v>
      </c>
      <c r="BM36">
        <v>10234</v>
      </c>
      <c r="BN36">
        <v>8275</v>
      </c>
      <c r="BO36">
        <v>11944</v>
      </c>
      <c r="BP36">
        <v>0</v>
      </c>
      <c r="BQ36">
        <v>0</v>
      </c>
      <c r="BR36">
        <v>0</v>
      </c>
      <c r="BS36">
        <v>0</v>
      </c>
      <c r="BT36">
        <v>0</v>
      </c>
      <c r="BU36" s="33">
        <v>0</v>
      </c>
      <c r="BV36" s="33">
        <v>2525</v>
      </c>
      <c r="BW36" s="33">
        <v>9194</v>
      </c>
      <c r="BX36" s="33">
        <v>17350</v>
      </c>
      <c r="BY36" s="33">
        <v>0</v>
      </c>
      <c r="BZ36" s="33">
        <v>0</v>
      </c>
      <c r="CA36" s="33">
        <v>8751</v>
      </c>
      <c r="CB36">
        <v>5232</v>
      </c>
      <c r="CC36">
        <v>9772</v>
      </c>
      <c r="CD36">
        <v>1511</v>
      </c>
      <c r="CE36">
        <v>13376</v>
      </c>
      <c r="CF36">
        <v>0</v>
      </c>
      <c r="CG36">
        <v>0</v>
      </c>
      <c r="CH36">
        <v>6269</v>
      </c>
      <c r="CI36">
        <v>12783</v>
      </c>
      <c r="CJ36">
        <v>372</v>
      </c>
      <c r="CK36">
        <v>5136</v>
      </c>
      <c r="CL36">
        <v>6535</v>
      </c>
      <c r="CM36">
        <v>0</v>
      </c>
      <c r="CN36">
        <v>0</v>
      </c>
      <c r="CO36">
        <v>6869</v>
      </c>
      <c r="CP36">
        <v>10223</v>
      </c>
      <c r="CQ36">
        <v>7260</v>
      </c>
      <c r="CR36">
        <v>4729</v>
      </c>
      <c r="CS36">
        <v>13128</v>
      </c>
      <c r="CT36">
        <v>0</v>
      </c>
      <c r="CU36">
        <v>0</v>
      </c>
      <c r="CV36">
        <v>13662</v>
      </c>
      <c r="CW36">
        <v>14257</v>
      </c>
      <c r="CX36">
        <v>7844</v>
      </c>
      <c r="CY36">
        <v>0</v>
      </c>
      <c r="CZ36">
        <v>12157</v>
      </c>
      <c r="DA36">
        <v>0</v>
      </c>
      <c r="DB36">
        <v>0</v>
      </c>
      <c r="DC36">
        <v>10034</v>
      </c>
      <c r="DD36">
        <v>19183</v>
      </c>
      <c r="DE36">
        <v>13466</v>
      </c>
      <c r="DF36">
        <v>9201</v>
      </c>
      <c r="DG36">
        <v>14385</v>
      </c>
      <c r="DH36">
        <v>0</v>
      </c>
      <c r="DI36">
        <v>0</v>
      </c>
      <c r="DJ36">
        <v>4251</v>
      </c>
      <c r="DK36">
        <v>19510</v>
      </c>
      <c r="DL36">
        <v>192</v>
      </c>
      <c r="DM36">
        <v>7432</v>
      </c>
      <c r="DN36">
        <v>14789</v>
      </c>
      <c r="DO36">
        <v>0</v>
      </c>
      <c r="DP36">
        <v>0</v>
      </c>
      <c r="DQ36">
        <v>15491</v>
      </c>
      <c r="DR36">
        <v>12787</v>
      </c>
      <c r="DS36">
        <v>10027</v>
      </c>
      <c r="DT36">
        <v>12370</v>
      </c>
      <c r="DU36">
        <v>12646</v>
      </c>
      <c r="DV36">
        <v>0</v>
      </c>
      <c r="DW36">
        <v>0</v>
      </c>
      <c r="DX36">
        <v>12846</v>
      </c>
      <c r="DY36">
        <v>19361</v>
      </c>
      <c r="DZ36">
        <v>7889</v>
      </c>
      <c r="EA36">
        <v>3397</v>
      </c>
      <c r="EB36">
        <v>8723</v>
      </c>
      <c r="EC36">
        <v>0</v>
      </c>
      <c r="ED36">
        <v>0</v>
      </c>
      <c r="EE36">
        <v>2411</v>
      </c>
      <c r="EF36">
        <v>12977</v>
      </c>
      <c r="EG36">
        <v>2706</v>
      </c>
      <c r="EH36">
        <v>8130</v>
      </c>
      <c r="EI36">
        <v>11240</v>
      </c>
      <c r="EJ36">
        <v>0</v>
      </c>
      <c r="EK36">
        <v>0</v>
      </c>
      <c r="EL36">
        <v>14437</v>
      </c>
      <c r="EM36">
        <v>11533</v>
      </c>
      <c r="EN36">
        <v>0</v>
      </c>
      <c r="EO36">
        <v>15793</v>
      </c>
      <c r="EP36">
        <v>7250</v>
      </c>
      <c r="EQ36">
        <v>0</v>
      </c>
      <c r="ER36">
        <v>0</v>
      </c>
      <c r="ES36">
        <v>11968</v>
      </c>
      <c r="ET36">
        <v>11756</v>
      </c>
      <c r="EU36">
        <v>0</v>
      </c>
      <c r="EV36">
        <v>13075</v>
      </c>
      <c r="EW36">
        <v>10683</v>
      </c>
      <c r="EX36">
        <v>0</v>
      </c>
      <c r="EY36">
        <v>0</v>
      </c>
      <c r="EZ36">
        <v>4656</v>
      </c>
      <c r="FA36">
        <v>12425</v>
      </c>
      <c r="FB36">
        <v>15338</v>
      </c>
      <c r="FC36">
        <v>333</v>
      </c>
      <c r="FD36">
        <v>10433</v>
      </c>
      <c r="FE36">
        <v>55810</v>
      </c>
      <c r="FF36">
        <v>0</v>
      </c>
      <c r="FG36">
        <v>6922</v>
      </c>
      <c r="FH36">
        <v>12040</v>
      </c>
      <c r="FI36">
        <v>12624</v>
      </c>
      <c r="FJ36">
        <v>17195</v>
      </c>
      <c r="FK36">
        <v>10177</v>
      </c>
      <c r="FL36">
        <v>0</v>
      </c>
      <c r="FM36">
        <v>0</v>
      </c>
      <c r="FN36">
        <v>0</v>
      </c>
      <c r="FO36">
        <v>10451</v>
      </c>
      <c r="FP36">
        <v>12756</v>
      </c>
      <c r="FQ36">
        <v>4063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7115</v>
      </c>
      <c r="FX36">
        <v>1832</v>
      </c>
      <c r="FY36">
        <v>16633</v>
      </c>
      <c r="FZ36">
        <v>0</v>
      </c>
      <c r="GA36">
        <v>0</v>
      </c>
      <c r="GB36">
        <v>4119</v>
      </c>
      <c r="GC36">
        <v>11776</v>
      </c>
      <c r="GD36">
        <v>10926</v>
      </c>
      <c r="GE36">
        <v>11143</v>
      </c>
      <c r="GF36">
        <v>16059</v>
      </c>
      <c r="GG36">
        <v>0</v>
      </c>
      <c r="GH36">
        <v>0</v>
      </c>
      <c r="GI36">
        <v>10384</v>
      </c>
      <c r="GJ36">
        <v>16285</v>
      </c>
      <c r="GK36">
        <v>0</v>
      </c>
      <c r="GL36">
        <v>10247</v>
      </c>
      <c r="GM36">
        <v>10921</v>
      </c>
      <c r="GN36">
        <v>0</v>
      </c>
      <c r="GO36">
        <v>0</v>
      </c>
      <c r="GP36">
        <v>0</v>
      </c>
      <c r="GQ36">
        <v>9917</v>
      </c>
      <c r="GR36">
        <v>11158</v>
      </c>
      <c r="GS36">
        <v>16563</v>
      </c>
      <c r="GT36">
        <v>12910</v>
      </c>
      <c r="GU36">
        <v>0</v>
      </c>
      <c r="GV36">
        <v>0</v>
      </c>
      <c r="GW36">
        <v>19199</v>
      </c>
      <c r="GX36">
        <v>28939</v>
      </c>
      <c r="GY36">
        <v>10960</v>
      </c>
      <c r="GZ36">
        <v>7407</v>
      </c>
      <c r="HA36">
        <v>14396</v>
      </c>
      <c r="HB36">
        <v>0</v>
      </c>
      <c r="HC36">
        <v>0</v>
      </c>
      <c r="HD36">
        <v>9191</v>
      </c>
      <c r="HE36">
        <v>9880</v>
      </c>
      <c r="HF36">
        <v>0</v>
      </c>
      <c r="HG36">
        <v>14715</v>
      </c>
      <c r="HH36">
        <v>8882</v>
      </c>
      <c r="HI36">
        <v>0</v>
      </c>
      <c r="HJ36">
        <v>0</v>
      </c>
      <c r="HK36">
        <v>7413</v>
      </c>
      <c r="HL36">
        <v>12577</v>
      </c>
      <c r="HM36">
        <v>7594</v>
      </c>
      <c r="HN36">
        <v>0</v>
      </c>
      <c r="HO36">
        <v>3080</v>
      </c>
      <c r="HP36">
        <v>0</v>
      </c>
      <c r="HQ36">
        <v>0</v>
      </c>
      <c r="HR36">
        <v>0</v>
      </c>
      <c r="HS36">
        <v>12555</v>
      </c>
      <c r="HT36">
        <v>7570</v>
      </c>
      <c r="HU36">
        <v>0</v>
      </c>
      <c r="HV36">
        <v>3905</v>
      </c>
      <c r="HW36">
        <v>0</v>
      </c>
      <c r="HX36">
        <v>0</v>
      </c>
      <c r="HY36">
        <v>0</v>
      </c>
      <c r="HZ36">
        <v>7010</v>
      </c>
      <c r="IA36">
        <v>11561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3228</v>
      </c>
      <c r="IJ36">
        <v>7945</v>
      </c>
      <c r="IK36">
        <v>0</v>
      </c>
      <c r="IL36">
        <v>0</v>
      </c>
      <c r="IM36">
        <v>5034</v>
      </c>
      <c r="IN36">
        <v>10952</v>
      </c>
      <c r="IO36">
        <v>0</v>
      </c>
      <c r="IP36">
        <v>20450</v>
      </c>
      <c r="IQ36">
        <v>10681</v>
      </c>
      <c r="IR36">
        <v>0</v>
      </c>
      <c r="IS36">
        <v>0</v>
      </c>
      <c r="IT36">
        <v>4648</v>
      </c>
      <c r="IU36">
        <v>4107</v>
      </c>
      <c r="IV36">
        <v>7457</v>
      </c>
      <c r="IW36">
        <v>2563</v>
      </c>
      <c r="IX36">
        <v>5621</v>
      </c>
      <c r="IY36">
        <v>0</v>
      </c>
      <c r="IZ36">
        <v>0</v>
      </c>
      <c r="JA36">
        <v>3947</v>
      </c>
      <c r="JB36">
        <v>9590</v>
      </c>
      <c r="JC36">
        <v>5700</v>
      </c>
      <c r="JD36">
        <v>12436</v>
      </c>
      <c r="JE36">
        <v>8773</v>
      </c>
      <c r="JF36">
        <v>0</v>
      </c>
      <c r="JG36">
        <v>0</v>
      </c>
      <c r="JH36">
        <v>7499</v>
      </c>
      <c r="JI36">
        <v>12455</v>
      </c>
      <c r="JJ36">
        <v>11095</v>
      </c>
      <c r="JK36">
        <v>3913</v>
      </c>
      <c r="JL36">
        <v>15828</v>
      </c>
      <c r="JM36">
        <v>0</v>
      </c>
      <c r="JN36">
        <v>0</v>
      </c>
      <c r="JO36">
        <v>5646</v>
      </c>
      <c r="JP36">
        <v>10010</v>
      </c>
      <c r="JQ36">
        <v>21261</v>
      </c>
      <c r="JR36">
        <v>3612</v>
      </c>
      <c r="JS36">
        <v>12184</v>
      </c>
      <c r="JT36">
        <v>0</v>
      </c>
      <c r="JU36">
        <v>0</v>
      </c>
      <c r="JV36">
        <v>1553</v>
      </c>
      <c r="JW36">
        <v>19326</v>
      </c>
      <c r="JX36">
        <v>0</v>
      </c>
      <c r="JY36">
        <v>9572</v>
      </c>
      <c r="JZ36">
        <v>12378</v>
      </c>
      <c r="KA36">
        <v>9626</v>
      </c>
      <c r="KB36">
        <v>0</v>
      </c>
      <c r="KC36">
        <v>10433</v>
      </c>
      <c r="KD36">
        <v>14425</v>
      </c>
      <c r="KE36">
        <v>8768</v>
      </c>
      <c r="KF36">
        <v>8543</v>
      </c>
      <c r="KG36">
        <v>14801</v>
      </c>
      <c r="KH36">
        <v>0</v>
      </c>
      <c r="KI36">
        <v>0</v>
      </c>
      <c r="KJ36">
        <v>0</v>
      </c>
      <c r="KK36">
        <v>8274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7068</v>
      </c>
      <c r="KS36">
        <v>5960</v>
      </c>
      <c r="KT36">
        <v>7718</v>
      </c>
      <c r="KU36">
        <v>11240</v>
      </c>
      <c r="KV36">
        <v>0</v>
      </c>
      <c r="KW36">
        <v>0</v>
      </c>
      <c r="KX36">
        <v>11153</v>
      </c>
      <c r="KY36">
        <v>6013</v>
      </c>
      <c r="KZ36">
        <v>8549</v>
      </c>
      <c r="LA36">
        <v>0</v>
      </c>
      <c r="LB36">
        <v>2773</v>
      </c>
      <c r="LC36">
        <v>0</v>
      </c>
      <c r="LD36">
        <v>0</v>
      </c>
      <c r="LE36">
        <v>0</v>
      </c>
      <c r="LF36">
        <v>12233</v>
      </c>
      <c r="LG36">
        <v>12290</v>
      </c>
      <c r="LH36">
        <v>4627</v>
      </c>
      <c r="LI36">
        <v>6428</v>
      </c>
      <c r="LJ36">
        <v>0</v>
      </c>
      <c r="LK36">
        <v>0</v>
      </c>
      <c r="LL36">
        <v>7091</v>
      </c>
      <c r="LM36">
        <v>12267</v>
      </c>
      <c r="LN36">
        <v>4336</v>
      </c>
      <c r="LO36">
        <v>9286</v>
      </c>
      <c r="LP36">
        <v>12990</v>
      </c>
      <c r="LQ36">
        <v>0</v>
      </c>
      <c r="LR36">
        <v>0</v>
      </c>
      <c r="LS36">
        <v>5913</v>
      </c>
      <c r="LT36">
        <v>14222</v>
      </c>
      <c r="LU36">
        <v>10108</v>
      </c>
      <c r="LV36">
        <v>6992</v>
      </c>
      <c r="LW36">
        <v>3936</v>
      </c>
      <c r="LX36">
        <v>0</v>
      </c>
      <c r="LY36">
        <v>0</v>
      </c>
      <c r="LZ36">
        <v>6013</v>
      </c>
      <c r="MA36">
        <v>8188</v>
      </c>
      <c r="MB36">
        <v>0</v>
      </c>
      <c r="MC36">
        <v>3350</v>
      </c>
      <c r="MD36">
        <v>5109</v>
      </c>
      <c r="ME36">
        <v>0</v>
      </c>
      <c r="MF36">
        <v>0</v>
      </c>
      <c r="MG36">
        <v>8757</v>
      </c>
      <c r="MH36">
        <v>7421</v>
      </c>
      <c r="MI36">
        <v>4406</v>
      </c>
      <c r="MJ36">
        <v>0</v>
      </c>
      <c r="MK36">
        <v>8415</v>
      </c>
      <c r="ML36">
        <v>0</v>
      </c>
      <c r="MM36">
        <v>0</v>
      </c>
      <c r="MN36">
        <v>4965</v>
      </c>
      <c r="MO36">
        <v>9887</v>
      </c>
      <c r="MP36">
        <v>10644</v>
      </c>
      <c r="MQ36">
        <v>8269</v>
      </c>
      <c r="MR36">
        <v>1315</v>
      </c>
      <c r="MS36">
        <v>0</v>
      </c>
      <c r="MT36">
        <v>0</v>
      </c>
      <c r="MU36">
        <v>0</v>
      </c>
      <c r="MV36">
        <v>10132</v>
      </c>
      <c r="MW36">
        <v>9412</v>
      </c>
      <c r="MX36">
        <v>0</v>
      </c>
      <c r="MY36">
        <v>2051</v>
      </c>
      <c r="MZ36">
        <v>0</v>
      </c>
      <c r="NA36">
        <v>0</v>
      </c>
      <c r="NB36">
        <v>9244</v>
      </c>
      <c r="NC36">
        <v>7658</v>
      </c>
      <c r="ND36">
        <v>0</v>
      </c>
      <c r="NE36">
        <v>834</v>
      </c>
      <c r="NF36">
        <v>2825</v>
      </c>
      <c r="NG36">
        <v>0</v>
      </c>
      <c r="NH36">
        <v>0</v>
      </c>
      <c r="NI36">
        <v>11144</v>
      </c>
      <c r="NJ36">
        <v>6466</v>
      </c>
      <c r="NK36">
        <v>6748</v>
      </c>
      <c r="NL36">
        <v>0</v>
      </c>
      <c r="NM36">
        <v>0</v>
      </c>
      <c r="NN36">
        <v>0</v>
      </c>
      <c r="NO36">
        <v>0</v>
      </c>
      <c r="NP36">
        <v>2732</v>
      </c>
      <c r="NQ36">
        <v>9001</v>
      </c>
      <c r="NR36">
        <v>14344</v>
      </c>
      <c r="NS36">
        <v>11424</v>
      </c>
      <c r="NT36">
        <v>0</v>
      </c>
      <c r="NU36">
        <v>0</v>
      </c>
      <c r="NV36">
        <v>0</v>
      </c>
      <c r="NW36">
        <v>2397</v>
      </c>
      <c r="NX36">
        <v>4433</v>
      </c>
      <c r="NY36">
        <v>2998</v>
      </c>
      <c r="NZ36">
        <v>4156</v>
      </c>
      <c r="OA36">
        <v>2747</v>
      </c>
      <c r="OB36">
        <v>0</v>
      </c>
      <c r="OC36">
        <v>0</v>
      </c>
      <c r="OD36">
        <v>5530</v>
      </c>
      <c r="OE36">
        <v>19347</v>
      </c>
      <c r="OF36">
        <v>16826</v>
      </c>
      <c r="OG36">
        <v>0</v>
      </c>
      <c r="OH36">
        <v>2893</v>
      </c>
      <c r="OI36">
        <v>0</v>
      </c>
      <c r="OJ36">
        <v>0</v>
      </c>
      <c r="OK36">
        <v>9119</v>
      </c>
      <c r="OL36">
        <v>16169</v>
      </c>
      <c r="OM36">
        <v>19305</v>
      </c>
      <c r="ON36">
        <v>5815</v>
      </c>
      <c r="OO36">
        <v>12467</v>
      </c>
      <c r="OP36">
        <v>0</v>
      </c>
      <c r="OQ36">
        <v>0</v>
      </c>
      <c r="OR36">
        <v>14072</v>
      </c>
      <c r="OS36">
        <v>19936</v>
      </c>
      <c r="OT36">
        <v>2333</v>
      </c>
      <c r="OU36">
        <v>0</v>
      </c>
      <c r="OV36">
        <v>12150</v>
      </c>
      <c r="OW36">
        <v>0</v>
      </c>
      <c r="OX36">
        <v>0</v>
      </c>
      <c r="OY36">
        <v>4264</v>
      </c>
      <c r="OZ36">
        <v>14417</v>
      </c>
      <c r="PA36">
        <v>6112</v>
      </c>
      <c r="PB36">
        <v>6205</v>
      </c>
      <c r="PC36">
        <v>5821</v>
      </c>
      <c r="PD36">
        <v>0</v>
      </c>
      <c r="PE36">
        <v>0</v>
      </c>
      <c r="PF36">
        <v>9323</v>
      </c>
      <c r="PG36">
        <v>13786</v>
      </c>
      <c r="PH36">
        <v>0</v>
      </c>
      <c r="PI36">
        <v>3381</v>
      </c>
      <c r="PJ36">
        <v>13502</v>
      </c>
      <c r="PK36">
        <v>0</v>
      </c>
      <c r="PL36">
        <v>0</v>
      </c>
      <c r="PM36">
        <v>5866</v>
      </c>
      <c r="PN36">
        <v>1795</v>
      </c>
      <c r="PO36">
        <v>0</v>
      </c>
      <c r="PP36">
        <v>8413</v>
      </c>
      <c r="PQ36">
        <v>4349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13216</v>
      </c>
      <c r="QC36">
        <v>5002</v>
      </c>
      <c r="QD36">
        <v>2635</v>
      </c>
      <c r="QE36">
        <v>4112</v>
      </c>
      <c r="QF36">
        <v>0</v>
      </c>
      <c r="QG36">
        <v>0</v>
      </c>
      <c r="QH36">
        <v>8342</v>
      </c>
      <c r="QI36">
        <v>12154</v>
      </c>
      <c r="QJ36">
        <v>6699</v>
      </c>
      <c r="QK36">
        <v>2708</v>
      </c>
      <c r="QL36">
        <v>1567</v>
      </c>
      <c r="QM36">
        <v>0</v>
      </c>
      <c r="QN36">
        <v>0</v>
      </c>
      <c r="QO36">
        <v>0</v>
      </c>
      <c r="QP36">
        <v>13573</v>
      </c>
      <c r="QQ36">
        <v>2739</v>
      </c>
      <c r="QR36">
        <v>0</v>
      </c>
      <c r="QS36">
        <v>0</v>
      </c>
      <c r="QT36">
        <v>0</v>
      </c>
      <c r="QU36">
        <v>0</v>
      </c>
      <c r="QV36">
        <v>795</v>
      </c>
      <c r="QW36">
        <v>3244</v>
      </c>
      <c r="QX36">
        <v>0</v>
      </c>
      <c r="QY36">
        <v>5996</v>
      </c>
      <c r="QZ36">
        <v>3975</v>
      </c>
      <c r="RA36">
        <v>0</v>
      </c>
      <c r="RB36">
        <v>0</v>
      </c>
      <c r="RC36">
        <v>2136</v>
      </c>
      <c r="RD36">
        <v>905</v>
      </c>
      <c r="RE36">
        <v>0</v>
      </c>
      <c r="RF36">
        <v>0</v>
      </c>
      <c r="RG36">
        <v>1457</v>
      </c>
      <c r="RH36">
        <v>0</v>
      </c>
      <c r="RI36">
        <v>0</v>
      </c>
      <c r="RJ36">
        <v>0</v>
      </c>
      <c r="RK36">
        <v>12222</v>
      </c>
      <c r="RL36">
        <v>0</v>
      </c>
      <c r="RM36">
        <v>2678</v>
      </c>
      <c r="RN36">
        <v>0</v>
      </c>
      <c r="RO36">
        <v>0</v>
      </c>
      <c r="RP36">
        <v>0</v>
      </c>
      <c r="RQ36">
        <v>6503</v>
      </c>
      <c r="RR36">
        <v>0</v>
      </c>
      <c r="RS36">
        <v>2074</v>
      </c>
      <c r="RT36">
        <v>7093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24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13977</v>
      </c>
      <c r="SH36">
        <v>9941</v>
      </c>
      <c r="SI36">
        <v>0</v>
      </c>
      <c r="SJ36">
        <v>0</v>
      </c>
      <c r="SK36">
        <v>0</v>
      </c>
      <c r="SL36">
        <v>0</v>
      </c>
      <c r="SM36">
        <v>17126</v>
      </c>
      <c r="SN36">
        <v>10722</v>
      </c>
      <c r="SO36">
        <v>2903</v>
      </c>
      <c r="SP36">
        <v>1852</v>
      </c>
      <c r="SQ36">
        <v>0</v>
      </c>
      <c r="SR36">
        <v>0</v>
      </c>
      <c r="SS36">
        <v>0</v>
      </c>
      <c r="ST36">
        <v>7130</v>
      </c>
      <c r="SU36">
        <v>3925</v>
      </c>
      <c r="SV36">
        <v>0</v>
      </c>
      <c r="SW36">
        <v>938</v>
      </c>
      <c r="SX36">
        <v>0</v>
      </c>
      <c r="SY36">
        <v>0</v>
      </c>
      <c r="SZ36">
        <v>5607</v>
      </c>
      <c r="TA36">
        <v>19489</v>
      </c>
      <c r="TB36">
        <v>16245</v>
      </c>
      <c r="TC36">
        <v>6281</v>
      </c>
      <c r="TD36">
        <v>0</v>
      </c>
      <c r="TE36">
        <v>0</v>
      </c>
      <c r="TF36">
        <v>0</v>
      </c>
      <c r="TG36">
        <v>0</v>
      </c>
      <c r="TH36">
        <v>16904</v>
      </c>
      <c r="TI36">
        <v>13586</v>
      </c>
      <c r="TJ36">
        <v>0</v>
      </c>
      <c r="TK36">
        <v>12216</v>
      </c>
      <c r="TL36">
        <v>0</v>
      </c>
      <c r="TM36">
        <v>0</v>
      </c>
      <c r="TN36">
        <v>0</v>
      </c>
      <c r="TO36">
        <v>15099</v>
      </c>
      <c r="TP36">
        <v>7902</v>
      </c>
      <c r="TQ36">
        <v>4969</v>
      </c>
      <c r="TR36">
        <v>6331</v>
      </c>
      <c r="TS36">
        <v>0</v>
      </c>
      <c r="TT36">
        <v>0</v>
      </c>
      <c r="TU36">
        <v>0</v>
      </c>
      <c r="TV36">
        <v>0</v>
      </c>
      <c r="TW36">
        <v>820</v>
      </c>
      <c r="TX36">
        <v>0</v>
      </c>
      <c r="TY36">
        <v>3903</v>
      </c>
      <c r="TZ36">
        <v>0</v>
      </c>
      <c r="UA36">
        <v>0</v>
      </c>
      <c r="UB36">
        <v>10237</v>
      </c>
      <c r="UC36">
        <v>7775</v>
      </c>
      <c r="UD36">
        <v>3990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8076</v>
      </c>
      <c r="UK36">
        <v>3029</v>
      </c>
      <c r="UL36">
        <v>0</v>
      </c>
      <c r="UM36">
        <v>2208</v>
      </c>
      <c r="UN36">
        <v>0</v>
      </c>
      <c r="UO36">
        <v>0</v>
      </c>
      <c r="UP36">
        <v>5870</v>
      </c>
      <c r="UQ36">
        <v>1351</v>
      </c>
      <c r="UR36">
        <v>1298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5656</v>
      </c>
      <c r="UY36">
        <v>0</v>
      </c>
      <c r="UZ36">
        <v>7110</v>
      </c>
      <c r="VA36">
        <v>24</v>
      </c>
      <c r="VB36">
        <v>0</v>
      </c>
      <c r="VC36">
        <v>0</v>
      </c>
      <c r="VD36">
        <v>0</v>
      </c>
      <c r="VE36">
        <v>6851</v>
      </c>
      <c r="VF36">
        <v>3450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5872</v>
      </c>
      <c r="VN36">
        <v>2024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4741</v>
      </c>
      <c r="VV36">
        <v>1698</v>
      </c>
      <c r="VW36">
        <v>0</v>
      </c>
      <c r="VX36">
        <v>0</v>
      </c>
      <c r="VY36">
        <v>0</v>
      </c>
      <c r="VZ36">
        <v>4684</v>
      </c>
      <c r="WA36">
        <v>6602</v>
      </c>
      <c r="WB36">
        <v>0</v>
      </c>
      <c r="WC36">
        <v>0</v>
      </c>
      <c r="WD36">
        <v>0</v>
      </c>
      <c r="WE36">
        <v>0</v>
      </c>
      <c r="WF36">
        <v>1885</v>
      </c>
      <c r="WG36">
        <v>0</v>
      </c>
      <c r="WH36">
        <v>0</v>
      </c>
      <c r="WI36">
        <v>0</v>
      </c>
      <c r="WJ36">
        <v>1095</v>
      </c>
      <c r="WK36">
        <v>0</v>
      </c>
      <c r="WL36">
        <v>0</v>
      </c>
      <c r="WM36">
        <v>1123</v>
      </c>
      <c r="WN36">
        <v>1689</v>
      </c>
      <c r="WO36">
        <v>294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5366</v>
      </c>
      <c r="XC36">
        <v>2191</v>
      </c>
      <c r="XD36">
        <v>2064</v>
      </c>
      <c r="XE36">
        <v>0</v>
      </c>
      <c r="XF36">
        <v>0</v>
      </c>
      <c r="XG36">
        <v>0</v>
      </c>
      <c r="XH36">
        <v>0</v>
      </c>
      <c r="XI36">
        <v>5219</v>
      </c>
      <c r="XJ36">
        <v>0</v>
      </c>
      <c r="XK36">
        <v>1911</v>
      </c>
      <c r="XL36">
        <v>1602</v>
      </c>
      <c r="XM36">
        <v>0</v>
      </c>
      <c r="XN36">
        <v>0</v>
      </c>
      <c r="XO36">
        <v>9654</v>
      </c>
      <c r="XP36">
        <v>1213</v>
      </c>
      <c r="XQ36">
        <v>484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2910</v>
      </c>
      <c r="XX36">
        <v>5180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3994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1316</v>
      </c>
      <c r="YS36">
        <v>1205</v>
      </c>
      <c r="YT36">
        <v>5600</v>
      </c>
      <c r="YU36">
        <v>0</v>
      </c>
      <c r="YV36">
        <v>0</v>
      </c>
      <c r="YW36">
        <v>0</v>
      </c>
      <c r="YX36">
        <v>1018</v>
      </c>
      <c r="YY36">
        <v>2295</v>
      </c>
      <c r="YZ36">
        <v>787</v>
      </c>
      <c r="ZA36">
        <v>3641</v>
      </c>
      <c r="ZB36">
        <v>0</v>
      </c>
      <c r="ZC36">
        <v>0</v>
      </c>
      <c r="ZD36">
        <v>0</v>
      </c>
      <c r="ZE36">
        <v>1684</v>
      </c>
      <c r="ZF36">
        <v>0</v>
      </c>
      <c r="ZG36">
        <v>2391</v>
      </c>
      <c r="ZH36">
        <v>0</v>
      </c>
      <c r="ZI36">
        <v>908</v>
      </c>
      <c r="ZJ36">
        <v>0</v>
      </c>
      <c r="ZK36">
        <v>644</v>
      </c>
      <c r="ZL36">
        <v>1244</v>
      </c>
      <c r="ZM36">
        <v>4840</v>
      </c>
      <c r="ZN36">
        <v>0</v>
      </c>
      <c r="ZO36">
        <v>1125</v>
      </c>
      <c r="ZP36">
        <v>0</v>
      </c>
      <c r="ZQ36">
        <v>0</v>
      </c>
      <c r="ZR36">
        <v>0</v>
      </c>
      <c r="ZS36">
        <v>2909</v>
      </c>
      <c r="ZT36">
        <v>0</v>
      </c>
      <c r="ZU36">
        <v>2184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5924</v>
      </c>
      <c r="AAB36">
        <v>0</v>
      </c>
      <c r="AAC36">
        <v>0</v>
      </c>
      <c r="AAD36">
        <v>1720</v>
      </c>
      <c r="AAE36">
        <v>0</v>
      </c>
      <c r="AAF36">
        <v>0</v>
      </c>
      <c r="AAG36">
        <v>0</v>
      </c>
      <c r="AAH36">
        <v>2971</v>
      </c>
      <c r="AAI36">
        <v>2712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6172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2452</v>
      </c>
      <c r="AAW36">
        <v>5073</v>
      </c>
      <c r="AAX36">
        <v>5398</v>
      </c>
      <c r="AAY36">
        <v>0</v>
      </c>
      <c r="AAZ36">
        <v>0</v>
      </c>
      <c r="ABA36">
        <v>0</v>
      </c>
      <c r="ABB36">
        <v>0</v>
      </c>
      <c r="ABC36">
        <v>6438</v>
      </c>
      <c r="ABD36">
        <v>958</v>
      </c>
      <c r="ABE36">
        <v>0</v>
      </c>
      <c r="ABF36">
        <v>0</v>
      </c>
      <c r="ABG36">
        <v>0</v>
      </c>
      <c r="ABH36">
        <v>0</v>
      </c>
      <c r="ABI36">
        <v>602</v>
      </c>
      <c r="ABJ36">
        <v>0</v>
      </c>
      <c r="ABK36">
        <v>2973</v>
      </c>
      <c r="ABL36">
        <v>0</v>
      </c>
      <c r="ABM36">
        <v>7806</v>
      </c>
      <c r="ABN36">
        <v>0</v>
      </c>
      <c r="ABO36">
        <v>0</v>
      </c>
      <c r="ABP36">
        <v>0</v>
      </c>
      <c r="ABQ36">
        <v>105</v>
      </c>
      <c r="ABR36">
        <v>0</v>
      </c>
      <c r="ABS36">
        <v>3614</v>
      </c>
      <c r="ABT36">
        <v>0</v>
      </c>
      <c r="ABU36">
        <v>0</v>
      </c>
      <c r="ABV36">
        <v>0</v>
      </c>
      <c r="ABW36">
        <v>0</v>
      </c>
      <c r="ABX36">
        <v>857</v>
      </c>
      <c r="ABY36">
        <v>0</v>
      </c>
      <c r="ABZ36">
        <v>626</v>
      </c>
      <c r="ACA36">
        <v>0</v>
      </c>
      <c r="ACB36">
        <v>0</v>
      </c>
      <c r="ACC36">
        <v>0</v>
      </c>
      <c r="ACD36">
        <v>8268</v>
      </c>
      <c r="ACE36">
        <v>6199</v>
      </c>
      <c r="ACF36">
        <v>9683</v>
      </c>
      <c r="ACG36">
        <v>3358</v>
      </c>
      <c r="ACH36">
        <v>0</v>
      </c>
      <c r="ACI36">
        <v>20019</v>
      </c>
      <c r="ACJ36">
        <v>0</v>
      </c>
      <c r="ACK36">
        <v>0</v>
      </c>
      <c r="ACL36">
        <v>12348</v>
      </c>
      <c r="ACM36">
        <v>4539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6605</v>
      </c>
      <c r="ACV36">
        <v>0</v>
      </c>
      <c r="ACW36">
        <v>0</v>
      </c>
      <c r="ACX36">
        <v>0</v>
      </c>
      <c r="ACY36">
        <v>47162</v>
      </c>
      <c r="ACZ36">
        <v>8400</v>
      </c>
      <c r="ADA36">
        <v>0</v>
      </c>
      <c r="ADB36">
        <v>29775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57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 s="134">
        <v>0</v>
      </c>
      <c r="AGL36" s="134">
        <v>0</v>
      </c>
      <c r="AGM36" s="134">
        <v>0</v>
      </c>
      <c r="AGN36" s="134">
        <v>0</v>
      </c>
      <c r="AGO36" s="134">
        <v>0</v>
      </c>
      <c r="AGP36" s="134">
        <v>0</v>
      </c>
      <c r="AGQ36" s="134">
        <v>0</v>
      </c>
      <c r="AGR36" s="134">
        <v>0</v>
      </c>
      <c r="AGS36" s="134">
        <v>0</v>
      </c>
      <c r="AGT36" s="134">
        <v>0</v>
      </c>
      <c r="AGU36" s="134">
        <v>0</v>
      </c>
      <c r="AGV36" s="134">
        <v>0</v>
      </c>
      <c r="AGW36" s="134">
        <v>0</v>
      </c>
      <c r="AGX36" s="134">
        <v>0</v>
      </c>
      <c r="AGY36" s="134">
        <v>0</v>
      </c>
      <c r="AGZ36" s="134">
        <v>0</v>
      </c>
      <c r="AHA36" s="134">
        <v>0</v>
      </c>
      <c r="AHB36" s="134">
        <v>0</v>
      </c>
      <c r="AHC36" s="134">
        <v>0</v>
      </c>
      <c r="AHD36" s="134">
        <v>0</v>
      </c>
      <c r="AHE36" s="134">
        <v>0</v>
      </c>
      <c r="AHF36" s="134"/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 s="31">
        <v>0</v>
      </c>
      <c r="AJS36" s="31">
        <v>0</v>
      </c>
      <c r="AJT36" s="31">
        <v>0</v>
      </c>
      <c r="AJU36" s="31">
        <v>0</v>
      </c>
      <c r="AJV36" s="31">
        <v>0</v>
      </c>
      <c r="AJW36" s="31">
        <v>0</v>
      </c>
      <c r="AJX36" s="31">
        <v>0</v>
      </c>
      <c r="AJY36" s="31">
        <v>0</v>
      </c>
      <c r="AJZ36" s="31">
        <v>0</v>
      </c>
      <c r="AKA36" s="31">
        <v>0</v>
      </c>
      <c r="AKB36">
        <v>0</v>
      </c>
      <c r="AKC36">
        <v>0</v>
      </c>
      <c r="AKD36">
        <v>0</v>
      </c>
      <c r="AKE36">
        <v>0</v>
      </c>
      <c r="AKF36">
        <v>0</v>
      </c>
    </row>
    <row r="37" spans="1:968" s="8" customFormat="1">
      <c r="C37" s="9">
        <v>82606</v>
      </c>
      <c r="D37" s="9" t="s">
        <v>28</v>
      </c>
      <c r="E37" s="9" t="s">
        <v>69</v>
      </c>
      <c r="F37" s="10"/>
      <c r="G37" s="10"/>
      <c r="H37" s="10"/>
      <c r="I37" s="10"/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BU37" s="34"/>
      <c r="BV37" s="34"/>
      <c r="BW37" s="34"/>
      <c r="BX37" s="34"/>
      <c r="BY37" s="34"/>
      <c r="BZ37" s="34"/>
      <c r="CA37" s="34"/>
      <c r="AEU37" s="8">
        <v>0</v>
      </c>
      <c r="AIB37" s="8">
        <v>0</v>
      </c>
      <c r="AIC37" s="8">
        <v>0</v>
      </c>
      <c r="AID37" s="8">
        <v>0</v>
      </c>
      <c r="AIE37" s="8">
        <v>0</v>
      </c>
      <c r="AIF37" s="8">
        <v>0</v>
      </c>
      <c r="AIG37" s="8">
        <v>0</v>
      </c>
      <c r="AIH37" s="8">
        <v>0</v>
      </c>
      <c r="AII37" s="8">
        <v>0</v>
      </c>
      <c r="AJR37" s="159"/>
      <c r="AJS37" s="159"/>
      <c r="AJT37" s="159"/>
      <c r="AJU37" s="159"/>
      <c r="AJV37" s="159"/>
      <c r="AJW37" s="159"/>
      <c r="AJX37" s="159"/>
      <c r="AJY37" s="159"/>
      <c r="AJZ37" s="159"/>
      <c r="AKA37" s="159"/>
    </row>
    <row r="38" spans="1:968">
      <c r="A38">
        <v>1</v>
      </c>
      <c r="B38" t="s">
        <v>129</v>
      </c>
      <c r="C38" s="1">
        <v>82606</v>
      </c>
      <c r="D38" s="1" t="s">
        <v>28</v>
      </c>
      <c r="E38" s="1" t="s">
        <v>69</v>
      </c>
      <c r="F38" s="32" t="s">
        <v>69</v>
      </c>
      <c r="G38" s="1" t="s">
        <v>33</v>
      </c>
      <c r="H38" s="39" t="s">
        <v>114</v>
      </c>
      <c r="I38" s="1" t="s">
        <v>45</v>
      </c>
      <c r="J38" s="1" t="s">
        <v>46</v>
      </c>
      <c r="K38">
        <v>0</v>
      </c>
      <c r="L38">
        <v>934</v>
      </c>
      <c r="M38">
        <v>1</v>
      </c>
      <c r="N38">
        <v>1</v>
      </c>
      <c r="O38">
        <v>0</v>
      </c>
      <c r="P38">
        <v>0</v>
      </c>
      <c r="Q38">
        <v>495</v>
      </c>
      <c r="R38">
        <v>0</v>
      </c>
      <c r="S38">
        <v>3</v>
      </c>
      <c r="T38">
        <v>0</v>
      </c>
      <c r="U38">
        <v>0</v>
      </c>
      <c r="V38">
        <v>0</v>
      </c>
      <c r="W38">
        <v>0</v>
      </c>
      <c r="X38">
        <v>213</v>
      </c>
      <c r="Y38">
        <v>1121</v>
      </c>
      <c r="Z38">
        <v>32</v>
      </c>
      <c r="AA38">
        <v>3</v>
      </c>
      <c r="AB38">
        <v>0</v>
      </c>
      <c r="AC38">
        <v>0</v>
      </c>
      <c r="AD38">
        <v>0</v>
      </c>
      <c r="AE38">
        <v>676</v>
      </c>
      <c r="AF38">
        <v>24</v>
      </c>
      <c r="AG38">
        <v>241</v>
      </c>
      <c r="AH38">
        <v>2</v>
      </c>
      <c r="AI38">
        <v>9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125</v>
      </c>
      <c r="AP38">
        <v>221</v>
      </c>
      <c r="AQ38">
        <v>0</v>
      </c>
      <c r="AR38">
        <v>229</v>
      </c>
      <c r="AS38">
        <v>0</v>
      </c>
      <c r="AT38">
        <v>13</v>
      </c>
      <c r="AU38">
        <v>8</v>
      </c>
      <c r="AV38">
        <v>10</v>
      </c>
      <c r="AW38">
        <v>3</v>
      </c>
      <c r="AX38">
        <v>0</v>
      </c>
      <c r="AY38">
        <v>0</v>
      </c>
      <c r="AZ38">
        <v>11</v>
      </c>
      <c r="BA38">
        <v>0</v>
      </c>
      <c r="BB38">
        <v>0</v>
      </c>
      <c r="BC38">
        <v>26</v>
      </c>
      <c r="BD38">
        <v>1</v>
      </c>
      <c r="BE38">
        <v>0</v>
      </c>
      <c r="BF38">
        <v>137</v>
      </c>
      <c r="BG38">
        <v>0</v>
      </c>
      <c r="BH38">
        <v>0</v>
      </c>
      <c r="BI38">
        <v>2</v>
      </c>
      <c r="BJ38">
        <v>0</v>
      </c>
      <c r="BK38">
        <v>0</v>
      </c>
      <c r="BL38">
        <v>0</v>
      </c>
      <c r="BM38">
        <v>11</v>
      </c>
      <c r="BN38">
        <v>0</v>
      </c>
      <c r="BO38">
        <v>0</v>
      </c>
      <c r="BP38">
        <v>0</v>
      </c>
      <c r="BQ38">
        <v>51</v>
      </c>
      <c r="BR38">
        <v>0</v>
      </c>
      <c r="BS38">
        <v>0</v>
      </c>
      <c r="BT38">
        <v>0</v>
      </c>
      <c r="BU38" s="33">
        <v>0</v>
      </c>
      <c r="BV38" s="33">
        <v>0</v>
      </c>
      <c r="BW38" s="33">
        <v>0</v>
      </c>
      <c r="BX38" s="33">
        <v>3036</v>
      </c>
      <c r="BY38" s="33">
        <v>133</v>
      </c>
      <c r="BZ38" s="33">
        <v>0</v>
      </c>
      <c r="CA38" s="33">
        <v>3554</v>
      </c>
      <c r="CB38">
        <v>1032</v>
      </c>
      <c r="CC38">
        <v>3809</v>
      </c>
      <c r="CD38">
        <v>2166</v>
      </c>
      <c r="CE38">
        <v>2187</v>
      </c>
      <c r="CF38">
        <v>2292</v>
      </c>
      <c r="CG38">
        <v>0</v>
      </c>
      <c r="CH38">
        <v>1973</v>
      </c>
      <c r="CI38">
        <v>3873</v>
      </c>
      <c r="CJ38">
        <v>28453</v>
      </c>
      <c r="CK38">
        <v>2441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44</v>
      </c>
      <c r="CR38">
        <v>90150</v>
      </c>
      <c r="CS38">
        <v>0</v>
      </c>
      <c r="CT38">
        <v>0</v>
      </c>
      <c r="CU38">
        <v>0</v>
      </c>
      <c r="CV38">
        <v>50136</v>
      </c>
      <c r="CW38">
        <v>12540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205</v>
      </c>
      <c r="DD38">
        <v>1</v>
      </c>
      <c r="DE38">
        <v>323</v>
      </c>
      <c r="DF38">
        <v>0</v>
      </c>
      <c r="DG38">
        <v>0</v>
      </c>
      <c r="DH38">
        <v>0</v>
      </c>
      <c r="DI38">
        <v>0</v>
      </c>
      <c r="DJ38">
        <v>14004</v>
      </c>
      <c r="DK38">
        <v>185</v>
      </c>
      <c r="DL38">
        <v>207</v>
      </c>
      <c r="DM38">
        <v>0</v>
      </c>
      <c r="DN38">
        <v>63</v>
      </c>
      <c r="DO38">
        <v>0</v>
      </c>
      <c r="DP38">
        <v>0</v>
      </c>
      <c r="DQ38">
        <v>6</v>
      </c>
      <c r="DR38">
        <v>0</v>
      </c>
      <c r="DS38">
        <v>0</v>
      </c>
      <c r="DT38">
        <v>456</v>
      </c>
      <c r="DU38">
        <v>820</v>
      </c>
      <c r="DV38">
        <v>960</v>
      </c>
      <c r="DW38">
        <v>0</v>
      </c>
      <c r="DX38">
        <v>2</v>
      </c>
      <c r="DY38">
        <v>1025</v>
      </c>
      <c r="DZ38">
        <v>0</v>
      </c>
      <c r="EA38">
        <v>25</v>
      </c>
      <c r="EB38">
        <v>3</v>
      </c>
      <c r="EC38">
        <v>326</v>
      </c>
      <c r="ED38">
        <v>0</v>
      </c>
      <c r="EE38">
        <v>542</v>
      </c>
      <c r="EF38">
        <v>1</v>
      </c>
      <c r="EG38">
        <v>0</v>
      </c>
      <c r="EH38">
        <v>1820</v>
      </c>
      <c r="EI38">
        <v>6</v>
      </c>
      <c r="EJ38">
        <v>0</v>
      </c>
      <c r="EK38">
        <v>0</v>
      </c>
      <c r="EL38">
        <v>29</v>
      </c>
      <c r="EM38">
        <v>47</v>
      </c>
      <c r="EN38">
        <v>242</v>
      </c>
      <c r="EO38">
        <v>5</v>
      </c>
      <c r="EP38">
        <v>28</v>
      </c>
      <c r="EQ38">
        <v>0</v>
      </c>
      <c r="ER38">
        <v>0</v>
      </c>
      <c r="ES38">
        <v>78</v>
      </c>
      <c r="ET38">
        <v>6398</v>
      </c>
      <c r="EU38">
        <v>0</v>
      </c>
      <c r="EV38">
        <v>0</v>
      </c>
      <c r="EW38">
        <v>340</v>
      </c>
      <c r="EX38">
        <v>0</v>
      </c>
      <c r="EY38">
        <v>0</v>
      </c>
      <c r="EZ38">
        <v>5</v>
      </c>
      <c r="FA38">
        <v>10</v>
      </c>
      <c r="FB38">
        <v>0</v>
      </c>
      <c r="FC38">
        <v>27420</v>
      </c>
      <c r="FD38">
        <v>106</v>
      </c>
      <c r="FE38">
        <v>317</v>
      </c>
      <c r="FF38">
        <v>0</v>
      </c>
      <c r="FG38">
        <v>238</v>
      </c>
      <c r="FH38">
        <v>24</v>
      </c>
      <c r="FI38">
        <v>0</v>
      </c>
      <c r="FJ38">
        <v>10188</v>
      </c>
      <c r="FK38">
        <v>11030</v>
      </c>
      <c r="FL38">
        <v>0</v>
      </c>
      <c r="FM38">
        <v>0</v>
      </c>
      <c r="FN38">
        <v>0</v>
      </c>
      <c r="FO38">
        <v>1</v>
      </c>
      <c r="FP38">
        <v>0</v>
      </c>
      <c r="FQ38">
        <v>71</v>
      </c>
      <c r="FR38">
        <v>40517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87878</v>
      </c>
      <c r="FZ38">
        <v>0</v>
      </c>
      <c r="GA38">
        <v>0</v>
      </c>
      <c r="GB38">
        <v>480</v>
      </c>
      <c r="GC38">
        <v>0</v>
      </c>
      <c r="GD38">
        <v>3518</v>
      </c>
      <c r="GE38">
        <v>0</v>
      </c>
      <c r="GF38">
        <v>129</v>
      </c>
      <c r="GG38">
        <v>0</v>
      </c>
      <c r="GH38">
        <v>0</v>
      </c>
      <c r="GI38">
        <v>1</v>
      </c>
      <c r="GJ38">
        <v>1</v>
      </c>
      <c r="GK38">
        <v>0</v>
      </c>
      <c r="GL38">
        <v>0</v>
      </c>
      <c r="GM38">
        <v>7749</v>
      </c>
      <c r="GN38">
        <v>0</v>
      </c>
      <c r="GO38">
        <v>0</v>
      </c>
      <c r="GP38">
        <v>60</v>
      </c>
      <c r="GQ38">
        <v>68</v>
      </c>
      <c r="GR38">
        <v>15172</v>
      </c>
      <c r="GS38">
        <v>4798</v>
      </c>
      <c r="GT38">
        <v>0</v>
      </c>
      <c r="GU38">
        <v>0</v>
      </c>
      <c r="GV38">
        <v>0</v>
      </c>
      <c r="GW38">
        <v>70</v>
      </c>
      <c r="GX38">
        <v>82</v>
      </c>
      <c r="GY38">
        <v>2949</v>
      </c>
      <c r="GZ38">
        <v>10073</v>
      </c>
      <c r="HA38">
        <v>0</v>
      </c>
      <c r="HB38">
        <v>196</v>
      </c>
      <c r="HC38">
        <v>0</v>
      </c>
      <c r="HD38">
        <v>39614</v>
      </c>
      <c r="HE38">
        <v>89805</v>
      </c>
      <c r="HF38">
        <v>0</v>
      </c>
      <c r="HG38">
        <v>0</v>
      </c>
      <c r="HH38">
        <v>5831</v>
      </c>
      <c r="HI38">
        <v>68</v>
      </c>
      <c r="HJ38">
        <v>0</v>
      </c>
      <c r="HK38">
        <v>60093</v>
      </c>
      <c r="HL38">
        <v>0</v>
      </c>
      <c r="HM38">
        <v>0</v>
      </c>
      <c r="HN38">
        <v>2052</v>
      </c>
      <c r="HO38">
        <v>0</v>
      </c>
      <c r="HP38">
        <v>2365</v>
      </c>
      <c r="HQ38">
        <v>0</v>
      </c>
      <c r="HR38">
        <v>0</v>
      </c>
      <c r="HS38">
        <v>101</v>
      </c>
      <c r="HT38">
        <v>3337</v>
      </c>
      <c r="HU38">
        <v>74</v>
      </c>
      <c r="HV38">
        <v>614</v>
      </c>
      <c r="HW38">
        <v>64</v>
      </c>
      <c r="HX38">
        <v>0</v>
      </c>
      <c r="HY38">
        <v>919</v>
      </c>
      <c r="HZ38">
        <v>15198</v>
      </c>
      <c r="IA38">
        <v>42</v>
      </c>
      <c r="IB38">
        <v>18158</v>
      </c>
      <c r="IC38">
        <v>4328</v>
      </c>
      <c r="ID38">
        <v>0</v>
      </c>
      <c r="IE38">
        <v>0</v>
      </c>
      <c r="IF38">
        <v>0</v>
      </c>
      <c r="IG38">
        <v>50</v>
      </c>
      <c r="IH38">
        <v>21</v>
      </c>
      <c r="II38">
        <v>41</v>
      </c>
      <c r="IJ38">
        <v>54</v>
      </c>
      <c r="IK38">
        <v>0</v>
      </c>
      <c r="IL38">
        <v>0</v>
      </c>
      <c r="IM38">
        <v>0</v>
      </c>
      <c r="IN38">
        <v>2</v>
      </c>
      <c r="IO38">
        <v>1951</v>
      </c>
      <c r="IP38">
        <v>504</v>
      </c>
      <c r="IQ38">
        <v>250</v>
      </c>
      <c r="IR38">
        <v>0</v>
      </c>
      <c r="IS38">
        <v>0</v>
      </c>
      <c r="IT38">
        <v>6</v>
      </c>
      <c r="IU38">
        <v>9105</v>
      </c>
      <c r="IV38">
        <v>0</v>
      </c>
      <c r="IW38">
        <v>598</v>
      </c>
      <c r="IX38">
        <v>42630</v>
      </c>
      <c r="IY38">
        <v>0</v>
      </c>
      <c r="IZ38">
        <v>0</v>
      </c>
      <c r="JA38">
        <v>0</v>
      </c>
      <c r="JB38">
        <v>6</v>
      </c>
      <c r="JC38">
        <v>1085</v>
      </c>
      <c r="JD38">
        <v>16</v>
      </c>
      <c r="JE38">
        <v>4</v>
      </c>
      <c r="JF38">
        <v>0</v>
      </c>
      <c r="JG38">
        <v>0</v>
      </c>
      <c r="JH38">
        <v>0</v>
      </c>
      <c r="JI38">
        <v>26</v>
      </c>
      <c r="JJ38">
        <v>626</v>
      </c>
      <c r="JK38">
        <v>156</v>
      </c>
      <c r="JL38">
        <v>0</v>
      </c>
      <c r="JM38">
        <v>6120</v>
      </c>
      <c r="JN38">
        <v>0</v>
      </c>
      <c r="JO38">
        <v>36113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338</v>
      </c>
      <c r="JX38">
        <v>0</v>
      </c>
      <c r="JY38">
        <v>4</v>
      </c>
      <c r="JZ38">
        <v>238</v>
      </c>
      <c r="KA38">
        <v>0</v>
      </c>
      <c r="KB38">
        <v>0</v>
      </c>
      <c r="KC38">
        <v>62</v>
      </c>
      <c r="KD38">
        <v>76</v>
      </c>
      <c r="KE38">
        <v>0</v>
      </c>
      <c r="KF38">
        <v>213</v>
      </c>
      <c r="KG38">
        <v>0</v>
      </c>
      <c r="KH38">
        <v>48</v>
      </c>
      <c r="KI38">
        <v>0</v>
      </c>
      <c r="KJ38">
        <v>0</v>
      </c>
      <c r="KK38">
        <v>1</v>
      </c>
      <c r="KL38">
        <v>8800</v>
      </c>
      <c r="KM38">
        <v>0</v>
      </c>
      <c r="KN38">
        <v>27</v>
      </c>
      <c r="KO38">
        <v>0</v>
      </c>
      <c r="KP38">
        <v>0</v>
      </c>
      <c r="KQ38">
        <v>1083</v>
      </c>
      <c r="KR38">
        <v>4</v>
      </c>
      <c r="KS38">
        <v>0</v>
      </c>
      <c r="KT38">
        <v>583</v>
      </c>
      <c r="KU38">
        <v>5640</v>
      </c>
      <c r="KV38">
        <v>0</v>
      </c>
      <c r="KW38">
        <v>0</v>
      </c>
      <c r="KX38">
        <v>0</v>
      </c>
      <c r="KY38">
        <v>6</v>
      </c>
      <c r="KZ38">
        <v>21</v>
      </c>
      <c r="LA38">
        <v>0</v>
      </c>
      <c r="LB38">
        <v>1456</v>
      </c>
      <c r="LC38">
        <v>0</v>
      </c>
      <c r="LD38">
        <v>0</v>
      </c>
      <c r="LE38">
        <v>0</v>
      </c>
      <c r="LF38">
        <v>5</v>
      </c>
      <c r="LG38">
        <v>1825</v>
      </c>
      <c r="LH38">
        <v>0</v>
      </c>
      <c r="LI38">
        <v>0</v>
      </c>
      <c r="LJ38">
        <v>4816</v>
      </c>
      <c r="LK38">
        <v>0</v>
      </c>
      <c r="LL38">
        <v>0</v>
      </c>
      <c r="LM38">
        <v>0</v>
      </c>
      <c r="LN38">
        <v>0</v>
      </c>
      <c r="LO38">
        <v>8</v>
      </c>
      <c r="LP38">
        <v>1413</v>
      </c>
      <c r="LQ38">
        <v>0</v>
      </c>
      <c r="LR38">
        <v>0</v>
      </c>
      <c r="LS38">
        <v>420</v>
      </c>
      <c r="LT38">
        <v>1573</v>
      </c>
      <c r="LU38">
        <v>20608</v>
      </c>
      <c r="LV38">
        <v>102</v>
      </c>
      <c r="LW38">
        <v>4</v>
      </c>
      <c r="LX38">
        <v>0</v>
      </c>
      <c r="LY38">
        <v>0</v>
      </c>
      <c r="LZ38">
        <v>0</v>
      </c>
      <c r="MA38">
        <v>147</v>
      </c>
      <c r="MB38">
        <v>27</v>
      </c>
      <c r="MC38">
        <v>0</v>
      </c>
      <c r="MD38">
        <v>0</v>
      </c>
      <c r="ME38">
        <v>0</v>
      </c>
      <c r="MF38">
        <v>0</v>
      </c>
      <c r="MG38">
        <v>12</v>
      </c>
      <c r="MH38">
        <v>317</v>
      </c>
      <c r="MI38">
        <v>110</v>
      </c>
      <c r="MJ38">
        <v>51</v>
      </c>
      <c r="MK38">
        <v>0</v>
      </c>
      <c r="ML38">
        <v>0</v>
      </c>
      <c r="MM38">
        <v>0</v>
      </c>
      <c r="MN38">
        <v>16</v>
      </c>
      <c r="MO38">
        <v>0</v>
      </c>
      <c r="MP38">
        <v>0</v>
      </c>
      <c r="MQ38">
        <v>14</v>
      </c>
      <c r="MR38">
        <v>0</v>
      </c>
      <c r="MS38">
        <v>4076</v>
      </c>
      <c r="MT38">
        <v>0</v>
      </c>
      <c r="MU38">
        <v>0</v>
      </c>
      <c r="MV38">
        <v>15</v>
      </c>
      <c r="MW38">
        <v>2</v>
      </c>
      <c r="MX38">
        <v>0</v>
      </c>
      <c r="MY38">
        <v>0</v>
      </c>
      <c r="MZ38">
        <v>0</v>
      </c>
      <c r="NA38">
        <v>0</v>
      </c>
      <c r="NB38">
        <v>4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88</v>
      </c>
      <c r="NJ38">
        <v>0</v>
      </c>
      <c r="NK38">
        <v>14667</v>
      </c>
      <c r="NL38">
        <v>18812</v>
      </c>
      <c r="NM38">
        <v>197</v>
      </c>
      <c r="NN38">
        <v>0</v>
      </c>
      <c r="NO38">
        <v>0</v>
      </c>
      <c r="NP38">
        <v>459</v>
      </c>
      <c r="NQ38">
        <v>0</v>
      </c>
      <c r="NR38">
        <v>0</v>
      </c>
      <c r="NS38">
        <v>0</v>
      </c>
      <c r="NT38">
        <v>60</v>
      </c>
      <c r="NU38">
        <v>0</v>
      </c>
      <c r="NV38">
        <v>0</v>
      </c>
      <c r="NW38">
        <v>1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2116</v>
      </c>
      <c r="OF38">
        <v>0</v>
      </c>
      <c r="OG38">
        <v>245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64</v>
      </c>
      <c r="OP38">
        <v>0</v>
      </c>
      <c r="OQ38">
        <v>0</v>
      </c>
      <c r="OR38">
        <v>8</v>
      </c>
      <c r="OS38">
        <v>4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10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212</v>
      </c>
      <c r="PG38">
        <v>0</v>
      </c>
      <c r="PH38">
        <v>0</v>
      </c>
      <c r="PI38">
        <v>280</v>
      </c>
      <c r="PJ38">
        <v>4</v>
      </c>
      <c r="PK38">
        <v>0</v>
      </c>
      <c r="PL38">
        <v>0</v>
      </c>
      <c r="PM38">
        <v>0</v>
      </c>
      <c r="PN38">
        <v>0</v>
      </c>
      <c r="PO38">
        <v>1043</v>
      </c>
      <c r="PP38">
        <v>2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23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4</v>
      </c>
      <c r="QI38">
        <v>6</v>
      </c>
      <c r="QJ38">
        <v>0</v>
      </c>
      <c r="QK38">
        <v>0</v>
      </c>
      <c r="QL38">
        <v>13</v>
      </c>
      <c r="QM38">
        <v>0</v>
      </c>
      <c r="QN38">
        <v>0</v>
      </c>
      <c r="QO38">
        <v>30</v>
      </c>
      <c r="QP38">
        <v>1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 s="134">
        <v>0</v>
      </c>
      <c r="AGL38" s="134">
        <v>0</v>
      </c>
      <c r="AGM38" s="134">
        <v>0</v>
      </c>
      <c r="AGN38" s="134">
        <v>0</v>
      </c>
      <c r="AGO38" s="134">
        <v>0</v>
      </c>
      <c r="AGP38" s="134">
        <v>0</v>
      </c>
      <c r="AGQ38" s="134">
        <v>0</v>
      </c>
      <c r="AGR38" s="134">
        <v>0</v>
      </c>
      <c r="AGS38" s="134">
        <v>0</v>
      </c>
      <c r="AGT38" s="134">
        <v>0</v>
      </c>
      <c r="AGU38" s="134">
        <v>0</v>
      </c>
      <c r="AGV38" s="134">
        <v>0</v>
      </c>
      <c r="AGW38" s="134">
        <v>0</v>
      </c>
      <c r="AGX38" s="134">
        <v>0</v>
      </c>
      <c r="AGY38" s="134">
        <v>0</v>
      </c>
      <c r="AGZ38" s="134">
        <v>0</v>
      </c>
      <c r="AHA38" s="134">
        <v>0</v>
      </c>
      <c r="AHB38" s="134">
        <v>0</v>
      </c>
      <c r="AHC38" s="134">
        <v>0</v>
      </c>
      <c r="AHD38" s="134">
        <v>0</v>
      </c>
      <c r="AHE38" s="134">
        <v>0</v>
      </c>
      <c r="AHF38" s="134"/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 s="31">
        <v>0</v>
      </c>
      <c r="AJS38" s="31">
        <v>0</v>
      </c>
      <c r="AJT38" s="31">
        <v>0</v>
      </c>
      <c r="AJU38" s="31">
        <v>0</v>
      </c>
      <c r="AJV38" s="31">
        <v>0</v>
      </c>
      <c r="AJW38" s="31">
        <v>0</v>
      </c>
      <c r="AJX38" s="31">
        <v>0</v>
      </c>
      <c r="AJY38" s="31">
        <v>0</v>
      </c>
      <c r="AJZ38" s="31">
        <v>0</v>
      </c>
      <c r="AKA38" s="31">
        <v>0</v>
      </c>
      <c r="AKB38">
        <v>0</v>
      </c>
      <c r="AKC38">
        <v>0</v>
      </c>
      <c r="AKD38">
        <v>0</v>
      </c>
      <c r="AKE38">
        <v>0</v>
      </c>
      <c r="AKF38">
        <v>0</v>
      </c>
    </row>
    <row r="39" spans="1:968">
      <c r="A39">
        <v>2</v>
      </c>
      <c r="B39" t="s">
        <v>130</v>
      </c>
      <c r="C39" s="1">
        <v>82606</v>
      </c>
      <c r="D39" s="1" t="s">
        <v>28</v>
      </c>
      <c r="E39" s="1" t="s">
        <v>69</v>
      </c>
      <c r="F39" s="32" t="s">
        <v>69</v>
      </c>
      <c r="G39" s="1" t="s">
        <v>12</v>
      </c>
      <c r="H39" s="39" t="s">
        <v>114</v>
      </c>
      <c r="I39" s="1" t="s">
        <v>45</v>
      </c>
      <c r="J39" s="1" t="s">
        <v>46</v>
      </c>
      <c r="K39">
        <v>3871</v>
      </c>
      <c r="L39">
        <v>8665</v>
      </c>
      <c r="M39">
        <v>12395</v>
      </c>
      <c r="N39">
        <v>8158</v>
      </c>
      <c r="O39">
        <v>0</v>
      </c>
      <c r="P39">
        <v>16811</v>
      </c>
      <c r="Q39">
        <v>57468</v>
      </c>
      <c r="R39">
        <v>3061</v>
      </c>
      <c r="S39">
        <v>4113</v>
      </c>
      <c r="T39">
        <v>6011</v>
      </c>
      <c r="U39">
        <v>4608</v>
      </c>
      <c r="V39">
        <v>0</v>
      </c>
      <c r="W39">
        <v>14744</v>
      </c>
      <c r="X39">
        <v>2238</v>
      </c>
      <c r="Y39">
        <v>2094</v>
      </c>
      <c r="Z39">
        <v>3707</v>
      </c>
      <c r="AA39">
        <v>5237</v>
      </c>
      <c r="AB39">
        <v>9409</v>
      </c>
      <c r="AC39">
        <v>0</v>
      </c>
      <c r="AD39">
        <v>64167</v>
      </c>
      <c r="AE39">
        <v>1703</v>
      </c>
      <c r="AF39">
        <v>13075</v>
      </c>
      <c r="AG39">
        <v>8025</v>
      </c>
      <c r="AH39">
        <v>5501</v>
      </c>
      <c r="AI39">
        <v>8030</v>
      </c>
      <c r="AJ39">
        <v>0</v>
      </c>
      <c r="AK39">
        <v>8210</v>
      </c>
      <c r="AL39">
        <v>9615</v>
      </c>
      <c r="AM39">
        <v>5843</v>
      </c>
      <c r="AN39">
        <v>6636</v>
      </c>
      <c r="AO39">
        <v>11966</v>
      </c>
      <c r="AP39">
        <v>25374</v>
      </c>
      <c r="AQ39">
        <v>0</v>
      </c>
      <c r="AR39">
        <v>12013</v>
      </c>
      <c r="AS39">
        <v>0</v>
      </c>
      <c r="AT39">
        <v>1315</v>
      </c>
      <c r="AU39">
        <v>1951</v>
      </c>
      <c r="AV39">
        <v>244</v>
      </c>
      <c r="AW39">
        <v>2775</v>
      </c>
      <c r="AX39">
        <v>0</v>
      </c>
      <c r="AY39">
        <v>10963</v>
      </c>
      <c r="AZ39">
        <v>1227</v>
      </c>
      <c r="BA39">
        <v>1940</v>
      </c>
      <c r="BB39">
        <v>6642</v>
      </c>
      <c r="BC39">
        <v>6076</v>
      </c>
      <c r="BD39">
        <v>2939</v>
      </c>
      <c r="BE39">
        <v>0</v>
      </c>
      <c r="BF39">
        <v>5102</v>
      </c>
      <c r="BG39">
        <v>18193</v>
      </c>
      <c r="BH39">
        <v>1991</v>
      </c>
      <c r="BI39">
        <v>31008</v>
      </c>
      <c r="BJ39">
        <v>5448</v>
      </c>
      <c r="BK39">
        <v>13098</v>
      </c>
      <c r="BL39">
        <v>0</v>
      </c>
      <c r="BM39">
        <v>1029</v>
      </c>
      <c r="BN39">
        <v>6603</v>
      </c>
      <c r="BO39">
        <v>13876</v>
      </c>
      <c r="BP39">
        <v>25933</v>
      </c>
      <c r="BQ39">
        <v>0</v>
      </c>
      <c r="BR39">
        <v>0</v>
      </c>
      <c r="BS39">
        <v>0</v>
      </c>
      <c r="BT39">
        <v>0</v>
      </c>
      <c r="BU39" s="33">
        <v>0</v>
      </c>
      <c r="BV39" s="33">
        <v>428</v>
      </c>
      <c r="BW39" s="33">
        <v>8662</v>
      </c>
      <c r="BX39" s="33">
        <v>3237</v>
      </c>
      <c r="BY39" s="33">
        <v>3389</v>
      </c>
      <c r="BZ39" s="33">
        <v>0</v>
      </c>
      <c r="CA39" s="33">
        <v>7501</v>
      </c>
      <c r="CB39">
        <v>5207</v>
      </c>
      <c r="CC39">
        <v>45301</v>
      </c>
      <c r="CD39">
        <v>22100</v>
      </c>
      <c r="CE39">
        <v>6372</v>
      </c>
      <c r="CF39">
        <v>2605</v>
      </c>
      <c r="CG39">
        <v>0</v>
      </c>
      <c r="CH39">
        <v>8670</v>
      </c>
      <c r="CI39">
        <v>13039</v>
      </c>
      <c r="CJ39">
        <v>3365</v>
      </c>
      <c r="CK39">
        <v>10072</v>
      </c>
      <c r="CL39">
        <v>2610</v>
      </c>
      <c r="CM39">
        <v>0</v>
      </c>
      <c r="CN39">
        <v>0</v>
      </c>
      <c r="CO39">
        <v>17955</v>
      </c>
      <c r="CP39">
        <v>5555</v>
      </c>
      <c r="CQ39">
        <v>36872</v>
      </c>
      <c r="CR39">
        <v>22041</v>
      </c>
      <c r="CS39">
        <v>13422</v>
      </c>
      <c r="CT39">
        <v>488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17995</v>
      </c>
      <c r="DD39">
        <v>7835</v>
      </c>
      <c r="DE39">
        <v>2514</v>
      </c>
      <c r="DF39">
        <v>1073</v>
      </c>
      <c r="DG39">
        <v>838</v>
      </c>
      <c r="DH39">
        <v>2635</v>
      </c>
      <c r="DI39">
        <v>0</v>
      </c>
      <c r="DJ39">
        <v>1666</v>
      </c>
      <c r="DK39">
        <v>8624</v>
      </c>
      <c r="DL39">
        <v>1238</v>
      </c>
      <c r="DM39">
        <v>4588</v>
      </c>
      <c r="DN39">
        <v>3020</v>
      </c>
      <c r="DO39">
        <v>0</v>
      </c>
      <c r="DP39">
        <v>0</v>
      </c>
      <c r="DQ39">
        <v>221</v>
      </c>
      <c r="DR39">
        <v>13320</v>
      </c>
      <c r="DS39">
        <v>1771</v>
      </c>
      <c r="DT39">
        <v>21</v>
      </c>
      <c r="DU39">
        <v>3248</v>
      </c>
      <c r="DV39">
        <v>8403</v>
      </c>
      <c r="DW39">
        <v>0</v>
      </c>
      <c r="DX39">
        <v>27040</v>
      </c>
      <c r="DY39">
        <v>12329</v>
      </c>
      <c r="DZ39">
        <v>8785</v>
      </c>
      <c r="EA39">
        <v>4820</v>
      </c>
      <c r="EB39">
        <v>1719</v>
      </c>
      <c r="EC39">
        <v>402</v>
      </c>
      <c r="ED39">
        <v>0</v>
      </c>
      <c r="EE39">
        <v>1062</v>
      </c>
      <c r="EF39">
        <v>34232</v>
      </c>
      <c r="EG39">
        <v>23039</v>
      </c>
      <c r="EH39">
        <v>3872</v>
      </c>
      <c r="EI39">
        <v>849</v>
      </c>
      <c r="EJ39">
        <v>0</v>
      </c>
      <c r="EK39">
        <v>0</v>
      </c>
      <c r="EL39">
        <v>2777</v>
      </c>
      <c r="EM39">
        <v>20241</v>
      </c>
      <c r="EN39">
        <v>2664</v>
      </c>
      <c r="EO39">
        <v>2911</v>
      </c>
      <c r="EP39">
        <v>3615</v>
      </c>
      <c r="EQ39">
        <v>1701</v>
      </c>
      <c r="ER39">
        <v>0</v>
      </c>
      <c r="ES39">
        <v>116</v>
      </c>
      <c r="ET39">
        <v>5058</v>
      </c>
      <c r="EU39">
        <v>14065</v>
      </c>
      <c r="EV39">
        <v>13920</v>
      </c>
      <c r="EW39">
        <v>6306</v>
      </c>
      <c r="EX39">
        <v>20104</v>
      </c>
      <c r="EY39">
        <v>0</v>
      </c>
      <c r="EZ39">
        <v>36015</v>
      </c>
      <c r="FA39">
        <v>27666</v>
      </c>
      <c r="FB39">
        <v>4610</v>
      </c>
      <c r="FC39">
        <v>3645</v>
      </c>
      <c r="FD39">
        <v>6370</v>
      </c>
      <c r="FE39">
        <v>18334</v>
      </c>
      <c r="FF39">
        <v>0</v>
      </c>
      <c r="FG39">
        <v>3469</v>
      </c>
      <c r="FH39">
        <v>280</v>
      </c>
      <c r="FI39">
        <v>23525</v>
      </c>
      <c r="FJ39">
        <v>0</v>
      </c>
      <c r="FK39">
        <v>4677</v>
      </c>
      <c r="FL39">
        <v>0</v>
      </c>
      <c r="FM39">
        <v>0</v>
      </c>
      <c r="FN39">
        <v>4149</v>
      </c>
      <c r="FO39">
        <v>5419</v>
      </c>
      <c r="FP39">
        <v>7050</v>
      </c>
      <c r="FQ39">
        <v>8324</v>
      </c>
      <c r="FR39">
        <v>509</v>
      </c>
      <c r="FS39">
        <v>0</v>
      </c>
      <c r="FT39">
        <v>0</v>
      </c>
      <c r="FU39">
        <v>0</v>
      </c>
      <c r="FV39">
        <v>0</v>
      </c>
      <c r="FW39">
        <v>30700</v>
      </c>
      <c r="FX39">
        <v>1723</v>
      </c>
      <c r="FY39">
        <v>8102</v>
      </c>
      <c r="FZ39">
        <v>6855</v>
      </c>
      <c r="GA39">
        <v>0</v>
      </c>
      <c r="GB39">
        <v>27035</v>
      </c>
      <c r="GC39">
        <v>2163</v>
      </c>
      <c r="GD39">
        <v>2061</v>
      </c>
      <c r="GE39">
        <v>1694</v>
      </c>
      <c r="GF39">
        <v>6327</v>
      </c>
      <c r="GG39">
        <v>7046</v>
      </c>
      <c r="GH39">
        <v>0</v>
      </c>
      <c r="GI39">
        <v>53101</v>
      </c>
      <c r="GJ39">
        <v>27657</v>
      </c>
      <c r="GK39">
        <v>0</v>
      </c>
      <c r="GL39">
        <v>9136</v>
      </c>
      <c r="GM39">
        <v>7186</v>
      </c>
      <c r="GN39">
        <v>0</v>
      </c>
      <c r="GO39">
        <v>0</v>
      </c>
      <c r="GP39">
        <v>3074</v>
      </c>
      <c r="GQ39">
        <v>12484</v>
      </c>
      <c r="GR39">
        <v>9184</v>
      </c>
      <c r="GS39">
        <v>7136</v>
      </c>
      <c r="GT39">
        <v>20656</v>
      </c>
      <c r="GU39">
        <v>16929</v>
      </c>
      <c r="GV39">
        <v>0</v>
      </c>
      <c r="GW39">
        <v>20064</v>
      </c>
      <c r="GX39">
        <v>25586</v>
      </c>
      <c r="GY39">
        <v>1995</v>
      </c>
      <c r="GZ39">
        <v>3150</v>
      </c>
      <c r="HA39">
        <v>14011</v>
      </c>
      <c r="HB39">
        <v>36421</v>
      </c>
      <c r="HC39">
        <v>0</v>
      </c>
      <c r="HD39">
        <v>49</v>
      </c>
      <c r="HE39">
        <v>7711</v>
      </c>
      <c r="HF39">
        <v>0</v>
      </c>
      <c r="HG39">
        <v>5195</v>
      </c>
      <c r="HH39">
        <v>2481</v>
      </c>
      <c r="HI39">
        <v>10433</v>
      </c>
      <c r="HJ39">
        <v>0</v>
      </c>
      <c r="HK39">
        <v>18500</v>
      </c>
      <c r="HL39">
        <v>32036</v>
      </c>
      <c r="HM39">
        <v>5595</v>
      </c>
      <c r="HN39">
        <v>4931</v>
      </c>
      <c r="HO39">
        <v>5655</v>
      </c>
      <c r="HP39">
        <v>20734</v>
      </c>
      <c r="HQ39">
        <v>0</v>
      </c>
      <c r="HR39">
        <v>0</v>
      </c>
      <c r="HS39">
        <v>18693</v>
      </c>
      <c r="HT39">
        <v>2694</v>
      </c>
      <c r="HU39">
        <v>7543</v>
      </c>
      <c r="HV39">
        <v>5748</v>
      </c>
      <c r="HW39">
        <v>2372</v>
      </c>
      <c r="HX39">
        <v>0</v>
      </c>
      <c r="HY39">
        <v>27223</v>
      </c>
      <c r="HZ39">
        <v>3834</v>
      </c>
      <c r="IA39">
        <v>0</v>
      </c>
      <c r="IB39">
        <v>9372</v>
      </c>
      <c r="IC39">
        <v>3149</v>
      </c>
      <c r="ID39">
        <v>0</v>
      </c>
      <c r="IE39">
        <v>0</v>
      </c>
      <c r="IF39">
        <v>1</v>
      </c>
      <c r="IG39">
        <v>1953</v>
      </c>
      <c r="IH39">
        <v>4351</v>
      </c>
      <c r="II39">
        <v>5420</v>
      </c>
      <c r="IJ39">
        <v>926</v>
      </c>
      <c r="IK39">
        <v>0</v>
      </c>
      <c r="IL39">
        <v>0</v>
      </c>
      <c r="IM39">
        <v>0</v>
      </c>
      <c r="IN39">
        <v>2383</v>
      </c>
      <c r="IO39">
        <v>5645</v>
      </c>
      <c r="IP39">
        <v>1783</v>
      </c>
      <c r="IQ39">
        <v>11771</v>
      </c>
      <c r="IR39">
        <v>10903</v>
      </c>
      <c r="IS39">
        <v>0</v>
      </c>
      <c r="IT39">
        <v>2307</v>
      </c>
      <c r="IU39">
        <v>3117</v>
      </c>
      <c r="IV39">
        <v>2076</v>
      </c>
      <c r="IW39">
        <v>2212</v>
      </c>
      <c r="IX39">
        <v>5488</v>
      </c>
      <c r="IY39">
        <v>0</v>
      </c>
      <c r="IZ39">
        <v>0</v>
      </c>
      <c r="JA39">
        <v>2</v>
      </c>
      <c r="JB39">
        <v>2679</v>
      </c>
      <c r="JC39">
        <v>44369</v>
      </c>
      <c r="JD39">
        <v>2895</v>
      </c>
      <c r="JE39">
        <v>1828</v>
      </c>
      <c r="JF39">
        <v>0</v>
      </c>
      <c r="JG39">
        <v>0</v>
      </c>
      <c r="JH39">
        <v>4892</v>
      </c>
      <c r="JI39">
        <v>12446</v>
      </c>
      <c r="JJ39">
        <v>1472</v>
      </c>
      <c r="JK39">
        <v>2150</v>
      </c>
      <c r="JL39">
        <v>3284</v>
      </c>
      <c r="JM39">
        <v>0</v>
      </c>
      <c r="JN39">
        <v>0</v>
      </c>
      <c r="JO39">
        <v>8965</v>
      </c>
      <c r="JP39">
        <v>788</v>
      </c>
      <c r="JQ39">
        <v>9884</v>
      </c>
      <c r="JR39">
        <v>1226</v>
      </c>
      <c r="JS39">
        <v>7453</v>
      </c>
      <c r="JT39">
        <v>0</v>
      </c>
      <c r="JU39">
        <v>0</v>
      </c>
      <c r="JV39">
        <v>1346</v>
      </c>
      <c r="JW39">
        <v>2752</v>
      </c>
      <c r="JX39">
        <v>0</v>
      </c>
      <c r="JY39">
        <v>1152</v>
      </c>
      <c r="JZ39">
        <v>2706</v>
      </c>
      <c r="KA39">
        <v>0</v>
      </c>
      <c r="KB39">
        <v>0</v>
      </c>
      <c r="KC39">
        <v>579</v>
      </c>
      <c r="KD39">
        <v>2802</v>
      </c>
      <c r="KE39">
        <v>1458</v>
      </c>
      <c r="KF39">
        <v>1175</v>
      </c>
      <c r="KG39">
        <v>2534</v>
      </c>
      <c r="KH39">
        <v>385</v>
      </c>
      <c r="KI39">
        <v>0</v>
      </c>
      <c r="KJ39">
        <v>0</v>
      </c>
      <c r="KK39">
        <v>3408</v>
      </c>
      <c r="KL39">
        <v>510</v>
      </c>
      <c r="KM39">
        <v>3400</v>
      </c>
      <c r="KN39">
        <v>10353</v>
      </c>
      <c r="KO39">
        <v>0</v>
      </c>
      <c r="KP39">
        <v>0</v>
      </c>
      <c r="KQ39">
        <v>1049</v>
      </c>
      <c r="KR39">
        <v>1466</v>
      </c>
      <c r="KS39">
        <v>1073</v>
      </c>
      <c r="KT39">
        <v>7283</v>
      </c>
      <c r="KU39">
        <v>23346</v>
      </c>
      <c r="KV39">
        <v>0</v>
      </c>
      <c r="KW39">
        <v>0</v>
      </c>
      <c r="KX39">
        <v>3128</v>
      </c>
      <c r="KY39">
        <v>8110</v>
      </c>
      <c r="KZ39">
        <v>2858</v>
      </c>
      <c r="LA39">
        <v>15211</v>
      </c>
      <c r="LB39">
        <v>9347</v>
      </c>
      <c r="LC39">
        <v>6864</v>
      </c>
      <c r="LD39">
        <v>0</v>
      </c>
      <c r="LE39">
        <v>3882</v>
      </c>
      <c r="LF39">
        <v>44086</v>
      </c>
      <c r="LG39">
        <v>1848</v>
      </c>
      <c r="LH39">
        <v>1842</v>
      </c>
      <c r="LI39">
        <v>15469</v>
      </c>
      <c r="LJ39">
        <v>6021</v>
      </c>
      <c r="LK39">
        <v>0</v>
      </c>
      <c r="LL39">
        <v>11860</v>
      </c>
      <c r="LM39">
        <v>3341</v>
      </c>
      <c r="LN39">
        <v>7799</v>
      </c>
      <c r="LO39">
        <v>24483</v>
      </c>
      <c r="LP39">
        <v>11205</v>
      </c>
      <c r="LQ39">
        <v>0</v>
      </c>
      <c r="LR39">
        <v>0</v>
      </c>
      <c r="LS39">
        <v>2930</v>
      </c>
      <c r="LT39">
        <v>678</v>
      </c>
      <c r="LU39">
        <v>0</v>
      </c>
      <c r="LV39">
        <v>17558</v>
      </c>
      <c r="LW39">
        <v>8935</v>
      </c>
      <c r="LX39">
        <v>0</v>
      </c>
      <c r="LY39">
        <v>0</v>
      </c>
      <c r="LZ39">
        <v>4023</v>
      </c>
      <c r="MA39">
        <v>980</v>
      </c>
      <c r="MB39">
        <v>410</v>
      </c>
      <c r="MC39">
        <v>659</v>
      </c>
      <c r="MD39">
        <v>1937</v>
      </c>
      <c r="ME39">
        <v>501</v>
      </c>
      <c r="MF39">
        <v>0</v>
      </c>
      <c r="MG39">
        <v>8096</v>
      </c>
      <c r="MH39">
        <v>7</v>
      </c>
      <c r="MI39">
        <v>0</v>
      </c>
      <c r="MJ39">
        <v>8587</v>
      </c>
      <c r="MK39">
        <v>4043</v>
      </c>
      <c r="ML39">
        <v>0</v>
      </c>
      <c r="MM39">
        <v>0</v>
      </c>
      <c r="MN39">
        <v>0</v>
      </c>
      <c r="MO39">
        <v>38350</v>
      </c>
      <c r="MP39">
        <v>12724</v>
      </c>
      <c r="MQ39">
        <v>1200</v>
      </c>
      <c r="MR39">
        <v>7876</v>
      </c>
      <c r="MS39">
        <v>6236</v>
      </c>
      <c r="MT39">
        <v>0</v>
      </c>
      <c r="MU39">
        <v>0</v>
      </c>
      <c r="MV39">
        <v>23005</v>
      </c>
      <c r="MW39">
        <v>38</v>
      </c>
      <c r="MX39">
        <v>0</v>
      </c>
      <c r="MY39">
        <v>0</v>
      </c>
      <c r="MZ39">
        <v>0</v>
      </c>
      <c r="NA39">
        <v>0</v>
      </c>
      <c r="NB39">
        <v>390</v>
      </c>
      <c r="NC39">
        <v>4149</v>
      </c>
      <c r="ND39">
        <v>0</v>
      </c>
      <c r="NE39">
        <v>6889</v>
      </c>
      <c r="NF39">
        <v>16060</v>
      </c>
      <c r="NG39">
        <v>0</v>
      </c>
      <c r="NH39">
        <v>0</v>
      </c>
      <c r="NI39">
        <v>2993</v>
      </c>
      <c r="NJ39">
        <v>6949</v>
      </c>
      <c r="NK39">
        <v>90888</v>
      </c>
      <c r="NL39">
        <v>97839</v>
      </c>
      <c r="NM39">
        <v>6425</v>
      </c>
      <c r="NN39">
        <v>0</v>
      </c>
      <c r="NO39">
        <v>0</v>
      </c>
      <c r="NP39">
        <v>582</v>
      </c>
      <c r="NQ39">
        <v>1296</v>
      </c>
      <c r="NR39">
        <v>865</v>
      </c>
      <c r="NS39">
        <v>4175</v>
      </c>
      <c r="NT39">
        <v>8083</v>
      </c>
      <c r="NU39">
        <v>0</v>
      </c>
      <c r="NV39">
        <v>0</v>
      </c>
      <c r="NW39">
        <v>465</v>
      </c>
      <c r="NX39">
        <v>969</v>
      </c>
      <c r="NY39">
        <v>504</v>
      </c>
      <c r="NZ39">
        <v>7839</v>
      </c>
      <c r="OA39">
        <v>972</v>
      </c>
      <c r="OB39">
        <v>0</v>
      </c>
      <c r="OC39">
        <v>0</v>
      </c>
      <c r="OD39">
        <v>248</v>
      </c>
      <c r="OE39">
        <v>104</v>
      </c>
      <c r="OF39">
        <v>3198</v>
      </c>
      <c r="OG39">
        <v>0</v>
      </c>
      <c r="OH39">
        <v>2302</v>
      </c>
      <c r="OI39">
        <v>0</v>
      </c>
      <c r="OJ39">
        <v>0</v>
      </c>
      <c r="OK39">
        <v>6394</v>
      </c>
      <c r="OL39">
        <v>6049</v>
      </c>
      <c r="OM39">
        <v>77137</v>
      </c>
      <c r="ON39">
        <v>21268</v>
      </c>
      <c r="OO39">
        <v>1630</v>
      </c>
      <c r="OP39">
        <v>0</v>
      </c>
      <c r="OQ39">
        <v>0</v>
      </c>
      <c r="OR39">
        <v>0</v>
      </c>
      <c r="OS39">
        <v>2178</v>
      </c>
      <c r="OT39">
        <v>930</v>
      </c>
      <c r="OU39">
        <v>0</v>
      </c>
      <c r="OV39">
        <v>25054</v>
      </c>
      <c r="OW39">
        <v>0</v>
      </c>
      <c r="OX39">
        <v>0</v>
      </c>
      <c r="OY39">
        <v>57486</v>
      </c>
      <c r="OZ39">
        <v>150</v>
      </c>
      <c r="PA39">
        <v>81988</v>
      </c>
      <c r="PB39">
        <v>0</v>
      </c>
      <c r="PC39">
        <v>2095</v>
      </c>
      <c r="PD39">
        <v>0</v>
      </c>
      <c r="PE39">
        <v>0</v>
      </c>
      <c r="PF39">
        <v>0</v>
      </c>
      <c r="PG39">
        <v>106</v>
      </c>
      <c r="PH39">
        <v>448</v>
      </c>
      <c r="PI39">
        <v>0</v>
      </c>
      <c r="PJ39">
        <v>0</v>
      </c>
      <c r="PK39">
        <v>0</v>
      </c>
      <c r="PL39">
        <v>0</v>
      </c>
      <c r="PM39">
        <v>17800</v>
      </c>
      <c r="PN39">
        <v>3953</v>
      </c>
      <c r="PO39">
        <v>6321</v>
      </c>
      <c r="PP39">
        <v>36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320</v>
      </c>
      <c r="QB39">
        <v>30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 s="134">
        <v>0</v>
      </c>
      <c r="AGL39" s="134">
        <v>0</v>
      </c>
      <c r="AGM39" s="134">
        <v>0</v>
      </c>
      <c r="AGN39" s="134">
        <v>0</v>
      </c>
      <c r="AGO39" s="134">
        <v>0</v>
      </c>
      <c r="AGP39" s="134">
        <v>0</v>
      </c>
      <c r="AGQ39" s="134">
        <v>0</v>
      </c>
      <c r="AGR39" s="134">
        <v>0</v>
      </c>
      <c r="AGS39" s="134">
        <v>0</v>
      </c>
      <c r="AGT39" s="134">
        <v>0</v>
      </c>
      <c r="AGU39" s="134">
        <v>0</v>
      </c>
      <c r="AGV39" s="134">
        <v>0</v>
      </c>
      <c r="AGW39" s="134">
        <v>0</v>
      </c>
      <c r="AGX39" s="134">
        <v>0</v>
      </c>
      <c r="AGY39" s="134">
        <v>0</v>
      </c>
      <c r="AGZ39" s="134">
        <v>0</v>
      </c>
      <c r="AHA39" s="134">
        <v>0</v>
      </c>
      <c r="AHB39" s="134">
        <v>0</v>
      </c>
      <c r="AHC39" s="134">
        <v>0</v>
      </c>
      <c r="AHD39" s="134">
        <v>0</v>
      </c>
      <c r="AHE39" s="134">
        <v>0</v>
      </c>
      <c r="AHF39" s="134"/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 s="31">
        <v>0</v>
      </c>
      <c r="AJS39" s="31">
        <v>0</v>
      </c>
      <c r="AJT39" s="31">
        <v>0</v>
      </c>
      <c r="AJU39" s="31">
        <v>0</v>
      </c>
      <c r="AJV39" s="31">
        <v>0</v>
      </c>
      <c r="AJW39" s="31">
        <v>0</v>
      </c>
      <c r="AJX39" s="31">
        <v>0</v>
      </c>
      <c r="AJY39" s="31">
        <v>0</v>
      </c>
      <c r="AJZ39" s="31">
        <v>0</v>
      </c>
      <c r="AKA39" s="31">
        <v>0</v>
      </c>
      <c r="AKB39">
        <v>0</v>
      </c>
      <c r="AKC39">
        <v>0</v>
      </c>
      <c r="AKD39">
        <v>0</v>
      </c>
      <c r="AKE39">
        <v>0</v>
      </c>
      <c r="AKF39">
        <v>0</v>
      </c>
    </row>
    <row r="40" spans="1:968" s="8" customFormat="1">
      <c r="C40" s="9">
        <v>82611</v>
      </c>
      <c r="D40" s="9" t="s">
        <v>28</v>
      </c>
      <c r="E40" s="9" t="s">
        <v>131</v>
      </c>
      <c r="F40" s="10"/>
      <c r="G40" s="10"/>
      <c r="H40" s="10"/>
      <c r="I40" s="10"/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BU40" s="34"/>
      <c r="BV40" s="34"/>
      <c r="BW40" s="34"/>
      <c r="BX40" s="34"/>
      <c r="BY40" s="34"/>
      <c r="BZ40" s="34"/>
      <c r="CA40" s="34"/>
      <c r="CB40" s="34"/>
      <c r="CC40" s="34"/>
      <c r="CD40" s="34"/>
      <c r="CE40" s="34"/>
      <c r="CF40" s="34"/>
      <c r="CG40" s="34"/>
      <c r="AEU40" s="8">
        <v>0</v>
      </c>
    </row>
    <row r="41" spans="1:968">
      <c r="A41">
        <v>1</v>
      </c>
      <c r="B41" t="s">
        <v>132</v>
      </c>
      <c r="C41" s="1">
        <v>82611</v>
      </c>
      <c r="D41" s="1" t="s">
        <v>28</v>
      </c>
      <c r="E41" s="1" t="s">
        <v>131</v>
      </c>
      <c r="F41" s="1" t="s">
        <v>131</v>
      </c>
      <c r="G41" s="1" t="s">
        <v>33</v>
      </c>
      <c r="H41" s="1" t="s">
        <v>21</v>
      </c>
      <c r="I41" s="1" t="s">
        <v>133</v>
      </c>
      <c r="J41" s="30" t="s">
        <v>46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454</v>
      </c>
      <c r="BW41">
        <v>768</v>
      </c>
      <c r="BX41">
        <v>576</v>
      </c>
      <c r="BY41">
        <v>10129</v>
      </c>
      <c r="BZ41">
        <v>0</v>
      </c>
      <c r="CA41">
        <v>0</v>
      </c>
      <c r="CB41">
        <v>19880</v>
      </c>
      <c r="CC41">
        <v>18987</v>
      </c>
      <c r="CD41">
        <v>5742</v>
      </c>
      <c r="CE41">
        <v>5200</v>
      </c>
      <c r="CF41">
        <v>8193</v>
      </c>
      <c r="CG41">
        <v>0</v>
      </c>
      <c r="CH41">
        <v>8313</v>
      </c>
      <c r="CI41">
        <v>4806</v>
      </c>
      <c r="CJ41">
        <v>11415</v>
      </c>
      <c r="CK41">
        <v>15604</v>
      </c>
      <c r="CL41">
        <v>31044</v>
      </c>
      <c r="CM41">
        <v>0</v>
      </c>
      <c r="CN41">
        <v>0</v>
      </c>
      <c r="CO41">
        <v>12912</v>
      </c>
      <c r="CP41">
        <v>33878</v>
      </c>
      <c r="CQ41">
        <v>83149</v>
      </c>
      <c r="CR41">
        <v>31393</v>
      </c>
      <c r="CS41">
        <v>7343</v>
      </c>
      <c r="CT41">
        <v>0</v>
      </c>
      <c r="CU41">
        <v>0</v>
      </c>
      <c r="CV41">
        <v>298</v>
      </c>
      <c r="CW41">
        <v>43572</v>
      </c>
      <c r="CX41">
        <v>1377</v>
      </c>
      <c r="CY41">
        <v>1500</v>
      </c>
      <c r="CZ41">
        <v>637</v>
      </c>
      <c r="DA41">
        <v>2</v>
      </c>
      <c r="DB41">
        <v>0</v>
      </c>
      <c r="DC41">
        <v>25135</v>
      </c>
      <c r="DD41">
        <v>5077</v>
      </c>
      <c r="DE41">
        <v>5934</v>
      </c>
      <c r="DF41">
        <v>14984</v>
      </c>
      <c r="DG41">
        <v>27304</v>
      </c>
      <c r="DH41">
        <v>10276</v>
      </c>
      <c r="DI41">
        <v>0</v>
      </c>
      <c r="DJ41">
        <v>224661</v>
      </c>
      <c r="DK41">
        <v>11117</v>
      </c>
      <c r="DL41">
        <v>37864</v>
      </c>
      <c r="DM41">
        <v>10918</v>
      </c>
      <c r="DN41">
        <v>31560</v>
      </c>
      <c r="DO41">
        <v>36083</v>
      </c>
      <c r="DQ41">
        <v>32249</v>
      </c>
      <c r="DR41">
        <v>45209</v>
      </c>
      <c r="DS41">
        <v>22988</v>
      </c>
      <c r="DT41">
        <v>36432</v>
      </c>
      <c r="DU41">
        <v>13501</v>
      </c>
      <c r="DV41">
        <v>18879</v>
      </c>
      <c r="DW41">
        <v>34273</v>
      </c>
      <c r="DX41">
        <v>11578</v>
      </c>
      <c r="DY41">
        <v>21399</v>
      </c>
      <c r="DZ41">
        <v>31765</v>
      </c>
      <c r="EA41">
        <v>34548</v>
      </c>
      <c r="EB41">
        <v>25416</v>
      </c>
      <c r="EC41">
        <v>29520</v>
      </c>
      <c r="ED41">
        <v>0</v>
      </c>
      <c r="EE41">
        <v>42685</v>
      </c>
      <c r="EF41">
        <v>11408</v>
      </c>
      <c r="EG41">
        <v>5436</v>
      </c>
      <c r="EH41">
        <v>22609</v>
      </c>
      <c r="EI41">
        <v>32240</v>
      </c>
      <c r="EJ41">
        <v>23155</v>
      </c>
      <c r="EK41">
        <v>0</v>
      </c>
      <c r="EL41">
        <v>2508</v>
      </c>
      <c r="EM41">
        <v>7923</v>
      </c>
      <c r="EN41">
        <v>18075</v>
      </c>
      <c r="EO41">
        <v>16043</v>
      </c>
      <c r="EP41">
        <v>94905</v>
      </c>
      <c r="EQ41">
        <v>12538</v>
      </c>
      <c r="ER41">
        <v>0</v>
      </c>
      <c r="ES41">
        <v>20221</v>
      </c>
      <c r="ET41">
        <v>17332</v>
      </c>
      <c r="EU41">
        <v>24307</v>
      </c>
      <c r="EV41">
        <v>7059</v>
      </c>
      <c r="EW41">
        <v>11455</v>
      </c>
      <c r="EX41">
        <v>18892</v>
      </c>
      <c r="EY41">
        <v>0</v>
      </c>
      <c r="EZ41">
        <v>11580</v>
      </c>
      <c r="FA41">
        <v>53355</v>
      </c>
      <c r="FB41">
        <v>47826</v>
      </c>
      <c r="FC41">
        <v>57182</v>
      </c>
      <c r="FD41">
        <v>12713</v>
      </c>
      <c r="FE41">
        <v>8397</v>
      </c>
      <c r="FF41">
        <v>0</v>
      </c>
      <c r="FG41">
        <v>18158</v>
      </c>
      <c r="FH41">
        <v>25301</v>
      </c>
      <c r="FI41">
        <v>8750</v>
      </c>
      <c r="FJ41">
        <v>9553</v>
      </c>
      <c r="FK41">
        <v>85663</v>
      </c>
      <c r="FL41">
        <v>10060</v>
      </c>
      <c r="FM41">
        <v>0</v>
      </c>
      <c r="FN41">
        <v>8368</v>
      </c>
      <c r="FO41">
        <v>48106</v>
      </c>
      <c r="FP41">
        <v>24637</v>
      </c>
      <c r="FQ41">
        <v>19113</v>
      </c>
      <c r="FR41">
        <v>41518</v>
      </c>
      <c r="FS41">
        <v>0</v>
      </c>
      <c r="FT41">
        <v>0</v>
      </c>
      <c r="FU41">
        <v>0</v>
      </c>
      <c r="FV41">
        <v>33</v>
      </c>
      <c r="FW41">
        <v>9030</v>
      </c>
      <c r="FX41">
        <v>11929</v>
      </c>
      <c r="FY41">
        <v>115590</v>
      </c>
      <c r="FZ41">
        <v>31120</v>
      </c>
      <c r="GA41">
        <v>875</v>
      </c>
      <c r="GB41">
        <v>34058</v>
      </c>
      <c r="GC41">
        <v>17061</v>
      </c>
      <c r="GD41">
        <v>5724</v>
      </c>
      <c r="GE41">
        <v>36009</v>
      </c>
      <c r="GF41">
        <v>13618</v>
      </c>
      <c r="GG41">
        <v>7036</v>
      </c>
      <c r="GH41">
        <v>1713</v>
      </c>
      <c r="GI41">
        <v>34028</v>
      </c>
      <c r="GJ41">
        <v>11523</v>
      </c>
      <c r="GK41">
        <v>0</v>
      </c>
      <c r="GL41">
        <v>60539</v>
      </c>
      <c r="GM41">
        <v>29079</v>
      </c>
      <c r="GN41">
        <v>1</v>
      </c>
      <c r="GO41">
        <v>6589</v>
      </c>
      <c r="GP41">
        <v>6243</v>
      </c>
      <c r="GQ41">
        <v>31617</v>
      </c>
      <c r="GR41">
        <v>24126</v>
      </c>
      <c r="GS41">
        <v>20262</v>
      </c>
      <c r="GT41">
        <v>19771</v>
      </c>
      <c r="GU41">
        <v>22790</v>
      </c>
      <c r="GV41">
        <v>3323</v>
      </c>
      <c r="GW41">
        <v>11618</v>
      </c>
      <c r="GX41">
        <v>36816</v>
      </c>
      <c r="GY41">
        <v>21650</v>
      </c>
      <c r="GZ41">
        <v>16737</v>
      </c>
      <c r="HA41">
        <v>9907</v>
      </c>
      <c r="HB41">
        <v>15251</v>
      </c>
      <c r="HC41">
        <v>49904</v>
      </c>
      <c r="HD41">
        <v>49289</v>
      </c>
      <c r="HE41">
        <v>36672</v>
      </c>
      <c r="HF41">
        <v>53299</v>
      </c>
      <c r="HG41">
        <v>89688</v>
      </c>
      <c r="HH41">
        <v>28241</v>
      </c>
      <c r="HI41">
        <v>774</v>
      </c>
      <c r="HK41">
        <v>2172</v>
      </c>
      <c r="HL41">
        <v>14703</v>
      </c>
      <c r="HM41">
        <v>17126</v>
      </c>
      <c r="HN41">
        <v>2470</v>
      </c>
      <c r="HO41">
        <v>3797</v>
      </c>
      <c r="HP41">
        <v>5640</v>
      </c>
      <c r="HQ41">
        <v>0</v>
      </c>
      <c r="HR41">
        <v>0</v>
      </c>
      <c r="HS41">
        <v>60497</v>
      </c>
      <c r="HT41">
        <v>54066</v>
      </c>
      <c r="HU41">
        <v>14410</v>
      </c>
      <c r="HV41">
        <v>39721</v>
      </c>
      <c r="HW41">
        <v>13300</v>
      </c>
      <c r="HY41">
        <v>15620</v>
      </c>
      <c r="HZ41">
        <v>40384</v>
      </c>
      <c r="IA41">
        <v>6878</v>
      </c>
      <c r="IB41">
        <v>19997</v>
      </c>
      <c r="IC41">
        <v>9651</v>
      </c>
      <c r="ID41">
        <v>9835</v>
      </c>
      <c r="IE41">
        <v>17093</v>
      </c>
      <c r="IF41">
        <v>15948</v>
      </c>
      <c r="IG41">
        <v>22677</v>
      </c>
      <c r="IH41">
        <v>9784</v>
      </c>
      <c r="II41">
        <v>71238</v>
      </c>
      <c r="IJ41">
        <v>14519</v>
      </c>
      <c r="IK41">
        <v>6949</v>
      </c>
      <c r="IL41">
        <v>0</v>
      </c>
      <c r="IM41">
        <v>21701</v>
      </c>
      <c r="IT41">
        <v>77355</v>
      </c>
      <c r="IU41">
        <v>34194</v>
      </c>
      <c r="IV41">
        <v>34603</v>
      </c>
      <c r="IW41">
        <v>14014</v>
      </c>
      <c r="IX41">
        <v>25676</v>
      </c>
      <c r="IY41">
        <v>19942</v>
      </c>
      <c r="IZ41">
        <v>9167</v>
      </c>
      <c r="JA41">
        <v>9098</v>
      </c>
      <c r="JB41">
        <v>99340</v>
      </c>
      <c r="JC41">
        <v>21901</v>
      </c>
      <c r="JD41">
        <v>16065</v>
      </c>
      <c r="JE41">
        <v>36036</v>
      </c>
      <c r="JF41">
        <v>6800</v>
      </c>
      <c r="JG41">
        <v>17322</v>
      </c>
      <c r="JH41">
        <v>13490</v>
      </c>
      <c r="JI41">
        <v>6625</v>
      </c>
      <c r="JJ41">
        <v>26651</v>
      </c>
      <c r="JK41">
        <v>23309</v>
      </c>
      <c r="JL41">
        <v>12100</v>
      </c>
      <c r="JM41">
        <v>5377</v>
      </c>
      <c r="JN41">
        <v>0</v>
      </c>
      <c r="JO41">
        <v>58777</v>
      </c>
      <c r="JP41">
        <v>7500</v>
      </c>
      <c r="JQ41">
        <v>14392</v>
      </c>
      <c r="JR41">
        <v>9958</v>
      </c>
      <c r="JS41">
        <v>4013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1026</v>
      </c>
      <c r="KA41">
        <v>116049</v>
      </c>
      <c r="KB41">
        <v>503</v>
      </c>
      <c r="KC41">
        <v>33791</v>
      </c>
      <c r="KD41">
        <v>23836</v>
      </c>
      <c r="KE41">
        <v>39386</v>
      </c>
      <c r="KF41">
        <v>27415</v>
      </c>
      <c r="KG41">
        <v>29692</v>
      </c>
      <c r="KH41">
        <v>0</v>
      </c>
      <c r="KI41">
        <v>0</v>
      </c>
      <c r="KJ41">
        <v>0</v>
      </c>
      <c r="KK41">
        <v>25682</v>
      </c>
      <c r="KL41">
        <v>5666</v>
      </c>
      <c r="KM41">
        <v>21665</v>
      </c>
      <c r="KN41">
        <v>3487</v>
      </c>
      <c r="KO41">
        <v>6242</v>
      </c>
      <c r="KP41">
        <v>0</v>
      </c>
      <c r="KQ41">
        <v>24102</v>
      </c>
      <c r="KR41">
        <v>24056</v>
      </c>
      <c r="KS41">
        <v>75693</v>
      </c>
      <c r="KT41">
        <v>17298</v>
      </c>
      <c r="KU41">
        <v>16323</v>
      </c>
      <c r="KV41">
        <v>27994</v>
      </c>
      <c r="KW41">
        <v>2052</v>
      </c>
      <c r="KX41">
        <v>8348</v>
      </c>
      <c r="KY41">
        <v>17931</v>
      </c>
      <c r="KZ41">
        <v>6662</v>
      </c>
      <c r="LA41">
        <v>7391</v>
      </c>
      <c r="LB41">
        <v>1797</v>
      </c>
      <c r="LC41">
        <v>0</v>
      </c>
      <c r="LD41">
        <v>0</v>
      </c>
      <c r="LE41">
        <v>18559</v>
      </c>
      <c r="LF41">
        <v>22873</v>
      </c>
      <c r="LG41">
        <v>12586</v>
      </c>
      <c r="LH41">
        <v>17720</v>
      </c>
      <c r="LI41">
        <v>17402</v>
      </c>
      <c r="LJ41">
        <v>22580</v>
      </c>
      <c r="LK41">
        <v>0</v>
      </c>
      <c r="LL41">
        <v>5709</v>
      </c>
      <c r="LM41">
        <v>16016</v>
      </c>
      <c r="LN41">
        <v>43253</v>
      </c>
      <c r="LO41">
        <v>97060</v>
      </c>
      <c r="LP41">
        <v>44089</v>
      </c>
      <c r="LQ41">
        <v>18072</v>
      </c>
      <c r="LR41">
        <v>89195</v>
      </c>
      <c r="LS41">
        <v>64307</v>
      </c>
      <c r="LT41">
        <v>69551</v>
      </c>
      <c r="LU41">
        <v>236317</v>
      </c>
      <c r="LV41">
        <v>134273</v>
      </c>
      <c r="LW41">
        <v>123897</v>
      </c>
      <c r="LX41">
        <v>53512</v>
      </c>
      <c r="LY41">
        <v>656</v>
      </c>
      <c r="LZ41">
        <v>4445</v>
      </c>
      <c r="MA41">
        <v>14558</v>
      </c>
      <c r="MB41">
        <v>12839</v>
      </c>
      <c r="MC41">
        <v>2645</v>
      </c>
      <c r="MD41">
        <v>2463</v>
      </c>
      <c r="ME41">
        <v>2449</v>
      </c>
      <c r="MF41">
        <v>1582</v>
      </c>
      <c r="MG41">
        <v>19552</v>
      </c>
      <c r="MH41">
        <v>7157</v>
      </c>
      <c r="MI41">
        <v>58916</v>
      </c>
      <c r="MJ41">
        <v>69594</v>
      </c>
      <c r="MK41">
        <v>90171</v>
      </c>
      <c r="ML41">
        <v>23684</v>
      </c>
      <c r="MM41">
        <v>0</v>
      </c>
      <c r="MN41">
        <v>32672</v>
      </c>
      <c r="MO41">
        <v>48057</v>
      </c>
      <c r="MP41">
        <v>27864</v>
      </c>
      <c r="MQ41">
        <v>92231</v>
      </c>
      <c r="MR41">
        <v>66085</v>
      </c>
      <c r="MS41">
        <v>21191</v>
      </c>
      <c r="MT41">
        <v>5</v>
      </c>
      <c r="MU41">
        <v>19311</v>
      </c>
      <c r="MV41">
        <v>47394</v>
      </c>
      <c r="MW41">
        <v>2840</v>
      </c>
      <c r="MX41">
        <v>17424</v>
      </c>
      <c r="MY41">
        <v>21347</v>
      </c>
      <c r="MZ41">
        <v>72155</v>
      </c>
      <c r="NA41">
        <v>0</v>
      </c>
      <c r="NB41">
        <v>12915</v>
      </c>
      <c r="NC41">
        <v>20657</v>
      </c>
      <c r="ND41">
        <v>20035</v>
      </c>
      <c r="NE41">
        <v>99553</v>
      </c>
      <c r="NF41">
        <v>14337</v>
      </c>
      <c r="NG41">
        <v>17181</v>
      </c>
      <c r="NH41">
        <v>0</v>
      </c>
      <c r="NI41">
        <v>44069</v>
      </c>
      <c r="NJ41">
        <v>13150</v>
      </c>
      <c r="NK41">
        <v>22648</v>
      </c>
      <c r="NL41">
        <v>11012</v>
      </c>
      <c r="NM41">
        <v>79134</v>
      </c>
      <c r="NN41">
        <v>31174</v>
      </c>
      <c r="NO41">
        <v>11267</v>
      </c>
      <c r="NP41">
        <v>45529</v>
      </c>
      <c r="NQ41">
        <v>117228</v>
      </c>
      <c r="NR41">
        <v>50664</v>
      </c>
      <c r="NS41">
        <v>15794</v>
      </c>
      <c r="NT41">
        <v>90116</v>
      </c>
      <c r="NU41">
        <v>24330</v>
      </c>
      <c r="NV41">
        <v>0</v>
      </c>
      <c r="NW41">
        <v>23224</v>
      </c>
      <c r="NX41">
        <v>16958</v>
      </c>
      <c r="NY41">
        <v>18421</v>
      </c>
      <c r="NZ41">
        <v>33705</v>
      </c>
      <c r="OA41">
        <v>28200</v>
      </c>
      <c r="OB41">
        <v>9652</v>
      </c>
      <c r="OC41">
        <v>0</v>
      </c>
      <c r="OD41">
        <v>61101</v>
      </c>
      <c r="OE41">
        <v>400</v>
      </c>
      <c r="OF41">
        <v>6301</v>
      </c>
      <c r="OG41">
        <v>6645</v>
      </c>
      <c r="OH41">
        <v>2500</v>
      </c>
      <c r="OI41">
        <v>0</v>
      </c>
      <c r="OJ41">
        <v>0</v>
      </c>
      <c r="OK41">
        <v>17207</v>
      </c>
      <c r="OL41">
        <v>19890</v>
      </c>
      <c r="OM41">
        <v>30812</v>
      </c>
      <c r="ON41">
        <v>8532</v>
      </c>
      <c r="OO41">
        <v>13342</v>
      </c>
      <c r="OP41">
        <v>2623</v>
      </c>
      <c r="OQ41">
        <v>0</v>
      </c>
      <c r="OR41">
        <v>10858</v>
      </c>
      <c r="OS41">
        <v>21264</v>
      </c>
      <c r="OT41">
        <v>34859</v>
      </c>
      <c r="OU41">
        <v>45775</v>
      </c>
      <c r="OV41">
        <v>12335</v>
      </c>
      <c r="OW41">
        <v>0</v>
      </c>
      <c r="OX41">
        <v>0</v>
      </c>
      <c r="OY41">
        <v>11921</v>
      </c>
      <c r="OZ41">
        <v>46866</v>
      </c>
      <c r="PA41">
        <v>24859</v>
      </c>
      <c r="PB41">
        <v>27202</v>
      </c>
      <c r="PC41">
        <v>14673</v>
      </c>
      <c r="PD41">
        <v>51099</v>
      </c>
      <c r="PE41">
        <v>26898</v>
      </c>
      <c r="PF41">
        <v>14865</v>
      </c>
      <c r="PG41">
        <v>16086</v>
      </c>
      <c r="PH41">
        <v>1896</v>
      </c>
      <c r="PI41">
        <v>1360</v>
      </c>
      <c r="PJ41">
        <v>2574</v>
      </c>
      <c r="PK41">
        <v>0</v>
      </c>
      <c r="PL41">
        <v>0</v>
      </c>
      <c r="PM41">
        <v>0</v>
      </c>
      <c r="PN41">
        <v>3</v>
      </c>
      <c r="PO41">
        <v>9</v>
      </c>
      <c r="PP41">
        <v>23</v>
      </c>
      <c r="PQ41">
        <v>2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1926</v>
      </c>
      <c r="PX41">
        <v>18390</v>
      </c>
      <c r="PY41">
        <v>12353</v>
      </c>
      <c r="PZ41">
        <v>0</v>
      </c>
      <c r="QA41">
        <v>68590</v>
      </c>
      <c r="QB41">
        <v>99071</v>
      </c>
      <c r="QC41">
        <v>17178</v>
      </c>
      <c r="QD41">
        <v>22139</v>
      </c>
      <c r="QE41">
        <v>120104</v>
      </c>
      <c r="QF41">
        <v>15877</v>
      </c>
      <c r="QG41">
        <v>0</v>
      </c>
      <c r="QH41">
        <v>22691</v>
      </c>
      <c r="QI41">
        <v>15820</v>
      </c>
      <c r="QJ41">
        <v>20439</v>
      </c>
      <c r="QK41">
        <v>32658</v>
      </c>
      <c r="QL41">
        <v>35038</v>
      </c>
      <c r="QM41">
        <v>16265</v>
      </c>
      <c r="QN41">
        <v>0</v>
      </c>
      <c r="QO41">
        <v>8432</v>
      </c>
      <c r="QP41">
        <v>11253</v>
      </c>
      <c r="QQ41">
        <v>23271</v>
      </c>
      <c r="QR41">
        <v>17443</v>
      </c>
      <c r="QS41">
        <v>11854</v>
      </c>
      <c r="QT41">
        <v>10786</v>
      </c>
      <c r="QU41">
        <v>0</v>
      </c>
      <c r="QV41">
        <v>2729</v>
      </c>
      <c r="QW41">
        <v>6315</v>
      </c>
      <c r="QX41">
        <v>18007</v>
      </c>
      <c r="QY41">
        <v>4300</v>
      </c>
      <c r="QZ41">
        <v>9829</v>
      </c>
      <c r="RA41" s="33">
        <v>6397</v>
      </c>
      <c r="RB41" s="33">
        <v>0</v>
      </c>
      <c r="RC41" s="33">
        <v>21013</v>
      </c>
      <c r="RD41" s="33">
        <v>39266</v>
      </c>
      <c r="RE41" s="33">
        <v>53076</v>
      </c>
      <c r="RF41" s="33">
        <v>21661</v>
      </c>
      <c r="RG41" s="33">
        <v>51007</v>
      </c>
      <c r="RH41" s="33">
        <v>0</v>
      </c>
      <c r="RI41" s="33">
        <v>0</v>
      </c>
      <c r="RJ41" s="33">
        <v>42045</v>
      </c>
      <c r="RK41" s="33">
        <v>110644</v>
      </c>
      <c r="RL41" s="33">
        <v>53570</v>
      </c>
      <c r="RM41" s="33">
        <v>24099</v>
      </c>
      <c r="RN41" s="33">
        <v>25182</v>
      </c>
      <c r="RO41" s="33">
        <v>27687</v>
      </c>
      <c r="RP41" s="33">
        <v>13146</v>
      </c>
      <c r="RQ41" s="33">
        <v>17606</v>
      </c>
      <c r="RR41" s="33">
        <v>19485</v>
      </c>
      <c r="RS41" s="33">
        <v>35902</v>
      </c>
      <c r="RT41" s="33">
        <v>19463</v>
      </c>
      <c r="RU41" s="33">
        <v>15738</v>
      </c>
      <c r="RV41" s="33">
        <v>8890</v>
      </c>
      <c r="RW41" s="33">
        <v>5199</v>
      </c>
      <c r="RX41" s="33">
        <v>25808</v>
      </c>
      <c r="RY41" s="33">
        <v>12916</v>
      </c>
      <c r="RZ41" s="33">
        <v>7402</v>
      </c>
      <c r="SA41" s="33">
        <v>7480</v>
      </c>
      <c r="SB41" s="33">
        <v>2071</v>
      </c>
      <c r="SC41">
        <v>3692</v>
      </c>
      <c r="SD41">
        <v>2114</v>
      </c>
      <c r="SE41">
        <v>4153</v>
      </c>
      <c r="SF41">
        <v>25490</v>
      </c>
      <c r="SG41">
        <v>53755</v>
      </c>
      <c r="SH41">
        <v>24618</v>
      </c>
      <c r="SI41">
        <v>41082</v>
      </c>
      <c r="SJ41">
        <v>16072</v>
      </c>
      <c r="SL41">
        <v>67496</v>
      </c>
      <c r="SM41">
        <v>66833</v>
      </c>
      <c r="SN41">
        <v>19711</v>
      </c>
      <c r="SO41">
        <v>34721</v>
      </c>
      <c r="SP41">
        <v>28456</v>
      </c>
      <c r="SQ41">
        <v>20283</v>
      </c>
      <c r="SS41">
        <v>19675</v>
      </c>
      <c r="ST41">
        <v>30191</v>
      </c>
      <c r="SU41">
        <v>21563</v>
      </c>
      <c r="SV41">
        <v>20612</v>
      </c>
      <c r="SW41">
        <v>16018</v>
      </c>
      <c r="SX41">
        <v>8187</v>
      </c>
      <c r="SY41">
        <v>10097</v>
      </c>
      <c r="SZ41">
        <v>11574</v>
      </c>
      <c r="TA41">
        <v>23775</v>
      </c>
      <c r="TB41">
        <v>7970</v>
      </c>
      <c r="TC41">
        <v>3978</v>
      </c>
      <c r="TD41">
        <v>70926</v>
      </c>
      <c r="TE41">
        <v>2996</v>
      </c>
      <c r="TH41">
        <v>29579</v>
      </c>
      <c r="TI41">
        <v>46432</v>
      </c>
      <c r="TJ41">
        <v>92382</v>
      </c>
      <c r="TK41">
        <v>65925</v>
      </c>
      <c r="TL41">
        <v>24716</v>
      </c>
      <c r="TN41">
        <v>19907</v>
      </c>
      <c r="TO41">
        <v>47568</v>
      </c>
      <c r="TP41">
        <v>25457</v>
      </c>
      <c r="TQ41">
        <v>22216</v>
      </c>
      <c r="TR41">
        <v>29388</v>
      </c>
      <c r="TS41">
        <v>11806</v>
      </c>
      <c r="TT41">
        <v>0</v>
      </c>
      <c r="TU41">
        <v>0</v>
      </c>
      <c r="TV41">
        <v>0</v>
      </c>
      <c r="TW41">
        <v>9555</v>
      </c>
      <c r="TX41">
        <v>10437</v>
      </c>
      <c r="TY41">
        <v>18304</v>
      </c>
      <c r="TZ41">
        <v>21528</v>
      </c>
      <c r="UA41">
        <v>0</v>
      </c>
      <c r="UB41">
        <v>62956</v>
      </c>
      <c r="UC41">
        <v>56659</v>
      </c>
      <c r="UD41">
        <v>14229</v>
      </c>
      <c r="UE41">
        <v>10016</v>
      </c>
      <c r="UF41">
        <v>31201</v>
      </c>
      <c r="UG41">
        <v>28099</v>
      </c>
      <c r="UI41">
        <v>16459</v>
      </c>
      <c r="UJ41">
        <v>2994</v>
      </c>
      <c r="UK41">
        <v>6742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50370</v>
      </c>
      <c r="UR41">
        <v>83388</v>
      </c>
      <c r="US41">
        <v>20612</v>
      </c>
      <c r="UT41">
        <v>22632</v>
      </c>
      <c r="UU41">
        <v>21417</v>
      </c>
      <c r="UV41">
        <v>0</v>
      </c>
      <c r="UW41">
        <v>1963</v>
      </c>
      <c r="UX41">
        <v>23038</v>
      </c>
      <c r="UY41">
        <v>21813</v>
      </c>
      <c r="UZ41">
        <v>29505</v>
      </c>
      <c r="VA41">
        <v>26991</v>
      </c>
      <c r="VB41">
        <v>16718</v>
      </c>
      <c r="VC41">
        <v>0</v>
      </c>
      <c r="VD41">
        <v>50067</v>
      </c>
      <c r="VE41">
        <v>21072</v>
      </c>
      <c r="VF41">
        <v>84406</v>
      </c>
      <c r="VG41">
        <v>568</v>
      </c>
      <c r="VH41">
        <v>3155</v>
      </c>
      <c r="VI41">
        <v>148</v>
      </c>
      <c r="VK41">
        <v>14699</v>
      </c>
      <c r="VL41">
        <v>9610</v>
      </c>
      <c r="VM41">
        <v>9038</v>
      </c>
      <c r="VN41">
        <v>4931</v>
      </c>
      <c r="VO41">
        <v>19904</v>
      </c>
      <c r="VP41">
        <v>56693</v>
      </c>
      <c r="VQ41">
        <v>0</v>
      </c>
      <c r="VR41">
        <v>36357</v>
      </c>
      <c r="VS41">
        <v>0</v>
      </c>
      <c r="VT41">
        <v>54360</v>
      </c>
      <c r="VU41">
        <v>91284</v>
      </c>
      <c r="VV41">
        <v>46327</v>
      </c>
      <c r="VW41">
        <v>14598</v>
      </c>
      <c r="VX41">
        <v>0</v>
      </c>
      <c r="VY41">
        <v>13287</v>
      </c>
      <c r="VZ41">
        <v>31118</v>
      </c>
      <c r="WA41">
        <v>17411</v>
      </c>
      <c r="WB41">
        <v>36988</v>
      </c>
      <c r="WC41">
        <v>24115</v>
      </c>
      <c r="WD41">
        <v>26172</v>
      </c>
      <c r="WE41">
        <v>3752</v>
      </c>
      <c r="WF41">
        <v>10434</v>
      </c>
      <c r="WG41">
        <v>24814</v>
      </c>
      <c r="WH41">
        <v>19914</v>
      </c>
      <c r="WI41">
        <v>7143</v>
      </c>
      <c r="WJ41">
        <v>4496</v>
      </c>
      <c r="WK41">
        <v>6949</v>
      </c>
      <c r="WL41">
        <v>0</v>
      </c>
      <c r="WM41">
        <v>895</v>
      </c>
      <c r="WN41">
        <v>8351</v>
      </c>
      <c r="WO41">
        <v>50931</v>
      </c>
      <c r="WP41">
        <v>1253</v>
      </c>
      <c r="WQ41">
        <v>5000</v>
      </c>
      <c r="WR41">
        <v>6687</v>
      </c>
      <c r="WS41">
        <v>0</v>
      </c>
      <c r="WT41">
        <v>19400</v>
      </c>
      <c r="WU41">
        <v>28974</v>
      </c>
      <c r="WV41">
        <v>26078</v>
      </c>
      <c r="WW41">
        <v>111128</v>
      </c>
      <c r="WX41">
        <v>81260</v>
      </c>
      <c r="WY41">
        <v>43222</v>
      </c>
      <c r="WZ41">
        <v>19912</v>
      </c>
      <c r="XA41">
        <v>14359</v>
      </c>
      <c r="XB41">
        <v>27421</v>
      </c>
      <c r="XC41">
        <v>38069</v>
      </c>
      <c r="XD41">
        <v>25868</v>
      </c>
      <c r="XE41">
        <v>35560</v>
      </c>
      <c r="XF41">
        <v>18782</v>
      </c>
      <c r="XG41">
        <v>0</v>
      </c>
      <c r="XH41">
        <v>93645</v>
      </c>
      <c r="XI41">
        <v>63794</v>
      </c>
      <c r="XJ41">
        <v>24615</v>
      </c>
      <c r="XK41">
        <v>20621</v>
      </c>
      <c r="XL41">
        <v>15841</v>
      </c>
      <c r="XM41">
        <v>7893</v>
      </c>
      <c r="XN41">
        <v>0</v>
      </c>
      <c r="XO41">
        <v>5470</v>
      </c>
      <c r="XP41">
        <v>8719</v>
      </c>
      <c r="XQ41">
        <v>16341</v>
      </c>
      <c r="XR41">
        <v>17904</v>
      </c>
      <c r="XS41">
        <v>13422</v>
      </c>
      <c r="XT41">
        <v>6817</v>
      </c>
      <c r="XU41">
        <v>0</v>
      </c>
      <c r="XV41">
        <v>0</v>
      </c>
      <c r="XW41">
        <v>7551</v>
      </c>
      <c r="XX41">
        <v>831</v>
      </c>
      <c r="XY41">
        <v>2523</v>
      </c>
      <c r="XZ41">
        <v>50810</v>
      </c>
      <c r="YA41">
        <v>16462</v>
      </c>
      <c r="YB41">
        <v>0</v>
      </c>
      <c r="YC41">
        <v>100421</v>
      </c>
      <c r="YD41">
        <v>59351</v>
      </c>
      <c r="YE41">
        <v>42624</v>
      </c>
      <c r="YF41">
        <v>18401</v>
      </c>
      <c r="YG41">
        <v>19756</v>
      </c>
      <c r="YH41">
        <v>16828</v>
      </c>
      <c r="YI41">
        <v>9025</v>
      </c>
      <c r="YJ41">
        <v>7599</v>
      </c>
      <c r="YK41">
        <v>0</v>
      </c>
      <c r="YL41">
        <v>3191</v>
      </c>
      <c r="YM41">
        <v>11652</v>
      </c>
      <c r="YN41">
        <v>69471</v>
      </c>
      <c r="YO41">
        <v>18403</v>
      </c>
      <c r="YP41">
        <v>0</v>
      </c>
      <c r="YQ41">
        <v>8592</v>
      </c>
      <c r="YR41">
        <v>13921</v>
      </c>
      <c r="YS41">
        <v>10490</v>
      </c>
      <c r="YT41">
        <v>10520</v>
      </c>
      <c r="YU41">
        <v>5025</v>
      </c>
      <c r="YV41">
        <v>11445</v>
      </c>
      <c r="YW41">
        <v>0</v>
      </c>
      <c r="YX41">
        <v>1253</v>
      </c>
      <c r="YY41">
        <v>15865</v>
      </c>
      <c r="YZ41">
        <v>11570</v>
      </c>
      <c r="ZA41">
        <v>1099</v>
      </c>
      <c r="ZB41" s="18"/>
      <c r="ZC41" s="18"/>
      <c r="ZD41">
        <v>0</v>
      </c>
      <c r="ZE41">
        <v>26988</v>
      </c>
      <c r="ZF41">
        <v>36654</v>
      </c>
      <c r="ZG41">
        <v>12960</v>
      </c>
      <c r="ZH41">
        <v>16927</v>
      </c>
      <c r="ZI41">
        <v>11476</v>
      </c>
      <c r="ZJ41">
        <v>5396</v>
      </c>
      <c r="ZK41">
        <v>0</v>
      </c>
      <c r="ZL41">
        <v>21986</v>
      </c>
      <c r="ZM41">
        <v>23762</v>
      </c>
      <c r="ZN41">
        <v>18199</v>
      </c>
      <c r="ZO41">
        <v>18581</v>
      </c>
      <c r="ZP41">
        <v>44702</v>
      </c>
      <c r="ZQ41">
        <v>36221</v>
      </c>
      <c r="ZR41">
        <v>25786</v>
      </c>
      <c r="ZS41">
        <v>106538</v>
      </c>
      <c r="ZT41">
        <v>18472</v>
      </c>
      <c r="ZU41">
        <v>20998</v>
      </c>
      <c r="ZV41">
        <v>11587</v>
      </c>
      <c r="ZW41">
        <v>43725</v>
      </c>
      <c r="ZX41">
        <v>13796</v>
      </c>
      <c r="ZY41">
        <v>0</v>
      </c>
      <c r="ZZ41">
        <v>8772</v>
      </c>
      <c r="AAA41">
        <v>15084</v>
      </c>
      <c r="AAB41">
        <v>10339</v>
      </c>
      <c r="AAC41">
        <v>14169</v>
      </c>
      <c r="AAD41">
        <v>3721</v>
      </c>
      <c r="AAE41">
        <v>1808</v>
      </c>
      <c r="AAI41">
        <v>62148</v>
      </c>
      <c r="AAJ41">
        <v>13994</v>
      </c>
      <c r="AAK41">
        <v>90223</v>
      </c>
      <c r="AAL41">
        <v>9601</v>
      </c>
      <c r="AAM41">
        <v>10169</v>
      </c>
      <c r="AAN41">
        <v>32038</v>
      </c>
      <c r="AAO41">
        <v>14702</v>
      </c>
      <c r="AAP41">
        <v>16259</v>
      </c>
      <c r="AAQ41">
        <v>20193</v>
      </c>
      <c r="AAR41">
        <v>107033</v>
      </c>
      <c r="AAS41">
        <v>17969</v>
      </c>
      <c r="AAT41">
        <v>10808</v>
      </c>
      <c r="AAU41">
        <v>0</v>
      </c>
      <c r="AAV41">
        <v>21220</v>
      </c>
      <c r="AAW41">
        <v>181895</v>
      </c>
      <c r="AAX41">
        <v>22204</v>
      </c>
      <c r="AAY41">
        <v>21052</v>
      </c>
      <c r="AAZ41">
        <v>64543</v>
      </c>
      <c r="ABA41">
        <v>0</v>
      </c>
      <c r="ABB41">
        <v>23126</v>
      </c>
      <c r="ABC41">
        <v>12976</v>
      </c>
      <c r="ABD41">
        <v>13200</v>
      </c>
      <c r="ABE41">
        <v>0</v>
      </c>
      <c r="ABF41">
        <v>4422</v>
      </c>
      <c r="ABG41">
        <v>6345</v>
      </c>
      <c r="ABH41">
        <v>0</v>
      </c>
      <c r="ABI41">
        <v>11772</v>
      </c>
      <c r="ABJ41">
        <v>11264</v>
      </c>
      <c r="ABK41">
        <v>13255</v>
      </c>
      <c r="ABL41">
        <v>8904</v>
      </c>
      <c r="ABM41">
        <v>0</v>
      </c>
      <c r="ABN41">
        <v>3962</v>
      </c>
      <c r="ABO41">
        <v>0</v>
      </c>
      <c r="ABP41">
        <v>14047</v>
      </c>
      <c r="ABQ41">
        <v>17981</v>
      </c>
      <c r="ABR41">
        <v>78017</v>
      </c>
      <c r="ABS41">
        <v>14839</v>
      </c>
      <c r="ABT41">
        <v>11439</v>
      </c>
      <c r="ABU41">
        <v>13568</v>
      </c>
      <c r="ABV41">
        <v>0</v>
      </c>
      <c r="ABW41">
        <v>7855</v>
      </c>
      <c r="ABX41">
        <v>9881</v>
      </c>
      <c r="ABY41">
        <v>7238</v>
      </c>
      <c r="ABZ41">
        <v>9993</v>
      </c>
      <c r="ACA41">
        <v>18797</v>
      </c>
      <c r="ACB41">
        <v>67179</v>
      </c>
      <c r="ACC41">
        <v>7087</v>
      </c>
      <c r="ACD41">
        <v>20880</v>
      </c>
      <c r="ACE41">
        <v>20374</v>
      </c>
      <c r="ACF41">
        <v>18476</v>
      </c>
      <c r="ACG41">
        <v>35590</v>
      </c>
      <c r="ACH41">
        <v>28803</v>
      </c>
      <c r="ACI41">
        <v>20838</v>
      </c>
      <c r="ACJ41">
        <v>0</v>
      </c>
      <c r="ACK41">
        <v>8663</v>
      </c>
      <c r="ACL41">
        <v>15151</v>
      </c>
      <c r="ACM41">
        <v>17080</v>
      </c>
      <c r="ACN41">
        <v>11385</v>
      </c>
      <c r="ACO41">
        <v>0</v>
      </c>
      <c r="ACP41">
        <v>0</v>
      </c>
      <c r="ACQ41">
        <v>0</v>
      </c>
      <c r="ACR41">
        <v>6171</v>
      </c>
      <c r="ACS41">
        <v>3919</v>
      </c>
      <c r="ACT41">
        <v>8879</v>
      </c>
      <c r="ACU41">
        <v>36547</v>
      </c>
      <c r="ACV41">
        <v>3250</v>
      </c>
      <c r="ACW41">
        <v>27977</v>
      </c>
      <c r="ACX41">
        <v>0</v>
      </c>
      <c r="ACY41">
        <v>15458</v>
      </c>
      <c r="ACZ41">
        <v>19545</v>
      </c>
      <c r="ADA41">
        <v>9320</v>
      </c>
      <c r="ADB41">
        <v>9311</v>
      </c>
      <c r="ADC41">
        <v>26334</v>
      </c>
      <c r="ADD41">
        <v>5618</v>
      </c>
      <c r="ADE41">
        <v>0</v>
      </c>
      <c r="ADF41">
        <v>15855</v>
      </c>
      <c r="ADG41">
        <v>17721</v>
      </c>
      <c r="ADH41">
        <v>64141</v>
      </c>
      <c r="ADI41">
        <v>62253</v>
      </c>
      <c r="ADJ41">
        <v>24448</v>
      </c>
      <c r="ADK41">
        <v>9318</v>
      </c>
      <c r="ADV41">
        <v>0</v>
      </c>
      <c r="ADW41">
        <v>0</v>
      </c>
      <c r="ADX41">
        <v>2826</v>
      </c>
      <c r="ADY41">
        <v>444</v>
      </c>
      <c r="ADZ41">
        <v>0</v>
      </c>
      <c r="AEA41">
        <v>29817</v>
      </c>
      <c r="AEB41">
        <v>18062</v>
      </c>
      <c r="AEC41">
        <v>20963</v>
      </c>
      <c r="AED41">
        <v>58485</v>
      </c>
      <c r="AEE41">
        <v>14971</v>
      </c>
      <c r="AEF41">
        <v>30576</v>
      </c>
      <c r="AEG41">
        <v>0</v>
      </c>
      <c r="AEH41">
        <v>54256</v>
      </c>
      <c r="AEI41">
        <v>18932</v>
      </c>
      <c r="AEJ41">
        <v>20646</v>
      </c>
      <c r="AEK41">
        <v>18682</v>
      </c>
      <c r="AEL41">
        <v>0</v>
      </c>
      <c r="AEM41">
        <v>0</v>
      </c>
      <c r="AEN41">
        <v>0</v>
      </c>
      <c r="AEO41">
        <v>14644</v>
      </c>
      <c r="AEP41">
        <v>10641</v>
      </c>
      <c r="AEQ41">
        <v>18403</v>
      </c>
      <c r="AER41">
        <v>7358</v>
      </c>
      <c r="AES41">
        <v>4080</v>
      </c>
      <c r="AET41">
        <v>7502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2266</v>
      </c>
      <c r="AFD41">
        <v>12013</v>
      </c>
      <c r="AFE41">
        <v>11779</v>
      </c>
      <c r="AFF41">
        <v>21907</v>
      </c>
      <c r="AFG41">
        <v>14249</v>
      </c>
      <c r="AFH41">
        <v>17940</v>
      </c>
      <c r="AFI41">
        <v>0</v>
      </c>
      <c r="AFJ41">
        <v>24289</v>
      </c>
      <c r="AFK41">
        <v>14169</v>
      </c>
      <c r="AFL41">
        <v>11894</v>
      </c>
      <c r="AFM41">
        <v>6799</v>
      </c>
      <c r="AFN41">
        <v>4497</v>
      </c>
      <c r="AFO41">
        <v>10956</v>
      </c>
      <c r="AFP41">
        <v>0</v>
      </c>
      <c r="AFQ41">
        <v>1229</v>
      </c>
      <c r="AFR41">
        <v>57492</v>
      </c>
      <c r="AFS41">
        <v>9581</v>
      </c>
      <c r="AFT41">
        <v>6934</v>
      </c>
      <c r="AFU41">
        <v>0</v>
      </c>
      <c r="AFV41">
        <v>0</v>
      </c>
      <c r="AFW41">
        <v>0</v>
      </c>
      <c r="AFX41">
        <v>988</v>
      </c>
      <c r="AFY41">
        <v>2565</v>
      </c>
      <c r="AFZ41">
        <v>1363</v>
      </c>
      <c r="AGA41">
        <v>329</v>
      </c>
      <c r="AGB41">
        <v>7928</v>
      </c>
      <c r="AGC41">
        <v>894</v>
      </c>
      <c r="AGD41">
        <v>0</v>
      </c>
      <c r="AGE41">
        <v>4734</v>
      </c>
      <c r="AGF41">
        <v>4743</v>
      </c>
      <c r="AGG41">
        <v>5102</v>
      </c>
      <c r="AGH41">
        <v>19856</v>
      </c>
      <c r="AGI41">
        <v>21547</v>
      </c>
      <c r="AGJ41">
        <v>0</v>
      </c>
      <c r="AGK41">
        <v>0</v>
      </c>
      <c r="AGL41">
        <v>16040</v>
      </c>
      <c r="AGM41">
        <v>32313</v>
      </c>
      <c r="AGN41">
        <v>38772</v>
      </c>
      <c r="AGO41">
        <v>20673</v>
      </c>
      <c r="AGP41">
        <v>55099</v>
      </c>
      <c r="AGQ41">
        <v>27342</v>
      </c>
      <c r="AGR41">
        <v>36970</v>
      </c>
      <c r="AGS41">
        <v>25749</v>
      </c>
      <c r="AGT41">
        <v>56525</v>
      </c>
      <c r="AGU41">
        <v>80021</v>
      </c>
      <c r="AGV41">
        <v>56664</v>
      </c>
      <c r="AGW41">
        <v>36494</v>
      </c>
      <c r="AGX41">
        <v>6285</v>
      </c>
      <c r="AGY41">
        <v>0</v>
      </c>
      <c r="AGZ41">
        <v>7944</v>
      </c>
      <c r="AHA41">
        <v>5897</v>
      </c>
      <c r="AHB41">
        <v>26744</v>
      </c>
      <c r="AHC41">
        <v>12423</v>
      </c>
      <c r="AHD41">
        <v>7870</v>
      </c>
      <c r="AHE41">
        <v>18590</v>
      </c>
      <c r="AHH41">
        <v>0</v>
      </c>
      <c r="AHI41">
        <v>20471</v>
      </c>
      <c r="AHJ41">
        <v>18010</v>
      </c>
      <c r="AHK41">
        <v>31611</v>
      </c>
      <c r="AHL41">
        <v>17960</v>
      </c>
      <c r="AHM41">
        <v>0</v>
      </c>
      <c r="AHN41">
        <v>17602</v>
      </c>
      <c r="AHO41">
        <v>82156</v>
      </c>
      <c r="AHP41">
        <v>20356</v>
      </c>
      <c r="AHQ41">
        <v>49617</v>
      </c>
      <c r="AHR41">
        <v>21904</v>
      </c>
      <c r="AHS41">
        <v>18711</v>
      </c>
      <c r="AHT41">
        <v>0</v>
      </c>
      <c r="AHU41">
        <v>0</v>
      </c>
      <c r="AHV41">
        <v>0</v>
      </c>
      <c r="AHW41">
        <v>0</v>
      </c>
      <c r="AIA41">
        <v>20845</v>
      </c>
      <c r="AIB41">
        <v>25333</v>
      </c>
      <c r="AIC41">
        <v>34539</v>
      </c>
      <c r="AID41">
        <v>44420</v>
      </c>
      <c r="AIE41">
        <v>55068</v>
      </c>
      <c r="AIF41">
        <v>46901</v>
      </c>
      <c r="AIG41">
        <v>6857</v>
      </c>
      <c r="AIH41">
        <v>0</v>
      </c>
      <c r="AII41">
        <v>0</v>
      </c>
      <c r="AIJ41">
        <v>69607</v>
      </c>
      <c r="AIK41">
        <v>69607</v>
      </c>
      <c r="AIL41">
        <v>39607</v>
      </c>
      <c r="AIM41">
        <v>0</v>
      </c>
      <c r="AIN41">
        <v>35351</v>
      </c>
      <c r="AIO41">
        <v>0</v>
      </c>
      <c r="AIP41">
        <v>4301</v>
      </c>
      <c r="AIQ41">
        <v>13475</v>
      </c>
      <c r="AIR41">
        <v>17563</v>
      </c>
      <c r="AIS41">
        <v>26941</v>
      </c>
      <c r="AIT41">
        <v>22241</v>
      </c>
      <c r="AIU41">
        <v>12885</v>
      </c>
      <c r="AIV41">
        <v>28</v>
      </c>
      <c r="AIW41">
        <v>13113</v>
      </c>
      <c r="AIX41">
        <v>17943</v>
      </c>
      <c r="AIY41">
        <v>23560</v>
      </c>
      <c r="AIZ41">
        <v>14677</v>
      </c>
      <c r="AJA41">
        <v>16787</v>
      </c>
      <c r="AJB41">
        <v>12511</v>
      </c>
      <c r="AJC41">
        <v>0</v>
      </c>
      <c r="AJD41">
        <v>6871</v>
      </c>
      <c r="AJE41">
        <v>57050</v>
      </c>
      <c r="AJF41">
        <v>28154</v>
      </c>
      <c r="AJG41">
        <v>39838</v>
      </c>
      <c r="AJH41">
        <v>1603</v>
      </c>
      <c r="AJI41">
        <v>523</v>
      </c>
      <c r="AJK41">
        <v>1605</v>
      </c>
      <c r="AJL41">
        <v>1560</v>
      </c>
      <c r="AJM41">
        <v>6479</v>
      </c>
      <c r="AJN41">
        <v>1720</v>
      </c>
      <c r="AJO41">
        <v>474</v>
      </c>
      <c r="AJP41">
        <v>2078</v>
      </c>
      <c r="AJQ41">
        <v>0</v>
      </c>
      <c r="AJR41">
        <v>0</v>
      </c>
      <c r="AJS41">
        <v>19969</v>
      </c>
      <c r="AJT41">
        <v>0</v>
      </c>
      <c r="AJU41">
        <v>17681</v>
      </c>
      <c r="AJV41">
        <v>21714</v>
      </c>
      <c r="AJW41">
        <v>26725</v>
      </c>
      <c r="AJX41">
        <v>20778</v>
      </c>
      <c r="AJY41">
        <v>22952</v>
      </c>
      <c r="AJZ41">
        <v>51443</v>
      </c>
      <c r="AKA41">
        <v>26336</v>
      </c>
      <c r="AKB41">
        <v>17943</v>
      </c>
      <c r="AKC41">
        <v>15821</v>
      </c>
      <c r="AKD41">
        <v>11484</v>
      </c>
      <c r="AKE41">
        <v>21321</v>
      </c>
      <c r="AKF41">
        <v>102433</v>
      </c>
    </row>
    <row r="42" spans="1:968">
      <c r="A42">
        <v>2</v>
      </c>
      <c r="B42" t="s">
        <v>134</v>
      </c>
      <c r="C42" s="1">
        <v>82611</v>
      </c>
      <c r="D42" s="1" t="s">
        <v>28</v>
      </c>
      <c r="E42" s="1" t="s">
        <v>131</v>
      </c>
      <c r="F42" s="1" t="s">
        <v>131</v>
      </c>
      <c r="G42" s="1" t="s">
        <v>12</v>
      </c>
      <c r="H42" s="1" t="s">
        <v>21</v>
      </c>
      <c r="I42" s="1" t="s">
        <v>133</v>
      </c>
      <c r="J42" s="30" t="s">
        <v>46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4349</v>
      </c>
      <c r="BW42">
        <v>2603</v>
      </c>
      <c r="BX42">
        <v>15711</v>
      </c>
      <c r="BY42">
        <v>8897</v>
      </c>
      <c r="BZ42">
        <v>3980</v>
      </c>
      <c r="CA42">
        <v>5947</v>
      </c>
      <c r="CB42">
        <v>9907</v>
      </c>
      <c r="CC42">
        <v>24288</v>
      </c>
      <c r="CD42">
        <v>72014</v>
      </c>
      <c r="CE42">
        <v>12177</v>
      </c>
      <c r="CF42">
        <v>3969</v>
      </c>
      <c r="CG42">
        <v>0</v>
      </c>
      <c r="CH42">
        <v>2361</v>
      </c>
      <c r="CI42">
        <v>10106</v>
      </c>
      <c r="CJ42">
        <v>7608</v>
      </c>
      <c r="CK42">
        <v>23757</v>
      </c>
      <c r="CL42">
        <v>14612</v>
      </c>
      <c r="CM42">
        <v>0</v>
      </c>
      <c r="CN42">
        <v>0</v>
      </c>
      <c r="CO42">
        <v>5567</v>
      </c>
      <c r="CP42">
        <v>8172</v>
      </c>
      <c r="CQ42">
        <v>21335</v>
      </c>
      <c r="CR42">
        <v>16993</v>
      </c>
      <c r="CS42">
        <v>38010</v>
      </c>
      <c r="CT42">
        <v>13049</v>
      </c>
      <c r="CU42">
        <v>39469</v>
      </c>
      <c r="CV42">
        <v>27056</v>
      </c>
      <c r="CW42">
        <v>8974</v>
      </c>
      <c r="CX42">
        <v>3654</v>
      </c>
      <c r="CY42">
        <v>834</v>
      </c>
      <c r="CZ42">
        <v>7594</v>
      </c>
      <c r="DA42">
        <v>5523</v>
      </c>
      <c r="DB42">
        <v>0</v>
      </c>
      <c r="DC42">
        <v>2258</v>
      </c>
      <c r="DD42">
        <v>5439</v>
      </c>
      <c r="DE42">
        <v>6893</v>
      </c>
      <c r="DF42">
        <v>20276</v>
      </c>
      <c r="DG42">
        <v>9477</v>
      </c>
      <c r="DH42">
        <v>8340</v>
      </c>
      <c r="DI42">
        <v>0</v>
      </c>
      <c r="DJ42">
        <v>1876</v>
      </c>
      <c r="DK42">
        <v>6154</v>
      </c>
      <c r="DL42">
        <v>7208</v>
      </c>
      <c r="DM42">
        <v>16377</v>
      </c>
      <c r="DN42">
        <v>28779</v>
      </c>
      <c r="DO42">
        <v>120311</v>
      </c>
      <c r="DQ42">
        <v>0</v>
      </c>
      <c r="DR42">
        <v>1453</v>
      </c>
      <c r="DS42">
        <v>18130</v>
      </c>
      <c r="DT42">
        <v>8805</v>
      </c>
      <c r="DU42">
        <v>35694</v>
      </c>
      <c r="DV42">
        <v>9841</v>
      </c>
      <c r="DW42">
        <v>23201</v>
      </c>
      <c r="DX42">
        <v>0</v>
      </c>
      <c r="DY42">
        <v>3719</v>
      </c>
      <c r="DZ42">
        <v>31145</v>
      </c>
      <c r="EA42">
        <v>31789</v>
      </c>
      <c r="EB42">
        <v>19721</v>
      </c>
      <c r="EC42">
        <v>18008</v>
      </c>
      <c r="ED42">
        <v>10731</v>
      </c>
      <c r="EE42">
        <v>6294</v>
      </c>
      <c r="EF42">
        <v>19612</v>
      </c>
      <c r="EG42">
        <v>25632</v>
      </c>
      <c r="EH42">
        <v>18137</v>
      </c>
      <c r="EI42">
        <v>26294</v>
      </c>
      <c r="EJ42">
        <v>20610</v>
      </c>
      <c r="EK42">
        <v>1277</v>
      </c>
      <c r="EL42">
        <v>8425</v>
      </c>
      <c r="EM42">
        <v>10392</v>
      </c>
      <c r="EN42">
        <v>9084</v>
      </c>
      <c r="EO42">
        <v>15176</v>
      </c>
      <c r="EP42">
        <v>28971</v>
      </c>
      <c r="EQ42">
        <v>17580</v>
      </c>
      <c r="ER42">
        <v>26593</v>
      </c>
      <c r="ES42">
        <v>10391</v>
      </c>
      <c r="ET42">
        <v>21476</v>
      </c>
      <c r="EU42">
        <v>22123</v>
      </c>
      <c r="EV42">
        <v>27500</v>
      </c>
      <c r="EW42">
        <v>23837</v>
      </c>
      <c r="EX42">
        <v>21855</v>
      </c>
      <c r="EY42">
        <v>8479</v>
      </c>
      <c r="EZ42">
        <v>25077</v>
      </c>
      <c r="FA42">
        <v>10231</v>
      </c>
      <c r="FB42">
        <v>50754</v>
      </c>
      <c r="FC42">
        <v>32122</v>
      </c>
      <c r="FD42">
        <v>12290</v>
      </c>
      <c r="FE42">
        <v>9128</v>
      </c>
      <c r="FF42">
        <v>0</v>
      </c>
      <c r="FG42">
        <v>20298</v>
      </c>
      <c r="FH42">
        <v>25628</v>
      </c>
      <c r="FI42">
        <v>22792</v>
      </c>
      <c r="FJ42">
        <v>18714</v>
      </c>
      <c r="FK42">
        <v>14144</v>
      </c>
      <c r="FL42">
        <v>5665</v>
      </c>
      <c r="FM42">
        <v>0</v>
      </c>
      <c r="FN42">
        <v>28301</v>
      </c>
      <c r="FO42">
        <v>11586</v>
      </c>
      <c r="FP42">
        <v>12713</v>
      </c>
      <c r="FQ42">
        <v>24505</v>
      </c>
      <c r="FR42">
        <v>5599</v>
      </c>
      <c r="FS42">
        <v>0</v>
      </c>
      <c r="FT42">
        <v>0</v>
      </c>
      <c r="FU42">
        <v>0</v>
      </c>
      <c r="FV42">
        <v>2896</v>
      </c>
      <c r="FW42">
        <v>11057</v>
      </c>
      <c r="FX42">
        <v>11752</v>
      </c>
      <c r="FY42">
        <v>18202</v>
      </c>
      <c r="FZ42">
        <v>10578</v>
      </c>
      <c r="GA42">
        <v>1188</v>
      </c>
      <c r="GB42">
        <v>10509</v>
      </c>
      <c r="GC42">
        <v>18770</v>
      </c>
      <c r="GD42">
        <v>20316</v>
      </c>
      <c r="GE42">
        <v>39507</v>
      </c>
      <c r="GF42">
        <v>132556</v>
      </c>
      <c r="GG42">
        <v>43496</v>
      </c>
      <c r="GH42">
        <v>13753</v>
      </c>
      <c r="GI42">
        <v>15101</v>
      </c>
      <c r="GJ42">
        <v>13427</v>
      </c>
      <c r="GK42">
        <v>1411</v>
      </c>
      <c r="GL42">
        <v>5017</v>
      </c>
      <c r="GM42">
        <v>15288</v>
      </c>
      <c r="GN42">
        <v>4796</v>
      </c>
      <c r="GO42">
        <v>3</v>
      </c>
      <c r="GP42">
        <v>10715</v>
      </c>
      <c r="GQ42">
        <v>20</v>
      </c>
      <c r="GR42">
        <v>3403</v>
      </c>
      <c r="GS42">
        <v>16050</v>
      </c>
      <c r="GT42">
        <v>12065</v>
      </c>
      <c r="GU42">
        <v>17454</v>
      </c>
      <c r="GV42">
        <v>160</v>
      </c>
      <c r="GW42">
        <v>2</v>
      </c>
      <c r="GX42">
        <v>12306</v>
      </c>
      <c r="GY42">
        <v>12607</v>
      </c>
      <c r="GZ42">
        <v>14523</v>
      </c>
      <c r="HA42">
        <v>12319</v>
      </c>
      <c r="HB42">
        <v>16334</v>
      </c>
      <c r="HC42">
        <v>2249</v>
      </c>
      <c r="HD42">
        <v>10484</v>
      </c>
      <c r="HE42">
        <v>46262</v>
      </c>
      <c r="HF42">
        <v>2993</v>
      </c>
      <c r="HG42">
        <v>19551</v>
      </c>
      <c r="HH42">
        <v>22527</v>
      </c>
      <c r="HI42">
        <v>45550</v>
      </c>
      <c r="HJ42">
        <v>2067</v>
      </c>
      <c r="HK42">
        <v>9760</v>
      </c>
      <c r="HL42">
        <v>25249</v>
      </c>
      <c r="HM42">
        <v>80439</v>
      </c>
      <c r="HN42">
        <v>7359</v>
      </c>
      <c r="HO42">
        <v>1637</v>
      </c>
      <c r="HP42">
        <v>2053</v>
      </c>
      <c r="HQ42">
        <v>0</v>
      </c>
      <c r="HR42">
        <v>0</v>
      </c>
      <c r="HS42">
        <v>4896</v>
      </c>
      <c r="HT42">
        <v>14450</v>
      </c>
      <c r="HU42">
        <v>13624</v>
      </c>
      <c r="HV42">
        <v>19656</v>
      </c>
      <c r="HW42">
        <v>16868</v>
      </c>
      <c r="HX42">
        <v>2365</v>
      </c>
      <c r="HY42">
        <v>9693</v>
      </c>
      <c r="HZ42">
        <v>21959</v>
      </c>
      <c r="IA42">
        <v>13146</v>
      </c>
      <c r="IB42">
        <v>11990</v>
      </c>
      <c r="IC42">
        <v>9712</v>
      </c>
      <c r="ID42">
        <v>32160</v>
      </c>
      <c r="IE42">
        <v>2371</v>
      </c>
      <c r="IF42">
        <v>5380</v>
      </c>
      <c r="IG42">
        <v>46466</v>
      </c>
      <c r="IH42">
        <v>11694</v>
      </c>
      <c r="II42">
        <v>14472</v>
      </c>
      <c r="IJ42">
        <v>62966</v>
      </c>
      <c r="IK42">
        <v>15996</v>
      </c>
      <c r="IL42">
        <v>1005</v>
      </c>
      <c r="IM42">
        <v>2073</v>
      </c>
      <c r="IN42">
        <v>1546</v>
      </c>
      <c r="IT42">
        <v>650</v>
      </c>
      <c r="IU42">
        <v>686</v>
      </c>
      <c r="IV42">
        <v>11363</v>
      </c>
      <c r="IW42">
        <v>7850</v>
      </c>
      <c r="IX42">
        <v>8608</v>
      </c>
      <c r="IY42">
        <v>9213</v>
      </c>
      <c r="IZ42">
        <v>1817</v>
      </c>
      <c r="JA42">
        <v>259</v>
      </c>
      <c r="JB42">
        <v>3021</v>
      </c>
      <c r="JC42">
        <v>12825</v>
      </c>
      <c r="JD42">
        <v>16153</v>
      </c>
      <c r="JE42">
        <v>20789</v>
      </c>
      <c r="JF42">
        <v>19576</v>
      </c>
      <c r="JG42">
        <v>2099</v>
      </c>
      <c r="JH42">
        <v>9258</v>
      </c>
      <c r="JI42">
        <v>12458</v>
      </c>
      <c r="JJ42">
        <v>22646</v>
      </c>
      <c r="JK42">
        <v>42270</v>
      </c>
      <c r="JL42">
        <v>34627</v>
      </c>
      <c r="JM42">
        <v>7340</v>
      </c>
      <c r="JN42">
        <v>947</v>
      </c>
      <c r="JO42">
        <v>8768</v>
      </c>
      <c r="JP42">
        <v>2743</v>
      </c>
      <c r="JQ42">
        <v>16912</v>
      </c>
      <c r="JR42">
        <v>38775</v>
      </c>
      <c r="JS42">
        <v>37429</v>
      </c>
      <c r="JT42">
        <v>17388</v>
      </c>
      <c r="JU42">
        <v>38210</v>
      </c>
      <c r="JV42">
        <v>0</v>
      </c>
      <c r="JW42">
        <v>0</v>
      </c>
      <c r="JX42">
        <v>0</v>
      </c>
      <c r="JY42">
        <v>0</v>
      </c>
      <c r="JZ42">
        <v>1270</v>
      </c>
      <c r="KA42">
        <v>5979</v>
      </c>
      <c r="KB42">
        <v>11746</v>
      </c>
      <c r="KC42">
        <v>5755</v>
      </c>
      <c r="KD42">
        <v>8000</v>
      </c>
      <c r="KE42">
        <v>12070</v>
      </c>
      <c r="KF42">
        <v>7754</v>
      </c>
      <c r="KG42">
        <v>9284</v>
      </c>
      <c r="KH42">
        <v>0</v>
      </c>
      <c r="KI42">
        <v>0</v>
      </c>
      <c r="KJ42">
        <v>0</v>
      </c>
      <c r="KK42">
        <v>368</v>
      </c>
      <c r="KL42">
        <v>10279</v>
      </c>
      <c r="KM42">
        <v>12140</v>
      </c>
      <c r="KN42">
        <v>35749</v>
      </c>
      <c r="KO42">
        <v>48739</v>
      </c>
      <c r="KP42">
        <v>18216</v>
      </c>
      <c r="KQ42">
        <v>31382</v>
      </c>
      <c r="KR42">
        <v>18600</v>
      </c>
      <c r="KS42">
        <v>25900</v>
      </c>
      <c r="KT42">
        <v>2535</v>
      </c>
      <c r="KU42">
        <v>16762</v>
      </c>
      <c r="KV42">
        <v>14759</v>
      </c>
      <c r="KW42">
        <v>378</v>
      </c>
      <c r="KX42">
        <v>53782</v>
      </c>
      <c r="KY42">
        <v>29449</v>
      </c>
      <c r="KZ42">
        <v>40880</v>
      </c>
      <c r="LA42">
        <v>13450</v>
      </c>
      <c r="LB42">
        <v>10583</v>
      </c>
      <c r="LC42">
        <v>0</v>
      </c>
      <c r="LD42">
        <v>0</v>
      </c>
      <c r="LE42">
        <v>2000</v>
      </c>
      <c r="LF42">
        <v>1236</v>
      </c>
      <c r="LG42">
        <v>9978</v>
      </c>
      <c r="LH42">
        <v>9225</v>
      </c>
      <c r="LI42">
        <v>12778</v>
      </c>
      <c r="LJ42">
        <v>6081</v>
      </c>
      <c r="LK42">
        <v>0</v>
      </c>
      <c r="LL42">
        <v>3969</v>
      </c>
      <c r="LM42">
        <v>12147</v>
      </c>
      <c r="LN42">
        <v>15643</v>
      </c>
      <c r="LO42">
        <v>17100</v>
      </c>
      <c r="LP42">
        <v>25452</v>
      </c>
      <c r="LQ42">
        <v>17619</v>
      </c>
      <c r="LR42">
        <v>1602</v>
      </c>
      <c r="LS42">
        <v>7793</v>
      </c>
      <c r="LT42">
        <v>60163</v>
      </c>
      <c r="LU42">
        <v>29838</v>
      </c>
      <c r="LV42">
        <v>48333</v>
      </c>
      <c r="LW42">
        <v>59517</v>
      </c>
      <c r="LX42">
        <v>22788</v>
      </c>
      <c r="LY42">
        <v>3297</v>
      </c>
      <c r="LZ42">
        <v>7993</v>
      </c>
      <c r="MA42">
        <v>13549</v>
      </c>
      <c r="MB42">
        <v>43991</v>
      </c>
      <c r="MC42">
        <v>11539</v>
      </c>
      <c r="MD42">
        <v>8859</v>
      </c>
      <c r="ME42">
        <v>10326</v>
      </c>
      <c r="MF42">
        <v>7107</v>
      </c>
      <c r="MG42">
        <v>4387</v>
      </c>
      <c r="MH42">
        <v>4105</v>
      </c>
      <c r="MN42">
        <v>2744</v>
      </c>
      <c r="MO42">
        <v>8732</v>
      </c>
      <c r="MP42">
        <v>14614</v>
      </c>
      <c r="MQ42">
        <v>29396</v>
      </c>
      <c r="MR42">
        <v>27130</v>
      </c>
      <c r="MS42">
        <v>30446</v>
      </c>
      <c r="MT42">
        <v>12553</v>
      </c>
      <c r="MU42">
        <v>7417</v>
      </c>
      <c r="MV42">
        <v>1381</v>
      </c>
      <c r="MW42">
        <v>5144</v>
      </c>
      <c r="MX42">
        <v>19179</v>
      </c>
      <c r="MY42">
        <v>7239</v>
      </c>
      <c r="MZ42">
        <v>1573</v>
      </c>
      <c r="NA42">
        <v>724</v>
      </c>
      <c r="NB42">
        <v>67466</v>
      </c>
      <c r="NC42">
        <v>15320</v>
      </c>
      <c r="ND42">
        <v>10623</v>
      </c>
      <c r="NE42">
        <v>26152</v>
      </c>
      <c r="NF42">
        <v>24193</v>
      </c>
      <c r="NG42">
        <v>3986</v>
      </c>
      <c r="NH42">
        <v>0</v>
      </c>
      <c r="NI42">
        <v>9319</v>
      </c>
      <c r="NJ42">
        <v>10582</v>
      </c>
      <c r="NK42">
        <v>21762</v>
      </c>
      <c r="NL42">
        <v>8631</v>
      </c>
      <c r="NM42">
        <v>6959</v>
      </c>
      <c r="NN42">
        <v>23457</v>
      </c>
      <c r="NO42">
        <v>9848</v>
      </c>
      <c r="NP42">
        <v>5562</v>
      </c>
      <c r="NQ42">
        <v>1475</v>
      </c>
      <c r="NR42">
        <v>21315</v>
      </c>
      <c r="NS42">
        <v>10779</v>
      </c>
      <c r="NT42">
        <v>8802</v>
      </c>
      <c r="NU42">
        <v>11906</v>
      </c>
      <c r="NV42">
        <v>0</v>
      </c>
      <c r="NW42">
        <v>5469</v>
      </c>
      <c r="NX42">
        <v>4042</v>
      </c>
      <c r="NY42">
        <v>5962</v>
      </c>
      <c r="NZ42">
        <v>24046</v>
      </c>
      <c r="OA42">
        <v>83965</v>
      </c>
      <c r="OB42">
        <v>18313</v>
      </c>
      <c r="OC42">
        <v>0</v>
      </c>
      <c r="OD42">
        <v>0</v>
      </c>
      <c r="OE42">
        <v>23859</v>
      </c>
      <c r="OF42">
        <v>4109</v>
      </c>
      <c r="OG42">
        <v>5205</v>
      </c>
      <c r="OH42">
        <v>478</v>
      </c>
      <c r="OI42">
        <v>0</v>
      </c>
      <c r="OJ42">
        <v>0</v>
      </c>
      <c r="OK42">
        <v>208</v>
      </c>
      <c r="OL42">
        <v>6801</v>
      </c>
      <c r="OM42">
        <v>19933</v>
      </c>
      <c r="ON42">
        <v>14377</v>
      </c>
      <c r="OO42">
        <v>14262</v>
      </c>
      <c r="OP42">
        <v>13015</v>
      </c>
      <c r="OQ42">
        <v>0</v>
      </c>
      <c r="OR42">
        <v>21737</v>
      </c>
      <c r="OS42">
        <v>13601</v>
      </c>
      <c r="OT42">
        <v>13368</v>
      </c>
      <c r="OU42">
        <v>2196</v>
      </c>
      <c r="OV42">
        <v>12301</v>
      </c>
      <c r="OW42">
        <v>41742</v>
      </c>
      <c r="OX42">
        <v>2829</v>
      </c>
      <c r="OY42">
        <v>7336</v>
      </c>
      <c r="OZ42">
        <v>10387</v>
      </c>
      <c r="PA42">
        <v>31651</v>
      </c>
      <c r="PB42">
        <v>14747</v>
      </c>
      <c r="PC42">
        <v>15103</v>
      </c>
      <c r="PD42">
        <v>14224</v>
      </c>
      <c r="PE42">
        <v>2276</v>
      </c>
      <c r="PF42">
        <v>11691</v>
      </c>
      <c r="PG42">
        <v>17597</v>
      </c>
      <c r="PH42">
        <v>19655</v>
      </c>
      <c r="PI42">
        <v>107818</v>
      </c>
      <c r="PJ42">
        <v>30479</v>
      </c>
      <c r="PK42">
        <v>15491</v>
      </c>
      <c r="PL42">
        <v>17656</v>
      </c>
      <c r="PM42">
        <v>19861</v>
      </c>
      <c r="PN42">
        <v>28393</v>
      </c>
      <c r="PO42">
        <v>10191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417</v>
      </c>
      <c r="PX42">
        <v>46244</v>
      </c>
      <c r="PY42">
        <v>11812</v>
      </c>
      <c r="PZ42">
        <v>2282</v>
      </c>
      <c r="QA42">
        <v>10432</v>
      </c>
      <c r="QB42">
        <v>19089</v>
      </c>
      <c r="QC42">
        <v>24968</v>
      </c>
      <c r="QD42">
        <v>15826</v>
      </c>
      <c r="QE42">
        <v>17051</v>
      </c>
      <c r="QF42">
        <v>11273</v>
      </c>
      <c r="QG42">
        <v>1888</v>
      </c>
      <c r="QH42">
        <v>13744</v>
      </c>
      <c r="QI42">
        <v>21169</v>
      </c>
      <c r="QJ42">
        <v>59033</v>
      </c>
      <c r="QK42">
        <v>27829</v>
      </c>
      <c r="QL42">
        <v>17723</v>
      </c>
      <c r="QM42">
        <v>15859</v>
      </c>
      <c r="QN42">
        <v>2390</v>
      </c>
      <c r="QO42">
        <v>43440</v>
      </c>
      <c r="QP42">
        <v>44547</v>
      </c>
      <c r="QQ42">
        <v>22916</v>
      </c>
      <c r="QR42">
        <v>23258</v>
      </c>
      <c r="QS42">
        <v>40290</v>
      </c>
      <c r="QT42">
        <v>12106</v>
      </c>
      <c r="QU42">
        <v>4010</v>
      </c>
      <c r="QV42">
        <v>9483</v>
      </c>
      <c r="QW42">
        <v>7325</v>
      </c>
      <c r="QX42">
        <v>40320</v>
      </c>
      <c r="QY42">
        <v>20250</v>
      </c>
      <c r="QZ42">
        <v>62578</v>
      </c>
      <c r="RA42" s="33">
        <v>8056</v>
      </c>
      <c r="RB42" s="33">
        <v>0</v>
      </c>
      <c r="RC42" s="33">
        <v>3098</v>
      </c>
      <c r="RD42" s="33">
        <v>12723</v>
      </c>
      <c r="RE42" s="33">
        <v>17507</v>
      </c>
      <c r="RF42" s="33">
        <v>18824</v>
      </c>
      <c r="RG42" s="33">
        <v>13473</v>
      </c>
      <c r="RH42" s="33">
        <v>0</v>
      </c>
      <c r="RI42" s="33">
        <v>0</v>
      </c>
      <c r="RJ42" s="33">
        <v>16214</v>
      </c>
      <c r="RK42" s="33">
        <v>33223</v>
      </c>
      <c r="RL42" s="33">
        <v>16302</v>
      </c>
      <c r="RM42" s="33">
        <v>18875</v>
      </c>
      <c r="RN42" s="33">
        <v>11076</v>
      </c>
      <c r="RO42" s="33">
        <v>22873</v>
      </c>
      <c r="RP42" s="33">
        <v>0</v>
      </c>
      <c r="RQ42" s="33">
        <v>19449</v>
      </c>
      <c r="RR42" s="33">
        <v>11399</v>
      </c>
      <c r="RS42" s="33">
        <v>18808</v>
      </c>
      <c r="RT42" s="33">
        <v>15044</v>
      </c>
      <c r="RU42" s="33">
        <v>20204</v>
      </c>
      <c r="RV42" s="33">
        <v>56885</v>
      </c>
      <c r="RW42" s="33">
        <v>10872</v>
      </c>
      <c r="RX42" s="33">
        <v>21756</v>
      </c>
      <c r="RY42" s="33">
        <v>29109</v>
      </c>
      <c r="RZ42" s="33">
        <v>51134</v>
      </c>
      <c r="SA42" s="33">
        <v>66968</v>
      </c>
      <c r="SB42" s="33">
        <v>39942</v>
      </c>
      <c r="SC42">
        <v>9244</v>
      </c>
      <c r="SD42">
        <v>5047</v>
      </c>
      <c r="SE42">
        <v>46160</v>
      </c>
      <c r="SF42">
        <v>23192</v>
      </c>
      <c r="SG42">
        <v>8988</v>
      </c>
      <c r="SH42">
        <v>6956</v>
      </c>
      <c r="SI42">
        <v>20466</v>
      </c>
      <c r="SJ42">
        <v>13357</v>
      </c>
      <c r="SK42">
        <v>15129</v>
      </c>
      <c r="SL42">
        <v>16083</v>
      </c>
      <c r="SM42">
        <v>13133</v>
      </c>
      <c r="SN42">
        <v>15810</v>
      </c>
      <c r="SO42">
        <v>10051</v>
      </c>
      <c r="SP42">
        <v>32374</v>
      </c>
      <c r="SQ42">
        <v>15342</v>
      </c>
      <c r="SS42">
        <v>12631</v>
      </c>
      <c r="ST42">
        <v>14023</v>
      </c>
      <c r="SU42">
        <v>19654</v>
      </c>
      <c r="SV42">
        <v>21041</v>
      </c>
      <c r="SW42">
        <v>54565</v>
      </c>
      <c r="SX42">
        <v>9533</v>
      </c>
      <c r="SY42">
        <v>4623</v>
      </c>
      <c r="SZ42">
        <v>10890</v>
      </c>
      <c r="TA42">
        <v>12471</v>
      </c>
      <c r="TB42">
        <v>31037</v>
      </c>
      <c r="TC42">
        <v>19773</v>
      </c>
      <c r="TD42">
        <v>15165</v>
      </c>
      <c r="TE42">
        <v>55002</v>
      </c>
      <c r="TH42">
        <v>24441</v>
      </c>
      <c r="TI42">
        <v>7047</v>
      </c>
      <c r="TJ42">
        <v>9659</v>
      </c>
      <c r="TK42">
        <v>10014</v>
      </c>
      <c r="TL42">
        <v>11388</v>
      </c>
      <c r="TM42">
        <v>12648</v>
      </c>
      <c r="TN42">
        <v>10570</v>
      </c>
      <c r="TO42">
        <v>13707</v>
      </c>
      <c r="TP42">
        <v>25582</v>
      </c>
      <c r="TQ42">
        <v>17130</v>
      </c>
      <c r="TR42">
        <v>24960</v>
      </c>
      <c r="TS42">
        <v>19279</v>
      </c>
      <c r="TT42">
        <v>0</v>
      </c>
      <c r="TU42">
        <v>0</v>
      </c>
      <c r="TV42">
        <v>0</v>
      </c>
      <c r="TW42">
        <v>3279</v>
      </c>
      <c r="TX42">
        <v>17244</v>
      </c>
      <c r="TY42">
        <v>47898</v>
      </c>
      <c r="TZ42">
        <v>27178</v>
      </c>
      <c r="UA42">
        <v>0</v>
      </c>
      <c r="UB42">
        <v>13278</v>
      </c>
      <c r="UC42">
        <v>6665</v>
      </c>
      <c r="UD42">
        <v>19025</v>
      </c>
      <c r="UE42">
        <v>9282</v>
      </c>
      <c r="UF42">
        <v>21158</v>
      </c>
      <c r="UG42">
        <v>11461</v>
      </c>
      <c r="UI42">
        <v>42599</v>
      </c>
      <c r="UJ42">
        <v>33281</v>
      </c>
      <c r="UK42">
        <v>11121</v>
      </c>
      <c r="UL42">
        <v>0</v>
      </c>
      <c r="UM42">
        <v>0</v>
      </c>
      <c r="UN42">
        <v>0</v>
      </c>
      <c r="UO42">
        <v>0</v>
      </c>
      <c r="UP42">
        <v>4804</v>
      </c>
      <c r="UQ42">
        <v>971</v>
      </c>
      <c r="UR42">
        <v>2206</v>
      </c>
      <c r="US42">
        <v>4318</v>
      </c>
      <c r="UT42">
        <v>11229</v>
      </c>
      <c r="UU42">
        <v>32849</v>
      </c>
      <c r="UV42">
        <v>0</v>
      </c>
      <c r="UW42">
        <v>15604</v>
      </c>
      <c r="UX42">
        <v>26281</v>
      </c>
      <c r="UY42">
        <v>6744</v>
      </c>
      <c r="UZ42">
        <v>29951</v>
      </c>
      <c r="VA42">
        <v>22205</v>
      </c>
      <c r="VB42">
        <v>3849</v>
      </c>
      <c r="VC42">
        <v>7824</v>
      </c>
      <c r="VD42">
        <v>8691</v>
      </c>
      <c r="VE42">
        <v>25334</v>
      </c>
      <c r="VF42">
        <v>18017</v>
      </c>
      <c r="VG42">
        <v>9145</v>
      </c>
      <c r="VH42">
        <v>10844</v>
      </c>
      <c r="VI42">
        <v>52759</v>
      </c>
      <c r="VJ42">
        <v>26975</v>
      </c>
      <c r="VK42">
        <v>24836</v>
      </c>
      <c r="VL42">
        <v>37541</v>
      </c>
      <c r="VM42">
        <v>16157</v>
      </c>
      <c r="VN42">
        <v>15676</v>
      </c>
      <c r="VO42">
        <v>32134</v>
      </c>
      <c r="VP42">
        <v>76354</v>
      </c>
      <c r="VQ42">
        <v>13594</v>
      </c>
      <c r="VR42">
        <v>5409</v>
      </c>
      <c r="VS42">
        <v>0</v>
      </c>
      <c r="VT42">
        <v>5272</v>
      </c>
      <c r="VU42">
        <v>7905</v>
      </c>
      <c r="VV42">
        <v>17040</v>
      </c>
      <c r="VW42">
        <v>8896</v>
      </c>
      <c r="VX42">
        <v>0</v>
      </c>
      <c r="VY42">
        <v>6893</v>
      </c>
      <c r="VZ42">
        <v>32028</v>
      </c>
      <c r="WA42">
        <v>13247</v>
      </c>
      <c r="WB42">
        <v>12349</v>
      </c>
      <c r="WC42">
        <v>51792</v>
      </c>
      <c r="WD42">
        <v>19387</v>
      </c>
      <c r="WE42">
        <v>0</v>
      </c>
      <c r="WF42">
        <v>8220</v>
      </c>
      <c r="WG42">
        <v>11393</v>
      </c>
      <c r="WH42">
        <v>39896</v>
      </c>
      <c r="WI42">
        <v>29243</v>
      </c>
      <c r="WJ42">
        <v>18894</v>
      </c>
      <c r="WK42">
        <v>32632</v>
      </c>
      <c r="WL42">
        <v>10119</v>
      </c>
      <c r="WM42">
        <v>27871</v>
      </c>
      <c r="WN42">
        <v>29714</v>
      </c>
      <c r="WO42">
        <v>16205</v>
      </c>
      <c r="WP42">
        <v>15894</v>
      </c>
      <c r="WQ42">
        <v>53184</v>
      </c>
      <c r="WR42">
        <v>53000</v>
      </c>
      <c r="WS42">
        <v>0</v>
      </c>
      <c r="WT42">
        <v>19361</v>
      </c>
      <c r="WU42">
        <v>10108</v>
      </c>
      <c r="WV42">
        <v>2872</v>
      </c>
      <c r="WW42">
        <v>8688</v>
      </c>
      <c r="WX42">
        <v>11401</v>
      </c>
      <c r="WY42">
        <v>12498</v>
      </c>
      <c r="WZ42">
        <v>0</v>
      </c>
      <c r="XA42">
        <v>10271</v>
      </c>
      <c r="XB42">
        <v>33583</v>
      </c>
      <c r="XC42">
        <v>35253</v>
      </c>
      <c r="XD42">
        <v>10849</v>
      </c>
      <c r="XE42">
        <v>17020</v>
      </c>
      <c r="XF42">
        <v>14582</v>
      </c>
      <c r="XG42">
        <v>4871</v>
      </c>
      <c r="XH42">
        <v>17744</v>
      </c>
      <c r="XI42">
        <v>12718</v>
      </c>
      <c r="XJ42">
        <v>8091</v>
      </c>
      <c r="XK42">
        <v>13244</v>
      </c>
      <c r="XL42">
        <v>13246</v>
      </c>
      <c r="XM42">
        <v>13038</v>
      </c>
      <c r="XN42">
        <v>52864</v>
      </c>
      <c r="XO42">
        <v>37998</v>
      </c>
      <c r="XP42">
        <v>10445</v>
      </c>
      <c r="XQ42">
        <v>42425</v>
      </c>
      <c r="XR42">
        <v>16619</v>
      </c>
      <c r="XS42">
        <v>15150</v>
      </c>
      <c r="XT42">
        <v>11218</v>
      </c>
      <c r="XU42">
        <v>0</v>
      </c>
      <c r="XV42">
        <v>0</v>
      </c>
      <c r="XW42">
        <v>16608</v>
      </c>
      <c r="XX42">
        <v>9170</v>
      </c>
      <c r="XY42">
        <v>13619</v>
      </c>
      <c r="XZ42">
        <v>59210</v>
      </c>
      <c r="YA42">
        <v>6327</v>
      </c>
      <c r="YB42">
        <v>0</v>
      </c>
      <c r="YC42">
        <v>0</v>
      </c>
      <c r="YD42">
        <v>4618</v>
      </c>
      <c r="YE42">
        <v>17333</v>
      </c>
      <c r="YF42">
        <v>7225</v>
      </c>
      <c r="YG42">
        <v>12557</v>
      </c>
      <c r="YH42">
        <v>13452</v>
      </c>
      <c r="YI42">
        <v>0</v>
      </c>
      <c r="YJ42">
        <v>7119</v>
      </c>
      <c r="YK42">
        <v>0</v>
      </c>
      <c r="YL42">
        <v>10062</v>
      </c>
      <c r="YM42">
        <v>68849</v>
      </c>
      <c r="YN42">
        <v>15274</v>
      </c>
      <c r="YO42">
        <v>16929</v>
      </c>
      <c r="YP42">
        <v>0</v>
      </c>
      <c r="YQ42">
        <v>14125</v>
      </c>
      <c r="YR42">
        <v>13991</v>
      </c>
      <c r="YS42">
        <v>33715</v>
      </c>
      <c r="YT42">
        <v>29097</v>
      </c>
      <c r="YU42">
        <v>12337</v>
      </c>
      <c r="YV42">
        <v>15078</v>
      </c>
      <c r="YW42">
        <v>0</v>
      </c>
      <c r="YX42">
        <v>12592</v>
      </c>
      <c r="YY42">
        <v>9854</v>
      </c>
      <c r="YZ42">
        <v>20028</v>
      </c>
      <c r="ZA42">
        <v>19794</v>
      </c>
      <c r="ZB42" s="18"/>
      <c r="ZC42" s="18"/>
      <c r="ZD42">
        <v>0</v>
      </c>
      <c r="ZE42">
        <v>4550</v>
      </c>
      <c r="ZF42">
        <v>8149</v>
      </c>
      <c r="ZG42">
        <v>5355</v>
      </c>
      <c r="ZH42">
        <v>6885</v>
      </c>
      <c r="ZI42">
        <v>6990</v>
      </c>
      <c r="ZJ42">
        <v>24019</v>
      </c>
      <c r="ZK42">
        <v>0</v>
      </c>
      <c r="ZL42">
        <v>28072</v>
      </c>
      <c r="ZM42">
        <v>3385</v>
      </c>
      <c r="ZN42">
        <v>5111</v>
      </c>
      <c r="ZO42">
        <v>40732</v>
      </c>
      <c r="ZP42">
        <v>30523</v>
      </c>
      <c r="ZQ42">
        <v>38593</v>
      </c>
      <c r="ZR42">
        <v>0</v>
      </c>
      <c r="ZS42">
        <v>34552</v>
      </c>
      <c r="ZT42">
        <v>52911</v>
      </c>
      <c r="ZU42">
        <v>24755</v>
      </c>
      <c r="ZV42">
        <v>33440</v>
      </c>
      <c r="ZW42">
        <v>33349</v>
      </c>
      <c r="ZX42">
        <v>26540</v>
      </c>
      <c r="ZY42">
        <v>0</v>
      </c>
      <c r="ZZ42">
        <v>31596</v>
      </c>
      <c r="AAA42">
        <v>11976</v>
      </c>
      <c r="AAB42">
        <v>9295</v>
      </c>
      <c r="AAC42">
        <v>24188</v>
      </c>
      <c r="AAD42">
        <v>11337</v>
      </c>
      <c r="AAE42">
        <v>13593</v>
      </c>
      <c r="AAI42">
        <v>10162</v>
      </c>
      <c r="AAJ42">
        <v>15592</v>
      </c>
      <c r="AAK42">
        <v>15014</v>
      </c>
      <c r="AAL42">
        <v>12428</v>
      </c>
      <c r="AAM42">
        <v>3661</v>
      </c>
      <c r="AAN42">
        <v>6743</v>
      </c>
      <c r="AAO42">
        <v>15848</v>
      </c>
      <c r="AAP42">
        <v>19568</v>
      </c>
      <c r="AAQ42">
        <v>111448</v>
      </c>
      <c r="AAR42">
        <v>6337</v>
      </c>
      <c r="AAS42">
        <v>31166</v>
      </c>
      <c r="AAT42">
        <v>0</v>
      </c>
      <c r="AAU42">
        <v>0</v>
      </c>
      <c r="AAV42">
        <v>49931</v>
      </c>
      <c r="AAW42">
        <v>133519</v>
      </c>
      <c r="AAX42">
        <v>36477</v>
      </c>
      <c r="AAY42">
        <v>23704</v>
      </c>
      <c r="AAZ42">
        <v>10972</v>
      </c>
      <c r="ABA42">
        <v>3174</v>
      </c>
      <c r="ABB42">
        <v>17088</v>
      </c>
      <c r="ABC42">
        <v>24221</v>
      </c>
      <c r="ABD42">
        <v>51739</v>
      </c>
      <c r="ABE42">
        <v>0</v>
      </c>
      <c r="ABF42">
        <v>9646</v>
      </c>
      <c r="ABG42">
        <v>10391</v>
      </c>
      <c r="ABH42">
        <v>0</v>
      </c>
      <c r="ABI42">
        <v>14527</v>
      </c>
      <c r="ABJ42">
        <v>20175</v>
      </c>
      <c r="ABK42">
        <v>25425</v>
      </c>
      <c r="ABL42">
        <v>23199</v>
      </c>
      <c r="ABM42">
        <v>0</v>
      </c>
      <c r="ABN42">
        <v>10635</v>
      </c>
      <c r="ABO42">
        <v>2721</v>
      </c>
      <c r="ABP42">
        <v>3961</v>
      </c>
      <c r="ABQ42">
        <v>6862</v>
      </c>
      <c r="ABR42">
        <v>11687</v>
      </c>
      <c r="ABS42">
        <v>16714</v>
      </c>
      <c r="ABT42">
        <v>43706</v>
      </c>
      <c r="ABU42">
        <v>7046</v>
      </c>
      <c r="ABV42">
        <v>2487</v>
      </c>
      <c r="ABW42">
        <v>31773</v>
      </c>
      <c r="ABX42">
        <v>3933</v>
      </c>
      <c r="ABY42">
        <v>9682</v>
      </c>
      <c r="ABZ42">
        <v>11075</v>
      </c>
      <c r="ACA42">
        <v>18595</v>
      </c>
      <c r="ACB42">
        <v>11087</v>
      </c>
      <c r="ACC42">
        <v>0</v>
      </c>
      <c r="ACD42">
        <v>4032</v>
      </c>
      <c r="ACE42">
        <v>12050</v>
      </c>
      <c r="ACF42">
        <v>10099</v>
      </c>
      <c r="ACG42">
        <v>85159</v>
      </c>
      <c r="ACH42">
        <v>30492</v>
      </c>
      <c r="ACI42">
        <v>16005</v>
      </c>
      <c r="ACJ42">
        <v>3749</v>
      </c>
      <c r="ACK42">
        <v>6619</v>
      </c>
      <c r="ACL42">
        <v>6908</v>
      </c>
      <c r="ACM42">
        <v>8314</v>
      </c>
      <c r="ACN42">
        <v>11819</v>
      </c>
      <c r="ACO42">
        <v>0</v>
      </c>
      <c r="ACP42">
        <v>0</v>
      </c>
      <c r="ACQ42">
        <v>0</v>
      </c>
      <c r="ACR42">
        <v>7901</v>
      </c>
      <c r="ACS42">
        <v>5179</v>
      </c>
      <c r="ACT42">
        <v>9674</v>
      </c>
      <c r="ACU42">
        <v>19059</v>
      </c>
      <c r="ACV42">
        <v>7210</v>
      </c>
      <c r="ACW42">
        <v>10830</v>
      </c>
      <c r="ACX42">
        <v>0</v>
      </c>
      <c r="ACY42">
        <v>15404</v>
      </c>
      <c r="ACZ42">
        <v>9991</v>
      </c>
      <c r="ADA42">
        <v>21798</v>
      </c>
      <c r="ADB42">
        <v>15086</v>
      </c>
      <c r="ADC42">
        <v>44508</v>
      </c>
      <c r="ADD42">
        <v>40453</v>
      </c>
      <c r="ADE42">
        <v>8109</v>
      </c>
      <c r="ADF42">
        <v>12389</v>
      </c>
      <c r="ADG42">
        <v>12183</v>
      </c>
      <c r="ADH42">
        <v>15356</v>
      </c>
      <c r="ADI42">
        <v>17245</v>
      </c>
      <c r="ADJ42">
        <v>12546</v>
      </c>
      <c r="ADK42">
        <v>9527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2284</v>
      </c>
      <c r="AEB42">
        <v>22066</v>
      </c>
      <c r="AEC42">
        <v>5094</v>
      </c>
      <c r="AED42">
        <v>12536</v>
      </c>
      <c r="AEE42">
        <v>24305</v>
      </c>
      <c r="AEF42">
        <v>46754</v>
      </c>
      <c r="AEG42">
        <v>0</v>
      </c>
      <c r="AEH42">
        <v>12324</v>
      </c>
      <c r="AEI42">
        <v>46852</v>
      </c>
      <c r="AEJ42">
        <v>14666</v>
      </c>
      <c r="AEK42">
        <v>23642</v>
      </c>
      <c r="AEL42">
        <v>0</v>
      </c>
      <c r="AEM42">
        <v>0</v>
      </c>
      <c r="AEN42">
        <v>15122</v>
      </c>
      <c r="AEO42">
        <v>31915</v>
      </c>
      <c r="AEP42">
        <v>29869</v>
      </c>
      <c r="AEQ42">
        <v>15028</v>
      </c>
      <c r="AER42">
        <v>14440</v>
      </c>
      <c r="AES42">
        <v>9540</v>
      </c>
      <c r="AET42">
        <v>5599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3223</v>
      </c>
      <c r="AFC42">
        <v>9921</v>
      </c>
      <c r="AFD42">
        <v>4798</v>
      </c>
      <c r="AFE42">
        <v>10869</v>
      </c>
      <c r="AFF42">
        <v>8655</v>
      </c>
      <c r="AFG42">
        <v>18380</v>
      </c>
      <c r="AFH42">
        <v>27437</v>
      </c>
      <c r="AFI42">
        <v>0</v>
      </c>
      <c r="AFJ42">
        <v>17211</v>
      </c>
      <c r="AFK42">
        <v>3856</v>
      </c>
      <c r="AFL42">
        <v>7026</v>
      </c>
      <c r="AFM42">
        <v>8393</v>
      </c>
      <c r="AFN42">
        <v>14438</v>
      </c>
      <c r="AFO42">
        <v>9682</v>
      </c>
      <c r="AFP42">
        <v>0</v>
      </c>
      <c r="AFQ42">
        <v>14390</v>
      </c>
      <c r="AFR42">
        <v>10548</v>
      </c>
      <c r="AFS42">
        <v>29889</v>
      </c>
      <c r="AFT42">
        <v>22097</v>
      </c>
      <c r="AFU42">
        <v>0</v>
      </c>
      <c r="AFV42">
        <v>0</v>
      </c>
      <c r="AFW42">
        <v>0</v>
      </c>
      <c r="AFX42">
        <v>6719</v>
      </c>
      <c r="AFY42">
        <v>5608</v>
      </c>
      <c r="AFZ42">
        <v>9436</v>
      </c>
      <c r="AGA42">
        <v>4194</v>
      </c>
      <c r="AGB42">
        <v>6449</v>
      </c>
      <c r="AGC42">
        <v>5872</v>
      </c>
      <c r="AGD42">
        <v>0</v>
      </c>
      <c r="AGE42">
        <v>5759</v>
      </c>
      <c r="AGF42">
        <v>3792</v>
      </c>
      <c r="AGG42">
        <v>6748</v>
      </c>
      <c r="AGH42">
        <v>4734</v>
      </c>
      <c r="AGI42">
        <v>18280</v>
      </c>
      <c r="AGJ42">
        <v>0</v>
      </c>
      <c r="AGK42">
        <v>0</v>
      </c>
      <c r="AGL42">
        <v>8724</v>
      </c>
      <c r="AGM42">
        <v>11444</v>
      </c>
      <c r="AGN42">
        <v>10975</v>
      </c>
      <c r="AGO42">
        <v>13920</v>
      </c>
      <c r="AGP42">
        <v>14328</v>
      </c>
      <c r="AGQ42">
        <v>8792</v>
      </c>
      <c r="AGR42">
        <v>9045</v>
      </c>
      <c r="AGS42">
        <v>9091</v>
      </c>
      <c r="AGT42">
        <v>9527</v>
      </c>
      <c r="AGU42">
        <v>17626</v>
      </c>
      <c r="AGV42">
        <v>28496</v>
      </c>
      <c r="AGW42">
        <v>31647</v>
      </c>
      <c r="AGX42">
        <v>13880</v>
      </c>
      <c r="AGY42">
        <v>33263</v>
      </c>
      <c r="AGZ42">
        <v>15596</v>
      </c>
      <c r="AHA42">
        <v>34488</v>
      </c>
      <c r="AHB42">
        <v>11467</v>
      </c>
      <c r="AHC42">
        <v>9586</v>
      </c>
      <c r="AHD42">
        <v>18214</v>
      </c>
      <c r="AHE42">
        <v>6697</v>
      </c>
      <c r="AHF42">
        <v>11907</v>
      </c>
      <c r="AHH42">
        <v>0</v>
      </c>
      <c r="AHI42">
        <v>15413</v>
      </c>
      <c r="AHJ42">
        <v>39969</v>
      </c>
      <c r="AHK42">
        <v>9617</v>
      </c>
      <c r="AHL42">
        <v>9629</v>
      </c>
      <c r="AHM42">
        <v>7936</v>
      </c>
      <c r="AHN42">
        <v>14944</v>
      </c>
      <c r="AHO42">
        <v>15669</v>
      </c>
      <c r="AHP42">
        <v>14198</v>
      </c>
      <c r="AHQ42">
        <v>18402</v>
      </c>
      <c r="AHR42">
        <v>40961</v>
      </c>
      <c r="AHS42">
        <v>7063</v>
      </c>
      <c r="AHT42">
        <v>0</v>
      </c>
      <c r="AHU42">
        <v>0</v>
      </c>
      <c r="AHV42">
        <v>0</v>
      </c>
      <c r="AHW42">
        <v>0</v>
      </c>
      <c r="AIA42">
        <v>18551</v>
      </c>
      <c r="AIB42">
        <v>11235</v>
      </c>
      <c r="AIC42">
        <v>11329</v>
      </c>
      <c r="AID42">
        <v>17875</v>
      </c>
      <c r="AIE42">
        <v>18620</v>
      </c>
      <c r="AIF42">
        <v>25641</v>
      </c>
      <c r="AIG42">
        <v>5433</v>
      </c>
      <c r="AIH42">
        <v>7273</v>
      </c>
      <c r="AII42">
        <v>0</v>
      </c>
      <c r="AIJ42">
        <v>29607</v>
      </c>
      <c r="AIK42">
        <v>79607</v>
      </c>
      <c r="AIL42">
        <v>69607</v>
      </c>
      <c r="AIM42">
        <v>13940</v>
      </c>
      <c r="AIN42">
        <v>18257</v>
      </c>
      <c r="AIO42">
        <v>6826</v>
      </c>
      <c r="AIP42">
        <v>12782</v>
      </c>
      <c r="AIQ42">
        <v>11441</v>
      </c>
      <c r="AIR42">
        <v>27896</v>
      </c>
      <c r="AIS42">
        <v>33423</v>
      </c>
      <c r="AIT42">
        <v>15977</v>
      </c>
      <c r="AIU42">
        <v>8686</v>
      </c>
      <c r="AIV42">
        <v>1838</v>
      </c>
      <c r="AIW42">
        <v>8830</v>
      </c>
      <c r="AIX42">
        <v>20599</v>
      </c>
      <c r="AIY42">
        <v>50948</v>
      </c>
      <c r="AIZ42">
        <v>8445</v>
      </c>
      <c r="AJA42">
        <v>22896</v>
      </c>
      <c r="AJB42">
        <v>28047</v>
      </c>
      <c r="AJC42">
        <v>0</v>
      </c>
      <c r="AJD42">
        <v>4503</v>
      </c>
      <c r="AJE42">
        <v>13360</v>
      </c>
      <c r="AJF42">
        <v>11887</v>
      </c>
      <c r="AJG42">
        <v>11564</v>
      </c>
      <c r="AJH42">
        <v>17259</v>
      </c>
      <c r="AJI42">
        <v>11686</v>
      </c>
      <c r="AJJ42">
        <v>10978</v>
      </c>
      <c r="AJK42">
        <v>13378</v>
      </c>
      <c r="AJL42">
        <v>8416</v>
      </c>
      <c r="AJM42">
        <v>5380</v>
      </c>
      <c r="AJN42">
        <v>10184</v>
      </c>
      <c r="AJO42">
        <v>10085</v>
      </c>
      <c r="AJP42">
        <v>9355</v>
      </c>
      <c r="AJQ42">
        <v>698</v>
      </c>
      <c r="AJR42">
        <v>6536</v>
      </c>
      <c r="AJS42">
        <v>10288</v>
      </c>
      <c r="AJT42">
        <v>3573</v>
      </c>
      <c r="AJU42">
        <v>3707</v>
      </c>
      <c r="AJV42">
        <v>21972</v>
      </c>
      <c r="AJW42">
        <v>11106</v>
      </c>
      <c r="AJX42">
        <v>10839</v>
      </c>
      <c r="AJY42">
        <v>16706</v>
      </c>
      <c r="AJZ42">
        <v>10440</v>
      </c>
      <c r="AKA42">
        <v>12762</v>
      </c>
      <c r="AKB42">
        <v>13452</v>
      </c>
      <c r="AKC42">
        <v>25751</v>
      </c>
      <c r="AKD42">
        <v>8935</v>
      </c>
      <c r="AKE42">
        <v>0</v>
      </c>
      <c r="AKF42">
        <v>14075</v>
      </c>
    </row>
    <row r="43" spans="1:968" s="8" customFormat="1">
      <c r="C43" s="9">
        <v>82622</v>
      </c>
      <c r="D43" s="9" t="s">
        <v>28</v>
      </c>
      <c r="E43" s="9" t="s">
        <v>135</v>
      </c>
      <c r="F43" s="10"/>
      <c r="G43" s="10"/>
      <c r="H43" s="10"/>
      <c r="I43" s="10"/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AEU43" s="8">
        <v>0</v>
      </c>
    </row>
    <row r="44" spans="1:968">
      <c r="A44">
        <v>1</v>
      </c>
      <c r="B44" t="s">
        <v>136</v>
      </c>
      <c r="C44" s="1">
        <v>82622</v>
      </c>
      <c r="D44" s="1" t="s">
        <v>28</v>
      </c>
      <c r="E44" s="1" t="s">
        <v>135</v>
      </c>
      <c r="F44" s="1" t="s">
        <v>137</v>
      </c>
      <c r="G44" s="1" t="s">
        <v>33</v>
      </c>
      <c r="H44" s="1" t="s">
        <v>21</v>
      </c>
      <c r="I44" s="1" t="s">
        <v>45</v>
      </c>
      <c r="J44" s="17" t="s">
        <v>46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1095</v>
      </c>
      <c r="BW44">
        <v>0</v>
      </c>
      <c r="BX44">
        <v>635</v>
      </c>
      <c r="BY44">
        <v>0</v>
      </c>
      <c r="BZ44">
        <v>0</v>
      </c>
      <c r="CA44">
        <v>0</v>
      </c>
      <c r="CB44">
        <v>0</v>
      </c>
      <c r="CC44">
        <v>3181</v>
      </c>
      <c r="CD44">
        <v>2900</v>
      </c>
      <c r="CE44">
        <v>0</v>
      </c>
      <c r="CF44">
        <v>0</v>
      </c>
      <c r="CG44">
        <v>0</v>
      </c>
      <c r="CH44">
        <v>540</v>
      </c>
      <c r="CI44">
        <v>13380</v>
      </c>
      <c r="CJ44">
        <v>1401</v>
      </c>
      <c r="CK44">
        <v>580</v>
      </c>
      <c r="CL44">
        <v>1899</v>
      </c>
      <c r="CM44">
        <v>0</v>
      </c>
      <c r="CN44">
        <v>0</v>
      </c>
      <c r="CO44">
        <v>0</v>
      </c>
      <c r="CP44">
        <v>2759</v>
      </c>
      <c r="CQ44">
        <v>2293</v>
      </c>
      <c r="CR44">
        <v>2841</v>
      </c>
      <c r="CS44">
        <v>0</v>
      </c>
      <c r="CT44">
        <v>0</v>
      </c>
      <c r="CU44">
        <v>0</v>
      </c>
      <c r="CV44">
        <v>2415</v>
      </c>
      <c r="CW44">
        <v>11121</v>
      </c>
      <c r="CX44">
        <v>286</v>
      </c>
      <c r="CY44">
        <v>1317</v>
      </c>
      <c r="CZ44">
        <v>1455</v>
      </c>
      <c r="DA44">
        <v>0</v>
      </c>
      <c r="DB44">
        <v>0</v>
      </c>
      <c r="DC44">
        <v>5930</v>
      </c>
      <c r="DD44">
        <v>11184</v>
      </c>
      <c r="DE44">
        <v>338</v>
      </c>
      <c r="DF44">
        <v>2438</v>
      </c>
      <c r="DG44">
        <v>0</v>
      </c>
      <c r="DH44">
        <v>0</v>
      </c>
      <c r="DI44">
        <v>0</v>
      </c>
      <c r="DJ44">
        <v>5429</v>
      </c>
      <c r="DK44">
        <v>0</v>
      </c>
      <c r="DL44">
        <v>985</v>
      </c>
      <c r="DM44">
        <v>10589</v>
      </c>
      <c r="DN44">
        <v>1300</v>
      </c>
      <c r="DO44">
        <v>266</v>
      </c>
      <c r="DQ44">
        <v>5760</v>
      </c>
      <c r="DR44">
        <v>550</v>
      </c>
      <c r="DS44">
        <v>4347</v>
      </c>
      <c r="DT44">
        <v>4941</v>
      </c>
      <c r="DU44">
        <v>184</v>
      </c>
      <c r="DV44">
        <v>0</v>
      </c>
      <c r="DW44">
        <v>0</v>
      </c>
      <c r="DX44">
        <v>0</v>
      </c>
      <c r="DY44">
        <v>9519</v>
      </c>
      <c r="DZ44">
        <v>3338</v>
      </c>
      <c r="EA44">
        <v>0</v>
      </c>
      <c r="EB44">
        <v>11120</v>
      </c>
      <c r="EC44">
        <v>0</v>
      </c>
      <c r="ED44">
        <v>0</v>
      </c>
      <c r="EE44">
        <v>3023</v>
      </c>
      <c r="EF44">
        <v>1842</v>
      </c>
      <c r="EG44">
        <v>200</v>
      </c>
      <c r="EH44">
        <v>4998</v>
      </c>
      <c r="EI44">
        <v>857</v>
      </c>
      <c r="EJ44">
        <v>1500</v>
      </c>
      <c r="EK44">
        <v>0</v>
      </c>
      <c r="EL44">
        <v>3599</v>
      </c>
      <c r="EM44">
        <v>19210</v>
      </c>
      <c r="EN44">
        <v>90</v>
      </c>
      <c r="EO44">
        <v>830</v>
      </c>
      <c r="EP44">
        <v>637</v>
      </c>
      <c r="EQ44">
        <v>0</v>
      </c>
      <c r="ER44">
        <v>0</v>
      </c>
      <c r="ES44">
        <v>3585</v>
      </c>
      <c r="ET44">
        <v>0</v>
      </c>
      <c r="EU44">
        <v>2640</v>
      </c>
      <c r="EV44">
        <v>0</v>
      </c>
      <c r="EW44">
        <v>1404</v>
      </c>
      <c r="EX44">
        <v>600</v>
      </c>
      <c r="EY44">
        <v>0</v>
      </c>
      <c r="EZ44">
        <v>54091</v>
      </c>
      <c r="FA44">
        <v>10854</v>
      </c>
      <c r="FB44">
        <v>61304</v>
      </c>
      <c r="FC44">
        <v>44494</v>
      </c>
      <c r="FD44">
        <v>12779</v>
      </c>
      <c r="FE44">
        <v>13988</v>
      </c>
      <c r="FF44">
        <v>0</v>
      </c>
      <c r="FG44">
        <v>1997</v>
      </c>
      <c r="FH44">
        <v>4584</v>
      </c>
      <c r="FI44">
        <v>0</v>
      </c>
      <c r="FJ44">
        <v>3763</v>
      </c>
      <c r="FK44">
        <v>14018</v>
      </c>
      <c r="FL44">
        <v>0</v>
      </c>
      <c r="FM44">
        <v>0</v>
      </c>
      <c r="FN44">
        <v>2561</v>
      </c>
      <c r="FO44">
        <v>1100</v>
      </c>
      <c r="FP44">
        <v>15474</v>
      </c>
      <c r="FQ44">
        <v>10882</v>
      </c>
      <c r="FR44">
        <v>30000</v>
      </c>
      <c r="FS44">
        <v>0</v>
      </c>
      <c r="FT44">
        <v>0</v>
      </c>
      <c r="FU44">
        <v>0</v>
      </c>
      <c r="FV44">
        <v>0</v>
      </c>
      <c r="FW44">
        <v>5173</v>
      </c>
      <c r="FX44">
        <v>75</v>
      </c>
      <c r="FY44">
        <v>2555</v>
      </c>
      <c r="FZ44">
        <v>0</v>
      </c>
      <c r="GA44">
        <v>0</v>
      </c>
      <c r="GB44">
        <v>0</v>
      </c>
      <c r="GC44">
        <v>4496</v>
      </c>
      <c r="GD44">
        <v>25439</v>
      </c>
      <c r="GE44">
        <v>0</v>
      </c>
      <c r="GF44">
        <v>258</v>
      </c>
      <c r="GG44">
        <v>0</v>
      </c>
      <c r="GH44">
        <v>0</v>
      </c>
      <c r="GI44">
        <v>6980</v>
      </c>
      <c r="GJ44">
        <v>900</v>
      </c>
      <c r="GK44">
        <v>0</v>
      </c>
      <c r="GL44">
        <v>2926</v>
      </c>
      <c r="GM44">
        <v>5538</v>
      </c>
      <c r="GN44">
        <v>0</v>
      </c>
      <c r="GO44">
        <v>0</v>
      </c>
      <c r="GP44">
        <v>4589</v>
      </c>
      <c r="GQ44">
        <v>6711</v>
      </c>
      <c r="GR44">
        <v>34878</v>
      </c>
      <c r="GS44">
        <v>7615</v>
      </c>
      <c r="GT44">
        <v>6388</v>
      </c>
      <c r="GU44">
        <v>0</v>
      </c>
      <c r="GV44">
        <v>0</v>
      </c>
      <c r="GW44">
        <v>2150</v>
      </c>
      <c r="GX44">
        <v>2410</v>
      </c>
      <c r="GY44">
        <v>4695</v>
      </c>
      <c r="GZ44">
        <v>3501</v>
      </c>
      <c r="HA44">
        <v>2121</v>
      </c>
      <c r="HB44">
        <v>0</v>
      </c>
      <c r="HD44">
        <v>4244</v>
      </c>
      <c r="HE44">
        <v>2149</v>
      </c>
      <c r="HG44">
        <v>22850</v>
      </c>
      <c r="HH44">
        <v>15714</v>
      </c>
      <c r="HI44">
        <v>3905</v>
      </c>
      <c r="HJ44">
        <v>0</v>
      </c>
      <c r="HK44">
        <v>3250</v>
      </c>
      <c r="HL44">
        <v>1300</v>
      </c>
      <c r="HM44">
        <v>600</v>
      </c>
      <c r="HN44">
        <v>4400</v>
      </c>
      <c r="HO44">
        <v>6609</v>
      </c>
      <c r="HP44">
        <v>1481</v>
      </c>
      <c r="HQ44">
        <v>0</v>
      </c>
      <c r="HR44">
        <v>0</v>
      </c>
      <c r="HS44">
        <v>3731</v>
      </c>
      <c r="HT44">
        <v>6567</v>
      </c>
      <c r="HU44">
        <v>13647</v>
      </c>
      <c r="HV44">
        <v>5650</v>
      </c>
      <c r="HW44">
        <v>1526</v>
      </c>
      <c r="HX44">
        <v>0</v>
      </c>
      <c r="HY44">
        <v>27437</v>
      </c>
      <c r="HZ44">
        <v>3109</v>
      </c>
      <c r="IA44">
        <v>2515</v>
      </c>
      <c r="IB44">
        <v>8339</v>
      </c>
      <c r="IC44">
        <v>0</v>
      </c>
      <c r="ID44">
        <v>2517</v>
      </c>
      <c r="IE44">
        <v>0</v>
      </c>
      <c r="IF44">
        <v>3940</v>
      </c>
      <c r="IG44">
        <v>1056</v>
      </c>
      <c r="IH44">
        <v>37075</v>
      </c>
      <c r="II44">
        <v>1234</v>
      </c>
      <c r="IJ44">
        <v>7186</v>
      </c>
      <c r="IK44">
        <v>6339</v>
      </c>
      <c r="IL44">
        <v>0</v>
      </c>
      <c r="IM44">
        <v>950</v>
      </c>
      <c r="IN44">
        <v>5647</v>
      </c>
      <c r="IO44">
        <v>3382</v>
      </c>
      <c r="IP44">
        <v>11825</v>
      </c>
      <c r="IQ44">
        <v>3997</v>
      </c>
      <c r="IR44">
        <v>3156</v>
      </c>
      <c r="IS44">
        <v>0</v>
      </c>
      <c r="IT44">
        <v>8850</v>
      </c>
      <c r="IU44">
        <v>6297</v>
      </c>
      <c r="IV44">
        <v>6881</v>
      </c>
      <c r="IW44">
        <v>4657</v>
      </c>
      <c r="IX44">
        <v>2938</v>
      </c>
      <c r="IY44">
        <v>2350</v>
      </c>
      <c r="IZ44">
        <v>0</v>
      </c>
      <c r="JA44">
        <v>2349</v>
      </c>
      <c r="JB44">
        <v>9508</v>
      </c>
      <c r="JC44">
        <v>947</v>
      </c>
      <c r="JD44">
        <v>3600</v>
      </c>
      <c r="JE44">
        <v>6559</v>
      </c>
      <c r="JF44">
        <v>613</v>
      </c>
      <c r="JG44">
        <v>0</v>
      </c>
      <c r="JH44">
        <v>4502</v>
      </c>
      <c r="JI44">
        <v>4795</v>
      </c>
      <c r="JJ44">
        <v>35708</v>
      </c>
      <c r="JK44">
        <v>2969</v>
      </c>
      <c r="JL44">
        <v>31257</v>
      </c>
      <c r="JM44">
        <v>0</v>
      </c>
      <c r="JN44">
        <v>0</v>
      </c>
      <c r="JO44">
        <v>1150</v>
      </c>
      <c r="JP44">
        <v>1163</v>
      </c>
      <c r="JQ44">
        <v>7256</v>
      </c>
      <c r="JR44">
        <v>2283</v>
      </c>
      <c r="JS44">
        <v>2985</v>
      </c>
      <c r="JT44">
        <v>1150</v>
      </c>
      <c r="JU44">
        <v>0</v>
      </c>
      <c r="JV44">
        <v>0</v>
      </c>
      <c r="JW44">
        <v>7233</v>
      </c>
      <c r="JX44">
        <v>180</v>
      </c>
      <c r="JY44">
        <v>1550</v>
      </c>
      <c r="JZ44">
        <v>7536</v>
      </c>
      <c r="KA44">
        <v>1828</v>
      </c>
      <c r="KB44">
        <v>0</v>
      </c>
      <c r="KC44">
        <v>5349</v>
      </c>
      <c r="KD44">
        <v>5430</v>
      </c>
      <c r="KE44">
        <v>13488</v>
      </c>
      <c r="KF44">
        <v>1950</v>
      </c>
      <c r="KG44">
        <v>12137</v>
      </c>
      <c r="KH44">
        <v>500</v>
      </c>
      <c r="KI44">
        <v>0</v>
      </c>
      <c r="KJ44">
        <v>0</v>
      </c>
      <c r="KK44">
        <v>2496</v>
      </c>
      <c r="KL44">
        <v>4552</v>
      </c>
      <c r="KM44">
        <v>2947</v>
      </c>
      <c r="KN44">
        <v>34546</v>
      </c>
      <c r="KO44">
        <v>850</v>
      </c>
      <c r="KP44">
        <v>0</v>
      </c>
      <c r="KQ44">
        <v>3570</v>
      </c>
      <c r="KR44">
        <v>6548</v>
      </c>
      <c r="KS44">
        <v>40038</v>
      </c>
      <c r="KT44">
        <v>3034</v>
      </c>
      <c r="KU44">
        <v>1460</v>
      </c>
      <c r="KV44">
        <v>2087</v>
      </c>
      <c r="KW44">
        <v>0</v>
      </c>
      <c r="KX44">
        <v>11031</v>
      </c>
      <c r="KY44">
        <v>2397</v>
      </c>
      <c r="KZ44">
        <v>25</v>
      </c>
      <c r="LA44">
        <v>5224</v>
      </c>
      <c r="LB44">
        <v>1303</v>
      </c>
      <c r="LC44">
        <v>8067</v>
      </c>
      <c r="LD44">
        <v>0</v>
      </c>
      <c r="LE44">
        <v>10642</v>
      </c>
      <c r="LF44">
        <v>0</v>
      </c>
      <c r="LG44">
        <v>4182</v>
      </c>
      <c r="LH44">
        <v>18100</v>
      </c>
      <c r="LI44">
        <v>0</v>
      </c>
      <c r="LJ44">
        <v>6214</v>
      </c>
      <c r="LK44">
        <v>0</v>
      </c>
      <c r="LL44">
        <v>2286</v>
      </c>
      <c r="LM44">
        <v>2990</v>
      </c>
      <c r="LN44">
        <v>26808</v>
      </c>
      <c r="LO44">
        <v>2118</v>
      </c>
      <c r="LP44">
        <v>3270</v>
      </c>
      <c r="LQ44">
        <v>0</v>
      </c>
      <c r="LR44">
        <v>0</v>
      </c>
      <c r="LS44">
        <v>3274</v>
      </c>
      <c r="LT44">
        <v>4827</v>
      </c>
      <c r="LU44">
        <v>3155</v>
      </c>
      <c r="LV44">
        <v>1750</v>
      </c>
      <c r="LW44">
        <v>36711</v>
      </c>
      <c r="LX44">
        <v>0</v>
      </c>
      <c r="LY44">
        <v>0</v>
      </c>
      <c r="LZ44">
        <v>4407</v>
      </c>
      <c r="MA44">
        <v>8123</v>
      </c>
      <c r="MB44">
        <v>7371</v>
      </c>
      <c r="MC44">
        <v>2215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51650</v>
      </c>
      <c r="MK44">
        <v>18160</v>
      </c>
      <c r="ML44">
        <v>0</v>
      </c>
      <c r="MM44">
        <v>0</v>
      </c>
      <c r="MN44">
        <v>6075</v>
      </c>
      <c r="MO44">
        <v>35932</v>
      </c>
      <c r="MP44">
        <v>11313</v>
      </c>
      <c r="MQ44">
        <v>0</v>
      </c>
      <c r="MR44">
        <v>4877</v>
      </c>
      <c r="MS44">
        <v>727</v>
      </c>
      <c r="MT44">
        <v>0</v>
      </c>
      <c r="MV44">
        <v>7664</v>
      </c>
      <c r="MW44">
        <v>3241</v>
      </c>
      <c r="MX44">
        <v>4322</v>
      </c>
      <c r="MY44">
        <v>6053</v>
      </c>
      <c r="MZ44">
        <v>6000</v>
      </c>
      <c r="NA44">
        <v>0</v>
      </c>
      <c r="NB44">
        <v>3424</v>
      </c>
      <c r="NC44">
        <v>5435</v>
      </c>
      <c r="ND44">
        <v>0</v>
      </c>
      <c r="NE44">
        <v>6857</v>
      </c>
      <c r="NF44">
        <v>4377</v>
      </c>
      <c r="NG44">
        <v>2635</v>
      </c>
      <c r="NH44">
        <v>0</v>
      </c>
      <c r="NI44">
        <v>1640</v>
      </c>
      <c r="NJ44">
        <v>4675</v>
      </c>
      <c r="NK44">
        <v>8414</v>
      </c>
      <c r="NL44">
        <v>14554</v>
      </c>
      <c r="NM44">
        <v>370</v>
      </c>
      <c r="NN44">
        <v>1622</v>
      </c>
      <c r="NO44">
        <v>0</v>
      </c>
      <c r="NQ44">
        <v>2305</v>
      </c>
      <c r="NR44">
        <v>4676</v>
      </c>
      <c r="NS44">
        <v>7389</v>
      </c>
      <c r="NT44">
        <v>2898</v>
      </c>
      <c r="NU44">
        <v>6638</v>
      </c>
      <c r="NV44">
        <v>0</v>
      </c>
      <c r="NW44">
        <v>4668</v>
      </c>
      <c r="NX44">
        <v>5764</v>
      </c>
      <c r="NY44">
        <v>9579</v>
      </c>
      <c r="NZ44">
        <v>796</v>
      </c>
      <c r="OA44">
        <v>3694</v>
      </c>
      <c r="OB44">
        <v>8747</v>
      </c>
      <c r="OD44">
        <v>61101</v>
      </c>
      <c r="OE44">
        <v>400</v>
      </c>
      <c r="OF44">
        <v>6301</v>
      </c>
      <c r="OG44">
        <v>6645</v>
      </c>
      <c r="OH44">
        <v>2500</v>
      </c>
      <c r="OI44">
        <v>0</v>
      </c>
      <c r="OJ44">
        <v>0</v>
      </c>
      <c r="OK44">
        <v>9074</v>
      </c>
      <c r="OL44">
        <v>7303</v>
      </c>
      <c r="OM44">
        <v>4040</v>
      </c>
      <c r="ON44">
        <v>1885</v>
      </c>
      <c r="OO44">
        <v>3880</v>
      </c>
      <c r="OP44">
        <v>419</v>
      </c>
      <c r="OQ44">
        <v>0</v>
      </c>
      <c r="OR44">
        <v>7902</v>
      </c>
      <c r="OS44">
        <v>4851</v>
      </c>
      <c r="OT44">
        <v>5707</v>
      </c>
      <c r="OV44">
        <v>13075</v>
      </c>
      <c r="OW44">
        <v>7680</v>
      </c>
      <c r="OX44">
        <v>0</v>
      </c>
      <c r="OY44">
        <v>9381</v>
      </c>
      <c r="OZ44">
        <v>3591</v>
      </c>
      <c r="PA44">
        <v>1235</v>
      </c>
      <c r="PB44">
        <v>1126</v>
      </c>
      <c r="PC44">
        <v>3392</v>
      </c>
      <c r="PD44">
        <v>1959</v>
      </c>
      <c r="PE44">
        <v>0</v>
      </c>
      <c r="PF44">
        <v>30150</v>
      </c>
      <c r="PG44">
        <v>5962</v>
      </c>
      <c r="PH44">
        <v>4600</v>
      </c>
      <c r="PI44">
        <v>2239</v>
      </c>
      <c r="PJ44">
        <v>11034</v>
      </c>
      <c r="PK44">
        <v>385</v>
      </c>
      <c r="PL44">
        <v>0</v>
      </c>
      <c r="PM44">
        <v>32746</v>
      </c>
      <c r="PN44">
        <v>2676</v>
      </c>
      <c r="PO44">
        <v>6522</v>
      </c>
      <c r="PP44">
        <v>4548</v>
      </c>
      <c r="PQ44">
        <v>4147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204</v>
      </c>
      <c r="PX44">
        <v>1013</v>
      </c>
      <c r="PY44">
        <v>0</v>
      </c>
      <c r="PZ44">
        <v>0</v>
      </c>
      <c r="QA44">
        <v>946</v>
      </c>
      <c r="QB44">
        <v>2560</v>
      </c>
      <c r="QC44">
        <v>0</v>
      </c>
      <c r="QD44">
        <v>0</v>
      </c>
      <c r="QE44">
        <v>1280</v>
      </c>
      <c r="QF44">
        <v>952</v>
      </c>
      <c r="QG44">
        <v>0</v>
      </c>
      <c r="QH44">
        <v>2370</v>
      </c>
      <c r="QI44">
        <v>2070</v>
      </c>
      <c r="QJ44">
        <v>6159</v>
      </c>
      <c r="QK44">
        <v>4150</v>
      </c>
      <c r="QL44">
        <v>35</v>
      </c>
      <c r="QM44">
        <v>2160</v>
      </c>
      <c r="QN44">
        <v>0</v>
      </c>
      <c r="QO44">
        <v>11623</v>
      </c>
      <c r="QP44">
        <v>2249</v>
      </c>
      <c r="QQ44">
        <v>2296</v>
      </c>
      <c r="QR44">
        <v>860</v>
      </c>
      <c r="QS44">
        <v>3636</v>
      </c>
      <c r="QT44">
        <v>1426</v>
      </c>
      <c r="QU44">
        <v>0</v>
      </c>
      <c r="QV44">
        <v>6229</v>
      </c>
      <c r="QW44">
        <v>1600</v>
      </c>
      <c r="QX44">
        <v>7755</v>
      </c>
      <c r="QY44">
        <v>1832</v>
      </c>
      <c r="QZ44">
        <v>0</v>
      </c>
      <c r="RA44">
        <v>6050</v>
      </c>
      <c r="RB44">
        <v>0</v>
      </c>
      <c r="RC44">
        <v>0</v>
      </c>
      <c r="RD44">
        <v>0</v>
      </c>
      <c r="RE44">
        <v>2816</v>
      </c>
      <c r="RF44">
        <v>4887</v>
      </c>
      <c r="RG44">
        <v>1092</v>
      </c>
      <c r="RH44">
        <v>0</v>
      </c>
      <c r="RI44">
        <v>0</v>
      </c>
      <c r="RJ44">
        <v>4936</v>
      </c>
      <c r="RK44">
        <v>4500</v>
      </c>
      <c r="RL44">
        <v>20157</v>
      </c>
      <c r="RM44">
        <v>1795</v>
      </c>
      <c r="RN44">
        <v>1146</v>
      </c>
      <c r="RO44">
        <v>662</v>
      </c>
      <c r="RP44">
        <v>0</v>
      </c>
      <c r="RQ44">
        <v>42</v>
      </c>
      <c r="RR44">
        <v>25</v>
      </c>
      <c r="RS44">
        <v>17288</v>
      </c>
      <c r="RT44">
        <v>3574</v>
      </c>
      <c r="RU44">
        <v>225</v>
      </c>
      <c r="RV44">
        <v>0</v>
      </c>
      <c r="RW44">
        <v>0</v>
      </c>
      <c r="RX44">
        <v>1789</v>
      </c>
      <c r="RY44">
        <v>2322</v>
      </c>
      <c r="RZ44">
        <v>5319</v>
      </c>
      <c r="SA44">
        <v>1978</v>
      </c>
      <c r="SB44">
        <v>310</v>
      </c>
      <c r="SC44">
        <v>1460</v>
      </c>
      <c r="SE44">
        <v>3222</v>
      </c>
      <c r="SF44">
        <v>4157</v>
      </c>
      <c r="SG44">
        <v>4307</v>
      </c>
      <c r="SH44">
        <v>998</v>
      </c>
      <c r="SI44">
        <v>1908</v>
      </c>
      <c r="SJ44">
        <v>4082</v>
      </c>
      <c r="SK44">
        <v>0</v>
      </c>
      <c r="SL44">
        <v>5360</v>
      </c>
      <c r="SM44">
        <v>3870</v>
      </c>
      <c r="SN44">
        <v>1231</v>
      </c>
      <c r="SO44">
        <v>3184</v>
      </c>
      <c r="SP44">
        <v>5153</v>
      </c>
      <c r="SS44">
        <v>3436</v>
      </c>
      <c r="ST44">
        <v>1720</v>
      </c>
      <c r="SU44">
        <v>3124</v>
      </c>
      <c r="SV44">
        <v>19779</v>
      </c>
      <c r="SW44">
        <v>0</v>
      </c>
      <c r="SX44">
        <v>450</v>
      </c>
      <c r="SY44">
        <v>0</v>
      </c>
      <c r="SZ44">
        <v>19670</v>
      </c>
      <c r="TA44">
        <v>3929</v>
      </c>
      <c r="TB44">
        <v>4275</v>
      </c>
      <c r="TC44">
        <v>12292</v>
      </c>
      <c r="TD44">
        <v>330</v>
      </c>
      <c r="TE44">
        <v>0</v>
      </c>
      <c r="TF44">
        <v>0</v>
      </c>
      <c r="TG44">
        <v>74</v>
      </c>
      <c r="TH44">
        <v>2107</v>
      </c>
      <c r="TI44">
        <v>2619</v>
      </c>
      <c r="TJ44">
        <v>2304</v>
      </c>
      <c r="TK44">
        <v>1756</v>
      </c>
      <c r="TL44">
        <v>2281</v>
      </c>
      <c r="TO44">
        <v>4240</v>
      </c>
      <c r="TP44">
        <v>1903</v>
      </c>
      <c r="TQ44">
        <v>1053</v>
      </c>
      <c r="TR44">
        <v>3654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1080</v>
      </c>
      <c r="TY44">
        <v>2679</v>
      </c>
      <c r="TZ44">
        <v>1646</v>
      </c>
      <c r="UA44">
        <v>0</v>
      </c>
      <c r="UB44">
        <v>4960</v>
      </c>
      <c r="UC44">
        <v>777</v>
      </c>
      <c r="UD44">
        <v>1108</v>
      </c>
      <c r="UE44">
        <v>5954</v>
      </c>
      <c r="UF44">
        <v>2172</v>
      </c>
      <c r="UG44">
        <v>999</v>
      </c>
      <c r="UH44">
        <v>0</v>
      </c>
      <c r="UI44">
        <v>3710</v>
      </c>
      <c r="UJ44">
        <v>3010</v>
      </c>
      <c r="UK44">
        <v>440</v>
      </c>
      <c r="UL44">
        <v>0</v>
      </c>
      <c r="UM44">
        <v>454</v>
      </c>
      <c r="UN44">
        <v>1969</v>
      </c>
      <c r="UO44">
        <v>0</v>
      </c>
      <c r="UP44">
        <v>0</v>
      </c>
      <c r="UQ44">
        <v>939</v>
      </c>
      <c r="UR44">
        <v>3594</v>
      </c>
      <c r="US44">
        <v>-300</v>
      </c>
      <c r="UT44">
        <v>2786</v>
      </c>
      <c r="UU44">
        <v>1046</v>
      </c>
      <c r="UV44">
        <v>0</v>
      </c>
      <c r="UX44">
        <v>2674</v>
      </c>
      <c r="UY44">
        <v>15311</v>
      </c>
      <c r="UZ44">
        <v>7826</v>
      </c>
      <c r="VA44">
        <v>2508</v>
      </c>
      <c r="VB44">
        <v>3121</v>
      </c>
      <c r="VC44">
        <v>0</v>
      </c>
      <c r="VD44">
        <v>3363</v>
      </c>
      <c r="VE44">
        <v>279</v>
      </c>
      <c r="VF44">
        <v>2002</v>
      </c>
      <c r="VG44">
        <v>2384</v>
      </c>
      <c r="VH44">
        <v>2179</v>
      </c>
      <c r="VI44">
        <v>2947</v>
      </c>
      <c r="VJ44">
        <v>0</v>
      </c>
      <c r="VK44">
        <v>2057</v>
      </c>
      <c r="VL44">
        <v>2071</v>
      </c>
      <c r="VM44">
        <v>0</v>
      </c>
      <c r="VN44">
        <v>200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5067</v>
      </c>
      <c r="VU44">
        <v>2</v>
      </c>
      <c r="VV44">
        <v>3390</v>
      </c>
      <c r="VW44">
        <v>0</v>
      </c>
      <c r="VX44">
        <v>0</v>
      </c>
      <c r="VY44">
        <v>0</v>
      </c>
      <c r="VZ44">
        <v>100</v>
      </c>
      <c r="WA44">
        <v>0</v>
      </c>
      <c r="WB44">
        <v>7207</v>
      </c>
      <c r="WC44">
        <v>461</v>
      </c>
      <c r="WD44">
        <v>0</v>
      </c>
      <c r="WE44">
        <v>0</v>
      </c>
      <c r="WF44">
        <v>1380</v>
      </c>
      <c r="WG44">
        <v>1297</v>
      </c>
      <c r="WH44">
        <v>10232</v>
      </c>
      <c r="WI44">
        <v>923</v>
      </c>
      <c r="WJ44">
        <v>6732</v>
      </c>
      <c r="WK44">
        <v>1446</v>
      </c>
      <c r="WL44">
        <v>0</v>
      </c>
      <c r="WM44">
        <v>670</v>
      </c>
      <c r="WN44">
        <v>4080</v>
      </c>
      <c r="WO44">
        <v>1730</v>
      </c>
      <c r="WP44">
        <v>1589</v>
      </c>
      <c r="WQ44">
        <v>5698</v>
      </c>
      <c r="WR44">
        <v>1090</v>
      </c>
      <c r="WS44">
        <v>0</v>
      </c>
      <c r="WT44">
        <v>1745</v>
      </c>
      <c r="WU44">
        <v>0</v>
      </c>
      <c r="WV44">
        <v>5316</v>
      </c>
      <c r="WW44">
        <v>13174</v>
      </c>
      <c r="WX44">
        <v>20</v>
      </c>
      <c r="WY44">
        <v>0</v>
      </c>
      <c r="WZ44">
        <v>0</v>
      </c>
      <c r="XA44">
        <v>253</v>
      </c>
      <c r="XB44">
        <v>20</v>
      </c>
      <c r="XC44">
        <v>2126</v>
      </c>
      <c r="XD44">
        <v>314</v>
      </c>
      <c r="XE44">
        <v>321</v>
      </c>
      <c r="XF44">
        <v>0</v>
      </c>
      <c r="XG44">
        <v>0</v>
      </c>
      <c r="XH44">
        <v>602</v>
      </c>
      <c r="XI44">
        <v>745</v>
      </c>
      <c r="XJ44">
        <v>792</v>
      </c>
      <c r="XK44">
        <v>150</v>
      </c>
      <c r="XL44">
        <v>379</v>
      </c>
      <c r="XM44">
        <v>2530</v>
      </c>
      <c r="XN44">
        <v>0</v>
      </c>
      <c r="XO44">
        <v>4241</v>
      </c>
      <c r="XP44">
        <v>1569</v>
      </c>
      <c r="XQ44">
        <v>551</v>
      </c>
      <c r="XR44">
        <v>500</v>
      </c>
      <c r="XS44">
        <v>184</v>
      </c>
      <c r="XT44">
        <v>863</v>
      </c>
      <c r="XU44">
        <v>0</v>
      </c>
      <c r="XV44">
        <v>0</v>
      </c>
      <c r="XW44">
        <v>2055</v>
      </c>
      <c r="XX44">
        <v>1800</v>
      </c>
      <c r="XY44">
        <v>1440</v>
      </c>
      <c r="XZ44">
        <v>4070</v>
      </c>
      <c r="YA44">
        <v>150</v>
      </c>
      <c r="YB44">
        <v>2861</v>
      </c>
      <c r="YC44">
        <v>789</v>
      </c>
      <c r="YD44">
        <v>10000</v>
      </c>
      <c r="YE44">
        <v>2470</v>
      </c>
      <c r="YF44">
        <v>986</v>
      </c>
      <c r="YG44">
        <v>2555</v>
      </c>
      <c r="YH44">
        <v>2555</v>
      </c>
      <c r="YI44">
        <v>0</v>
      </c>
      <c r="YJ44">
        <v>14173</v>
      </c>
      <c r="YK44">
        <v>0</v>
      </c>
      <c r="YL44">
        <v>0</v>
      </c>
      <c r="YM44">
        <v>154</v>
      </c>
      <c r="YN44">
        <v>1031</v>
      </c>
      <c r="YO44">
        <v>1658</v>
      </c>
      <c r="YP44">
        <v>5790</v>
      </c>
      <c r="YQ44">
        <v>4992</v>
      </c>
      <c r="YR44">
        <v>0</v>
      </c>
      <c r="YS44">
        <v>11876</v>
      </c>
      <c r="YT44">
        <v>2561</v>
      </c>
      <c r="YU44">
        <v>3900</v>
      </c>
      <c r="YV44">
        <v>7801</v>
      </c>
      <c r="YW44">
        <v>0</v>
      </c>
      <c r="YX44">
        <v>645</v>
      </c>
      <c r="YY44">
        <v>80</v>
      </c>
      <c r="YZ44">
        <v>15717</v>
      </c>
      <c r="ZA44">
        <v>5577</v>
      </c>
      <c r="ZB44">
        <v>2789</v>
      </c>
      <c r="ZC44">
        <v>6621</v>
      </c>
      <c r="ZD44">
        <v>0</v>
      </c>
      <c r="ZE44">
        <v>2983</v>
      </c>
      <c r="ZF44">
        <v>7110</v>
      </c>
      <c r="ZG44">
        <v>370</v>
      </c>
      <c r="ZH44">
        <v>2508</v>
      </c>
      <c r="ZI44">
        <v>2516</v>
      </c>
      <c r="ZJ44">
        <v>1093</v>
      </c>
      <c r="ZK44">
        <v>3213</v>
      </c>
      <c r="ZL44">
        <v>1862</v>
      </c>
      <c r="ZM44">
        <v>1073</v>
      </c>
      <c r="ZN44">
        <v>0</v>
      </c>
      <c r="ZO44">
        <v>13025</v>
      </c>
      <c r="ZP44">
        <v>1712</v>
      </c>
      <c r="ZQ44">
        <v>1208</v>
      </c>
      <c r="ZR44">
        <v>0</v>
      </c>
      <c r="ZS44">
        <v>168</v>
      </c>
      <c r="ZT44">
        <v>3433</v>
      </c>
      <c r="ZU44">
        <v>3468</v>
      </c>
      <c r="ZV44">
        <v>-500</v>
      </c>
      <c r="ZW44">
        <v>1665</v>
      </c>
      <c r="ZX44">
        <v>1400</v>
      </c>
      <c r="ZY44">
        <v>0</v>
      </c>
      <c r="ZZ44">
        <v>6041</v>
      </c>
      <c r="AAA44">
        <v>3731</v>
      </c>
      <c r="AAB44">
        <v>26587</v>
      </c>
      <c r="AAC44">
        <v>10365</v>
      </c>
      <c r="AAD44">
        <v>12248</v>
      </c>
      <c r="AAE44">
        <v>10310</v>
      </c>
      <c r="AAF44">
        <v>0</v>
      </c>
      <c r="AAG44">
        <v>3880</v>
      </c>
      <c r="AAH44">
        <v>5162</v>
      </c>
      <c r="AAI44">
        <v>2443</v>
      </c>
      <c r="AAJ44">
        <v>6144</v>
      </c>
      <c r="AAK44">
        <v>4508</v>
      </c>
      <c r="AAL44">
        <v>60</v>
      </c>
      <c r="AAM44">
        <v>0</v>
      </c>
      <c r="AAN44">
        <v>16878</v>
      </c>
      <c r="AAO44">
        <v>26494</v>
      </c>
      <c r="AAP44">
        <v>2991</v>
      </c>
      <c r="AAQ44">
        <v>12218</v>
      </c>
      <c r="AAR44">
        <v>2215</v>
      </c>
      <c r="AAS44">
        <v>201</v>
      </c>
      <c r="AAT44">
        <v>0</v>
      </c>
      <c r="AAU44">
        <v>0</v>
      </c>
      <c r="AAV44">
        <v>6080</v>
      </c>
      <c r="AAW44">
        <v>5625</v>
      </c>
      <c r="AAX44">
        <v>36102</v>
      </c>
      <c r="AAY44">
        <v>13670</v>
      </c>
      <c r="AAZ44">
        <v>2713</v>
      </c>
      <c r="ABA44">
        <v>0</v>
      </c>
      <c r="ABB44">
        <v>4336</v>
      </c>
      <c r="ABC44">
        <v>12937</v>
      </c>
      <c r="ABD44">
        <v>13171</v>
      </c>
      <c r="ABE44">
        <v>0</v>
      </c>
      <c r="ABF44">
        <v>7448</v>
      </c>
      <c r="ABG44">
        <v>9093</v>
      </c>
      <c r="ABH44">
        <v>0</v>
      </c>
      <c r="ABI44">
        <v>3591</v>
      </c>
      <c r="ABJ44">
        <v>15608</v>
      </c>
      <c r="ABK44">
        <v>7502</v>
      </c>
      <c r="ABL44">
        <v>5091</v>
      </c>
      <c r="ABM44">
        <v>6660</v>
      </c>
      <c r="ABN44">
        <v>1869</v>
      </c>
      <c r="ABO44">
        <v>0</v>
      </c>
      <c r="ABP44">
        <v>10093</v>
      </c>
      <c r="ABQ44">
        <v>24747</v>
      </c>
      <c r="ABR44">
        <v>1175</v>
      </c>
      <c r="ABS44">
        <v>5807</v>
      </c>
      <c r="ABT44">
        <v>18880</v>
      </c>
      <c r="ABU44">
        <v>1804</v>
      </c>
      <c r="ABV44">
        <v>0</v>
      </c>
      <c r="ABW44">
        <v>11971</v>
      </c>
      <c r="ABX44">
        <v>5679</v>
      </c>
      <c r="ABY44">
        <v>18286</v>
      </c>
      <c r="ABZ44">
        <v>20272</v>
      </c>
      <c r="ACA44">
        <v>5913</v>
      </c>
      <c r="ACB44">
        <v>4530</v>
      </c>
      <c r="ACC44">
        <v>0</v>
      </c>
      <c r="ACD44">
        <v>3957</v>
      </c>
      <c r="ACE44">
        <v>22062</v>
      </c>
      <c r="ACF44">
        <v>7044</v>
      </c>
      <c r="ACG44">
        <v>8059</v>
      </c>
      <c r="ACH44">
        <v>7157</v>
      </c>
      <c r="ACI44">
        <v>680</v>
      </c>
      <c r="ACJ44">
        <v>0</v>
      </c>
      <c r="ACK44">
        <v>32979</v>
      </c>
      <c r="ACL44">
        <v>787</v>
      </c>
      <c r="ACM44">
        <v>2780</v>
      </c>
      <c r="ACN44">
        <v>38648</v>
      </c>
      <c r="ACO44">
        <v>7281</v>
      </c>
      <c r="ACP44">
        <v>6107</v>
      </c>
      <c r="ACQ44">
        <v>0</v>
      </c>
      <c r="ACR44">
        <v>2199</v>
      </c>
      <c r="ACS44">
        <v>17561</v>
      </c>
      <c r="ACT44">
        <v>23728</v>
      </c>
      <c r="ACU44">
        <v>7138</v>
      </c>
      <c r="ACV44">
        <v>0</v>
      </c>
      <c r="ACW44">
        <v>5549</v>
      </c>
      <c r="ACX44">
        <v>8918</v>
      </c>
      <c r="ACY44">
        <v>6747</v>
      </c>
      <c r="ACZ44">
        <v>37737</v>
      </c>
      <c r="ADA44">
        <v>12650</v>
      </c>
      <c r="ADB44">
        <v>21946</v>
      </c>
      <c r="ADC44">
        <v>10378</v>
      </c>
      <c r="ADD44">
        <v>10378</v>
      </c>
      <c r="ADE44">
        <v>3005</v>
      </c>
      <c r="ADF44">
        <v>32569</v>
      </c>
      <c r="ADG44">
        <v>35362</v>
      </c>
      <c r="ADH44">
        <v>5964</v>
      </c>
      <c r="ADI44">
        <v>3391</v>
      </c>
      <c r="ADJ44">
        <v>4004</v>
      </c>
      <c r="ADK44">
        <v>4004</v>
      </c>
      <c r="ADL44">
        <v>0</v>
      </c>
      <c r="ADM44">
        <v>23680</v>
      </c>
      <c r="ADN44">
        <v>3392</v>
      </c>
      <c r="ADO44">
        <v>11332</v>
      </c>
      <c r="ADP44">
        <v>1158</v>
      </c>
      <c r="ADQ44">
        <v>0</v>
      </c>
      <c r="ADR44">
        <v>3984</v>
      </c>
      <c r="ADS44">
        <v>0</v>
      </c>
      <c r="ADT44">
        <v>6272</v>
      </c>
      <c r="ADU44">
        <v>0</v>
      </c>
      <c r="ADV44">
        <v>0</v>
      </c>
      <c r="ADW44">
        <v>0</v>
      </c>
      <c r="ADX44">
        <v>16523</v>
      </c>
      <c r="ADY44">
        <v>121</v>
      </c>
      <c r="ADZ44">
        <v>0</v>
      </c>
      <c r="AEA44">
        <v>42</v>
      </c>
      <c r="AEB44">
        <v>6190</v>
      </c>
      <c r="AEC44">
        <v>4300</v>
      </c>
      <c r="AED44">
        <v>289</v>
      </c>
      <c r="AEE44">
        <v>5010</v>
      </c>
      <c r="AEF44">
        <v>1508</v>
      </c>
      <c r="AEG44">
        <v>0</v>
      </c>
      <c r="AEH44">
        <v>2145</v>
      </c>
      <c r="AEI44">
        <v>6157</v>
      </c>
      <c r="AEJ44">
        <v>4730</v>
      </c>
      <c r="AEK44">
        <v>17886</v>
      </c>
      <c r="AEL44">
        <v>3374</v>
      </c>
      <c r="AEM44">
        <v>1263</v>
      </c>
      <c r="AEN44">
        <v>0</v>
      </c>
      <c r="AEO44">
        <v>600</v>
      </c>
      <c r="AEP44">
        <v>665</v>
      </c>
      <c r="AEQ44">
        <v>15897</v>
      </c>
      <c r="AER44">
        <v>6646</v>
      </c>
      <c r="AES44">
        <v>2631</v>
      </c>
      <c r="AET44">
        <v>1246</v>
      </c>
      <c r="AEU44">
        <v>0</v>
      </c>
      <c r="AEV44">
        <v>4605</v>
      </c>
      <c r="AEW44">
        <v>430</v>
      </c>
      <c r="AEX44">
        <v>2817</v>
      </c>
      <c r="AEY44">
        <v>4553</v>
      </c>
      <c r="AEZ44">
        <v>2797</v>
      </c>
      <c r="AFA44">
        <v>5243</v>
      </c>
      <c r="AFB44">
        <v>0</v>
      </c>
      <c r="AFC44">
        <v>92</v>
      </c>
      <c r="AFD44">
        <v>6653</v>
      </c>
      <c r="AFE44">
        <v>180</v>
      </c>
      <c r="AFF44">
        <v>1641</v>
      </c>
      <c r="AFG44">
        <v>10</v>
      </c>
      <c r="AFH44">
        <v>1410</v>
      </c>
      <c r="AFI44">
        <v>0</v>
      </c>
      <c r="AFJ44">
        <v>6485</v>
      </c>
      <c r="AFK44">
        <v>1015</v>
      </c>
      <c r="AFL44">
        <v>9498</v>
      </c>
      <c r="AFM44">
        <v>130</v>
      </c>
      <c r="AFN44">
        <v>1856</v>
      </c>
      <c r="AFO44">
        <v>81</v>
      </c>
      <c r="AFP44">
        <v>0</v>
      </c>
      <c r="AFQ44">
        <v>591</v>
      </c>
      <c r="AFR44">
        <v>410</v>
      </c>
      <c r="AFS44">
        <v>5280</v>
      </c>
      <c r="AFT44">
        <v>10217</v>
      </c>
      <c r="AFU44">
        <v>6986</v>
      </c>
      <c r="AFV44">
        <v>5966</v>
      </c>
      <c r="AFW44">
        <v>0</v>
      </c>
      <c r="AFX44">
        <v>-483</v>
      </c>
      <c r="AFY44">
        <v>5936</v>
      </c>
      <c r="AFZ44">
        <v>1832</v>
      </c>
      <c r="AGA44">
        <v>2755</v>
      </c>
      <c r="AGB44">
        <v>5360</v>
      </c>
      <c r="AGC44">
        <v>169</v>
      </c>
      <c r="AGD44">
        <v>0</v>
      </c>
      <c r="AGE44">
        <v>1935</v>
      </c>
      <c r="AGF44">
        <v>0</v>
      </c>
      <c r="AGG44">
        <v>5650</v>
      </c>
      <c r="AGH44">
        <v>4413</v>
      </c>
      <c r="AGI44">
        <v>3781</v>
      </c>
      <c r="AGJ44">
        <v>0</v>
      </c>
      <c r="AGL44" s="31">
        <v>4967</v>
      </c>
      <c r="AGM44">
        <v>-748</v>
      </c>
      <c r="AGN44">
        <v>600</v>
      </c>
      <c r="AGO44">
        <v>3601</v>
      </c>
      <c r="AGP44">
        <v>0</v>
      </c>
      <c r="AGQ44">
        <v>6464</v>
      </c>
      <c r="AGR44">
        <v>0</v>
      </c>
      <c r="AGS44">
        <v>3824</v>
      </c>
      <c r="AGT44">
        <v>80</v>
      </c>
      <c r="AGU44">
        <v>9577</v>
      </c>
      <c r="AGV44">
        <v>4845</v>
      </c>
      <c r="AGW44">
        <v>2750</v>
      </c>
      <c r="AGX44">
        <v>7523</v>
      </c>
      <c r="AGY44">
        <v>0</v>
      </c>
      <c r="AGZ44">
        <v>2008</v>
      </c>
      <c r="AHA44">
        <v>3137</v>
      </c>
      <c r="AHB44">
        <v>6644</v>
      </c>
      <c r="AHC44">
        <v>547</v>
      </c>
      <c r="AHD44">
        <v>605</v>
      </c>
      <c r="AHE44">
        <v>3785</v>
      </c>
      <c r="AHH44">
        <v>0</v>
      </c>
      <c r="AHI44">
        <v>0</v>
      </c>
      <c r="AHJ44">
        <v>13028</v>
      </c>
      <c r="AHK44">
        <v>980</v>
      </c>
      <c r="AHL44">
        <v>15144</v>
      </c>
      <c r="AHM44">
        <v>0</v>
      </c>
      <c r="AHN44">
        <v>0</v>
      </c>
      <c r="AHO44">
        <v>8172</v>
      </c>
      <c r="AHP44">
        <v>10049</v>
      </c>
      <c r="AHQ44">
        <v>4398</v>
      </c>
      <c r="AHR44">
        <v>9424</v>
      </c>
      <c r="AHS44">
        <v>1374</v>
      </c>
      <c r="AHT44">
        <v>0</v>
      </c>
      <c r="AHU44">
        <v>0</v>
      </c>
      <c r="AHV44">
        <v>0</v>
      </c>
      <c r="AHW44">
        <v>0</v>
      </c>
      <c r="AHX44">
        <v>140</v>
      </c>
      <c r="AHY44">
        <v>1707</v>
      </c>
      <c r="AHZ44">
        <v>3626</v>
      </c>
      <c r="AIA44">
        <v>0</v>
      </c>
      <c r="AIB44">
        <v>1988</v>
      </c>
      <c r="AIC44">
        <v>608</v>
      </c>
      <c r="AID44">
        <v>2984</v>
      </c>
      <c r="AIE44">
        <v>2772</v>
      </c>
      <c r="AIF44">
        <v>8877</v>
      </c>
      <c r="AIG44">
        <v>3140</v>
      </c>
      <c r="AIH44">
        <v>0</v>
      </c>
      <c r="AII44">
        <v>1241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16733</v>
      </c>
      <c r="AIR44">
        <v>4834</v>
      </c>
      <c r="AIS44">
        <v>1296</v>
      </c>
      <c r="AIT44">
        <v>8275</v>
      </c>
      <c r="AIU44">
        <v>1752</v>
      </c>
      <c r="AIV44">
        <v>0</v>
      </c>
      <c r="AIW44">
        <v>1912</v>
      </c>
      <c r="AIX44">
        <v>1278</v>
      </c>
      <c r="AIY44">
        <v>2950</v>
      </c>
      <c r="AIZ44">
        <v>134</v>
      </c>
      <c r="AJA44">
        <v>2879</v>
      </c>
      <c r="AJB44">
        <v>4911</v>
      </c>
      <c r="AJC44">
        <v>0</v>
      </c>
      <c r="AJD44">
        <v>3136</v>
      </c>
      <c r="AJE44">
        <v>4120</v>
      </c>
      <c r="AJF44">
        <v>20680</v>
      </c>
      <c r="AJG44">
        <v>3472</v>
      </c>
      <c r="AJH44">
        <v>1665</v>
      </c>
      <c r="AJI44">
        <v>863</v>
      </c>
      <c r="AJJ44">
        <v>0</v>
      </c>
      <c r="AJK44">
        <v>1654</v>
      </c>
      <c r="AJL44">
        <v>578</v>
      </c>
      <c r="AJM44">
        <v>-95</v>
      </c>
      <c r="AJN44">
        <v>11119</v>
      </c>
      <c r="AJO44">
        <v>570</v>
      </c>
      <c r="AJP44">
        <v>0</v>
      </c>
      <c r="AJQ44">
        <v>0</v>
      </c>
      <c r="AJR44">
        <v>0</v>
      </c>
      <c r="AJS44">
        <v>11093</v>
      </c>
      <c r="AJT44">
        <v>0</v>
      </c>
      <c r="AJU44">
        <v>23184</v>
      </c>
      <c r="AJV44">
        <v>452</v>
      </c>
      <c r="AJW44">
        <v>1774</v>
      </c>
      <c r="AJX44">
        <v>0</v>
      </c>
      <c r="AJY44">
        <v>0</v>
      </c>
      <c r="AJZ44">
        <v>3838</v>
      </c>
      <c r="AKA44">
        <v>8476</v>
      </c>
      <c r="AKB44">
        <v>-3399</v>
      </c>
      <c r="AKC44">
        <v>813</v>
      </c>
      <c r="AKD44">
        <v>3702</v>
      </c>
      <c r="AKE44">
        <v>0</v>
      </c>
      <c r="AKF44">
        <v>3532</v>
      </c>
    </row>
    <row r="45" spans="1:968">
      <c r="A45">
        <v>2</v>
      </c>
      <c r="B45" t="s">
        <v>138</v>
      </c>
      <c r="C45" s="1">
        <v>82622</v>
      </c>
      <c r="D45" s="1" t="s">
        <v>28</v>
      </c>
      <c r="E45" s="1" t="s">
        <v>135</v>
      </c>
      <c r="F45" s="1" t="s">
        <v>137</v>
      </c>
      <c r="G45" s="1" t="s">
        <v>12</v>
      </c>
      <c r="H45" s="1" t="s">
        <v>21</v>
      </c>
      <c r="I45" s="1" t="s">
        <v>45</v>
      </c>
      <c r="J45" s="17" t="s">
        <v>46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6433</v>
      </c>
      <c r="BW45">
        <v>1743</v>
      </c>
      <c r="BX45">
        <v>0</v>
      </c>
      <c r="BY45">
        <v>3355</v>
      </c>
      <c r="BZ45">
        <v>0</v>
      </c>
      <c r="CA45">
        <v>2164</v>
      </c>
      <c r="CB45">
        <v>847</v>
      </c>
      <c r="CC45">
        <v>0</v>
      </c>
      <c r="CD45">
        <v>2000</v>
      </c>
      <c r="CE45">
        <v>1595</v>
      </c>
      <c r="CF45">
        <v>3394</v>
      </c>
      <c r="CG45">
        <v>178</v>
      </c>
      <c r="CH45">
        <v>2022</v>
      </c>
      <c r="CI45">
        <v>1992</v>
      </c>
      <c r="CJ45">
        <v>170</v>
      </c>
      <c r="CK45">
        <v>601</v>
      </c>
      <c r="CL45">
        <v>0</v>
      </c>
      <c r="CM45">
        <v>0</v>
      </c>
      <c r="CN45">
        <v>0</v>
      </c>
      <c r="CO45">
        <v>6819</v>
      </c>
      <c r="CP45">
        <v>7380</v>
      </c>
      <c r="CQ45">
        <v>1272</v>
      </c>
      <c r="CR45">
        <v>0</v>
      </c>
      <c r="CS45">
        <v>0</v>
      </c>
      <c r="CT45">
        <v>1827</v>
      </c>
      <c r="CU45">
        <v>0</v>
      </c>
      <c r="CV45">
        <v>2238</v>
      </c>
      <c r="CW45">
        <v>3751</v>
      </c>
      <c r="CX45">
        <v>0</v>
      </c>
      <c r="CY45">
        <v>1547</v>
      </c>
      <c r="CZ45">
        <v>1</v>
      </c>
      <c r="DA45">
        <v>5806</v>
      </c>
      <c r="DB45">
        <v>0</v>
      </c>
      <c r="DC45">
        <v>1222</v>
      </c>
      <c r="DD45">
        <v>3091</v>
      </c>
      <c r="DE45">
        <v>10130</v>
      </c>
      <c r="DF45">
        <v>12473</v>
      </c>
      <c r="DG45">
        <v>1</v>
      </c>
      <c r="DH45">
        <v>2379</v>
      </c>
      <c r="DI45">
        <v>0</v>
      </c>
      <c r="DJ45">
        <v>10238</v>
      </c>
      <c r="DK45">
        <v>4169</v>
      </c>
      <c r="DL45">
        <v>1220</v>
      </c>
      <c r="DM45">
        <v>9951</v>
      </c>
      <c r="DN45">
        <v>0</v>
      </c>
      <c r="DO45">
        <v>1424</v>
      </c>
      <c r="DQ45">
        <v>4526</v>
      </c>
      <c r="DR45">
        <v>5593</v>
      </c>
      <c r="DS45">
        <v>9447</v>
      </c>
      <c r="DT45">
        <v>5803</v>
      </c>
      <c r="DU45">
        <v>301</v>
      </c>
      <c r="DV45">
        <v>1681</v>
      </c>
      <c r="DW45">
        <v>0</v>
      </c>
      <c r="DX45">
        <v>0</v>
      </c>
      <c r="DY45">
        <v>6221</v>
      </c>
      <c r="DZ45">
        <v>896</v>
      </c>
      <c r="EA45">
        <v>2337</v>
      </c>
      <c r="EB45">
        <v>443</v>
      </c>
      <c r="EC45">
        <v>800</v>
      </c>
      <c r="ED45">
        <v>0</v>
      </c>
      <c r="EE45">
        <v>4635</v>
      </c>
      <c r="EF45">
        <v>6761</v>
      </c>
      <c r="EG45">
        <v>0</v>
      </c>
      <c r="EH45">
        <v>3079</v>
      </c>
      <c r="EI45">
        <v>1159</v>
      </c>
      <c r="EJ45">
        <v>1983</v>
      </c>
      <c r="EK45">
        <v>0</v>
      </c>
      <c r="EL45">
        <v>0</v>
      </c>
      <c r="EM45">
        <v>12861</v>
      </c>
      <c r="EN45">
        <v>0</v>
      </c>
      <c r="EO45">
        <v>1457</v>
      </c>
      <c r="EP45">
        <v>2636</v>
      </c>
      <c r="EQ45">
        <v>0</v>
      </c>
      <c r="ER45">
        <v>0</v>
      </c>
      <c r="ET45">
        <v>2726</v>
      </c>
      <c r="EU45">
        <v>4720</v>
      </c>
      <c r="EV45">
        <v>497</v>
      </c>
      <c r="EW45">
        <v>1503</v>
      </c>
      <c r="EX45">
        <v>100</v>
      </c>
      <c r="EY45">
        <v>2088</v>
      </c>
      <c r="EZ45">
        <v>24853</v>
      </c>
      <c r="FA45">
        <v>10226</v>
      </c>
      <c r="FB45">
        <v>50754</v>
      </c>
      <c r="FC45">
        <v>32122</v>
      </c>
      <c r="FD45">
        <v>12290</v>
      </c>
      <c r="FE45">
        <v>9128</v>
      </c>
      <c r="FF45">
        <v>0</v>
      </c>
      <c r="FG45">
        <v>2312</v>
      </c>
      <c r="FH45">
        <v>5546</v>
      </c>
      <c r="FI45">
        <v>5070</v>
      </c>
      <c r="FJ45">
        <v>2985</v>
      </c>
      <c r="FK45">
        <v>4717</v>
      </c>
      <c r="FL45">
        <v>0</v>
      </c>
      <c r="FM45">
        <v>0</v>
      </c>
      <c r="FN45">
        <v>1041</v>
      </c>
      <c r="FO45">
        <v>6351</v>
      </c>
      <c r="FP45">
        <v>2428</v>
      </c>
      <c r="FQ45">
        <v>6663</v>
      </c>
      <c r="FR45">
        <v>0</v>
      </c>
      <c r="FS45">
        <v>0</v>
      </c>
      <c r="FT45">
        <v>0</v>
      </c>
      <c r="FU45">
        <v>0</v>
      </c>
      <c r="FV45">
        <v>9953</v>
      </c>
      <c r="FW45">
        <v>2380</v>
      </c>
      <c r="FX45">
        <v>5335</v>
      </c>
      <c r="FY45">
        <v>2974</v>
      </c>
      <c r="FZ45">
        <v>3135</v>
      </c>
      <c r="GA45">
        <v>0</v>
      </c>
      <c r="GB45">
        <v>2905</v>
      </c>
      <c r="GC45">
        <v>10073</v>
      </c>
      <c r="GD45">
        <v>375</v>
      </c>
      <c r="GE45">
        <v>5359</v>
      </c>
      <c r="GF45">
        <v>1242</v>
      </c>
      <c r="GG45">
        <v>8841</v>
      </c>
      <c r="GH45">
        <v>0</v>
      </c>
      <c r="GI45">
        <v>4754</v>
      </c>
      <c r="GJ45">
        <v>4500</v>
      </c>
      <c r="GK45">
        <v>0</v>
      </c>
      <c r="GL45">
        <v>9714</v>
      </c>
      <c r="GM45">
        <v>3671</v>
      </c>
      <c r="GN45">
        <v>0</v>
      </c>
      <c r="GO45">
        <v>0</v>
      </c>
      <c r="GP45">
        <v>16970</v>
      </c>
      <c r="GQ45">
        <v>8831</v>
      </c>
      <c r="GR45">
        <v>1139</v>
      </c>
      <c r="GS45">
        <v>7549</v>
      </c>
      <c r="GT45">
        <v>1531</v>
      </c>
      <c r="GU45">
        <v>4023</v>
      </c>
      <c r="GV45">
        <v>0</v>
      </c>
      <c r="GW45">
        <v>7549</v>
      </c>
      <c r="GX45">
        <v>7568</v>
      </c>
      <c r="GY45">
        <v>1091</v>
      </c>
      <c r="GZ45">
        <v>3454</v>
      </c>
      <c r="HA45">
        <v>2406</v>
      </c>
      <c r="HB45">
        <v>3399</v>
      </c>
      <c r="HD45">
        <v>6413</v>
      </c>
      <c r="HE45">
        <v>3033</v>
      </c>
      <c r="HF45">
        <v>5204</v>
      </c>
      <c r="HG45">
        <v>2206</v>
      </c>
      <c r="HH45">
        <v>6743</v>
      </c>
      <c r="HI45">
        <v>6141</v>
      </c>
      <c r="HJ45">
        <v>0</v>
      </c>
      <c r="HK45">
        <v>2018</v>
      </c>
      <c r="HL45">
        <v>5302</v>
      </c>
      <c r="HM45">
        <v>4088</v>
      </c>
      <c r="HN45">
        <v>947</v>
      </c>
      <c r="HO45">
        <v>3387</v>
      </c>
      <c r="HP45">
        <v>5389</v>
      </c>
      <c r="HQ45">
        <v>0</v>
      </c>
      <c r="HR45">
        <v>0</v>
      </c>
      <c r="HS45">
        <v>7435</v>
      </c>
      <c r="HT45">
        <v>1368</v>
      </c>
      <c r="HU45">
        <v>6152</v>
      </c>
      <c r="HV45">
        <v>3284</v>
      </c>
      <c r="HW45">
        <v>3651</v>
      </c>
      <c r="HX45">
        <v>0</v>
      </c>
      <c r="HY45">
        <v>400</v>
      </c>
      <c r="HZ45">
        <v>14793</v>
      </c>
      <c r="IA45">
        <v>3905</v>
      </c>
      <c r="IB45">
        <v>3511</v>
      </c>
      <c r="IC45">
        <v>3190</v>
      </c>
      <c r="ID45">
        <v>2749</v>
      </c>
      <c r="IE45">
        <v>0</v>
      </c>
      <c r="IF45">
        <v>6215</v>
      </c>
      <c r="IG45">
        <v>11689</v>
      </c>
      <c r="IH45">
        <v>645</v>
      </c>
      <c r="II45">
        <v>3986</v>
      </c>
      <c r="IJ45">
        <v>5497</v>
      </c>
      <c r="IK45">
        <v>568</v>
      </c>
      <c r="IL45">
        <v>0</v>
      </c>
      <c r="IM45">
        <v>5748</v>
      </c>
      <c r="IN45">
        <v>7711</v>
      </c>
      <c r="IO45">
        <v>654</v>
      </c>
      <c r="IP45">
        <v>6590</v>
      </c>
      <c r="IQ45">
        <v>3651</v>
      </c>
      <c r="IR45">
        <v>3519</v>
      </c>
      <c r="IS45">
        <v>0</v>
      </c>
      <c r="IT45">
        <v>0</v>
      </c>
      <c r="IU45">
        <v>16143</v>
      </c>
      <c r="IV45">
        <v>2048</v>
      </c>
      <c r="IW45">
        <v>6141</v>
      </c>
      <c r="IX45">
        <v>2094</v>
      </c>
      <c r="IY45">
        <v>9611</v>
      </c>
      <c r="IZ45">
        <v>0</v>
      </c>
      <c r="JA45">
        <v>253</v>
      </c>
      <c r="JB45">
        <v>15437</v>
      </c>
      <c r="JC45">
        <v>2700</v>
      </c>
      <c r="JD45">
        <v>7320</v>
      </c>
      <c r="JE45">
        <v>1306</v>
      </c>
      <c r="JF45">
        <v>6730</v>
      </c>
      <c r="JG45">
        <v>0</v>
      </c>
      <c r="JH45">
        <v>0</v>
      </c>
      <c r="JI45">
        <v>23515</v>
      </c>
      <c r="JJ45">
        <v>3279</v>
      </c>
      <c r="JK45">
        <v>6154</v>
      </c>
      <c r="JL45">
        <v>1058</v>
      </c>
      <c r="JM45">
        <v>0</v>
      </c>
      <c r="JN45">
        <v>0</v>
      </c>
      <c r="JO45">
        <v>10652</v>
      </c>
      <c r="JP45">
        <v>12201</v>
      </c>
      <c r="JQ45">
        <v>1542</v>
      </c>
      <c r="JR45">
        <v>7144</v>
      </c>
      <c r="JS45">
        <v>2155</v>
      </c>
      <c r="JT45">
        <v>16958</v>
      </c>
      <c r="JU45">
        <v>0</v>
      </c>
      <c r="JV45">
        <v>0</v>
      </c>
      <c r="JW45">
        <v>5246</v>
      </c>
      <c r="JX45">
        <v>5445</v>
      </c>
      <c r="JY45">
        <v>1987</v>
      </c>
      <c r="JZ45">
        <v>12</v>
      </c>
      <c r="KA45">
        <v>6926</v>
      </c>
      <c r="KB45">
        <v>0</v>
      </c>
      <c r="KC45">
        <v>2000</v>
      </c>
      <c r="KD45">
        <v>16915</v>
      </c>
      <c r="KE45">
        <v>1500</v>
      </c>
      <c r="KF45">
        <v>5698</v>
      </c>
      <c r="KG45">
        <v>1550</v>
      </c>
      <c r="KH45">
        <v>6525</v>
      </c>
      <c r="KI45">
        <v>0</v>
      </c>
      <c r="KJ45">
        <v>0</v>
      </c>
      <c r="KK45">
        <v>16854</v>
      </c>
      <c r="KL45">
        <v>852</v>
      </c>
      <c r="KM45">
        <v>6174</v>
      </c>
      <c r="KN45">
        <v>3528</v>
      </c>
      <c r="KO45">
        <v>9915</v>
      </c>
      <c r="KP45">
        <v>0</v>
      </c>
      <c r="KQ45">
        <v>0</v>
      </c>
      <c r="KR45">
        <v>24513</v>
      </c>
      <c r="KS45">
        <v>4287</v>
      </c>
      <c r="KT45">
        <v>10013</v>
      </c>
      <c r="KU45">
        <v>865</v>
      </c>
      <c r="KV45">
        <v>9169</v>
      </c>
      <c r="KW45">
        <v>0</v>
      </c>
      <c r="KX45">
        <v>0</v>
      </c>
      <c r="KY45">
        <v>20523</v>
      </c>
      <c r="KZ45">
        <v>1855</v>
      </c>
      <c r="LA45">
        <v>7785</v>
      </c>
      <c r="LB45">
        <v>2149</v>
      </c>
      <c r="LC45">
        <v>417</v>
      </c>
      <c r="LD45">
        <v>0</v>
      </c>
      <c r="LE45">
        <v>0</v>
      </c>
      <c r="LF45">
        <v>17743</v>
      </c>
      <c r="LG45">
        <v>0</v>
      </c>
      <c r="LH45">
        <v>6632</v>
      </c>
      <c r="LI45">
        <v>380</v>
      </c>
      <c r="LJ45">
        <v>8879</v>
      </c>
      <c r="LK45">
        <v>0</v>
      </c>
      <c r="LL45">
        <v>50</v>
      </c>
      <c r="LM45">
        <v>14937</v>
      </c>
      <c r="LN45">
        <v>1390</v>
      </c>
      <c r="LO45">
        <v>4703</v>
      </c>
      <c r="LP45">
        <v>379</v>
      </c>
      <c r="LQ45">
        <v>4423</v>
      </c>
      <c r="LR45">
        <v>0</v>
      </c>
      <c r="LS45">
        <v>0</v>
      </c>
      <c r="LT45">
        <v>12670</v>
      </c>
      <c r="LU45">
        <v>105</v>
      </c>
      <c r="LV45">
        <v>7239</v>
      </c>
      <c r="LW45">
        <v>43</v>
      </c>
      <c r="LX45">
        <v>2</v>
      </c>
      <c r="LY45">
        <v>0</v>
      </c>
      <c r="LZ45">
        <v>6130</v>
      </c>
      <c r="MA45">
        <v>3537</v>
      </c>
      <c r="MB45">
        <v>130</v>
      </c>
      <c r="MC45">
        <v>4895</v>
      </c>
      <c r="MD45">
        <v>2875</v>
      </c>
      <c r="ME45">
        <v>9240</v>
      </c>
      <c r="MF45">
        <v>0</v>
      </c>
      <c r="MG45">
        <v>0</v>
      </c>
      <c r="MH45">
        <v>0</v>
      </c>
      <c r="MI45">
        <v>0</v>
      </c>
      <c r="MJ45">
        <v>6135</v>
      </c>
      <c r="MK45">
        <v>7678</v>
      </c>
      <c r="ML45">
        <v>8364</v>
      </c>
      <c r="MM45">
        <v>0</v>
      </c>
      <c r="MN45">
        <v>3427</v>
      </c>
      <c r="MO45">
        <v>19714</v>
      </c>
      <c r="MP45">
        <v>1723</v>
      </c>
      <c r="MQ45">
        <v>7374</v>
      </c>
      <c r="MR45">
        <v>3113</v>
      </c>
      <c r="MS45">
        <v>12525</v>
      </c>
      <c r="MT45">
        <v>0</v>
      </c>
      <c r="MV45">
        <v>200</v>
      </c>
      <c r="MW45">
        <v>0</v>
      </c>
      <c r="MX45">
        <v>1989</v>
      </c>
      <c r="MY45">
        <v>742</v>
      </c>
      <c r="MZ45">
        <v>1778</v>
      </c>
      <c r="NA45">
        <v>0</v>
      </c>
      <c r="NB45">
        <v>1</v>
      </c>
      <c r="NC45">
        <v>15311</v>
      </c>
      <c r="ND45">
        <v>0</v>
      </c>
      <c r="NE45">
        <v>1960</v>
      </c>
      <c r="NF45">
        <v>0</v>
      </c>
      <c r="NG45">
        <v>0</v>
      </c>
      <c r="NH45">
        <v>0</v>
      </c>
      <c r="NI45">
        <v>0</v>
      </c>
      <c r="NJ45">
        <v>14678</v>
      </c>
      <c r="NK45">
        <v>6838</v>
      </c>
      <c r="NL45">
        <v>1950</v>
      </c>
      <c r="NM45">
        <v>1166</v>
      </c>
      <c r="NN45">
        <v>483</v>
      </c>
      <c r="NO45">
        <v>0</v>
      </c>
      <c r="NQ45">
        <v>13551</v>
      </c>
      <c r="NR45">
        <v>448</v>
      </c>
      <c r="NS45">
        <v>5228</v>
      </c>
      <c r="NT45">
        <v>351</v>
      </c>
      <c r="NU45">
        <v>0</v>
      </c>
      <c r="NV45">
        <v>0</v>
      </c>
      <c r="NW45">
        <v>0</v>
      </c>
      <c r="NX45">
        <v>6128</v>
      </c>
      <c r="NY45">
        <v>4760</v>
      </c>
      <c r="NZ45">
        <v>2985</v>
      </c>
      <c r="OA45">
        <v>500</v>
      </c>
      <c r="OB45">
        <v>0</v>
      </c>
      <c r="OC45">
        <v>0</v>
      </c>
      <c r="OD45">
        <v>0</v>
      </c>
      <c r="OE45">
        <v>23859</v>
      </c>
      <c r="OF45">
        <v>4109</v>
      </c>
      <c r="OG45">
        <v>5205</v>
      </c>
      <c r="OH45">
        <v>478</v>
      </c>
      <c r="OI45">
        <v>0</v>
      </c>
      <c r="OJ45">
        <v>0</v>
      </c>
      <c r="OK45">
        <v>2985</v>
      </c>
      <c r="OL45">
        <v>9748</v>
      </c>
      <c r="OM45">
        <v>422</v>
      </c>
      <c r="ON45">
        <v>4653</v>
      </c>
      <c r="OO45">
        <v>507</v>
      </c>
      <c r="OP45">
        <v>4784</v>
      </c>
      <c r="OQ45">
        <v>0</v>
      </c>
      <c r="OR45">
        <v>655</v>
      </c>
      <c r="OS45">
        <v>12903</v>
      </c>
      <c r="OT45">
        <v>482</v>
      </c>
      <c r="OV45">
        <v>5815</v>
      </c>
      <c r="OW45">
        <v>4214</v>
      </c>
      <c r="OX45">
        <v>0</v>
      </c>
      <c r="OY45">
        <v>228</v>
      </c>
      <c r="OZ45">
        <v>16889</v>
      </c>
      <c r="PA45">
        <v>367</v>
      </c>
      <c r="PC45">
        <v>3544</v>
      </c>
      <c r="PD45">
        <v>10405</v>
      </c>
      <c r="PE45">
        <v>0</v>
      </c>
      <c r="PF45">
        <v>5332</v>
      </c>
      <c r="PG45">
        <v>8053</v>
      </c>
      <c r="PH45">
        <v>20</v>
      </c>
      <c r="PI45">
        <v>7196</v>
      </c>
      <c r="PJ45">
        <v>1350</v>
      </c>
      <c r="PK45">
        <v>11059</v>
      </c>
      <c r="PL45">
        <v>0</v>
      </c>
      <c r="PM45">
        <v>132</v>
      </c>
      <c r="PN45">
        <v>35092</v>
      </c>
      <c r="PO45">
        <v>10418</v>
      </c>
      <c r="PP45">
        <v>16677</v>
      </c>
      <c r="PQ45">
        <v>2407</v>
      </c>
      <c r="PR45">
        <v>206</v>
      </c>
      <c r="PS45">
        <v>0</v>
      </c>
      <c r="PT45">
        <v>0</v>
      </c>
      <c r="PU45">
        <v>0</v>
      </c>
      <c r="PV45">
        <v>0</v>
      </c>
      <c r="PW45">
        <v>320</v>
      </c>
      <c r="PX45">
        <v>879</v>
      </c>
      <c r="PY45">
        <v>7072</v>
      </c>
      <c r="PZ45">
        <v>0</v>
      </c>
      <c r="QA45">
        <v>0</v>
      </c>
      <c r="QB45">
        <v>16046</v>
      </c>
      <c r="QC45">
        <v>0</v>
      </c>
      <c r="QD45">
        <v>9326</v>
      </c>
      <c r="QE45">
        <v>0</v>
      </c>
      <c r="QF45">
        <v>0</v>
      </c>
      <c r="QG45">
        <v>0</v>
      </c>
      <c r="QH45">
        <v>722</v>
      </c>
      <c r="QI45">
        <v>11912</v>
      </c>
      <c r="QJ45">
        <v>0</v>
      </c>
      <c r="QK45">
        <v>5791</v>
      </c>
      <c r="QL45">
        <v>1147</v>
      </c>
      <c r="QM45">
        <v>6269</v>
      </c>
      <c r="QN45">
        <v>0</v>
      </c>
      <c r="QO45">
        <v>0</v>
      </c>
      <c r="QP45">
        <v>8301</v>
      </c>
      <c r="QQ45">
        <v>0</v>
      </c>
      <c r="QR45">
        <v>8291</v>
      </c>
      <c r="QS45">
        <v>4765</v>
      </c>
      <c r="QT45">
        <v>2513</v>
      </c>
      <c r="QU45">
        <v>0</v>
      </c>
      <c r="QV45">
        <v>0</v>
      </c>
      <c r="QW45">
        <v>10728</v>
      </c>
      <c r="QX45">
        <v>5158</v>
      </c>
      <c r="QY45">
        <v>8827</v>
      </c>
      <c r="QZ45">
        <v>2532</v>
      </c>
      <c r="RA45">
        <v>7341</v>
      </c>
      <c r="RB45">
        <v>0</v>
      </c>
      <c r="RC45">
        <v>0</v>
      </c>
      <c r="RD45">
        <v>17105</v>
      </c>
      <c r="RE45">
        <v>4501</v>
      </c>
      <c r="RF45">
        <v>8491</v>
      </c>
      <c r="RG45">
        <v>4318</v>
      </c>
      <c r="RH45">
        <v>0</v>
      </c>
      <c r="RI45">
        <v>0</v>
      </c>
      <c r="RJ45">
        <v>6</v>
      </c>
      <c r="RK45">
        <v>16286</v>
      </c>
      <c r="RL45">
        <v>2305</v>
      </c>
      <c r="RM45">
        <v>2810</v>
      </c>
      <c r="RN45">
        <v>740</v>
      </c>
      <c r="RO45">
        <v>5398</v>
      </c>
      <c r="RP45">
        <v>0</v>
      </c>
      <c r="RQ45">
        <v>60</v>
      </c>
      <c r="RR45">
        <v>14866</v>
      </c>
      <c r="RS45">
        <v>205</v>
      </c>
      <c r="RT45">
        <v>4840</v>
      </c>
      <c r="RU45">
        <v>4576</v>
      </c>
      <c r="RV45">
        <v>6175</v>
      </c>
      <c r="RW45">
        <v>0</v>
      </c>
      <c r="RX45">
        <v>127</v>
      </c>
      <c r="RY45">
        <v>14626</v>
      </c>
      <c r="RZ45">
        <v>0</v>
      </c>
      <c r="SA45">
        <v>2622</v>
      </c>
      <c r="SB45">
        <v>1280</v>
      </c>
      <c r="SC45">
        <v>5112</v>
      </c>
      <c r="SF45">
        <v>7817</v>
      </c>
      <c r="SI45">
        <v>1161</v>
      </c>
      <c r="SJ45">
        <v>2233</v>
      </c>
      <c r="SK45">
        <v>0</v>
      </c>
      <c r="SL45">
        <v>0</v>
      </c>
      <c r="SM45">
        <v>8929</v>
      </c>
      <c r="SN45">
        <v>1561</v>
      </c>
      <c r="SO45">
        <v>2393</v>
      </c>
      <c r="SP45">
        <v>1448</v>
      </c>
      <c r="SQ45">
        <v>390</v>
      </c>
      <c r="SS45">
        <v>30</v>
      </c>
      <c r="ST45">
        <v>5745</v>
      </c>
      <c r="SV45">
        <v>2218</v>
      </c>
      <c r="SX45">
        <v>3131</v>
      </c>
      <c r="SY45">
        <v>0</v>
      </c>
      <c r="SZ45">
        <v>920</v>
      </c>
      <c r="TA45">
        <v>7750</v>
      </c>
      <c r="TB45">
        <v>269</v>
      </c>
      <c r="TC45">
        <v>3161</v>
      </c>
      <c r="TD45">
        <v>1484</v>
      </c>
      <c r="TE45">
        <v>406</v>
      </c>
      <c r="TF45">
        <v>0</v>
      </c>
      <c r="TG45">
        <v>483</v>
      </c>
      <c r="TH45">
        <v>7993</v>
      </c>
      <c r="TI45">
        <v>1</v>
      </c>
      <c r="TJ45">
        <v>1863</v>
      </c>
      <c r="TK45">
        <v>9714</v>
      </c>
      <c r="TL45">
        <v>2028</v>
      </c>
      <c r="TO45">
        <v>4759</v>
      </c>
      <c r="TP45">
        <v>7435</v>
      </c>
      <c r="TQ45">
        <v>1539</v>
      </c>
      <c r="TR45">
        <v>7538</v>
      </c>
      <c r="TS45">
        <v>0</v>
      </c>
      <c r="TT45">
        <v>0</v>
      </c>
      <c r="TU45">
        <v>0</v>
      </c>
      <c r="TV45">
        <v>0</v>
      </c>
      <c r="TW45">
        <v>5186</v>
      </c>
      <c r="TX45">
        <v>3704</v>
      </c>
      <c r="TY45">
        <v>0</v>
      </c>
      <c r="TZ45">
        <v>947</v>
      </c>
      <c r="UA45">
        <v>0</v>
      </c>
      <c r="UB45">
        <v>1472</v>
      </c>
      <c r="UC45">
        <v>7108</v>
      </c>
      <c r="UD45">
        <v>3289</v>
      </c>
      <c r="UE45">
        <v>6369</v>
      </c>
      <c r="UF45">
        <v>4320</v>
      </c>
      <c r="UG45">
        <v>8090</v>
      </c>
      <c r="UH45">
        <v>0</v>
      </c>
      <c r="UI45">
        <v>708</v>
      </c>
      <c r="UJ45">
        <v>6717</v>
      </c>
      <c r="UK45">
        <v>0</v>
      </c>
      <c r="UL45">
        <v>0</v>
      </c>
      <c r="UM45">
        <v>3</v>
      </c>
      <c r="UN45">
        <v>6899</v>
      </c>
      <c r="UO45">
        <v>0</v>
      </c>
      <c r="UP45">
        <v>0</v>
      </c>
      <c r="UQ45">
        <v>7057</v>
      </c>
      <c r="UR45">
        <v>10037</v>
      </c>
      <c r="US45">
        <v>2485</v>
      </c>
      <c r="UT45">
        <v>1609</v>
      </c>
      <c r="UU45">
        <v>0</v>
      </c>
      <c r="UV45">
        <v>0</v>
      </c>
      <c r="UX45">
        <v>9605</v>
      </c>
      <c r="UY45">
        <v>365</v>
      </c>
      <c r="UZ45">
        <v>7258</v>
      </c>
      <c r="VA45">
        <v>1613</v>
      </c>
      <c r="VB45">
        <v>0</v>
      </c>
      <c r="VC45">
        <v>0</v>
      </c>
      <c r="VD45">
        <v>764</v>
      </c>
      <c r="VE45">
        <v>12576</v>
      </c>
      <c r="VF45">
        <v>1915</v>
      </c>
      <c r="VG45">
        <v>326</v>
      </c>
      <c r="VH45">
        <v>2</v>
      </c>
      <c r="VI45">
        <v>3407</v>
      </c>
      <c r="VJ45">
        <v>0</v>
      </c>
      <c r="VK45">
        <v>0</v>
      </c>
      <c r="VL45">
        <v>19108</v>
      </c>
      <c r="VM45">
        <v>712</v>
      </c>
      <c r="VN45">
        <v>2739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1000</v>
      </c>
      <c r="VU45">
        <v>3796</v>
      </c>
      <c r="VV45">
        <v>5</v>
      </c>
      <c r="VW45">
        <v>2429</v>
      </c>
      <c r="VX45">
        <v>0</v>
      </c>
      <c r="VY45">
        <v>232</v>
      </c>
      <c r="VZ45">
        <v>14463</v>
      </c>
      <c r="WA45">
        <v>2065</v>
      </c>
      <c r="WB45">
        <v>1261</v>
      </c>
      <c r="WC45">
        <v>359</v>
      </c>
      <c r="WD45">
        <v>385</v>
      </c>
      <c r="WE45">
        <v>0</v>
      </c>
      <c r="WF45">
        <v>0</v>
      </c>
      <c r="WG45">
        <v>4712</v>
      </c>
      <c r="WH45">
        <v>1866</v>
      </c>
      <c r="WI45">
        <v>2946</v>
      </c>
      <c r="WJ45">
        <v>0</v>
      </c>
      <c r="WK45">
        <v>3544</v>
      </c>
      <c r="WL45">
        <v>0</v>
      </c>
      <c r="WM45">
        <v>761</v>
      </c>
      <c r="WN45">
        <v>10441</v>
      </c>
      <c r="WO45">
        <v>1070</v>
      </c>
      <c r="WP45">
        <v>4441</v>
      </c>
      <c r="WQ45">
        <v>644</v>
      </c>
      <c r="WR45">
        <v>0</v>
      </c>
      <c r="WS45">
        <v>0</v>
      </c>
      <c r="WT45">
        <v>147</v>
      </c>
      <c r="WU45">
        <v>12952</v>
      </c>
      <c r="WV45">
        <v>604</v>
      </c>
      <c r="WW45">
        <v>3684</v>
      </c>
      <c r="WX45">
        <v>166</v>
      </c>
      <c r="WY45">
        <v>2170</v>
      </c>
      <c r="WZ45">
        <v>0</v>
      </c>
      <c r="XA45">
        <v>0</v>
      </c>
      <c r="XB45">
        <v>9817</v>
      </c>
      <c r="XC45">
        <v>4714</v>
      </c>
      <c r="XD45">
        <v>4993</v>
      </c>
      <c r="XE45">
        <v>1866</v>
      </c>
      <c r="XF45">
        <v>3455</v>
      </c>
      <c r="XG45">
        <v>0</v>
      </c>
      <c r="XH45">
        <v>47</v>
      </c>
      <c r="XI45">
        <v>13653</v>
      </c>
      <c r="XJ45">
        <v>1730</v>
      </c>
      <c r="XK45">
        <v>4614</v>
      </c>
      <c r="XL45">
        <v>2298</v>
      </c>
      <c r="XM45">
        <v>4291</v>
      </c>
      <c r="XN45">
        <v>0</v>
      </c>
      <c r="XO45">
        <v>0</v>
      </c>
      <c r="XP45">
        <v>5348</v>
      </c>
      <c r="XQ45">
        <v>7157</v>
      </c>
      <c r="XR45">
        <v>3397</v>
      </c>
      <c r="XS45">
        <v>1515</v>
      </c>
      <c r="XT45">
        <v>6030</v>
      </c>
      <c r="XU45">
        <v>0</v>
      </c>
      <c r="XV45">
        <v>0</v>
      </c>
      <c r="XW45">
        <v>8491</v>
      </c>
      <c r="XX45">
        <v>1465</v>
      </c>
      <c r="XY45">
        <v>4671</v>
      </c>
      <c r="XZ45">
        <v>2519</v>
      </c>
      <c r="YA45">
        <v>2331</v>
      </c>
      <c r="YB45">
        <v>727</v>
      </c>
      <c r="YC45">
        <v>11181</v>
      </c>
      <c r="YD45">
        <v>2590</v>
      </c>
      <c r="YE45">
        <v>586</v>
      </c>
      <c r="YF45">
        <v>1999</v>
      </c>
      <c r="YG45">
        <v>3604</v>
      </c>
      <c r="YH45">
        <v>3604</v>
      </c>
      <c r="YI45">
        <v>0</v>
      </c>
      <c r="YJ45">
        <v>2057</v>
      </c>
      <c r="YK45">
        <v>0</v>
      </c>
      <c r="YL45">
        <v>16440</v>
      </c>
      <c r="YM45">
        <v>4859</v>
      </c>
      <c r="YN45">
        <v>1031</v>
      </c>
      <c r="YO45">
        <v>1658</v>
      </c>
      <c r="YP45">
        <v>5790</v>
      </c>
      <c r="YQ45">
        <v>4992</v>
      </c>
      <c r="YR45">
        <v>0</v>
      </c>
      <c r="YS45">
        <v>1726</v>
      </c>
      <c r="YT45">
        <v>4411</v>
      </c>
      <c r="YU45">
        <v>13064</v>
      </c>
      <c r="YV45">
        <v>15630</v>
      </c>
      <c r="YW45">
        <v>0</v>
      </c>
      <c r="YX45">
        <v>631</v>
      </c>
      <c r="YY45">
        <v>12991</v>
      </c>
      <c r="YZ45">
        <v>3942</v>
      </c>
      <c r="ZA45">
        <v>5336</v>
      </c>
      <c r="ZB45">
        <v>1854</v>
      </c>
      <c r="ZC45">
        <v>5997</v>
      </c>
      <c r="ZD45">
        <v>0</v>
      </c>
      <c r="ZE45">
        <v>1678</v>
      </c>
      <c r="ZF45">
        <v>7356</v>
      </c>
      <c r="ZG45">
        <v>1967</v>
      </c>
      <c r="ZH45">
        <v>7583</v>
      </c>
      <c r="ZI45">
        <v>2658</v>
      </c>
      <c r="ZJ45">
        <v>3232</v>
      </c>
      <c r="ZK45">
        <v>841</v>
      </c>
      <c r="ZL45">
        <v>12294</v>
      </c>
      <c r="ZM45">
        <v>1752</v>
      </c>
      <c r="ZN45">
        <v>0</v>
      </c>
      <c r="ZO45">
        <v>3188</v>
      </c>
      <c r="ZP45">
        <v>1743</v>
      </c>
      <c r="ZQ45">
        <v>2409</v>
      </c>
      <c r="ZR45">
        <v>0</v>
      </c>
      <c r="ZS45">
        <v>189</v>
      </c>
      <c r="ZT45">
        <v>8524</v>
      </c>
      <c r="ZU45">
        <v>1656</v>
      </c>
      <c r="ZV45">
        <v>3168</v>
      </c>
      <c r="ZW45">
        <v>1099</v>
      </c>
      <c r="ZX45">
        <v>100</v>
      </c>
      <c r="ZY45">
        <v>0</v>
      </c>
      <c r="ZZ45">
        <v>1160</v>
      </c>
      <c r="AAA45">
        <v>11191</v>
      </c>
      <c r="AAB45">
        <v>2558</v>
      </c>
      <c r="AAC45">
        <v>3029</v>
      </c>
      <c r="AAD45">
        <v>490</v>
      </c>
      <c r="AAE45">
        <v>3590</v>
      </c>
      <c r="AAF45">
        <v>0</v>
      </c>
      <c r="AAG45">
        <v>2567</v>
      </c>
      <c r="AAH45">
        <v>15324</v>
      </c>
      <c r="AAI45">
        <v>1775</v>
      </c>
      <c r="AAJ45">
        <v>8842</v>
      </c>
      <c r="AAK45">
        <v>7488</v>
      </c>
      <c r="AAL45">
        <v>5733</v>
      </c>
      <c r="AAM45">
        <v>0</v>
      </c>
      <c r="AAN45">
        <v>4549</v>
      </c>
      <c r="AAO45">
        <v>10379</v>
      </c>
      <c r="AAP45">
        <v>9888</v>
      </c>
      <c r="AAQ45">
        <v>7404</v>
      </c>
      <c r="AAR45">
        <v>4381</v>
      </c>
      <c r="AAS45">
        <v>8787</v>
      </c>
      <c r="AAT45">
        <v>0</v>
      </c>
      <c r="AAU45">
        <v>0</v>
      </c>
      <c r="AAV45">
        <v>6304</v>
      </c>
      <c r="AAW45">
        <v>1797</v>
      </c>
      <c r="AAX45">
        <v>6571</v>
      </c>
      <c r="AAY45">
        <v>3274</v>
      </c>
      <c r="AAZ45">
        <v>2847</v>
      </c>
      <c r="ABA45">
        <v>0</v>
      </c>
      <c r="ABB45">
        <v>1727</v>
      </c>
      <c r="ABC45">
        <v>10997</v>
      </c>
      <c r="ABD45">
        <v>5244</v>
      </c>
      <c r="ABE45">
        <v>0</v>
      </c>
      <c r="ABF45">
        <v>7180</v>
      </c>
      <c r="ABG45">
        <v>2749</v>
      </c>
      <c r="ABH45">
        <v>0</v>
      </c>
      <c r="ABI45">
        <v>1211</v>
      </c>
      <c r="ABJ45">
        <v>16583</v>
      </c>
      <c r="ABK45">
        <v>3726</v>
      </c>
      <c r="ABL45">
        <v>2633</v>
      </c>
      <c r="ABM45">
        <v>1656</v>
      </c>
      <c r="ABN45">
        <v>3205</v>
      </c>
      <c r="ABO45">
        <v>0</v>
      </c>
      <c r="ABP45">
        <v>715</v>
      </c>
      <c r="ABQ45">
        <v>10747</v>
      </c>
      <c r="ABR45">
        <v>1262</v>
      </c>
      <c r="ABS45">
        <v>3311</v>
      </c>
      <c r="ABT45">
        <v>3478</v>
      </c>
      <c r="ABU45">
        <v>4369</v>
      </c>
      <c r="ABV45">
        <v>0</v>
      </c>
      <c r="ABW45">
        <v>1095</v>
      </c>
      <c r="ABX45">
        <v>10390</v>
      </c>
      <c r="ABY45">
        <v>1125</v>
      </c>
      <c r="ABZ45">
        <v>4439</v>
      </c>
      <c r="ACA45">
        <v>1612</v>
      </c>
      <c r="ACB45">
        <v>3294</v>
      </c>
      <c r="ACC45">
        <v>0</v>
      </c>
      <c r="ACD45">
        <v>253</v>
      </c>
      <c r="ACE45">
        <v>12908</v>
      </c>
      <c r="ACF45">
        <v>2014</v>
      </c>
      <c r="ACG45">
        <v>232</v>
      </c>
      <c r="ACH45">
        <v>3018</v>
      </c>
      <c r="ACI45">
        <v>4818</v>
      </c>
      <c r="ACJ45">
        <v>0</v>
      </c>
      <c r="ACK45">
        <v>1083</v>
      </c>
      <c r="ACL45">
        <v>14274</v>
      </c>
      <c r="ACM45">
        <v>4784</v>
      </c>
      <c r="ACN45">
        <v>4091</v>
      </c>
      <c r="ACO45">
        <v>404</v>
      </c>
      <c r="ACP45">
        <v>6156</v>
      </c>
      <c r="ACQ45">
        <v>0</v>
      </c>
      <c r="ACR45">
        <v>5594</v>
      </c>
      <c r="ACS45">
        <v>3001</v>
      </c>
      <c r="ACT45">
        <v>3437</v>
      </c>
      <c r="ACU45">
        <v>6091</v>
      </c>
      <c r="ACV45">
        <v>301</v>
      </c>
      <c r="ACW45">
        <v>16144</v>
      </c>
      <c r="ACX45">
        <v>6013</v>
      </c>
      <c r="ACY45">
        <v>30796</v>
      </c>
      <c r="ACZ45">
        <v>4320</v>
      </c>
      <c r="ADA45">
        <v>4541</v>
      </c>
      <c r="ADB45">
        <v>3031</v>
      </c>
      <c r="ADC45">
        <v>1830</v>
      </c>
      <c r="ADD45">
        <v>1830</v>
      </c>
      <c r="ADE45">
        <v>1457</v>
      </c>
      <c r="ADF45">
        <v>9394</v>
      </c>
      <c r="ADG45">
        <v>36772</v>
      </c>
      <c r="ADH45">
        <v>3551</v>
      </c>
      <c r="ADI45">
        <v>7996</v>
      </c>
      <c r="ADJ45">
        <v>2528</v>
      </c>
      <c r="ADK45">
        <v>2528</v>
      </c>
      <c r="ADL45">
        <v>0</v>
      </c>
      <c r="ADM45">
        <v>902</v>
      </c>
      <c r="ADN45">
        <v>31613</v>
      </c>
      <c r="ADO45">
        <v>4499</v>
      </c>
      <c r="ADP45">
        <v>3883</v>
      </c>
      <c r="ADQ45">
        <v>12815</v>
      </c>
      <c r="ADR45">
        <v>0</v>
      </c>
      <c r="ADS45">
        <v>0</v>
      </c>
      <c r="ADT45">
        <v>346</v>
      </c>
      <c r="ADU45">
        <v>0</v>
      </c>
      <c r="ADV45">
        <v>0</v>
      </c>
      <c r="ADW45">
        <v>0</v>
      </c>
      <c r="ADX45">
        <v>96</v>
      </c>
      <c r="ADY45">
        <v>10204</v>
      </c>
      <c r="ADZ45">
        <v>0</v>
      </c>
      <c r="AEA45">
        <v>728</v>
      </c>
      <c r="AEB45">
        <v>15978</v>
      </c>
      <c r="AEC45">
        <v>20557</v>
      </c>
      <c r="AED45">
        <v>3003</v>
      </c>
      <c r="AEE45">
        <v>936</v>
      </c>
      <c r="AEF45">
        <v>5395</v>
      </c>
      <c r="AEG45">
        <v>0</v>
      </c>
      <c r="AEH45">
        <v>710</v>
      </c>
      <c r="AEI45">
        <v>4541</v>
      </c>
      <c r="AEJ45">
        <v>2696</v>
      </c>
      <c r="AEK45">
        <v>3743</v>
      </c>
      <c r="AEL45">
        <v>2246</v>
      </c>
      <c r="AEM45">
        <v>4908</v>
      </c>
      <c r="AEN45">
        <v>0</v>
      </c>
      <c r="AEO45">
        <v>52</v>
      </c>
      <c r="AEP45">
        <v>7956</v>
      </c>
      <c r="AEQ45">
        <v>6699</v>
      </c>
      <c r="AER45">
        <v>1955</v>
      </c>
      <c r="AES45">
        <v>3262</v>
      </c>
      <c r="AET45">
        <v>3436</v>
      </c>
      <c r="AEU45">
        <v>0</v>
      </c>
      <c r="AEV45">
        <v>0</v>
      </c>
      <c r="AEW45">
        <v>10532</v>
      </c>
      <c r="AEX45">
        <v>3758</v>
      </c>
      <c r="AEY45">
        <v>3626</v>
      </c>
      <c r="AEZ45">
        <v>1061</v>
      </c>
      <c r="AFA45">
        <v>6834</v>
      </c>
      <c r="AFB45">
        <v>0</v>
      </c>
      <c r="AFC45">
        <v>3176</v>
      </c>
      <c r="AFD45">
        <v>13557</v>
      </c>
      <c r="AFE45">
        <v>3867</v>
      </c>
      <c r="AFF45">
        <v>2894</v>
      </c>
      <c r="AFG45">
        <v>1082</v>
      </c>
      <c r="AFH45">
        <v>3967</v>
      </c>
      <c r="AFI45">
        <v>0</v>
      </c>
      <c r="AFJ45">
        <v>1262</v>
      </c>
      <c r="AFK45">
        <v>16012</v>
      </c>
      <c r="AFL45">
        <v>19485</v>
      </c>
      <c r="AFM45">
        <v>7357</v>
      </c>
      <c r="AFN45">
        <v>7218</v>
      </c>
      <c r="AFO45">
        <v>9200</v>
      </c>
      <c r="AFP45">
        <v>0</v>
      </c>
      <c r="AFQ45">
        <v>784</v>
      </c>
      <c r="AFR45">
        <v>15058</v>
      </c>
      <c r="AFS45">
        <v>5912</v>
      </c>
      <c r="AFT45">
        <v>3183</v>
      </c>
      <c r="AFU45">
        <v>2591</v>
      </c>
      <c r="AFV45">
        <v>9663</v>
      </c>
      <c r="AFW45">
        <v>0</v>
      </c>
      <c r="AFX45">
        <v>110</v>
      </c>
      <c r="AFY45">
        <v>17864</v>
      </c>
      <c r="AFZ45">
        <v>14776</v>
      </c>
      <c r="AGA45">
        <v>6640</v>
      </c>
      <c r="AGB45">
        <v>6583</v>
      </c>
      <c r="AGC45">
        <v>3721</v>
      </c>
      <c r="AGD45">
        <v>0</v>
      </c>
      <c r="AGE45">
        <v>834</v>
      </c>
      <c r="AGF45">
        <v>11370</v>
      </c>
      <c r="AGG45">
        <v>5302</v>
      </c>
      <c r="AGH45">
        <v>3416</v>
      </c>
      <c r="AGI45">
        <v>6672</v>
      </c>
      <c r="AGJ45">
        <v>0</v>
      </c>
      <c r="AGL45">
        <v>4</v>
      </c>
      <c r="AGM45">
        <v>6279</v>
      </c>
      <c r="AGN45">
        <v>3160</v>
      </c>
      <c r="AGO45">
        <v>7330</v>
      </c>
      <c r="AGP45">
        <v>2639</v>
      </c>
      <c r="AGQ45">
        <v>3069</v>
      </c>
      <c r="AGR45">
        <v>0</v>
      </c>
      <c r="AGS45">
        <v>0</v>
      </c>
      <c r="AGT45">
        <v>6126</v>
      </c>
      <c r="AGU45">
        <v>3505</v>
      </c>
      <c r="AGV45">
        <v>5268</v>
      </c>
      <c r="AGW45">
        <v>1650</v>
      </c>
      <c r="AGX45">
        <v>2978</v>
      </c>
      <c r="AGY45">
        <v>0</v>
      </c>
      <c r="AGZ45">
        <v>1020</v>
      </c>
      <c r="AHA45">
        <v>10523</v>
      </c>
      <c r="AHB45">
        <v>7159</v>
      </c>
      <c r="AHC45">
        <v>9033</v>
      </c>
      <c r="AHD45">
        <v>6826</v>
      </c>
      <c r="AHE45">
        <v>2978</v>
      </c>
      <c r="AHH45">
        <v>0</v>
      </c>
      <c r="AHI45">
        <v>798</v>
      </c>
      <c r="AHJ45">
        <v>7995</v>
      </c>
      <c r="AHK45">
        <v>2134</v>
      </c>
      <c r="AHL45">
        <v>4611</v>
      </c>
      <c r="AHM45">
        <v>0</v>
      </c>
      <c r="AHN45">
        <v>0</v>
      </c>
      <c r="AHO45">
        <v>4486</v>
      </c>
      <c r="AHP45">
        <v>7420</v>
      </c>
      <c r="AHQ45">
        <v>8631</v>
      </c>
      <c r="AHR45">
        <v>5841</v>
      </c>
      <c r="AHS45">
        <v>5579</v>
      </c>
      <c r="AHT45">
        <v>0</v>
      </c>
      <c r="AHU45">
        <v>0</v>
      </c>
      <c r="AHV45">
        <v>0</v>
      </c>
      <c r="AHW45">
        <v>382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14163</v>
      </c>
      <c r="AID45">
        <v>3293</v>
      </c>
      <c r="AIE45">
        <v>50</v>
      </c>
      <c r="AIF45">
        <v>1533</v>
      </c>
      <c r="AIG45">
        <v>4100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5594</v>
      </c>
      <c r="AIO45">
        <v>0</v>
      </c>
      <c r="AIP45">
        <v>0</v>
      </c>
      <c r="AIQ45">
        <v>0</v>
      </c>
      <c r="AIR45">
        <v>3012</v>
      </c>
      <c r="AIS45">
        <v>8212</v>
      </c>
      <c r="AIT45">
        <v>4932</v>
      </c>
      <c r="AIU45">
        <v>6247</v>
      </c>
      <c r="AIV45">
        <v>0</v>
      </c>
      <c r="AIW45">
        <v>843</v>
      </c>
      <c r="AIX45">
        <v>4424</v>
      </c>
      <c r="AIY45">
        <v>2205</v>
      </c>
      <c r="AIZ45">
        <v>6811</v>
      </c>
      <c r="AJA45">
        <v>3488</v>
      </c>
      <c r="AJB45">
        <v>4825</v>
      </c>
      <c r="AJC45">
        <v>0</v>
      </c>
      <c r="AJD45">
        <v>2</v>
      </c>
      <c r="AJE45">
        <v>5504</v>
      </c>
      <c r="AJF45">
        <v>2239</v>
      </c>
      <c r="AJG45">
        <v>4904</v>
      </c>
      <c r="AJH45">
        <v>180</v>
      </c>
      <c r="AJI45">
        <v>4576</v>
      </c>
      <c r="AJJ45">
        <v>0</v>
      </c>
      <c r="AJK45">
        <v>160</v>
      </c>
      <c r="AJL45">
        <v>8918</v>
      </c>
      <c r="AJM45">
        <v>2760</v>
      </c>
      <c r="AJN45">
        <v>5102</v>
      </c>
      <c r="AJO45">
        <v>2473</v>
      </c>
      <c r="AJP45">
        <v>8422</v>
      </c>
      <c r="AJQ45">
        <v>0</v>
      </c>
      <c r="AJR45">
        <v>0</v>
      </c>
      <c r="AJS45">
        <v>919</v>
      </c>
      <c r="AJT45">
        <v>0</v>
      </c>
      <c r="AJU45">
        <v>8628</v>
      </c>
      <c r="AJV45">
        <v>1068</v>
      </c>
      <c r="AJW45">
        <v>4799</v>
      </c>
      <c r="AJX45">
        <v>0</v>
      </c>
      <c r="AJY45">
        <v>0</v>
      </c>
      <c r="AJZ45">
        <v>11309</v>
      </c>
      <c r="AKA45">
        <v>3928</v>
      </c>
      <c r="AKB45">
        <v>3365</v>
      </c>
      <c r="AKC45">
        <v>2928</v>
      </c>
      <c r="AKD45">
        <v>4070</v>
      </c>
      <c r="AKE45">
        <v>0</v>
      </c>
      <c r="AKF45">
        <v>3170</v>
      </c>
    </row>
    <row r="46" spans="1:968" s="8" customFormat="1">
      <c r="C46" s="9">
        <v>82620</v>
      </c>
      <c r="D46" s="9" t="s">
        <v>28</v>
      </c>
      <c r="E46" s="9" t="s">
        <v>139</v>
      </c>
      <c r="F46" s="10"/>
      <c r="G46" s="10"/>
      <c r="H46" s="10"/>
      <c r="I46" s="10"/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AEU46" s="8">
        <v>0</v>
      </c>
    </row>
    <row r="47" spans="1:968">
      <c r="A47">
        <v>1</v>
      </c>
      <c r="B47" t="s">
        <v>140</v>
      </c>
      <c r="C47" s="1">
        <v>82620</v>
      </c>
      <c r="D47" s="1" t="s">
        <v>28</v>
      </c>
      <c r="E47" s="1" t="s">
        <v>139</v>
      </c>
      <c r="F47" s="1" t="s">
        <v>139</v>
      </c>
      <c r="G47" s="1" t="s">
        <v>33</v>
      </c>
      <c r="H47" s="1" t="s">
        <v>21</v>
      </c>
      <c r="I47" s="1" t="s">
        <v>141</v>
      </c>
      <c r="J47" s="30" t="s">
        <v>46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0</v>
      </c>
      <c r="XN47">
        <v>0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0</v>
      </c>
      <c r="XW47">
        <v>0</v>
      </c>
      <c r="XX47">
        <v>0</v>
      </c>
      <c r="XY47">
        <v>0</v>
      </c>
      <c r="XZ47">
        <v>0</v>
      </c>
      <c r="YA47">
        <v>0</v>
      </c>
      <c r="YB47">
        <v>0</v>
      </c>
      <c r="YC47">
        <v>0</v>
      </c>
      <c r="YD47">
        <v>0</v>
      </c>
      <c r="YE47">
        <v>0</v>
      </c>
      <c r="YF47">
        <v>0</v>
      </c>
      <c r="YG47">
        <v>0</v>
      </c>
      <c r="YH47">
        <v>0</v>
      </c>
      <c r="YI47">
        <v>0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0</v>
      </c>
      <c r="ZF47">
        <v>0</v>
      </c>
      <c r="ZG47">
        <v>0</v>
      </c>
      <c r="ZH47">
        <v>0</v>
      </c>
      <c r="ZI47">
        <v>0</v>
      </c>
      <c r="ZJ47">
        <v>0</v>
      </c>
      <c r="ZK47">
        <v>0</v>
      </c>
      <c r="ZL47">
        <v>0</v>
      </c>
      <c r="ZM47">
        <v>0</v>
      </c>
      <c r="ZN47">
        <v>0</v>
      </c>
      <c r="ZO47">
        <v>0</v>
      </c>
      <c r="ZP47">
        <v>0</v>
      </c>
      <c r="ZQ47">
        <v>0</v>
      </c>
      <c r="ZR47">
        <v>0</v>
      </c>
      <c r="ZS47">
        <v>0</v>
      </c>
      <c r="ZT47">
        <v>0</v>
      </c>
      <c r="ZU47">
        <v>0</v>
      </c>
      <c r="ZV47">
        <v>0</v>
      </c>
      <c r="ZW47">
        <v>0</v>
      </c>
      <c r="ZX47">
        <v>0</v>
      </c>
      <c r="ZY47">
        <v>0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  <c r="AAW47">
        <v>0</v>
      </c>
      <c r="AAX47">
        <v>0</v>
      </c>
      <c r="AAY47">
        <v>0</v>
      </c>
      <c r="AAZ47">
        <v>0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0</v>
      </c>
      <c r="ABG47">
        <v>0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0</v>
      </c>
      <c r="ABP47">
        <v>0</v>
      </c>
      <c r="ABQ47">
        <v>0</v>
      </c>
      <c r="ABR47">
        <v>0</v>
      </c>
      <c r="ABS47">
        <v>0</v>
      </c>
      <c r="ABT47">
        <v>0</v>
      </c>
      <c r="ABU47">
        <v>0</v>
      </c>
      <c r="ABV47">
        <v>0</v>
      </c>
      <c r="ABW47">
        <v>0</v>
      </c>
      <c r="ABX47">
        <v>0</v>
      </c>
      <c r="ABY47">
        <v>0</v>
      </c>
      <c r="ABZ47">
        <v>0</v>
      </c>
      <c r="ACA47">
        <v>0</v>
      </c>
      <c r="ACB47">
        <v>0</v>
      </c>
      <c r="ACC47">
        <v>0</v>
      </c>
      <c r="ACD47">
        <v>0</v>
      </c>
      <c r="ACE47">
        <v>0</v>
      </c>
      <c r="ACF47">
        <v>0</v>
      </c>
      <c r="ACG47">
        <v>0</v>
      </c>
      <c r="ACH47">
        <v>0</v>
      </c>
      <c r="ACI47">
        <v>0</v>
      </c>
      <c r="ACJ47">
        <v>0</v>
      </c>
      <c r="ACK47">
        <v>0</v>
      </c>
      <c r="ACL47">
        <v>0</v>
      </c>
      <c r="ACM47">
        <v>0</v>
      </c>
      <c r="ACN47">
        <v>0</v>
      </c>
      <c r="ACO47">
        <v>0</v>
      </c>
      <c r="ACP47">
        <v>0</v>
      </c>
      <c r="ACQ47">
        <v>0</v>
      </c>
      <c r="ACR47">
        <v>0</v>
      </c>
      <c r="ACS47">
        <v>0</v>
      </c>
      <c r="ACT47">
        <v>0</v>
      </c>
      <c r="ACU47">
        <v>0</v>
      </c>
      <c r="ACV47">
        <v>0</v>
      </c>
      <c r="ACW47">
        <v>0</v>
      </c>
      <c r="ACX47">
        <v>0</v>
      </c>
      <c r="ACY47">
        <v>0</v>
      </c>
      <c r="ACZ47">
        <v>0</v>
      </c>
      <c r="ADA47">
        <v>0</v>
      </c>
      <c r="ADB47">
        <v>0</v>
      </c>
      <c r="ADC47">
        <v>0</v>
      </c>
      <c r="ADD47">
        <v>0</v>
      </c>
      <c r="ADE47">
        <v>0</v>
      </c>
      <c r="ADF47">
        <v>0</v>
      </c>
      <c r="ADG47">
        <v>0</v>
      </c>
      <c r="ADH47">
        <v>0</v>
      </c>
      <c r="ADI47">
        <v>0</v>
      </c>
      <c r="ADJ47">
        <v>0</v>
      </c>
      <c r="ADK47">
        <v>0</v>
      </c>
      <c r="ADL47">
        <v>0</v>
      </c>
      <c r="ADM47">
        <v>0</v>
      </c>
      <c r="ADN47">
        <v>0</v>
      </c>
      <c r="ADO47">
        <v>0</v>
      </c>
      <c r="ADP47">
        <v>0</v>
      </c>
      <c r="ADQ47">
        <v>0</v>
      </c>
      <c r="ADR47">
        <v>0</v>
      </c>
      <c r="ADS47">
        <v>0</v>
      </c>
      <c r="ADT47">
        <v>0</v>
      </c>
      <c r="ADU47">
        <v>0</v>
      </c>
      <c r="ADV47">
        <v>0</v>
      </c>
      <c r="ADW47">
        <v>0</v>
      </c>
      <c r="ADX47">
        <v>0</v>
      </c>
      <c r="ADY47">
        <v>0</v>
      </c>
      <c r="ADZ47">
        <v>0</v>
      </c>
      <c r="AEA47">
        <v>0</v>
      </c>
      <c r="AEB47">
        <v>0</v>
      </c>
      <c r="AEC47">
        <v>0</v>
      </c>
      <c r="AED47">
        <v>0</v>
      </c>
      <c r="AEE47">
        <v>0</v>
      </c>
      <c r="AEF47">
        <v>0</v>
      </c>
      <c r="AEG47">
        <v>0</v>
      </c>
      <c r="AEH47">
        <v>0</v>
      </c>
      <c r="AEI47">
        <v>0</v>
      </c>
      <c r="AEJ47">
        <v>0</v>
      </c>
      <c r="AEK47">
        <v>0</v>
      </c>
      <c r="AEL47">
        <v>0</v>
      </c>
      <c r="AEM47">
        <v>0</v>
      </c>
      <c r="AEN47">
        <v>0</v>
      </c>
      <c r="AEO47">
        <v>0</v>
      </c>
      <c r="AEP47">
        <v>0</v>
      </c>
      <c r="AEQ47">
        <v>0</v>
      </c>
      <c r="AER47">
        <v>0</v>
      </c>
      <c r="AES47">
        <v>0</v>
      </c>
      <c r="AET47">
        <v>0</v>
      </c>
      <c r="AEU47">
        <v>0</v>
      </c>
      <c r="AEV47">
        <v>0</v>
      </c>
      <c r="AEW47">
        <v>0</v>
      </c>
      <c r="AEX47">
        <v>0</v>
      </c>
      <c r="AEY47">
        <v>0</v>
      </c>
      <c r="AEZ47">
        <v>0</v>
      </c>
      <c r="AFA47">
        <v>0</v>
      </c>
      <c r="AFB47">
        <v>0</v>
      </c>
      <c r="AFC47">
        <v>0</v>
      </c>
      <c r="AFD47">
        <v>0</v>
      </c>
      <c r="AFE47">
        <v>0</v>
      </c>
      <c r="AFF47">
        <v>0</v>
      </c>
      <c r="AFG47">
        <v>0</v>
      </c>
      <c r="AFH47">
        <v>0</v>
      </c>
      <c r="AFI47">
        <v>0</v>
      </c>
      <c r="AFJ47">
        <v>0</v>
      </c>
      <c r="AFK47">
        <v>0</v>
      </c>
      <c r="AFL47">
        <v>0</v>
      </c>
      <c r="AFM47">
        <v>0</v>
      </c>
      <c r="AFN47">
        <v>0</v>
      </c>
      <c r="AFO47">
        <v>0</v>
      </c>
      <c r="AFP47">
        <v>0</v>
      </c>
      <c r="AFQ47">
        <v>0</v>
      </c>
      <c r="AFR47">
        <v>0</v>
      </c>
      <c r="AFS47">
        <v>0</v>
      </c>
      <c r="AFT47">
        <v>0</v>
      </c>
      <c r="AFU47">
        <v>0</v>
      </c>
      <c r="AFV47">
        <v>0</v>
      </c>
      <c r="AFW47">
        <v>0</v>
      </c>
      <c r="AFX47">
        <v>0</v>
      </c>
      <c r="AFY47">
        <v>0</v>
      </c>
      <c r="AFZ47">
        <v>0</v>
      </c>
      <c r="AGA47">
        <v>0</v>
      </c>
      <c r="AGB47">
        <v>0</v>
      </c>
      <c r="AGC47">
        <v>0</v>
      </c>
      <c r="AGD47">
        <v>0</v>
      </c>
      <c r="AGE47">
        <v>0</v>
      </c>
      <c r="AGF47">
        <v>0</v>
      </c>
      <c r="AGG47">
        <v>0</v>
      </c>
      <c r="AGH47">
        <v>0</v>
      </c>
      <c r="AGI47">
        <v>0</v>
      </c>
      <c r="AGJ47">
        <v>0</v>
      </c>
      <c r="AGK47">
        <v>0</v>
      </c>
      <c r="AGL47">
        <v>0</v>
      </c>
      <c r="AGM47">
        <v>0</v>
      </c>
      <c r="AGN47">
        <v>0</v>
      </c>
      <c r="AGO47">
        <v>0</v>
      </c>
      <c r="AGP47">
        <v>0</v>
      </c>
      <c r="AGQ47">
        <v>0</v>
      </c>
      <c r="AGR47">
        <v>0</v>
      </c>
      <c r="AGS47">
        <v>0</v>
      </c>
      <c r="AGT47">
        <v>0</v>
      </c>
      <c r="AGU47">
        <v>0</v>
      </c>
      <c r="AGV47">
        <v>0</v>
      </c>
      <c r="AGW47" cm="1">
        <f t="array" ref="AGW47">_xlfn.XLOOKUP(B47,[1]Append1!$A:$A,[1]Append1!$B:$E,0)</f>
        <v>0</v>
      </c>
      <c r="AGX47" cm="1">
        <f t="array" ref="AGX47">_xlfn.XLOOKUP(C47,[1]Append1!$A:$A,[1]Append1!$B:$E,0)</f>
        <v>0</v>
      </c>
      <c r="AGY47">
        <v>0</v>
      </c>
      <c r="AGZ47">
        <v>0</v>
      </c>
      <c r="AHA47">
        <v>0</v>
      </c>
      <c r="AHB47">
        <v>0</v>
      </c>
      <c r="AHC47">
        <v>0</v>
      </c>
      <c r="AHD47">
        <v>0</v>
      </c>
      <c r="AHE47">
        <v>0</v>
      </c>
      <c r="AHF47">
        <v>0</v>
      </c>
      <c r="AIA47">
        <v>0</v>
      </c>
      <c r="AIB47">
        <v>0</v>
      </c>
      <c r="AIC47">
        <v>0</v>
      </c>
      <c r="AID47">
        <v>0</v>
      </c>
      <c r="AIE47">
        <v>0</v>
      </c>
      <c r="AIF47">
        <v>0</v>
      </c>
      <c r="AIG47">
        <v>0</v>
      </c>
      <c r="AIH47">
        <v>0</v>
      </c>
      <c r="AII47">
        <v>0</v>
      </c>
      <c r="AIJ47">
        <v>0</v>
      </c>
      <c r="AIK47">
        <v>0</v>
      </c>
      <c r="AIL47">
        <v>0</v>
      </c>
      <c r="AIM47">
        <v>0</v>
      </c>
      <c r="AIN47">
        <v>0</v>
      </c>
      <c r="AIO47">
        <v>0</v>
      </c>
      <c r="AIP47">
        <v>0</v>
      </c>
      <c r="AIQ47">
        <v>0</v>
      </c>
      <c r="AIR47">
        <v>0</v>
      </c>
      <c r="AIS47">
        <v>0</v>
      </c>
      <c r="AIT47">
        <v>0</v>
      </c>
      <c r="AIU47">
        <v>0</v>
      </c>
      <c r="AIV47">
        <v>0</v>
      </c>
      <c r="AIW47">
        <v>0</v>
      </c>
      <c r="AIX47">
        <v>0</v>
      </c>
      <c r="AIY47">
        <v>0</v>
      </c>
      <c r="AIZ47">
        <v>0</v>
      </c>
      <c r="AJA47">
        <v>0</v>
      </c>
      <c r="AJB47">
        <v>0</v>
      </c>
      <c r="AJC47">
        <v>0</v>
      </c>
      <c r="AJD47">
        <v>0</v>
      </c>
      <c r="AJE47">
        <v>0</v>
      </c>
      <c r="AJF47">
        <v>0</v>
      </c>
      <c r="AJG47">
        <v>0</v>
      </c>
      <c r="AJH47">
        <v>0</v>
      </c>
      <c r="AJI47">
        <v>0</v>
      </c>
      <c r="AJJ47">
        <v>0</v>
      </c>
      <c r="AJK47">
        <v>0</v>
      </c>
      <c r="AJL47">
        <v>0</v>
      </c>
      <c r="AJM47">
        <v>0</v>
      </c>
      <c r="AJN47">
        <v>0</v>
      </c>
      <c r="AJO47">
        <v>0</v>
      </c>
      <c r="AJP47">
        <v>0</v>
      </c>
      <c r="AJQ47">
        <v>0</v>
      </c>
      <c r="AJR47">
        <v>0</v>
      </c>
      <c r="AJS47">
        <v>0</v>
      </c>
      <c r="AJT47">
        <v>0</v>
      </c>
      <c r="AJU47">
        <v>0</v>
      </c>
      <c r="AJV47">
        <v>0</v>
      </c>
      <c r="AJW47">
        <v>0</v>
      </c>
      <c r="AJX47">
        <v>0</v>
      </c>
      <c r="AJY47">
        <v>0</v>
      </c>
      <c r="AJZ47">
        <v>0</v>
      </c>
      <c r="AKA47">
        <v>0</v>
      </c>
      <c r="AKB47">
        <v>0</v>
      </c>
      <c r="AKC47">
        <v>0</v>
      </c>
      <c r="AKD47">
        <v>0</v>
      </c>
      <c r="AKE47">
        <v>0</v>
      </c>
      <c r="AKF47">
        <v>0</v>
      </c>
    </row>
    <row r="48" spans="1:968">
      <c r="A48">
        <v>2</v>
      </c>
      <c r="B48" t="s">
        <v>142</v>
      </c>
      <c r="C48" s="1">
        <v>82620</v>
      </c>
      <c r="D48" s="1" t="s">
        <v>28</v>
      </c>
      <c r="E48" s="1" t="s">
        <v>139</v>
      </c>
      <c r="F48" s="1" t="s">
        <v>139</v>
      </c>
      <c r="G48" s="1" t="s">
        <v>12</v>
      </c>
      <c r="H48" s="1" t="s">
        <v>21</v>
      </c>
      <c r="I48" s="1" t="s">
        <v>141</v>
      </c>
      <c r="J48" s="30" t="s">
        <v>46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>
        <v>0</v>
      </c>
      <c r="XM48">
        <v>0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0</v>
      </c>
      <c r="XV48">
        <v>0</v>
      </c>
      <c r="XW48">
        <v>0</v>
      </c>
      <c r="XX48">
        <v>0</v>
      </c>
      <c r="XY48">
        <v>0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0</v>
      </c>
      <c r="YH48">
        <v>0</v>
      </c>
      <c r="YI48">
        <v>0</v>
      </c>
      <c r="YJ48">
        <v>0</v>
      </c>
      <c r="YK48">
        <v>0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0</v>
      </c>
      <c r="ZE48">
        <v>0</v>
      </c>
      <c r="ZF48">
        <v>0</v>
      </c>
      <c r="ZG48">
        <v>0</v>
      </c>
      <c r="ZH48">
        <v>0</v>
      </c>
      <c r="ZI48">
        <v>0</v>
      </c>
      <c r="ZJ48">
        <v>0</v>
      </c>
      <c r="ZK48">
        <v>0</v>
      </c>
      <c r="ZL48">
        <v>0</v>
      </c>
      <c r="ZM48">
        <v>0</v>
      </c>
      <c r="ZN48">
        <v>0</v>
      </c>
      <c r="ZO48">
        <v>0</v>
      </c>
      <c r="ZP48">
        <v>0</v>
      </c>
      <c r="ZQ48">
        <v>0</v>
      </c>
      <c r="ZR48">
        <v>0</v>
      </c>
      <c r="ZS48">
        <v>0</v>
      </c>
      <c r="ZT48">
        <v>0</v>
      </c>
      <c r="ZU48">
        <v>0</v>
      </c>
      <c r="ZV48">
        <v>0</v>
      </c>
      <c r="ZW48">
        <v>0</v>
      </c>
      <c r="ZX48">
        <v>0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0</v>
      </c>
      <c r="AAE48">
        <v>0</v>
      </c>
      <c r="AAF48">
        <v>0</v>
      </c>
      <c r="AAG48">
        <v>0</v>
      </c>
      <c r="AAH48">
        <v>0</v>
      </c>
      <c r="AAI48">
        <v>0</v>
      </c>
      <c r="AAJ48">
        <v>0</v>
      </c>
      <c r="AAK48">
        <v>0</v>
      </c>
      <c r="AAL48">
        <v>0</v>
      </c>
      <c r="AAM48">
        <v>0</v>
      </c>
      <c r="AAN48">
        <v>0</v>
      </c>
      <c r="AAO48">
        <v>0</v>
      </c>
      <c r="AAP48">
        <v>0</v>
      </c>
      <c r="AAQ48">
        <v>0</v>
      </c>
      <c r="AAR48">
        <v>0</v>
      </c>
      <c r="AAS48">
        <v>0</v>
      </c>
      <c r="AAT48">
        <v>0</v>
      </c>
      <c r="AAU48">
        <v>0</v>
      </c>
      <c r="AAV48">
        <v>0</v>
      </c>
      <c r="AAW48">
        <v>0</v>
      </c>
      <c r="AAX48">
        <v>0</v>
      </c>
      <c r="AAY48">
        <v>0</v>
      </c>
      <c r="AAZ48">
        <v>0</v>
      </c>
      <c r="ABA48">
        <v>0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0</v>
      </c>
      <c r="ABJ48">
        <v>0</v>
      </c>
      <c r="ABK48">
        <v>0</v>
      </c>
      <c r="ABL48">
        <v>0</v>
      </c>
      <c r="ABM48">
        <v>0</v>
      </c>
      <c r="ABN48">
        <v>0</v>
      </c>
      <c r="ABO48">
        <v>0</v>
      </c>
      <c r="ABP48">
        <v>0</v>
      </c>
      <c r="ABQ48">
        <v>0</v>
      </c>
      <c r="ABR48">
        <v>0</v>
      </c>
      <c r="ABS48">
        <v>0</v>
      </c>
      <c r="ABT48">
        <v>0</v>
      </c>
      <c r="ABU48">
        <v>0</v>
      </c>
      <c r="ABV48">
        <v>0</v>
      </c>
      <c r="ABW48">
        <v>0</v>
      </c>
      <c r="ABX48">
        <v>0</v>
      </c>
      <c r="ABY48">
        <v>0</v>
      </c>
      <c r="ABZ48">
        <v>0</v>
      </c>
      <c r="ACA48">
        <v>0</v>
      </c>
      <c r="ACB48">
        <v>0</v>
      </c>
      <c r="ACC48">
        <v>0</v>
      </c>
      <c r="ACD48">
        <v>0</v>
      </c>
      <c r="ACE48">
        <v>0</v>
      </c>
      <c r="ACF48">
        <v>0</v>
      </c>
      <c r="ACG48">
        <v>0</v>
      </c>
      <c r="ACH48">
        <v>0</v>
      </c>
      <c r="ACI48">
        <v>0</v>
      </c>
      <c r="ACJ48">
        <v>0</v>
      </c>
      <c r="ACK48">
        <v>0</v>
      </c>
      <c r="ACL48">
        <v>0</v>
      </c>
      <c r="ACM48">
        <v>0</v>
      </c>
      <c r="ACN48">
        <v>0</v>
      </c>
      <c r="ACO48">
        <v>0</v>
      </c>
      <c r="ACP48">
        <v>0</v>
      </c>
      <c r="ACQ48">
        <v>0</v>
      </c>
      <c r="ACR48">
        <v>0</v>
      </c>
      <c r="ACS48">
        <v>0</v>
      </c>
      <c r="ACT48">
        <v>0</v>
      </c>
      <c r="ACU48">
        <v>0</v>
      </c>
      <c r="ACV48">
        <v>0</v>
      </c>
      <c r="ACW48">
        <v>0</v>
      </c>
      <c r="ACX48">
        <v>0</v>
      </c>
      <c r="ACY48">
        <v>0</v>
      </c>
      <c r="ACZ48">
        <v>0</v>
      </c>
      <c r="ADA48">
        <v>0</v>
      </c>
      <c r="ADB48">
        <v>0</v>
      </c>
      <c r="ADC48">
        <v>0</v>
      </c>
      <c r="ADD48">
        <v>0</v>
      </c>
      <c r="ADE48">
        <v>0</v>
      </c>
      <c r="ADF48">
        <v>0</v>
      </c>
      <c r="ADG48">
        <v>0</v>
      </c>
      <c r="ADH48">
        <v>0</v>
      </c>
      <c r="ADI48">
        <v>0</v>
      </c>
      <c r="ADJ48">
        <v>0</v>
      </c>
      <c r="ADK48">
        <v>0</v>
      </c>
      <c r="ADL48">
        <v>0</v>
      </c>
      <c r="ADM48">
        <v>0</v>
      </c>
      <c r="ADN48">
        <v>0</v>
      </c>
      <c r="ADO48">
        <v>0</v>
      </c>
      <c r="ADP48">
        <v>0</v>
      </c>
      <c r="ADQ48">
        <v>0</v>
      </c>
      <c r="ADR48">
        <v>0</v>
      </c>
      <c r="ADS48">
        <v>0</v>
      </c>
      <c r="ADT48">
        <v>0</v>
      </c>
      <c r="ADU48">
        <v>0</v>
      </c>
      <c r="ADV48">
        <v>0</v>
      </c>
      <c r="ADW48">
        <v>0</v>
      </c>
      <c r="ADX48">
        <v>0</v>
      </c>
      <c r="ADY48">
        <v>0</v>
      </c>
      <c r="ADZ48">
        <v>0</v>
      </c>
      <c r="AEA48">
        <v>0</v>
      </c>
      <c r="AEB48">
        <v>0</v>
      </c>
      <c r="AEC48">
        <v>0</v>
      </c>
      <c r="AED48">
        <v>0</v>
      </c>
      <c r="AEE48">
        <v>0</v>
      </c>
      <c r="AEF48">
        <v>0</v>
      </c>
      <c r="AEG48">
        <v>0</v>
      </c>
      <c r="AEH48">
        <v>0</v>
      </c>
      <c r="AEI48">
        <v>0</v>
      </c>
      <c r="AEJ48">
        <v>0</v>
      </c>
      <c r="AEK48">
        <v>0</v>
      </c>
      <c r="AEL48">
        <v>0</v>
      </c>
      <c r="AEM48">
        <v>0</v>
      </c>
      <c r="AEN48">
        <v>0</v>
      </c>
      <c r="AEO48">
        <v>0</v>
      </c>
      <c r="AEP48">
        <v>0</v>
      </c>
      <c r="AEQ48">
        <v>0</v>
      </c>
      <c r="AER48">
        <v>0</v>
      </c>
      <c r="AES48">
        <v>0</v>
      </c>
      <c r="AET48">
        <v>0</v>
      </c>
      <c r="AEU48">
        <v>0</v>
      </c>
      <c r="AEV48">
        <v>0</v>
      </c>
      <c r="AEW48">
        <v>0</v>
      </c>
      <c r="AEX48">
        <v>0</v>
      </c>
      <c r="AEY48">
        <v>0</v>
      </c>
      <c r="AEZ48">
        <v>0</v>
      </c>
      <c r="AFA48">
        <v>0</v>
      </c>
      <c r="AFB48">
        <v>0</v>
      </c>
      <c r="AFC48">
        <v>0</v>
      </c>
      <c r="AFD48">
        <v>0</v>
      </c>
      <c r="AFE48">
        <v>0</v>
      </c>
      <c r="AFF48">
        <v>0</v>
      </c>
      <c r="AFG48">
        <v>0</v>
      </c>
      <c r="AFH48">
        <v>0</v>
      </c>
      <c r="AFI48">
        <v>0</v>
      </c>
      <c r="AFJ48">
        <v>0</v>
      </c>
      <c r="AFK48">
        <v>0</v>
      </c>
      <c r="AFL48">
        <v>0</v>
      </c>
      <c r="AFM48">
        <v>0</v>
      </c>
      <c r="AFN48">
        <v>0</v>
      </c>
      <c r="AFO48">
        <v>0</v>
      </c>
      <c r="AFP48">
        <v>0</v>
      </c>
      <c r="AFQ48">
        <v>0</v>
      </c>
      <c r="AFR48">
        <v>0</v>
      </c>
      <c r="AFS48">
        <v>0</v>
      </c>
      <c r="AFT48">
        <v>0</v>
      </c>
      <c r="AFU48">
        <v>0</v>
      </c>
      <c r="AFV48">
        <v>0</v>
      </c>
      <c r="AFW48">
        <v>0</v>
      </c>
      <c r="AFX48">
        <v>0</v>
      </c>
      <c r="AFY48">
        <v>0</v>
      </c>
      <c r="AFZ48">
        <v>0</v>
      </c>
      <c r="AGA48">
        <v>0</v>
      </c>
      <c r="AGB48">
        <v>0</v>
      </c>
      <c r="AGC48">
        <v>0</v>
      </c>
      <c r="AGD48">
        <v>0</v>
      </c>
      <c r="AGE48">
        <v>0</v>
      </c>
      <c r="AGF48">
        <v>0</v>
      </c>
      <c r="AGG48">
        <v>0</v>
      </c>
      <c r="AGH48">
        <v>0</v>
      </c>
      <c r="AGI48">
        <v>0</v>
      </c>
      <c r="AGJ48">
        <v>0</v>
      </c>
      <c r="AGK48">
        <v>0</v>
      </c>
      <c r="AGL48">
        <v>0</v>
      </c>
      <c r="AGM48">
        <v>0</v>
      </c>
      <c r="AGN48">
        <v>0</v>
      </c>
      <c r="AGO48">
        <v>0</v>
      </c>
      <c r="AGP48">
        <v>0</v>
      </c>
      <c r="AGQ48">
        <v>0</v>
      </c>
      <c r="AGR48">
        <v>0</v>
      </c>
      <c r="AGS48">
        <v>0</v>
      </c>
      <c r="AGT48">
        <v>0</v>
      </c>
      <c r="AGU48">
        <v>0</v>
      </c>
      <c r="AGV48">
        <v>0</v>
      </c>
      <c r="AGW48" cm="1">
        <f t="array" ref="AGW48">_xlfn.XLOOKUP(B48,[1]Append1!$A:$A,[1]Append1!$B:$E,0)</f>
        <v>0</v>
      </c>
      <c r="AGX48" cm="1">
        <f t="array" ref="AGX48">_xlfn.XLOOKUP(C48,[1]Append1!$A:$A,[1]Append1!$B:$E,0)</f>
        <v>0</v>
      </c>
      <c r="AGY48">
        <v>0</v>
      </c>
      <c r="AGZ48">
        <v>0</v>
      </c>
      <c r="AHA48">
        <v>0</v>
      </c>
      <c r="AHB48">
        <v>0</v>
      </c>
      <c r="AHC48">
        <v>0</v>
      </c>
      <c r="AHD48">
        <v>0</v>
      </c>
      <c r="AHE48">
        <v>0</v>
      </c>
      <c r="AHF48">
        <v>0</v>
      </c>
      <c r="AIA48">
        <v>0</v>
      </c>
      <c r="AIB48">
        <v>0</v>
      </c>
      <c r="AIC48">
        <v>0</v>
      </c>
      <c r="AID48">
        <v>0</v>
      </c>
      <c r="AIE48">
        <v>0</v>
      </c>
      <c r="AIF48">
        <v>0</v>
      </c>
      <c r="AIG48">
        <v>0</v>
      </c>
      <c r="AIH48">
        <v>0</v>
      </c>
      <c r="AII48">
        <v>0</v>
      </c>
      <c r="AIJ48">
        <v>0</v>
      </c>
      <c r="AIK48">
        <v>0</v>
      </c>
      <c r="AIL48">
        <v>0</v>
      </c>
      <c r="AIM48">
        <v>0</v>
      </c>
      <c r="AIN48">
        <v>0</v>
      </c>
      <c r="AIO48">
        <v>0</v>
      </c>
      <c r="AIP48">
        <v>0</v>
      </c>
      <c r="AIQ48">
        <v>0</v>
      </c>
      <c r="AIR48">
        <v>0</v>
      </c>
      <c r="AIS48">
        <v>0</v>
      </c>
      <c r="AIT48">
        <v>0</v>
      </c>
      <c r="AIU48">
        <v>0</v>
      </c>
      <c r="AIV48">
        <v>0</v>
      </c>
      <c r="AIW48">
        <v>0</v>
      </c>
      <c r="AIX48">
        <v>0</v>
      </c>
      <c r="AIY48">
        <v>0</v>
      </c>
      <c r="AIZ48">
        <v>0</v>
      </c>
      <c r="AJA48">
        <v>0</v>
      </c>
      <c r="AJB48">
        <v>0</v>
      </c>
      <c r="AJC48">
        <v>0</v>
      </c>
      <c r="AJD48">
        <v>0</v>
      </c>
      <c r="AJE48">
        <v>0</v>
      </c>
      <c r="AJF48">
        <v>0</v>
      </c>
      <c r="AJG48">
        <v>0</v>
      </c>
      <c r="AJH48">
        <v>0</v>
      </c>
      <c r="AJI48">
        <v>0</v>
      </c>
      <c r="AJJ48">
        <v>0</v>
      </c>
      <c r="AJK48">
        <v>0</v>
      </c>
      <c r="AJL48">
        <v>0</v>
      </c>
      <c r="AJM48">
        <v>0</v>
      </c>
      <c r="AJN48">
        <v>0</v>
      </c>
      <c r="AJO48">
        <v>0</v>
      </c>
      <c r="AJP48">
        <v>0</v>
      </c>
      <c r="AJQ48">
        <v>0</v>
      </c>
      <c r="AJR48">
        <v>0</v>
      </c>
      <c r="AJS48">
        <v>0</v>
      </c>
      <c r="AJU48">
        <v>0</v>
      </c>
      <c r="AJV48">
        <v>0</v>
      </c>
      <c r="AJW48">
        <v>0</v>
      </c>
      <c r="AJX48">
        <v>0</v>
      </c>
      <c r="AJY48">
        <v>0</v>
      </c>
      <c r="AJZ48">
        <v>0</v>
      </c>
      <c r="AKA48">
        <v>0</v>
      </c>
      <c r="AKB48">
        <v>0</v>
      </c>
      <c r="AKC48">
        <v>0</v>
      </c>
      <c r="AKD48">
        <v>0</v>
      </c>
      <c r="AKE48">
        <v>0</v>
      </c>
      <c r="AKF48">
        <v>0</v>
      </c>
    </row>
    <row r="51" spans="2:968">
      <c r="B51" s="1" t="s">
        <v>80</v>
      </c>
      <c r="C51" s="27">
        <v>99999</v>
      </c>
      <c r="D51" s="1" t="s">
        <v>28</v>
      </c>
      <c r="E51" s="28" t="s">
        <v>143</v>
      </c>
      <c r="F51" s="1" t="s">
        <v>21</v>
      </c>
      <c r="G51" s="1" t="s">
        <v>21</v>
      </c>
      <c r="H51" s="1" t="s">
        <v>21</v>
      </c>
      <c r="I51" s="1" t="s">
        <v>21</v>
      </c>
      <c r="J51" s="1" t="s">
        <v>21</v>
      </c>
      <c r="K51" s="23">
        <f>(SUM(K3:K8)+SUM(K11:K16)+SUM(K20:K27)+SUM(K29:K30)+SUM(K32:K33)+SUM(K47:K48))-K54</f>
        <v>236564</v>
      </c>
      <c r="L51" s="23">
        <f t="shared" ref="L51:BP51" si="420">(SUM(L3:L8)+SUM(L11:L16)+SUM(L20:L27)+SUM(L29:L30)+SUM(L32:L33)+SUM(L47:L48))-L54</f>
        <v>245351</v>
      </c>
      <c r="M51" s="23">
        <f t="shared" si="420"/>
        <v>197639</v>
      </c>
      <c r="N51" s="23">
        <f t="shared" si="420"/>
        <v>155592</v>
      </c>
      <c r="O51" s="23">
        <f t="shared" si="420"/>
        <v>3685</v>
      </c>
      <c r="P51" s="23">
        <f t="shared" si="420"/>
        <v>255113</v>
      </c>
      <c r="Q51" s="23">
        <f t="shared" si="420"/>
        <v>170417</v>
      </c>
      <c r="R51" s="23">
        <f>(SUM(R3:R8)+SUM(R11:R16)+SUM(R20:R27)+SUM(R29:R30)+SUM(R32:R33)+SUM(R47:R48))-R54</f>
        <v>195772</v>
      </c>
      <c r="S51" s="23">
        <f t="shared" si="420"/>
        <v>434689</v>
      </c>
      <c r="T51" s="23">
        <f t="shared" si="420"/>
        <v>337098</v>
      </c>
      <c r="U51" s="23">
        <f t="shared" si="420"/>
        <v>317083</v>
      </c>
      <c r="V51" s="23">
        <f t="shared" si="420"/>
        <v>2661</v>
      </c>
      <c r="W51" s="23">
        <f t="shared" si="420"/>
        <v>333130</v>
      </c>
      <c r="X51" s="23">
        <f t="shared" si="420"/>
        <v>112363</v>
      </c>
      <c r="Y51" s="23">
        <f t="shared" si="420"/>
        <v>160416</v>
      </c>
      <c r="Z51" s="23">
        <f t="shared" si="420"/>
        <v>240386</v>
      </c>
      <c r="AA51" s="23">
        <f t="shared" si="420"/>
        <v>254819</v>
      </c>
      <c r="AB51" s="23">
        <f t="shared" si="420"/>
        <v>177094</v>
      </c>
      <c r="AC51" s="23">
        <f t="shared" si="420"/>
        <v>0</v>
      </c>
      <c r="AD51" s="23">
        <f t="shared" si="420"/>
        <v>188061</v>
      </c>
      <c r="AE51" s="23">
        <f t="shared" si="420"/>
        <v>188555</v>
      </c>
      <c r="AF51" s="23">
        <f t="shared" si="420"/>
        <v>308429</v>
      </c>
      <c r="AG51" s="23">
        <f t="shared" si="420"/>
        <v>468650</v>
      </c>
      <c r="AH51" s="23">
        <f t="shared" si="420"/>
        <v>257713</v>
      </c>
      <c r="AI51" s="23">
        <f t="shared" si="420"/>
        <v>199970</v>
      </c>
      <c r="AJ51" s="23">
        <f t="shared" si="420"/>
        <v>208</v>
      </c>
      <c r="AK51" s="23">
        <f t="shared" si="420"/>
        <v>246501</v>
      </c>
      <c r="AL51" s="23">
        <f t="shared" si="420"/>
        <v>303531</v>
      </c>
      <c r="AM51" s="23">
        <f t="shared" si="420"/>
        <v>292849</v>
      </c>
      <c r="AN51" s="23">
        <f t="shared" si="420"/>
        <v>371002</v>
      </c>
      <c r="AO51" s="23">
        <f t="shared" si="420"/>
        <v>324805</v>
      </c>
      <c r="AP51" s="23">
        <f t="shared" si="420"/>
        <v>133330</v>
      </c>
      <c r="AQ51" s="23">
        <f t="shared" si="420"/>
        <v>0</v>
      </c>
      <c r="AR51" s="23">
        <f t="shared" si="420"/>
        <v>141478</v>
      </c>
      <c r="AS51" s="23">
        <f t="shared" si="420"/>
        <v>2931</v>
      </c>
      <c r="AT51" s="23">
        <f t="shared" si="420"/>
        <v>236718</v>
      </c>
      <c r="AU51" s="23">
        <f t="shared" si="420"/>
        <v>257492</v>
      </c>
      <c r="AV51" s="23">
        <f t="shared" si="420"/>
        <v>229570</v>
      </c>
      <c r="AW51" s="23">
        <f t="shared" si="420"/>
        <v>194767</v>
      </c>
      <c r="AX51" s="23">
        <f t="shared" si="420"/>
        <v>0</v>
      </c>
      <c r="AY51" s="23">
        <f t="shared" si="420"/>
        <v>188636</v>
      </c>
      <c r="AZ51" s="23">
        <f t="shared" si="420"/>
        <v>178532</v>
      </c>
      <c r="BA51" s="23">
        <f t="shared" si="420"/>
        <v>282396</v>
      </c>
      <c r="BB51" s="23">
        <f t="shared" si="420"/>
        <v>228085</v>
      </c>
      <c r="BC51" s="23">
        <f t="shared" si="420"/>
        <v>264284</v>
      </c>
      <c r="BD51" s="23">
        <f t="shared" si="420"/>
        <v>271201</v>
      </c>
      <c r="BE51" s="23">
        <f t="shared" si="420"/>
        <v>0</v>
      </c>
      <c r="BF51" s="23">
        <f t="shared" si="420"/>
        <v>229422</v>
      </c>
      <c r="BG51" s="23">
        <f t="shared" si="420"/>
        <v>188270</v>
      </c>
      <c r="BH51" s="23">
        <f t="shared" si="420"/>
        <v>273028</v>
      </c>
      <c r="BI51" s="23">
        <f t="shared" si="420"/>
        <v>258650</v>
      </c>
      <c r="BJ51" s="23">
        <f t="shared" si="420"/>
        <v>222070</v>
      </c>
      <c r="BK51" s="23">
        <f t="shared" si="420"/>
        <v>133842</v>
      </c>
      <c r="BL51" s="23">
        <f t="shared" si="420"/>
        <v>7734</v>
      </c>
      <c r="BM51" s="23">
        <f t="shared" si="420"/>
        <v>199959</v>
      </c>
      <c r="BN51" s="23">
        <f t="shared" si="420"/>
        <v>158847</v>
      </c>
      <c r="BO51" s="23">
        <f t="shared" si="420"/>
        <v>238427</v>
      </c>
      <c r="BP51" s="23">
        <f t="shared" si="420"/>
        <v>179474</v>
      </c>
      <c r="BQ51" s="23">
        <f>(SUM(BQ3:BQ8)+SUM(BQ11:BQ16)+SUM(BQ20:BQ27)+SUM(BQ29:BQ30)+SUM(BQ32:BQ33)+SUM(BQ47:BQ48))-BQ54</f>
        <v>52499</v>
      </c>
      <c r="BR51" s="23">
        <f t="shared" ref="BR51:BZ51" si="421">(SUM(BR3:BR8)+SUM(BR11:BR16)+SUM(BR20:BR27)+SUM(BR29:BR30)+SUM(BR32:BR33)+SUM(BR47:BR48))-BR54</f>
        <v>0</v>
      </c>
      <c r="BS51" s="23">
        <f t="shared" si="421"/>
        <v>0</v>
      </c>
      <c r="BT51" s="23">
        <f t="shared" si="421"/>
        <v>0</v>
      </c>
      <c r="BU51" s="23">
        <f t="shared" si="421"/>
        <v>112735</v>
      </c>
      <c r="BV51" s="23">
        <f t="shared" si="421"/>
        <v>297333</v>
      </c>
      <c r="BW51" s="23">
        <f t="shared" si="421"/>
        <v>359258</v>
      </c>
      <c r="BX51" s="23">
        <f t="shared" si="421"/>
        <v>268981</v>
      </c>
      <c r="BY51" s="23">
        <f t="shared" si="421"/>
        <v>134597</v>
      </c>
      <c r="BZ51" s="23">
        <f t="shared" si="421"/>
        <v>0</v>
      </c>
      <c r="CA51" s="23">
        <f>(SUM(CA3:CA8)+SUM(CA11:CA16)+SUM(CA20:CA27)+SUM(CA29:CA30)+SUM(CA32:CA33)+SUM(CA47:CA48))-CA54</f>
        <v>319626</v>
      </c>
      <c r="CB51" s="23">
        <f t="shared" ref="CB51:CW51" si="422">(SUM(CB3:CB8)+SUM(CB11:CB16)+SUM(CB20:CB27)+SUM(CB29:CB30)+SUM(CB32:CB33)+SUM(CB47:CB48))-CB54</f>
        <v>200107</v>
      </c>
      <c r="CC51" s="23">
        <f t="shared" si="422"/>
        <v>365098</v>
      </c>
      <c r="CD51" s="23">
        <f t="shared" si="422"/>
        <v>331127</v>
      </c>
      <c r="CE51" s="23">
        <f t="shared" si="422"/>
        <v>631821</v>
      </c>
      <c r="CF51" s="23">
        <f t="shared" si="422"/>
        <v>251785</v>
      </c>
      <c r="CG51" s="23">
        <f t="shared" si="422"/>
        <v>18424</v>
      </c>
      <c r="CH51" s="23">
        <f t="shared" si="422"/>
        <v>243568</v>
      </c>
      <c r="CI51" s="23">
        <f t="shared" si="422"/>
        <v>395918</v>
      </c>
      <c r="CJ51" s="23">
        <f t="shared" si="422"/>
        <v>355677</v>
      </c>
      <c r="CK51" s="23">
        <f t="shared" si="422"/>
        <v>294455</v>
      </c>
      <c r="CL51" s="23">
        <f t="shared" si="422"/>
        <v>567218</v>
      </c>
      <c r="CM51" s="23">
        <f t="shared" si="422"/>
        <v>0</v>
      </c>
      <c r="CN51" s="23">
        <f t="shared" si="422"/>
        <v>0</v>
      </c>
      <c r="CO51" s="23">
        <f t="shared" ref="CO51:CU51" si="423">(SUM(CO3:CO8)+SUM(CO11:CO16)+SUM(CO20:CO27)+SUM(CO29:CO30)+SUM(CO32:CO33)+SUM(CO47:CO48))-CO54</f>
        <v>276969</v>
      </c>
      <c r="CP51" s="23">
        <f t="shared" si="423"/>
        <v>334600</v>
      </c>
      <c r="CQ51" s="23">
        <f t="shared" si="423"/>
        <v>223664</v>
      </c>
      <c r="CR51" s="23">
        <f t="shared" si="423"/>
        <v>276489</v>
      </c>
      <c r="CS51" s="23">
        <f t="shared" si="423"/>
        <v>229924</v>
      </c>
      <c r="CT51" s="23">
        <f t="shared" si="423"/>
        <v>143400</v>
      </c>
      <c r="CU51" s="23">
        <f t="shared" si="423"/>
        <v>238682</v>
      </c>
      <c r="CV51" s="23">
        <f>(SUM(CV3:CV8)+SUM(CV11:CV16)+SUM(CV20:CV27)+SUM(CV29:CV30)+SUM(CV32:CV33)+SUM(CV47:CV48))-CV54</f>
        <v>222113</v>
      </c>
      <c r="CW51" s="23">
        <f t="shared" si="422"/>
        <v>237663</v>
      </c>
      <c r="CX51" s="23">
        <f t="shared" ref="CX51:DI51" si="424">(SUM(CX3:CX8)+SUM(CX11:CX16)+SUM(CX20:CX27)+SUM(CX29:CX30)+SUM(CX32:CX33)+SUM(CX47:CX48))-CX54</f>
        <v>263217</v>
      </c>
      <c r="CY51" s="23">
        <f t="shared" si="424"/>
        <v>166089</v>
      </c>
      <c r="CZ51" s="23">
        <f t="shared" si="424"/>
        <v>269685</v>
      </c>
      <c r="DA51" s="23">
        <f t="shared" si="424"/>
        <v>179588</v>
      </c>
      <c r="DB51" s="23">
        <f t="shared" si="424"/>
        <v>98786</v>
      </c>
      <c r="DC51" s="23">
        <f t="shared" si="424"/>
        <v>254629</v>
      </c>
      <c r="DD51" s="23">
        <f t="shared" si="424"/>
        <v>208738</v>
      </c>
      <c r="DE51" s="23">
        <f t="shared" si="424"/>
        <v>304497</v>
      </c>
      <c r="DF51" s="23">
        <f t="shared" si="424"/>
        <v>607816</v>
      </c>
      <c r="DG51" s="23">
        <f t="shared" si="424"/>
        <v>269324</v>
      </c>
      <c r="DH51" s="23">
        <f t="shared" si="424"/>
        <v>177468</v>
      </c>
      <c r="DI51" s="23">
        <f t="shared" si="424"/>
        <v>135470</v>
      </c>
      <c r="DJ51" s="23">
        <f t="shared" ref="DJ51:DO51" si="425">(SUM(DJ3:DJ8)+SUM(DJ11:DJ16)+SUM(DJ20:DJ27)+SUM(DJ29:DJ30)+SUM(DJ32:DJ33)+SUM(DJ47:DJ48))-DJ54</f>
        <v>655848</v>
      </c>
      <c r="DK51" s="23">
        <f t="shared" si="425"/>
        <v>193937</v>
      </c>
      <c r="DL51" s="23">
        <f t="shared" si="425"/>
        <v>208040</v>
      </c>
      <c r="DM51" s="23">
        <f t="shared" si="425"/>
        <v>198355</v>
      </c>
      <c r="DN51" s="23">
        <f t="shared" si="425"/>
        <v>135907</v>
      </c>
      <c r="DO51" s="23">
        <f t="shared" si="425"/>
        <v>106867</v>
      </c>
      <c r="DP51" s="23">
        <f t="shared" ref="DP51:DV51" si="426">(SUM(DP3:DP8)+SUM(DP11:DP16)+SUM(DP20:DP27)+SUM(DP29:DP30)+SUM(DP32:DP33)+SUM(DP47:DP48))-DP54</f>
        <v>0</v>
      </c>
      <c r="DQ51" s="23">
        <f t="shared" si="426"/>
        <v>277281</v>
      </c>
      <c r="DR51" s="23">
        <f t="shared" si="426"/>
        <v>216742</v>
      </c>
      <c r="DS51" s="23">
        <f t="shared" si="426"/>
        <v>234841</v>
      </c>
      <c r="DT51" s="23">
        <f t="shared" si="426"/>
        <v>232873</v>
      </c>
      <c r="DU51" s="23">
        <f t="shared" si="426"/>
        <v>195248</v>
      </c>
      <c r="DV51" s="23">
        <f t="shared" si="426"/>
        <v>135908</v>
      </c>
      <c r="DW51" s="23">
        <f>(SUM(DW3:DW8)+SUM(DW11:DW16)+SUM(DW20:DW27)+SUM(DW29:DW30)+SUM(DW32:DW33)+SUM(DW47:DW48))-DW54</f>
        <v>44458</v>
      </c>
      <c r="DX51" s="23">
        <f t="shared" ref="DX51:ED51" si="427">(SUM(DX3:DX8)+SUM(DX11:DX16)+SUM(DX20:DX27)+SUM(DX29:DX30)+SUM(DX32:DX33)+SUM(DX47:DX48))-DX54</f>
        <v>236247</v>
      </c>
      <c r="DY51" s="23">
        <f t="shared" si="427"/>
        <v>196165</v>
      </c>
      <c r="DZ51" s="23">
        <f t="shared" si="427"/>
        <v>266861</v>
      </c>
      <c r="EA51" s="23">
        <f t="shared" si="427"/>
        <v>227383</v>
      </c>
      <c r="EB51" s="23">
        <f t="shared" si="427"/>
        <v>159613</v>
      </c>
      <c r="EC51" s="23">
        <f t="shared" si="427"/>
        <v>123424</v>
      </c>
      <c r="ED51" s="23">
        <f t="shared" si="427"/>
        <v>6502</v>
      </c>
      <c r="EE51" s="23">
        <f t="shared" ref="EE51:EK51" si="428">(SUM(EE3:EE8)+SUM(EE11:EE16)+SUM(EE20:EE27)+SUM(EE29:EE30)+SUM(EE32:EE33)+SUM(EE47:EE48))-EE54</f>
        <v>177438</v>
      </c>
      <c r="EF51" s="23">
        <f t="shared" si="428"/>
        <v>207131</v>
      </c>
      <c r="EG51" s="23">
        <f t="shared" si="428"/>
        <v>254740</v>
      </c>
      <c r="EH51" s="23">
        <f t="shared" si="428"/>
        <v>324162</v>
      </c>
      <c r="EI51" s="23">
        <f t="shared" si="428"/>
        <v>207218</v>
      </c>
      <c r="EJ51" s="23">
        <f t="shared" si="428"/>
        <v>153604</v>
      </c>
      <c r="EK51" s="23">
        <f t="shared" si="428"/>
        <v>7072</v>
      </c>
      <c r="EL51" s="23">
        <f t="shared" ref="EL51:ER51" si="429">(SUM(EL3:EL8)+SUM(EL11:EL16)+SUM(EL20:EL27)+SUM(EL29:EL30)+SUM(EL32:EL33)+SUM(EL47:EL48))-EL54</f>
        <v>280058</v>
      </c>
      <c r="EM51" s="23">
        <f t="shared" si="429"/>
        <v>270538</v>
      </c>
      <c r="EN51" s="23">
        <f t="shared" si="429"/>
        <v>237576</v>
      </c>
      <c r="EO51" s="23">
        <f t="shared" si="429"/>
        <v>427462</v>
      </c>
      <c r="EP51" s="23">
        <f t="shared" si="429"/>
        <v>270548</v>
      </c>
      <c r="EQ51" s="23">
        <f t="shared" si="429"/>
        <v>153262</v>
      </c>
      <c r="ER51" s="23">
        <f t="shared" si="429"/>
        <v>2197</v>
      </c>
      <c r="ES51" s="23">
        <f t="shared" ref="ES51:EY51" si="430">(SUM(ES3:ES8)+SUM(ES11:ES16)+SUM(ES20:ES27)+SUM(ES29:ES30)+SUM(ES32:ES33)+SUM(ES47:ES48))-ES54</f>
        <v>258888</v>
      </c>
      <c r="ET51" s="23">
        <f t="shared" si="430"/>
        <v>323260</v>
      </c>
      <c r="EU51" s="23">
        <f t="shared" si="430"/>
        <v>219263</v>
      </c>
      <c r="EV51" s="23">
        <f t="shared" si="430"/>
        <v>459382</v>
      </c>
      <c r="EW51" s="23">
        <f t="shared" si="430"/>
        <v>165414</v>
      </c>
      <c r="EX51" s="23">
        <f t="shared" si="430"/>
        <v>154433</v>
      </c>
      <c r="EY51" s="23">
        <f t="shared" si="430"/>
        <v>202</v>
      </c>
      <c r="EZ51" s="23">
        <f t="shared" ref="EZ51:FE51" si="431">(SUM(EZ3:EZ8)+SUM(EZ11:EZ16)+SUM(EZ20:EZ27)+SUM(EZ29:EZ30)+SUM(EZ32:EZ33)+SUM(EZ47:EZ48))-EZ54</f>
        <v>286390</v>
      </c>
      <c r="FA51" s="23">
        <f t="shared" si="431"/>
        <v>133293</v>
      </c>
      <c r="FB51" s="23">
        <f t="shared" si="431"/>
        <v>184681</v>
      </c>
      <c r="FC51" s="23">
        <f t="shared" si="431"/>
        <v>162132</v>
      </c>
      <c r="FD51" s="23">
        <f t="shared" si="431"/>
        <v>142056</v>
      </c>
      <c r="FE51" s="23">
        <f t="shared" si="431"/>
        <v>96071</v>
      </c>
      <c r="FF51" s="23">
        <f t="shared" ref="FF51:FR51" si="432">(SUM(FF3:FF8)+SUM(FF11:FF16)+SUM(FF20:FF27)+SUM(FF29:FF30)+SUM(FF32:FF33)+SUM(FF47:FF48))-FF54</f>
        <v>0</v>
      </c>
      <c r="FG51" s="23">
        <f t="shared" si="432"/>
        <v>145557</v>
      </c>
      <c r="FH51" s="23">
        <f t="shared" si="432"/>
        <v>165630</v>
      </c>
      <c r="FI51" s="23">
        <f t="shared" si="432"/>
        <v>239191</v>
      </c>
      <c r="FJ51" s="23">
        <f t="shared" si="432"/>
        <v>203676</v>
      </c>
      <c r="FK51" s="23">
        <f t="shared" si="432"/>
        <v>266289</v>
      </c>
      <c r="FL51" s="23">
        <f t="shared" si="432"/>
        <v>25759</v>
      </c>
      <c r="FM51" s="23">
        <f t="shared" si="432"/>
        <v>6351</v>
      </c>
      <c r="FN51" s="23">
        <f t="shared" si="432"/>
        <v>334926</v>
      </c>
      <c r="FO51" s="23">
        <f t="shared" si="432"/>
        <v>202596</v>
      </c>
      <c r="FP51" s="23">
        <f t="shared" si="432"/>
        <v>280163</v>
      </c>
      <c r="FQ51" s="23">
        <f t="shared" si="432"/>
        <v>404736</v>
      </c>
      <c r="FR51" s="23">
        <f t="shared" si="432"/>
        <v>190404</v>
      </c>
      <c r="FS51" s="23">
        <f t="shared" ref="FS51:FZ51" si="433">(SUM(FS3:FS8)+SUM(FS11:FS16)+SUM(FS20:FS27)+SUM(FS29:FS30)+SUM(FS32:FS33)+SUM(FS47:FS48))-FS54</f>
        <v>0</v>
      </c>
      <c r="FT51" s="23">
        <f t="shared" si="433"/>
        <v>0</v>
      </c>
      <c r="FU51" s="23">
        <f t="shared" si="433"/>
        <v>0</v>
      </c>
      <c r="FV51" s="23">
        <f t="shared" si="433"/>
        <v>184999</v>
      </c>
      <c r="FW51" s="23">
        <f t="shared" si="433"/>
        <v>179118</v>
      </c>
      <c r="FX51" s="23">
        <f t="shared" si="433"/>
        <v>236002</v>
      </c>
      <c r="FY51" s="23">
        <f t="shared" si="433"/>
        <v>297167</v>
      </c>
      <c r="FZ51" s="23">
        <f t="shared" si="433"/>
        <v>170813</v>
      </c>
      <c r="GA51" s="23">
        <f t="shared" ref="GA51:GG51" si="434">(SUM(GA3:GA8)+SUM(GA11:GA16)+SUM(GA20:GA27)+SUM(GA29:GA30)+SUM(GA32:GA33)+SUM(GA47:GA48))-GA54</f>
        <v>5376</v>
      </c>
      <c r="GB51" s="23">
        <f>(SUM(GB3:GB8)+SUM(GB11:GB16)+SUM(GB20:GB27)+SUM(GB29:GB30)+SUM(GB32:GB33)+SUM(GB47:GB48))-GB54</f>
        <v>189082</v>
      </c>
      <c r="GC51" s="23">
        <f t="shared" si="434"/>
        <v>155315</v>
      </c>
      <c r="GD51" s="23">
        <f t="shared" si="434"/>
        <v>343171</v>
      </c>
      <c r="GE51" s="23">
        <f t="shared" si="434"/>
        <v>239778</v>
      </c>
      <c r="GF51" s="23">
        <f t="shared" si="434"/>
        <v>250663</v>
      </c>
      <c r="GG51" s="23">
        <f t="shared" si="434"/>
        <v>167001</v>
      </c>
      <c r="GH51" s="23">
        <f>(SUM(GH3:GH8)+SUM(GH11:GH16)+SUM(GH20:GH27)+SUM(GH29:GH30)+SUM(GH32:GH33)+SUM(GH47:GH48))-GH54</f>
        <v>10731</v>
      </c>
      <c r="GI51" s="23">
        <f>(SUM(GI3:GI8)+SUM(GI11:GI16)+SUM(GI20:GI27)+SUM(GI29:GI30)+SUM(GI32:GI33)+SUM(GI47:GI48))-GI54</f>
        <v>209399</v>
      </c>
      <c r="GJ51" s="23">
        <f>(SUM(GJ3:GJ8)+SUM(GJ11:GJ16)+SUM(GJ20:GJ27)+SUM(GJ29:GJ30)+SUM(GJ32:GJ33)+SUM(GJ47:GJ48))-GJ54</f>
        <v>549532</v>
      </c>
      <c r="GK51" s="23">
        <f t="shared" ref="GK51:GV51" si="435">(SUM(GK3:GK8)+SUM(GK11:GK16)+SUM(GK20:GK27)+SUM(GK29:GK30)+SUM(GK32:GK33)+SUM(GK47:GK48))-GK54</f>
        <v>178</v>
      </c>
      <c r="GL51" s="23">
        <f t="shared" si="435"/>
        <v>211058</v>
      </c>
      <c r="GM51" s="23">
        <f t="shared" si="435"/>
        <v>251382</v>
      </c>
      <c r="GN51" s="23">
        <f t="shared" si="435"/>
        <v>6297</v>
      </c>
      <c r="GO51" s="23">
        <f t="shared" si="435"/>
        <v>4860</v>
      </c>
      <c r="GP51" s="23">
        <f t="shared" si="435"/>
        <v>189465</v>
      </c>
      <c r="GQ51" s="23">
        <f t="shared" si="435"/>
        <v>150977</v>
      </c>
      <c r="GR51" s="23">
        <f t="shared" si="435"/>
        <v>167938</v>
      </c>
      <c r="GS51" s="23">
        <f t="shared" si="435"/>
        <v>233799</v>
      </c>
      <c r="GT51" s="23">
        <f t="shared" si="435"/>
        <v>247755</v>
      </c>
      <c r="GU51" s="23">
        <f t="shared" si="435"/>
        <v>137599</v>
      </c>
      <c r="GV51" s="23">
        <f t="shared" si="435"/>
        <v>5532</v>
      </c>
      <c r="GW51" s="23">
        <f t="shared" ref="GW51:HD51" si="436">(SUM(GW3:GW8)+SUM(GW11:GW16)+SUM(GW20:GW27)+SUM(GW29:GW30)+SUM(GW32:GW33)+SUM(GW47:GW48))-GW54</f>
        <v>145298</v>
      </c>
      <c r="GX51" s="23">
        <f t="shared" si="436"/>
        <v>145259</v>
      </c>
      <c r="GY51" s="23">
        <f t="shared" si="436"/>
        <v>198129</v>
      </c>
      <c r="GZ51" s="23">
        <f t="shared" si="436"/>
        <v>132634</v>
      </c>
      <c r="HA51" s="23">
        <f t="shared" si="436"/>
        <v>169289</v>
      </c>
      <c r="HB51" s="23">
        <f t="shared" si="436"/>
        <v>202397</v>
      </c>
      <c r="HC51" s="23">
        <f t="shared" si="436"/>
        <v>0</v>
      </c>
      <c r="HD51" s="23">
        <f t="shared" si="436"/>
        <v>191335</v>
      </c>
      <c r="HE51" s="23">
        <f t="shared" ref="HE51:HO51" si="437">(SUM(HE3:HE8)+SUM(HE11:HE16)+SUM(HE20:HE27)+SUM(HE29:HE30)+SUM(HE32:HE33)+SUM(HE47:HE48))-HE54</f>
        <v>269809</v>
      </c>
      <c r="HF51" s="23">
        <f t="shared" si="437"/>
        <v>4570</v>
      </c>
      <c r="HG51" s="23">
        <f t="shared" si="437"/>
        <v>212783</v>
      </c>
      <c r="HH51" s="23">
        <f t="shared" si="437"/>
        <v>210112</v>
      </c>
      <c r="HI51" s="23">
        <f t="shared" si="437"/>
        <v>153986</v>
      </c>
      <c r="HJ51" s="23">
        <f t="shared" si="437"/>
        <v>19357</v>
      </c>
      <c r="HK51" s="23">
        <f t="shared" si="437"/>
        <v>214522</v>
      </c>
      <c r="HL51" s="23">
        <f t="shared" si="437"/>
        <v>220730</v>
      </c>
      <c r="HM51" s="23">
        <f t="shared" si="437"/>
        <v>181984</v>
      </c>
      <c r="HN51" s="23">
        <f t="shared" si="437"/>
        <v>222472</v>
      </c>
      <c r="HO51" s="23">
        <f t="shared" si="437"/>
        <v>183375</v>
      </c>
      <c r="HP51" s="23">
        <f>(SUM(HP3:HP8)+SUM(HP11:HP16)+SUM(HP20:HP27)+SUM(HP29:HP30)+SUM(HP32:HP33)+SUM(HP47:HP48))-HP54</f>
        <v>140101</v>
      </c>
      <c r="HQ51" s="23">
        <f t="shared" ref="HQ51:HW51" si="438">(SUM(HQ3:HQ8)+SUM(HQ11:HQ16)+SUM(HQ20:HQ27)+SUM(HQ29:HQ30)+SUM(HQ32:HQ33)+SUM(HQ47:HQ48))-HQ54</f>
        <v>23693</v>
      </c>
      <c r="HR51" s="23">
        <f t="shared" si="438"/>
        <v>0</v>
      </c>
      <c r="HS51" s="23">
        <f>(SUM(HS3:HS8)+SUM(HS11:HS16)+SUM(HS20:HS27)+SUM(HS29:HS30)+SUM(HS32:HS33)+SUM(HS47:HS48))-HS54</f>
        <v>251690</v>
      </c>
      <c r="HT51" s="23">
        <f t="shared" si="438"/>
        <v>225320</v>
      </c>
      <c r="HU51" s="23">
        <f t="shared" si="438"/>
        <v>222650</v>
      </c>
      <c r="HV51" s="23">
        <f t="shared" si="438"/>
        <v>346894</v>
      </c>
      <c r="HW51" s="23">
        <f t="shared" si="438"/>
        <v>120584</v>
      </c>
      <c r="HX51" s="23">
        <f t="shared" ref="HX51:ID51" si="439">(SUM(HX3:HX8)+SUM(HX11:HX16)+SUM(HX20:HX27)+SUM(HX29:HX30)+SUM(HX32:HX33)+SUM(HX47:HX48))-HX54</f>
        <v>1824</v>
      </c>
      <c r="HY51" s="23">
        <f t="shared" si="439"/>
        <v>213837</v>
      </c>
      <c r="HZ51" s="23">
        <f t="shared" si="439"/>
        <v>265465</v>
      </c>
      <c r="IA51" s="23">
        <f t="shared" si="439"/>
        <v>221419</v>
      </c>
      <c r="IB51" s="23">
        <f t="shared" si="439"/>
        <v>187486</v>
      </c>
      <c r="IC51" s="23">
        <f t="shared" si="439"/>
        <v>203444</v>
      </c>
      <c r="ID51" s="23">
        <f t="shared" si="439"/>
        <v>130189</v>
      </c>
      <c r="IE51" s="23">
        <f t="shared" ref="IE51:IM51" si="440">(SUM(IE3:IE8)+SUM(IE11:IE16)+SUM(IE20:IE27)+SUM(IE29:IE30)+SUM(IE32:IE33)+SUM(IE47:IE48))-IE54</f>
        <v>0</v>
      </c>
      <c r="IF51" s="23">
        <f t="shared" si="440"/>
        <v>363812</v>
      </c>
      <c r="IG51" s="23">
        <f t="shared" si="440"/>
        <v>299522</v>
      </c>
      <c r="IH51" s="23">
        <f t="shared" si="440"/>
        <v>259051</v>
      </c>
      <c r="II51" s="23">
        <f t="shared" si="440"/>
        <v>289982</v>
      </c>
      <c r="IJ51" s="23">
        <f t="shared" si="440"/>
        <v>198836</v>
      </c>
      <c r="IK51" s="23">
        <f t="shared" si="440"/>
        <v>140486</v>
      </c>
      <c r="IL51" s="23">
        <f t="shared" si="440"/>
        <v>2856</v>
      </c>
      <c r="IM51" s="23">
        <f t="shared" si="440"/>
        <v>158128</v>
      </c>
      <c r="IN51" s="23">
        <f t="shared" ref="IN51:KY51" si="441">(SUM(IN3:IN8)+SUM(IN11:IN16)+SUM(IN20:IN27)+SUM(IN29:IN30)+SUM(IN32:IN33)+SUM(IN47:IN48))-IN54</f>
        <v>246917</v>
      </c>
      <c r="IO51" s="23">
        <f t="shared" si="441"/>
        <v>231596</v>
      </c>
      <c r="IP51" s="23">
        <f t="shared" si="441"/>
        <v>316040</v>
      </c>
      <c r="IQ51" s="23">
        <f t="shared" si="441"/>
        <v>534134</v>
      </c>
      <c r="IR51" s="23">
        <f>(SUM(IR3:IR8)+SUM(IR11:IR16)+SUM(IR20:IR27)+SUM(IR29:IR30)+SUM(IR32:IR33)+SUM(IR47:IR48))-IR54</f>
        <v>54200</v>
      </c>
      <c r="IS51" s="23">
        <f t="shared" si="441"/>
        <v>0</v>
      </c>
      <c r="IT51" s="23">
        <f t="shared" si="441"/>
        <v>184189</v>
      </c>
      <c r="IU51" s="23">
        <f t="shared" si="441"/>
        <v>168162</v>
      </c>
      <c r="IV51" s="23">
        <f t="shared" si="441"/>
        <v>200811</v>
      </c>
      <c r="IW51" s="23">
        <f t="shared" si="441"/>
        <v>213818</v>
      </c>
      <c r="IX51" s="23">
        <f t="shared" si="441"/>
        <v>226127</v>
      </c>
      <c r="IY51" s="23">
        <f t="shared" si="441"/>
        <v>128891</v>
      </c>
      <c r="IZ51" s="23">
        <f t="shared" si="441"/>
        <v>0</v>
      </c>
      <c r="JA51" s="23">
        <f t="shared" si="441"/>
        <v>215969</v>
      </c>
      <c r="JB51" s="23">
        <f t="shared" si="441"/>
        <v>147028</v>
      </c>
      <c r="JC51" s="23">
        <f t="shared" si="441"/>
        <v>224266</v>
      </c>
      <c r="JD51" s="23">
        <f t="shared" si="441"/>
        <v>254314</v>
      </c>
      <c r="JE51" s="23">
        <f t="shared" si="441"/>
        <v>180793</v>
      </c>
      <c r="JF51" s="23">
        <f t="shared" si="441"/>
        <v>158595</v>
      </c>
      <c r="JG51" s="23">
        <f t="shared" si="441"/>
        <v>1299</v>
      </c>
      <c r="JH51" s="23">
        <f t="shared" si="441"/>
        <v>336055</v>
      </c>
      <c r="JI51" s="23">
        <f t="shared" si="441"/>
        <v>224670</v>
      </c>
      <c r="JJ51" s="23">
        <f t="shared" si="441"/>
        <v>228883</v>
      </c>
      <c r="JK51" s="23">
        <f t="shared" si="441"/>
        <v>258443</v>
      </c>
      <c r="JL51" s="23">
        <f t="shared" si="441"/>
        <v>318981</v>
      </c>
      <c r="JM51" s="23">
        <f t="shared" si="441"/>
        <v>206700</v>
      </c>
      <c r="JN51" s="23">
        <f t="shared" si="441"/>
        <v>558</v>
      </c>
      <c r="JO51" s="23">
        <f t="shared" si="441"/>
        <v>326799</v>
      </c>
      <c r="JP51" s="23">
        <f t="shared" si="441"/>
        <v>269716</v>
      </c>
      <c r="JQ51" s="23">
        <f t="shared" si="441"/>
        <v>309746</v>
      </c>
      <c r="JR51" s="23">
        <f t="shared" si="441"/>
        <v>204125</v>
      </c>
      <c r="JS51" s="23">
        <f t="shared" si="441"/>
        <v>181443</v>
      </c>
      <c r="JT51" s="23">
        <f t="shared" si="441"/>
        <v>151618</v>
      </c>
      <c r="JU51" s="23">
        <f t="shared" si="441"/>
        <v>2958</v>
      </c>
      <c r="JV51" s="23">
        <f t="shared" si="441"/>
        <v>189372</v>
      </c>
      <c r="JW51" s="23">
        <f t="shared" si="441"/>
        <v>161581</v>
      </c>
      <c r="JX51" s="23">
        <f t="shared" si="441"/>
        <v>-4810</v>
      </c>
      <c r="JY51" s="23">
        <f t="shared" si="441"/>
        <v>237562</v>
      </c>
      <c r="JZ51" s="23">
        <f t="shared" si="441"/>
        <v>156257</v>
      </c>
      <c r="KA51" s="23">
        <f t="shared" si="441"/>
        <v>125096</v>
      </c>
      <c r="KB51" s="23">
        <f t="shared" si="441"/>
        <v>0</v>
      </c>
      <c r="KC51" s="23">
        <f t="shared" si="441"/>
        <v>176927</v>
      </c>
      <c r="KD51" s="23">
        <f t="shared" si="441"/>
        <v>297136</v>
      </c>
      <c r="KE51" s="23">
        <f t="shared" si="441"/>
        <v>264726</v>
      </c>
      <c r="KF51" s="23">
        <f t="shared" si="441"/>
        <v>157032</v>
      </c>
      <c r="KG51" s="23">
        <f t="shared" si="441"/>
        <v>215656</v>
      </c>
      <c r="KH51" s="23">
        <f t="shared" si="441"/>
        <v>271871</v>
      </c>
      <c r="KI51" s="23">
        <f t="shared" si="441"/>
        <v>3215</v>
      </c>
      <c r="KJ51" s="23">
        <f t="shared" si="441"/>
        <v>0</v>
      </c>
      <c r="KK51" s="23">
        <f t="shared" si="441"/>
        <v>237343</v>
      </c>
      <c r="KL51" s="23">
        <f t="shared" si="441"/>
        <v>286724</v>
      </c>
      <c r="KM51" s="23">
        <f t="shared" si="441"/>
        <v>253422</v>
      </c>
      <c r="KN51" s="23">
        <f t="shared" si="441"/>
        <v>241470</v>
      </c>
      <c r="KO51" s="23">
        <f t="shared" si="441"/>
        <v>165150</v>
      </c>
      <c r="KP51" s="23">
        <f t="shared" si="441"/>
        <v>5318</v>
      </c>
      <c r="KQ51" s="23">
        <f t="shared" si="441"/>
        <v>363848</v>
      </c>
      <c r="KR51" s="23">
        <f t="shared" si="441"/>
        <v>238149</v>
      </c>
      <c r="KS51" s="23">
        <f t="shared" si="441"/>
        <v>257622</v>
      </c>
      <c r="KT51" s="23">
        <f t="shared" si="441"/>
        <v>234546</v>
      </c>
      <c r="KU51" s="23">
        <f t="shared" si="441"/>
        <v>206832</v>
      </c>
      <c r="KV51" s="23">
        <f t="shared" si="441"/>
        <v>119286</v>
      </c>
      <c r="KW51" s="23">
        <f t="shared" si="441"/>
        <v>687</v>
      </c>
      <c r="KX51" s="23">
        <f t="shared" si="441"/>
        <v>165633</v>
      </c>
      <c r="KY51" s="23">
        <f t="shared" si="441"/>
        <v>153185</v>
      </c>
      <c r="KZ51" s="23">
        <f t="shared" ref="KZ51:MH51" si="442">(SUM(KZ3:KZ8)+SUM(KZ11:KZ16)+SUM(KZ20:KZ27)+SUM(KZ29:KZ30)+SUM(KZ32:KZ33)+SUM(KZ47:KZ48))-KZ54</f>
        <v>271493</v>
      </c>
      <c r="LA51" s="23">
        <f t="shared" si="442"/>
        <v>377350</v>
      </c>
      <c r="LB51" s="23">
        <f t="shared" si="442"/>
        <v>309339</v>
      </c>
      <c r="LC51" s="23">
        <f t="shared" si="442"/>
        <v>136629</v>
      </c>
      <c r="LD51" s="23">
        <f t="shared" si="442"/>
        <v>0</v>
      </c>
      <c r="LE51" s="23">
        <f t="shared" si="442"/>
        <v>216203</v>
      </c>
      <c r="LF51" s="23">
        <f t="shared" si="442"/>
        <v>171922</v>
      </c>
      <c r="LG51" s="23">
        <f t="shared" si="442"/>
        <v>242650</v>
      </c>
      <c r="LH51" s="23">
        <f t="shared" si="442"/>
        <v>207210</v>
      </c>
      <c r="LI51" s="23">
        <f t="shared" si="442"/>
        <v>272796</v>
      </c>
      <c r="LJ51" s="23">
        <f t="shared" si="442"/>
        <v>141262</v>
      </c>
      <c r="LK51" s="23">
        <f t="shared" si="442"/>
        <v>21401</v>
      </c>
      <c r="LL51" s="23">
        <f t="shared" si="442"/>
        <v>287273</v>
      </c>
      <c r="LM51" s="23">
        <f t="shared" si="442"/>
        <v>265705</v>
      </c>
      <c r="LN51" s="23">
        <f t="shared" si="442"/>
        <v>217995</v>
      </c>
      <c r="LO51" s="23">
        <f t="shared" si="442"/>
        <v>210695</v>
      </c>
      <c r="LP51" s="23">
        <f t="shared" si="442"/>
        <v>179190</v>
      </c>
      <c r="LQ51" s="23">
        <f t="shared" si="442"/>
        <v>170820</v>
      </c>
      <c r="LR51" s="23">
        <f t="shared" si="442"/>
        <v>32029</v>
      </c>
      <c r="LS51" s="23">
        <f t="shared" si="442"/>
        <v>519889</v>
      </c>
      <c r="LT51" s="23">
        <f t="shared" si="442"/>
        <v>217475</v>
      </c>
      <c r="LU51" s="23">
        <f t="shared" si="442"/>
        <v>227894</v>
      </c>
      <c r="LV51" s="23">
        <f t="shared" si="442"/>
        <v>319503</v>
      </c>
      <c r="LW51" s="23">
        <f t="shared" si="442"/>
        <v>274527</v>
      </c>
      <c r="LX51" s="23">
        <f t="shared" si="442"/>
        <v>201965</v>
      </c>
      <c r="LY51" s="23">
        <f t="shared" si="442"/>
        <v>4914</v>
      </c>
      <c r="LZ51" s="23">
        <f t="shared" si="442"/>
        <v>244110</v>
      </c>
      <c r="MA51" s="23">
        <f t="shared" si="442"/>
        <v>322142</v>
      </c>
      <c r="MB51" s="23">
        <f t="shared" si="442"/>
        <v>336162</v>
      </c>
      <c r="MC51" s="23">
        <f t="shared" si="442"/>
        <v>343564</v>
      </c>
      <c r="MD51" s="23">
        <f t="shared" si="442"/>
        <v>454073</v>
      </c>
      <c r="ME51" s="23">
        <f t="shared" si="442"/>
        <v>214805</v>
      </c>
      <c r="MF51" s="23">
        <f t="shared" si="442"/>
        <v>-39525</v>
      </c>
      <c r="MG51" s="23">
        <f t="shared" si="442"/>
        <v>337638</v>
      </c>
      <c r="MH51" s="23">
        <f t="shared" si="442"/>
        <v>236184</v>
      </c>
      <c r="MI51" s="23">
        <f t="shared" ref="MI51:MZ51" si="443">(SUM(MI3:MI8)+SUM(MI11:MI16)+SUM(MI20:MI27)+SUM(MI29:MI30)+SUM(MI32:MI33)+SUM(MI47:MI48))-MI54</f>
        <v>359024</v>
      </c>
      <c r="MJ51" s="23">
        <f t="shared" si="443"/>
        <v>239865</v>
      </c>
      <c r="MK51" s="23">
        <f t="shared" si="443"/>
        <v>286786</v>
      </c>
      <c r="ML51" s="23">
        <f t="shared" si="443"/>
        <v>321247</v>
      </c>
      <c r="MM51" s="23">
        <f t="shared" si="443"/>
        <v>2881</v>
      </c>
      <c r="MN51" s="23">
        <f t="shared" si="443"/>
        <v>276613</v>
      </c>
      <c r="MO51" s="23">
        <f t="shared" si="443"/>
        <v>462306</v>
      </c>
      <c r="MP51" s="23">
        <f t="shared" si="443"/>
        <v>382411</v>
      </c>
      <c r="MQ51" s="23">
        <f t="shared" si="443"/>
        <v>352271</v>
      </c>
      <c r="MR51" s="23">
        <f t="shared" si="443"/>
        <v>259077</v>
      </c>
      <c r="MS51" s="23">
        <f t="shared" si="443"/>
        <v>248972</v>
      </c>
      <c r="MT51" s="23">
        <f t="shared" si="443"/>
        <v>25043</v>
      </c>
      <c r="MU51" s="23">
        <f t="shared" si="443"/>
        <v>14685</v>
      </c>
      <c r="MV51" s="23">
        <f t="shared" si="443"/>
        <v>270876</v>
      </c>
      <c r="MW51" s="23">
        <f t="shared" si="443"/>
        <v>240394</v>
      </c>
      <c r="MX51" s="23">
        <f t="shared" si="443"/>
        <v>235320</v>
      </c>
      <c r="MY51" s="23">
        <f t="shared" si="443"/>
        <v>362758</v>
      </c>
      <c r="MZ51" s="23">
        <f t="shared" si="443"/>
        <v>170306</v>
      </c>
      <c r="NA51" s="23">
        <f t="shared" ref="NA51:NK51" si="444">(SUM(NA3:NA8)+SUM(NA11:NA16)+SUM(NA20:NA27)+SUM(NA29:NA30)+SUM(NA32:NA33)+SUM(NA47:NA48))-NA54</f>
        <v>17548</v>
      </c>
      <c r="NB51" s="23">
        <f t="shared" si="444"/>
        <v>236296</v>
      </c>
      <c r="NC51" s="23">
        <f t="shared" si="444"/>
        <v>452390</v>
      </c>
      <c r="ND51" s="23">
        <f t="shared" si="444"/>
        <v>57004</v>
      </c>
      <c r="NE51" s="23">
        <f t="shared" si="444"/>
        <v>276767</v>
      </c>
      <c r="NF51" s="23">
        <f t="shared" si="444"/>
        <v>332309</v>
      </c>
      <c r="NG51" s="23">
        <f t="shared" si="444"/>
        <v>218447</v>
      </c>
      <c r="NH51" s="23">
        <f t="shared" si="444"/>
        <v>11288</v>
      </c>
      <c r="NI51" s="23">
        <f t="shared" si="444"/>
        <v>405092</v>
      </c>
      <c r="NJ51" s="23">
        <f t="shared" si="444"/>
        <v>446316</v>
      </c>
      <c r="NK51" s="23">
        <f t="shared" si="444"/>
        <v>272356</v>
      </c>
      <c r="NL51" s="23">
        <f t="shared" ref="NL51:NX51" si="445">(SUM(NL3:NL8)+SUM(NL11:NL16)+SUM(NL20:NL27)+SUM(NL29:NL30)+SUM(NL32:NL33)+SUM(NL47:NL48))-NL54</f>
        <v>351054</v>
      </c>
      <c r="NM51" s="23">
        <f t="shared" si="445"/>
        <v>190210</v>
      </c>
      <c r="NN51" s="23">
        <f t="shared" si="445"/>
        <v>393261</v>
      </c>
      <c r="NO51" s="23">
        <f t="shared" si="445"/>
        <v>2643</v>
      </c>
      <c r="NP51" s="23">
        <f t="shared" si="445"/>
        <v>267910</v>
      </c>
      <c r="NQ51" s="23">
        <f t="shared" si="445"/>
        <v>292602</v>
      </c>
      <c r="NR51" s="23">
        <f t="shared" si="445"/>
        <v>263624</v>
      </c>
      <c r="NS51" s="23">
        <f t="shared" si="445"/>
        <v>265228</v>
      </c>
      <c r="NT51" s="23">
        <f t="shared" si="445"/>
        <v>293976</v>
      </c>
      <c r="NU51" s="23">
        <f t="shared" si="445"/>
        <v>197505</v>
      </c>
      <c r="NV51" s="23">
        <f t="shared" si="445"/>
        <v>5086</v>
      </c>
      <c r="NW51" s="23">
        <f t="shared" si="445"/>
        <v>191762</v>
      </c>
      <c r="NX51" s="23">
        <f t="shared" si="445"/>
        <v>344048</v>
      </c>
      <c r="NY51" s="23">
        <f t="shared" ref="NY51:OD51" si="446">(SUM(NY3:NY8)+SUM(NY11:NY16)+SUM(NY20:NY27)+SUM(NY29:NY30)+SUM(NY32:NY33)+SUM(NY47:NY48))-NY54</f>
        <v>441598</v>
      </c>
      <c r="NZ51" s="23">
        <f t="shared" si="446"/>
        <v>292663</v>
      </c>
      <c r="OA51" s="23">
        <f t="shared" si="446"/>
        <v>318423</v>
      </c>
      <c r="OB51" s="23">
        <f t="shared" si="446"/>
        <v>185377</v>
      </c>
      <c r="OC51" s="23">
        <f t="shared" si="446"/>
        <v>6489</v>
      </c>
      <c r="OD51" s="23">
        <f t="shared" si="446"/>
        <v>201194</v>
      </c>
      <c r="OE51" s="23">
        <f t="shared" ref="OE51:OQ51" si="447">(SUM(OE3:OE8)+SUM(OE11:OE16)+SUM(OE20:OE27)+SUM(OE29:OE30)+SUM(OE32:OE33)+SUM(OE47:OE48))-OE54</f>
        <v>239719</v>
      </c>
      <c r="OF51" s="23">
        <f t="shared" si="447"/>
        <v>384605</v>
      </c>
      <c r="OG51" s="23">
        <f t="shared" si="447"/>
        <v>254249</v>
      </c>
      <c r="OH51" s="23">
        <f t="shared" si="447"/>
        <v>321184</v>
      </c>
      <c r="OI51" s="23">
        <f t="shared" si="447"/>
        <v>210007</v>
      </c>
      <c r="OJ51" s="23">
        <f t="shared" si="447"/>
        <v>11700</v>
      </c>
      <c r="OK51" s="23">
        <f t="shared" si="447"/>
        <v>289380</v>
      </c>
      <c r="OL51" s="23">
        <f t="shared" si="447"/>
        <v>175260</v>
      </c>
      <c r="OM51" s="23">
        <f t="shared" si="447"/>
        <v>386176</v>
      </c>
      <c r="ON51" s="23">
        <f t="shared" si="447"/>
        <v>288977</v>
      </c>
      <c r="OO51" s="23">
        <f t="shared" si="447"/>
        <v>242729</v>
      </c>
      <c r="OP51" s="23">
        <f t="shared" si="447"/>
        <v>259452</v>
      </c>
      <c r="OQ51" s="23">
        <f t="shared" si="447"/>
        <v>0</v>
      </c>
      <c r="OR51" s="23">
        <f t="shared" ref="OR51:OY51" si="448">(SUM(OR3:OR8)+SUM(OR11:OR16)+SUM(OR20:OR27)+SUM(OR29:OR30)+SUM(OR32:OR33)+SUM(OR47:OR48))-OR54</f>
        <v>279630</v>
      </c>
      <c r="OS51" s="23">
        <f t="shared" si="448"/>
        <v>218142</v>
      </c>
      <c r="OT51" s="23">
        <f t="shared" si="448"/>
        <v>344519</v>
      </c>
      <c r="OU51" s="23">
        <f t="shared" si="448"/>
        <v>11172</v>
      </c>
      <c r="OV51" s="23">
        <f t="shared" si="448"/>
        <v>322572</v>
      </c>
      <c r="OW51" s="23">
        <f t="shared" si="448"/>
        <v>245370</v>
      </c>
      <c r="OX51" s="23">
        <f t="shared" si="448"/>
        <v>575</v>
      </c>
      <c r="OY51" s="23">
        <f t="shared" si="448"/>
        <v>213904</v>
      </c>
      <c r="OZ51" s="23">
        <f t="shared" ref="OZ51:PF51" si="449">(SUM(OZ3:OZ8)+SUM(OZ11:OZ16)+SUM(OZ20:OZ27)+SUM(OZ29:OZ30)+SUM(OZ32:OZ33)+SUM(OZ47:OZ48))-OZ54</f>
        <v>264778</v>
      </c>
      <c r="PA51" s="23">
        <f t="shared" si="449"/>
        <v>299006</v>
      </c>
      <c r="PB51" s="23">
        <f t="shared" si="449"/>
        <v>351666</v>
      </c>
      <c r="PC51" s="23">
        <f t="shared" si="449"/>
        <v>401765</v>
      </c>
      <c r="PD51" s="23">
        <f t="shared" si="449"/>
        <v>334817</v>
      </c>
      <c r="PE51" s="23">
        <f t="shared" si="449"/>
        <v>2833</v>
      </c>
      <c r="PF51" s="23">
        <f t="shared" si="449"/>
        <v>350081</v>
      </c>
      <c r="PG51" s="23">
        <f t="shared" ref="PG51:PN51" si="450">(SUM(PG3:PG8)+SUM(PG11:PG16)+SUM(PG20:PG27)+SUM(PG29:PG30)+SUM(PG32:PG33)+SUM(PG47:PG48))-PG54</f>
        <v>240362</v>
      </c>
      <c r="PH51" s="23">
        <f t="shared" si="450"/>
        <v>394384</v>
      </c>
      <c r="PI51" s="23">
        <f t="shared" si="450"/>
        <v>288053</v>
      </c>
      <c r="PJ51" s="23">
        <f t="shared" si="450"/>
        <v>509420</v>
      </c>
      <c r="PK51" s="23">
        <f t="shared" si="450"/>
        <v>430965</v>
      </c>
      <c r="PL51" s="23">
        <f t="shared" si="450"/>
        <v>18838</v>
      </c>
      <c r="PM51" s="23">
        <f t="shared" si="450"/>
        <v>636439</v>
      </c>
      <c r="PN51" s="23">
        <f t="shared" si="450"/>
        <v>419094</v>
      </c>
      <c r="PO51" s="23">
        <f t="shared" ref="PO51:PR51" si="451">(SUM(PO3:PO8)+SUM(PO11:PO16)+SUM(PO20:PO27)+SUM(PO29:PO30)+SUM(PO32:PO33)+SUM(PO47:PO48))-PO54</f>
        <v>410591</v>
      </c>
      <c r="PP51" s="23">
        <f t="shared" si="451"/>
        <v>349565</v>
      </c>
      <c r="PQ51" s="23">
        <f t="shared" si="451"/>
        <v>322442</v>
      </c>
      <c r="PR51" s="23">
        <f t="shared" si="451"/>
        <v>145638</v>
      </c>
      <c r="PS51" s="23">
        <f t="shared" ref="PS51:PU51" si="452">(SUM(PS3:PS8)+SUM(PS11:PS16)+SUM(PS20:PS27)+SUM(PS29:PS30)+SUM(PS32:PS33)+SUM(PS47:PS48))-PS54</f>
        <v>86</v>
      </c>
      <c r="PT51" s="23">
        <f t="shared" si="452"/>
        <v>148867</v>
      </c>
      <c r="PU51" s="23">
        <f t="shared" si="452"/>
        <v>0</v>
      </c>
      <c r="PV51" s="23">
        <f t="shared" ref="PV51:QH51" si="453">(SUM(PV3:PV8)+SUM(PV11:PV16)+SUM(PV20:PV27)+SUM(PV29:PV30)+SUM(PV32:PV33)+SUM(PV47:PV48))-PV54</f>
        <v>0</v>
      </c>
      <c r="PW51" s="23">
        <f t="shared" si="453"/>
        <v>146526</v>
      </c>
      <c r="PX51" s="23">
        <f t="shared" si="453"/>
        <v>179466</v>
      </c>
      <c r="PY51" s="23">
        <f t="shared" si="453"/>
        <v>125899</v>
      </c>
      <c r="PZ51" s="23">
        <f t="shared" si="453"/>
        <v>0</v>
      </c>
      <c r="QA51" s="23">
        <f t="shared" si="453"/>
        <v>377717</v>
      </c>
      <c r="QB51" s="23">
        <f t="shared" si="453"/>
        <v>284301</v>
      </c>
      <c r="QC51" s="23">
        <f t="shared" si="453"/>
        <v>500300</v>
      </c>
      <c r="QD51" s="23">
        <f t="shared" si="453"/>
        <v>373759</v>
      </c>
      <c r="QE51" s="23">
        <f t="shared" si="453"/>
        <v>231481</v>
      </c>
      <c r="QF51" s="23">
        <f t="shared" si="453"/>
        <v>162458</v>
      </c>
      <c r="QG51" s="23">
        <f t="shared" si="453"/>
        <v>4009</v>
      </c>
      <c r="QH51" s="23">
        <f t="shared" si="453"/>
        <v>186088</v>
      </c>
      <c r="QI51" s="23">
        <f t="shared" ref="QI51:QS51" si="454">(SUM(QI3:QI8)+SUM(QI11:QI16)+SUM(QI20:QI27)+SUM(QI29:QI30)+SUM(QI32:QI33)+SUM(QI47:QI48))-QI54</f>
        <v>244715</v>
      </c>
      <c r="QJ51" s="23">
        <f t="shared" si="454"/>
        <v>291279</v>
      </c>
      <c r="QK51" s="23">
        <f t="shared" si="454"/>
        <v>228836</v>
      </c>
      <c r="QL51" s="23">
        <f t="shared" si="454"/>
        <v>358265</v>
      </c>
      <c r="QM51" s="23">
        <f t="shared" si="454"/>
        <v>165291</v>
      </c>
      <c r="QN51" s="23">
        <f t="shared" si="454"/>
        <v>4450</v>
      </c>
      <c r="QO51" s="23">
        <f t="shared" si="454"/>
        <v>363208</v>
      </c>
      <c r="QP51" s="23">
        <f t="shared" si="454"/>
        <v>219169</v>
      </c>
      <c r="QQ51" s="23">
        <f t="shared" si="454"/>
        <v>354791</v>
      </c>
      <c r="QR51" s="23">
        <f t="shared" si="454"/>
        <v>190096</v>
      </c>
      <c r="QS51" s="23">
        <f t="shared" si="454"/>
        <v>278690</v>
      </c>
      <c r="QT51" s="23">
        <f t="shared" ref="QT51:RA51" si="455">(SUM(QT3:QT8)+SUM(QT11:QT16)+SUM(QT20:QT27)+SUM(QT29:QT30)+SUM(QT32:QT33)+SUM(QT47:QT48))-QT54</f>
        <v>222141</v>
      </c>
      <c r="QU51" s="23">
        <f t="shared" si="455"/>
        <v>0</v>
      </c>
      <c r="QV51" s="23">
        <f t="shared" si="455"/>
        <v>175594</v>
      </c>
      <c r="QW51" s="23">
        <f t="shared" si="455"/>
        <v>303066</v>
      </c>
      <c r="QX51" s="23">
        <f t="shared" si="455"/>
        <v>380506</v>
      </c>
      <c r="QY51" s="23">
        <f t="shared" si="455"/>
        <v>305375</v>
      </c>
      <c r="QZ51" s="23">
        <f t="shared" si="455"/>
        <v>364204</v>
      </c>
      <c r="RA51" s="23">
        <f t="shared" si="455"/>
        <v>97251</v>
      </c>
      <c r="RB51" s="23">
        <f t="shared" ref="RB51:SK51" si="456">(SUM(RB3:RB8)+SUM(RB11:RB16)+SUM(RB20:RB27)+SUM(RB29:RB30)+SUM(RB32:RB33)+SUM(RB47:RB48))-RB54</f>
        <v>-43082</v>
      </c>
      <c r="RC51" s="23">
        <f t="shared" si="456"/>
        <v>253518</v>
      </c>
      <c r="RD51" s="23">
        <f t="shared" si="456"/>
        <v>317492</v>
      </c>
      <c r="RE51" s="23">
        <f t="shared" si="456"/>
        <v>224930</v>
      </c>
      <c r="RF51" s="23">
        <f t="shared" si="456"/>
        <v>279499</v>
      </c>
      <c r="RG51" s="23">
        <f t="shared" si="456"/>
        <v>294116</v>
      </c>
      <c r="RH51" s="23">
        <f t="shared" si="456"/>
        <v>4071</v>
      </c>
      <c r="RI51" s="23">
        <f t="shared" si="456"/>
        <v>0</v>
      </c>
      <c r="RJ51" s="23">
        <f t="shared" si="456"/>
        <v>244546</v>
      </c>
      <c r="RK51" s="23">
        <f t="shared" si="456"/>
        <v>243381</v>
      </c>
      <c r="RL51" s="23">
        <f t="shared" si="456"/>
        <v>223581</v>
      </c>
      <c r="RM51" s="23">
        <f t="shared" si="456"/>
        <v>325577</v>
      </c>
      <c r="RN51" s="23">
        <f t="shared" si="456"/>
        <v>208219</v>
      </c>
      <c r="RO51" s="23">
        <f t="shared" si="456"/>
        <v>114720</v>
      </c>
      <c r="RP51" s="23">
        <f t="shared" si="456"/>
        <v>0</v>
      </c>
      <c r="RQ51" s="23">
        <f t="shared" si="456"/>
        <v>216865</v>
      </c>
      <c r="RR51" s="23">
        <f t="shared" si="456"/>
        <v>259403</v>
      </c>
      <c r="RS51" s="23">
        <f t="shared" si="456"/>
        <v>239047</v>
      </c>
      <c r="RT51" s="23">
        <f t="shared" si="456"/>
        <v>253443</v>
      </c>
      <c r="RU51" s="23">
        <f t="shared" si="456"/>
        <v>442972</v>
      </c>
      <c r="RV51" s="23">
        <f t="shared" si="456"/>
        <v>208560</v>
      </c>
      <c r="RW51" s="23">
        <f t="shared" si="456"/>
        <v>1314</v>
      </c>
      <c r="RX51" s="23">
        <f t="shared" si="456"/>
        <v>270362</v>
      </c>
      <c r="RY51" s="23">
        <f t="shared" si="456"/>
        <v>229214</v>
      </c>
      <c r="RZ51" s="23">
        <f t="shared" si="456"/>
        <v>300905</v>
      </c>
      <c r="SA51" s="23">
        <f t="shared" si="456"/>
        <v>205101</v>
      </c>
      <c r="SB51" s="23">
        <f t="shared" si="456"/>
        <v>204695</v>
      </c>
      <c r="SC51" s="23">
        <f t="shared" si="456"/>
        <v>90142</v>
      </c>
      <c r="SD51" s="23">
        <f t="shared" si="456"/>
        <v>974</v>
      </c>
      <c r="SE51" s="23">
        <f t="shared" si="456"/>
        <v>179183</v>
      </c>
      <c r="SF51" s="23">
        <f t="shared" si="456"/>
        <v>177630</v>
      </c>
      <c r="SG51" s="23">
        <f t="shared" si="456"/>
        <v>294875</v>
      </c>
      <c r="SH51" s="23">
        <f t="shared" si="456"/>
        <v>215506</v>
      </c>
      <c r="SI51" s="23">
        <f t="shared" si="456"/>
        <v>199883</v>
      </c>
      <c r="SJ51" s="23">
        <f t="shared" si="456"/>
        <v>200186</v>
      </c>
      <c r="SK51" s="23">
        <f t="shared" si="456"/>
        <v>3488</v>
      </c>
      <c r="SL51" s="23">
        <f t="shared" ref="SL51:SQ51" si="457">(SUM(SL3:SL8)+SUM(SL11:SL16)+SUM(SL20:SL27)+SUM(SL29:SL30)+SUM(SL32:SL33)+SUM(SL47:SL48))-SL54</f>
        <v>211239</v>
      </c>
      <c r="SM51" s="23">
        <f t="shared" si="457"/>
        <v>182794</v>
      </c>
      <c r="SN51" s="23">
        <f t="shared" si="457"/>
        <v>287705</v>
      </c>
      <c r="SO51" s="23">
        <f t="shared" si="457"/>
        <v>251299</v>
      </c>
      <c r="SP51" s="23">
        <f t="shared" si="457"/>
        <v>248796</v>
      </c>
      <c r="SQ51" s="23">
        <f t="shared" si="457"/>
        <v>142590</v>
      </c>
      <c r="SR51" s="23">
        <f t="shared" ref="SR51:TE51" si="458">(SUM(SR3:SR8)+SUM(SR11:SR16)+SUM(SR20:SR27)+SUM(SR29:SR30)+SUM(SR32:SR33)+SUM(SR47:SR48))-SR54</f>
        <v>2810</v>
      </c>
      <c r="SS51" s="23">
        <f t="shared" si="458"/>
        <v>297812</v>
      </c>
      <c r="ST51" s="23">
        <f t="shared" si="458"/>
        <v>253060</v>
      </c>
      <c r="SU51" s="23">
        <f t="shared" si="458"/>
        <v>354876</v>
      </c>
      <c r="SV51" s="23">
        <f t="shared" si="458"/>
        <v>433269</v>
      </c>
      <c r="SW51" s="23">
        <f t="shared" si="458"/>
        <v>257346</v>
      </c>
      <c r="SX51" s="23">
        <f t="shared" si="458"/>
        <v>263443</v>
      </c>
      <c r="SY51" s="23">
        <f t="shared" si="458"/>
        <v>6025</v>
      </c>
      <c r="SZ51" s="23">
        <f t="shared" si="458"/>
        <v>228053</v>
      </c>
      <c r="TA51" s="23">
        <f t="shared" si="458"/>
        <v>232092</v>
      </c>
      <c r="TB51" s="23">
        <f t="shared" si="458"/>
        <v>254304</v>
      </c>
      <c r="TC51" s="23">
        <f t="shared" si="458"/>
        <v>311769</v>
      </c>
      <c r="TD51" s="23">
        <f t="shared" si="458"/>
        <v>301894</v>
      </c>
      <c r="TE51" s="23">
        <f t="shared" si="458"/>
        <v>160027</v>
      </c>
      <c r="TF51" s="23">
        <f t="shared" ref="TF51:TL51" si="459">(SUM(TF3:TF8)+SUM(TF11:TF16)+SUM(TF20:TF27)+SUM(TF29:TF30)+SUM(TF32:TF33)+SUM(TF47:TF48))-TF54</f>
        <v>0</v>
      </c>
      <c r="TG51" s="23">
        <f t="shared" si="459"/>
        <v>223908</v>
      </c>
      <c r="TH51" s="23">
        <f t="shared" si="459"/>
        <v>109810</v>
      </c>
      <c r="TI51" s="23">
        <f t="shared" si="459"/>
        <v>282687</v>
      </c>
      <c r="TJ51" s="23">
        <f t="shared" si="459"/>
        <v>243393</v>
      </c>
      <c r="TK51" s="23">
        <f t="shared" si="459"/>
        <v>270175</v>
      </c>
      <c r="TL51" s="23">
        <f t="shared" si="459"/>
        <v>155867</v>
      </c>
      <c r="TM51" s="23">
        <f t="shared" ref="TM51:TU51" si="460">(SUM(TM3:TM8)+SUM(TM11:TM16)+SUM(TM20:TM27)+SUM(TM29:TM30)+SUM(TM32:TM33)+SUM(TM47:TM48))-TM54</f>
        <v>7823</v>
      </c>
      <c r="TN51" s="23">
        <f t="shared" si="460"/>
        <v>93024</v>
      </c>
      <c r="TO51" s="23">
        <f t="shared" si="460"/>
        <v>301311</v>
      </c>
      <c r="TP51" s="23">
        <f t="shared" si="460"/>
        <v>289239</v>
      </c>
      <c r="TQ51" s="23">
        <f t="shared" si="460"/>
        <v>341028</v>
      </c>
      <c r="TR51" s="23">
        <f t="shared" si="460"/>
        <v>371265</v>
      </c>
      <c r="TS51" s="23">
        <f t="shared" si="460"/>
        <v>285336</v>
      </c>
      <c r="TT51" s="23">
        <f>(SUM(TT3:TT8)+SUM(TT11:TT16)+SUM(TT20:TT27)+SUM(TT29:TT30)+SUM(TT32:TT33)+SUM(TT47:TT48))-TT54</f>
        <v>914</v>
      </c>
      <c r="TU51" s="23">
        <f t="shared" si="460"/>
        <v>0</v>
      </c>
      <c r="TV51" s="23">
        <f t="shared" ref="TV51:UA51" si="461">(SUM(TV3:TV8)+SUM(TV11:TV16)+SUM(TV20:TV27)+SUM(TV29:TV30)+SUM(TV32:TV33)+SUM(TV47:TV48))-TV54</f>
        <v>0</v>
      </c>
      <c r="TW51" s="23">
        <f t="shared" si="461"/>
        <v>364424</v>
      </c>
      <c r="TX51" s="23">
        <f t="shared" si="461"/>
        <v>140280</v>
      </c>
      <c r="TY51" s="23">
        <f t="shared" si="461"/>
        <v>231217</v>
      </c>
      <c r="TZ51" s="23">
        <f t="shared" si="461"/>
        <v>226666</v>
      </c>
      <c r="UA51" s="23">
        <f t="shared" si="461"/>
        <v>0</v>
      </c>
      <c r="UB51" s="23">
        <f t="shared" ref="UB51:UM51" si="462">(SUM(UB3:UB8)+SUM(UB11:UB16)+SUM(UB20:UB27)+SUM(UB29:UB30)+SUM(UB32:UB33)+SUM(UB47:UB48))-UB54</f>
        <v>238587</v>
      </c>
      <c r="UC51" s="23">
        <f t="shared" si="462"/>
        <v>231945</v>
      </c>
      <c r="UD51" s="23">
        <f t="shared" si="462"/>
        <v>275871</v>
      </c>
      <c r="UE51" s="23">
        <f t="shared" si="462"/>
        <v>209452</v>
      </c>
      <c r="UF51" s="23">
        <f t="shared" si="462"/>
        <v>176764</v>
      </c>
      <c r="UG51" s="23">
        <f t="shared" si="462"/>
        <v>137576</v>
      </c>
      <c r="UH51" s="23">
        <f t="shared" si="462"/>
        <v>2994</v>
      </c>
      <c r="UI51" s="23">
        <f t="shared" si="462"/>
        <v>344220</v>
      </c>
      <c r="UJ51" s="23">
        <f t="shared" si="462"/>
        <v>205627</v>
      </c>
      <c r="UK51" s="23">
        <f t="shared" si="462"/>
        <v>360872</v>
      </c>
      <c r="UL51" s="23">
        <f t="shared" si="462"/>
        <v>6738</v>
      </c>
      <c r="UM51" s="23">
        <f t="shared" si="462"/>
        <v>182228</v>
      </c>
      <c r="UN51" s="23">
        <f t="shared" ref="UN51:US51" si="463">(SUM(UN3:UN8)+SUM(UN11:UN16)+SUM(UN20:UN27)+SUM(UN29:UN30)+SUM(UN32:UN33)+SUM(UN47:UN48))-UN54</f>
        <v>136069</v>
      </c>
      <c r="UO51" s="23">
        <f t="shared" si="463"/>
        <v>-46949</v>
      </c>
      <c r="UP51" s="23">
        <f t="shared" si="463"/>
        <v>280754</v>
      </c>
      <c r="UQ51" s="23">
        <f t="shared" si="463"/>
        <v>206739</v>
      </c>
      <c r="UR51" s="23">
        <f t="shared" si="463"/>
        <v>482562</v>
      </c>
      <c r="US51" s="23">
        <f t="shared" si="463"/>
        <v>367920</v>
      </c>
      <c r="UT51" s="23">
        <f t="shared" ref="UT51:UV51" si="464">(SUM(UT3:UT8)+SUM(UT11:UT16)+SUM(UT20:UT27)+SUM(UT29:UT30)+SUM(UT32:UT33)+SUM(UT47:UT48))-UT54</f>
        <v>297681</v>
      </c>
      <c r="UU51" s="23">
        <f t="shared" si="464"/>
        <v>11667</v>
      </c>
      <c r="UV51" s="23">
        <f t="shared" si="464"/>
        <v>0</v>
      </c>
      <c r="UW51" s="23">
        <f t="shared" ref="UW51:VE51" si="465">(SUM(UW3:UW8)+SUM(UW11:UW16)+SUM(UW20:UW27)+SUM(UW29:UW30)+SUM(UW32:UW33)+SUM(UW47:UW48))-UW54</f>
        <v>209030</v>
      </c>
      <c r="UX51" s="23">
        <f t="shared" si="465"/>
        <v>302763</v>
      </c>
      <c r="UY51" s="23">
        <f t="shared" si="465"/>
        <v>251264</v>
      </c>
      <c r="UZ51" s="23">
        <f t="shared" si="465"/>
        <v>293224</v>
      </c>
      <c r="VA51" s="23">
        <f t="shared" si="465"/>
        <v>279121</v>
      </c>
      <c r="VB51" s="23">
        <f t="shared" si="465"/>
        <v>426217</v>
      </c>
      <c r="VC51" s="23">
        <f t="shared" si="465"/>
        <v>0</v>
      </c>
      <c r="VD51" s="23">
        <f t="shared" si="465"/>
        <v>213603</v>
      </c>
      <c r="VE51" s="23">
        <f t="shared" si="465"/>
        <v>195890</v>
      </c>
      <c r="VF51" s="23">
        <f>(SUM(VF3:VF8)+SUM(VF11:VF16)+SUM(VF20:VF27)+SUM(VF29:VF30)+SUM(VF32:VF33)+SUM(VF47:VF48))-VF54</f>
        <v>261111</v>
      </c>
      <c r="VG51" s="23">
        <f>(SUM(VG3:VG8)+SUM(VG11:VG16)+SUM(VG20:VG27)+SUM(VG29:VG30)+SUM(VG32:VG33)+SUM(VG47:VG48))-VG54</f>
        <v>260880</v>
      </c>
      <c r="VH51" s="23">
        <f>(SUM(VH3:VH8)+SUM(VH11:VH16)+SUM(VH20:VH27)+SUM(VH29:VH30)+SUM(VH32:VH33)+SUM(VH47:VH48))-VH54</f>
        <v>299609</v>
      </c>
      <c r="VI51" s="23">
        <f>(SUM(VI3:VI8)+SUM(VI11:VI16)+SUM(VI20:VI27)+SUM(VI29:VI30)+SUM(VI32:VI33)+SUM(VI47:VI48))-VI54</f>
        <v>186393</v>
      </c>
      <c r="VJ51" s="23">
        <f>(SUM(VJ3:VJ8)+SUM(VJ11:VJ16)+SUM(VJ20:VJ27)+SUM(VJ29:VJ30)+SUM(VJ32:VJ33)+SUM(VJ47:VJ48))-VJ54</f>
        <v>0</v>
      </c>
      <c r="VK51" s="23">
        <f t="shared" ref="VK51:VW51" si="466">(SUM(VK3:VK8)+SUM(VK11:VK16)+SUM(VK20:VK27)+SUM(VK29:VK30)+SUM(VK32:VK33)+SUM(VK47:VK48))-VK54</f>
        <v>229853</v>
      </c>
      <c r="VL51" s="23">
        <f t="shared" si="466"/>
        <v>309553</v>
      </c>
      <c r="VM51" s="23">
        <f t="shared" si="466"/>
        <v>326448</v>
      </c>
      <c r="VN51" s="23">
        <f t="shared" si="466"/>
        <v>253291</v>
      </c>
      <c r="VO51" s="23">
        <f t="shared" si="466"/>
        <v>241510</v>
      </c>
      <c r="VP51" s="23">
        <f t="shared" si="466"/>
        <v>84065</v>
      </c>
      <c r="VQ51" s="23">
        <f t="shared" si="466"/>
        <v>14841</v>
      </c>
      <c r="VR51" s="23">
        <f t="shared" si="466"/>
        <v>254093</v>
      </c>
      <c r="VS51" s="23">
        <f t="shared" si="466"/>
        <v>1092</v>
      </c>
      <c r="VT51" s="23">
        <f t="shared" si="466"/>
        <v>317733</v>
      </c>
      <c r="VU51" s="23">
        <f t="shared" si="466"/>
        <v>364418</v>
      </c>
      <c r="VV51" s="23">
        <f t="shared" si="466"/>
        <v>280831</v>
      </c>
      <c r="VW51" s="23">
        <f t="shared" si="466"/>
        <v>168008</v>
      </c>
      <c r="VX51" s="23">
        <f t="shared" ref="VX51:WD51" si="467">(SUM(VX3:VX8)+SUM(VX11:VX16)+SUM(VX20:VX27)+SUM(VX29:VX30)+SUM(VX32:VX33)+SUM(VX47:VX48))-VX54</f>
        <v>23044</v>
      </c>
      <c r="VY51" s="23">
        <f t="shared" si="467"/>
        <v>309296</v>
      </c>
      <c r="VZ51" s="23">
        <f t="shared" si="467"/>
        <v>223435</v>
      </c>
      <c r="WA51" s="23">
        <f t="shared" si="467"/>
        <v>228490</v>
      </c>
      <c r="WB51" s="23">
        <f t="shared" si="467"/>
        <v>197571</v>
      </c>
      <c r="WC51" s="23">
        <f t="shared" si="467"/>
        <v>256002</v>
      </c>
      <c r="WD51" s="23">
        <f t="shared" si="467"/>
        <v>201566</v>
      </c>
      <c r="WE51" s="23">
        <f t="shared" ref="WE51:WL51" si="468">(SUM(WE3:WE8)+SUM(WE11:WE16)+SUM(WE20:WE27)+SUM(WE29:WE30)+SUM(WE32:WE33)+SUM(WE47:WE48))-WE54</f>
        <v>0</v>
      </c>
      <c r="WF51" s="23">
        <f t="shared" si="468"/>
        <v>329281</v>
      </c>
      <c r="WG51" s="23">
        <f t="shared" si="468"/>
        <v>188957</v>
      </c>
      <c r="WH51" s="23">
        <f t="shared" si="468"/>
        <v>347957</v>
      </c>
      <c r="WI51" s="23">
        <f t="shared" si="468"/>
        <v>249938</v>
      </c>
      <c r="WJ51" s="23">
        <f t="shared" si="468"/>
        <v>172813</v>
      </c>
      <c r="WK51" s="23">
        <f t="shared" si="468"/>
        <v>145003</v>
      </c>
      <c r="WL51" s="23">
        <f t="shared" si="468"/>
        <v>0</v>
      </c>
      <c r="WM51" s="23">
        <f t="shared" ref="WM51:WS51" si="469">(SUM(WM3:WM8)+SUM(WM11:WM16)+SUM(WM20:WM27)+SUM(WM29:WM30)+SUM(WM32:WM33)+SUM(WM47:WM48))-WM54</f>
        <v>303614</v>
      </c>
      <c r="WN51" s="23">
        <f t="shared" si="469"/>
        <v>255945</v>
      </c>
      <c r="WO51" s="23">
        <f t="shared" si="469"/>
        <v>406100</v>
      </c>
      <c r="WP51" s="23">
        <f t="shared" si="469"/>
        <v>687198</v>
      </c>
      <c r="WQ51" s="23">
        <f t="shared" si="469"/>
        <v>246073</v>
      </c>
      <c r="WR51" s="23">
        <f t="shared" si="469"/>
        <v>141428</v>
      </c>
      <c r="WS51" s="23">
        <f t="shared" si="469"/>
        <v>46087</v>
      </c>
      <c r="WT51" s="23">
        <f t="shared" ref="WT51:XK51" si="470">(SUM(WT3:WT8)+SUM(WT11:WT16)+SUM(WT20:WT27)+SUM(WT29:WT30)+SUM(WT32:WT33)+SUM(WT47:WT48))-WT54</f>
        <v>183975</v>
      </c>
      <c r="WU51" s="23">
        <f t="shared" si="470"/>
        <v>175693</v>
      </c>
      <c r="WV51" s="23">
        <f t="shared" si="470"/>
        <v>261376</v>
      </c>
      <c r="WW51" s="23">
        <f t="shared" si="470"/>
        <v>241749</v>
      </c>
      <c r="WX51" s="23">
        <f t="shared" si="470"/>
        <v>578573</v>
      </c>
      <c r="WY51" s="23">
        <f t="shared" si="470"/>
        <v>366048</v>
      </c>
      <c r="WZ51" s="23">
        <f t="shared" si="470"/>
        <v>18238</v>
      </c>
      <c r="XA51" s="23">
        <f t="shared" si="470"/>
        <v>351776</v>
      </c>
      <c r="XB51" s="23">
        <f t="shared" si="470"/>
        <v>393479</v>
      </c>
      <c r="XC51" s="23">
        <f t="shared" si="470"/>
        <v>376928</v>
      </c>
      <c r="XD51" s="23">
        <f t="shared" si="470"/>
        <v>286414</v>
      </c>
      <c r="XE51" s="23">
        <f t="shared" si="470"/>
        <v>308462</v>
      </c>
      <c r="XF51" s="23">
        <f t="shared" si="470"/>
        <v>178402</v>
      </c>
      <c r="XG51" s="23">
        <f t="shared" si="470"/>
        <v>10178</v>
      </c>
      <c r="XH51" s="23">
        <f t="shared" si="470"/>
        <v>281327</v>
      </c>
      <c r="XI51" s="23">
        <f t="shared" si="470"/>
        <v>276653</v>
      </c>
      <c r="XJ51" s="23">
        <f t="shared" si="470"/>
        <v>309418</v>
      </c>
      <c r="XK51" s="23">
        <f t="shared" si="470"/>
        <v>359734</v>
      </c>
      <c r="XL51" s="23">
        <f t="shared" ref="XL51:XU51" si="471">(SUM(XL3:XL8)+SUM(XL11:XL16)+SUM(XL20:XL27)+SUM(XL29:XL30)+SUM(XL32:XL33)+SUM(XL47:XL48))-XL54</f>
        <v>303950</v>
      </c>
      <c r="XM51" s="23">
        <f t="shared" si="471"/>
        <v>364302</v>
      </c>
      <c r="XN51" s="23">
        <f t="shared" si="471"/>
        <v>2652</v>
      </c>
      <c r="XO51" s="23">
        <f t="shared" si="471"/>
        <v>235830</v>
      </c>
      <c r="XP51" s="23">
        <f t="shared" si="471"/>
        <v>158758</v>
      </c>
      <c r="XQ51" s="23">
        <f t="shared" si="471"/>
        <v>215396</v>
      </c>
      <c r="XR51" s="23">
        <f t="shared" si="471"/>
        <v>346102</v>
      </c>
      <c r="XS51" s="23">
        <f t="shared" si="471"/>
        <v>903864</v>
      </c>
      <c r="XT51" s="23">
        <f t="shared" si="471"/>
        <v>219091</v>
      </c>
      <c r="XU51" s="23">
        <f t="shared" si="471"/>
        <v>0</v>
      </c>
      <c r="XV51" s="23">
        <f t="shared" ref="XV51:XY51" si="472">(SUM(XV3:XV8)+SUM(XV11:XV16)+SUM(XV20:XV27)+SUM(XV29:XV30)+SUM(XV32:XV33)+SUM(XV47:XV48))-XV54</f>
        <v>31</v>
      </c>
      <c r="XW51" s="23">
        <f t="shared" si="472"/>
        <v>232622</v>
      </c>
      <c r="XX51" s="23">
        <f t="shared" si="472"/>
        <v>304013</v>
      </c>
      <c r="XY51" s="23">
        <f t="shared" si="472"/>
        <v>401861</v>
      </c>
      <c r="XZ51" s="23">
        <f t="shared" ref="XZ51:YH51" si="473">(SUM(XZ3:XZ8)+SUM(XZ11:XZ16)+SUM(XZ20:XZ27)+SUM(XZ29:XZ30)+SUM(XZ32:XZ33)+SUM(XZ47:XZ48))-XZ54</f>
        <v>232995</v>
      </c>
      <c r="YA51" s="23">
        <f t="shared" si="473"/>
        <v>145535</v>
      </c>
      <c r="YB51" s="23">
        <f t="shared" si="473"/>
        <v>243940</v>
      </c>
      <c r="YC51" s="23">
        <f t="shared" si="473"/>
        <v>344477</v>
      </c>
      <c r="YD51" s="23">
        <f t="shared" si="473"/>
        <v>260921</v>
      </c>
      <c r="YE51" s="23">
        <f t="shared" si="473"/>
        <v>374229</v>
      </c>
      <c r="YF51" s="23">
        <f t="shared" si="473"/>
        <v>132665</v>
      </c>
      <c r="YG51" s="23">
        <f t="shared" si="473"/>
        <v>816108</v>
      </c>
      <c r="YH51" s="23">
        <f t="shared" si="473"/>
        <v>473786</v>
      </c>
      <c r="YI51" s="23">
        <f>(SUM(YI3:YI8)+SUM(YI11:YI16)+SUM(YI20:YI27)+SUM(YI29:YI30)+SUM(YI32:YI33)+SUM(YI47:YI48))-YI54</f>
        <v>0</v>
      </c>
      <c r="YJ51" s="23">
        <f>(SUM(YJ3:YJ8)+SUM(YJ11:YJ16)+SUM(YJ20:YJ27)+SUM(YJ29:YJ30)+SUM(YJ32:YJ33)+SUM(YJ47:YJ48))-YJ54</f>
        <v>227052</v>
      </c>
      <c r="YK51" s="23">
        <f>(SUM(YK3:YK8)+SUM(YK11:YK16)+SUM(YK20:YK27)+SUM(YK29:YK30)+SUM(YK32:YK33)+SUM(YK47:YK48))-YK54</f>
        <v>0</v>
      </c>
      <c r="YL51" s="23">
        <f>(SUM(YL3:YL8)+SUM(YL11:YL16)+SUM(YL20:YL27)+SUM(YL29:YL30)+SUM(YL32:YL33)+SUM(YL47:YL48))-YL54</f>
        <v>331925</v>
      </c>
      <c r="YM51" s="23">
        <f>(SUM(YM3:YM8)+SUM(YM11:YM16)+SUM(YM20:YM27)+SUM(YM29:YM30)+SUM(YM32:YM33)+SUM(YM47:YM48))-YM54</f>
        <v>339271</v>
      </c>
      <c r="YN51" s="23">
        <f t="shared" ref="YN51:YQ51" si="474">(SUM(YN3:YN8)+SUM(YN11:YN16)+SUM(YN20:YN27)+SUM(YN29:YN30)+SUM(YN32:YN33)+SUM(YN47:YN48))-YN54</f>
        <v>231602</v>
      </c>
      <c r="YO51" s="23">
        <f t="shared" si="474"/>
        <v>193638</v>
      </c>
      <c r="YP51" s="23">
        <f t="shared" si="474"/>
        <v>-51105</v>
      </c>
      <c r="YQ51" s="23">
        <f t="shared" si="474"/>
        <v>326003</v>
      </c>
      <c r="YR51" s="23">
        <f t="shared" ref="YR51:ZC51" si="475">(SUM(YR3:YR8)+SUM(YR11:YR16)+SUM(YR20:YR27)+SUM(YR29:YR30)+SUM(YR32:YR33)+SUM(YR47:YR48))-YR54</f>
        <v>240796</v>
      </c>
      <c r="YS51" s="23">
        <f t="shared" si="475"/>
        <v>416084</v>
      </c>
      <c r="YT51" s="23">
        <f t="shared" si="475"/>
        <v>332133</v>
      </c>
      <c r="YU51" s="23">
        <f t="shared" si="475"/>
        <v>339461</v>
      </c>
      <c r="YV51" s="23">
        <f t="shared" si="475"/>
        <v>161344</v>
      </c>
      <c r="YW51" s="23">
        <f t="shared" si="475"/>
        <v>0</v>
      </c>
      <c r="YX51" s="23">
        <f t="shared" si="475"/>
        <v>262226</v>
      </c>
      <c r="YY51" s="23">
        <f t="shared" si="475"/>
        <v>245188</v>
      </c>
      <c r="YZ51" s="23">
        <f t="shared" si="475"/>
        <v>292973</v>
      </c>
      <c r="ZA51" s="23">
        <f t="shared" si="475"/>
        <v>321378</v>
      </c>
      <c r="ZB51" s="23">
        <f t="shared" si="475"/>
        <v>409395</v>
      </c>
      <c r="ZC51" s="23">
        <f t="shared" si="475"/>
        <v>102481</v>
      </c>
      <c r="ZD51" s="23">
        <f t="shared" ref="ZD51:ZN51" si="476">(SUM(ZD3:ZD8)+SUM(ZD11:ZD16)+SUM(ZD20:ZD27)+SUM(ZD29:ZD30)+SUM(ZD32:ZD33)+SUM(ZD47:ZD48))-ZD54</f>
        <v>-22933</v>
      </c>
      <c r="ZE51" s="23">
        <f t="shared" si="476"/>
        <v>166619</v>
      </c>
      <c r="ZF51" s="23">
        <f t="shared" si="476"/>
        <v>367198</v>
      </c>
      <c r="ZG51" s="23">
        <f t="shared" si="476"/>
        <v>210774</v>
      </c>
      <c r="ZH51" s="23">
        <f t="shared" si="476"/>
        <v>259507</v>
      </c>
      <c r="ZI51" s="23">
        <f t="shared" si="476"/>
        <v>185503</v>
      </c>
      <c r="ZJ51" s="23">
        <f t="shared" si="476"/>
        <v>127345</v>
      </c>
      <c r="ZK51" s="23">
        <f t="shared" si="476"/>
        <v>360089</v>
      </c>
      <c r="ZL51" s="23">
        <f t="shared" si="476"/>
        <v>106218</v>
      </c>
      <c r="ZM51" s="23">
        <f t="shared" si="476"/>
        <v>385368</v>
      </c>
      <c r="ZN51" s="23">
        <f t="shared" si="476"/>
        <v>0</v>
      </c>
      <c r="ZO51" s="23">
        <f t="shared" ref="ZO51:ZS51" si="477">(SUM(ZO3:ZO8)+SUM(ZO11:ZO16)+SUM(ZO20:ZO27)+SUM(ZO29:ZO30)+SUM(ZO32:ZO33)+SUM(ZO47:ZO48))-ZO54</f>
        <v>417797</v>
      </c>
      <c r="ZP51" s="23">
        <f t="shared" si="477"/>
        <v>197483</v>
      </c>
      <c r="ZQ51" s="23">
        <f t="shared" si="477"/>
        <v>157489</v>
      </c>
      <c r="ZR51" s="23">
        <f t="shared" si="477"/>
        <v>1722</v>
      </c>
      <c r="ZS51" s="23">
        <f t="shared" si="477"/>
        <v>151589</v>
      </c>
      <c r="ZT51" s="23">
        <f t="shared" ref="ZT51:ZY51" si="478">(SUM(ZT3:ZT8)+SUM(ZT11:ZT16)+SUM(ZT20:ZT27)+SUM(ZT29:ZT30)+SUM(ZT32:ZT33)+SUM(ZT47:ZT48))-ZT54</f>
        <v>263766</v>
      </c>
      <c r="ZU51" s="23">
        <f t="shared" si="478"/>
        <v>417928</v>
      </c>
      <c r="ZV51" s="23">
        <f t="shared" si="478"/>
        <v>204176</v>
      </c>
      <c r="ZW51" s="23">
        <f t="shared" si="478"/>
        <v>240664</v>
      </c>
      <c r="ZX51" s="23">
        <f t="shared" si="478"/>
        <v>181690</v>
      </c>
      <c r="ZY51" s="23">
        <f t="shared" si="478"/>
        <v>0</v>
      </c>
      <c r="ZZ51" s="23">
        <f t="shared" ref="ZZ51:AAJ51" si="479">(SUM(ZZ3:ZZ8)+SUM(ZZ11:ZZ16)+SUM(ZZ20:ZZ27)+SUM(ZZ29:ZZ30)+SUM(ZZ32:ZZ33)+SUM(ZZ47:ZZ48))-ZZ54</f>
        <v>292825</v>
      </c>
      <c r="AAA51" s="23">
        <f t="shared" si="479"/>
        <v>251963</v>
      </c>
      <c r="AAB51" s="23">
        <f t="shared" si="479"/>
        <v>245783</v>
      </c>
      <c r="AAC51" s="23">
        <f t="shared" si="479"/>
        <v>223249</v>
      </c>
      <c r="AAD51" s="23">
        <f t="shared" si="479"/>
        <v>547613</v>
      </c>
      <c r="AAE51" s="23">
        <f t="shared" si="479"/>
        <v>269541</v>
      </c>
      <c r="AAF51" s="23">
        <f t="shared" si="479"/>
        <v>12478</v>
      </c>
      <c r="AAG51" s="23">
        <f t="shared" si="479"/>
        <v>323126</v>
      </c>
      <c r="AAH51" s="23">
        <f t="shared" si="479"/>
        <v>452347</v>
      </c>
      <c r="AAI51" s="23">
        <f t="shared" si="479"/>
        <v>255289</v>
      </c>
      <c r="AAJ51" s="23">
        <f t="shared" si="479"/>
        <v>384604</v>
      </c>
      <c r="AAK51" s="23">
        <f t="shared" ref="AAK51:AAU51" si="480">(SUM(AAK3:AAK8)+SUM(AAK11:AAK16)+SUM(AAK20:AAK27)+SUM(AAK29:AAK30)+SUM(AAK32:AAK33)+SUM(AAK47:AAK48))-AAK54</f>
        <v>279672</v>
      </c>
      <c r="AAL51" s="23">
        <f t="shared" si="480"/>
        <v>202569</v>
      </c>
      <c r="AAM51" s="23">
        <f t="shared" si="480"/>
        <v>-52975</v>
      </c>
      <c r="AAN51" s="23">
        <f t="shared" si="480"/>
        <v>386871</v>
      </c>
      <c r="AAO51" s="23">
        <f t="shared" si="480"/>
        <v>122608</v>
      </c>
      <c r="AAP51" s="23">
        <f t="shared" si="480"/>
        <v>424263</v>
      </c>
      <c r="AAQ51" s="23">
        <f t="shared" si="480"/>
        <v>268107</v>
      </c>
      <c r="AAR51" s="23">
        <f t="shared" si="480"/>
        <v>264226</v>
      </c>
      <c r="AAS51" s="23">
        <f t="shared" si="480"/>
        <v>382803</v>
      </c>
      <c r="AAT51" s="23">
        <f t="shared" si="480"/>
        <v>49002</v>
      </c>
      <c r="AAU51" s="23">
        <f t="shared" si="480"/>
        <v>11635</v>
      </c>
      <c r="AAV51" s="23">
        <f t="shared" ref="AAV51:ABA51" si="481">(SUM(AAV3:AAV8)+SUM(AAV11:AAV16)+SUM(AAV20:AAV27)+SUM(AAV29:AAV30)+SUM(AAV32:AAV33)+SUM(AAV47:AAV48))-AAV54</f>
        <v>307525</v>
      </c>
      <c r="AAW51" s="23">
        <f t="shared" si="481"/>
        <v>324089</v>
      </c>
      <c r="AAX51" s="23">
        <f t="shared" si="481"/>
        <v>343337</v>
      </c>
      <c r="AAY51" s="23">
        <f t="shared" si="481"/>
        <v>351893</v>
      </c>
      <c r="AAZ51" s="23">
        <f t="shared" si="481"/>
        <v>171166</v>
      </c>
      <c r="ABA51" s="23">
        <f t="shared" si="481"/>
        <v>8234</v>
      </c>
      <c r="ABB51" s="23">
        <f t="shared" ref="ABB51:ABH51" si="482">(SUM(ABB3:ABB8)+SUM(ABB11:ABB16)+SUM(ABB20:ABB27)+SUM(ABB29:ABB30)+SUM(ABB32:ABB33)+SUM(ABB47:ABB48))-ABB54</f>
        <v>244100</v>
      </c>
      <c r="ABC51" s="23">
        <f t="shared" si="482"/>
        <v>223997</v>
      </c>
      <c r="ABD51" s="23">
        <f t="shared" si="482"/>
        <v>311941</v>
      </c>
      <c r="ABE51" s="23">
        <f t="shared" si="482"/>
        <v>-7951</v>
      </c>
      <c r="ABF51" s="23">
        <f t="shared" si="482"/>
        <v>339024</v>
      </c>
      <c r="ABG51" s="23">
        <f t="shared" si="482"/>
        <v>368359</v>
      </c>
      <c r="ABH51" s="23">
        <f t="shared" si="482"/>
        <v>5094</v>
      </c>
      <c r="ABI51" s="23">
        <f t="shared" ref="ABI51:ABY51" si="483">(SUM(ABI3:ABI8)+SUM(ABI11:ABI16)+SUM(ABI20:ABI27)+SUM(ABI29:ABI30)+SUM(ABI32:ABI33)+SUM(ABI47:ABI48))-ABI54</f>
        <v>231519</v>
      </c>
      <c r="ABJ51" s="23">
        <f t="shared" si="483"/>
        <v>180497</v>
      </c>
      <c r="ABK51" s="23">
        <f t="shared" si="483"/>
        <v>197731</v>
      </c>
      <c r="ABL51" s="23">
        <f t="shared" si="483"/>
        <v>330888</v>
      </c>
      <c r="ABM51" s="23">
        <f t="shared" si="483"/>
        <v>289974</v>
      </c>
      <c r="ABN51" s="23">
        <f t="shared" si="483"/>
        <v>336363</v>
      </c>
      <c r="ABO51" s="23">
        <f t="shared" si="483"/>
        <v>1765</v>
      </c>
      <c r="ABP51" s="23">
        <f t="shared" si="483"/>
        <v>356361</v>
      </c>
      <c r="ABQ51" s="23">
        <f t="shared" si="483"/>
        <v>197202</v>
      </c>
      <c r="ABR51" s="23">
        <f t="shared" si="483"/>
        <v>422155</v>
      </c>
      <c r="ABS51" s="23">
        <f t="shared" si="483"/>
        <v>275979</v>
      </c>
      <c r="ABT51" s="23">
        <f t="shared" si="483"/>
        <v>452419</v>
      </c>
      <c r="ABU51" s="23">
        <f t="shared" si="483"/>
        <v>228238</v>
      </c>
      <c r="ABV51" s="23">
        <f t="shared" si="483"/>
        <v>22610</v>
      </c>
      <c r="ABW51" s="23">
        <f t="shared" si="483"/>
        <v>258399</v>
      </c>
      <c r="ABX51" s="23">
        <f t="shared" si="483"/>
        <v>435010</v>
      </c>
      <c r="ABY51" s="23">
        <f t="shared" si="483"/>
        <v>521226</v>
      </c>
      <c r="ABZ51" s="23">
        <f t="shared" ref="ABZ51:ACE51" si="484">(SUM(ABZ3:ABZ8)+SUM(ABZ11:ABZ16)+SUM(ABZ20:ABZ27)+SUM(ABZ29:ABZ30)+SUM(ABZ32:ABZ33)+SUM(ABZ47:ABZ48))-ABZ54</f>
        <v>919427</v>
      </c>
      <c r="ACA51" s="23">
        <f t="shared" si="484"/>
        <v>570139</v>
      </c>
      <c r="ACB51" s="23">
        <f t="shared" si="484"/>
        <v>340055</v>
      </c>
      <c r="ACC51" s="23">
        <f t="shared" si="484"/>
        <v>27299</v>
      </c>
      <c r="ACD51" s="23">
        <f t="shared" si="484"/>
        <v>273658</v>
      </c>
      <c r="ACE51" s="23">
        <f t="shared" si="484"/>
        <v>398634</v>
      </c>
      <c r="ACF51" s="23">
        <f t="shared" ref="ACF51:ACS51" si="485">(SUM(ACF3:ACF8)+SUM(ACF11:ACF16)+SUM(ACF20:ACF27)+SUM(ACF29:ACF30)+SUM(ACF32:ACF33)+SUM(ACF47:ACF48))-ACF54</f>
        <v>367105</v>
      </c>
      <c r="ACG51" s="23">
        <f t="shared" si="485"/>
        <v>448651</v>
      </c>
      <c r="ACH51" s="23">
        <f t="shared" si="485"/>
        <v>286632</v>
      </c>
      <c r="ACI51" s="23">
        <f t="shared" si="485"/>
        <v>168361</v>
      </c>
      <c r="ACJ51" s="23">
        <f t="shared" si="485"/>
        <v>3128</v>
      </c>
      <c r="ACK51" s="23">
        <f t="shared" si="485"/>
        <v>428806</v>
      </c>
      <c r="ACL51" s="23">
        <f t="shared" si="485"/>
        <v>378523</v>
      </c>
      <c r="ACM51" s="23">
        <f t="shared" si="485"/>
        <v>339644</v>
      </c>
      <c r="ACN51" s="23">
        <f t="shared" si="485"/>
        <v>311090</v>
      </c>
      <c r="ACO51" s="23">
        <f t="shared" si="485"/>
        <v>240176</v>
      </c>
      <c r="ACP51" s="23">
        <f t="shared" si="485"/>
        <v>211024</v>
      </c>
      <c r="ACQ51" s="23">
        <f t="shared" si="485"/>
        <v>0</v>
      </c>
      <c r="ACR51" s="23">
        <f t="shared" si="485"/>
        <v>480155</v>
      </c>
      <c r="ACS51" s="23">
        <f t="shared" si="485"/>
        <v>407968</v>
      </c>
      <c r="ACT51" s="23">
        <f t="shared" ref="ACT51:ADD51" si="486">(SUM(ACT3:ACT8)+SUM(ACT11:ACT16)+SUM(ACT20:ACT27)+SUM(ACT29:ACT30)+SUM(ACT32:ACT33)+SUM(ACT47:ACT48))-ACT54</f>
        <v>373194</v>
      </c>
      <c r="ACU51" s="23">
        <f t="shared" si="486"/>
        <v>402277</v>
      </c>
      <c r="ACV51" s="23">
        <f t="shared" si="486"/>
        <v>-16429</v>
      </c>
      <c r="ACW51" s="23">
        <f t="shared" si="486"/>
        <v>235608</v>
      </c>
      <c r="ACX51" s="23">
        <f t="shared" si="486"/>
        <v>231657</v>
      </c>
      <c r="ACY51" s="23">
        <f t="shared" si="486"/>
        <v>218455</v>
      </c>
      <c r="ACZ51" s="23">
        <f t="shared" si="486"/>
        <v>-65226</v>
      </c>
      <c r="ADA51" s="23">
        <f t="shared" si="486"/>
        <v>266544</v>
      </c>
      <c r="ADB51" s="23">
        <f t="shared" si="486"/>
        <v>1500662</v>
      </c>
      <c r="ADC51" s="23">
        <f t="shared" si="486"/>
        <v>272382</v>
      </c>
      <c r="ADD51" s="23">
        <f t="shared" si="486"/>
        <v>247801</v>
      </c>
      <c r="ADE51" s="23">
        <f t="shared" ref="ADE51:ADR51" si="487">(SUM(ADE3:ADE8)+SUM(ADE11:ADE16)+SUM(ADE20:ADE27)+SUM(ADE29:ADE30)+SUM(ADE32:ADE33)+SUM(ADE47:ADE48))-ADE54</f>
        <v>331349</v>
      </c>
      <c r="ADF51" s="23">
        <f t="shared" si="487"/>
        <v>239539</v>
      </c>
      <c r="ADG51" s="23">
        <f t="shared" si="487"/>
        <v>601396</v>
      </c>
      <c r="ADH51" s="23">
        <f t="shared" si="487"/>
        <v>224917</v>
      </c>
      <c r="ADI51" s="23">
        <f t="shared" si="487"/>
        <v>503271</v>
      </c>
      <c r="ADJ51" s="23">
        <f t="shared" si="487"/>
        <v>199951</v>
      </c>
      <c r="ADK51" s="23">
        <f t="shared" si="487"/>
        <v>263978</v>
      </c>
      <c r="ADL51" s="23">
        <f t="shared" si="487"/>
        <v>24</v>
      </c>
      <c r="ADM51" s="23">
        <f t="shared" si="487"/>
        <v>383876</v>
      </c>
      <c r="ADN51" s="23">
        <f t="shared" si="487"/>
        <v>223331</v>
      </c>
      <c r="ADO51" s="23">
        <f t="shared" si="487"/>
        <v>455685</v>
      </c>
      <c r="ADP51" s="23">
        <f t="shared" si="487"/>
        <v>367742</v>
      </c>
      <c r="ADQ51" s="23">
        <f t="shared" si="487"/>
        <v>477717</v>
      </c>
      <c r="ADR51" s="23">
        <f t="shared" si="487"/>
        <v>206931</v>
      </c>
      <c r="ADS51" s="23">
        <f t="shared" ref="ADS51:AEF51" si="488">(SUM(ADS3:ADS8)+SUM(ADS11:ADS16)+SUM(ADS20:ADS27)+SUM(ADS29:ADS30)+SUM(ADS32:ADS33)+SUM(ADS47:ADS48))-ADS54</f>
        <v>0</v>
      </c>
      <c r="ADT51" s="23">
        <f t="shared" si="488"/>
        <v>272704</v>
      </c>
      <c r="ADU51" s="23">
        <f t="shared" si="488"/>
        <v>69570</v>
      </c>
      <c r="ADV51" s="23">
        <f t="shared" si="488"/>
        <v>0</v>
      </c>
      <c r="ADW51" s="23">
        <f t="shared" si="488"/>
        <v>0</v>
      </c>
      <c r="ADX51" s="23">
        <f t="shared" si="488"/>
        <v>898610</v>
      </c>
      <c r="ADY51" s="23">
        <f t="shared" si="488"/>
        <v>89955</v>
      </c>
      <c r="ADZ51" s="23">
        <f t="shared" si="488"/>
        <v>0</v>
      </c>
      <c r="AEA51" s="23">
        <f t="shared" si="488"/>
        <v>280471</v>
      </c>
      <c r="AEB51" s="23">
        <f t="shared" si="488"/>
        <v>300260</v>
      </c>
      <c r="AEC51" s="23">
        <f t="shared" si="488"/>
        <v>477670</v>
      </c>
      <c r="AED51" s="23">
        <f t="shared" si="488"/>
        <v>253457</v>
      </c>
      <c r="AEE51" s="23">
        <f t="shared" si="488"/>
        <v>333206</v>
      </c>
      <c r="AEF51" s="23">
        <f t="shared" si="488"/>
        <v>173198</v>
      </c>
      <c r="AEG51" s="23">
        <f t="shared" ref="AEG51:AEX51" si="489">(SUM(AEG3:AEG8)+SUM(AEG11:AEG16)+SUM(AEG20:AEG27)+SUM(AEG29:AEG30)+SUM(AEG32:AEG33)+SUM(AEG47:AEG48))-AEG54</f>
        <v>0</v>
      </c>
      <c r="AEH51" s="23">
        <f t="shared" si="489"/>
        <v>261943</v>
      </c>
      <c r="AEI51" s="23">
        <f t="shared" si="489"/>
        <v>253246</v>
      </c>
      <c r="AEJ51" s="23">
        <f t="shared" si="489"/>
        <v>277413</v>
      </c>
      <c r="AEK51" s="23">
        <f t="shared" si="489"/>
        <v>306966</v>
      </c>
      <c r="AEL51" s="23">
        <f t="shared" si="489"/>
        <v>386240</v>
      </c>
      <c r="AEM51" s="23">
        <f t="shared" si="489"/>
        <v>207194</v>
      </c>
      <c r="AEN51" s="23">
        <f t="shared" si="489"/>
        <v>0</v>
      </c>
      <c r="AEO51" s="23">
        <f t="shared" si="489"/>
        <v>378278</v>
      </c>
      <c r="AEP51" s="23">
        <f t="shared" si="489"/>
        <v>429839</v>
      </c>
      <c r="AEQ51" s="23">
        <f t="shared" si="489"/>
        <v>261144</v>
      </c>
      <c r="AER51" s="23">
        <f t="shared" si="489"/>
        <v>285633</v>
      </c>
      <c r="AES51" s="23">
        <f t="shared" si="489"/>
        <v>235412</v>
      </c>
      <c r="AET51" s="23">
        <f t="shared" si="489"/>
        <v>147247</v>
      </c>
      <c r="AEU51" s="23">
        <f t="shared" si="489"/>
        <v>0</v>
      </c>
      <c r="AEV51" s="23">
        <f t="shared" si="489"/>
        <v>249831</v>
      </c>
      <c r="AEW51" s="23">
        <f t="shared" si="489"/>
        <v>151002</v>
      </c>
      <c r="AEX51" s="23">
        <f t="shared" si="489"/>
        <v>307366</v>
      </c>
      <c r="AEY51" s="23">
        <f t="shared" ref="AEY51:AFJ51" si="490">(SUM(AEY3:AEY8)+SUM(AEY11:AEY16)+SUM(AEY20:AEY27)+SUM(AEY29:AEY30)+SUM(AEY32:AEY33)+SUM(AEY47:AEY48))-AEY54</f>
        <v>242163</v>
      </c>
      <c r="AEZ51" s="23">
        <f t="shared" si="490"/>
        <v>606027</v>
      </c>
      <c r="AFA51" s="23">
        <f t="shared" si="490"/>
        <v>152793</v>
      </c>
      <c r="AFB51" s="23">
        <f t="shared" si="490"/>
        <v>928</v>
      </c>
      <c r="AFC51" s="23">
        <f t="shared" si="490"/>
        <v>192084</v>
      </c>
      <c r="AFD51" s="23">
        <f t="shared" si="490"/>
        <v>275780</v>
      </c>
      <c r="AFE51" s="23">
        <f t="shared" si="490"/>
        <v>436736</v>
      </c>
      <c r="AFF51" s="23">
        <f t="shared" si="490"/>
        <v>251167</v>
      </c>
      <c r="AFG51" s="23">
        <f t="shared" si="490"/>
        <v>406068</v>
      </c>
      <c r="AFH51" s="23">
        <f t="shared" si="490"/>
        <v>195868</v>
      </c>
      <c r="AFI51" s="23">
        <f t="shared" si="490"/>
        <v>986</v>
      </c>
      <c r="AFJ51" s="23">
        <f t="shared" si="490"/>
        <v>287334</v>
      </c>
      <c r="AFK51" s="23">
        <f t="shared" ref="AFK51:AFP51" si="491">(SUM(AFK3:AFK8)+SUM(AFK11:AFK16)+SUM(AFK20:AFK27)+SUM(AFK29:AFK30)+SUM(AFK32:AFK33)+SUM(AFK47:AFK48))-AFK54</f>
        <v>225461</v>
      </c>
      <c r="AFL51" s="23">
        <f t="shared" si="491"/>
        <v>132372</v>
      </c>
      <c r="AFM51" s="23">
        <f t="shared" si="491"/>
        <v>164029</v>
      </c>
      <c r="AFN51" s="23">
        <f t="shared" si="491"/>
        <v>105684</v>
      </c>
      <c r="AFO51" s="23">
        <f t="shared" si="491"/>
        <v>110505</v>
      </c>
      <c r="AFP51" s="23">
        <f t="shared" si="491"/>
        <v>2718</v>
      </c>
      <c r="AFQ51" s="23">
        <f t="shared" ref="AFQ51:AGB51" si="492">(SUM(AFQ3:AFQ8)+SUM(AFQ11:AFQ16)+SUM(AFQ20:AFQ27)+SUM(AFQ29:AFQ30)+SUM(AFQ32:AFQ33)+SUM(AFQ47:AFQ48))-AFQ54</f>
        <v>86939</v>
      </c>
      <c r="AFR51" s="23">
        <f t="shared" si="492"/>
        <v>189108</v>
      </c>
      <c r="AFS51" s="23">
        <f t="shared" si="492"/>
        <v>378616</v>
      </c>
      <c r="AFT51" s="23">
        <f t="shared" si="492"/>
        <v>593838</v>
      </c>
      <c r="AFU51" s="23">
        <f t="shared" si="492"/>
        <v>360048</v>
      </c>
      <c r="AFV51" s="23">
        <f t="shared" si="492"/>
        <v>303494</v>
      </c>
      <c r="AFW51" s="23">
        <f t="shared" si="492"/>
        <v>6997</v>
      </c>
      <c r="AFX51" s="23">
        <f t="shared" si="492"/>
        <v>364372</v>
      </c>
      <c r="AFY51" s="23">
        <f t="shared" si="492"/>
        <v>265077</v>
      </c>
      <c r="AFZ51" s="23">
        <f t="shared" si="492"/>
        <v>405019</v>
      </c>
      <c r="AGA51" s="23">
        <f t="shared" si="492"/>
        <v>360017</v>
      </c>
      <c r="AGB51" s="23">
        <f t="shared" si="492"/>
        <v>221354</v>
      </c>
      <c r="AGC51" s="23">
        <f>(SUM(AGC3:AGC8)+SUM(AGC11:AGC16)+SUM(AGC20:AGC27)+SUM(AGC29:AGC30)+SUM(AGC32:AGC33)+SUM(AGC47:AGC48))-AGC54</f>
        <v>219328</v>
      </c>
      <c r="AGD51" s="23">
        <f>(SUM(AGD3:AGD8)+SUM(AGD11:AGD16)+SUM(AGD20:AGD27)+SUM(AGD29:AGD30)+SUM(AGD32:AGD33)+SUM(AGD47:AGD48))-AGD54</f>
        <v>3088</v>
      </c>
      <c r="AGE51" s="23">
        <f t="shared" ref="AGE51:AGL51" si="493">(SUM(AGE3:AGE8)+SUM(AGE11:AGE16)+SUM(AGE20:AGE27)+SUM(AGE29:AGE30)+SUM(AGE32:AGE33)+SUM(AGE47:AGE48))-AGE54</f>
        <v>362169</v>
      </c>
      <c r="AGF51" s="23">
        <f t="shared" si="493"/>
        <v>219099</v>
      </c>
      <c r="AGG51" s="23">
        <f t="shared" si="493"/>
        <v>297119</v>
      </c>
      <c r="AGH51" s="23">
        <f t="shared" si="493"/>
        <v>240438</v>
      </c>
      <c r="AGI51" s="23">
        <f t="shared" si="493"/>
        <v>358920</v>
      </c>
      <c r="AGJ51" s="23">
        <f t="shared" si="493"/>
        <v>11048</v>
      </c>
      <c r="AGK51" s="23">
        <f t="shared" si="493"/>
        <v>0</v>
      </c>
      <c r="AGL51" s="23">
        <f t="shared" si="493"/>
        <v>421404</v>
      </c>
      <c r="AGM51" s="23">
        <f t="shared" ref="AGM51:AGR51" si="494">(SUM(AGM3:AGM8)+SUM(AGM11:AGM16)+SUM(AGM20:AGM27)+SUM(AGM29:AGM30)+SUM(AGM32:AGM33)+SUM(AGM47:AGM48))-AGM54</f>
        <v>340401</v>
      </c>
      <c r="AGN51" s="23">
        <f t="shared" si="494"/>
        <v>317784</v>
      </c>
      <c r="AGO51" s="23">
        <f t="shared" si="494"/>
        <v>210253</v>
      </c>
      <c r="AGP51" s="23">
        <f t="shared" si="494"/>
        <v>318314</v>
      </c>
      <c r="AGQ51" s="23">
        <f t="shared" si="494"/>
        <v>149146</v>
      </c>
      <c r="AGR51" s="23">
        <f t="shared" si="494"/>
        <v>28092</v>
      </c>
      <c r="AGS51" s="23">
        <f t="shared" ref="AGS51:AGW51" si="495">(SUM(AGS3:AGS8)+SUM(AGS11:AGS16)+SUM(AGS20:AGS27)+SUM(AGS29:AGS30)+SUM(AGS32:AGS33)+SUM(AGS47:AGS48))-AGS54</f>
        <v>316191</v>
      </c>
      <c r="AGT51" s="23">
        <f t="shared" si="495"/>
        <v>233279</v>
      </c>
      <c r="AGU51" s="23">
        <f t="shared" si="495"/>
        <v>380628</v>
      </c>
      <c r="AGV51" s="23">
        <f t="shared" si="495"/>
        <v>212401</v>
      </c>
      <c r="AGW51" s="23">
        <f t="shared" si="495"/>
        <v>371584</v>
      </c>
      <c r="AGX51" s="23">
        <f t="shared" ref="AGX51:AHF51" si="496">(SUM(AGX3:AGX8)+SUM(AGX11:AGX16)+SUM(AGX20:AGX27)+SUM(AGX29:AGX30)+SUM(AGX32:AGX33)+SUM(AGX47:AGX48))-AGX54</f>
        <v>268708</v>
      </c>
      <c r="AGY51" s="23">
        <f t="shared" si="496"/>
        <v>6869</v>
      </c>
      <c r="AGZ51" s="23">
        <f t="shared" si="496"/>
        <v>214970</v>
      </c>
      <c r="AHA51" s="23">
        <f t="shared" si="496"/>
        <v>306158</v>
      </c>
      <c r="AHB51" s="23">
        <f t="shared" si="496"/>
        <v>533302</v>
      </c>
      <c r="AHC51" s="23">
        <f t="shared" si="496"/>
        <v>383522</v>
      </c>
      <c r="AHD51" s="23">
        <f t="shared" si="496"/>
        <v>326654</v>
      </c>
      <c r="AHE51" s="23">
        <f>(SUM(AHE3:AHE8)+SUM(AHE11:AHE16)+SUM(AHE20:AHE27)+SUM(AHE29:AHE30)+SUM(AHE32:AHE33)+SUM(AHE47:AHE48))-AHE54</f>
        <v>228750</v>
      </c>
      <c r="AHF51" s="23">
        <f t="shared" si="496"/>
        <v>0</v>
      </c>
      <c r="AHG51" s="23">
        <f t="shared" ref="AHG51:AHS51" si="497">(SUM(AHG3:AHG8)+SUM(AHG11:AHG16)+SUM(AHG20:AHG27)+SUM(AHG29:AHG30)+SUM(AHG32:AHG33)+SUM(AHG47:AHG48))-AHG54</f>
        <v>0</v>
      </c>
      <c r="AHH51" s="23">
        <f t="shared" si="497"/>
        <v>0</v>
      </c>
      <c r="AHI51" s="23">
        <f t="shared" si="497"/>
        <v>357956</v>
      </c>
      <c r="AHJ51" s="23">
        <f t="shared" si="497"/>
        <v>339541</v>
      </c>
      <c r="AHK51" s="23">
        <f t="shared" si="497"/>
        <v>403791</v>
      </c>
      <c r="AHL51" s="23">
        <f t="shared" si="497"/>
        <v>198255</v>
      </c>
      <c r="AHM51" s="23">
        <f t="shared" si="497"/>
        <v>0</v>
      </c>
      <c r="AHN51" s="23">
        <f t="shared" si="497"/>
        <v>25608</v>
      </c>
      <c r="AHO51" s="23">
        <f t="shared" si="497"/>
        <v>387618</v>
      </c>
      <c r="AHP51" s="23">
        <f t="shared" si="497"/>
        <v>285751</v>
      </c>
      <c r="AHQ51" s="23">
        <f t="shared" si="497"/>
        <v>251488</v>
      </c>
      <c r="AHR51" s="23">
        <f t="shared" si="497"/>
        <v>304103</v>
      </c>
      <c r="AHS51" s="23">
        <f t="shared" si="497"/>
        <v>250605</v>
      </c>
      <c r="AHT51" s="23">
        <f t="shared" ref="AHT51:AIA51" si="498">(SUM(AHT3:AHT8)+SUM(AHT11:AHT16)+SUM(AHT20:AHT27)+SUM(AHT29:AHT30)+SUM(AHT32:AHT33)+SUM(AHT47:AHT48))-AHT54</f>
        <v>3337</v>
      </c>
      <c r="AHU51" s="23">
        <f t="shared" si="498"/>
        <v>0</v>
      </c>
      <c r="AHV51" s="23">
        <f t="shared" si="498"/>
        <v>0</v>
      </c>
      <c r="AHW51" s="23">
        <f t="shared" si="498"/>
        <v>127635</v>
      </c>
      <c r="AHX51" s="23">
        <f t="shared" si="498"/>
        <v>590644</v>
      </c>
      <c r="AHY51" s="23">
        <f t="shared" si="498"/>
        <v>187411</v>
      </c>
      <c r="AHZ51" s="23">
        <f t="shared" si="498"/>
        <v>134855</v>
      </c>
      <c r="AIA51" s="23">
        <f t="shared" si="498"/>
        <v>779</v>
      </c>
      <c r="AIB51" s="23">
        <f t="shared" ref="AIB51:AIJ51" si="499">(SUM(AIB3:AIB8)+SUM(AIB11:AIB16)+SUM(AIB20:AIB27)+SUM(AIB29:AIB30)+SUM(AIB32:AIB33)+SUM(AIB47:AIB48))-AIB54</f>
        <v>248838</v>
      </c>
      <c r="AIC51" s="23">
        <f t="shared" si="499"/>
        <v>205972</v>
      </c>
      <c r="AID51" s="23">
        <f t="shared" si="499"/>
        <v>583187</v>
      </c>
      <c r="AIE51" s="23">
        <f t="shared" si="499"/>
        <v>456458</v>
      </c>
      <c r="AIF51" s="23">
        <f t="shared" si="499"/>
        <v>312714</v>
      </c>
      <c r="AIG51" s="23">
        <f t="shared" si="499"/>
        <v>180023</v>
      </c>
      <c r="AIH51" s="23">
        <f t="shared" si="499"/>
        <v>-66859</v>
      </c>
      <c r="AII51" s="23">
        <f t="shared" si="499"/>
        <v>301827</v>
      </c>
      <c r="AIJ51" s="23">
        <f t="shared" si="499"/>
        <v>173352</v>
      </c>
      <c r="AIK51" s="23">
        <f>(SUM(AIK3:AIK8)+SUM(AIK11:AIK16)+SUM(AIK20:AIK27)+SUM(AIK29:AIK30)+SUM(AIK32:AIK33)+SUM(AIK47:AIK48))-AIK54</f>
        <v>227691</v>
      </c>
      <c r="AIL51" s="23">
        <f>(SUM(AIL3:AIL8)+SUM(AIL11:AIL16)+SUM(AIL20:AIL27)+SUM(AIL29:AIL30)+SUM(AIL32:AIL33)+SUM(AIL47:AIL48))-AIL54</f>
        <v>144196</v>
      </c>
      <c r="AIM51" s="23">
        <f t="shared" ref="AIM51:AIV51" si="500">(SUM(AIM3:AIM8)+SUM(AIM11:AIM16)+SUM(AIM20:AIM27)+SUM(AIM29:AIM30)+SUM(AIM32:AIM33)+SUM(AIM47:AIM48))-AIM54</f>
        <v>0</v>
      </c>
      <c r="AIN51" s="23">
        <f t="shared" si="500"/>
        <v>197112</v>
      </c>
      <c r="AIO51" s="23">
        <f t="shared" si="500"/>
        <v>0</v>
      </c>
      <c r="AIP51" s="23">
        <f t="shared" si="500"/>
        <v>19058</v>
      </c>
      <c r="AIQ51" s="23">
        <f t="shared" si="500"/>
        <v>144274</v>
      </c>
      <c r="AIR51" s="23">
        <f t="shared" si="500"/>
        <v>167507</v>
      </c>
      <c r="AIS51" s="23">
        <f t="shared" si="500"/>
        <v>511422</v>
      </c>
      <c r="AIT51" s="23">
        <f t="shared" si="500"/>
        <v>398034</v>
      </c>
      <c r="AIU51" s="23">
        <f t="shared" si="500"/>
        <v>306970</v>
      </c>
      <c r="AIV51" s="23">
        <f t="shared" si="500"/>
        <v>18286</v>
      </c>
      <c r="AIW51" s="23">
        <f t="shared" ref="AIW51:AJC51" si="501">(SUM(AIW3:AIW8)+SUM(AIW11:AIW16)+SUM(AIW20:AIW27)+SUM(AIW29:AIW30)+SUM(AIW32:AIW33)+SUM(AIW47:AIW48))-AIW54</f>
        <v>321976</v>
      </c>
      <c r="AIX51" s="23">
        <f t="shared" si="501"/>
        <v>509949</v>
      </c>
      <c r="AIY51" s="23">
        <f>(SUM(AIY3:AIY8)+SUM(AIY11:AIY16)+SUM(AIY20:AIY27)+SUM(AIY29:AIY30)+SUM(AIY32:AIY33)+SUM(AIY47:AIY48))-AIY54</f>
        <v>341920</v>
      </c>
      <c r="AIZ51" s="23">
        <f t="shared" si="501"/>
        <v>296206</v>
      </c>
      <c r="AJA51" s="23">
        <f t="shared" si="501"/>
        <v>529934</v>
      </c>
      <c r="AJB51" s="23">
        <f>(SUM(AJB3:AJB8)+SUM(AJB11:AJB16)+SUM(AJB20:AJB27)+SUM(AJB29:AJB30)+SUM(AJB32:AJB33)+SUM(AJB47:AJB48))-AJB54</f>
        <v>140367</v>
      </c>
      <c r="AJC51" s="23">
        <f t="shared" si="501"/>
        <v>60</v>
      </c>
      <c r="AJD51" s="23">
        <f t="shared" ref="AJD51:AJP51" si="502">(SUM(AJD3:AJD8)+SUM(AJD11:AJD16)+SUM(AJD20:AJD27)+SUM(AJD29:AJD30)+SUM(AJD32:AJD33)+SUM(AJD47:AJD48))-AJD54</f>
        <v>193742</v>
      </c>
      <c r="AJE51" s="23">
        <f t="shared" si="502"/>
        <v>207044</v>
      </c>
      <c r="AJF51" s="23">
        <f t="shared" si="502"/>
        <v>256782</v>
      </c>
      <c r="AJG51" s="23">
        <f t="shared" si="502"/>
        <v>213349</v>
      </c>
      <c r="AJH51" s="23">
        <f t="shared" si="502"/>
        <v>269956</v>
      </c>
      <c r="AJI51" s="23">
        <f t="shared" si="502"/>
        <v>165473</v>
      </c>
      <c r="AJJ51" s="23">
        <f t="shared" si="502"/>
        <v>2330</v>
      </c>
      <c r="AJK51" s="23">
        <f t="shared" si="502"/>
        <v>206689</v>
      </c>
      <c r="AJL51" s="23">
        <f t="shared" si="502"/>
        <v>285072</v>
      </c>
      <c r="AJM51" s="23">
        <f t="shared" si="502"/>
        <v>540496</v>
      </c>
      <c r="AJN51" s="23">
        <f t="shared" si="502"/>
        <v>325012</v>
      </c>
      <c r="AJO51" s="23">
        <f t="shared" si="502"/>
        <v>322465</v>
      </c>
      <c r="AJP51" s="23">
        <f t="shared" si="502"/>
        <v>324489</v>
      </c>
      <c r="AJQ51" s="23">
        <f t="shared" ref="AJQ51:AKB51" si="503">(SUM(AJQ3:AJQ8)+SUM(AJQ11:AJQ16)+SUM(AJQ20:AJQ27)+SUM(AJQ29:AJQ30)+SUM(AJQ32:AJQ33)+SUM(AJQ47:AJQ48))-AJQ54</f>
        <v>0</v>
      </c>
      <c r="AJR51" s="23">
        <f t="shared" si="503"/>
        <v>0</v>
      </c>
      <c r="AJS51" s="23">
        <f t="shared" si="503"/>
        <v>404723</v>
      </c>
      <c r="AJT51" s="23">
        <f t="shared" si="503"/>
        <v>16630</v>
      </c>
      <c r="AJU51" s="23">
        <f t="shared" si="503"/>
        <v>324191</v>
      </c>
      <c r="AJV51" s="23">
        <f t="shared" si="503"/>
        <v>310797</v>
      </c>
      <c r="AJW51" s="23">
        <f t="shared" si="503"/>
        <v>154058</v>
      </c>
      <c r="AJX51" s="23">
        <f t="shared" si="503"/>
        <v>22012</v>
      </c>
      <c r="AJY51" s="23">
        <f t="shared" si="503"/>
        <v>289715</v>
      </c>
      <c r="AJZ51" s="23">
        <f t="shared" si="503"/>
        <v>330294</v>
      </c>
      <c r="AKA51" s="23">
        <f t="shared" si="503"/>
        <v>319019</v>
      </c>
      <c r="AKB51" s="23">
        <f t="shared" si="503"/>
        <v>301486</v>
      </c>
      <c r="AKC51" s="23">
        <f t="shared" ref="AKC51" si="504">(SUM(AKC3:AKC8)+SUM(AKC11:AKC16)+SUM(AKC20:AKC27)+SUM(AKC29:AKC30)+SUM(AKC32:AKC33)+SUM(AKC47:AKC48))-AKC54</f>
        <v>312522</v>
      </c>
      <c r="AKD51" s="23">
        <f>(SUM(AKD3:AKD8)+SUM(AKD11:AKD16)+SUM(AKD20:AKD27)+SUM(AKD29:AKD30)+SUM(AKD32:AKD33)+SUM(AKD47:AKD48))-AKD54</f>
        <v>373475</v>
      </c>
      <c r="AKE51" s="23">
        <f>(SUM(AKE3:AKE8)+SUM(AKE11:AKE16)+SUM(AKE20:AKE27)+SUM(AKE29:AKE30)+SUM(AKE32:AKE33)+SUM(AKE47:AKE48))-AKE54</f>
        <v>4575</v>
      </c>
      <c r="AKF51" s="23">
        <f>(SUM(AKF3:AKF8)+SUM(AKF11:AKF16)+SUM(AKF20:AKF27)+SUM(AKF29:AKF30)+SUM(AKF32:AKF33)+SUM(AKF47:AKF48))-AKF54</f>
        <v>218546</v>
      </c>
    </row>
    <row r="52" spans="2:968">
      <c r="B52" s="1" t="s">
        <v>82</v>
      </c>
      <c r="C52" s="27">
        <v>99999</v>
      </c>
      <c r="D52" s="1" t="s">
        <v>28</v>
      </c>
      <c r="E52" s="28" t="s">
        <v>144</v>
      </c>
      <c r="F52" s="1" t="s">
        <v>21</v>
      </c>
      <c r="G52" s="1" t="s">
        <v>21</v>
      </c>
      <c r="H52" s="1" t="s">
        <v>21</v>
      </c>
      <c r="I52" s="1" t="s">
        <v>21</v>
      </c>
      <c r="J52" s="1" t="s">
        <v>21</v>
      </c>
      <c r="K52" s="23">
        <f>(SUM(K9:K10)+SUM(K17:K18)+SUM(K35:K36)+SUM(K38:K39))-K55</f>
        <v>6463</v>
      </c>
      <c r="L52" s="23">
        <f t="shared" ref="L52:Q52" si="505">(SUM(L9:L10)+SUM(L17:L18)+SUM(L35:L36)+SUM(L38:L39))-L55</f>
        <v>24469</v>
      </c>
      <c r="M52" s="23">
        <f t="shared" si="505"/>
        <v>19908</v>
      </c>
      <c r="N52" s="23">
        <f t="shared" si="505"/>
        <v>9905</v>
      </c>
      <c r="O52" s="23">
        <f t="shared" si="505"/>
        <v>0</v>
      </c>
      <c r="P52" s="23">
        <f t="shared" si="505"/>
        <v>29269</v>
      </c>
      <c r="Q52" s="23">
        <f t="shared" si="505"/>
        <v>81191</v>
      </c>
      <c r="R52" s="23">
        <f>(SUM(R9:R10)+SUM(R17:R18)+SUM(R35:R36)+SUM(R38:R39))-R55</f>
        <v>20034</v>
      </c>
      <c r="S52" s="23">
        <f t="shared" ref="S52:BZ52" si="506">(SUM(S9:S10)+SUM(S17:S18)+SUM(S35:S36)+SUM(S38:S39))-S55</f>
        <v>9617</v>
      </c>
      <c r="T52" s="23">
        <f t="shared" si="506"/>
        <v>102304</v>
      </c>
      <c r="U52" s="23">
        <f t="shared" si="506"/>
        <v>4608</v>
      </c>
      <c r="V52" s="23">
        <f t="shared" si="506"/>
        <v>0</v>
      </c>
      <c r="W52" s="23">
        <f t="shared" si="506"/>
        <v>73919</v>
      </c>
      <c r="X52" s="23">
        <f t="shared" si="506"/>
        <v>62584</v>
      </c>
      <c r="Y52" s="23">
        <f t="shared" si="506"/>
        <v>79150</v>
      </c>
      <c r="Z52" s="23">
        <f t="shared" si="506"/>
        <v>45370</v>
      </c>
      <c r="AA52" s="23">
        <f t="shared" si="506"/>
        <v>28175</v>
      </c>
      <c r="AB52" s="23">
        <f t="shared" si="506"/>
        <v>48254</v>
      </c>
      <c r="AC52" s="23">
        <f t="shared" si="506"/>
        <v>0</v>
      </c>
      <c r="AD52" s="23">
        <f t="shared" si="506"/>
        <v>84971</v>
      </c>
      <c r="AE52" s="23">
        <f t="shared" si="506"/>
        <v>89588</v>
      </c>
      <c r="AF52" s="23">
        <f t="shared" si="506"/>
        <v>32080</v>
      </c>
      <c r="AG52" s="23">
        <f t="shared" si="506"/>
        <v>80307</v>
      </c>
      <c r="AH52" s="23">
        <f t="shared" si="506"/>
        <v>21632</v>
      </c>
      <c r="AI52" s="23">
        <f t="shared" si="506"/>
        <v>8039</v>
      </c>
      <c r="AJ52" s="23">
        <f t="shared" si="506"/>
        <v>0</v>
      </c>
      <c r="AK52" s="23">
        <f t="shared" si="506"/>
        <v>20809</v>
      </c>
      <c r="AL52" s="23">
        <f t="shared" si="506"/>
        <v>56745</v>
      </c>
      <c r="AM52" s="23">
        <f t="shared" si="506"/>
        <v>48731</v>
      </c>
      <c r="AN52" s="23">
        <f t="shared" si="506"/>
        <v>28770</v>
      </c>
      <c r="AO52" s="23">
        <f t="shared" si="506"/>
        <v>121049</v>
      </c>
      <c r="AP52" s="23">
        <f t="shared" si="506"/>
        <v>45543</v>
      </c>
      <c r="AQ52" s="23">
        <f t="shared" si="506"/>
        <v>0</v>
      </c>
      <c r="AR52" s="23">
        <f t="shared" si="506"/>
        <v>84955</v>
      </c>
      <c r="AS52" s="23">
        <f t="shared" si="506"/>
        <v>0</v>
      </c>
      <c r="AT52" s="23">
        <f t="shared" si="506"/>
        <v>46733</v>
      </c>
      <c r="AU52" s="23">
        <f t="shared" si="506"/>
        <v>22342</v>
      </c>
      <c r="AV52" s="23">
        <f t="shared" si="506"/>
        <v>12749</v>
      </c>
      <c r="AW52" s="23">
        <f t="shared" si="506"/>
        <v>16461</v>
      </c>
      <c r="AX52" s="23">
        <f t="shared" si="506"/>
        <v>0</v>
      </c>
      <c r="AY52" s="23">
        <f t="shared" si="506"/>
        <v>19255</v>
      </c>
      <c r="AZ52" s="23">
        <f t="shared" si="506"/>
        <v>17802</v>
      </c>
      <c r="BA52" s="23">
        <f t="shared" si="506"/>
        <v>13233</v>
      </c>
      <c r="BB52" s="23">
        <f t="shared" si="506"/>
        <v>17739</v>
      </c>
      <c r="BC52" s="23">
        <f t="shared" si="506"/>
        <v>26092</v>
      </c>
      <c r="BD52" s="23">
        <f t="shared" si="506"/>
        <v>2940</v>
      </c>
      <c r="BE52" s="23">
        <f t="shared" si="506"/>
        <v>0</v>
      </c>
      <c r="BF52" s="23">
        <f t="shared" si="506"/>
        <v>14866</v>
      </c>
      <c r="BG52" s="23">
        <f t="shared" si="506"/>
        <v>46017</v>
      </c>
      <c r="BH52" s="23">
        <f t="shared" si="506"/>
        <v>10399</v>
      </c>
      <c r="BI52" s="23">
        <f t="shared" si="506"/>
        <v>42458</v>
      </c>
      <c r="BJ52" s="23">
        <f t="shared" si="506"/>
        <v>18171</v>
      </c>
      <c r="BK52" s="23">
        <f t="shared" si="506"/>
        <v>26350</v>
      </c>
      <c r="BL52" s="23">
        <f t="shared" si="506"/>
        <v>0</v>
      </c>
      <c r="BM52" s="23">
        <f t="shared" si="506"/>
        <v>21726</v>
      </c>
      <c r="BN52" s="23">
        <f t="shared" si="506"/>
        <v>21455</v>
      </c>
      <c r="BO52" s="23">
        <f t="shared" si="506"/>
        <v>29378</v>
      </c>
      <c r="BP52" s="23">
        <f t="shared" si="506"/>
        <v>25933</v>
      </c>
      <c r="BQ52" s="23">
        <f t="shared" si="506"/>
        <v>51</v>
      </c>
      <c r="BR52" s="23">
        <f t="shared" si="506"/>
        <v>0</v>
      </c>
      <c r="BS52" s="23">
        <f t="shared" si="506"/>
        <v>0</v>
      </c>
      <c r="BT52" s="23">
        <f t="shared" si="506"/>
        <v>0</v>
      </c>
      <c r="BU52" s="23">
        <f t="shared" si="506"/>
        <v>0</v>
      </c>
      <c r="BV52" s="23">
        <f t="shared" si="506"/>
        <v>2953</v>
      </c>
      <c r="BW52" s="23">
        <f t="shared" si="506"/>
        <v>17856</v>
      </c>
      <c r="BX52" s="23">
        <f t="shared" si="506"/>
        <v>23623</v>
      </c>
      <c r="BY52" s="23">
        <f t="shared" si="506"/>
        <v>3522</v>
      </c>
      <c r="BZ52" s="23">
        <f t="shared" si="506"/>
        <v>0</v>
      </c>
      <c r="CA52" s="23">
        <f>(SUM(CA9:CA10)+SUM(CA17:CA18)+SUM(CA35:CA36)+SUM(CA38:CA39))-CA55</f>
        <v>19806</v>
      </c>
      <c r="CB52" s="23">
        <f t="shared" ref="CB52:CW52" si="507">(SUM(CB9:CB10)+SUM(CB17:CB18)+SUM(CB35:CB36)+SUM(CB38:CB39))-CB55</f>
        <v>12671</v>
      </c>
      <c r="CC52" s="23">
        <f t="shared" si="507"/>
        <v>58882</v>
      </c>
      <c r="CD52" s="23">
        <f t="shared" si="507"/>
        <v>29437</v>
      </c>
      <c r="CE52" s="23">
        <f t="shared" si="507"/>
        <v>21935</v>
      </c>
      <c r="CF52" s="23">
        <f t="shared" si="507"/>
        <v>4897</v>
      </c>
      <c r="CG52" s="23">
        <f t="shared" si="507"/>
        <v>0</v>
      </c>
      <c r="CH52" s="23">
        <f t="shared" si="507"/>
        <v>21424</v>
      </c>
      <c r="CI52" s="23">
        <f t="shared" si="507"/>
        <v>31015</v>
      </c>
      <c r="CJ52" s="23">
        <f t="shared" si="507"/>
        <v>38152</v>
      </c>
      <c r="CK52" s="23">
        <f t="shared" si="507"/>
        <v>28449</v>
      </c>
      <c r="CL52" s="23">
        <f t="shared" si="507"/>
        <v>10945</v>
      </c>
      <c r="CM52" s="23">
        <f t="shared" si="507"/>
        <v>0</v>
      </c>
      <c r="CN52" s="23">
        <f t="shared" si="507"/>
        <v>0</v>
      </c>
      <c r="CO52" s="23">
        <f t="shared" si="507"/>
        <v>24824</v>
      </c>
      <c r="CP52" s="23">
        <f t="shared" ref="CP52:CU52" si="508">(SUM(CP9:CP10)+SUM(CP17:CP18)+SUM(CP35:CP36)+SUM(CP38:CP39))-CP55</f>
        <v>15778</v>
      </c>
      <c r="CQ52" s="23">
        <f t="shared" si="508"/>
        <v>59308</v>
      </c>
      <c r="CR52" s="23">
        <f t="shared" si="508"/>
        <v>117928</v>
      </c>
      <c r="CS52" s="23">
        <f t="shared" si="508"/>
        <v>26550</v>
      </c>
      <c r="CT52" s="23">
        <f t="shared" si="508"/>
        <v>488</v>
      </c>
      <c r="CU52" s="23">
        <f t="shared" si="508"/>
        <v>0</v>
      </c>
      <c r="CV52" s="23">
        <f>(SUM(CV9:CV10)+SUM(CV17:CV18)+SUM(CV35:CV36)+SUM(CV38:CV39))-CV55</f>
        <v>69138</v>
      </c>
      <c r="CW52" s="23">
        <f t="shared" si="507"/>
        <v>36209</v>
      </c>
      <c r="CX52" s="23">
        <f t="shared" ref="CX52:DI52" si="509">(SUM(CX9:CX10)+SUM(CX17:CX18)+SUM(CX35:CX36)+SUM(CX38:CX39))-CX55</f>
        <v>17056</v>
      </c>
      <c r="CY52" s="23">
        <f t="shared" si="509"/>
        <v>0</v>
      </c>
      <c r="CZ52" s="23">
        <f t="shared" si="509"/>
        <v>12157</v>
      </c>
      <c r="DA52" s="23">
        <f t="shared" si="509"/>
        <v>0</v>
      </c>
      <c r="DB52" s="23">
        <f t="shared" si="509"/>
        <v>0</v>
      </c>
      <c r="DC52" s="23">
        <f t="shared" si="509"/>
        <v>28954</v>
      </c>
      <c r="DD52" s="23">
        <f t="shared" si="509"/>
        <v>33503</v>
      </c>
      <c r="DE52" s="23">
        <f t="shared" si="509"/>
        <v>17617</v>
      </c>
      <c r="DF52" s="23">
        <f t="shared" si="509"/>
        <v>20642</v>
      </c>
      <c r="DG52" s="23">
        <f t="shared" si="509"/>
        <v>25323</v>
      </c>
      <c r="DH52" s="23">
        <f t="shared" si="509"/>
        <v>2635</v>
      </c>
      <c r="DI52" s="23">
        <f t="shared" si="509"/>
        <v>0</v>
      </c>
      <c r="DJ52" s="23">
        <f t="shared" ref="DJ52:DO52" si="510">(SUM(DJ9:DJ10)+SUM(DJ17:DJ18)+SUM(DJ35:DJ36)+SUM(DJ38:DJ39))-DJ55</f>
        <v>26551</v>
      </c>
      <c r="DK52" s="23">
        <f t="shared" si="510"/>
        <v>58022</v>
      </c>
      <c r="DL52" s="23">
        <f t="shared" si="510"/>
        <v>34166</v>
      </c>
      <c r="DM52" s="23">
        <f t="shared" si="510"/>
        <v>43471</v>
      </c>
      <c r="DN52" s="23">
        <f t="shared" si="510"/>
        <v>43165</v>
      </c>
      <c r="DO52" s="23">
        <f t="shared" si="510"/>
        <v>0</v>
      </c>
      <c r="DP52" s="23">
        <f t="shared" ref="DP52:ED52" si="511">(SUM(DP9:DP10)+SUM(DP17:DP18)+SUM(DP35:DP36)+SUM(DP38:DP39))-DP55</f>
        <v>0</v>
      </c>
      <c r="DQ52" s="23">
        <f t="shared" si="511"/>
        <v>18742</v>
      </c>
      <c r="DR52" s="23">
        <f t="shared" si="511"/>
        <v>28987</v>
      </c>
      <c r="DS52" s="23">
        <f t="shared" si="511"/>
        <v>15898</v>
      </c>
      <c r="DT52" s="23">
        <f t="shared" si="511"/>
        <v>12847</v>
      </c>
      <c r="DU52" s="23">
        <f t="shared" si="511"/>
        <v>16714</v>
      </c>
      <c r="DV52" s="23">
        <f t="shared" si="511"/>
        <v>9363</v>
      </c>
      <c r="DW52" s="23">
        <f t="shared" si="511"/>
        <v>0</v>
      </c>
      <c r="DX52" s="23">
        <f t="shared" si="511"/>
        <v>40488</v>
      </c>
      <c r="DY52" s="23">
        <f t="shared" si="511"/>
        <v>33115</v>
      </c>
      <c r="DZ52" s="23">
        <f t="shared" si="511"/>
        <v>51308</v>
      </c>
      <c r="EA52" s="23">
        <f t="shared" si="511"/>
        <v>42847</v>
      </c>
      <c r="EB52" s="23">
        <f t="shared" si="511"/>
        <v>48302</v>
      </c>
      <c r="EC52" s="23">
        <f t="shared" si="511"/>
        <v>728</v>
      </c>
      <c r="ED52" s="23">
        <f t="shared" si="511"/>
        <v>0</v>
      </c>
      <c r="EE52" s="23">
        <f t="shared" ref="EE52:EK52" si="512">(SUM(EE9:EE10)+SUM(EE17:EE18)+SUM(EE35:EE36)+SUM(EE38:EE39))-EE55</f>
        <v>4615</v>
      </c>
      <c r="EF52" s="23">
        <f t="shared" si="512"/>
        <v>47509</v>
      </c>
      <c r="EG52" s="23">
        <f t="shared" si="512"/>
        <v>26585</v>
      </c>
      <c r="EH52" s="23">
        <f t="shared" si="512"/>
        <v>18022</v>
      </c>
      <c r="EI52" s="23">
        <f t="shared" si="512"/>
        <v>15215</v>
      </c>
      <c r="EJ52" s="23">
        <f t="shared" si="512"/>
        <v>0</v>
      </c>
      <c r="EK52" s="23">
        <f t="shared" si="512"/>
        <v>0</v>
      </c>
      <c r="EL52" s="23">
        <f t="shared" ref="EL52:ER52" si="513">(SUM(EL9:EL10)+SUM(EL17:EL18)+SUM(EL35:EL36)+SUM(EL38:EL39))-EL55</f>
        <v>17243</v>
      </c>
      <c r="EM52" s="23">
        <f t="shared" si="513"/>
        <v>32121</v>
      </c>
      <c r="EN52" s="23">
        <f t="shared" si="513"/>
        <v>6722</v>
      </c>
      <c r="EO52" s="23">
        <f t="shared" si="513"/>
        <v>18709</v>
      </c>
      <c r="EP52" s="23">
        <f t="shared" si="513"/>
        <v>16389</v>
      </c>
      <c r="EQ52" s="23">
        <f t="shared" si="513"/>
        <v>1701</v>
      </c>
      <c r="ER52" s="23">
        <f t="shared" si="513"/>
        <v>0</v>
      </c>
      <c r="ES52" s="23">
        <f t="shared" ref="ES52:EY52" si="514">(SUM(ES9:ES10)+SUM(ES17:ES18)+SUM(ES35:ES36)+SUM(ES38:ES39))-ES55</f>
        <v>14162</v>
      </c>
      <c r="ET52" s="23">
        <f t="shared" si="514"/>
        <v>56300</v>
      </c>
      <c r="EU52" s="23">
        <f t="shared" si="514"/>
        <v>40146</v>
      </c>
      <c r="EV52" s="23">
        <f t="shared" si="514"/>
        <v>54994</v>
      </c>
      <c r="EW52" s="23">
        <f t="shared" si="514"/>
        <v>47151</v>
      </c>
      <c r="EX52" s="23">
        <f t="shared" si="514"/>
        <v>22040</v>
      </c>
      <c r="EY52" s="23">
        <f t="shared" si="514"/>
        <v>0</v>
      </c>
      <c r="EZ52" s="23">
        <f t="shared" ref="EZ52:FE52" si="515">(SUM(EZ9:EZ10)+SUM(EZ17:EZ18)+SUM(EZ35:EZ36)+SUM(EZ38:EZ39))-EZ55</f>
        <v>42956</v>
      </c>
      <c r="FA52" s="23">
        <f t="shared" si="515"/>
        <v>44901</v>
      </c>
      <c r="FB52" s="23">
        <f t="shared" si="515"/>
        <v>25744</v>
      </c>
      <c r="FC52" s="23">
        <f t="shared" si="515"/>
        <v>38740</v>
      </c>
      <c r="FD52" s="23">
        <f t="shared" si="515"/>
        <v>30145</v>
      </c>
      <c r="FE52" s="23">
        <f t="shared" si="515"/>
        <v>103541</v>
      </c>
      <c r="FF52" s="23">
        <f t="shared" ref="FF52:FR52" si="516">(SUM(FF9:FF10)+SUM(FF17:FF18)+SUM(FF35:FF36)+SUM(FF38:FF39))-FF55</f>
        <v>0</v>
      </c>
      <c r="FG52" s="23">
        <f t="shared" si="516"/>
        <v>14579</v>
      </c>
      <c r="FH52" s="23">
        <f t="shared" si="516"/>
        <v>12344</v>
      </c>
      <c r="FI52" s="23">
        <f t="shared" si="516"/>
        <v>38589</v>
      </c>
      <c r="FJ52" s="23">
        <f t="shared" si="516"/>
        <v>17399</v>
      </c>
      <c r="FK52" s="23">
        <f t="shared" si="516"/>
        <v>22006</v>
      </c>
      <c r="FL52" s="23">
        <f t="shared" si="516"/>
        <v>0</v>
      </c>
      <c r="FM52" s="23">
        <f t="shared" si="516"/>
        <v>0</v>
      </c>
      <c r="FN52" s="23">
        <f t="shared" si="516"/>
        <v>4149</v>
      </c>
      <c r="FO52" s="23">
        <f t="shared" si="516"/>
        <v>20545</v>
      </c>
      <c r="FP52" s="23">
        <f t="shared" si="516"/>
        <v>19806</v>
      </c>
      <c r="FQ52" s="23">
        <f t="shared" si="516"/>
        <v>12458</v>
      </c>
      <c r="FR52" s="23">
        <f t="shared" si="516"/>
        <v>4695</v>
      </c>
      <c r="FS52" s="23">
        <f t="shared" ref="FS52:FZ52" si="517">(SUM(FS9:FS10)+SUM(FS17:FS18)+SUM(FS35:FS36)+SUM(FS38:FS39))-FS55</f>
        <v>0</v>
      </c>
      <c r="FT52" s="23">
        <f t="shared" si="517"/>
        <v>0</v>
      </c>
      <c r="FU52" s="23">
        <f t="shared" si="517"/>
        <v>0</v>
      </c>
      <c r="FV52" s="23">
        <f t="shared" si="517"/>
        <v>0</v>
      </c>
      <c r="FW52" s="23">
        <f t="shared" si="517"/>
        <v>37815</v>
      </c>
      <c r="FX52" s="23">
        <f t="shared" si="517"/>
        <v>3555</v>
      </c>
      <c r="FY52" s="23">
        <f t="shared" si="517"/>
        <v>24735</v>
      </c>
      <c r="FZ52" s="23">
        <f t="shared" si="517"/>
        <v>6855</v>
      </c>
      <c r="GA52" s="23">
        <f t="shared" ref="GA52:GH52" si="518">(SUM(GA9:GA10)+SUM(GA17:GA18)+SUM(GA35:GA36)+SUM(GA38:GA39))-GA55</f>
        <v>0</v>
      </c>
      <c r="GB52" s="23">
        <f t="shared" si="518"/>
        <v>31154</v>
      </c>
      <c r="GC52" s="23">
        <f t="shared" si="518"/>
        <v>15139</v>
      </c>
      <c r="GD52" s="23">
        <f t="shared" si="518"/>
        <v>16505</v>
      </c>
      <c r="GE52" s="23">
        <f t="shared" si="518"/>
        <v>16487</v>
      </c>
      <c r="GF52" s="23">
        <f t="shared" si="518"/>
        <v>25635</v>
      </c>
      <c r="GG52" s="23">
        <f t="shared" si="518"/>
        <v>7046</v>
      </c>
      <c r="GH52" s="23">
        <f t="shared" si="518"/>
        <v>0</v>
      </c>
      <c r="GI52" s="23">
        <f>(SUM(GI9:GI10)+SUM(GI17:GI18)+SUM(GI35:GI36)+SUM(GI38:GI39))-GI55</f>
        <v>65606</v>
      </c>
      <c r="GJ52" s="23">
        <f>(SUM(GJ9:GJ10)+SUM(GJ17:GJ18)+SUM(GJ35:GJ36)+SUM(GJ38:GJ39))-GJ55</f>
        <v>43943</v>
      </c>
      <c r="GK52" s="23">
        <f t="shared" ref="GK52:GV52" si="519">(SUM(GK9:GK10)+SUM(GK17:GK18)+SUM(GK35:GK36)+SUM(GK38:GK39))-GK55</f>
        <v>0</v>
      </c>
      <c r="GL52" s="23">
        <f t="shared" si="519"/>
        <v>19383</v>
      </c>
      <c r="GM52" s="23">
        <f t="shared" si="519"/>
        <v>36436</v>
      </c>
      <c r="GN52" s="23">
        <f t="shared" si="519"/>
        <v>0</v>
      </c>
      <c r="GO52" s="23">
        <f t="shared" si="519"/>
        <v>0</v>
      </c>
      <c r="GP52" s="23">
        <f t="shared" si="519"/>
        <v>22034</v>
      </c>
      <c r="GQ52" s="23">
        <f t="shared" si="519"/>
        <v>22469</v>
      </c>
      <c r="GR52" s="23">
        <f t="shared" si="519"/>
        <v>81534</v>
      </c>
      <c r="GS52" s="23">
        <f t="shared" si="519"/>
        <v>36145</v>
      </c>
      <c r="GT52" s="23">
        <f t="shared" si="519"/>
        <v>48881</v>
      </c>
      <c r="GU52" s="23">
        <f t="shared" si="519"/>
        <v>27069</v>
      </c>
      <c r="GV52" s="23">
        <f t="shared" si="519"/>
        <v>0</v>
      </c>
      <c r="GW52" s="23">
        <f t="shared" ref="GW52:HD52" si="520">(SUM(GW9:GW10)+SUM(GW17:GW18)+SUM(GW35:GW36)+SUM(GW38:GW39))-GW55</f>
        <v>72756</v>
      </c>
      <c r="GX52" s="23">
        <f t="shared" si="520"/>
        <v>55007</v>
      </c>
      <c r="GY52" s="23">
        <f t="shared" si="520"/>
        <v>24250</v>
      </c>
      <c r="GZ52" s="23">
        <f t="shared" si="520"/>
        <v>18202</v>
      </c>
      <c r="HA52" s="23">
        <f t="shared" si="520"/>
        <v>28407</v>
      </c>
      <c r="HB52" s="23">
        <f t="shared" si="520"/>
        <v>68077</v>
      </c>
      <c r="HC52" s="23">
        <f t="shared" si="520"/>
        <v>0</v>
      </c>
      <c r="HD52" s="23">
        <f t="shared" si="520"/>
        <v>33026</v>
      </c>
      <c r="HE52" s="23">
        <f t="shared" ref="HE52:HP52" si="521">(SUM(HE9:HE10)+SUM(HE17:HE18)+SUM(HE35:HE36)+SUM(HE38:HE39))-HE55</f>
        <v>66960</v>
      </c>
      <c r="HF52" s="23">
        <f t="shared" si="521"/>
        <v>0</v>
      </c>
      <c r="HG52" s="23">
        <f t="shared" si="521"/>
        <v>20210</v>
      </c>
      <c r="HH52" s="23">
        <f t="shared" si="521"/>
        <v>19690</v>
      </c>
      <c r="HI52" s="23">
        <f t="shared" si="521"/>
        <v>10501</v>
      </c>
      <c r="HJ52" s="23">
        <f t="shared" si="521"/>
        <v>0</v>
      </c>
      <c r="HK52" s="23">
        <f t="shared" si="521"/>
        <v>57242</v>
      </c>
      <c r="HL52" s="23">
        <f t="shared" si="521"/>
        <v>44613</v>
      </c>
      <c r="HM52" s="23">
        <f t="shared" si="521"/>
        <v>19171</v>
      </c>
      <c r="HN52" s="23">
        <f t="shared" si="521"/>
        <v>13095</v>
      </c>
      <c r="HO52" s="23">
        <f t="shared" si="521"/>
        <v>9735</v>
      </c>
      <c r="HP52" s="23">
        <f t="shared" si="521"/>
        <v>23099</v>
      </c>
      <c r="HQ52" s="23">
        <f t="shared" ref="HQ52:HW52" si="522">(SUM(HQ9:HQ10)+SUM(HQ17:HQ18)+SUM(HQ35:HQ36)+SUM(HQ38:HQ39))-HQ55</f>
        <v>0</v>
      </c>
      <c r="HR52" s="23">
        <f t="shared" si="522"/>
        <v>0</v>
      </c>
      <c r="HS52" s="23">
        <f t="shared" si="522"/>
        <v>34589</v>
      </c>
      <c r="HT52" s="23">
        <f t="shared" si="522"/>
        <v>13601</v>
      </c>
      <c r="HU52" s="23">
        <f t="shared" si="522"/>
        <v>10209</v>
      </c>
      <c r="HV52" s="23">
        <f t="shared" si="522"/>
        <v>14347</v>
      </c>
      <c r="HW52" s="23">
        <f t="shared" si="522"/>
        <v>2436</v>
      </c>
      <c r="HX52" s="23">
        <f t="shared" ref="HX52:ID52" si="523">(SUM(HX9:HX10)+SUM(HX17:HX18)+SUM(HX35:HX36)+SUM(HX38:HX39))-HX55</f>
        <v>0</v>
      </c>
      <c r="HY52" s="23">
        <f t="shared" si="523"/>
        <v>28142</v>
      </c>
      <c r="HZ52" s="23">
        <f t="shared" si="523"/>
        <v>26042</v>
      </c>
      <c r="IA52" s="23">
        <f t="shared" si="523"/>
        <v>16655</v>
      </c>
      <c r="IB52" s="23">
        <f t="shared" si="523"/>
        <v>27530</v>
      </c>
      <c r="IC52" s="23">
        <f t="shared" si="523"/>
        <v>7477</v>
      </c>
      <c r="ID52" s="23">
        <f t="shared" si="523"/>
        <v>9028</v>
      </c>
      <c r="IE52" s="23">
        <f t="shared" ref="IE52:IM52" si="524">(SUM(IE9:IE10)+SUM(IE17:IE18)+SUM(IE35:IE36)+SUM(IE38:IE39))-IE55</f>
        <v>0</v>
      </c>
      <c r="IF52" s="23">
        <f t="shared" si="524"/>
        <v>20721</v>
      </c>
      <c r="IG52" s="23">
        <f t="shared" si="524"/>
        <v>19475</v>
      </c>
      <c r="IH52" s="23">
        <f t="shared" si="524"/>
        <v>10032</v>
      </c>
      <c r="II52" s="23">
        <f t="shared" si="524"/>
        <v>8689</v>
      </c>
      <c r="IJ52" s="23">
        <f t="shared" si="524"/>
        <v>22265</v>
      </c>
      <c r="IK52" s="23">
        <f t="shared" si="524"/>
        <v>0</v>
      </c>
      <c r="IL52" s="23">
        <f t="shared" si="524"/>
        <v>0</v>
      </c>
      <c r="IM52" s="23">
        <f t="shared" si="524"/>
        <v>5490</v>
      </c>
      <c r="IN52" s="23">
        <f t="shared" ref="IN52:KY52" si="525">(SUM(IN9:IN10)+SUM(IN17:IN18)+SUM(IN35:IN36)+SUM(IN38:IN39))-IN55</f>
        <v>18857</v>
      </c>
      <c r="IO52" s="23">
        <f t="shared" si="525"/>
        <v>7596</v>
      </c>
      <c r="IP52" s="23">
        <f t="shared" si="525"/>
        <v>27297</v>
      </c>
      <c r="IQ52" s="23">
        <f t="shared" si="525"/>
        <v>24562</v>
      </c>
      <c r="IR52" s="23">
        <f t="shared" si="525"/>
        <v>10903</v>
      </c>
      <c r="IS52" s="23">
        <f t="shared" si="525"/>
        <v>0</v>
      </c>
      <c r="IT52" s="23">
        <f t="shared" si="525"/>
        <v>27309</v>
      </c>
      <c r="IU52" s="23">
        <f t="shared" si="525"/>
        <v>20597</v>
      </c>
      <c r="IV52" s="23">
        <f t="shared" si="525"/>
        <v>11933</v>
      </c>
      <c r="IW52" s="23">
        <f t="shared" si="525"/>
        <v>5373</v>
      </c>
      <c r="IX52" s="23">
        <f t="shared" si="525"/>
        <v>55766</v>
      </c>
      <c r="IY52" s="23">
        <f t="shared" si="525"/>
        <v>0</v>
      </c>
      <c r="IZ52" s="23">
        <f t="shared" si="525"/>
        <v>0</v>
      </c>
      <c r="JA52" s="23">
        <f t="shared" si="525"/>
        <v>3949</v>
      </c>
      <c r="JB52" s="23">
        <f t="shared" si="525"/>
        <v>12887</v>
      </c>
      <c r="JC52" s="23">
        <f t="shared" si="525"/>
        <v>51154</v>
      </c>
      <c r="JD52" s="23">
        <f t="shared" si="525"/>
        <v>17663</v>
      </c>
      <c r="JE52" s="23">
        <f t="shared" si="525"/>
        <v>10605</v>
      </c>
      <c r="JF52" s="23">
        <f t="shared" si="525"/>
        <v>0</v>
      </c>
      <c r="JG52" s="23">
        <f t="shared" si="525"/>
        <v>0</v>
      </c>
      <c r="JH52" s="23">
        <f t="shared" si="525"/>
        <v>16171</v>
      </c>
      <c r="JI52" s="23">
        <f t="shared" si="525"/>
        <v>28521</v>
      </c>
      <c r="JJ52" s="23">
        <f t="shared" si="525"/>
        <v>17578</v>
      </c>
      <c r="JK52" s="23">
        <f t="shared" si="525"/>
        <v>6219</v>
      </c>
      <c r="JL52" s="23">
        <f t="shared" si="525"/>
        <v>19112</v>
      </c>
      <c r="JM52" s="23">
        <f t="shared" si="525"/>
        <v>6120</v>
      </c>
      <c r="JN52" s="23">
        <f t="shared" si="525"/>
        <v>0</v>
      </c>
      <c r="JO52" s="23">
        <f t="shared" si="525"/>
        <v>50724</v>
      </c>
      <c r="JP52" s="23">
        <f t="shared" si="525"/>
        <v>10798</v>
      </c>
      <c r="JQ52" s="23">
        <f t="shared" si="525"/>
        <v>31145</v>
      </c>
      <c r="JR52" s="23">
        <f t="shared" si="525"/>
        <v>20986</v>
      </c>
      <c r="JS52" s="23">
        <f t="shared" si="525"/>
        <v>32339</v>
      </c>
      <c r="JT52" s="23">
        <f t="shared" si="525"/>
        <v>0</v>
      </c>
      <c r="JU52" s="23">
        <f t="shared" si="525"/>
        <v>0</v>
      </c>
      <c r="JV52" s="23">
        <f t="shared" si="525"/>
        <v>52385</v>
      </c>
      <c r="JW52" s="23">
        <f t="shared" si="525"/>
        <v>42536</v>
      </c>
      <c r="JX52" s="23">
        <f t="shared" si="525"/>
        <v>0</v>
      </c>
      <c r="JY52" s="23">
        <f t="shared" si="525"/>
        <v>10728</v>
      </c>
      <c r="JZ52" s="23">
        <f t="shared" si="525"/>
        <v>15322</v>
      </c>
      <c r="KA52" s="23">
        <f t="shared" si="525"/>
        <v>9626</v>
      </c>
      <c r="KB52" s="23">
        <f t="shared" si="525"/>
        <v>0</v>
      </c>
      <c r="KC52" s="23">
        <f t="shared" si="525"/>
        <v>11074</v>
      </c>
      <c r="KD52" s="23">
        <f t="shared" si="525"/>
        <v>17303</v>
      </c>
      <c r="KE52" s="23">
        <f t="shared" si="525"/>
        <v>10226</v>
      </c>
      <c r="KF52" s="23">
        <f t="shared" si="525"/>
        <v>9931</v>
      </c>
      <c r="KG52" s="23">
        <f t="shared" si="525"/>
        <v>17335</v>
      </c>
      <c r="KH52" s="23">
        <f t="shared" si="525"/>
        <v>433</v>
      </c>
      <c r="KI52" s="23">
        <f t="shared" si="525"/>
        <v>0</v>
      </c>
      <c r="KJ52" s="23">
        <f t="shared" si="525"/>
        <v>0</v>
      </c>
      <c r="KK52" s="23">
        <f t="shared" si="525"/>
        <v>11683</v>
      </c>
      <c r="KL52" s="23">
        <f t="shared" si="525"/>
        <v>9310</v>
      </c>
      <c r="KM52" s="23">
        <f t="shared" si="525"/>
        <v>3400</v>
      </c>
      <c r="KN52" s="23">
        <f t="shared" si="525"/>
        <v>102335</v>
      </c>
      <c r="KO52" s="23">
        <f t="shared" si="525"/>
        <v>0</v>
      </c>
      <c r="KP52" s="23">
        <f t="shared" si="525"/>
        <v>0</v>
      </c>
      <c r="KQ52" s="23">
        <f t="shared" si="525"/>
        <v>2240</v>
      </c>
      <c r="KR52" s="23">
        <f t="shared" si="525"/>
        <v>8538</v>
      </c>
      <c r="KS52" s="23">
        <f t="shared" si="525"/>
        <v>7033</v>
      </c>
      <c r="KT52" s="23">
        <f t="shared" si="525"/>
        <v>15584</v>
      </c>
      <c r="KU52" s="23">
        <f t="shared" si="525"/>
        <v>42090</v>
      </c>
      <c r="KV52" s="23">
        <f t="shared" si="525"/>
        <v>0</v>
      </c>
      <c r="KW52" s="23">
        <f t="shared" si="525"/>
        <v>0</v>
      </c>
      <c r="KX52" s="23">
        <f t="shared" si="525"/>
        <v>15469</v>
      </c>
      <c r="KY52" s="23">
        <f t="shared" si="525"/>
        <v>14829</v>
      </c>
      <c r="KZ52" s="23">
        <f t="shared" ref="KZ52:MH52" si="526">(SUM(KZ9:KZ10)+SUM(KZ17:KZ18)+SUM(KZ35:KZ36)+SUM(KZ38:KZ39))-KZ55</f>
        <v>11428</v>
      </c>
      <c r="LA52" s="23">
        <f t="shared" si="526"/>
        <v>15211</v>
      </c>
      <c r="LB52" s="23">
        <f t="shared" si="526"/>
        <v>15616</v>
      </c>
      <c r="LC52" s="23">
        <f t="shared" si="526"/>
        <v>6864</v>
      </c>
      <c r="LD52" s="23">
        <f t="shared" si="526"/>
        <v>0</v>
      </c>
      <c r="LE52" s="23">
        <f t="shared" si="526"/>
        <v>3882</v>
      </c>
      <c r="LF52" s="23">
        <f t="shared" si="526"/>
        <v>56324</v>
      </c>
      <c r="LG52" s="23">
        <f t="shared" si="526"/>
        <v>18483</v>
      </c>
      <c r="LH52" s="23">
        <f t="shared" si="526"/>
        <v>6469</v>
      </c>
      <c r="LI52" s="23">
        <f t="shared" si="526"/>
        <v>21897</v>
      </c>
      <c r="LJ52" s="23">
        <f t="shared" si="526"/>
        <v>10837</v>
      </c>
      <c r="LK52" s="23">
        <f t="shared" si="526"/>
        <v>0</v>
      </c>
      <c r="LL52" s="23">
        <f t="shared" si="526"/>
        <v>23127</v>
      </c>
      <c r="LM52" s="23">
        <f t="shared" si="526"/>
        <v>15608</v>
      </c>
      <c r="LN52" s="23">
        <f t="shared" si="526"/>
        <v>12135</v>
      </c>
      <c r="LO52" s="23">
        <f t="shared" si="526"/>
        <v>33777</v>
      </c>
      <c r="LP52" s="23">
        <f t="shared" si="526"/>
        <v>25608</v>
      </c>
      <c r="LQ52" s="23">
        <f t="shared" si="526"/>
        <v>0</v>
      </c>
      <c r="LR52" s="23">
        <f t="shared" si="526"/>
        <v>0</v>
      </c>
      <c r="LS52" s="23">
        <f t="shared" si="526"/>
        <v>13613</v>
      </c>
      <c r="LT52" s="23">
        <f t="shared" si="526"/>
        <v>17505</v>
      </c>
      <c r="LU52" s="23">
        <f t="shared" si="526"/>
        <v>31508</v>
      </c>
      <c r="LV52" s="23">
        <f t="shared" si="526"/>
        <v>35592</v>
      </c>
      <c r="LW52" s="23">
        <f t="shared" si="526"/>
        <v>31613</v>
      </c>
      <c r="LX52" s="23">
        <f t="shared" si="526"/>
        <v>11704</v>
      </c>
      <c r="LY52" s="23">
        <f t="shared" si="526"/>
        <v>0</v>
      </c>
      <c r="LZ52" s="23">
        <f t="shared" si="526"/>
        <v>32264</v>
      </c>
      <c r="MA52" s="23">
        <f t="shared" si="526"/>
        <v>25199</v>
      </c>
      <c r="MB52" s="23">
        <f t="shared" si="526"/>
        <v>18573</v>
      </c>
      <c r="MC52" s="23">
        <f t="shared" si="526"/>
        <v>24525</v>
      </c>
      <c r="MD52" s="23">
        <f t="shared" si="526"/>
        <v>17892</v>
      </c>
      <c r="ME52" s="23">
        <f t="shared" si="526"/>
        <v>501</v>
      </c>
      <c r="MF52" s="23">
        <f t="shared" si="526"/>
        <v>0</v>
      </c>
      <c r="MG52" s="23">
        <f t="shared" si="526"/>
        <v>16865</v>
      </c>
      <c r="MH52" s="23">
        <f t="shared" si="526"/>
        <v>7745</v>
      </c>
      <c r="MI52" s="23">
        <f t="shared" ref="MI52:MZ52" si="527">(SUM(MI9:MI10)+SUM(MI17:MI18)+SUM(MI35:MI36)+SUM(MI38:MI39))-MI55</f>
        <v>4516</v>
      </c>
      <c r="MJ52" s="23">
        <f t="shared" si="527"/>
        <v>8638</v>
      </c>
      <c r="MK52" s="23">
        <f t="shared" si="527"/>
        <v>15914</v>
      </c>
      <c r="ML52" s="23">
        <f t="shared" si="527"/>
        <v>0</v>
      </c>
      <c r="MM52" s="23">
        <f t="shared" si="527"/>
        <v>0</v>
      </c>
      <c r="MN52" s="23">
        <f t="shared" si="527"/>
        <v>12235</v>
      </c>
      <c r="MO52" s="23">
        <f t="shared" si="527"/>
        <v>50529</v>
      </c>
      <c r="MP52" s="23">
        <f t="shared" si="527"/>
        <v>23368</v>
      </c>
      <c r="MQ52" s="23">
        <f t="shared" si="527"/>
        <v>9483</v>
      </c>
      <c r="MR52" s="23">
        <f t="shared" si="527"/>
        <v>10271</v>
      </c>
      <c r="MS52" s="23">
        <f t="shared" si="527"/>
        <v>10312</v>
      </c>
      <c r="MT52" s="23">
        <f t="shared" si="527"/>
        <v>0</v>
      </c>
      <c r="MU52" s="23">
        <f t="shared" si="527"/>
        <v>0</v>
      </c>
      <c r="MV52" s="23">
        <f t="shared" si="527"/>
        <v>34342</v>
      </c>
      <c r="MW52" s="23">
        <f t="shared" si="527"/>
        <v>10652</v>
      </c>
      <c r="MX52" s="23">
        <f t="shared" si="527"/>
        <v>0</v>
      </c>
      <c r="MY52" s="23">
        <f t="shared" si="527"/>
        <v>2051</v>
      </c>
      <c r="MZ52" s="23">
        <f t="shared" si="527"/>
        <v>0</v>
      </c>
      <c r="NA52" s="23">
        <f t="shared" ref="NA52:NK52" si="528">(SUM(NA9:NA10)+SUM(NA17:NA18)+SUM(NA35:NA36)+SUM(NA38:NA39))-NA55</f>
        <v>0</v>
      </c>
      <c r="NB52" s="23">
        <f t="shared" si="528"/>
        <v>9638</v>
      </c>
      <c r="NC52" s="23">
        <f t="shared" si="528"/>
        <v>11807</v>
      </c>
      <c r="ND52" s="23">
        <f t="shared" si="528"/>
        <v>0</v>
      </c>
      <c r="NE52" s="23">
        <f t="shared" si="528"/>
        <v>7723</v>
      </c>
      <c r="NF52" s="23">
        <f t="shared" si="528"/>
        <v>18885</v>
      </c>
      <c r="NG52" s="23">
        <f t="shared" si="528"/>
        <v>0</v>
      </c>
      <c r="NH52" s="23">
        <f t="shared" si="528"/>
        <v>0</v>
      </c>
      <c r="NI52" s="23">
        <f t="shared" si="528"/>
        <v>14225</v>
      </c>
      <c r="NJ52" s="23">
        <f t="shared" si="528"/>
        <v>13415</v>
      </c>
      <c r="NK52" s="23">
        <f t="shared" si="528"/>
        <v>99821</v>
      </c>
      <c r="NL52" s="23">
        <f t="shared" ref="NL52:NX52" si="529">(SUM(NL9:NL10)+SUM(NL17:NL18)+SUM(NL35:NL36)+SUM(NL38:NL39))-NL55</f>
        <v>6545</v>
      </c>
      <c r="NM52" s="23">
        <f t="shared" si="529"/>
        <v>12265</v>
      </c>
      <c r="NN52" s="23">
        <f t="shared" si="529"/>
        <v>0</v>
      </c>
      <c r="NO52" s="23">
        <f t="shared" si="529"/>
        <v>0</v>
      </c>
      <c r="NP52" s="23">
        <f t="shared" si="529"/>
        <v>3857</v>
      </c>
      <c r="NQ52" s="23">
        <f t="shared" si="529"/>
        <v>10297</v>
      </c>
      <c r="NR52" s="23">
        <f t="shared" si="529"/>
        <v>15209</v>
      </c>
      <c r="NS52" s="23">
        <f t="shared" si="529"/>
        <v>15599</v>
      </c>
      <c r="NT52" s="23">
        <f t="shared" si="529"/>
        <v>32895</v>
      </c>
      <c r="NU52" s="23">
        <f t="shared" si="529"/>
        <v>17688</v>
      </c>
      <c r="NV52" s="23">
        <f t="shared" si="529"/>
        <v>0</v>
      </c>
      <c r="NW52" s="23">
        <f t="shared" si="529"/>
        <v>14090</v>
      </c>
      <c r="NX52" s="23">
        <f t="shared" si="529"/>
        <v>20576</v>
      </c>
      <c r="NY52" s="23">
        <f t="shared" ref="NY52:OD52" si="530">(SUM(NY9:NY10)+SUM(NY17:NY18)+SUM(NY35:NY36)+SUM(NY38:NY39))-NY55</f>
        <v>3502</v>
      </c>
      <c r="NZ52" s="23">
        <f t="shared" si="530"/>
        <v>11995</v>
      </c>
      <c r="OA52" s="23">
        <f t="shared" si="530"/>
        <v>3719</v>
      </c>
      <c r="OB52" s="23">
        <f t="shared" si="530"/>
        <v>0</v>
      </c>
      <c r="OC52" s="23">
        <f t="shared" si="530"/>
        <v>0</v>
      </c>
      <c r="OD52" s="23">
        <f t="shared" si="530"/>
        <v>23477</v>
      </c>
      <c r="OE52" s="23">
        <f t="shared" ref="OE52:OQ52" si="531">(SUM(OE9:OE10)+SUM(OE17:OE18)+SUM(OE35:OE36)+SUM(OE38:OE39))-OE55</f>
        <v>40147</v>
      </c>
      <c r="OF52" s="23">
        <f t="shared" si="531"/>
        <v>45389</v>
      </c>
      <c r="OG52" s="23">
        <f t="shared" si="531"/>
        <v>33026</v>
      </c>
      <c r="OH52" s="23">
        <f t="shared" si="531"/>
        <v>5195</v>
      </c>
      <c r="OI52" s="23">
        <f t="shared" si="531"/>
        <v>0</v>
      </c>
      <c r="OJ52" s="23">
        <f t="shared" si="531"/>
        <v>0</v>
      </c>
      <c r="OK52" s="23">
        <f t="shared" si="531"/>
        <v>15813</v>
      </c>
      <c r="OL52" s="23">
        <f t="shared" si="531"/>
        <v>22218</v>
      </c>
      <c r="OM52" s="23">
        <f t="shared" si="531"/>
        <v>96442</v>
      </c>
      <c r="ON52" s="23">
        <f t="shared" si="531"/>
        <v>41565</v>
      </c>
      <c r="OO52" s="23">
        <f t="shared" si="531"/>
        <v>14161</v>
      </c>
      <c r="OP52" s="23">
        <f t="shared" si="531"/>
        <v>0</v>
      </c>
      <c r="OQ52" s="23">
        <f t="shared" si="531"/>
        <v>0</v>
      </c>
      <c r="OR52" s="23">
        <f t="shared" ref="OR52:OY52" si="532">(SUM(OR9:OR10)+SUM(OR17:OR18)+SUM(OR35:OR36)+SUM(OR38:OR39))-OR55</f>
        <v>14080</v>
      </c>
      <c r="OS52" s="23">
        <f t="shared" si="532"/>
        <v>22118</v>
      </c>
      <c r="OT52" s="23">
        <f t="shared" si="532"/>
        <v>3263</v>
      </c>
      <c r="OU52" s="23">
        <f t="shared" si="532"/>
        <v>0</v>
      </c>
      <c r="OV52" s="23">
        <f t="shared" si="532"/>
        <v>37204</v>
      </c>
      <c r="OW52" s="23">
        <f t="shared" si="532"/>
        <v>0</v>
      </c>
      <c r="OX52" s="23">
        <f t="shared" si="532"/>
        <v>0</v>
      </c>
      <c r="OY52" s="23">
        <f t="shared" si="532"/>
        <v>61760</v>
      </c>
      <c r="OZ52" s="23">
        <f t="shared" ref="OZ52:PF52" si="533">(SUM(OZ9:OZ10)+SUM(OZ17:OZ18)+SUM(OZ35:OZ36)+SUM(OZ38:OZ39))-OZ55</f>
        <v>14567</v>
      </c>
      <c r="PA52" s="23">
        <f t="shared" si="533"/>
        <v>88100</v>
      </c>
      <c r="PB52" s="23">
        <f t="shared" si="533"/>
        <v>6205</v>
      </c>
      <c r="PC52" s="23">
        <f t="shared" si="533"/>
        <v>7916</v>
      </c>
      <c r="PD52" s="23">
        <f t="shared" si="533"/>
        <v>0</v>
      </c>
      <c r="PE52" s="23">
        <f t="shared" si="533"/>
        <v>0</v>
      </c>
      <c r="PF52" s="23">
        <f t="shared" si="533"/>
        <v>9535</v>
      </c>
      <c r="PG52" s="23">
        <f t="shared" ref="PG52:PN52" si="534">(SUM(PG9:PG10)+SUM(PG17:PG18)+SUM(PG35:PG36)+SUM(PG38:PG39))-PG55</f>
        <v>13892</v>
      </c>
      <c r="PH52" s="23">
        <f t="shared" si="534"/>
        <v>448</v>
      </c>
      <c r="PI52" s="23">
        <f t="shared" si="534"/>
        <v>3661</v>
      </c>
      <c r="PJ52" s="23">
        <f t="shared" si="534"/>
        <v>13506</v>
      </c>
      <c r="PK52" s="23">
        <f t="shared" si="534"/>
        <v>0</v>
      </c>
      <c r="PL52" s="23">
        <f t="shared" si="534"/>
        <v>0</v>
      </c>
      <c r="PM52" s="23">
        <f t="shared" si="534"/>
        <v>23666</v>
      </c>
      <c r="PN52" s="23">
        <f t="shared" si="534"/>
        <v>5748</v>
      </c>
      <c r="PO52" s="23">
        <f t="shared" ref="PO52:PR52" si="535">(SUM(PO9:PO10)+SUM(PO17:PO18)+SUM(PO35:PO36)+SUM(PO38:PO39))-PO55</f>
        <v>7364</v>
      </c>
      <c r="PP52" s="23">
        <f t="shared" si="535"/>
        <v>8451</v>
      </c>
      <c r="PQ52" s="23">
        <f t="shared" si="535"/>
        <v>4349</v>
      </c>
      <c r="PR52" s="23">
        <f t="shared" si="535"/>
        <v>0</v>
      </c>
      <c r="PS52" s="23">
        <f t="shared" ref="PS52:PU52" si="536">(SUM(PS9:PS10)+SUM(PS17:PS18)+SUM(PS35:PS36)+SUM(PS38:PS39))-PS55</f>
        <v>0</v>
      </c>
      <c r="PT52" s="23">
        <f t="shared" si="536"/>
        <v>0</v>
      </c>
      <c r="PU52" s="23">
        <f t="shared" si="536"/>
        <v>0</v>
      </c>
      <c r="PV52" s="23">
        <f t="shared" ref="PV52:QH52" si="537">(SUM(PV9:PV10)+SUM(PV17:PV18)+SUM(PV35:PV36)+SUM(PV38:PV39))-PV55</f>
        <v>0</v>
      </c>
      <c r="PW52" s="23">
        <f t="shared" si="537"/>
        <v>0</v>
      </c>
      <c r="PX52" s="23">
        <f t="shared" si="537"/>
        <v>0</v>
      </c>
      <c r="PY52" s="23">
        <f t="shared" si="537"/>
        <v>0</v>
      </c>
      <c r="PZ52" s="23">
        <f t="shared" si="537"/>
        <v>0</v>
      </c>
      <c r="QA52" s="23">
        <f t="shared" si="537"/>
        <v>320</v>
      </c>
      <c r="QB52" s="23">
        <f t="shared" si="537"/>
        <v>13269</v>
      </c>
      <c r="QC52" s="23">
        <f t="shared" si="537"/>
        <v>5002</v>
      </c>
      <c r="QD52" s="23">
        <f t="shared" si="537"/>
        <v>2635</v>
      </c>
      <c r="QE52" s="23">
        <f t="shared" si="537"/>
        <v>4112</v>
      </c>
      <c r="QF52" s="23">
        <f t="shared" si="537"/>
        <v>0</v>
      </c>
      <c r="QG52" s="23">
        <f t="shared" si="537"/>
        <v>0</v>
      </c>
      <c r="QH52" s="23">
        <f t="shared" si="537"/>
        <v>8346</v>
      </c>
      <c r="QI52" s="23">
        <f t="shared" ref="QI52:QS52" si="538">(SUM(QI9:QI10)+SUM(QI17:QI18)+SUM(QI35:QI36)+SUM(QI38:QI39))-QI55</f>
        <v>12160</v>
      </c>
      <c r="QJ52" s="23">
        <f t="shared" si="538"/>
        <v>6699</v>
      </c>
      <c r="QK52" s="23">
        <f t="shared" si="538"/>
        <v>2708</v>
      </c>
      <c r="QL52" s="23">
        <f t="shared" si="538"/>
        <v>1580</v>
      </c>
      <c r="QM52" s="23">
        <f t="shared" si="538"/>
        <v>0</v>
      </c>
      <c r="QN52" s="23">
        <f t="shared" si="538"/>
        <v>0</v>
      </c>
      <c r="QO52" s="23">
        <f t="shared" si="538"/>
        <v>30</v>
      </c>
      <c r="QP52" s="23">
        <f t="shared" si="538"/>
        <v>13574</v>
      </c>
      <c r="QQ52" s="23">
        <f t="shared" si="538"/>
        <v>2739</v>
      </c>
      <c r="QR52" s="23">
        <f t="shared" si="538"/>
        <v>0</v>
      </c>
      <c r="QS52" s="23">
        <f t="shared" si="538"/>
        <v>2376</v>
      </c>
      <c r="QT52" s="23">
        <f t="shared" ref="QT52:RA52" si="539">(SUM(QT9:QT10)+SUM(QT17:QT18)+SUM(QT35:QT36)+SUM(QT38:QT39))-QT55</f>
        <v>0</v>
      </c>
      <c r="QU52" s="23">
        <f t="shared" si="539"/>
        <v>0</v>
      </c>
      <c r="QV52" s="23">
        <f t="shared" si="539"/>
        <v>3223</v>
      </c>
      <c r="QW52" s="23">
        <f t="shared" si="539"/>
        <v>6428</v>
      </c>
      <c r="QX52" s="23">
        <f t="shared" si="539"/>
        <v>3294</v>
      </c>
      <c r="QY52" s="23">
        <f t="shared" si="539"/>
        <v>5996</v>
      </c>
      <c r="QZ52" s="23">
        <f t="shared" si="539"/>
        <v>3975</v>
      </c>
      <c r="RA52" s="23">
        <f t="shared" si="539"/>
        <v>0</v>
      </c>
      <c r="RB52" s="23">
        <f t="shared" ref="RB52:SK52" si="540">(SUM(RB9:RB10)+SUM(RB17:RB18)+SUM(RB35:RB36)+SUM(RB38:RB39))-RB55</f>
        <v>0</v>
      </c>
      <c r="RC52" s="23">
        <f t="shared" si="540"/>
        <v>2136</v>
      </c>
      <c r="RD52" s="23">
        <f t="shared" si="540"/>
        <v>2885</v>
      </c>
      <c r="RE52" s="23">
        <f t="shared" si="540"/>
        <v>2100</v>
      </c>
      <c r="RF52" s="23">
        <f t="shared" si="540"/>
        <v>1400</v>
      </c>
      <c r="RG52" s="23">
        <f t="shared" si="540"/>
        <v>1457</v>
      </c>
      <c r="RH52" s="23">
        <f t="shared" si="540"/>
        <v>0</v>
      </c>
      <c r="RI52" s="23">
        <f t="shared" si="540"/>
        <v>0</v>
      </c>
      <c r="RJ52" s="23">
        <f t="shared" si="540"/>
        <v>792</v>
      </c>
      <c r="RK52" s="23">
        <f t="shared" si="540"/>
        <v>12222</v>
      </c>
      <c r="RL52" s="23">
        <f t="shared" si="540"/>
        <v>3984</v>
      </c>
      <c r="RM52" s="23">
        <f t="shared" si="540"/>
        <v>2678</v>
      </c>
      <c r="RN52" s="23">
        <f t="shared" si="540"/>
        <v>852</v>
      </c>
      <c r="RO52" s="23">
        <f t="shared" si="540"/>
        <v>0</v>
      </c>
      <c r="RP52" s="23">
        <f t="shared" si="540"/>
        <v>0</v>
      </c>
      <c r="RQ52" s="23">
        <f t="shared" si="540"/>
        <v>6503</v>
      </c>
      <c r="RR52" s="23">
        <f t="shared" si="540"/>
        <v>0</v>
      </c>
      <c r="RS52" s="23">
        <f t="shared" si="540"/>
        <v>2074</v>
      </c>
      <c r="RT52" s="23">
        <f t="shared" si="540"/>
        <v>7093</v>
      </c>
      <c r="RU52" s="23">
        <f t="shared" si="540"/>
        <v>0</v>
      </c>
      <c r="RV52" s="23">
        <f t="shared" si="540"/>
        <v>0</v>
      </c>
      <c r="RW52" s="23">
        <f t="shared" si="540"/>
        <v>0</v>
      </c>
      <c r="RX52" s="23">
        <f t="shared" si="540"/>
        <v>0</v>
      </c>
      <c r="RY52" s="23">
        <f t="shared" si="540"/>
        <v>0</v>
      </c>
      <c r="RZ52" s="23">
        <f t="shared" si="540"/>
        <v>540</v>
      </c>
      <c r="SA52" s="23">
        <f t="shared" si="540"/>
        <v>2784</v>
      </c>
      <c r="SB52" s="23">
        <f t="shared" si="540"/>
        <v>0</v>
      </c>
      <c r="SC52" s="23">
        <f t="shared" si="540"/>
        <v>27952</v>
      </c>
      <c r="SD52" s="23">
        <f t="shared" si="540"/>
        <v>0</v>
      </c>
      <c r="SE52" s="23">
        <f t="shared" si="540"/>
        <v>26870</v>
      </c>
      <c r="SF52" s="23">
        <f t="shared" si="540"/>
        <v>13426</v>
      </c>
      <c r="SG52" s="23">
        <f t="shared" si="540"/>
        <v>22728</v>
      </c>
      <c r="SH52" s="23">
        <f t="shared" si="540"/>
        <v>9941</v>
      </c>
      <c r="SI52" s="23">
        <f t="shared" si="540"/>
        <v>0</v>
      </c>
      <c r="SJ52" s="23">
        <f t="shared" si="540"/>
        <v>0</v>
      </c>
      <c r="SK52" s="23">
        <f t="shared" si="540"/>
        <v>0</v>
      </c>
      <c r="SL52" s="23">
        <f t="shared" ref="SL52:SQ52" si="541">(SUM(SL9:SL10)+SUM(SL17:SL18)+SUM(SL35:SL36)+SUM(SL38:SL39))-SL55</f>
        <v>0</v>
      </c>
      <c r="SM52" s="23">
        <f t="shared" si="541"/>
        <v>17126</v>
      </c>
      <c r="SN52" s="23">
        <f t="shared" si="541"/>
        <v>10722</v>
      </c>
      <c r="SO52" s="23">
        <f t="shared" si="541"/>
        <v>3911</v>
      </c>
      <c r="SP52" s="23">
        <f t="shared" si="541"/>
        <v>1852</v>
      </c>
      <c r="SQ52" s="23">
        <f t="shared" si="541"/>
        <v>0</v>
      </c>
      <c r="SR52" s="23">
        <f t="shared" ref="SR52:TE52" si="542">(SUM(SR9:SR10)+SUM(SR17:SR18)+SUM(SR35:SR36)+SUM(SR38:SR39))-SR55</f>
        <v>0</v>
      </c>
      <c r="SS52" s="23">
        <f t="shared" si="542"/>
        <v>0</v>
      </c>
      <c r="ST52" s="23">
        <f t="shared" si="542"/>
        <v>7130</v>
      </c>
      <c r="SU52" s="23">
        <f t="shared" si="542"/>
        <v>3925</v>
      </c>
      <c r="SV52" s="23">
        <f t="shared" si="542"/>
        <v>0</v>
      </c>
      <c r="SW52" s="23">
        <f t="shared" si="542"/>
        <v>938</v>
      </c>
      <c r="SX52" s="23">
        <f t="shared" si="542"/>
        <v>0</v>
      </c>
      <c r="SY52" s="23">
        <f t="shared" si="542"/>
        <v>0</v>
      </c>
      <c r="SZ52" s="23">
        <f t="shared" si="542"/>
        <v>39961</v>
      </c>
      <c r="TA52" s="23">
        <f t="shared" si="542"/>
        <v>21489</v>
      </c>
      <c r="TB52" s="23">
        <f t="shared" si="542"/>
        <v>19549</v>
      </c>
      <c r="TC52" s="23">
        <f t="shared" si="542"/>
        <v>28827</v>
      </c>
      <c r="TD52" s="23">
        <f t="shared" si="542"/>
        <v>15999</v>
      </c>
      <c r="TE52" s="23">
        <f t="shared" si="542"/>
        <v>11340</v>
      </c>
      <c r="TF52" s="23">
        <f t="shared" ref="TF52:TL52" si="543">(SUM(TF9:TF10)+SUM(TF17:TF18)+SUM(TF35:TF36)+SUM(TF38:TF39))-TF55</f>
        <v>0</v>
      </c>
      <c r="TG52" s="23">
        <f t="shared" si="543"/>
        <v>4560</v>
      </c>
      <c r="TH52" s="23">
        <f t="shared" si="543"/>
        <v>16904</v>
      </c>
      <c r="TI52" s="23">
        <f t="shared" si="543"/>
        <v>13586</v>
      </c>
      <c r="TJ52" s="23">
        <f t="shared" si="543"/>
        <v>0</v>
      </c>
      <c r="TK52" s="23">
        <f t="shared" si="543"/>
        <v>12216</v>
      </c>
      <c r="TL52" s="23">
        <f t="shared" si="543"/>
        <v>0</v>
      </c>
      <c r="TM52" s="23">
        <f t="shared" ref="TM52:TU52" si="544">(SUM(TM9:TM10)+SUM(TM17:TM18)+SUM(TM35:TM36)+SUM(TM38:TM39))-TM55</f>
        <v>0</v>
      </c>
      <c r="TN52" s="23">
        <f t="shared" si="544"/>
        <v>0</v>
      </c>
      <c r="TO52" s="23">
        <f t="shared" si="544"/>
        <v>15099</v>
      </c>
      <c r="TP52" s="23">
        <f t="shared" si="544"/>
        <v>9192</v>
      </c>
      <c r="TQ52" s="23">
        <f t="shared" si="544"/>
        <v>4969</v>
      </c>
      <c r="TR52" s="23">
        <f t="shared" si="544"/>
        <v>11445</v>
      </c>
      <c r="TS52" s="23">
        <f t="shared" si="544"/>
        <v>0</v>
      </c>
      <c r="TT52" s="23">
        <f t="shared" si="544"/>
        <v>0</v>
      </c>
      <c r="TU52" s="23">
        <f t="shared" si="544"/>
        <v>0</v>
      </c>
      <c r="TV52" s="23">
        <f t="shared" ref="TV52:UA52" si="545">(SUM(TV9:TV10)+SUM(TV17:TV18)+SUM(TV35:TV36)+SUM(TV38:TV39))-TV55</f>
        <v>0</v>
      </c>
      <c r="TW52" s="23">
        <f t="shared" si="545"/>
        <v>820</v>
      </c>
      <c r="TX52" s="23">
        <f t="shared" si="545"/>
        <v>0</v>
      </c>
      <c r="TY52" s="23">
        <f t="shared" si="545"/>
        <v>10569</v>
      </c>
      <c r="TZ52" s="23">
        <f t="shared" si="545"/>
        <v>0</v>
      </c>
      <c r="UA52" s="23">
        <f t="shared" si="545"/>
        <v>0</v>
      </c>
      <c r="UB52" s="23">
        <f t="shared" ref="UB52:UM52" si="546">(SUM(UB9:UB10)+SUM(UB17:UB18)+SUM(UB35:UB36)+SUM(UB38:UB39))-UB55</f>
        <v>29227</v>
      </c>
      <c r="UC52" s="23">
        <f t="shared" si="546"/>
        <v>24527</v>
      </c>
      <c r="UD52" s="23">
        <f t="shared" si="546"/>
        <v>16758</v>
      </c>
      <c r="UE52" s="23">
        <f t="shared" si="546"/>
        <v>15916</v>
      </c>
      <c r="UF52" s="23">
        <f t="shared" si="546"/>
        <v>7022</v>
      </c>
      <c r="UG52" s="23">
        <f t="shared" si="546"/>
        <v>0</v>
      </c>
      <c r="UH52" s="23">
        <f t="shared" si="546"/>
        <v>0</v>
      </c>
      <c r="UI52" s="23">
        <f t="shared" si="546"/>
        <v>0</v>
      </c>
      <c r="UJ52" s="23">
        <f t="shared" si="546"/>
        <v>8076</v>
      </c>
      <c r="UK52" s="23">
        <f t="shared" si="546"/>
        <v>3029</v>
      </c>
      <c r="UL52" s="23">
        <f t="shared" si="546"/>
        <v>0</v>
      </c>
      <c r="UM52" s="23">
        <f t="shared" si="546"/>
        <v>2208</v>
      </c>
      <c r="UN52" s="23">
        <f t="shared" ref="UN52:US52" si="547">(SUM(UN9:UN10)+SUM(UN17:UN18)+SUM(UN35:UN36)+SUM(UN38:UN39))-UN55</f>
        <v>49592</v>
      </c>
      <c r="UO52" s="23">
        <f t="shared" si="547"/>
        <v>0</v>
      </c>
      <c r="UP52" s="23">
        <f t="shared" si="547"/>
        <v>23023</v>
      </c>
      <c r="UQ52" s="23">
        <f t="shared" si="547"/>
        <v>22100</v>
      </c>
      <c r="UR52" s="23">
        <f t="shared" si="547"/>
        <v>1298</v>
      </c>
      <c r="US52" s="23">
        <f t="shared" si="547"/>
        <v>0</v>
      </c>
      <c r="UT52" s="23">
        <f t="shared" ref="UT52:UV52" si="548">(SUM(UT9:UT10)+SUM(UT17:UT18)+SUM(UT35:UT36)+SUM(UT38:UT39))-UT55</f>
        <v>0</v>
      </c>
      <c r="UU52" s="23">
        <f t="shared" si="548"/>
        <v>0</v>
      </c>
      <c r="UV52" s="23">
        <f t="shared" si="548"/>
        <v>0</v>
      </c>
      <c r="UW52" s="23">
        <f t="shared" ref="UW52:VE52" si="549">(SUM(UW9:UW10)+SUM(UW17:UW18)+SUM(UW35:UW36)+SUM(UW38:UW39))-UW55</f>
        <v>0</v>
      </c>
      <c r="UX52" s="23">
        <f t="shared" si="549"/>
        <v>5656</v>
      </c>
      <c r="UY52" s="23">
        <f t="shared" si="549"/>
        <v>0</v>
      </c>
      <c r="UZ52" s="23">
        <f t="shared" si="549"/>
        <v>7110</v>
      </c>
      <c r="VA52" s="23">
        <f t="shared" si="549"/>
        <v>24</v>
      </c>
      <c r="VB52" s="23">
        <f t="shared" si="549"/>
        <v>0</v>
      </c>
      <c r="VC52" s="23">
        <f t="shared" si="549"/>
        <v>0</v>
      </c>
      <c r="VD52" s="23">
        <f t="shared" si="549"/>
        <v>0</v>
      </c>
      <c r="VE52" s="23">
        <f t="shared" si="549"/>
        <v>6851</v>
      </c>
      <c r="VF52" s="23">
        <f>(SUM(VF9:VF10)+SUM(VF17:VF18)+SUM(VF35:VF36)+SUM(VF38:VF39))-VF55</f>
        <v>3450</v>
      </c>
      <c r="VG52" s="23">
        <f>(SUM(VG9:VG10)+SUM(VG17:VG18)+SUM(VG35:VG36)+SUM(VG38:VG39))-VG55</f>
        <v>0</v>
      </c>
      <c r="VH52" s="23">
        <f>(SUM(VH9:VH10)+SUM(VH17:VH18)+SUM(VH35:VH36)+SUM(VH38:VH39))-VH55</f>
        <v>0</v>
      </c>
      <c r="VI52" s="23">
        <f>(SUM(VI9:VI10)+SUM(VI17:VI18)+SUM(VI35:VI36)+SUM(VI38:VI39))-VI55</f>
        <v>0</v>
      </c>
      <c r="VJ52" s="23">
        <f>(SUM(VJ9:VJ10)+SUM(VJ17:VJ18)+SUM(VJ35:VJ36)+SUM(VJ38:VJ39))-VJ55</f>
        <v>0</v>
      </c>
      <c r="VK52" s="23">
        <f t="shared" ref="VK52:VW52" si="550">(SUM(VK9:VK10)+SUM(VK17:VK18)+SUM(VK35:VK36)+SUM(VK38:VK39))-VK55</f>
        <v>0</v>
      </c>
      <c r="VL52" s="23">
        <f t="shared" si="550"/>
        <v>0</v>
      </c>
      <c r="VM52" s="23">
        <f t="shared" si="550"/>
        <v>5872</v>
      </c>
      <c r="VN52" s="23">
        <f t="shared" si="550"/>
        <v>2024</v>
      </c>
      <c r="VO52" s="23">
        <f t="shared" si="550"/>
        <v>0</v>
      </c>
      <c r="VP52" s="23">
        <f t="shared" si="550"/>
        <v>0</v>
      </c>
      <c r="VQ52" s="23">
        <f t="shared" si="550"/>
        <v>0</v>
      </c>
      <c r="VR52" s="23">
        <f t="shared" si="550"/>
        <v>0</v>
      </c>
      <c r="VS52" s="23">
        <f t="shared" si="550"/>
        <v>0</v>
      </c>
      <c r="VT52" s="23">
        <f t="shared" si="550"/>
        <v>0</v>
      </c>
      <c r="VU52" s="23">
        <f t="shared" si="550"/>
        <v>4741</v>
      </c>
      <c r="VV52" s="23">
        <f t="shared" si="550"/>
        <v>1698</v>
      </c>
      <c r="VW52" s="23">
        <f t="shared" si="550"/>
        <v>0</v>
      </c>
      <c r="VX52" s="23">
        <f t="shared" ref="VX52:WD52" si="551">(SUM(VX9:VX10)+SUM(VX17:VX18)+SUM(VX35:VX36)+SUM(VX38:VX39))-VX55</f>
        <v>0</v>
      </c>
      <c r="VY52" s="23">
        <f t="shared" si="551"/>
        <v>0</v>
      </c>
      <c r="VZ52" s="23">
        <f t="shared" si="551"/>
        <v>4684</v>
      </c>
      <c r="WA52" s="23">
        <f t="shared" si="551"/>
        <v>6602</v>
      </c>
      <c r="WB52" s="23">
        <f t="shared" si="551"/>
        <v>0</v>
      </c>
      <c r="WC52" s="23">
        <f t="shared" si="551"/>
        <v>0</v>
      </c>
      <c r="WD52" s="23">
        <f t="shared" si="551"/>
        <v>0</v>
      </c>
      <c r="WE52" s="23">
        <f t="shared" ref="WE52:WL52" si="552">(SUM(WE9:WE10)+SUM(WE17:WE18)+SUM(WE35:WE36)+SUM(WE38:WE39))-WE55</f>
        <v>0</v>
      </c>
      <c r="WF52" s="23">
        <f t="shared" si="552"/>
        <v>1885</v>
      </c>
      <c r="WG52" s="23">
        <f t="shared" si="552"/>
        <v>0</v>
      </c>
      <c r="WH52" s="23">
        <f t="shared" si="552"/>
        <v>0</v>
      </c>
      <c r="WI52" s="23">
        <f t="shared" si="552"/>
        <v>0</v>
      </c>
      <c r="WJ52" s="23">
        <f t="shared" si="552"/>
        <v>1095</v>
      </c>
      <c r="WK52" s="23">
        <f t="shared" si="552"/>
        <v>0</v>
      </c>
      <c r="WL52" s="23">
        <f t="shared" si="552"/>
        <v>0</v>
      </c>
      <c r="WM52" s="23">
        <f t="shared" ref="WM52:WS52" si="553">(SUM(WM9:WM10)+SUM(WM17:WM18)+SUM(WM35:WM36)+SUM(WM38:WM39))-WM55</f>
        <v>1123</v>
      </c>
      <c r="WN52" s="23">
        <f t="shared" si="553"/>
        <v>1689</v>
      </c>
      <c r="WO52" s="23">
        <f t="shared" si="553"/>
        <v>294</v>
      </c>
      <c r="WP52" s="23">
        <f t="shared" si="553"/>
        <v>0</v>
      </c>
      <c r="WQ52" s="23">
        <f t="shared" si="553"/>
        <v>0</v>
      </c>
      <c r="WR52" s="23">
        <f t="shared" si="553"/>
        <v>0</v>
      </c>
      <c r="WS52" s="23">
        <f t="shared" si="553"/>
        <v>0</v>
      </c>
      <c r="WT52" s="23">
        <f t="shared" ref="WT52:XK52" si="554">(SUM(WT9:WT10)+SUM(WT17:WT18)+SUM(WT35:WT36)+SUM(WT38:WT39))-WT55</f>
        <v>0</v>
      </c>
      <c r="WU52" s="23">
        <f t="shared" si="554"/>
        <v>0</v>
      </c>
      <c r="WV52" s="23">
        <f t="shared" si="554"/>
        <v>0</v>
      </c>
      <c r="WW52" s="23">
        <f t="shared" si="554"/>
        <v>0</v>
      </c>
      <c r="WX52" s="23">
        <f t="shared" si="554"/>
        <v>0</v>
      </c>
      <c r="WY52" s="23">
        <f t="shared" si="554"/>
        <v>0</v>
      </c>
      <c r="WZ52" s="23">
        <f t="shared" si="554"/>
        <v>0</v>
      </c>
      <c r="XA52" s="23">
        <f t="shared" si="554"/>
        <v>0</v>
      </c>
      <c r="XB52" s="23">
        <f t="shared" si="554"/>
        <v>5366</v>
      </c>
      <c r="XC52" s="23">
        <f t="shared" si="554"/>
        <v>2191</v>
      </c>
      <c r="XD52" s="23">
        <f t="shared" si="554"/>
        <v>2064</v>
      </c>
      <c r="XE52" s="23">
        <f t="shared" si="554"/>
        <v>0</v>
      </c>
      <c r="XF52" s="23">
        <f t="shared" si="554"/>
        <v>0</v>
      </c>
      <c r="XG52" s="23">
        <f t="shared" si="554"/>
        <v>0</v>
      </c>
      <c r="XH52" s="23">
        <f t="shared" si="554"/>
        <v>0</v>
      </c>
      <c r="XI52" s="23">
        <f t="shared" si="554"/>
        <v>5219</v>
      </c>
      <c r="XJ52" s="23">
        <f t="shared" si="554"/>
        <v>0</v>
      </c>
      <c r="XK52" s="23">
        <f t="shared" si="554"/>
        <v>1911</v>
      </c>
      <c r="XL52" s="23">
        <f t="shared" ref="XL52:XU52" si="555">(SUM(XL9:XL10)+SUM(XL17:XL18)+SUM(XL35:XL36)+SUM(XL38:XL39))-XL55</f>
        <v>1602</v>
      </c>
      <c r="XM52" s="23">
        <f t="shared" si="555"/>
        <v>0</v>
      </c>
      <c r="XN52" s="23">
        <f t="shared" si="555"/>
        <v>0</v>
      </c>
      <c r="XO52" s="23">
        <f t="shared" si="555"/>
        <v>9654</v>
      </c>
      <c r="XP52" s="23">
        <f t="shared" si="555"/>
        <v>1213</v>
      </c>
      <c r="XQ52" s="23">
        <f t="shared" si="555"/>
        <v>484</v>
      </c>
      <c r="XR52" s="23">
        <f t="shared" si="555"/>
        <v>0</v>
      </c>
      <c r="XS52" s="23">
        <f t="shared" si="555"/>
        <v>0</v>
      </c>
      <c r="XT52" s="23">
        <f t="shared" si="555"/>
        <v>0</v>
      </c>
      <c r="XU52" s="23">
        <f t="shared" si="555"/>
        <v>0</v>
      </c>
      <c r="XV52" s="23">
        <f t="shared" ref="XV52:XY52" si="556">(SUM(XV9:XV10)+SUM(XV17:XV18)+SUM(XV35:XV36)+SUM(XV38:XV39))-XV55</f>
        <v>0</v>
      </c>
      <c r="XW52" s="23">
        <f t="shared" si="556"/>
        <v>2910</v>
      </c>
      <c r="XX52" s="23">
        <f t="shared" si="556"/>
        <v>5180</v>
      </c>
      <c r="XY52" s="23">
        <f t="shared" si="556"/>
        <v>0</v>
      </c>
      <c r="XZ52" s="23">
        <f t="shared" ref="XZ52:YH52" si="557">(SUM(XZ9:XZ10)+SUM(XZ17:XZ18)+SUM(XZ35:XZ36)+SUM(XZ38:XZ39))-XZ55</f>
        <v>60074</v>
      </c>
      <c r="YA52" s="23">
        <f t="shared" si="557"/>
        <v>27806</v>
      </c>
      <c r="YB52" s="23">
        <f t="shared" si="557"/>
        <v>0</v>
      </c>
      <c r="YC52" s="23">
        <f t="shared" si="557"/>
        <v>0</v>
      </c>
      <c r="YD52" s="23">
        <f t="shared" si="557"/>
        <v>3994</v>
      </c>
      <c r="YE52" s="23">
        <f t="shared" si="557"/>
        <v>0</v>
      </c>
      <c r="YF52" s="23">
        <f t="shared" si="557"/>
        <v>0</v>
      </c>
      <c r="YG52" s="23">
        <f t="shared" si="557"/>
        <v>0</v>
      </c>
      <c r="YH52" s="23">
        <f t="shared" si="557"/>
        <v>0</v>
      </c>
      <c r="YI52" s="23">
        <f>(SUM(YI9:YI10)+SUM(YI17:YI18)+SUM(YI35:YI36)+SUM(YI38:YI39))-YI55</f>
        <v>0</v>
      </c>
      <c r="YJ52" s="23">
        <f>(SUM(YJ9:YJ10)+SUM(YJ17:YJ18)+SUM(YJ35:YJ36)+SUM(YJ38:YJ39))-YJ55</f>
        <v>0</v>
      </c>
      <c r="YK52" s="23">
        <f>(SUM(YK9:YK10)+SUM(YK17:YK18)+SUM(YK35:YK36)+SUM(YK38:YK39))-YK55</f>
        <v>0</v>
      </c>
      <c r="YL52" s="23">
        <f>(SUM(YL9:YL10)+SUM(YL17:YL18)+SUM(YL35:YL36)+SUM(YL38:YL39))-YL55</f>
        <v>0</v>
      </c>
      <c r="YM52" s="23">
        <f>(SUM(YM9:YM10)+SUM(YM17:YM18)+SUM(YM35:YM36)+SUM(YM38:YM39))-YM55</f>
        <v>0</v>
      </c>
      <c r="YN52" s="23">
        <f t="shared" ref="YN52:YQ52" si="558">(SUM(YN9:YN10)+SUM(YN17:YN18)+SUM(YN35:YN36)+SUM(YN38:YN39))-YN55</f>
        <v>0</v>
      </c>
      <c r="YO52" s="23">
        <f t="shared" si="558"/>
        <v>0</v>
      </c>
      <c r="YP52" s="23">
        <f t="shared" si="558"/>
        <v>0</v>
      </c>
      <c r="YQ52" s="23">
        <f t="shared" si="558"/>
        <v>0</v>
      </c>
      <c r="YR52" s="23">
        <f t="shared" ref="YR52:ZC52" si="559">(SUM(YR9:YR10)+SUM(YR17:YR18)+SUM(YR35:YR36)+SUM(YR38:YR39))-YR55</f>
        <v>1316</v>
      </c>
      <c r="YS52" s="23">
        <f t="shared" si="559"/>
        <v>1205</v>
      </c>
      <c r="YT52" s="23">
        <f t="shared" si="559"/>
        <v>5600</v>
      </c>
      <c r="YU52" s="23">
        <f t="shared" si="559"/>
        <v>0</v>
      </c>
      <c r="YV52" s="23">
        <f t="shared" si="559"/>
        <v>0</v>
      </c>
      <c r="YW52" s="23">
        <f t="shared" si="559"/>
        <v>0</v>
      </c>
      <c r="YX52" s="23">
        <f t="shared" si="559"/>
        <v>1018</v>
      </c>
      <c r="YY52" s="23">
        <f t="shared" si="559"/>
        <v>2295</v>
      </c>
      <c r="YZ52" s="23">
        <f t="shared" si="559"/>
        <v>787</v>
      </c>
      <c r="ZA52" s="23">
        <f t="shared" si="559"/>
        <v>3641</v>
      </c>
      <c r="ZB52" s="23">
        <f t="shared" si="559"/>
        <v>0</v>
      </c>
      <c r="ZC52" s="23">
        <f t="shared" si="559"/>
        <v>0</v>
      </c>
      <c r="ZD52" s="23">
        <f t="shared" ref="ZD52:ZN52" si="560">(SUM(ZD9:ZD10)+SUM(ZD17:ZD18)+SUM(ZD35:ZD36)+SUM(ZD38:ZD39))-ZD55</f>
        <v>0</v>
      </c>
      <c r="ZE52" s="23">
        <f t="shared" si="560"/>
        <v>1684</v>
      </c>
      <c r="ZF52" s="23">
        <f t="shared" si="560"/>
        <v>0</v>
      </c>
      <c r="ZG52" s="23">
        <f t="shared" si="560"/>
        <v>2391</v>
      </c>
      <c r="ZH52" s="23">
        <f t="shared" si="560"/>
        <v>0</v>
      </c>
      <c r="ZI52" s="23">
        <f t="shared" si="560"/>
        <v>908</v>
      </c>
      <c r="ZJ52" s="23">
        <f t="shared" si="560"/>
        <v>0</v>
      </c>
      <c r="ZK52" s="23">
        <f t="shared" si="560"/>
        <v>644</v>
      </c>
      <c r="ZL52" s="23">
        <f t="shared" si="560"/>
        <v>1244</v>
      </c>
      <c r="ZM52" s="23">
        <f t="shared" si="560"/>
        <v>4840</v>
      </c>
      <c r="ZN52" s="23">
        <f t="shared" si="560"/>
        <v>0</v>
      </c>
      <c r="ZO52" s="23">
        <f t="shared" ref="ZO52:ZS52" si="561">(SUM(ZO9:ZO10)+SUM(ZO17:ZO18)+SUM(ZO35:ZO36)+SUM(ZO38:ZO39))-ZO55</f>
        <v>1125</v>
      </c>
      <c r="ZP52" s="23">
        <f t="shared" si="561"/>
        <v>0</v>
      </c>
      <c r="ZQ52" s="23">
        <f t="shared" si="561"/>
        <v>0</v>
      </c>
      <c r="ZR52" s="23">
        <f t="shared" si="561"/>
        <v>0</v>
      </c>
      <c r="ZS52" s="23">
        <f t="shared" si="561"/>
        <v>2909</v>
      </c>
      <c r="ZT52" s="23">
        <f t="shared" ref="ZT52:ZY52" si="562">(SUM(ZT9:ZT10)+SUM(ZT17:ZT18)+SUM(ZT35:ZT36)+SUM(ZT38:ZT39))-ZT55</f>
        <v>0</v>
      </c>
      <c r="ZU52" s="23">
        <f t="shared" si="562"/>
        <v>2184</v>
      </c>
      <c r="ZV52" s="23">
        <f t="shared" si="562"/>
        <v>0</v>
      </c>
      <c r="ZW52" s="23">
        <f t="shared" si="562"/>
        <v>0</v>
      </c>
      <c r="ZX52" s="23">
        <f t="shared" si="562"/>
        <v>0</v>
      </c>
      <c r="ZY52" s="23">
        <f t="shared" si="562"/>
        <v>0</v>
      </c>
      <c r="ZZ52" s="23">
        <f t="shared" ref="ZZ52:AAJ52" si="563">(SUM(ZZ9:ZZ10)+SUM(ZZ17:ZZ18)+SUM(ZZ35:ZZ36)+SUM(ZZ38:ZZ39))-ZZ55</f>
        <v>0</v>
      </c>
      <c r="AAA52" s="23">
        <f t="shared" si="563"/>
        <v>5924</v>
      </c>
      <c r="AAB52" s="23">
        <f t="shared" si="563"/>
        <v>0</v>
      </c>
      <c r="AAC52" s="23">
        <f t="shared" si="563"/>
        <v>0</v>
      </c>
      <c r="AAD52" s="23">
        <f t="shared" si="563"/>
        <v>1720</v>
      </c>
      <c r="AAE52" s="23">
        <f t="shared" si="563"/>
        <v>0</v>
      </c>
      <c r="AAF52" s="23">
        <f t="shared" si="563"/>
        <v>0</v>
      </c>
      <c r="AAG52" s="23">
        <f t="shared" si="563"/>
        <v>0</v>
      </c>
      <c r="AAH52" s="23">
        <f t="shared" si="563"/>
        <v>2971</v>
      </c>
      <c r="AAI52" s="23">
        <f t="shared" si="563"/>
        <v>2712</v>
      </c>
      <c r="AAJ52" s="23">
        <f t="shared" si="563"/>
        <v>0</v>
      </c>
      <c r="AAK52" s="23">
        <f t="shared" ref="AAK52:AAU52" si="564">(SUM(AAK9:AAK10)+SUM(AAK17:AAK18)+SUM(AAK35:AAK36)+SUM(AAK38:AAK39))-AAK55</f>
        <v>0</v>
      </c>
      <c r="AAL52" s="23">
        <f t="shared" si="564"/>
        <v>0</v>
      </c>
      <c r="AAM52" s="23">
        <f t="shared" si="564"/>
        <v>0</v>
      </c>
      <c r="AAN52" s="23">
        <f t="shared" si="564"/>
        <v>0</v>
      </c>
      <c r="AAO52" s="23">
        <f t="shared" si="564"/>
        <v>6172</v>
      </c>
      <c r="AAP52" s="23">
        <f t="shared" si="564"/>
        <v>0</v>
      </c>
      <c r="AAQ52" s="23">
        <f t="shared" si="564"/>
        <v>0</v>
      </c>
      <c r="AAR52" s="23">
        <f t="shared" si="564"/>
        <v>0</v>
      </c>
      <c r="AAS52" s="23">
        <f t="shared" si="564"/>
        <v>0</v>
      </c>
      <c r="AAT52" s="23">
        <f t="shared" si="564"/>
        <v>0</v>
      </c>
      <c r="AAU52" s="23">
        <f t="shared" si="564"/>
        <v>0</v>
      </c>
      <c r="AAV52" s="23">
        <f t="shared" ref="AAV52:ABA52" si="565">(SUM(AAV9:AAV10)+SUM(AAV17:AAV18)+SUM(AAV35:AAV36)+SUM(AAV38:AAV39))-AAV55</f>
        <v>2452</v>
      </c>
      <c r="AAW52" s="23">
        <f t="shared" si="565"/>
        <v>5073</v>
      </c>
      <c r="AAX52" s="23">
        <f t="shared" si="565"/>
        <v>5398</v>
      </c>
      <c r="AAY52" s="23">
        <f t="shared" si="565"/>
        <v>0</v>
      </c>
      <c r="AAZ52" s="23">
        <f t="shared" si="565"/>
        <v>0</v>
      </c>
      <c r="ABA52" s="23">
        <f t="shared" si="565"/>
        <v>0</v>
      </c>
      <c r="ABB52" s="23">
        <f t="shared" ref="ABB52:ABH52" si="566">(SUM(ABB9:ABB10)+SUM(ABB17:ABB18)+SUM(ABB35:ABB36)+SUM(ABB38:ABB39))-ABB55</f>
        <v>0</v>
      </c>
      <c r="ABC52" s="23">
        <f t="shared" si="566"/>
        <v>6438</v>
      </c>
      <c r="ABD52" s="23">
        <f t="shared" si="566"/>
        <v>958</v>
      </c>
      <c r="ABE52" s="23">
        <f t="shared" si="566"/>
        <v>0</v>
      </c>
      <c r="ABF52" s="23">
        <f t="shared" si="566"/>
        <v>0</v>
      </c>
      <c r="ABG52" s="23">
        <f t="shared" si="566"/>
        <v>0</v>
      </c>
      <c r="ABH52" s="23">
        <f t="shared" si="566"/>
        <v>0</v>
      </c>
      <c r="ABI52" s="23">
        <f t="shared" ref="ABI52:ABY52" si="567">(SUM(ABI9:ABI10)+SUM(ABI17:ABI18)+SUM(ABI35:ABI36)+SUM(ABI38:ABI39))-ABI55</f>
        <v>602</v>
      </c>
      <c r="ABJ52" s="23">
        <f t="shared" si="567"/>
        <v>0</v>
      </c>
      <c r="ABK52" s="23">
        <f t="shared" si="567"/>
        <v>2973</v>
      </c>
      <c r="ABL52" s="23">
        <f t="shared" si="567"/>
        <v>0</v>
      </c>
      <c r="ABM52" s="23">
        <f t="shared" si="567"/>
        <v>7806</v>
      </c>
      <c r="ABN52" s="23">
        <f t="shared" si="567"/>
        <v>0</v>
      </c>
      <c r="ABO52" s="23">
        <f t="shared" si="567"/>
        <v>0</v>
      </c>
      <c r="ABP52" s="23">
        <f t="shared" si="567"/>
        <v>0</v>
      </c>
      <c r="ABQ52" s="23">
        <f t="shared" si="567"/>
        <v>105</v>
      </c>
      <c r="ABR52" s="23">
        <f t="shared" si="567"/>
        <v>0</v>
      </c>
      <c r="ABS52" s="23">
        <f t="shared" si="567"/>
        <v>3614</v>
      </c>
      <c r="ABT52" s="23">
        <f t="shared" si="567"/>
        <v>0</v>
      </c>
      <c r="ABU52" s="23">
        <f t="shared" si="567"/>
        <v>0</v>
      </c>
      <c r="ABV52" s="23">
        <f t="shared" si="567"/>
        <v>0</v>
      </c>
      <c r="ABW52" s="23">
        <f t="shared" si="567"/>
        <v>0</v>
      </c>
      <c r="ABX52" s="23">
        <f t="shared" si="567"/>
        <v>857</v>
      </c>
      <c r="ABY52" s="23">
        <f t="shared" si="567"/>
        <v>0</v>
      </c>
      <c r="ABZ52" s="23">
        <f t="shared" ref="ABZ52:ACE52" si="568">(SUM(ABZ9:ABZ10)+SUM(ABZ17:ABZ18)+SUM(ABZ35:ABZ36)+SUM(ABZ38:ABZ39))-ABZ55</f>
        <v>626</v>
      </c>
      <c r="ACA52" s="23">
        <f t="shared" si="568"/>
        <v>0</v>
      </c>
      <c r="ACB52" s="23">
        <f t="shared" si="568"/>
        <v>0</v>
      </c>
      <c r="ACC52" s="23">
        <f t="shared" si="568"/>
        <v>0</v>
      </c>
      <c r="ACD52" s="23">
        <f t="shared" si="568"/>
        <v>9388</v>
      </c>
      <c r="ACE52" s="23">
        <f t="shared" si="568"/>
        <v>39034</v>
      </c>
      <c r="ACF52" s="23">
        <f t="shared" ref="ACF52:ACS52" si="569">(SUM(ACF9:ACF10)+SUM(ACF17:ACF18)+SUM(ACF35:ACF36)+SUM(ACF38:ACF39))-ACF55</f>
        <v>9683</v>
      </c>
      <c r="ACG52" s="23">
        <f t="shared" si="569"/>
        <v>3358</v>
      </c>
      <c r="ACH52" s="23">
        <f t="shared" si="569"/>
        <v>0</v>
      </c>
      <c r="ACI52" s="23">
        <f t="shared" si="569"/>
        <v>20019</v>
      </c>
      <c r="ACJ52" s="23">
        <f t="shared" si="569"/>
        <v>0</v>
      </c>
      <c r="ACK52" s="23">
        <f t="shared" si="569"/>
        <v>0</v>
      </c>
      <c r="ACL52" s="23">
        <f t="shared" si="569"/>
        <v>12348</v>
      </c>
      <c r="ACM52" s="23">
        <f t="shared" si="569"/>
        <v>4539</v>
      </c>
      <c r="ACN52" s="23">
        <f t="shared" si="569"/>
        <v>0</v>
      </c>
      <c r="ACO52" s="23">
        <f t="shared" si="569"/>
        <v>0</v>
      </c>
      <c r="ACP52" s="23">
        <f t="shared" si="569"/>
        <v>0</v>
      </c>
      <c r="ACQ52" s="23">
        <f t="shared" si="569"/>
        <v>0</v>
      </c>
      <c r="ACR52" s="23">
        <f t="shared" si="569"/>
        <v>0</v>
      </c>
      <c r="ACS52" s="23">
        <f t="shared" si="569"/>
        <v>0</v>
      </c>
      <c r="ACT52" s="23">
        <f t="shared" ref="ACT52:ADD52" si="570">(SUM(ACT9:ACT10)+SUM(ACT17:ACT18)+SUM(ACT35:ACT36)+SUM(ACT38:ACT39))-ACT55</f>
        <v>0</v>
      </c>
      <c r="ACU52" s="23">
        <f t="shared" si="570"/>
        <v>6605</v>
      </c>
      <c r="ACV52" s="23">
        <f t="shared" si="570"/>
        <v>0</v>
      </c>
      <c r="ACW52" s="23">
        <f t="shared" si="570"/>
        <v>0</v>
      </c>
      <c r="ACX52" s="23">
        <f t="shared" si="570"/>
        <v>0</v>
      </c>
      <c r="ACY52" s="23">
        <f t="shared" si="570"/>
        <v>47162</v>
      </c>
      <c r="ACZ52" s="23">
        <f t="shared" si="570"/>
        <v>8400</v>
      </c>
      <c r="ADA52" s="23">
        <f t="shared" si="570"/>
        <v>0</v>
      </c>
      <c r="ADB52" s="23">
        <f t="shared" si="570"/>
        <v>29775</v>
      </c>
      <c r="ADC52" s="23">
        <f t="shared" si="570"/>
        <v>0</v>
      </c>
      <c r="ADD52" s="23">
        <f t="shared" si="570"/>
        <v>0</v>
      </c>
      <c r="ADE52" s="23">
        <f t="shared" ref="ADE52:ADR52" si="571">(SUM(ADE9:ADE10)+SUM(ADE17:ADE18)+SUM(ADE35:ADE36)+SUM(ADE38:ADE39))-ADE55</f>
        <v>0</v>
      </c>
      <c r="ADF52" s="23">
        <f t="shared" si="571"/>
        <v>0</v>
      </c>
      <c r="ADG52" s="23">
        <f t="shared" si="571"/>
        <v>0</v>
      </c>
      <c r="ADH52" s="23">
        <f t="shared" si="571"/>
        <v>0</v>
      </c>
      <c r="ADI52" s="23">
        <f t="shared" si="571"/>
        <v>0</v>
      </c>
      <c r="ADJ52" s="23">
        <f t="shared" si="571"/>
        <v>0</v>
      </c>
      <c r="ADK52" s="23">
        <f t="shared" si="571"/>
        <v>0</v>
      </c>
      <c r="ADL52" s="23">
        <f t="shared" si="571"/>
        <v>0</v>
      </c>
      <c r="ADM52" s="23">
        <f t="shared" si="571"/>
        <v>57</v>
      </c>
      <c r="ADN52" s="23">
        <f t="shared" si="571"/>
        <v>0</v>
      </c>
      <c r="ADO52" s="23">
        <f t="shared" si="571"/>
        <v>0</v>
      </c>
      <c r="ADP52" s="23">
        <f t="shared" si="571"/>
        <v>0</v>
      </c>
      <c r="ADQ52" s="23">
        <f t="shared" si="571"/>
        <v>0</v>
      </c>
      <c r="ADR52" s="23">
        <f t="shared" si="571"/>
        <v>0</v>
      </c>
      <c r="ADS52" s="23">
        <f t="shared" ref="ADS52:AEF52" si="572">(SUM(ADS9:ADS10)+SUM(ADS17:ADS18)+SUM(ADS35:ADS36)+SUM(ADS38:ADS39))-ADS55</f>
        <v>0</v>
      </c>
      <c r="ADT52" s="23">
        <f t="shared" si="572"/>
        <v>0</v>
      </c>
      <c r="ADU52" s="23">
        <f t="shared" si="572"/>
        <v>0</v>
      </c>
      <c r="ADV52" s="23">
        <f t="shared" si="572"/>
        <v>0</v>
      </c>
      <c r="ADW52" s="23">
        <f t="shared" si="572"/>
        <v>0</v>
      </c>
      <c r="ADX52" s="23">
        <f t="shared" si="572"/>
        <v>0</v>
      </c>
      <c r="ADY52" s="23">
        <f t="shared" si="572"/>
        <v>0</v>
      </c>
      <c r="ADZ52" s="23">
        <f t="shared" si="572"/>
        <v>0</v>
      </c>
      <c r="AEA52" s="23">
        <f t="shared" si="572"/>
        <v>0</v>
      </c>
      <c r="AEB52" s="23">
        <f t="shared" si="572"/>
        <v>0</v>
      </c>
      <c r="AEC52" s="23">
        <f t="shared" si="572"/>
        <v>0</v>
      </c>
      <c r="AED52" s="23">
        <f t="shared" si="572"/>
        <v>0</v>
      </c>
      <c r="AEE52" s="23">
        <f t="shared" si="572"/>
        <v>0</v>
      </c>
      <c r="AEF52" s="23">
        <f t="shared" si="572"/>
        <v>0</v>
      </c>
      <c r="AEG52" s="23">
        <f t="shared" ref="AEG52:AEX52" si="573">(SUM(AEG9:AEG10)+SUM(AEG17:AEG18)+SUM(AEG35:AEG36)+SUM(AEG38:AEG39))-AEG55</f>
        <v>0</v>
      </c>
      <c r="AEH52" s="23">
        <f t="shared" si="573"/>
        <v>0</v>
      </c>
      <c r="AEI52" s="23">
        <f t="shared" si="573"/>
        <v>0</v>
      </c>
      <c r="AEJ52" s="23">
        <f t="shared" si="573"/>
        <v>0</v>
      </c>
      <c r="AEK52" s="23">
        <f t="shared" si="573"/>
        <v>0</v>
      </c>
      <c r="AEL52" s="23">
        <f t="shared" si="573"/>
        <v>0</v>
      </c>
      <c r="AEM52" s="23">
        <f t="shared" si="573"/>
        <v>0</v>
      </c>
      <c r="AEN52" s="23">
        <f t="shared" si="573"/>
        <v>0</v>
      </c>
      <c r="AEO52" s="23">
        <f t="shared" si="573"/>
        <v>0</v>
      </c>
      <c r="AEP52" s="23">
        <f t="shared" si="573"/>
        <v>0</v>
      </c>
      <c r="AEQ52" s="23">
        <f t="shared" si="573"/>
        <v>0</v>
      </c>
      <c r="AER52" s="23">
        <f t="shared" si="573"/>
        <v>0</v>
      </c>
      <c r="AES52" s="23">
        <f t="shared" si="573"/>
        <v>0</v>
      </c>
      <c r="AET52" s="23">
        <f t="shared" si="573"/>
        <v>0</v>
      </c>
      <c r="AEU52" s="23">
        <f t="shared" si="573"/>
        <v>0</v>
      </c>
      <c r="AEV52" s="23">
        <f t="shared" si="573"/>
        <v>0</v>
      </c>
      <c r="AEW52" s="23">
        <f t="shared" si="573"/>
        <v>0</v>
      </c>
      <c r="AEX52" s="23">
        <f t="shared" si="573"/>
        <v>0</v>
      </c>
      <c r="AEY52" s="23">
        <f t="shared" ref="AEY52:AFJ52" si="574">(SUM(AEY9:AEY10)+SUM(AEY17:AEY18)+SUM(AEY35:AEY36)+SUM(AEY38:AEY39))-AEY55</f>
        <v>0</v>
      </c>
      <c r="AEZ52" s="23">
        <f t="shared" si="574"/>
        <v>0</v>
      </c>
      <c r="AFA52" s="23">
        <f t="shared" si="574"/>
        <v>0</v>
      </c>
      <c r="AFB52" s="23">
        <f t="shared" si="574"/>
        <v>0</v>
      </c>
      <c r="AFC52" s="23">
        <f t="shared" si="574"/>
        <v>0</v>
      </c>
      <c r="AFD52" s="23">
        <f t="shared" si="574"/>
        <v>0</v>
      </c>
      <c r="AFE52" s="23">
        <f t="shared" si="574"/>
        <v>0</v>
      </c>
      <c r="AFF52" s="23">
        <f t="shared" si="574"/>
        <v>0</v>
      </c>
      <c r="AFG52" s="23">
        <f t="shared" si="574"/>
        <v>0</v>
      </c>
      <c r="AFH52" s="23">
        <f t="shared" si="574"/>
        <v>0</v>
      </c>
      <c r="AFI52" s="23">
        <f t="shared" si="574"/>
        <v>0</v>
      </c>
      <c r="AFJ52" s="23">
        <f t="shared" si="574"/>
        <v>0</v>
      </c>
      <c r="AFK52" s="23">
        <f t="shared" ref="AFK52:AFP52" si="575">(SUM(AFK9:AFK10)+SUM(AFK17:AFK18)+SUM(AFK35:AFK36)+SUM(AFK38:AFK39))-AFK55</f>
        <v>0</v>
      </c>
      <c r="AFL52" s="23">
        <f t="shared" si="575"/>
        <v>0</v>
      </c>
      <c r="AFM52" s="23">
        <f t="shared" si="575"/>
        <v>0</v>
      </c>
      <c r="AFN52" s="23">
        <f t="shared" si="575"/>
        <v>0</v>
      </c>
      <c r="AFO52" s="23">
        <f t="shared" si="575"/>
        <v>0</v>
      </c>
      <c r="AFP52" s="23">
        <f t="shared" si="575"/>
        <v>0</v>
      </c>
      <c r="AFQ52" s="23">
        <f t="shared" ref="AFQ52:AGB52" si="576">(SUM(AFQ9:AFQ10)+SUM(AFQ17:AFQ18)+SUM(AFQ35:AFQ36)+SUM(AFQ38:AFQ39))-AFQ55</f>
        <v>0</v>
      </c>
      <c r="AFR52" s="23">
        <f t="shared" si="576"/>
        <v>0</v>
      </c>
      <c r="AFS52" s="23">
        <f t="shared" si="576"/>
        <v>0</v>
      </c>
      <c r="AFT52" s="23">
        <f t="shared" si="576"/>
        <v>0</v>
      </c>
      <c r="AFU52" s="23">
        <f t="shared" si="576"/>
        <v>0</v>
      </c>
      <c r="AFV52" s="23">
        <f t="shared" si="576"/>
        <v>0</v>
      </c>
      <c r="AFW52" s="23">
        <f t="shared" si="576"/>
        <v>0</v>
      </c>
      <c r="AFX52" s="23">
        <f t="shared" si="576"/>
        <v>0</v>
      </c>
      <c r="AFY52" s="23">
        <f t="shared" si="576"/>
        <v>0</v>
      </c>
      <c r="AFZ52" s="23">
        <f t="shared" si="576"/>
        <v>0</v>
      </c>
      <c r="AGA52" s="23">
        <f t="shared" si="576"/>
        <v>0</v>
      </c>
      <c r="AGB52" s="23">
        <f t="shared" si="576"/>
        <v>0</v>
      </c>
      <c r="AGC52" s="23">
        <f>(SUM(AGC9:AGC10)+SUM(AGC17:AGC18)+SUM(AGC35:AGC36)+SUM(AGC38:AGC39))-AGC55</f>
        <v>0</v>
      </c>
      <c r="AGD52" s="23">
        <f>(SUM(AGD9:AGD10)+SUM(AGD17:AGD18)+SUM(AGD35:AGD36)+SUM(AGD38:AGD39))-AGD55</f>
        <v>0</v>
      </c>
      <c r="AGE52" s="23">
        <f t="shared" ref="AGE52:AGL52" si="577">(SUM(AGE9:AGE10)+SUM(AGE17:AGE18)+SUM(AGE35:AGE36)+SUM(AGE38:AGE39))-AGE55</f>
        <v>0</v>
      </c>
      <c r="AGF52" s="23">
        <f t="shared" si="577"/>
        <v>0</v>
      </c>
      <c r="AGG52" s="23">
        <f t="shared" si="577"/>
        <v>0</v>
      </c>
      <c r="AGH52" s="23">
        <f t="shared" si="577"/>
        <v>0</v>
      </c>
      <c r="AGI52" s="23">
        <f t="shared" si="577"/>
        <v>0</v>
      </c>
      <c r="AGJ52" s="23">
        <f t="shared" si="577"/>
        <v>0</v>
      </c>
      <c r="AGK52" s="23">
        <f t="shared" si="577"/>
        <v>0</v>
      </c>
      <c r="AGL52" s="23">
        <f t="shared" si="577"/>
        <v>0</v>
      </c>
      <c r="AGM52" s="23">
        <f t="shared" ref="AGM52:AGR52" si="578">(SUM(AGM9:AGM10)+SUM(AGM17:AGM18)+SUM(AGM35:AGM36)+SUM(AGM38:AGM39))-AGM55</f>
        <v>0</v>
      </c>
      <c r="AGN52" s="23">
        <f t="shared" si="578"/>
        <v>0</v>
      </c>
      <c r="AGO52" s="23">
        <f t="shared" si="578"/>
        <v>0</v>
      </c>
      <c r="AGP52" s="23">
        <f t="shared" si="578"/>
        <v>0</v>
      </c>
      <c r="AGQ52" s="23">
        <f t="shared" si="578"/>
        <v>0</v>
      </c>
      <c r="AGR52" s="23">
        <f t="shared" si="578"/>
        <v>0</v>
      </c>
      <c r="AGS52" s="23">
        <f t="shared" ref="AGS52:AGW52" si="579">(SUM(AGS9:AGS10)+SUM(AGS17:AGS18)+SUM(AGS35:AGS36)+SUM(AGS38:AGS39))-AGS55</f>
        <v>0</v>
      </c>
      <c r="AGT52" s="23">
        <f t="shared" si="579"/>
        <v>0</v>
      </c>
      <c r="AGU52" s="23">
        <f t="shared" si="579"/>
        <v>0</v>
      </c>
      <c r="AGV52" s="23">
        <f t="shared" si="579"/>
        <v>0</v>
      </c>
      <c r="AGW52" s="23">
        <f t="shared" si="579"/>
        <v>0</v>
      </c>
      <c r="AGX52" s="23">
        <f t="shared" ref="AGX52:AHF52" si="580">(SUM(AGX9:AGX10)+SUM(AGX17:AGX18)+SUM(AGX35:AGX36)+SUM(AGX38:AGX39))-AGX55</f>
        <v>0</v>
      </c>
      <c r="AGY52" s="23">
        <f t="shared" si="580"/>
        <v>0</v>
      </c>
      <c r="AGZ52" s="23">
        <f t="shared" si="580"/>
        <v>0</v>
      </c>
      <c r="AHA52" s="23">
        <f t="shared" si="580"/>
        <v>0</v>
      </c>
      <c r="AHB52" s="23">
        <f t="shared" si="580"/>
        <v>0</v>
      </c>
      <c r="AHC52" s="23">
        <f t="shared" si="580"/>
        <v>0</v>
      </c>
      <c r="AHD52" s="23">
        <f t="shared" si="580"/>
        <v>0</v>
      </c>
      <c r="AHE52" s="23">
        <f t="shared" si="580"/>
        <v>0</v>
      </c>
      <c r="AHF52" s="23">
        <f t="shared" si="580"/>
        <v>0</v>
      </c>
      <c r="AHG52" s="23">
        <f t="shared" ref="AHG52:AHS52" si="581">(SUM(AHG9:AHG10)+SUM(AHG17:AHG18)+SUM(AHG35:AHG36)+SUM(AHG38:AHG39))-AHG55</f>
        <v>0</v>
      </c>
      <c r="AHH52" s="23">
        <f t="shared" si="581"/>
        <v>0</v>
      </c>
      <c r="AHI52" s="23">
        <f t="shared" si="581"/>
        <v>0</v>
      </c>
      <c r="AHJ52" s="23">
        <f t="shared" si="581"/>
        <v>0</v>
      </c>
      <c r="AHK52" s="23">
        <f t="shared" si="581"/>
        <v>0</v>
      </c>
      <c r="AHL52" s="23">
        <f t="shared" si="581"/>
        <v>0</v>
      </c>
      <c r="AHM52" s="23">
        <f t="shared" si="581"/>
        <v>0</v>
      </c>
      <c r="AHN52" s="23">
        <f t="shared" si="581"/>
        <v>0</v>
      </c>
      <c r="AHO52" s="23">
        <f t="shared" si="581"/>
        <v>0</v>
      </c>
      <c r="AHP52" s="23">
        <f t="shared" si="581"/>
        <v>0</v>
      </c>
      <c r="AHQ52" s="23">
        <f t="shared" si="581"/>
        <v>0</v>
      </c>
      <c r="AHR52" s="23">
        <f t="shared" si="581"/>
        <v>0</v>
      </c>
      <c r="AHS52" s="23">
        <f t="shared" si="581"/>
        <v>0</v>
      </c>
      <c r="AHT52" s="23">
        <f t="shared" ref="AHT52:AIA52" si="582">(SUM(AHT9:AHT10)+SUM(AHT17:AHT18)+SUM(AHT35:AHT36)+SUM(AHT38:AHT39))-AHT55</f>
        <v>0</v>
      </c>
      <c r="AHU52" s="23">
        <f t="shared" si="582"/>
        <v>0</v>
      </c>
      <c r="AHV52" s="23">
        <f t="shared" si="582"/>
        <v>0</v>
      </c>
      <c r="AHW52" s="23">
        <f t="shared" si="582"/>
        <v>0</v>
      </c>
      <c r="AHX52" s="23">
        <f t="shared" si="582"/>
        <v>0</v>
      </c>
      <c r="AHY52" s="23">
        <f t="shared" si="582"/>
        <v>0</v>
      </c>
      <c r="AHZ52" s="23">
        <f t="shared" si="582"/>
        <v>0</v>
      </c>
      <c r="AIA52" s="23">
        <f t="shared" si="582"/>
        <v>0</v>
      </c>
      <c r="AIB52" s="23">
        <f t="shared" ref="AIB52:AIJ52" si="583">(SUM(AIB9:AIB10)+SUM(AIB17:AIB18)+SUM(AIB35:AIB36)+SUM(AIB38:AIB39))-AIB55</f>
        <v>0</v>
      </c>
      <c r="AIC52" s="23">
        <f t="shared" si="583"/>
        <v>0</v>
      </c>
      <c r="AID52" s="23">
        <f t="shared" si="583"/>
        <v>0</v>
      </c>
      <c r="AIE52" s="23">
        <f t="shared" si="583"/>
        <v>0</v>
      </c>
      <c r="AIF52" s="23">
        <f t="shared" si="583"/>
        <v>0</v>
      </c>
      <c r="AIG52" s="23">
        <f t="shared" si="583"/>
        <v>0</v>
      </c>
      <c r="AIH52" s="23">
        <f t="shared" si="583"/>
        <v>0</v>
      </c>
      <c r="AII52" s="23">
        <f t="shared" si="583"/>
        <v>0</v>
      </c>
      <c r="AIJ52" s="23">
        <f t="shared" si="583"/>
        <v>0</v>
      </c>
      <c r="AIK52" s="23">
        <f>(SUM(AIK9:AIK10)+SUM(AIK17:AIK18)+SUM(AIK35:AIK36)+SUM(AIK38:AIK39))-AIK55</f>
        <v>0</v>
      </c>
      <c r="AIL52" s="23">
        <f>(SUM(AIL9:AIL10)+SUM(AIL17:AIL18)+SUM(AIL35:AIL36)+SUM(AIL38:AIL39))-AIL55</f>
        <v>0</v>
      </c>
      <c r="AIM52" s="23">
        <f t="shared" ref="AIM52:AIV52" si="584">(SUM(AIM9:AIM10)+SUM(AIM17:AIM18)+SUM(AIM35:AIM36)+SUM(AIM38:AIM39))-AIM55</f>
        <v>0</v>
      </c>
      <c r="AIN52" s="23">
        <f t="shared" si="584"/>
        <v>0</v>
      </c>
      <c r="AIO52" s="23">
        <f t="shared" si="584"/>
        <v>0</v>
      </c>
      <c r="AIP52" s="23">
        <f t="shared" si="584"/>
        <v>0</v>
      </c>
      <c r="AIQ52" s="23">
        <f t="shared" si="584"/>
        <v>0</v>
      </c>
      <c r="AIR52" s="23">
        <f t="shared" si="584"/>
        <v>0</v>
      </c>
      <c r="AIS52" s="23">
        <f t="shared" si="584"/>
        <v>0</v>
      </c>
      <c r="AIT52" s="23">
        <f t="shared" si="584"/>
        <v>0</v>
      </c>
      <c r="AIU52" s="23">
        <f t="shared" si="584"/>
        <v>0</v>
      </c>
      <c r="AIV52" s="23">
        <f t="shared" si="584"/>
        <v>0</v>
      </c>
      <c r="AIW52" s="23">
        <f t="shared" ref="AIW52:AJC52" si="585">(SUM(AIW9:AIW10)+SUM(AIW17:AIW18)+SUM(AIW35:AIW36)+SUM(AIW38:AIW39))-AIW55</f>
        <v>0</v>
      </c>
      <c r="AIX52" s="23">
        <f t="shared" si="585"/>
        <v>0</v>
      </c>
      <c r="AIY52" s="23">
        <f>(SUM(AIY9:AIY10)+SUM(AIY17:AIY18)+SUM(AIY35:AIY36)+SUM(AIY38:AIY39))-AIY55</f>
        <v>0</v>
      </c>
      <c r="AIZ52" s="23">
        <f t="shared" si="585"/>
        <v>0</v>
      </c>
      <c r="AJA52" s="23">
        <f t="shared" si="585"/>
        <v>0</v>
      </c>
      <c r="AJB52" s="23">
        <f>(SUM(AJB9:AJB10)+SUM(AJB17:AJB18)+SUM(AJB35:AJB36)+SUM(AJB38:AJB39))-AJB55</f>
        <v>0</v>
      </c>
      <c r="AJC52" s="23">
        <f t="shared" si="585"/>
        <v>0</v>
      </c>
      <c r="AJD52" s="23">
        <f t="shared" ref="AJD52:AJP52" si="586">(SUM(AJD9:AJD10)+SUM(AJD17:AJD18)+SUM(AJD35:AJD36)+SUM(AJD38:AJD39))-AJD55</f>
        <v>0</v>
      </c>
      <c r="AJE52" s="23">
        <f t="shared" si="586"/>
        <v>0</v>
      </c>
      <c r="AJF52" s="23">
        <f t="shared" si="586"/>
        <v>0</v>
      </c>
      <c r="AJG52" s="23">
        <f t="shared" si="586"/>
        <v>0</v>
      </c>
      <c r="AJH52" s="23">
        <f t="shared" si="586"/>
        <v>0</v>
      </c>
      <c r="AJI52" s="23">
        <f t="shared" si="586"/>
        <v>0</v>
      </c>
      <c r="AJJ52" s="23">
        <f t="shared" si="586"/>
        <v>0</v>
      </c>
      <c r="AJK52" s="23">
        <f t="shared" si="586"/>
        <v>0</v>
      </c>
      <c r="AJL52" s="23">
        <f t="shared" si="586"/>
        <v>0</v>
      </c>
      <c r="AJM52" s="23">
        <f t="shared" si="586"/>
        <v>0</v>
      </c>
      <c r="AJN52" s="23">
        <f t="shared" si="586"/>
        <v>0</v>
      </c>
      <c r="AJO52" s="23">
        <f t="shared" si="586"/>
        <v>0</v>
      </c>
      <c r="AJP52" s="23">
        <f t="shared" si="586"/>
        <v>0</v>
      </c>
      <c r="AJQ52" s="23">
        <f t="shared" ref="AJQ52:AKB52" si="587">(SUM(AJQ9:AJQ10)+SUM(AJQ17:AJQ18)+SUM(AJQ35:AJQ36)+SUM(AJQ38:AJQ39))-AJQ55</f>
        <v>0</v>
      </c>
      <c r="AJR52" s="23">
        <f t="shared" si="587"/>
        <v>0</v>
      </c>
      <c r="AJS52" s="23">
        <f t="shared" si="587"/>
        <v>0</v>
      </c>
      <c r="AJT52" s="23">
        <f t="shared" si="587"/>
        <v>0</v>
      </c>
      <c r="AJU52" s="23">
        <f t="shared" si="587"/>
        <v>0</v>
      </c>
      <c r="AJV52" s="23">
        <f t="shared" si="587"/>
        <v>0</v>
      </c>
      <c r="AJW52" s="23">
        <f t="shared" si="587"/>
        <v>0</v>
      </c>
      <c r="AJX52" s="23">
        <f t="shared" si="587"/>
        <v>0</v>
      </c>
      <c r="AJY52" s="23">
        <f t="shared" si="587"/>
        <v>0</v>
      </c>
      <c r="AJZ52" s="23">
        <f t="shared" si="587"/>
        <v>0</v>
      </c>
      <c r="AKA52" s="23">
        <f t="shared" si="587"/>
        <v>0</v>
      </c>
      <c r="AKB52" s="23">
        <f t="shared" si="587"/>
        <v>0</v>
      </c>
      <c r="AKC52" s="23">
        <f t="shared" ref="AKC52" si="588">(SUM(AKC9:AKC10)+SUM(AKC17:AKC18)+SUM(AKC35:AKC36)+SUM(AKC38:AKC39))-AKC55</f>
        <v>0</v>
      </c>
      <c r="AKD52" s="23">
        <f>(SUM(AKD9:AKD10)+SUM(AKD17:AKD18)+SUM(AKD35:AKD36)+SUM(AKD38:AKD39))-AKD55</f>
        <v>0</v>
      </c>
      <c r="AKE52" s="23">
        <f>(SUM(AKE9:AKE10)+SUM(AKE17:AKE18)+SUM(AKE35:AKE36)+SUM(AKE38:AKE39))-AKE55</f>
        <v>0</v>
      </c>
      <c r="AKF52" s="23">
        <f>(SUM(AKF9:AKF10)+SUM(AKF17:AKF18)+SUM(AKF35:AKF36)+SUM(AKF38:AKF39))-AKF55</f>
        <v>0</v>
      </c>
    </row>
    <row r="53" spans="2:968">
      <c r="B53" s="1"/>
      <c r="C53" s="27"/>
      <c r="D53" s="1"/>
      <c r="J53" s="1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</row>
    <row r="54" spans="2:968">
      <c r="B54" s="1" t="s">
        <v>80</v>
      </c>
      <c r="C54" s="27">
        <v>99999</v>
      </c>
      <c r="D54" s="1" t="s">
        <v>28</v>
      </c>
      <c r="E54" s="28" t="s">
        <v>145</v>
      </c>
      <c r="F54" s="1" t="s">
        <v>21</v>
      </c>
      <c r="G54" s="1" t="s">
        <v>21</v>
      </c>
      <c r="H54" s="1" t="s">
        <v>21</v>
      </c>
      <c r="I54" s="1" t="s">
        <v>21</v>
      </c>
      <c r="J54" s="1" t="s">
        <v>21</v>
      </c>
      <c r="K54" s="23">
        <v>60113</v>
      </c>
      <c r="L54" s="23">
        <v>37977</v>
      </c>
      <c r="M54" s="23">
        <v>58306</v>
      </c>
      <c r="N54" s="23">
        <v>7356</v>
      </c>
      <c r="O54" s="23">
        <v>0</v>
      </c>
      <c r="P54" s="23">
        <v>21337</v>
      </c>
      <c r="Q54" s="23">
        <v>17758</v>
      </c>
      <c r="R54" s="23">
        <v>118445</v>
      </c>
      <c r="S54" s="23">
        <v>24286</v>
      </c>
      <c r="T54" s="23">
        <v>82874</v>
      </c>
      <c r="U54" s="23">
        <v>34918</v>
      </c>
      <c r="V54" s="23">
        <v>0</v>
      </c>
      <c r="W54" s="23">
        <v>24741</v>
      </c>
      <c r="X54" s="23">
        <v>127457</v>
      </c>
      <c r="Y54" s="23">
        <v>120536</v>
      </c>
      <c r="Z54" s="23">
        <v>303069</v>
      </c>
      <c r="AA54" s="23">
        <v>23573</v>
      </c>
      <c r="AB54" s="23">
        <v>9988</v>
      </c>
      <c r="AC54" s="23">
        <v>0</v>
      </c>
      <c r="AD54" s="23">
        <v>267351</v>
      </c>
      <c r="AE54" s="23">
        <v>299333</v>
      </c>
      <c r="AF54" s="23">
        <v>109538</v>
      </c>
      <c r="AG54" s="23">
        <v>143304</v>
      </c>
      <c r="AH54" s="23">
        <v>142280</v>
      </c>
      <c r="AI54" s="23">
        <v>58185</v>
      </c>
      <c r="AJ54" s="23">
        <v>0</v>
      </c>
      <c r="AK54" s="23">
        <v>277939</v>
      </c>
      <c r="AL54" s="23">
        <v>38215</v>
      </c>
      <c r="AM54" s="23">
        <v>132600</v>
      </c>
      <c r="AN54" s="23">
        <v>134652</v>
      </c>
      <c r="AO54" s="23">
        <v>66842</v>
      </c>
      <c r="AP54" s="23">
        <v>43410</v>
      </c>
      <c r="AQ54" s="23">
        <v>0</v>
      </c>
      <c r="AR54" s="23">
        <v>91972</v>
      </c>
      <c r="AS54" s="23">
        <v>0</v>
      </c>
      <c r="AT54" s="23">
        <v>34593</v>
      </c>
      <c r="AU54" s="23">
        <v>48701</v>
      </c>
      <c r="AV54" s="23">
        <v>17840</v>
      </c>
      <c r="AW54" s="23">
        <v>438318</v>
      </c>
      <c r="AX54" s="23">
        <v>0</v>
      </c>
      <c r="AY54" s="23">
        <v>32603</v>
      </c>
      <c r="AZ54" s="23">
        <v>123130</v>
      </c>
      <c r="BA54" s="23">
        <v>107210</v>
      </c>
      <c r="BB54" s="23">
        <v>66166</v>
      </c>
      <c r="BC54" s="23">
        <v>51488</v>
      </c>
      <c r="BD54" s="23">
        <v>25067</v>
      </c>
      <c r="BE54" s="23">
        <v>0</v>
      </c>
      <c r="BF54" s="23">
        <v>137167</v>
      </c>
      <c r="BG54" s="23">
        <v>132676</v>
      </c>
      <c r="BH54" s="23">
        <v>24237</v>
      </c>
      <c r="BI54" s="23">
        <v>87939</v>
      </c>
      <c r="BJ54" s="23">
        <v>103310</v>
      </c>
      <c r="BK54" s="23">
        <v>164571</v>
      </c>
      <c r="BL54" s="23">
        <v>16309</v>
      </c>
      <c r="BM54" s="23">
        <v>120713</v>
      </c>
      <c r="BN54" s="23">
        <v>24502</v>
      </c>
      <c r="BO54" s="23">
        <v>164324</v>
      </c>
      <c r="BP54" s="23">
        <v>310278</v>
      </c>
      <c r="BQ54" s="23">
        <v>92049</v>
      </c>
      <c r="BR54" s="23">
        <v>0</v>
      </c>
      <c r="BS54" s="23">
        <v>0</v>
      </c>
      <c r="BT54" s="23">
        <v>0</v>
      </c>
      <c r="BU54" s="23">
        <v>0</v>
      </c>
      <c r="BV54" s="23">
        <v>19607</v>
      </c>
      <c r="BW54" s="23">
        <v>4778</v>
      </c>
      <c r="BX54" s="23">
        <v>6896</v>
      </c>
      <c r="BY54" s="23">
        <v>11394</v>
      </c>
      <c r="BZ54" s="23">
        <v>0</v>
      </c>
      <c r="CA54" s="23">
        <v>8206</v>
      </c>
      <c r="CB54" s="23">
        <v>59502</v>
      </c>
      <c r="CC54" s="23">
        <v>49871</v>
      </c>
      <c r="CD54" s="23">
        <v>72728</v>
      </c>
      <c r="CE54" s="23">
        <v>423387</v>
      </c>
      <c r="CF54" s="23">
        <v>10823</v>
      </c>
      <c r="CG54" s="23">
        <v>0</v>
      </c>
      <c r="CH54" s="23">
        <v>4075</v>
      </c>
      <c r="CI54" s="23">
        <v>148337</v>
      </c>
      <c r="CJ54" s="23">
        <v>21103</v>
      </c>
      <c r="CK54" s="23">
        <v>87618</v>
      </c>
      <c r="CL54" s="23">
        <v>126700</v>
      </c>
      <c r="CM54" s="23">
        <v>0</v>
      </c>
      <c r="CN54" s="23">
        <v>0</v>
      </c>
      <c r="CO54" s="23">
        <v>104011</v>
      </c>
      <c r="CP54" s="23">
        <v>102077</v>
      </c>
      <c r="CQ54" s="23">
        <v>39177</v>
      </c>
      <c r="CR54" s="23">
        <v>31232</v>
      </c>
      <c r="CS54" s="23">
        <v>28397</v>
      </c>
      <c r="CT54" s="23">
        <v>6117</v>
      </c>
      <c r="CU54" s="23">
        <v>176572</v>
      </c>
      <c r="CV54" s="23">
        <v>33801</v>
      </c>
      <c r="CW54" s="23">
        <v>78786</v>
      </c>
      <c r="CX54">
        <v>92861</v>
      </c>
      <c r="CY54">
        <v>42677</v>
      </c>
      <c r="CZ54">
        <v>108580</v>
      </c>
      <c r="DA54">
        <v>46826</v>
      </c>
      <c r="DB54">
        <v>81194</v>
      </c>
      <c r="DC54">
        <v>115120</v>
      </c>
      <c r="DD54">
        <v>84679</v>
      </c>
      <c r="DE54">
        <v>78287</v>
      </c>
      <c r="DF54">
        <v>75290</v>
      </c>
      <c r="DG54">
        <v>69322</v>
      </c>
      <c r="DH54">
        <v>16240</v>
      </c>
      <c r="DI54">
        <v>81868</v>
      </c>
      <c r="DJ54">
        <v>460579</v>
      </c>
      <c r="DK54">
        <v>20339</v>
      </c>
      <c r="DL54">
        <v>18898</v>
      </c>
      <c r="DM54">
        <v>26258</v>
      </c>
      <c r="DN54">
        <v>10323</v>
      </c>
      <c r="DO54">
        <v>16452</v>
      </c>
      <c r="DP54">
        <v>0</v>
      </c>
      <c r="DQ54">
        <v>84740</v>
      </c>
      <c r="DR54">
        <v>90110</v>
      </c>
      <c r="DS54">
        <v>55236</v>
      </c>
      <c r="DT54">
        <v>89710</v>
      </c>
      <c r="DU54">
        <v>45476</v>
      </c>
      <c r="DV54">
        <v>17201</v>
      </c>
      <c r="DW54">
        <v>7697</v>
      </c>
      <c r="DX54">
        <v>46393</v>
      </c>
      <c r="DY54">
        <v>46742</v>
      </c>
      <c r="DZ54">
        <v>72746</v>
      </c>
      <c r="EA54">
        <v>49678</v>
      </c>
      <c r="EB54">
        <v>52742</v>
      </c>
      <c r="EC54">
        <v>38024</v>
      </c>
      <c r="ED54">
        <v>0</v>
      </c>
      <c r="EE54">
        <v>56013</v>
      </c>
      <c r="EF54">
        <v>57361</v>
      </c>
      <c r="EG54">
        <v>77623</v>
      </c>
      <c r="EH54">
        <v>129780</v>
      </c>
      <c r="EI54">
        <v>68089</v>
      </c>
      <c r="EJ54">
        <v>48746</v>
      </c>
      <c r="EK54">
        <v>0</v>
      </c>
      <c r="EL54">
        <v>57712</v>
      </c>
      <c r="EM54">
        <v>69611</v>
      </c>
      <c r="EN54">
        <v>42561</v>
      </c>
      <c r="EO54">
        <v>64797</v>
      </c>
      <c r="EP54">
        <v>39502</v>
      </c>
      <c r="EQ54">
        <v>43017</v>
      </c>
      <c r="ER54">
        <v>0</v>
      </c>
      <c r="ES54">
        <v>61343</v>
      </c>
      <c r="ET54">
        <v>171340</v>
      </c>
      <c r="EU54">
        <v>51438</v>
      </c>
      <c r="EV54">
        <v>298379</v>
      </c>
      <c r="EW54">
        <v>7410</v>
      </c>
      <c r="EX54">
        <v>4485</v>
      </c>
      <c r="EY54">
        <v>0</v>
      </c>
      <c r="EZ54">
        <v>74000</v>
      </c>
      <c r="FA54">
        <v>43945</v>
      </c>
      <c r="FB54">
        <v>29425</v>
      </c>
      <c r="FC54">
        <v>26182</v>
      </c>
      <c r="FD54">
        <v>8407</v>
      </c>
      <c r="FE54">
        <v>1982</v>
      </c>
      <c r="FF54">
        <v>0</v>
      </c>
      <c r="FG54">
        <v>12662</v>
      </c>
      <c r="FH54">
        <v>24472</v>
      </c>
      <c r="FI54">
        <v>2254</v>
      </c>
      <c r="FJ54">
        <v>5690</v>
      </c>
      <c r="FK54">
        <v>70287</v>
      </c>
      <c r="FL54">
        <v>0</v>
      </c>
      <c r="FM54">
        <v>0</v>
      </c>
      <c r="FN54">
        <v>59173</v>
      </c>
      <c r="FO54">
        <v>43427</v>
      </c>
      <c r="FP54">
        <v>70329</v>
      </c>
      <c r="FQ54">
        <v>79777</v>
      </c>
      <c r="FR54">
        <v>50245</v>
      </c>
      <c r="FS54">
        <v>0</v>
      </c>
      <c r="FT54">
        <v>0</v>
      </c>
      <c r="FU54">
        <v>0</v>
      </c>
      <c r="FV54">
        <v>7414</v>
      </c>
      <c r="FW54">
        <v>853</v>
      </c>
      <c r="FX54">
        <v>69920</v>
      </c>
      <c r="FY54">
        <v>105070</v>
      </c>
      <c r="FZ54">
        <v>16849</v>
      </c>
      <c r="GA54">
        <v>0</v>
      </c>
      <c r="GB54">
        <v>34601</v>
      </c>
      <c r="GC54">
        <v>1607</v>
      </c>
      <c r="GD54">
        <v>24541</v>
      </c>
      <c r="GE54">
        <v>61511</v>
      </c>
      <c r="GF54">
        <v>64944</v>
      </c>
      <c r="GG54">
        <v>46359</v>
      </c>
      <c r="GH54">
        <v>0</v>
      </c>
      <c r="GI54">
        <v>22865</v>
      </c>
      <c r="GJ54">
        <v>241348</v>
      </c>
      <c r="GK54">
        <v>0</v>
      </c>
      <c r="GL54">
        <v>9174</v>
      </c>
      <c r="GM54">
        <v>59435</v>
      </c>
      <c r="GN54">
        <v>125</v>
      </c>
      <c r="GO54">
        <v>4860</v>
      </c>
      <c r="GP54">
        <v>4191</v>
      </c>
      <c r="GQ54">
        <v>19510</v>
      </c>
      <c r="GR54">
        <v>13275</v>
      </c>
      <c r="GS54">
        <v>23768</v>
      </c>
      <c r="GT54">
        <v>33504</v>
      </c>
      <c r="GU54">
        <v>5956</v>
      </c>
      <c r="GV54">
        <v>0</v>
      </c>
      <c r="GW54">
        <v>13430</v>
      </c>
      <c r="GX54">
        <v>8563</v>
      </c>
      <c r="GY54">
        <v>39304</v>
      </c>
      <c r="GZ54">
        <v>15536</v>
      </c>
      <c r="HA54">
        <v>24994</v>
      </c>
      <c r="HB54">
        <v>9633</v>
      </c>
      <c r="HC54">
        <v>0</v>
      </c>
      <c r="HD54">
        <v>17973</v>
      </c>
      <c r="HE54">
        <v>27324</v>
      </c>
      <c r="HF54">
        <v>0</v>
      </c>
      <c r="HG54">
        <v>8718</v>
      </c>
      <c r="HH54">
        <v>43147</v>
      </c>
      <c r="HI54">
        <v>5640</v>
      </c>
      <c r="HJ54">
        <v>0</v>
      </c>
      <c r="HK54">
        <v>20335</v>
      </c>
      <c r="HL54">
        <v>48797</v>
      </c>
      <c r="HM54">
        <v>4070</v>
      </c>
      <c r="HN54">
        <v>8551</v>
      </c>
      <c r="HO54">
        <v>19073</v>
      </c>
      <c r="HP54">
        <v>18157</v>
      </c>
      <c r="HQ54">
        <v>23693</v>
      </c>
      <c r="HR54">
        <v>0</v>
      </c>
      <c r="HS54">
        <v>31949</v>
      </c>
      <c r="HT54">
        <v>81171</v>
      </c>
      <c r="HU54">
        <v>18430</v>
      </c>
      <c r="HV54">
        <v>13533</v>
      </c>
      <c r="HW54">
        <v>6550</v>
      </c>
      <c r="HX54">
        <v>0</v>
      </c>
      <c r="HY54">
        <v>76562</v>
      </c>
      <c r="HZ54">
        <v>59706</v>
      </c>
      <c r="IA54">
        <v>16501</v>
      </c>
      <c r="IB54">
        <v>39823</v>
      </c>
      <c r="IC54">
        <v>33402</v>
      </c>
      <c r="ID54">
        <v>19211</v>
      </c>
      <c r="IE54">
        <v>0</v>
      </c>
      <c r="IF54">
        <v>131961</v>
      </c>
      <c r="IG54">
        <v>62329</v>
      </c>
      <c r="IH54">
        <v>34379</v>
      </c>
      <c r="II54">
        <v>78134</v>
      </c>
      <c r="IJ54">
        <v>48162</v>
      </c>
      <c r="IK54">
        <v>24499</v>
      </c>
      <c r="IL54">
        <v>0</v>
      </c>
      <c r="IM54">
        <v>34042</v>
      </c>
      <c r="IN54">
        <v>114841</v>
      </c>
      <c r="IO54">
        <v>53768</v>
      </c>
      <c r="IP54">
        <v>46001</v>
      </c>
      <c r="IQ54">
        <v>299278</v>
      </c>
      <c r="IR54" s="42">
        <f>24474+98994</f>
        <v>123468</v>
      </c>
      <c r="IS54">
        <v>0</v>
      </c>
      <c r="IT54">
        <v>12372</v>
      </c>
      <c r="IU54">
        <v>40540</v>
      </c>
      <c r="IV54">
        <v>55909</v>
      </c>
      <c r="IW54">
        <v>37128</v>
      </c>
      <c r="IX54">
        <v>58379</v>
      </c>
      <c r="IY54">
        <v>11682</v>
      </c>
      <c r="IZ54">
        <v>0</v>
      </c>
      <c r="JA54">
        <v>43235</v>
      </c>
      <c r="JB54">
        <v>24656</v>
      </c>
      <c r="JC54">
        <v>30957</v>
      </c>
      <c r="JD54">
        <v>54665</v>
      </c>
      <c r="JE54">
        <v>57938</v>
      </c>
      <c r="JF54">
        <v>76312</v>
      </c>
      <c r="JG54">
        <v>0</v>
      </c>
      <c r="JH54">
        <v>154563</v>
      </c>
      <c r="JI54">
        <v>93464</v>
      </c>
      <c r="JJ54">
        <v>22892</v>
      </c>
      <c r="JK54">
        <v>29024</v>
      </c>
      <c r="JL54">
        <v>68339</v>
      </c>
      <c r="JM54">
        <v>22886</v>
      </c>
      <c r="JN54">
        <v>0</v>
      </c>
      <c r="JO54">
        <v>112531</v>
      </c>
      <c r="JP54">
        <v>114771</v>
      </c>
      <c r="JQ54">
        <v>41767</v>
      </c>
      <c r="JR54">
        <v>8978</v>
      </c>
      <c r="JS54">
        <v>26981</v>
      </c>
      <c r="JT54">
        <v>31012</v>
      </c>
      <c r="JU54">
        <v>0</v>
      </c>
      <c r="JV54">
        <v>0</v>
      </c>
      <c r="JW54">
        <v>5345</v>
      </c>
      <c r="JX54">
        <v>4810</v>
      </c>
      <c r="JY54">
        <v>12556</v>
      </c>
      <c r="JZ54">
        <v>22437</v>
      </c>
      <c r="KA54">
        <v>15039</v>
      </c>
      <c r="KB54">
        <v>0</v>
      </c>
      <c r="KC54">
        <v>18573</v>
      </c>
      <c r="KD54">
        <v>174134</v>
      </c>
      <c r="KE54">
        <v>55247</v>
      </c>
      <c r="KF54">
        <v>17256</v>
      </c>
      <c r="KG54">
        <v>27353</v>
      </c>
      <c r="KH54">
        <v>1361</v>
      </c>
      <c r="KI54">
        <v>0</v>
      </c>
      <c r="KJ54">
        <v>0</v>
      </c>
      <c r="KK54">
        <v>70447</v>
      </c>
      <c r="KL54">
        <v>44804</v>
      </c>
      <c r="KM54">
        <v>40944</v>
      </c>
      <c r="KN54">
        <v>68878</v>
      </c>
      <c r="KO54">
        <v>43496</v>
      </c>
      <c r="KP54">
        <v>0</v>
      </c>
      <c r="KQ54">
        <v>93711</v>
      </c>
      <c r="KR54">
        <v>79742</v>
      </c>
      <c r="KS54">
        <v>12980</v>
      </c>
      <c r="KT54">
        <v>11706</v>
      </c>
      <c r="KU54">
        <v>24123</v>
      </c>
      <c r="KV54">
        <v>4577</v>
      </c>
      <c r="KX54">
        <v>14707</v>
      </c>
      <c r="KY54">
        <v>8354</v>
      </c>
      <c r="KZ54">
        <v>50035</v>
      </c>
      <c r="LA54">
        <v>182671</v>
      </c>
      <c r="LB54">
        <v>188998</v>
      </c>
      <c r="LC54">
        <v>13300</v>
      </c>
      <c r="LD54">
        <v>0</v>
      </c>
      <c r="LE54">
        <v>32446</v>
      </c>
      <c r="LF54">
        <v>13656</v>
      </c>
      <c r="LG54">
        <v>60280</v>
      </c>
      <c r="LH54">
        <v>21998</v>
      </c>
      <c r="LI54">
        <v>62267</v>
      </c>
      <c r="LJ54">
        <v>18342</v>
      </c>
      <c r="LK54">
        <v>0</v>
      </c>
      <c r="LL54">
        <v>86843</v>
      </c>
      <c r="LM54">
        <v>69135</v>
      </c>
      <c r="LN54">
        <v>35164</v>
      </c>
      <c r="LO54">
        <v>20973</v>
      </c>
      <c r="LP54">
        <v>43368</v>
      </c>
      <c r="LQ54">
        <v>17431</v>
      </c>
      <c r="LR54">
        <v>1569</v>
      </c>
      <c r="LS54">
        <v>223044</v>
      </c>
      <c r="LT54">
        <v>102023</v>
      </c>
      <c r="LU54">
        <v>47584</v>
      </c>
      <c r="LV54">
        <v>66051</v>
      </c>
      <c r="LW54">
        <v>72075</v>
      </c>
      <c r="LX54">
        <v>7060</v>
      </c>
      <c r="LY54">
        <v>0</v>
      </c>
      <c r="LZ54">
        <v>38973</v>
      </c>
      <c r="MA54">
        <v>125371</v>
      </c>
      <c r="MB54">
        <v>104645</v>
      </c>
      <c r="MC54">
        <v>76409</v>
      </c>
      <c r="MD54">
        <v>48247</v>
      </c>
      <c r="ME54">
        <v>38576</v>
      </c>
      <c r="MF54">
        <v>55329</v>
      </c>
      <c r="MG54">
        <v>0</v>
      </c>
      <c r="MH54">
        <v>97812</v>
      </c>
      <c r="MI54">
        <v>107326</v>
      </c>
      <c r="MJ54">
        <v>29864</v>
      </c>
      <c r="MK54">
        <v>48406</v>
      </c>
      <c r="ML54">
        <v>20651</v>
      </c>
      <c r="MM54">
        <v>0</v>
      </c>
      <c r="MN54">
        <v>100003</v>
      </c>
      <c r="MO54">
        <v>228202</v>
      </c>
      <c r="MP54">
        <v>161018</v>
      </c>
      <c r="MQ54">
        <v>138268</v>
      </c>
      <c r="MR54">
        <v>36128</v>
      </c>
      <c r="MS54">
        <v>1393</v>
      </c>
      <c r="MT54">
        <v>0</v>
      </c>
      <c r="MU54">
        <v>0</v>
      </c>
      <c r="MV54">
        <v>24046</v>
      </c>
      <c r="MW54">
        <v>50369</v>
      </c>
      <c r="MX54">
        <v>42314</v>
      </c>
      <c r="MY54">
        <v>139119</v>
      </c>
      <c r="MZ54">
        <v>4543</v>
      </c>
      <c r="NA54">
        <v>0</v>
      </c>
      <c r="NB54">
        <v>42339</v>
      </c>
      <c r="NC54">
        <v>102839</v>
      </c>
      <c r="ND54">
        <v>28280</v>
      </c>
      <c r="NE54">
        <v>44484</v>
      </c>
      <c r="NF54">
        <v>80247</v>
      </c>
      <c r="NG54">
        <v>30940</v>
      </c>
      <c r="NH54">
        <v>0</v>
      </c>
      <c r="NI54">
        <v>97498</v>
      </c>
      <c r="NJ54">
        <v>252543</v>
      </c>
      <c r="NK54">
        <v>45595</v>
      </c>
      <c r="NL54">
        <v>45596</v>
      </c>
      <c r="NM54">
        <v>45597</v>
      </c>
      <c r="NN54">
        <v>45598</v>
      </c>
      <c r="NO54">
        <v>0</v>
      </c>
      <c r="NP54">
        <v>68098</v>
      </c>
      <c r="NQ54">
        <v>107241</v>
      </c>
      <c r="NR54">
        <v>19597</v>
      </c>
      <c r="NS54">
        <v>76844</v>
      </c>
      <c r="NT54">
        <v>70127</v>
      </c>
      <c r="NU54">
        <v>44297</v>
      </c>
      <c r="NV54">
        <v>0</v>
      </c>
      <c r="NW54">
        <v>18942</v>
      </c>
      <c r="NX54">
        <v>74139</v>
      </c>
      <c r="NY54">
        <v>10360</v>
      </c>
      <c r="NZ54">
        <v>20365</v>
      </c>
      <c r="OA54">
        <v>9132</v>
      </c>
      <c r="OB54">
        <v>30965</v>
      </c>
      <c r="OC54">
        <v>0</v>
      </c>
      <c r="OD54">
        <v>18525</v>
      </c>
      <c r="OE54">
        <v>65961</v>
      </c>
      <c r="OF54">
        <v>80247</v>
      </c>
      <c r="OG54">
        <v>28341</v>
      </c>
      <c r="OH54">
        <v>138016</v>
      </c>
      <c r="OI54">
        <v>27507</v>
      </c>
      <c r="OJ54">
        <v>0</v>
      </c>
      <c r="OK54">
        <v>98843</v>
      </c>
      <c r="OL54">
        <v>36017</v>
      </c>
      <c r="OM54">
        <v>127390</v>
      </c>
      <c r="ON54">
        <v>47888</v>
      </c>
      <c r="OO54">
        <v>47846</v>
      </c>
      <c r="OP54">
        <v>59820</v>
      </c>
      <c r="OQ54">
        <v>0</v>
      </c>
      <c r="OR54">
        <v>37694</v>
      </c>
      <c r="OS54">
        <v>33311</v>
      </c>
      <c r="OT54">
        <v>42660</v>
      </c>
      <c r="OU54">
        <v>0</v>
      </c>
      <c r="OV54">
        <v>39952</v>
      </c>
      <c r="OW54">
        <v>49573</v>
      </c>
      <c r="OX54">
        <v>0</v>
      </c>
      <c r="OY54">
        <v>27363</v>
      </c>
      <c r="OZ54">
        <v>48896</v>
      </c>
      <c r="PA54">
        <v>38435</v>
      </c>
      <c r="PB54">
        <v>8574</v>
      </c>
      <c r="PC54">
        <v>21034</v>
      </c>
      <c r="PD54">
        <v>23490</v>
      </c>
      <c r="PE54">
        <v>0</v>
      </c>
      <c r="PF54">
        <v>63392</v>
      </c>
      <c r="PG54">
        <v>58020</v>
      </c>
      <c r="PH54">
        <v>80638</v>
      </c>
      <c r="PI54">
        <v>14021</v>
      </c>
      <c r="PJ54">
        <v>78120</v>
      </c>
      <c r="PK54">
        <v>149122</v>
      </c>
      <c r="PL54">
        <v>0</v>
      </c>
      <c r="PM54">
        <v>288622</v>
      </c>
      <c r="PN54">
        <v>146086</v>
      </c>
      <c r="PO54">
        <v>34802</v>
      </c>
      <c r="PP54">
        <v>54699</v>
      </c>
      <c r="PQ54">
        <v>165474</v>
      </c>
      <c r="PR54">
        <v>47335</v>
      </c>
      <c r="PS54">
        <v>0</v>
      </c>
      <c r="PT54">
        <v>0</v>
      </c>
      <c r="PU54">
        <v>0</v>
      </c>
      <c r="PW54">
        <v>16427</v>
      </c>
      <c r="PX54">
        <v>8602</v>
      </c>
      <c r="PY54">
        <v>9951</v>
      </c>
      <c r="PZ54">
        <v>0</v>
      </c>
      <c r="QA54">
        <v>191825</v>
      </c>
      <c r="QB54">
        <v>82856</v>
      </c>
      <c r="QC54">
        <v>48775</v>
      </c>
      <c r="QD54">
        <v>16421</v>
      </c>
      <c r="QE54">
        <v>32027</v>
      </c>
      <c r="QF54">
        <v>3509</v>
      </c>
      <c r="QG54">
        <v>0</v>
      </c>
      <c r="QH54">
        <v>10871</v>
      </c>
      <c r="QI54">
        <v>70614</v>
      </c>
      <c r="QJ54">
        <v>13756</v>
      </c>
      <c r="QK54">
        <v>19327</v>
      </c>
      <c r="QL54">
        <v>51700</v>
      </c>
      <c r="QM54">
        <v>10661</v>
      </c>
      <c r="QN54">
        <v>0</v>
      </c>
      <c r="QO54">
        <v>104034</v>
      </c>
      <c r="QP54">
        <v>28928</v>
      </c>
      <c r="QQ54">
        <v>25659</v>
      </c>
      <c r="QR54">
        <v>20223</v>
      </c>
      <c r="QS54">
        <v>11798</v>
      </c>
      <c r="QT54">
        <v>75819</v>
      </c>
      <c r="QU54">
        <v>0</v>
      </c>
      <c r="QV54">
        <v>44266</v>
      </c>
      <c r="QW54">
        <v>74443</v>
      </c>
      <c r="QX54">
        <v>45770</v>
      </c>
      <c r="QY54">
        <v>51996</v>
      </c>
      <c r="QZ54">
        <v>198129</v>
      </c>
      <c r="RA54">
        <v>8948</v>
      </c>
      <c r="RB54">
        <v>44368</v>
      </c>
      <c r="RC54">
        <v>22242</v>
      </c>
      <c r="RD54">
        <v>21128</v>
      </c>
      <c r="RE54">
        <v>53761</v>
      </c>
      <c r="RF54">
        <v>55095</v>
      </c>
      <c r="RG54">
        <v>0</v>
      </c>
      <c r="RH54">
        <v>0</v>
      </c>
      <c r="RI54">
        <v>0</v>
      </c>
      <c r="RJ54">
        <v>25622</v>
      </c>
      <c r="RK54">
        <v>50989</v>
      </c>
      <c r="RL54">
        <v>3957</v>
      </c>
      <c r="RM54">
        <v>79572</v>
      </c>
      <c r="RN54">
        <v>31560</v>
      </c>
      <c r="RO54">
        <v>9175</v>
      </c>
      <c r="RP54">
        <v>0</v>
      </c>
      <c r="RQ54">
        <v>37591</v>
      </c>
      <c r="RR54">
        <v>37160</v>
      </c>
      <c r="RS54">
        <v>8738</v>
      </c>
      <c r="RT54">
        <v>24284</v>
      </c>
      <c r="RU54">
        <v>72308</v>
      </c>
      <c r="RV54">
        <v>47720</v>
      </c>
      <c r="RW54">
        <v>275</v>
      </c>
      <c r="RX54">
        <v>71981</v>
      </c>
      <c r="RY54">
        <v>81211</v>
      </c>
      <c r="RZ54">
        <v>42995</v>
      </c>
      <c r="SA54">
        <v>44029</v>
      </c>
      <c r="SB54">
        <v>20344</v>
      </c>
      <c r="SC54">
        <v>1639</v>
      </c>
      <c r="SD54">
        <v>0</v>
      </c>
      <c r="SE54">
        <v>29841</v>
      </c>
      <c r="SF54">
        <v>7273</v>
      </c>
      <c r="SG54">
        <v>40582</v>
      </c>
      <c r="SH54">
        <v>58902</v>
      </c>
      <c r="SI54">
        <v>68211</v>
      </c>
      <c r="SJ54">
        <v>23251</v>
      </c>
      <c r="SK54">
        <v>0</v>
      </c>
      <c r="SL54">
        <v>39281</v>
      </c>
      <c r="SM54">
        <v>60816</v>
      </c>
      <c r="SN54">
        <v>85021</v>
      </c>
      <c r="SO54">
        <v>18870</v>
      </c>
      <c r="SP54">
        <v>72397</v>
      </c>
      <c r="SQ54">
        <v>37090</v>
      </c>
      <c r="SR54">
        <v>0</v>
      </c>
      <c r="SS54">
        <v>135050</v>
      </c>
      <c r="ST54">
        <v>65168</v>
      </c>
      <c r="SU54">
        <v>117538</v>
      </c>
      <c r="SV54">
        <v>106791</v>
      </c>
      <c r="SW54">
        <v>49041</v>
      </c>
      <c r="SX54">
        <v>94959</v>
      </c>
      <c r="SY54">
        <v>0</v>
      </c>
      <c r="SZ54">
        <v>105818</v>
      </c>
      <c r="TA54">
        <v>83809</v>
      </c>
      <c r="TB54">
        <v>54696</v>
      </c>
      <c r="TC54">
        <v>64956</v>
      </c>
      <c r="TD54">
        <v>52744</v>
      </c>
      <c r="TE54">
        <v>24233</v>
      </c>
      <c r="TF54">
        <v>0</v>
      </c>
      <c r="TG54">
        <v>71053</v>
      </c>
      <c r="TH54">
        <v>4289</v>
      </c>
      <c r="TI54">
        <v>45192</v>
      </c>
      <c r="TJ54">
        <v>37026</v>
      </c>
      <c r="TK54">
        <v>57201</v>
      </c>
      <c r="TL54">
        <v>47021</v>
      </c>
      <c r="TM54">
        <v>796</v>
      </c>
      <c r="TN54">
        <v>39633</v>
      </c>
      <c r="TO54">
        <v>49975</v>
      </c>
      <c r="TP54">
        <v>50643</v>
      </c>
      <c r="TQ54">
        <v>41677</v>
      </c>
      <c r="TR54">
        <v>79971</v>
      </c>
      <c r="TS54">
        <v>16538</v>
      </c>
      <c r="TT54">
        <v>0</v>
      </c>
      <c r="TU54">
        <v>0</v>
      </c>
      <c r="TV54">
        <v>0</v>
      </c>
      <c r="TW54">
        <v>210151</v>
      </c>
      <c r="TX54">
        <v>23868</v>
      </c>
      <c r="TY54">
        <v>31350</v>
      </c>
      <c r="TZ54">
        <v>29240</v>
      </c>
      <c r="UA54">
        <v>0</v>
      </c>
      <c r="UB54">
        <v>25590</v>
      </c>
      <c r="UC54">
        <v>35064</v>
      </c>
      <c r="UD54">
        <v>41991</v>
      </c>
      <c r="UE54">
        <v>10367</v>
      </c>
      <c r="UF54">
        <v>21660</v>
      </c>
      <c r="UG54">
        <v>2853</v>
      </c>
      <c r="UH54">
        <v>0</v>
      </c>
      <c r="UI54">
        <v>96502</v>
      </c>
      <c r="UJ54">
        <v>58310</v>
      </c>
      <c r="UK54">
        <v>63770</v>
      </c>
      <c r="UL54">
        <v>0</v>
      </c>
      <c r="UM54">
        <v>19301</v>
      </c>
      <c r="UN54">
        <v>3919</v>
      </c>
      <c r="UO54">
        <v>52562</v>
      </c>
      <c r="UP54">
        <v>39649</v>
      </c>
      <c r="UQ54">
        <v>87867</v>
      </c>
      <c r="UR54">
        <v>40144</v>
      </c>
      <c r="US54">
        <v>49941</v>
      </c>
      <c r="UT54">
        <v>0</v>
      </c>
      <c r="UU54">
        <v>0</v>
      </c>
      <c r="UV54">
        <v>0</v>
      </c>
      <c r="UW54">
        <v>116734</v>
      </c>
      <c r="UX54">
        <v>42738</v>
      </c>
      <c r="UY54">
        <v>29075</v>
      </c>
      <c r="UZ54">
        <v>18617</v>
      </c>
      <c r="VA54">
        <v>69352</v>
      </c>
      <c r="VB54">
        <v>313544</v>
      </c>
      <c r="VC54">
        <v>0</v>
      </c>
      <c r="VD54">
        <v>81026</v>
      </c>
      <c r="VE54">
        <v>7753</v>
      </c>
      <c r="VF54">
        <v>47337</v>
      </c>
      <c r="VG54">
        <v>42373</v>
      </c>
      <c r="VH54">
        <v>56837</v>
      </c>
      <c r="VI54">
        <v>18588</v>
      </c>
      <c r="VJ54">
        <v>0</v>
      </c>
      <c r="VK54">
        <v>15317</v>
      </c>
      <c r="VL54">
        <v>73408</v>
      </c>
      <c r="VM54">
        <v>59513</v>
      </c>
      <c r="VN54">
        <v>61733</v>
      </c>
      <c r="VO54">
        <v>77188</v>
      </c>
      <c r="VP54">
        <v>25155</v>
      </c>
      <c r="VQ54">
        <v>0</v>
      </c>
      <c r="VR54">
        <v>62928</v>
      </c>
      <c r="VS54">
        <v>0</v>
      </c>
      <c r="VT54">
        <v>24594</v>
      </c>
      <c r="VU54">
        <v>7380</v>
      </c>
      <c r="VV54">
        <v>78017</v>
      </c>
      <c r="VW54">
        <v>2468</v>
      </c>
      <c r="VX54">
        <v>0</v>
      </c>
      <c r="VY54">
        <v>125577</v>
      </c>
      <c r="VZ54">
        <v>17638</v>
      </c>
      <c r="WA54">
        <v>36984</v>
      </c>
      <c r="WB54">
        <v>27284</v>
      </c>
      <c r="WC54">
        <v>19319</v>
      </c>
      <c r="WD54">
        <v>9978</v>
      </c>
      <c r="WE54">
        <v>0</v>
      </c>
      <c r="WF54">
        <v>127885</v>
      </c>
      <c r="WG54">
        <v>53142</v>
      </c>
      <c r="WH54">
        <v>71533</v>
      </c>
      <c r="WI54">
        <v>26732</v>
      </c>
      <c r="WJ54">
        <v>33884</v>
      </c>
      <c r="WK54">
        <v>30309</v>
      </c>
      <c r="WL54">
        <v>0</v>
      </c>
      <c r="WM54">
        <v>13835</v>
      </c>
      <c r="WN54">
        <v>98689</v>
      </c>
      <c r="WO54">
        <v>53309</v>
      </c>
      <c r="WP54">
        <v>335414</v>
      </c>
      <c r="WQ54">
        <v>28359</v>
      </c>
      <c r="WR54">
        <v>7398</v>
      </c>
      <c r="WS54">
        <v>0</v>
      </c>
      <c r="WT54">
        <v>24947</v>
      </c>
      <c r="WU54">
        <v>20714</v>
      </c>
      <c r="WV54">
        <v>31141</v>
      </c>
      <c r="WW54">
        <v>28043</v>
      </c>
      <c r="WX54">
        <v>334197</v>
      </c>
      <c r="WY54">
        <v>63617</v>
      </c>
      <c r="WZ54">
        <v>0</v>
      </c>
      <c r="XA54">
        <v>201808</v>
      </c>
      <c r="XB54">
        <v>251824</v>
      </c>
      <c r="XC54">
        <v>121769</v>
      </c>
      <c r="XD54">
        <v>42361</v>
      </c>
      <c r="XE54">
        <v>88787</v>
      </c>
      <c r="XF54">
        <v>49841</v>
      </c>
      <c r="XG54">
        <v>0</v>
      </c>
      <c r="XH54">
        <v>61351</v>
      </c>
      <c r="XI54">
        <v>61043</v>
      </c>
      <c r="XJ54">
        <v>26211</v>
      </c>
      <c r="XK54">
        <v>48427</v>
      </c>
      <c r="XL54">
        <v>104148</v>
      </c>
      <c r="XM54">
        <v>229557</v>
      </c>
      <c r="XN54">
        <v>0</v>
      </c>
      <c r="XO54">
        <v>40468</v>
      </c>
      <c r="XP54">
        <v>39379</v>
      </c>
      <c r="XQ54">
        <v>20066</v>
      </c>
      <c r="XR54">
        <v>61996</v>
      </c>
      <c r="XS54">
        <v>656474</v>
      </c>
      <c r="XT54">
        <v>28957</v>
      </c>
      <c r="XU54">
        <v>0</v>
      </c>
      <c r="XV54">
        <v>0</v>
      </c>
      <c r="XW54">
        <v>20807</v>
      </c>
      <c r="XX54">
        <v>43289</v>
      </c>
      <c r="XY54">
        <v>53330</v>
      </c>
      <c r="XZ54">
        <v>41983</v>
      </c>
      <c r="YA54">
        <v>16182</v>
      </c>
      <c r="YB54">
        <v>0</v>
      </c>
      <c r="YC54">
        <v>45445</v>
      </c>
      <c r="YD54">
        <v>69604</v>
      </c>
      <c r="YE54">
        <v>36031</v>
      </c>
      <c r="YF54">
        <v>66912</v>
      </c>
      <c r="YG54">
        <v>5461</v>
      </c>
      <c r="YH54">
        <v>347783</v>
      </c>
      <c r="YI54">
        <v>0</v>
      </c>
      <c r="YJ54">
        <v>18436</v>
      </c>
      <c r="YK54">
        <v>0</v>
      </c>
      <c r="YL54">
        <v>97877</v>
      </c>
      <c r="YM54">
        <v>85436</v>
      </c>
      <c r="YN54">
        <v>35153</v>
      </c>
      <c r="YO54">
        <v>46951</v>
      </c>
      <c r="YP54">
        <v>55582</v>
      </c>
      <c r="YQ54">
        <v>34693</v>
      </c>
      <c r="YR54">
        <v>0</v>
      </c>
      <c r="YS54">
        <v>24880</v>
      </c>
      <c r="YT54">
        <v>101773</v>
      </c>
      <c r="YU54">
        <v>41560</v>
      </c>
      <c r="YV54">
        <v>28589</v>
      </c>
      <c r="YW54">
        <v>0</v>
      </c>
      <c r="YX54">
        <v>44738</v>
      </c>
      <c r="YY54">
        <v>63117</v>
      </c>
      <c r="YZ54">
        <v>46798</v>
      </c>
      <c r="ZA54">
        <v>46919</v>
      </c>
      <c r="ZB54">
        <v>173234</v>
      </c>
      <c r="ZC54">
        <v>34360</v>
      </c>
      <c r="ZD54">
        <v>22933</v>
      </c>
      <c r="ZE54">
        <v>53284</v>
      </c>
      <c r="ZF54">
        <v>6242</v>
      </c>
      <c r="ZG54">
        <v>33849</v>
      </c>
      <c r="ZH54">
        <v>39403</v>
      </c>
      <c r="ZI54">
        <v>37548</v>
      </c>
      <c r="ZJ54">
        <v>92892</v>
      </c>
      <c r="ZK54">
        <v>14513</v>
      </c>
      <c r="ZL54">
        <v>83851</v>
      </c>
      <c r="ZM54">
        <v>0</v>
      </c>
      <c r="ZN54">
        <v>0</v>
      </c>
      <c r="ZO54">
        <v>43178</v>
      </c>
      <c r="ZP54">
        <v>26798</v>
      </c>
      <c r="ZQ54">
        <v>42166</v>
      </c>
      <c r="ZR54">
        <v>0</v>
      </c>
      <c r="ZS54">
        <v>13949</v>
      </c>
      <c r="ZT54">
        <v>134660</v>
      </c>
      <c r="ZU54">
        <v>45797</v>
      </c>
      <c r="ZV54">
        <v>8760</v>
      </c>
      <c r="ZW54">
        <v>47914</v>
      </c>
      <c r="ZX54">
        <v>5921</v>
      </c>
      <c r="ZY54">
        <v>0</v>
      </c>
      <c r="ZZ54">
        <v>110509</v>
      </c>
      <c r="AAA54">
        <v>36401</v>
      </c>
      <c r="AAB54">
        <v>27494</v>
      </c>
      <c r="AAC54">
        <v>10752</v>
      </c>
      <c r="AAD54">
        <v>310810</v>
      </c>
      <c r="AAE54">
        <v>31868</v>
      </c>
      <c r="AAF54">
        <v>0</v>
      </c>
      <c r="AAG54">
        <v>22162</v>
      </c>
      <c r="AAH54">
        <v>86955</v>
      </c>
      <c r="AAI54">
        <v>29883</v>
      </c>
      <c r="AAJ54">
        <v>33142</v>
      </c>
      <c r="AAK54">
        <v>63209</v>
      </c>
      <c r="AAL54">
        <v>25471</v>
      </c>
      <c r="AAM54">
        <v>71072</v>
      </c>
      <c r="AAN54">
        <v>42066</v>
      </c>
      <c r="AAO54">
        <v>119412</v>
      </c>
      <c r="AAP54">
        <v>39970</v>
      </c>
      <c r="AAQ54">
        <v>53659</v>
      </c>
      <c r="AAR54">
        <v>88739</v>
      </c>
      <c r="AAS54">
        <v>18354</v>
      </c>
      <c r="AAT54">
        <v>0</v>
      </c>
      <c r="AAU54">
        <v>0</v>
      </c>
      <c r="AAV54">
        <v>55019</v>
      </c>
      <c r="AAW54">
        <v>6274</v>
      </c>
      <c r="AAX54">
        <v>33588</v>
      </c>
      <c r="AAY54">
        <v>25259</v>
      </c>
      <c r="AAZ54">
        <v>14354</v>
      </c>
      <c r="ABA54">
        <v>0</v>
      </c>
      <c r="ABB54">
        <v>39988</v>
      </c>
      <c r="ABC54">
        <v>36710</v>
      </c>
      <c r="ABD54">
        <v>56107</v>
      </c>
      <c r="ABE54">
        <v>53386</v>
      </c>
      <c r="ABF54">
        <v>94604</v>
      </c>
      <c r="ABG54">
        <v>0</v>
      </c>
      <c r="ABH54">
        <v>0</v>
      </c>
      <c r="ABI54">
        <v>72943</v>
      </c>
      <c r="ABJ54">
        <v>55276</v>
      </c>
      <c r="ABK54">
        <v>21059</v>
      </c>
      <c r="ABL54">
        <v>48957</v>
      </c>
      <c r="ABM54">
        <v>108218</v>
      </c>
      <c r="ABN54">
        <v>52371</v>
      </c>
      <c r="ABO54">
        <v>0</v>
      </c>
      <c r="ABP54">
        <v>45822</v>
      </c>
      <c r="ABQ54">
        <v>7408</v>
      </c>
      <c r="ABR54">
        <v>25481</v>
      </c>
      <c r="ABS54">
        <v>37762</v>
      </c>
      <c r="ABT54">
        <v>32333</v>
      </c>
      <c r="ABU54">
        <v>35596</v>
      </c>
      <c r="ABV54">
        <v>0</v>
      </c>
      <c r="ABW54">
        <v>70628</v>
      </c>
      <c r="ABX54">
        <v>221434</v>
      </c>
      <c r="ABY54">
        <v>148385</v>
      </c>
      <c r="ABZ54">
        <v>219908</v>
      </c>
      <c r="ACA54">
        <v>187971</v>
      </c>
      <c r="ACB54">
        <v>172334</v>
      </c>
      <c r="ACC54">
        <v>0</v>
      </c>
      <c r="ACD54">
        <v>74526</v>
      </c>
      <c r="ACE54">
        <v>206134</v>
      </c>
      <c r="ACF54">
        <v>41196</v>
      </c>
      <c r="ACG54">
        <v>152587</v>
      </c>
      <c r="ACH54">
        <v>37749</v>
      </c>
      <c r="ACI54">
        <v>21789</v>
      </c>
      <c r="ACJ54">
        <v>0</v>
      </c>
      <c r="ACK54">
        <v>95710</v>
      </c>
      <c r="ACL54">
        <v>125506</v>
      </c>
      <c r="ACM54">
        <v>47699</v>
      </c>
      <c r="ACN54">
        <v>35136</v>
      </c>
      <c r="ACO54">
        <v>43103</v>
      </c>
      <c r="ACP54">
        <v>66144</v>
      </c>
      <c r="ACQ54">
        <v>0</v>
      </c>
      <c r="ACR54">
        <v>198263</v>
      </c>
      <c r="ACS54">
        <v>93165</v>
      </c>
      <c r="ACT54">
        <v>54252</v>
      </c>
      <c r="ACU54">
        <v>27562</v>
      </c>
      <c r="ACV54">
        <v>64172</v>
      </c>
      <c r="ACW54">
        <v>46505</v>
      </c>
      <c r="ACX54">
        <v>32985</v>
      </c>
      <c r="ACY54">
        <v>20875</v>
      </c>
      <c r="ACZ54">
        <v>287176</v>
      </c>
      <c r="ADA54">
        <v>644644</v>
      </c>
      <c r="ADB54">
        <v>24596</v>
      </c>
      <c r="ADC54">
        <v>0</v>
      </c>
      <c r="ADD54">
        <v>24596</v>
      </c>
      <c r="ADE54">
        <v>0</v>
      </c>
      <c r="ADF54">
        <v>54408</v>
      </c>
      <c r="ADG54">
        <v>43353</v>
      </c>
      <c r="ADH54">
        <v>178267</v>
      </c>
      <c r="ADI54">
        <v>73475</v>
      </c>
      <c r="ADJ54">
        <v>104887</v>
      </c>
      <c r="ADK54">
        <v>40860</v>
      </c>
      <c r="ADL54">
        <v>0</v>
      </c>
      <c r="ADM54">
        <v>146641</v>
      </c>
      <c r="ADN54">
        <v>44304</v>
      </c>
      <c r="ADO54">
        <v>79066</v>
      </c>
      <c r="ADP54">
        <v>49023</v>
      </c>
      <c r="ADQ54">
        <v>79612</v>
      </c>
      <c r="ADR54">
        <v>91487</v>
      </c>
      <c r="ADS54">
        <v>0</v>
      </c>
      <c r="ADT54">
        <v>52390</v>
      </c>
      <c r="ADU54">
        <v>203</v>
      </c>
      <c r="ADV54">
        <v>0</v>
      </c>
      <c r="ADW54">
        <v>0</v>
      </c>
      <c r="ADX54">
        <v>796647</v>
      </c>
      <c r="ADY54">
        <v>7</v>
      </c>
      <c r="ADZ54">
        <v>0</v>
      </c>
      <c r="AEA54">
        <v>53322</v>
      </c>
      <c r="AEB54">
        <v>31277</v>
      </c>
      <c r="AEC54">
        <v>22607</v>
      </c>
      <c r="AED54">
        <v>14402</v>
      </c>
      <c r="AEE54">
        <v>78091</v>
      </c>
      <c r="AEF54">
        <v>4286</v>
      </c>
      <c r="AEG54">
        <v>0</v>
      </c>
      <c r="AEH54">
        <v>56662</v>
      </c>
      <c r="AEI54">
        <v>10406</v>
      </c>
      <c r="AEJ54">
        <v>84152</v>
      </c>
      <c r="AEK54">
        <v>61312</v>
      </c>
      <c r="AEL54">
        <v>142485</v>
      </c>
      <c r="AEM54">
        <v>45963</v>
      </c>
      <c r="AEN54" s="31">
        <v>0</v>
      </c>
      <c r="AEO54">
        <v>106295</v>
      </c>
      <c r="AEP54">
        <v>60982</v>
      </c>
      <c r="AEQ54">
        <v>50145</v>
      </c>
      <c r="AER54">
        <v>88534</v>
      </c>
      <c r="AES54">
        <v>63214</v>
      </c>
      <c r="AET54">
        <v>23325</v>
      </c>
      <c r="AEU54">
        <v>0</v>
      </c>
      <c r="AEV54">
        <v>93674</v>
      </c>
      <c r="AEW54">
        <v>25378</v>
      </c>
      <c r="AEX54">
        <v>40655</v>
      </c>
      <c r="AEY54">
        <v>48282</v>
      </c>
      <c r="AEZ54">
        <v>408283</v>
      </c>
      <c r="AFA54">
        <v>48143</v>
      </c>
      <c r="AFB54">
        <v>0</v>
      </c>
      <c r="AFC54">
        <v>48508</v>
      </c>
      <c r="AFD54">
        <v>34415</v>
      </c>
      <c r="AFE54">
        <v>194235</v>
      </c>
      <c r="AFF54">
        <v>71600</v>
      </c>
      <c r="AFG54">
        <v>167155</v>
      </c>
      <c r="AFH54">
        <v>54430</v>
      </c>
      <c r="AFI54">
        <v>0</v>
      </c>
      <c r="AFJ54">
        <v>43562</v>
      </c>
      <c r="AFK54">
        <v>30150</v>
      </c>
      <c r="AFL54">
        <v>12020</v>
      </c>
      <c r="AFM54">
        <v>41171</v>
      </c>
      <c r="AFN54">
        <v>9912</v>
      </c>
      <c r="AFO54">
        <v>14141</v>
      </c>
      <c r="AFP54">
        <v>363</v>
      </c>
      <c r="AFQ54">
        <v>20358</v>
      </c>
      <c r="AFR54">
        <v>22132</v>
      </c>
      <c r="AFS54">
        <v>140190</v>
      </c>
      <c r="AFT54">
        <v>282931</v>
      </c>
      <c r="AFU54">
        <v>45399</v>
      </c>
      <c r="AFV54">
        <v>47161</v>
      </c>
      <c r="AFW54">
        <v>0</v>
      </c>
      <c r="AFX54">
        <v>179388</v>
      </c>
      <c r="AFY54">
        <v>79310</v>
      </c>
      <c r="AFZ54">
        <v>84275</v>
      </c>
      <c r="AGA54">
        <v>53945</v>
      </c>
      <c r="AGB54">
        <v>53412</v>
      </c>
      <c r="AGC54">
        <v>65086</v>
      </c>
      <c r="AGD54">
        <v>0</v>
      </c>
      <c r="AGE54">
        <v>209687</v>
      </c>
      <c r="AGF54">
        <v>81447</v>
      </c>
      <c r="AGG54">
        <v>61526</v>
      </c>
      <c r="AGH54">
        <v>41971</v>
      </c>
      <c r="AGI54">
        <v>15096</v>
      </c>
      <c r="AGJ54">
        <v>0</v>
      </c>
      <c r="AGK54">
        <v>0</v>
      </c>
      <c r="AGL54">
        <v>252977</v>
      </c>
      <c r="AGM54">
        <v>45579</v>
      </c>
      <c r="AGN54">
        <v>31242</v>
      </c>
      <c r="AGO54">
        <v>35441</v>
      </c>
      <c r="AGP54">
        <v>35355</v>
      </c>
      <c r="AGQ54">
        <v>22659</v>
      </c>
      <c r="AGR54">
        <v>228</v>
      </c>
      <c r="AGS54">
        <v>137944</v>
      </c>
      <c r="AGT54">
        <v>63359</v>
      </c>
      <c r="AGU54">
        <v>37635</v>
      </c>
      <c r="AGV54">
        <v>24622</v>
      </c>
      <c r="AGW54" s="155">
        <f>SUMIF($D:$D,$AG$3,AFT:AFT)</f>
        <v>0</v>
      </c>
      <c r="AGX54" s="155">
        <f>SUMIF($D:$D,$AG$3,AFU:AFU)</f>
        <v>0</v>
      </c>
      <c r="AGY54" s="155">
        <v>0</v>
      </c>
      <c r="AGZ54" s="155">
        <v>0</v>
      </c>
      <c r="AHA54" s="155">
        <v>0</v>
      </c>
      <c r="AHB54" s="155">
        <v>0</v>
      </c>
      <c r="AHC54" s="155">
        <v>0</v>
      </c>
      <c r="AHD54" s="155">
        <v>0</v>
      </c>
      <c r="AHE54" s="155">
        <v>0</v>
      </c>
      <c r="AHF54" s="155">
        <v>0</v>
      </c>
      <c r="AHI54">
        <v>116440</v>
      </c>
      <c r="AHJ54">
        <v>97331</v>
      </c>
      <c r="AHK54">
        <v>98162</v>
      </c>
      <c r="AHL54">
        <v>23086</v>
      </c>
      <c r="AHN54">
        <v>1193</v>
      </c>
      <c r="AHO54">
        <v>47914</v>
      </c>
      <c r="AHP54">
        <v>85830</v>
      </c>
      <c r="AHQ54">
        <v>39415</v>
      </c>
      <c r="AHR54">
        <v>111034</v>
      </c>
      <c r="AHS54">
        <v>33983</v>
      </c>
      <c r="AHT54">
        <v>0</v>
      </c>
      <c r="AHU54">
        <v>0</v>
      </c>
      <c r="AHV54">
        <v>0</v>
      </c>
      <c r="AHW54">
        <v>33133</v>
      </c>
      <c r="AHX54">
        <v>444955</v>
      </c>
      <c r="AHY54">
        <v>2405</v>
      </c>
      <c r="AHZ54">
        <v>33691</v>
      </c>
      <c r="AIA54">
        <v>84</v>
      </c>
      <c r="AIB54">
        <v>94248</v>
      </c>
      <c r="AIC54">
        <v>18098</v>
      </c>
      <c r="AID54">
        <v>146467</v>
      </c>
      <c r="AIE54">
        <v>77465</v>
      </c>
      <c r="AIF54">
        <v>19237</v>
      </c>
      <c r="AIG54">
        <v>27301</v>
      </c>
      <c r="AIH54">
        <v>66859</v>
      </c>
      <c r="AII54">
        <v>0</v>
      </c>
      <c r="AIJ54">
        <v>2950</v>
      </c>
      <c r="AIK54">
        <v>2022</v>
      </c>
      <c r="AIL54">
        <v>6411</v>
      </c>
      <c r="AIM54">
        <v>0</v>
      </c>
      <c r="AIN54">
        <v>75807</v>
      </c>
      <c r="AIO54">
        <v>0</v>
      </c>
      <c r="AIP54">
        <v>0</v>
      </c>
      <c r="AIQ54">
        <v>15088</v>
      </c>
      <c r="AIR54">
        <v>15701</v>
      </c>
      <c r="AIS54">
        <v>196102</v>
      </c>
      <c r="AIT54">
        <v>110699</v>
      </c>
      <c r="AIU54">
        <v>203299</v>
      </c>
      <c r="AIV54">
        <v>0</v>
      </c>
      <c r="AIW54">
        <v>164828</v>
      </c>
      <c r="AIX54">
        <v>331459</v>
      </c>
      <c r="AIY54">
        <v>5544</v>
      </c>
      <c r="AIZ54">
        <v>79727</v>
      </c>
      <c r="AJA54">
        <v>46521</v>
      </c>
      <c r="AJB54">
        <v>26339</v>
      </c>
      <c r="AJC54">
        <v>0</v>
      </c>
      <c r="AJD54">
        <v>24531</v>
      </c>
      <c r="AJE54">
        <v>21659</v>
      </c>
      <c r="AJF54">
        <v>8451</v>
      </c>
      <c r="AJG54">
        <v>28936</v>
      </c>
      <c r="AJH54">
        <v>47148</v>
      </c>
      <c r="AJI54">
        <v>38460</v>
      </c>
      <c r="AJJ54">
        <v>0</v>
      </c>
      <c r="AJK54">
        <v>22600</v>
      </c>
      <c r="AJL54">
        <v>161716</v>
      </c>
      <c r="AJM54">
        <v>144097</v>
      </c>
      <c r="AJN54">
        <v>5587</v>
      </c>
      <c r="AJO54">
        <v>18475</v>
      </c>
      <c r="AJP54">
        <v>226</v>
      </c>
      <c r="AJQ54">
        <v>0</v>
      </c>
      <c r="AJR54">
        <v>0</v>
      </c>
      <c r="AJS54">
        <v>127356</v>
      </c>
      <c r="AJT54">
        <v>0</v>
      </c>
      <c r="AJU54">
        <v>113043</v>
      </c>
      <c r="AJV54">
        <v>101278</v>
      </c>
      <c r="AJW54">
        <v>60267</v>
      </c>
      <c r="AJX54">
        <v>0</v>
      </c>
      <c r="AJY54">
        <v>124287</v>
      </c>
      <c r="AJZ54">
        <v>66861</v>
      </c>
      <c r="AKA54">
        <v>26006</v>
      </c>
      <c r="AKB54">
        <v>60358</v>
      </c>
      <c r="AKC54">
        <v>117875</v>
      </c>
      <c r="AKD54">
        <v>215424</v>
      </c>
      <c r="AKE54" s="31">
        <v>0</v>
      </c>
      <c r="AKF54">
        <v>76967</v>
      </c>
    </row>
    <row r="55" spans="2:968" s="31" customFormat="1">
      <c r="B55" s="32" t="s">
        <v>82</v>
      </c>
      <c r="C55" s="37">
        <v>99999</v>
      </c>
      <c r="D55" s="32" t="s">
        <v>28</v>
      </c>
      <c r="E55" s="38" t="s">
        <v>146</v>
      </c>
      <c r="F55" s="32" t="s">
        <v>21</v>
      </c>
      <c r="G55" s="32" t="s">
        <v>21</v>
      </c>
      <c r="H55" s="32" t="s">
        <v>21</v>
      </c>
      <c r="I55" s="32" t="s">
        <v>21</v>
      </c>
      <c r="J55" s="32" t="s">
        <v>21</v>
      </c>
      <c r="K55" s="35">
        <v>0</v>
      </c>
      <c r="L55" s="35">
        <v>4266</v>
      </c>
      <c r="M55" s="35">
        <v>0</v>
      </c>
      <c r="N55" s="35">
        <v>0</v>
      </c>
      <c r="O55" s="35">
        <v>0</v>
      </c>
      <c r="P55" s="35">
        <v>0</v>
      </c>
      <c r="Q55" s="35">
        <v>0</v>
      </c>
      <c r="R55" s="35">
        <v>1649</v>
      </c>
      <c r="S55" s="35">
        <v>0</v>
      </c>
      <c r="T55" s="35">
        <v>4998</v>
      </c>
      <c r="U55" s="35">
        <v>0</v>
      </c>
      <c r="V55" s="35">
        <v>0</v>
      </c>
      <c r="W55" s="35">
        <v>28058</v>
      </c>
      <c r="X55" s="35">
        <v>16792</v>
      </c>
      <c r="Y55" s="35">
        <v>0</v>
      </c>
      <c r="Z55" s="35">
        <v>1315</v>
      </c>
      <c r="AA55" s="35">
        <v>0</v>
      </c>
      <c r="AB55" s="35">
        <v>0</v>
      </c>
      <c r="AC55" s="35">
        <v>0</v>
      </c>
      <c r="AD55" s="35">
        <v>0</v>
      </c>
      <c r="AE55" s="35">
        <v>21592</v>
      </c>
      <c r="AF55" s="35">
        <v>871</v>
      </c>
      <c r="AG55" s="35">
        <v>0</v>
      </c>
      <c r="AH55" s="35">
        <v>0</v>
      </c>
      <c r="AI55" s="35">
        <v>0</v>
      </c>
      <c r="AJ55" s="35">
        <v>0</v>
      </c>
      <c r="AK55" s="35">
        <v>344</v>
      </c>
      <c r="AL55" s="35">
        <v>6819</v>
      </c>
      <c r="AM55" s="35">
        <v>0</v>
      </c>
      <c r="AN55" s="35">
        <v>0</v>
      </c>
      <c r="AO55" s="35">
        <v>34954</v>
      </c>
      <c r="AP55" s="35">
        <v>31998</v>
      </c>
      <c r="AQ55" s="35">
        <v>0</v>
      </c>
      <c r="AR55" s="35">
        <v>28466</v>
      </c>
      <c r="AS55" s="35">
        <v>0</v>
      </c>
      <c r="AT55" s="35">
        <v>22596</v>
      </c>
      <c r="AU55" s="35">
        <v>6880</v>
      </c>
      <c r="AV55" s="35">
        <v>0</v>
      </c>
      <c r="AW55" s="35">
        <v>0</v>
      </c>
      <c r="AX55" s="35">
        <v>0</v>
      </c>
      <c r="AY55" s="35">
        <v>0</v>
      </c>
      <c r="AZ55" s="35">
        <v>0</v>
      </c>
      <c r="BA55" s="35">
        <v>0</v>
      </c>
      <c r="BB55" s="35">
        <v>0</v>
      </c>
      <c r="BC55" s="35">
        <v>0</v>
      </c>
      <c r="BD55" s="35">
        <v>0</v>
      </c>
      <c r="BE55" s="35">
        <v>0</v>
      </c>
      <c r="BF55" s="35">
        <v>0</v>
      </c>
      <c r="BG55" s="35">
        <v>0</v>
      </c>
      <c r="BH55" s="35">
        <v>0</v>
      </c>
      <c r="BI55" s="35">
        <v>0</v>
      </c>
      <c r="BJ55" s="35">
        <v>0</v>
      </c>
      <c r="BK55" s="35">
        <v>0</v>
      </c>
      <c r="BL55" s="35">
        <v>0</v>
      </c>
      <c r="BM55" s="35">
        <v>0</v>
      </c>
      <c r="BN55" s="35">
        <v>0</v>
      </c>
      <c r="BO55" s="35">
        <v>0</v>
      </c>
      <c r="BP55" s="35">
        <v>0</v>
      </c>
      <c r="BQ55" s="35">
        <v>0</v>
      </c>
      <c r="BR55" s="35">
        <v>0</v>
      </c>
      <c r="BS55" s="35">
        <v>0</v>
      </c>
      <c r="BT55" s="35">
        <v>0</v>
      </c>
      <c r="BU55" s="35">
        <v>0</v>
      </c>
      <c r="BV55" s="35">
        <v>0</v>
      </c>
      <c r="BW55" s="35">
        <v>0</v>
      </c>
      <c r="BX55" s="35">
        <v>0</v>
      </c>
      <c r="BY55" s="35">
        <v>0</v>
      </c>
      <c r="BZ55" s="35">
        <v>0</v>
      </c>
      <c r="CA55" s="35">
        <v>0</v>
      </c>
      <c r="CB55" s="35">
        <v>0</v>
      </c>
      <c r="CC55" s="35">
        <v>0</v>
      </c>
      <c r="CD55" s="35">
        <v>0</v>
      </c>
      <c r="CE55" s="35">
        <v>0</v>
      </c>
      <c r="CF55" s="35">
        <v>0</v>
      </c>
      <c r="CG55" s="35">
        <v>0</v>
      </c>
      <c r="CH55" s="35">
        <v>0</v>
      </c>
      <c r="CI55" s="35">
        <v>0</v>
      </c>
      <c r="CJ55" s="35">
        <v>24316</v>
      </c>
      <c r="CK55" s="35">
        <v>0</v>
      </c>
      <c r="CL55" s="35">
        <v>0</v>
      </c>
      <c r="CM55" s="35">
        <v>0</v>
      </c>
      <c r="CN55" s="35">
        <v>0</v>
      </c>
      <c r="CO55" s="35">
        <v>0</v>
      </c>
      <c r="CP55" s="35">
        <v>0</v>
      </c>
      <c r="CQ55" s="35">
        <v>0</v>
      </c>
      <c r="CR55" s="35">
        <v>90150</v>
      </c>
      <c r="CS55" s="35">
        <v>0</v>
      </c>
      <c r="CT55" s="35">
        <v>0</v>
      </c>
      <c r="CU55" s="35">
        <v>0</v>
      </c>
      <c r="CV55" s="35">
        <v>50136</v>
      </c>
      <c r="CW55" s="35">
        <v>12540</v>
      </c>
      <c r="CX55" s="31">
        <v>0</v>
      </c>
      <c r="CY55" s="31">
        <v>0</v>
      </c>
      <c r="CZ55" s="31">
        <v>0</v>
      </c>
      <c r="DA55" s="31">
        <v>0</v>
      </c>
      <c r="DB55" s="31">
        <v>0</v>
      </c>
      <c r="DC55" s="31">
        <v>0</v>
      </c>
      <c r="DD55" s="31">
        <v>0</v>
      </c>
      <c r="DE55" s="31">
        <v>0</v>
      </c>
      <c r="DF55" s="31">
        <v>0</v>
      </c>
      <c r="DG55" s="31">
        <v>0</v>
      </c>
      <c r="DH55" s="31">
        <v>0</v>
      </c>
      <c r="DI55" s="31">
        <v>0</v>
      </c>
      <c r="DJ55" s="31">
        <v>14004</v>
      </c>
      <c r="DK55" s="31">
        <v>0</v>
      </c>
      <c r="DL55" s="31">
        <v>0</v>
      </c>
      <c r="DM55" s="31">
        <v>0</v>
      </c>
      <c r="DN55" s="31">
        <v>0</v>
      </c>
      <c r="DO55" s="31">
        <v>0</v>
      </c>
      <c r="DP55" s="31">
        <v>0</v>
      </c>
      <c r="DQ55" s="31">
        <v>0</v>
      </c>
      <c r="DR55" s="31">
        <v>0</v>
      </c>
      <c r="DS55" s="31">
        <v>0</v>
      </c>
      <c r="DT55" s="31">
        <v>0</v>
      </c>
      <c r="DU55" s="31">
        <v>0</v>
      </c>
      <c r="DV55" s="31">
        <v>0</v>
      </c>
      <c r="DW55" s="31">
        <v>0</v>
      </c>
      <c r="DX55" s="31">
        <v>0</v>
      </c>
      <c r="DY55" s="31">
        <v>0</v>
      </c>
      <c r="DZ55" s="31">
        <v>32306</v>
      </c>
      <c r="EA55" s="31">
        <v>26619</v>
      </c>
      <c r="EB55" s="31">
        <v>33681</v>
      </c>
      <c r="EC55" s="31">
        <v>0</v>
      </c>
      <c r="ED55" s="31">
        <v>0</v>
      </c>
      <c r="EE55" s="31">
        <v>0</v>
      </c>
      <c r="EF55" s="31">
        <v>0</v>
      </c>
      <c r="EG55" s="31">
        <v>0</v>
      </c>
      <c r="EH55" s="31">
        <v>0</v>
      </c>
      <c r="EI55" s="31">
        <v>0</v>
      </c>
      <c r="EJ55" s="31">
        <v>0</v>
      </c>
      <c r="EK55" s="31">
        <v>0</v>
      </c>
      <c r="EL55" s="31">
        <v>0</v>
      </c>
      <c r="EM55" s="31">
        <v>0</v>
      </c>
      <c r="EN55" s="31">
        <v>0</v>
      </c>
      <c r="EO55" s="31">
        <v>0</v>
      </c>
      <c r="EP55" s="31">
        <v>0</v>
      </c>
      <c r="EQ55" s="31">
        <v>0</v>
      </c>
      <c r="ER55" s="31">
        <v>0</v>
      </c>
      <c r="ES55" s="31">
        <v>0</v>
      </c>
      <c r="ET55" s="31">
        <v>27387</v>
      </c>
      <c r="EU55" s="31">
        <v>26081</v>
      </c>
      <c r="EV55" s="31">
        <v>27999</v>
      </c>
      <c r="EW55" s="31">
        <v>28442</v>
      </c>
      <c r="EX55" s="31">
        <v>1936</v>
      </c>
      <c r="EY55" s="31">
        <v>0</v>
      </c>
      <c r="EZ55" s="31">
        <v>0</v>
      </c>
      <c r="FA55" s="31">
        <v>0</v>
      </c>
      <c r="FB55" s="31">
        <v>0</v>
      </c>
      <c r="FC55" s="31">
        <v>27158</v>
      </c>
      <c r="FD55" s="31">
        <v>3600</v>
      </c>
      <c r="FE55" s="31">
        <v>29080</v>
      </c>
      <c r="FF55" s="31">
        <v>0</v>
      </c>
      <c r="FG55" s="31">
        <v>0</v>
      </c>
      <c r="FH55" s="31">
        <v>0</v>
      </c>
      <c r="FI55" s="31">
        <v>0</v>
      </c>
      <c r="FJ55" s="31">
        <v>9984</v>
      </c>
      <c r="FK55" s="31">
        <v>11016</v>
      </c>
      <c r="FL55" s="31">
        <v>22270</v>
      </c>
      <c r="FM55" s="31">
        <v>0</v>
      </c>
      <c r="FN55" s="31">
        <v>0</v>
      </c>
      <c r="FO55" s="31">
        <v>31140</v>
      </c>
      <c r="FP55" s="31">
        <v>26267</v>
      </c>
      <c r="FQ55" s="31">
        <v>40156</v>
      </c>
      <c r="FR55" s="31">
        <v>46591</v>
      </c>
      <c r="FS55" s="31">
        <v>0</v>
      </c>
      <c r="FT55" s="31">
        <v>0</v>
      </c>
      <c r="FU55" s="31">
        <v>0</v>
      </c>
      <c r="FV55" s="31">
        <v>0</v>
      </c>
      <c r="FW55" s="31">
        <v>0</v>
      </c>
      <c r="FX55" s="31">
        <v>0</v>
      </c>
      <c r="FY55" s="31">
        <v>102016</v>
      </c>
      <c r="FZ55" s="31">
        <v>19254</v>
      </c>
      <c r="GA55" s="31">
        <v>0</v>
      </c>
      <c r="GB55" s="31">
        <v>26579</v>
      </c>
      <c r="GC55" s="31">
        <v>17222</v>
      </c>
      <c r="GD55" s="31">
        <v>22486</v>
      </c>
      <c r="GE55" s="31">
        <v>13738</v>
      </c>
      <c r="GF55" s="31">
        <v>0</v>
      </c>
      <c r="GG55" s="31">
        <v>0</v>
      </c>
      <c r="GH55" s="31">
        <v>0</v>
      </c>
      <c r="GI55" s="31">
        <v>0</v>
      </c>
      <c r="GJ55" s="31">
        <v>0</v>
      </c>
      <c r="GK55" s="31">
        <v>0</v>
      </c>
      <c r="GL55" s="31">
        <v>0</v>
      </c>
      <c r="GM55" s="31">
        <v>7360</v>
      </c>
      <c r="GN55" s="31">
        <v>0</v>
      </c>
      <c r="GO55" s="31">
        <v>0</v>
      </c>
      <c r="GP55" s="31">
        <v>18900</v>
      </c>
      <c r="GQ55" s="31">
        <v>0</v>
      </c>
      <c r="GR55" s="31">
        <v>49500</v>
      </c>
      <c r="GS55" s="31">
        <v>6648</v>
      </c>
      <c r="GT55" s="31">
        <v>15315</v>
      </c>
      <c r="GU55" s="31">
        <v>10140</v>
      </c>
      <c r="GV55" s="31">
        <v>0</v>
      </c>
      <c r="GW55" s="31">
        <v>27862</v>
      </c>
      <c r="GX55" s="31">
        <v>400</v>
      </c>
      <c r="GY55" s="31">
        <v>0</v>
      </c>
      <c r="GZ55" s="31">
        <v>3616</v>
      </c>
      <c r="HA55" s="31">
        <v>0</v>
      </c>
      <c r="HB55" s="31">
        <v>31460</v>
      </c>
      <c r="HC55" s="31">
        <v>0</v>
      </c>
      <c r="HD55" s="31">
        <v>17646</v>
      </c>
      <c r="HE55" s="31">
        <v>42236</v>
      </c>
      <c r="HF55" s="31">
        <v>0</v>
      </c>
      <c r="HG55" s="31">
        <v>0</v>
      </c>
      <c r="HH55" s="31">
        <v>0</v>
      </c>
      <c r="HI55" s="31">
        <v>0</v>
      </c>
      <c r="HJ55" s="31">
        <v>0</v>
      </c>
      <c r="HK55" s="31">
        <v>29748</v>
      </c>
      <c r="HL55" s="31">
        <v>0</v>
      </c>
      <c r="HM55" s="31">
        <v>5982</v>
      </c>
      <c r="HN55" s="31">
        <v>6112</v>
      </c>
      <c r="HO55" s="31">
        <v>0</v>
      </c>
      <c r="HP55" s="31">
        <v>0</v>
      </c>
      <c r="HQ55" s="31">
        <v>0</v>
      </c>
      <c r="HR55" s="31">
        <v>0</v>
      </c>
      <c r="HS55" s="31">
        <v>0</v>
      </c>
      <c r="HT55" s="31">
        <v>0</v>
      </c>
      <c r="HU55" s="31">
        <v>0</v>
      </c>
      <c r="HV55" s="31">
        <v>0</v>
      </c>
      <c r="HW55" s="31">
        <v>0</v>
      </c>
      <c r="HX55" s="31">
        <v>0</v>
      </c>
      <c r="HY55" s="31">
        <v>0</v>
      </c>
      <c r="HZ55" s="31">
        <v>0</v>
      </c>
      <c r="IA55" s="31">
        <v>0</v>
      </c>
      <c r="IB55" s="31">
        <v>0</v>
      </c>
      <c r="IC55" s="31">
        <v>0</v>
      </c>
      <c r="ID55" s="31">
        <v>0</v>
      </c>
      <c r="IE55" s="31">
        <v>0</v>
      </c>
      <c r="IF55" s="31">
        <v>0</v>
      </c>
      <c r="IG55" s="31">
        <v>0</v>
      </c>
      <c r="IH55" s="31">
        <v>0</v>
      </c>
      <c r="II55" s="31">
        <v>0</v>
      </c>
      <c r="IJ55" s="31">
        <v>0</v>
      </c>
      <c r="IK55" s="31">
        <v>0</v>
      </c>
      <c r="IL55" s="31">
        <v>0</v>
      </c>
      <c r="IM55" s="31">
        <v>0</v>
      </c>
      <c r="IN55" s="31">
        <v>0</v>
      </c>
      <c r="IO55" s="31">
        <v>0</v>
      </c>
      <c r="IP55" s="31">
        <v>0</v>
      </c>
      <c r="IQ55" s="31">
        <v>0</v>
      </c>
      <c r="IR55" s="31">
        <v>0</v>
      </c>
      <c r="IS55" s="31">
        <v>0</v>
      </c>
      <c r="IT55" s="31">
        <v>0</v>
      </c>
      <c r="IU55" s="31">
        <v>0</v>
      </c>
      <c r="IV55" s="31">
        <v>0</v>
      </c>
      <c r="IW55" s="31">
        <v>0</v>
      </c>
      <c r="IX55" s="31">
        <v>0</v>
      </c>
      <c r="IY55" s="31">
        <v>0</v>
      </c>
      <c r="IZ55" s="31">
        <v>0</v>
      </c>
      <c r="JA55" s="31">
        <v>0</v>
      </c>
      <c r="JB55" s="31">
        <v>0</v>
      </c>
      <c r="JC55" s="31">
        <v>0</v>
      </c>
      <c r="JD55" s="31">
        <v>0</v>
      </c>
      <c r="JE55" s="31">
        <v>0</v>
      </c>
      <c r="JF55" s="31">
        <v>0</v>
      </c>
      <c r="JG55" s="31">
        <v>0</v>
      </c>
      <c r="JH55" s="31">
        <v>0</v>
      </c>
      <c r="JI55" s="31">
        <v>0</v>
      </c>
      <c r="JJ55" s="31">
        <v>0</v>
      </c>
      <c r="JK55" s="31">
        <v>0</v>
      </c>
      <c r="JL55" s="31">
        <v>0</v>
      </c>
      <c r="JM55" s="31">
        <v>0</v>
      </c>
      <c r="JN55" s="31">
        <v>0</v>
      </c>
      <c r="JO55" s="31">
        <v>0</v>
      </c>
      <c r="JP55" s="31">
        <v>0</v>
      </c>
      <c r="JQ55" s="31">
        <v>0</v>
      </c>
      <c r="JR55" s="31">
        <v>0</v>
      </c>
      <c r="JS55" s="31">
        <v>0</v>
      </c>
      <c r="JT55" s="31">
        <v>0</v>
      </c>
      <c r="JU55" s="31">
        <v>0</v>
      </c>
      <c r="JV55" s="31">
        <v>0</v>
      </c>
      <c r="JW55" s="31">
        <v>0</v>
      </c>
      <c r="JX55" s="31">
        <v>0</v>
      </c>
      <c r="JY55" s="31">
        <v>0</v>
      </c>
      <c r="JZ55" s="31">
        <v>0</v>
      </c>
      <c r="KA55" s="31">
        <v>0</v>
      </c>
      <c r="KB55" s="31">
        <v>0</v>
      </c>
      <c r="KC55" s="31">
        <v>0</v>
      </c>
      <c r="KD55" s="31">
        <v>0</v>
      </c>
      <c r="KE55" s="31">
        <v>0</v>
      </c>
      <c r="KF55" s="31">
        <v>0</v>
      </c>
      <c r="KG55" s="31">
        <v>0</v>
      </c>
      <c r="KH55" s="31">
        <v>0</v>
      </c>
      <c r="KI55" s="31">
        <v>0</v>
      </c>
      <c r="KJ55" s="31">
        <v>0</v>
      </c>
      <c r="KK55" s="31">
        <v>0</v>
      </c>
      <c r="KL55" s="31">
        <v>0</v>
      </c>
      <c r="KM55" s="31">
        <v>0</v>
      </c>
      <c r="KN55" s="31">
        <v>0</v>
      </c>
      <c r="KO55" s="31">
        <v>0</v>
      </c>
      <c r="KP55" s="31">
        <v>0</v>
      </c>
      <c r="KQ55" s="31">
        <v>0</v>
      </c>
      <c r="KR55" s="31">
        <v>0</v>
      </c>
      <c r="KS55" s="31">
        <v>0</v>
      </c>
      <c r="KT55" s="31">
        <v>0</v>
      </c>
      <c r="KU55" s="31">
        <v>0</v>
      </c>
      <c r="KV55" s="31">
        <v>0</v>
      </c>
      <c r="KW55" s="31">
        <v>0</v>
      </c>
      <c r="KX55" s="31">
        <v>0</v>
      </c>
      <c r="KY55" s="31">
        <v>0</v>
      </c>
      <c r="KZ55" s="31">
        <v>0</v>
      </c>
      <c r="LA55" s="31">
        <v>0</v>
      </c>
      <c r="LB55" s="31">
        <v>0</v>
      </c>
      <c r="LC55" s="31">
        <v>0</v>
      </c>
      <c r="LD55" s="31">
        <v>0</v>
      </c>
      <c r="LE55" s="31">
        <v>0</v>
      </c>
      <c r="LF55" s="31">
        <v>0</v>
      </c>
      <c r="LG55" s="31">
        <v>0</v>
      </c>
      <c r="LH55" s="31">
        <v>0</v>
      </c>
      <c r="LI55" s="31">
        <v>0</v>
      </c>
      <c r="LJ55" s="31">
        <v>0</v>
      </c>
      <c r="LK55" s="31">
        <v>0</v>
      </c>
      <c r="LL55" s="31">
        <v>0</v>
      </c>
      <c r="LM55" s="31">
        <v>0</v>
      </c>
      <c r="LN55" s="31">
        <v>0</v>
      </c>
      <c r="LO55" s="31">
        <v>0</v>
      </c>
      <c r="LP55" s="31">
        <v>0</v>
      </c>
      <c r="LQ55" s="31">
        <v>0</v>
      </c>
      <c r="LR55" s="31">
        <v>0</v>
      </c>
      <c r="LS55" s="31">
        <v>0</v>
      </c>
      <c r="LT55" s="31">
        <v>0</v>
      </c>
      <c r="LU55" s="31">
        <v>0</v>
      </c>
      <c r="LV55" s="31">
        <v>0</v>
      </c>
      <c r="LW55" s="31">
        <v>0</v>
      </c>
      <c r="LX55" s="31">
        <v>0</v>
      </c>
      <c r="LY55" s="31">
        <v>0</v>
      </c>
      <c r="LZ55" s="31">
        <v>0</v>
      </c>
      <c r="MA55" s="31">
        <v>0</v>
      </c>
      <c r="MB55" s="31">
        <v>0</v>
      </c>
      <c r="MC55" s="31">
        <v>0</v>
      </c>
      <c r="MD55" s="31">
        <v>0</v>
      </c>
      <c r="ME55" s="31">
        <v>0</v>
      </c>
      <c r="MF55" s="31">
        <v>0</v>
      </c>
      <c r="MG55" s="31">
        <v>0</v>
      </c>
      <c r="MH55" s="31">
        <v>0</v>
      </c>
      <c r="MI55" s="31">
        <v>0</v>
      </c>
      <c r="MJ55" s="31">
        <v>0</v>
      </c>
      <c r="MK55" s="31">
        <v>0</v>
      </c>
      <c r="ML55" s="31">
        <v>0</v>
      </c>
      <c r="MM55" s="31">
        <v>0</v>
      </c>
      <c r="MN55" s="31">
        <v>0</v>
      </c>
      <c r="MO55" s="31">
        <v>0</v>
      </c>
      <c r="MP55" s="31">
        <v>0</v>
      </c>
      <c r="MQ55" s="31">
        <v>0</v>
      </c>
      <c r="MR55" s="31">
        <v>0</v>
      </c>
      <c r="MS55" s="31">
        <v>0</v>
      </c>
      <c r="MT55" s="31">
        <v>0</v>
      </c>
      <c r="MU55" s="31">
        <v>0</v>
      </c>
      <c r="MV55" s="31">
        <v>0</v>
      </c>
      <c r="MW55" s="31">
        <v>0</v>
      </c>
      <c r="MX55" s="31">
        <v>0</v>
      </c>
      <c r="MY55" s="31">
        <v>0</v>
      </c>
      <c r="MZ55" s="31">
        <v>0</v>
      </c>
      <c r="NA55" s="31">
        <v>0</v>
      </c>
      <c r="NB55" s="31">
        <v>0</v>
      </c>
      <c r="NC55" s="31">
        <v>0</v>
      </c>
      <c r="ND55" s="31">
        <v>0</v>
      </c>
      <c r="NE55" s="31">
        <v>0</v>
      </c>
      <c r="NF55" s="31">
        <v>0</v>
      </c>
      <c r="NG55" s="31">
        <v>0</v>
      </c>
      <c r="NH55" s="31">
        <v>0</v>
      </c>
      <c r="NI55" s="31">
        <v>0</v>
      </c>
      <c r="NJ55" s="31">
        <v>0</v>
      </c>
      <c r="NK55" s="31">
        <v>12482</v>
      </c>
      <c r="NL55" s="31">
        <v>110106</v>
      </c>
      <c r="NM55" s="31">
        <v>17612</v>
      </c>
      <c r="NN55" s="31">
        <v>0</v>
      </c>
      <c r="NO55" s="31">
        <v>0</v>
      </c>
      <c r="NP55" s="31">
        <v>0</v>
      </c>
      <c r="NQ55" s="31">
        <v>0</v>
      </c>
      <c r="NR55" s="31">
        <v>0</v>
      </c>
      <c r="NS55" s="31">
        <v>0</v>
      </c>
      <c r="NT55" s="31">
        <v>0</v>
      </c>
      <c r="NU55" s="31">
        <v>0</v>
      </c>
      <c r="NV55" s="31">
        <v>0</v>
      </c>
      <c r="NW55" s="31">
        <v>0</v>
      </c>
      <c r="NX55" s="31">
        <v>0</v>
      </c>
      <c r="NY55" s="31">
        <v>0</v>
      </c>
      <c r="NZ55" s="31">
        <v>0</v>
      </c>
      <c r="OA55" s="31">
        <v>0</v>
      </c>
      <c r="OB55" s="31">
        <v>0</v>
      </c>
      <c r="OC55" s="31">
        <v>0</v>
      </c>
      <c r="OD55" s="31">
        <v>0</v>
      </c>
      <c r="OE55" s="31">
        <v>0</v>
      </c>
      <c r="OF55" s="31">
        <v>0</v>
      </c>
      <c r="OG55" s="31">
        <v>0</v>
      </c>
      <c r="OH55" s="31">
        <v>0</v>
      </c>
      <c r="OI55" s="31">
        <v>0</v>
      </c>
      <c r="OJ55" s="31">
        <v>0</v>
      </c>
      <c r="OK55" s="31">
        <v>0</v>
      </c>
      <c r="OL55" s="31">
        <v>0</v>
      </c>
      <c r="OM55" s="31">
        <v>0</v>
      </c>
      <c r="ON55" s="31">
        <v>0</v>
      </c>
      <c r="OO55" s="31">
        <v>0</v>
      </c>
      <c r="OP55" s="31">
        <v>0</v>
      </c>
      <c r="OQ55" s="31">
        <v>0</v>
      </c>
      <c r="OR55" s="31">
        <v>0</v>
      </c>
      <c r="OS55" s="31">
        <v>0</v>
      </c>
      <c r="OT55" s="31">
        <v>0</v>
      </c>
      <c r="OU55" s="31">
        <v>0</v>
      </c>
      <c r="OV55" s="31">
        <v>0</v>
      </c>
      <c r="OW55" s="31">
        <v>0</v>
      </c>
      <c r="OX55" s="31">
        <v>0</v>
      </c>
      <c r="OY55" s="31">
        <v>0</v>
      </c>
      <c r="OZ55" s="31">
        <v>0</v>
      </c>
      <c r="PA55" s="31">
        <v>0</v>
      </c>
      <c r="PB55" s="31">
        <v>0</v>
      </c>
      <c r="PC55" s="31">
        <v>0</v>
      </c>
      <c r="PD55" s="31">
        <v>0</v>
      </c>
      <c r="PE55" s="31">
        <v>0</v>
      </c>
      <c r="PF55" s="31">
        <v>0</v>
      </c>
      <c r="PG55" s="31">
        <v>0</v>
      </c>
      <c r="PH55" s="31">
        <v>0</v>
      </c>
      <c r="PI55" s="31">
        <v>0</v>
      </c>
      <c r="PJ55" s="31">
        <v>0</v>
      </c>
      <c r="PK55" s="31">
        <v>0</v>
      </c>
      <c r="PL55" s="31">
        <v>0</v>
      </c>
      <c r="PM55" s="31">
        <v>0</v>
      </c>
      <c r="PN55" s="31">
        <v>0</v>
      </c>
      <c r="PO55" s="31">
        <v>0</v>
      </c>
      <c r="PP55" s="31">
        <v>0</v>
      </c>
      <c r="PQ55" s="31">
        <v>0</v>
      </c>
      <c r="PR55" s="31">
        <v>0</v>
      </c>
      <c r="PS55" s="31">
        <v>0</v>
      </c>
      <c r="PT55" s="31">
        <v>0</v>
      </c>
      <c r="PU55" s="31">
        <v>0</v>
      </c>
      <c r="PW55" s="31">
        <v>0</v>
      </c>
      <c r="PX55" s="31">
        <v>0</v>
      </c>
      <c r="PY55" s="31">
        <v>0</v>
      </c>
      <c r="PZ55" s="31">
        <v>0</v>
      </c>
      <c r="QA55" s="31">
        <v>0</v>
      </c>
      <c r="QB55" s="31">
        <v>0</v>
      </c>
      <c r="QC55" s="31">
        <v>0</v>
      </c>
      <c r="QD55" s="31">
        <v>0</v>
      </c>
      <c r="QE55" s="31">
        <v>0</v>
      </c>
      <c r="QF55" s="31">
        <v>0</v>
      </c>
      <c r="QG55" s="31">
        <v>0</v>
      </c>
      <c r="QH55" s="31">
        <v>0</v>
      </c>
      <c r="QI55" s="31">
        <v>0</v>
      </c>
      <c r="QJ55" s="31">
        <v>0</v>
      </c>
      <c r="QK55" s="31">
        <v>0</v>
      </c>
      <c r="QL55" s="31">
        <v>0</v>
      </c>
      <c r="QM55" s="31">
        <v>0</v>
      </c>
      <c r="QN55" s="31">
        <v>0</v>
      </c>
      <c r="QO55" s="31">
        <v>0</v>
      </c>
      <c r="QP55" s="31">
        <v>0</v>
      </c>
      <c r="QQ55" s="31">
        <v>0</v>
      </c>
      <c r="QR55" s="31">
        <v>0</v>
      </c>
      <c r="QS55" s="31">
        <v>0</v>
      </c>
      <c r="QT55" s="31">
        <v>0</v>
      </c>
      <c r="QU55" s="31">
        <v>0</v>
      </c>
      <c r="QV55" s="31">
        <v>0</v>
      </c>
      <c r="QW55" s="31">
        <v>0</v>
      </c>
      <c r="QX55" s="31">
        <v>0</v>
      </c>
      <c r="QY55" s="31">
        <v>0</v>
      </c>
      <c r="QZ55" s="31">
        <v>0</v>
      </c>
      <c r="RA55" s="31">
        <v>0</v>
      </c>
      <c r="RB55" s="31">
        <v>0</v>
      </c>
      <c r="RC55" s="31">
        <v>0</v>
      </c>
      <c r="RD55" s="31">
        <v>0</v>
      </c>
      <c r="RE55" s="31">
        <v>0</v>
      </c>
      <c r="RF55" s="31">
        <v>0</v>
      </c>
      <c r="RG55" s="31">
        <v>0</v>
      </c>
      <c r="RH55" s="31">
        <v>0</v>
      </c>
      <c r="RI55" s="31">
        <v>0</v>
      </c>
      <c r="RJ55" s="31">
        <v>0</v>
      </c>
      <c r="RK55" s="31">
        <v>0</v>
      </c>
      <c r="RL55" s="31">
        <v>0</v>
      </c>
      <c r="RM55" s="31">
        <v>0</v>
      </c>
      <c r="RN55" s="31">
        <v>0</v>
      </c>
      <c r="RO55" s="31">
        <v>0</v>
      </c>
      <c r="RP55" s="31">
        <v>0</v>
      </c>
      <c r="RQ55" s="31">
        <v>0</v>
      </c>
      <c r="RR55" s="31">
        <v>0</v>
      </c>
      <c r="RS55" s="31">
        <v>0</v>
      </c>
      <c r="RT55" s="31">
        <v>0</v>
      </c>
      <c r="RU55" s="31">
        <v>0</v>
      </c>
      <c r="RV55" s="31">
        <v>0</v>
      </c>
      <c r="RW55" s="31">
        <v>0</v>
      </c>
      <c r="RX55" s="31">
        <v>0</v>
      </c>
      <c r="RY55" s="31">
        <v>0</v>
      </c>
      <c r="RZ55" s="31">
        <v>0</v>
      </c>
      <c r="SA55" s="31">
        <v>0</v>
      </c>
      <c r="SB55" s="31">
        <v>0</v>
      </c>
      <c r="SC55" s="31">
        <v>0</v>
      </c>
      <c r="SD55" s="31">
        <v>0</v>
      </c>
      <c r="SE55" s="31">
        <v>0</v>
      </c>
      <c r="SF55" s="31">
        <v>0</v>
      </c>
      <c r="SG55" s="31">
        <v>0</v>
      </c>
      <c r="SH55" s="31">
        <v>0</v>
      </c>
      <c r="SI55" s="31">
        <v>0</v>
      </c>
      <c r="SJ55" s="31">
        <v>0</v>
      </c>
      <c r="SK55" s="31">
        <v>0</v>
      </c>
      <c r="SL55" s="31">
        <v>0</v>
      </c>
      <c r="SM55" s="31">
        <v>0</v>
      </c>
      <c r="SN55" s="31">
        <v>0</v>
      </c>
      <c r="SO55" s="31">
        <v>0</v>
      </c>
      <c r="SP55" s="31">
        <v>0</v>
      </c>
      <c r="SQ55" s="31">
        <v>0</v>
      </c>
      <c r="SR55" s="31">
        <v>0</v>
      </c>
      <c r="SS55" s="31">
        <v>0</v>
      </c>
      <c r="ST55" s="31">
        <v>0</v>
      </c>
      <c r="SU55" s="31">
        <v>0</v>
      </c>
      <c r="SV55" s="31">
        <v>0</v>
      </c>
      <c r="SW55" s="31">
        <v>0</v>
      </c>
      <c r="SX55" s="31">
        <v>0</v>
      </c>
      <c r="SY55" s="31">
        <v>0</v>
      </c>
      <c r="SZ55" s="31">
        <v>0</v>
      </c>
      <c r="TA55" s="31">
        <v>0</v>
      </c>
      <c r="TB55" s="31">
        <v>0</v>
      </c>
      <c r="TC55" s="31">
        <v>0</v>
      </c>
      <c r="TD55" s="31">
        <v>0</v>
      </c>
      <c r="TE55" s="31">
        <v>0</v>
      </c>
      <c r="TF55" s="31">
        <v>0</v>
      </c>
      <c r="TG55" s="31">
        <v>0</v>
      </c>
      <c r="TH55" s="31">
        <v>0</v>
      </c>
      <c r="TI55" s="31">
        <v>0</v>
      </c>
      <c r="TJ55" s="31">
        <v>0</v>
      </c>
      <c r="TK55" s="31">
        <v>0</v>
      </c>
      <c r="TL55" s="31">
        <v>0</v>
      </c>
      <c r="TM55" s="31">
        <v>0</v>
      </c>
      <c r="TN55" s="31">
        <v>0</v>
      </c>
      <c r="TO55" s="31">
        <v>0</v>
      </c>
      <c r="TP55" s="31">
        <v>0</v>
      </c>
      <c r="TQ55" s="31">
        <v>0</v>
      </c>
      <c r="TR55" s="31">
        <v>0</v>
      </c>
      <c r="TS55" s="31">
        <v>0</v>
      </c>
      <c r="TT55" s="31">
        <v>0</v>
      </c>
      <c r="TU55" s="31">
        <v>0</v>
      </c>
      <c r="TV55" s="31">
        <v>0</v>
      </c>
      <c r="TW55" s="31">
        <v>0</v>
      </c>
      <c r="TX55" s="31">
        <v>0</v>
      </c>
      <c r="TY55" s="31">
        <v>0</v>
      </c>
      <c r="TZ55" s="31">
        <v>0</v>
      </c>
      <c r="UA55" s="31">
        <v>0</v>
      </c>
      <c r="UB55" s="31">
        <v>0</v>
      </c>
      <c r="UC55" s="31">
        <v>0</v>
      </c>
      <c r="UD55" s="31">
        <v>0</v>
      </c>
      <c r="UE55" s="31">
        <v>0</v>
      </c>
      <c r="UF55" s="31">
        <v>0</v>
      </c>
      <c r="UG55" s="31">
        <v>0</v>
      </c>
      <c r="UH55" s="31">
        <v>0</v>
      </c>
      <c r="UI55" s="31">
        <v>0</v>
      </c>
      <c r="UJ55" s="31">
        <v>0</v>
      </c>
      <c r="UK55" s="31">
        <v>0</v>
      </c>
      <c r="UL55" s="31">
        <v>0</v>
      </c>
      <c r="UM55" s="31">
        <v>0</v>
      </c>
      <c r="UN55" s="31">
        <v>0</v>
      </c>
      <c r="UO55" s="31">
        <v>0</v>
      </c>
      <c r="UP55" s="31">
        <v>0</v>
      </c>
      <c r="UQ55" s="31">
        <v>0</v>
      </c>
      <c r="UR55" s="31">
        <v>0</v>
      </c>
      <c r="US55" s="31">
        <v>0</v>
      </c>
      <c r="UT55" s="31">
        <v>0</v>
      </c>
      <c r="UU55" s="31">
        <v>0</v>
      </c>
      <c r="UV55" s="31">
        <v>0</v>
      </c>
      <c r="UW55" s="31">
        <v>0</v>
      </c>
      <c r="UX55" s="31">
        <v>0</v>
      </c>
      <c r="UY55" s="31">
        <v>0</v>
      </c>
      <c r="UZ55" s="31">
        <v>0</v>
      </c>
      <c r="VA55" s="31">
        <v>0</v>
      </c>
      <c r="VB55" s="31">
        <v>0</v>
      </c>
      <c r="VC55" s="31">
        <v>0</v>
      </c>
      <c r="VD55" s="31">
        <v>0</v>
      </c>
      <c r="VE55" s="31">
        <v>0</v>
      </c>
      <c r="VF55" s="31">
        <v>0</v>
      </c>
      <c r="VG55" s="31">
        <v>0</v>
      </c>
      <c r="VH55" s="31">
        <v>0</v>
      </c>
      <c r="VI55" s="31">
        <v>0</v>
      </c>
      <c r="VJ55" s="31">
        <v>0</v>
      </c>
      <c r="VK55" s="31">
        <v>0</v>
      </c>
      <c r="VL55" s="31">
        <v>0</v>
      </c>
      <c r="VM55" s="31">
        <v>0</v>
      </c>
      <c r="VN55" s="31">
        <v>0</v>
      </c>
      <c r="VO55" s="31">
        <v>0</v>
      </c>
      <c r="VP55" s="31">
        <v>0</v>
      </c>
      <c r="VQ55" s="31">
        <v>0</v>
      </c>
      <c r="VR55" s="31">
        <v>0</v>
      </c>
      <c r="VS55" s="31">
        <v>0</v>
      </c>
      <c r="VT55" s="31">
        <v>0</v>
      </c>
      <c r="VU55" s="31">
        <v>0</v>
      </c>
      <c r="VV55" s="31">
        <v>0</v>
      </c>
      <c r="VW55" s="31">
        <v>0</v>
      </c>
      <c r="VX55" s="31">
        <v>0</v>
      </c>
      <c r="VY55" s="31">
        <v>0</v>
      </c>
      <c r="VZ55" s="31">
        <v>0</v>
      </c>
      <c r="WA55" s="31">
        <v>0</v>
      </c>
      <c r="WB55" s="31">
        <v>0</v>
      </c>
      <c r="WC55" s="31">
        <v>0</v>
      </c>
      <c r="WD55" s="31">
        <v>0</v>
      </c>
      <c r="WE55" s="31">
        <v>0</v>
      </c>
      <c r="WF55" s="31">
        <v>0</v>
      </c>
      <c r="WG55" s="31">
        <v>0</v>
      </c>
      <c r="WH55" s="31">
        <v>0</v>
      </c>
      <c r="WI55" s="31">
        <v>0</v>
      </c>
      <c r="WJ55" s="31">
        <v>0</v>
      </c>
      <c r="WK55" s="31">
        <v>0</v>
      </c>
      <c r="WL55" s="31">
        <v>0</v>
      </c>
      <c r="WM55" s="31">
        <v>0</v>
      </c>
      <c r="WN55" s="31">
        <v>0</v>
      </c>
      <c r="WO55" s="31">
        <v>0</v>
      </c>
      <c r="WP55" s="31">
        <v>0</v>
      </c>
      <c r="WQ55" s="31">
        <v>0</v>
      </c>
      <c r="WR55" s="31">
        <v>0</v>
      </c>
      <c r="WS55" s="31">
        <v>0</v>
      </c>
      <c r="WT55" s="31">
        <v>0</v>
      </c>
      <c r="WU55" s="31">
        <v>0</v>
      </c>
      <c r="WV55" s="31">
        <v>0</v>
      </c>
      <c r="WW55" s="31">
        <v>0</v>
      </c>
      <c r="WX55" s="31">
        <v>0</v>
      </c>
      <c r="WY55" s="31">
        <v>0</v>
      </c>
      <c r="WZ55" s="31">
        <v>0</v>
      </c>
      <c r="XA55" s="31">
        <v>0</v>
      </c>
      <c r="XB55" s="31">
        <v>0</v>
      </c>
      <c r="XC55" s="31">
        <v>0</v>
      </c>
      <c r="XD55" s="31">
        <v>0</v>
      </c>
      <c r="XE55" s="31">
        <v>0</v>
      </c>
      <c r="XF55" s="31">
        <v>0</v>
      </c>
      <c r="XG55" s="31">
        <v>0</v>
      </c>
      <c r="XH55" s="31">
        <v>0</v>
      </c>
      <c r="XI55" s="31">
        <v>0</v>
      </c>
      <c r="XJ55" s="31">
        <v>0</v>
      </c>
      <c r="XK55" s="31">
        <v>0</v>
      </c>
      <c r="XL55" s="31">
        <v>0</v>
      </c>
      <c r="XM55" s="31">
        <v>0</v>
      </c>
      <c r="XN55" s="31">
        <v>0</v>
      </c>
      <c r="XO55" s="31">
        <v>0</v>
      </c>
      <c r="XP55" s="31">
        <v>0</v>
      </c>
      <c r="XQ55" s="31">
        <v>0</v>
      </c>
      <c r="XR55" s="31">
        <v>0</v>
      </c>
      <c r="XS55" s="31">
        <v>0</v>
      </c>
      <c r="XT55" s="31">
        <v>0</v>
      </c>
      <c r="XU55" s="31">
        <v>0</v>
      </c>
      <c r="XV55" s="31">
        <v>0</v>
      </c>
      <c r="XW55" s="31">
        <v>0</v>
      </c>
      <c r="XX55" s="31">
        <v>0</v>
      </c>
      <c r="XY55" s="31">
        <v>0</v>
      </c>
      <c r="XZ55" s="31">
        <v>0</v>
      </c>
      <c r="YA55" s="31">
        <v>0</v>
      </c>
      <c r="YB55" s="31">
        <v>0</v>
      </c>
      <c r="YC55" s="31">
        <v>0</v>
      </c>
      <c r="YD55" s="31">
        <v>0</v>
      </c>
      <c r="YE55" s="31">
        <v>0</v>
      </c>
      <c r="YF55" s="31">
        <v>0</v>
      </c>
      <c r="YG55" s="31">
        <v>0</v>
      </c>
      <c r="YH55" s="31">
        <v>0</v>
      </c>
      <c r="YI55" s="31">
        <v>0</v>
      </c>
      <c r="YJ55" s="31">
        <v>0</v>
      </c>
      <c r="YK55" s="31">
        <v>0</v>
      </c>
      <c r="YL55" s="31">
        <v>0</v>
      </c>
      <c r="YM55" s="31">
        <v>0</v>
      </c>
      <c r="YN55" s="31">
        <v>0</v>
      </c>
      <c r="YO55" s="31">
        <v>0</v>
      </c>
      <c r="YP55" s="31">
        <v>0</v>
      </c>
      <c r="YQ55" s="31">
        <v>0</v>
      </c>
      <c r="YR55" s="31">
        <v>0</v>
      </c>
      <c r="YS55" s="31">
        <v>0</v>
      </c>
      <c r="YT55" s="31">
        <v>0</v>
      </c>
      <c r="YU55" s="31">
        <v>0</v>
      </c>
      <c r="YV55" s="31">
        <v>0</v>
      </c>
      <c r="YW55" s="31">
        <v>0</v>
      </c>
      <c r="YX55" s="31">
        <v>0</v>
      </c>
      <c r="YY55" s="31">
        <v>0</v>
      </c>
      <c r="YZ55" s="31">
        <v>0</v>
      </c>
      <c r="ZA55" s="31">
        <v>0</v>
      </c>
      <c r="ZB55" s="31">
        <v>0</v>
      </c>
      <c r="ZC55" s="31">
        <v>0</v>
      </c>
      <c r="ZD55" s="31">
        <v>0</v>
      </c>
      <c r="ZE55" s="31">
        <v>0</v>
      </c>
      <c r="ZF55" s="31">
        <v>0</v>
      </c>
      <c r="ZG55" s="31">
        <v>0</v>
      </c>
      <c r="ZH55" s="31">
        <v>0</v>
      </c>
      <c r="ZI55" s="31">
        <v>0</v>
      </c>
      <c r="ZJ55" s="31">
        <v>0</v>
      </c>
      <c r="ZK55" s="31">
        <v>0</v>
      </c>
      <c r="ZL55" s="31">
        <v>0</v>
      </c>
      <c r="ZM55" s="31">
        <v>0</v>
      </c>
      <c r="ZN55" s="31">
        <v>0</v>
      </c>
      <c r="ZO55" s="31">
        <v>0</v>
      </c>
      <c r="ZP55" s="31">
        <v>0</v>
      </c>
      <c r="ZQ55" s="31">
        <v>0</v>
      </c>
      <c r="ZR55" s="31">
        <v>0</v>
      </c>
      <c r="ZS55" s="31">
        <v>0</v>
      </c>
      <c r="ZT55" s="31">
        <v>0</v>
      </c>
      <c r="ZU55" s="31">
        <v>0</v>
      </c>
      <c r="ZV55" s="31">
        <v>0</v>
      </c>
      <c r="ZW55" s="31">
        <v>0</v>
      </c>
      <c r="ZX55" s="31">
        <v>0</v>
      </c>
      <c r="ZY55" s="31">
        <v>0</v>
      </c>
      <c r="ZZ55" s="31">
        <v>0</v>
      </c>
      <c r="AAA55" s="31">
        <v>0</v>
      </c>
      <c r="AAB55" s="31">
        <v>0</v>
      </c>
      <c r="AAC55" s="31">
        <v>0</v>
      </c>
      <c r="AAD55" s="31">
        <v>0</v>
      </c>
      <c r="AAE55" s="31">
        <v>0</v>
      </c>
      <c r="AAF55" s="31">
        <v>0</v>
      </c>
      <c r="AAG55" s="31">
        <v>0</v>
      </c>
      <c r="AAH55" s="31">
        <v>0</v>
      </c>
      <c r="AAI55" s="31">
        <v>0</v>
      </c>
      <c r="AAJ55" s="31">
        <v>0</v>
      </c>
      <c r="AAK55" s="31">
        <v>0</v>
      </c>
      <c r="AAL55" s="31">
        <v>0</v>
      </c>
      <c r="AAM55" s="31">
        <v>0</v>
      </c>
      <c r="AAN55" s="31">
        <v>0</v>
      </c>
      <c r="AAO55" s="31">
        <v>0</v>
      </c>
      <c r="AAP55" s="31">
        <v>0</v>
      </c>
      <c r="AAQ55" s="31">
        <v>0</v>
      </c>
      <c r="AAR55" s="31">
        <v>0</v>
      </c>
      <c r="AAS55" s="31">
        <v>0</v>
      </c>
      <c r="AAT55" s="31">
        <v>0</v>
      </c>
      <c r="AAU55" s="31">
        <v>0</v>
      </c>
      <c r="AAV55" s="31">
        <v>0</v>
      </c>
      <c r="AAW55" s="31">
        <v>0</v>
      </c>
      <c r="AAX55" s="31">
        <v>0</v>
      </c>
      <c r="AAY55" s="31">
        <v>0</v>
      </c>
      <c r="AAZ55" s="31">
        <v>0</v>
      </c>
      <c r="ABA55" s="31">
        <v>0</v>
      </c>
      <c r="ABB55" s="31">
        <v>0</v>
      </c>
      <c r="ABC55" s="31">
        <v>0</v>
      </c>
      <c r="ABD55" s="31">
        <v>0</v>
      </c>
      <c r="ABE55" s="31">
        <v>0</v>
      </c>
      <c r="ABF55" s="31">
        <v>0</v>
      </c>
      <c r="ABG55" s="31">
        <v>0</v>
      </c>
      <c r="ABH55" s="31">
        <v>0</v>
      </c>
      <c r="ABI55" s="31">
        <v>0</v>
      </c>
      <c r="ABJ55" s="31">
        <v>0</v>
      </c>
      <c r="ABK55" s="31">
        <v>0</v>
      </c>
      <c r="ABL55" s="31">
        <v>0</v>
      </c>
      <c r="ABM55" s="31">
        <v>0</v>
      </c>
      <c r="ABN55" s="31">
        <v>0</v>
      </c>
      <c r="ABO55" s="31">
        <v>0</v>
      </c>
      <c r="ABP55" s="31">
        <v>0</v>
      </c>
      <c r="ABQ55" s="31">
        <v>0</v>
      </c>
      <c r="ABR55" s="31">
        <v>0</v>
      </c>
      <c r="ABS55" s="31">
        <v>0</v>
      </c>
      <c r="ABT55" s="31">
        <v>0</v>
      </c>
      <c r="ABU55" s="31">
        <v>0</v>
      </c>
      <c r="ABV55" s="31">
        <v>0</v>
      </c>
      <c r="ABW55" s="31">
        <v>0</v>
      </c>
      <c r="ABX55" s="31">
        <v>0</v>
      </c>
      <c r="ABY55" s="31">
        <v>0</v>
      </c>
      <c r="ABZ55" s="31">
        <v>0</v>
      </c>
      <c r="ACA55" s="31">
        <v>0</v>
      </c>
      <c r="ACB55" s="31">
        <v>0</v>
      </c>
      <c r="ACC55" s="31">
        <v>0</v>
      </c>
      <c r="ACD55" s="31">
        <v>1120</v>
      </c>
      <c r="ACE55" s="31">
        <v>32835</v>
      </c>
      <c r="ACF55" s="31">
        <v>0</v>
      </c>
      <c r="ACG55" s="31">
        <v>0</v>
      </c>
      <c r="ACH55" s="31">
        <v>0</v>
      </c>
      <c r="ACI55" s="31">
        <v>0</v>
      </c>
      <c r="ACJ55" s="31">
        <v>0</v>
      </c>
      <c r="ACK55" s="31">
        <v>0</v>
      </c>
      <c r="ACL55" s="31">
        <v>0</v>
      </c>
      <c r="ACM55" s="31">
        <v>0</v>
      </c>
      <c r="ACN55" s="31">
        <v>0</v>
      </c>
      <c r="ACO55" s="31">
        <v>0</v>
      </c>
      <c r="ACP55" s="31">
        <v>0</v>
      </c>
      <c r="ACQ55" s="31">
        <v>0</v>
      </c>
      <c r="ACR55" s="31">
        <v>0</v>
      </c>
      <c r="ACS55" s="31">
        <v>0</v>
      </c>
      <c r="ACT55" s="31">
        <v>0</v>
      </c>
      <c r="ACU55" s="31">
        <v>0</v>
      </c>
      <c r="ACV55" s="31">
        <v>0</v>
      </c>
      <c r="ACW55" s="31">
        <v>0</v>
      </c>
      <c r="ACX55" s="31">
        <v>0</v>
      </c>
      <c r="ACY55" s="31">
        <v>0</v>
      </c>
      <c r="ACZ55" s="31">
        <v>0</v>
      </c>
      <c r="ADA55" s="31">
        <v>0</v>
      </c>
      <c r="ADB55" s="31">
        <v>0</v>
      </c>
      <c r="ADC55" s="31">
        <v>0</v>
      </c>
      <c r="ADD55" s="31">
        <v>0</v>
      </c>
      <c r="ADE55" s="31">
        <v>0</v>
      </c>
      <c r="ADF55" s="31">
        <v>0</v>
      </c>
      <c r="ADG55" s="31">
        <v>0</v>
      </c>
      <c r="ADH55" s="31">
        <v>0</v>
      </c>
      <c r="ADI55" s="31">
        <v>0</v>
      </c>
      <c r="ADJ55" s="31">
        <v>0</v>
      </c>
      <c r="ADK55" s="31">
        <v>0</v>
      </c>
      <c r="ADL55" s="31">
        <v>0</v>
      </c>
      <c r="ADM55" s="31">
        <v>0</v>
      </c>
      <c r="ADN55" s="31">
        <v>0</v>
      </c>
      <c r="ADO55" s="31">
        <v>0</v>
      </c>
      <c r="ADP55" s="31">
        <v>0</v>
      </c>
      <c r="ADQ55" s="31">
        <v>0</v>
      </c>
      <c r="ADR55" s="31">
        <v>0</v>
      </c>
      <c r="ADS55" s="31">
        <v>0</v>
      </c>
      <c r="ADT55" s="31">
        <v>0</v>
      </c>
      <c r="ADU55" s="31">
        <v>0</v>
      </c>
      <c r="ADV55" s="31">
        <v>0</v>
      </c>
      <c r="ADW55" s="31">
        <v>0</v>
      </c>
      <c r="ADX55" s="31">
        <v>0</v>
      </c>
      <c r="ADY55" s="31">
        <v>0</v>
      </c>
      <c r="ADZ55" s="31">
        <v>0</v>
      </c>
      <c r="AEA55" s="31">
        <v>0</v>
      </c>
      <c r="AEB55" s="31">
        <v>0</v>
      </c>
      <c r="AEC55" s="31">
        <v>0</v>
      </c>
      <c r="AED55" s="31">
        <v>0</v>
      </c>
      <c r="AEE55" s="31">
        <v>0</v>
      </c>
      <c r="AEF55" s="31">
        <v>0</v>
      </c>
      <c r="AEG55" s="31">
        <v>0</v>
      </c>
      <c r="AEH55" s="31">
        <v>0</v>
      </c>
      <c r="AEI55" s="31">
        <v>0</v>
      </c>
      <c r="AEJ55" s="31">
        <v>0</v>
      </c>
      <c r="AEK55" s="31">
        <v>0</v>
      </c>
      <c r="AEL55" s="31">
        <v>0</v>
      </c>
      <c r="AEM55" s="31">
        <v>0</v>
      </c>
      <c r="AEN55" s="31">
        <v>0</v>
      </c>
      <c r="AEO55" s="31">
        <v>0</v>
      </c>
      <c r="AEP55" s="31">
        <v>0</v>
      </c>
      <c r="AEQ55" s="31">
        <v>0</v>
      </c>
      <c r="AER55" s="31">
        <v>0</v>
      </c>
      <c r="AES55" s="31">
        <v>0</v>
      </c>
      <c r="AET55" s="31">
        <v>0</v>
      </c>
      <c r="AEU55" s="31">
        <v>0</v>
      </c>
      <c r="AEV55" s="31">
        <v>0</v>
      </c>
      <c r="AEW55" s="31">
        <v>0</v>
      </c>
      <c r="AEX55" s="31">
        <v>0</v>
      </c>
      <c r="AEY55" s="31">
        <v>0</v>
      </c>
      <c r="AEZ55" s="31">
        <v>0</v>
      </c>
      <c r="AFA55" s="31">
        <v>0</v>
      </c>
      <c r="AFB55" s="31">
        <v>0</v>
      </c>
      <c r="AFC55" s="31">
        <v>0</v>
      </c>
      <c r="AFD55" s="31">
        <v>0</v>
      </c>
      <c r="AFE55" s="31">
        <v>0</v>
      </c>
      <c r="AFF55" s="31">
        <v>0</v>
      </c>
      <c r="AFG55" s="31">
        <v>0</v>
      </c>
      <c r="AFH55" s="31">
        <v>0</v>
      </c>
      <c r="AFI55" s="31">
        <v>0</v>
      </c>
      <c r="AFJ55" s="31">
        <v>0</v>
      </c>
      <c r="AFK55" s="31">
        <v>0</v>
      </c>
      <c r="AFL55" s="31">
        <v>0</v>
      </c>
      <c r="AFM55" s="31">
        <v>0</v>
      </c>
      <c r="AFN55" s="31">
        <v>0</v>
      </c>
      <c r="AFO55" s="31">
        <v>0</v>
      </c>
      <c r="AFP55" s="31">
        <v>0</v>
      </c>
      <c r="AFQ55" s="31">
        <v>0</v>
      </c>
      <c r="AFR55" s="31">
        <v>0</v>
      </c>
      <c r="AFS55" s="31">
        <v>0</v>
      </c>
      <c r="AFT55" s="31">
        <v>0</v>
      </c>
      <c r="AFU55" s="31">
        <v>0</v>
      </c>
      <c r="AFV55" s="31">
        <v>0</v>
      </c>
      <c r="AFW55" s="31">
        <v>0</v>
      </c>
      <c r="AFX55" s="31">
        <v>0</v>
      </c>
      <c r="AFY55" s="31">
        <v>0</v>
      </c>
      <c r="AFZ55" s="31">
        <v>0</v>
      </c>
      <c r="AGA55" s="31">
        <v>0</v>
      </c>
      <c r="AGB55" s="31">
        <v>0</v>
      </c>
      <c r="AGC55" s="31">
        <v>0</v>
      </c>
      <c r="AGD55" s="31">
        <v>0</v>
      </c>
      <c r="AGE55" s="31">
        <v>0</v>
      </c>
      <c r="AGF55" s="31">
        <v>0</v>
      </c>
      <c r="AGG55" s="31">
        <v>0</v>
      </c>
      <c r="AGH55" s="31">
        <v>0</v>
      </c>
      <c r="AGI55" s="31">
        <v>0</v>
      </c>
      <c r="AGJ55" s="31">
        <v>0</v>
      </c>
      <c r="AGK55" s="31">
        <v>0</v>
      </c>
      <c r="AGL55" s="31">
        <v>0</v>
      </c>
      <c r="AGM55" s="31">
        <v>0</v>
      </c>
      <c r="AGN55" s="31">
        <v>0</v>
      </c>
      <c r="AGO55" s="31">
        <v>0</v>
      </c>
      <c r="AGP55" s="31">
        <v>0</v>
      </c>
      <c r="AGQ55" s="31">
        <v>0</v>
      </c>
      <c r="AGR55" s="31">
        <v>0</v>
      </c>
      <c r="AGS55" s="31">
        <v>0</v>
      </c>
      <c r="AGT55" s="31">
        <v>0</v>
      </c>
      <c r="AGU55" s="31">
        <v>0</v>
      </c>
      <c r="AGV55" s="31">
        <v>0</v>
      </c>
      <c r="AGW55" s="156">
        <f>SUMIF($D:$D,$AG$4,AFT:AFT)</f>
        <v>0</v>
      </c>
      <c r="AGX55" s="156">
        <f>SUMIF($D:$D,$AG$4,AFU:AFU)</f>
        <v>0</v>
      </c>
      <c r="AGY55" s="156">
        <v>0</v>
      </c>
      <c r="AGZ55" s="156">
        <v>0</v>
      </c>
      <c r="AHA55" s="156">
        <v>0</v>
      </c>
      <c r="AHB55" s="156">
        <v>0</v>
      </c>
      <c r="AHC55" s="156">
        <v>0</v>
      </c>
      <c r="AHD55" s="156">
        <v>0</v>
      </c>
      <c r="AHE55" s="156">
        <v>0</v>
      </c>
      <c r="AHF55" s="156">
        <v>0</v>
      </c>
      <c r="AHI55" s="31">
        <v>0</v>
      </c>
      <c r="AHJ55" s="31">
        <v>0</v>
      </c>
      <c r="AHK55" s="31">
        <v>0</v>
      </c>
      <c r="AHL55" s="31">
        <v>0</v>
      </c>
      <c r="AHN55" s="31">
        <v>0</v>
      </c>
      <c r="AHO55" s="31">
        <v>0</v>
      </c>
      <c r="AHP55" s="31">
        <v>0</v>
      </c>
      <c r="AHQ55" s="31">
        <v>0</v>
      </c>
      <c r="AHR55" s="31">
        <v>0</v>
      </c>
      <c r="AHS55" s="31">
        <v>0</v>
      </c>
      <c r="AHT55" s="31">
        <v>0</v>
      </c>
      <c r="AHU55" s="31">
        <v>0</v>
      </c>
      <c r="AHV55" s="31">
        <v>0</v>
      </c>
      <c r="AHW55" s="31">
        <v>0</v>
      </c>
      <c r="AHX55" s="31">
        <v>0</v>
      </c>
      <c r="AHY55" s="31">
        <v>0</v>
      </c>
      <c r="AHZ55" s="31">
        <v>0</v>
      </c>
      <c r="AIA55" s="31">
        <v>0</v>
      </c>
      <c r="AIB55" s="31">
        <v>0</v>
      </c>
      <c r="AIC55" s="31">
        <v>0</v>
      </c>
      <c r="AID55" s="31">
        <v>0</v>
      </c>
      <c r="AIE55" s="31">
        <v>0</v>
      </c>
      <c r="AIF55" s="31">
        <v>0</v>
      </c>
      <c r="AIG55" s="31">
        <v>0</v>
      </c>
      <c r="AIH55" s="31">
        <v>0</v>
      </c>
      <c r="AII55" s="31">
        <v>0</v>
      </c>
      <c r="AIJ55" s="31">
        <v>0</v>
      </c>
      <c r="AIK55" s="31">
        <v>0</v>
      </c>
      <c r="AIL55" s="31">
        <v>0</v>
      </c>
      <c r="AIM55" s="31">
        <v>0</v>
      </c>
      <c r="AIN55" s="31">
        <v>0</v>
      </c>
      <c r="AIO55" s="31">
        <v>0</v>
      </c>
      <c r="AIP55" s="31">
        <v>0</v>
      </c>
      <c r="AIQ55" s="31">
        <v>0</v>
      </c>
      <c r="AIR55" s="31">
        <v>0</v>
      </c>
      <c r="AIS55" s="31">
        <v>0</v>
      </c>
      <c r="AIT55" s="31">
        <v>0</v>
      </c>
      <c r="AIU55" s="31">
        <v>0</v>
      </c>
      <c r="AIV55" s="31">
        <v>0</v>
      </c>
      <c r="AIW55" s="31">
        <v>0</v>
      </c>
      <c r="AIX55" s="31">
        <v>0</v>
      </c>
      <c r="AIY55" s="31">
        <v>0</v>
      </c>
      <c r="AIZ55" s="31">
        <v>0</v>
      </c>
      <c r="AJA55" s="31">
        <v>0</v>
      </c>
      <c r="AJB55" s="31">
        <v>0</v>
      </c>
      <c r="AJC55" s="31">
        <v>0</v>
      </c>
      <c r="AJD55" s="31">
        <v>0</v>
      </c>
      <c r="AJE55" s="31">
        <v>0</v>
      </c>
      <c r="AJF55" s="31">
        <v>0</v>
      </c>
      <c r="AJG55" s="31">
        <v>0</v>
      </c>
      <c r="AJH55" s="31">
        <v>0</v>
      </c>
      <c r="AJI55" s="31">
        <v>0</v>
      </c>
      <c r="AJJ55" s="31">
        <v>0</v>
      </c>
      <c r="AJK55" s="31">
        <v>0</v>
      </c>
      <c r="AJL55" s="31">
        <v>0</v>
      </c>
      <c r="AJM55" s="31">
        <v>0</v>
      </c>
      <c r="AJN55" s="31">
        <v>0</v>
      </c>
      <c r="AJO55" s="31">
        <v>0</v>
      </c>
      <c r="AJP55" s="31">
        <v>0</v>
      </c>
      <c r="AJQ55" s="31">
        <v>0</v>
      </c>
      <c r="AJR55" s="31">
        <v>0</v>
      </c>
      <c r="AJS55" s="31">
        <v>0</v>
      </c>
      <c r="AJT55" s="31">
        <v>0</v>
      </c>
      <c r="AJU55" s="31">
        <v>0</v>
      </c>
      <c r="AJV55" s="31">
        <v>0</v>
      </c>
      <c r="AJW55" s="31">
        <v>0</v>
      </c>
      <c r="AJX55" s="31">
        <v>0</v>
      </c>
      <c r="AJY55" s="31">
        <v>0</v>
      </c>
      <c r="AJZ55" s="31">
        <v>0</v>
      </c>
      <c r="AKA55" s="31">
        <v>0</v>
      </c>
      <c r="AKB55" s="31">
        <v>0</v>
      </c>
      <c r="AKC55" s="31">
        <v>0</v>
      </c>
      <c r="AKD55" s="31">
        <v>0</v>
      </c>
      <c r="AKE55" s="31">
        <v>0</v>
      </c>
      <c r="AKF55" s="31">
        <v>0</v>
      </c>
    </row>
    <row r="58" spans="2:968">
      <c r="MH58" s="29"/>
    </row>
    <row r="59" spans="2:968">
      <c r="MH59" s="29"/>
      <c r="MI59" s="66"/>
    </row>
    <row r="61" spans="2:968">
      <c r="AET61" s="23"/>
    </row>
    <row r="62" spans="2:968">
      <c r="AET62" s="29"/>
    </row>
  </sheetData>
  <autoFilter ref="A2:ACT49" xr:uid="{DF9714DD-523F-4638-9E7E-242A72EC2A04}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C613C-5700-4E85-9A41-67CE536FF51E}">
  <sheetPr>
    <tabColor theme="5" tint="-0.249977111117893"/>
  </sheetPr>
  <dimension ref="A1:AKN61"/>
  <sheetViews>
    <sheetView showGridLines="0" topLeftCell="B1" zoomScale="70" zoomScaleNormal="70" workbookViewId="0">
      <pane xSplit="9" ySplit="1" topLeftCell="AJW2" activePane="bottomRight" state="frozen"/>
      <selection pane="topRight" activeCell="L1" sqref="L1"/>
      <selection pane="bottomLeft" activeCell="B2" sqref="B2"/>
      <selection pane="bottomRight" activeCell="AHI3" sqref="AHI3:AIL33"/>
    </sheetView>
  </sheetViews>
  <sheetFormatPr defaultRowHeight="14.5"/>
  <cols>
    <col min="1" max="1" width="2.36328125" hidden="1" customWidth="1"/>
    <col min="2" max="2" width="8.36328125" customWidth="1"/>
    <col min="3" max="3" width="10.26953125" customWidth="1"/>
    <col min="4" max="4" width="11.26953125" customWidth="1"/>
    <col min="5" max="5" width="14.36328125" style="1" customWidth="1"/>
    <col min="6" max="6" width="8.26953125" customWidth="1"/>
    <col min="7" max="7" width="11.26953125" customWidth="1"/>
    <col min="8" max="8" width="30.6328125" bestFit="1" customWidth="1"/>
    <col min="9" max="9" width="12.36328125" customWidth="1"/>
    <col min="10" max="10" width="9.26953125" customWidth="1"/>
    <col min="11" max="11" width="11.26953125" customWidth="1"/>
    <col min="12" max="19" width="10.26953125" bestFit="1" customWidth="1"/>
    <col min="20" max="40" width="16.36328125" bestFit="1" customWidth="1"/>
    <col min="41" max="49" width="15.7265625" bestFit="1" customWidth="1"/>
    <col min="50" max="60" width="16.36328125" bestFit="1" customWidth="1"/>
    <col min="61" max="62" width="18.36328125" bestFit="1" customWidth="1"/>
    <col min="63" max="71" width="11.36328125" bestFit="1" customWidth="1"/>
    <col min="72" max="80" width="9.26953125" bestFit="1" customWidth="1"/>
    <col min="81" max="102" width="10.36328125" bestFit="1" customWidth="1"/>
    <col min="103" max="111" width="9.26953125" bestFit="1" customWidth="1"/>
    <col min="112" max="131" width="10.36328125" bestFit="1" customWidth="1"/>
    <col min="132" max="140" width="9.26953125" bestFit="1" customWidth="1"/>
    <col min="141" max="162" width="10.36328125" bestFit="1" customWidth="1"/>
    <col min="163" max="168" width="9.26953125" bestFit="1" customWidth="1"/>
    <col min="169" max="184" width="11.36328125" bestFit="1" customWidth="1"/>
    <col min="185" max="192" width="10.36328125" bestFit="1" customWidth="1"/>
    <col min="193" max="195" width="9.26953125" bestFit="1" customWidth="1"/>
    <col min="196" max="201" width="9.36328125" bestFit="1" customWidth="1"/>
    <col min="202" max="223" width="10.36328125" bestFit="1" customWidth="1"/>
    <col min="224" max="232" width="9.36328125" bestFit="1" customWidth="1"/>
    <col min="233" max="253" width="10.36328125" bestFit="1" customWidth="1"/>
    <col min="254" max="255" width="9.36328125" bestFit="1" customWidth="1"/>
    <col min="256" max="270" width="10.36328125" bestFit="1" customWidth="1"/>
    <col min="271" max="282" width="10.7265625" bestFit="1" customWidth="1"/>
    <col min="283" max="283" width="9.7265625" bestFit="1" customWidth="1"/>
    <col min="284" max="284" width="10.7265625" bestFit="1" customWidth="1"/>
    <col min="285" max="293" width="9.7265625" bestFit="1" customWidth="1"/>
    <col min="294" max="305" width="10.7265625" bestFit="1" customWidth="1"/>
    <col min="306" max="309" width="9.7265625" bestFit="1" customWidth="1"/>
    <col min="310" max="310" width="10.7265625" bestFit="1" customWidth="1"/>
    <col min="311" max="311" width="9.7265625" bestFit="1" customWidth="1"/>
    <col min="312" max="312" width="10.7265625" bestFit="1" customWidth="1"/>
    <col min="313" max="324" width="9.7265625" bestFit="1" customWidth="1"/>
    <col min="325" max="346" width="10.36328125" bestFit="1" customWidth="1"/>
    <col min="347" max="354" width="10.7265625" bestFit="1" customWidth="1"/>
    <col min="355" max="376" width="11.7265625" bestFit="1" customWidth="1"/>
    <col min="377" max="385" width="10.7265625" bestFit="1" customWidth="1"/>
    <col min="386" max="404" width="11.7265625" bestFit="1" customWidth="1"/>
    <col min="405" max="436" width="9.7265625" bestFit="1" customWidth="1"/>
    <col min="437" max="627" width="11" bestFit="1" customWidth="1"/>
    <col min="628" max="629" width="9.7265625" bestFit="1" customWidth="1"/>
    <col min="630" max="636" width="11" bestFit="1" customWidth="1"/>
    <col min="637" max="649" width="10.36328125" bestFit="1" customWidth="1"/>
    <col min="650" max="652" width="10.08984375" bestFit="1" customWidth="1"/>
    <col min="653" max="653" width="10.36328125" bestFit="1" customWidth="1"/>
    <col min="654" max="658" width="9.36328125" bestFit="1" customWidth="1"/>
    <col min="659" max="680" width="10.36328125" bestFit="1" customWidth="1"/>
    <col min="681" max="689" width="9.36328125" bestFit="1" customWidth="1"/>
    <col min="690" max="719" width="10.36328125" bestFit="1" customWidth="1"/>
    <col min="720" max="726" width="11.36328125" bestFit="1" customWidth="1"/>
    <col min="727" max="727" width="11.36328125" style="115" bestFit="1" customWidth="1"/>
    <col min="728" max="732" width="11.36328125" bestFit="1" customWidth="1"/>
    <col min="733" max="733" width="11.36328125" style="124" bestFit="1" customWidth="1"/>
    <col min="734" max="741" width="11.36328125" bestFit="1" customWidth="1"/>
    <col min="742" max="750" width="10.36328125" bestFit="1" customWidth="1"/>
    <col min="751" max="761" width="11.36328125" bestFit="1" customWidth="1"/>
    <col min="762" max="771" width="11.453125" bestFit="1" customWidth="1"/>
    <col min="772" max="780" width="10.453125" bestFit="1" customWidth="1"/>
    <col min="781" max="789" width="11.453125" bestFit="1" customWidth="1"/>
    <col min="790" max="795" width="11.453125" customWidth="1"/>
    <col min="796" max="802" width="11.453125" bestFit="1" customWidth="1"/>
    <col min="803" max="811" width="9.453125" bestFit="1" customWidth="1"/>
    <col min="812" max="833" width="10.453125" bestFit="1" customWidth="1"/>
    <col min="834" max="842" width="9.453125" bestFit="1" customWidth="1"/>
    <col min="843" max="858" width="10.453125" bestFit="1" customWidth="1"/>
    <col min="859" max="870" width="10.08984375" bestFit="1" customWidth="1"/>
    <col min="871" max="881" width="11.7265625" bestFit="1" customWidth="1"/>
    <col min="882" max="893" width="10.08984375" bestFit="1" customWidth="1"/>
    <col min="894" max="895" width="10.6328125" bestFit="1" customWidth="1"/>
    <col min="896" max="897" width="10.08984375" bestFit="1" customWidth="1"/>
    <col min="922" max="976" width="10.6328125" bestFit="1" customWidth="1"/>
  </cols>
  <sheetData>
    <row r="1" spans="1:976" s="11" customFormat="1" ht="26.25" customHeight="1">
      <c r="C1" s="12" t="s">
        <v>0</v>
      </c>
      <c r="D1" s="12" t="s">
        <v>1</v>
      </c>
      <c r="E1" s="13" t="s">
        <v>2</v>
      </c>
      <c r="F1" s="13" t="s">
        <v>3</v>
      </c>
      <c r="G1" s="12" t="s">
        <v>4</v>
      </c>
      <c r="H1" s="12" t="s">
        <v>5</v>
      </c>
      <c r="I1" s="12" t="s">
        <v>6</v>
      </c>
      <c r="J1" s="12" t="s">
        <v>7</v>
      </c>
      <c r="K1" s="14">
        <v>45231</v>
      </c>
      <c r="L1" s="14">
        <f t="shared" ref="L1:Q1" si="0">K1+1</f>
        <v>45232</v>
      </c>
      <c r="M1" s="14">
        <f t="shared" si="0"/>
        <v>45233</v>
      </c>
      <c r="N1" s="14">
        <f t="shared" si="0"/>
        <v>45234</v>
      </c>
      <c r="O1" s="14">
        <f t="shared" si="0"/>
        <v>45235</v>
      </c>
      <c r="P1" s="14">
        <f t="shared" si="0"/>
        <v>45236</v>
      </c>
      <c r="Q1" s="14">
        <f t="shared" si="0"/>
        <v>45237</v>
      </c>
      <c r="R1" s="14">
        <f t="shared" ref="R1" si="1">Q1+1</f>
        <v>45238</v>
      </c>
      <c r="S1" s="14">
        <f t="shared" ref="S1" si="2">R1+1</f>
        <v>45239</v>
      </c>
      <c r="T1" s="14">
        <f t="shared" ref="T1" si="3">S1+1</f>
        <v>45240</v>
      </c>
      <c r="U1" s="14">
        <f t="shared" ref="U1" si="4">T1+1</f>
        <v>45241</v>
      </c>
      <c r="V1" s="14">
        <f t="shared" ref="V1" si="5">U1+1</f>
        <v>45242</v>
      </c>
      <c r="W1" s="14">
        <f t="shared" ref="W1" si="6">V1+1</f>
        <v>45243</v>
      </c>
      <c r="X1" s="14">
        <f t="shared" ref="X1" si="7">W1+1</f>
        <v>45244</v>
      </c>
      <c r="Y1" s="14">
        <f t="shared" ref="Y1" si="8">X1+1</f>
        <v>45245</v>
      </c>
      <c r="Z1" s="14">
        <f t="shared" ref="Z1" si="9">Y1+1</f>
        <v>45246</v>
      </c>
      <c r="AA1" s="14">
        <f t="shared" ref="AA1" si="10">Z1+1</f>
        <v>45247</v>
      </c>
      <c r="AB1" s="14">
        <f t="shared" ref="AB1" si="11">AA1+1</f>
        <v>45248</v>
      </c>
      <c r="AC1" s="14">
        <f t="shared" ref="AC1" si="12">AB1+1</f>
        <v>45249</v>
      </c>
      <c r="AD1" s="14">
        <f t="shared" ref="AD1" si="13">AC1+1</f>
        <v>45250</v>
      </c>
      <c r="AE1" s="14">
        <f t="shared" ref="AE1" si="14">AD1+1</f>
        <v>45251</v>
      </c>
      <c r="AF1" s="14">
        <f t="shared" ref="AF1" si="15">AE1+1</f>
        <v>45252</v>
      </c>
      <c r="AG1" s="14">
        <f t="shared" ref="AG1" si="16">AF1+1</f>
        <v>45253</v>
      </c>
      <c r="AH1" s="14">
        <f t="shared" ref="AH1" si="17">AG1+1</f>
        <v>45254</v>
      </c>
      <c r="AI1" s="14">
        <f>AH1+1</f>
        <v>45255</v>
      </c>
      <c r="AJ1" s="14">
        <f t="shared" ref="AJ1" si="18">AI1+1</f>
        <v>45256</v>
      </c>
      <c r="AK1" s="14">
        <f t="shared" ref="AK1" si="19">AJ1+1</f>
        <v>45257</v>
      </c>
      <c r="AL1" s="14">
        <f t="shared" ref="AL1" si="20">AK1+1</f>
        <v>45258</v>
      </c>
      <c r="AM1" s="14">
        <f t="shared" ref="AM1" si="21">AL1+1</f>
        <v>45259</v>
      </c>
      <c r="AN1" s="14">
        <f t="shared" ref="AN1" si="22">AM1+1</f>
        <v>45260</v>
      </c>
      <c r="AO1" s="14">
        <f t="shared" ref="AO1" si="23">AN1+1</f>
        <v>45261</v>
      </c>
      <c r="AP1" s="14">
        <f t="shared" ref="AP1" si="24">AO1+1</f>
        <v>45262</v>
      </c>
      <c r="AQ1" s="14">
        <f t="shared" ref="AQ1" si="25">AP1+1</f>
        <v>45263</v>
      </c>
      <c r="AR1" s="14">
        <f t="shared" ref="AR1" si="26">AQ1+1</f>
        <v>45264</v>
      </c>
      <c r="AS1" s="14">
        <f t="shared" ref="AS1" si="27">AR1+1</f>
        <v>45265</v>
      </c>
      <c r="AT1" s="14">
        <f t="shared" ref="AT1" si="28">AS1+1</f>
        <v>45266</v>
      </c>
      <c r="AU1" s="14">
        <f t="shared" ref="AU1" si="29">AT1+1</f>
        <v>45267</v>
      </c>
      <c r="AV1" s="14">
        <f t="shared" ref="AV1" si="30">AU1+1</f>
        <v>45268</v>
      </c>
      <c r="AW1" s="14">
        <f t="shared" ref="AW1" si="31">AV1+1</f>
        <v>45269</v>
      </c>
      <c r="AX1" s="14">
        <f t="shared" ref="AX1" si="32">AW1+1</f>
        <v>45270</v>
      </c>
      <c r="AY1" s="14">
        <f t="shared" ref="AY1" si="33">AX1+1</f>
        <v>45271</v>
      </c>
      <c r="AZ1" s="14">
        <f t="shared" ref="AZ1" si="34">AY1+1</f>
        <v>45272</v>
      </c>
      <c r="BA1" s="14">
        <f t="shared" ref="BA1" si="35">AZ1+1</f>
        <v>45273</v>
      </c>
      <c r="BB1" s="14">
        <f t="shared" ref="BB1" si="36">BA1+1</f>
        <v>45274</v>
      </c>
      <c r="BC1" s="14">
        <f t="shared" ref="BC1" si="37">BB1+1</f>
        <v>45275</v>
      </c>
      <c r="BD1" s="14">
        <f t="shared" ref="BD1" si="38">BC1+1</f>
        <v>45276</v>
      </c>
      <c r="BE1" s="14">
        <f t="shared" ref="BE1" si="39">BD1+1</f>
        <v>45277</v>
      </c>
      <c r="BF1" s="14">
        <f t="shared" ref="BF1" si="40">BE1+1</f>
        <v>45278</v>
      </c>
      <c r="BG1" s="14">
        <f t="shared" ref="BG1" si="41">BF1+1</f>
        <v>45279</v>
      </c>
      <c r="BH1" s="14">
        <f t="shared" ref="BH1" si="42">BG1+1</f>
        <v>45280</v>
      </c>
      <c r="BI1" s="14">
        <f t="shared" ref="BI1" si="43">BH1+1</f>
        <v>45281</v>
      </c>
      <c r="BJ1" s="14">
        <f t="shared" ref="BJ1" si="44">BI1+1</f>
        <v>45282</v>
      </c>
      <c r="BK1" s="14">
        <f t="shared" ref="BK1" si="45">BJ1+1</f>
        <v>45283</v>
      </c>
      <c r="BL1" s="14">
        <f t="shared" ref="BL1" si="46">BK1+1</f>
        <v>45284</v>
      </c>
      <c r="BM1" s="14">
        <f t="shared" ref="BM1" si="47">BL1+1</f>
        <v>45285</v>
      </c>
      <c r="BN1" s="14">
        <f t="shared" ref="BN1" si="48">BM1+1</f>
        <v>45286</v>
      </c>
      <c r="BO1" s="14">
        <f t="shared" ref="BO1" si="49">BN1+1</f>
        <v>45287</v>
      </c>
      <c r="BP1" s="14">
        <f t="shared" ref="BP1" si="50">BO1+1</f>
        <v>45288</v>
      </c>
      <c r="BQ1" s="14">
        <f t="shared" ref="BQ1" si="51">BP1+1</f>
        <v>45289</v>
      </c>
      <c r="BR1" s="14">
        <f t="shared" ref="BR1" si="52">BQ1+1</f>
        <v>45290</v>
      </c>
      <c r="BS1" s="14">
        <f t="shared" ref="BS1" si="53">BR1+1</f>
        <v>45291</v>
      </c>
      <c r="BT1" s="14">
        <f t="shared" ref="BT1" si="54">BS1+1</f>
        <v>45292</v>
      </c>
      <c r="BU1" s="14">
        <f t="shared" ref="BU1" si="55">BT1+1</f>
        <v>45293</v>
      </c>
      <c r="BV1" s="14">
        <f t="shared" ref="BV1" si="56">BU1+1</f>
        <v>45294</v>
      </c>
      <c r="BW1" s="14">
        <f t="shared" ref="BW1" si="57">BV1+1</f>
        <v>45295</v>
      </c>
      <c r="BX1" s="14">
        <f t="shared" ref="BX1" si="58">BW1+1</f>
        <v>45296</v>
      </c>
      <c r="BY1" s="14">
        <f t="shared" ref="BY1" si="59">BX1+1</f>
        <v>45297</v>
      </c>
      <c r="BZ1" s="14">
        <f t="shared" ref="BZ1" si="60">BY1+1</f>
        <v>45298</v>
      </c>
      <c r="CA1" s="14">
        <f t="shared" ref="CA1" si="61">BZ1+1</f>
        <v>45299</v>
      </c>
      <c r="CB1" s="14">
        <f t="shared" ref="CB1" si="62">CA1+1</f>
        <v>45300</v>
      </c>
      <c r="CC1" s="14">
        <f t="shared" ref="CC1" si="63">CB1+1</f>
        <v>45301</v>
      </c>
      <c r="CD1" s="14">
        <f t="shared" ref="CD1" si="64">CC1+1</f>
        <v>45302</v>
      </c>
      <c r="CE1" s="14">
        <f t="shared" ref="CE1" si="65">CD1+1</f>
        <v>45303</v>
      </c>
      <c r="CF1" s="14">
        <f t="shared" ref="CF1" si="66">CE1+1</f>
        <v>45304</v>
      </c>
      <c r="CG1" s="14">
        <f t="shared" ref="CG1" si="67">CF1+1</f>
        <v>45305</v>
      </c>
      <c r="CH1" s="14">
        <f t="shared" ref="CH1" si="68">CG1+1</f>
        <v>45306</v>
      </c>
      <c r="CI1" s="14">
        <f t="shared" ref="CI1" si="69">CH1+1</f>
        <v>45307</v>
      </c>
      <c r="CJ1" s="14">
        <f t="shared" ref="CJ1" si="70">CI1+1</f>
        <v>45308</v>
      </c>
      <c r="CK1" s="14">
        <f t="shared" ref="CK1" si="71">CJ1+1</f>
        <v>45309</v>
      </c>
      <c r="CL1" s="14">
        <f t="shared" ref="CL1" si="72">CK1+1</f>
        <v>45310</v>
      </c>
      <c r="CM1" s="14">
        <f t="shared" ref="CM1" si="73">CL1+1</f>
        <v>45311</v>
      </c>
      <c r="CN1" s="14">
        <f t="shared" ref="CN1" si="74">CM1+1</f>
        <v>45312</v>
      </c>
      <c r="CO1" s="14">
        <f t="shared" ref="CO1" si="75">CN1+1</f>
        <v>45313</v>
      </c>
      <c r="CP1" s="14">
        <f t="shared" ref="CP1" si="76">CO1+1</f>
        <v>45314</v>
      </c>
      <c r="CQ1" s="14">
        <f t="shared" ref="CQ1" si="77">CP1+1</f>
        <v>45315</v>
      </c>
      <c r="CR1" s="14">
        <f t="shared" ref="CR1" si="78">CQ1+1</f>
        <v>45316</v>
      </c>
      <c r="CS1" s="14">
        <f t="shared" ref="CS1" si="79">CR1+1</f>
        <v>45317</v>
      </c>
      <c r="CT1" s="14">
        <f t="shared" ref="CT1" si="80">CS1+1</f>
        <v>45318</v>
      </c>
      <c r="CU1" s="14">
        <f t="shared" ref="CU1" si="81">CT1+1</f>
        <v>45319</v>
      </c>
      <c r="CV1" s="14">
        <f t="shared" ref="CV1" si="82">CU1+1</f>
        <v>45320</v>
      </c>
      <c r="CW1" s="14">
        <f t="shared" ref="CW1" si="83">CV1+1</f>
        <v>45321</v>
      </c>
      <c r="CX1" s="14">
        <f t="shared" ref="CX1" si="84">CW1+1</f>
        <v>45322</v>
      </c>
      <c r="CY1" s="14">
        <f t="shared" ref="CY1" si="85">CX1+1</f>
        <v>45323</v>
      </c>
      <c r="CZ1" s="14">
        <f t="shared" ref="CZ1" si="86">CY1+1</f>
        <v>45324</v>
      </c>
      <c r="DA1" s="14">
        <f t="shared" ref="DA1" si="87">CZ1+1</f>
        <v>45325</v>
      </c>
      <c r="DB1" s="14">
        <f t="shared" ref="DB1" si="88">DA1+1</f>
        <v>45326</v>
      </c>
      <c r="DC1" s="14">
        <f t="shared" ref="DC1" si="89">DB1+1</f>
        <v>45327</v>
      </c>
      <c r="DD1" s="14">
        <f t="shared" ref="DD1" si="90">DC1+1</f>
        <v>45328</v>
      </c>
      <c r="DE1" s="14">
        <f t="shared" ref="DE1" si="91">DD1+1</f>
        <v>45329</v>
      </c>
      <c r="DF1" s="14">
        <f t="shared" ref="DF1" si="92">DE1+1</f>
        <v>45330</v>
      </c>
      <c r="DG1" s="14">
        <f t="shared" ref="DG1" si="93">DF1+1</f>
        <v>45331</v>
      </c>
      <c r="DH1" s="14">
        <f t="shared" ref="DH1" si="94">DG1+1</f>
        <v>45332</v>
      </c>
      <c r="DI1" s="14">
        <f t="shared" ref="DI1" si="95">DH1+1</f>
        <v>45333</v>
      </c>
      <c r="DJ1" s="14">
        <f t="shared" ref="DJ1" si="96">DI1+1</f>
        <v>45334</v>
      </c>
      <c r="DK1" s="14">
        <f t="shared" ref="DK1" si="97">DJ1+1</f>
        <v>45335</v>
      </c>
      <c r="DL1" s="14">
        <f t="shared" ref="DL1" si="98">DK1+1</f>
        <v>45336</v>
      </c>
      <c r="DM1" s="14">
        <f t="shared" ref="DM1" si="99">DL1+1</f>
        <v>45337</v>
      </c>
      <c r="DN1" s="14">
        <f t="shared" ref="DN1" si="100">DM1+1</f>
        <v>45338</v>
      </c>
      <c r="DO1" s="14">
        <f t="shared" ref="DO1" si="101">DN1+1</f>
        <v>45339</v>
      </c>
      <c r="DP1" s="14">
        <f t="shared" ref="DP1" si="102">DO1+1</f>
        <v>45340</v>
      </c>
      <c r="DQ1" s="14">
        <f t="shared" ref="DQ1" si="103">DP1+1</f>
        <v>45341</v>
      </c>
      <c r="DR1" s="14">
        <f t="shared" ref="DR1" si="104">DQ1+1</f>
        <v>45342</v>
      </c>
      <c r="DS1" s="14">
        <f t="shared" ref="DS1" si="105">DR1+1</f>
        <v>45343</v>
      </c>
      <c r="DT1" s="14">
        <f t="shared" ref="DT1" si="106">DS1+1</f>
        <v>45344</v>
      </c>
      <c r="DU1" s="14">
        <f t="shared" ref="DU1" si="107">DT1+1</f>
        <v>45345</v>
      </c>
      <c r="DV1" s="14">
        <f t="shared" ref="DV1" si="108">DU1+1</f>
        <v>45346</v>
      </c>
      <c r="DW1" s="14">
        <f t="shared" ref="DW1" si="109">DV1+1</f>
        <v>45347</v>
      </c>
      <c r="DX1" s="14">
        <f t="shared" ref="DX1" si="110">DW1+1</f>
        <v>45348</v>
      </c>
      <c r="DY1" s="14">
        <f t="shared" ref="DY1" si="111">DX1+1</f>
        <v>45349</v>
      </c>
      <c r="DZ1" s="14">
        <f t="shared" ref="DZ1" si="112">DY1+1</f>
        <v>45350</v>
      </c>
      <c r="EA1" s="14">
        <f t="shared" ref="EA1" si="113">DZ1+1</f>
        <v>45351</v>
      </c>
      <c r="EB1" s="14">
        <f t="shared" ref="EB1" si="114">EA1+1</f>
        <v>45352</v>
      </c>
      <c r="EC1" s="14">
        <f t="shared" ref="EC1" si="115">EB1+1</f>
        <v>45353</v>
      </c>
      <c r="ED1" s="14">
        <f t="shared" ref="ED1" si="116">EC1+1</f>
        <v>45354</v>
      </c>
      <c r="EE1" s="14">
        <f t="shared" ref="EE1" si="117">ED1+1</f>
        <v>45355</v>
      </c>
      <c r="EF1" s="14">
        <f t="shared" ref="EF1" si="118">EE1+1</f>
        <v>45356</v>
      </c>
      <c r="EG1" s="14">
        <f t="shared" ref="EG1" si="119">EF1+1</f>
        <v>45357</v>
      </c>
      <c r="EH1" s="14">
        <f t="shared" ref="EH1" si="120">EG1+1</f>
        <v>45358</v>
      </c>
      <c r="EI1" s="14">
        <f t="shared" ref="EI1" si="121">EH1+1</f>
        <v>45359</v>
      </c>
      <c r="EJ1" s="14">
        <f t="shared" ref="EJ1" si="122">EI1+1</f>
        <v>45360</v>
      </c>
      <c r="EK1" s="14">
        <f t="shared" ref="EK1" si="123">EJ1+1</f>
        <v>45361</v>
      </c>
      <c r="EL1" s="14">
        <f t="shared" ref="EL1" si="124">EK1+1</f>
        <v>45362</v>
      </c>
      <c r="EM1" s="14">
        <f t="shared" ref="EM1" si="125">EL1+1</f>
        <v>45363</v>
      </c>
      <c r="EN1" s="14">
        <f t="shared" ref="EN1" si="126">EM1+1</f>
        <v>45364</v>
      </c>
      <c r="EO1" s="14">
        <f t="shared" ref="EO1" si="127">EN1+1</f>
        <v>45365</v>
      </c>
      <c r="EP1" s="14">
        <f t="shared" ref="EP1" si="128">EO1+1</f>
        <v>45366</v>
      </c>
      <c r="EQ1" s="14">
        <f t="shared" ref="EQ1" si="129">EP1+1</f>
        <v>45367</v>
      </c>
      <c r="ER1" s="14">
        <f t="shared" ref="ER1" si="130">EQ1+1</f>
        <v>45368</v>
      </c>
      <c r="ES1" s="14">
        <f t="shared" ref="ES1" si="131">ER1+1</f>
        <v>45369</v>
      </c>
      <c r="ET1" s="14">
        <f t="shared" ref="ET1" si="132">ES1+1</f>
        <v>45370</v>
      </c>
      <c r="EU1" s="14">
        <f t="shared" ref="EU1" si="133">ET1+1</f>
        <v>45371</v>
      </c>
      <c r="EV1" s="14">
        <f t="shared" ref="EV1" si="134">EU1+1</f>
        <v>45372</v>
      </c>
      <c r="EW1" s="14">
        <f t="shared" ref="EW1" si="135">EV1+1</f>
        <v>45373</v>
      </c>
      <c r="EX1" s="14">
        <f t="shared" ref="EX1" si="136">EW1+1</f>
        <v>45374</v>
      </c>
      <c r="EY1" s="14">
        <f t="shared" ref="EY1" si="137">EX1+1</f>
        <v>45375</v>
      </c>
      <c r="EZ1" s="14">
        <f t="shared" ref="EZ1" si="138">EY1+1</f>
        <v>45376</v>
      </c>
      <c r="FA1" s="14">
        <f t="shared" ref="FA1" si="139">EZ1+1</f>
        <v>45377</v>
      </c>
      <c r="FB1" s="14">
        <f t="shared" ref="FB1" si="140">FA1+1</f>
        <v>45378</v>
      </c>
      <c r="FC1" s="14">
        <f t="shared" ref="FC1" si="141">FB1+1</f>
        <v>45379</v>
      </c>
      <c r="FD1" s="14">
        <f t="shared" ref="FD1" si="142">FC1+1</f>
        <v>45380</v>
      </c>
      <c r="FE1" s="14">
        <f t="shared" ref="FE1" si="143">FD1+1</f>
        <v>45381</v>
      </c>
      <c r="FF1" s="14">
        <f t="shared" ref="FF1" si="144">FE1+1</f>
        <v>45382</v>
      </c>
      <c r="FG1" s="14">
        <f t="shared" ref="FG1" si="145">FF1+1</f>
        <v>45383</v>
      </c>
      <c r="FH1" s="14">
        <f t="shared" ref="FH1" si="146">FG1+1</f>
        <v>45384</v>
      </c>
      <c r="FI1" s="14">
        <f t="shared" ref="FI1" si="147">FH1+1</f>
        <v>45385</v>
      </c>
      <c r="FJ1" s="14">
        <f t="shared" ref="FJ1" si="148">FI1+1</f>
        <v>45386</v>
      </c>
      <c r="FK1" s="14">
        <f t="shared" ref="FK1" si="149">FJ1+1</f>
        <v>45387</v>
      </c>
      <c r="FL1" s="14">
        <f t="shared" ref="FL1" si="150">FK1+1</f>
        <v>45388</v>
      </c>
      <c r="FM1" s="14">
        <f t="shared" ref="FM1" si="151">FL1+1</f>
        <v>45389</v>
      </c>
      <c r="FN1" s="14">
        <f t="shared" ref="FN1" si="152">FM1+1</f>
        <v>45390</v>
      </c>
      <c r="FO1" s="14">
        <f t="shared" ref="FO1" si="153">FN1+1</f>
        <v>45391</v>
      </c>
      <c r="FP1" s="14">
        <f t="shared" ref="FP1" si="154">FO1+1</f>
        <v>45392</v>
      </c>
      <c r="FQ1" s="14">
        <f t="shared" ref="FQ1" si="155">FP1+1</f>
        <v>45393</v>
      </c>
      <c r="FR1" s="14">
        <f t="shared" ref="FR1" si="156">FQ1+1</f>
        <v>45394</v>
      </c>
      <c r="FS1" s="14">
        <f t="shared" ref="FS1" si="157">FR1+1</f>
        <v>45395</v>
      </c>
      <c r="FT1" s="14">
        <f t="shared" ref="FT1" si="158">FS1+1</f>
        <v>45396</v>
      </c>
      <c r="FU1" s="14">
        <f t="shared" ref="FU1" si="159">FT1+1</f>
        <v>45397</v>
      </c>
      <c r="FV1" s="14">
        <f t="shared" ref="FV1" si="160">FU1+1</f>
        <v>45398</v>
      </c>
      <c r="FW1" s="14">
        <f t="shared" ref="FW1" si="161">FV1+1</f>
        <v>45399</v>
      </c>
      <c r="FX1" s="14">
        <f t="shared" ref="FX1" si="162">FW1+1</f>
        <v>45400</v>
      </c>
      <c r="FY1" s="14">
        <f t="shared" ref="FY1" si="163">FX1+1</f>
        <v>45401</v>
      </c>
      <c r="FZ1" s="14">
        <f t="shared" ref="FZ1" si="164">FY1+1</f>
        <v>45402</v>
      </c>
      <c r="GA1" s="14">
        <f t="shared" ref="GA1" si="165">FZ1+1</f>
        <v>45403</v>
      </c>
      <c r="GB1" s="14">
        <f t="shared" ref="GB1" si="166">GA1+1</f>
        <v>45404</v>
      </c>
      <c r="GC1" s="14">
        <f t="shared" ref="GC1" si="167">GB1+1</f>
        <v>45405</v>
      </c>
      <c r="GD1" s="14">
        <f t="shared" ref="GD1" si="168">GC1+1</f>
        <v>45406</v>
      </c>
      <c r="GE1" s="14">
        <f t="shared" ref="GE1" si="169">GD1+1</f>
        <v>45407</v>
      </c>
      <c r="GF1" s="14">
        <f t="shared" ref="GF1" si="170">GE1+1</f>
        <v>45408</v>
      </c>
      <c r="GG1" s="14">
        <f t="shared" ref="GG1" si="171">GF1+1</f>
        <v>45409</v>
      </c>
      <c r="GH1" s="14">
        <f t="shared" ref="GH1" si="172">GG1+1</f>
        <v>45410</v>
      </c>
      <c r="GI1" s="14">
        <f t="shared" ref="GI1" si="173">GH1+1</f>
        <v>45411</v>
      </c>
      <c r="GJ1" s="14">
        <f t="shared" ref="GJ1" si="174">GI1+1</f>
        <v>45412</v>
      </c>
      <c r="GK1" s="14">
        <f t="shared" ref="GK1" si="175">GJ1+1</f>
        <v>45413</v>
      </c>
      <c r="GL1" s="14">
        <f t="shared" ref="GL1" si="176">GK1+1</f>
        <v>45414</v>
      </c>
      <c r="GM1" s="14">
        <f t="shared" ref="GM1" si="177">GL1+1</f>
        <v>45415</v>
      </c>
      <c r="GN1" s="14">
        <f t="shared" ref="GN1" si="178">GM1+1</f>
        <v>45416</v>
      </c>
      <c r="GO1" s="14">
        <f t="shared" ref="GO1" si="179">GN1+1</f>
        <v>45417</v>
      </c>
      <c r="GP1" s="14">
        <f t="shared" ref="GP1" si="180">GO1+1</f>
        <v>45418</v>
      </c>
      <c r="GQ1" s="14">
        <f t="shared" ref="GQ1" si="181">GP1+1</f>
        <v>45419</v>
      </c>
      <c r="GR1" s="14">
        <f t="shared" ref="GR1" si="182">GQ1+1</f>
        <v>45420</v>
      </c>
      <c r="GS1" s="14">
        <f t="shared" ref="GS1" si="183">GR1+1</f>
        <v>45421</v>
      </c>
      <c r="GT1" s="14">
        <f t="shared" ref="GT1" si="184">GS1+1</f>
        <v>45422</v>
      </c>
      <c r="GU1" s="14">
        <f t="shared" ref="GU1" si="185">GT1+1</f>
        <v>45423</v>
      </c>
      <c r="GV1" s="14">
        <f t="shared" ref="GV1" si="186">GU1+1</f>
        <v>45424</v>
      </c>
      <c r="GW1" s="14">
        <f t="shared" ref="GW1" si="187">GV1+1</f>
        <v>45425</v>
      </c>
      <c r="GX1" s="14">
        <f t="shared" ref="GX1" si="188">GW1+1</f>
        <v>45426</v>
      </c>
      <c r="GY1" s="14">
        <f t="shared" ref="GY1" si="189">GX1+1</f>
        <v>45427</v>
      </c>
      <c r="GZ1" s="14">
        <f t="shared" ref="GZ1" si="190">GY1+1</f>
        <v>45428</v>
      </c>
      <c r="HA1" s="14">
        <f t="shared" ref="HA1" si="191">GZ1+1</f>
        <v>45429</v>
      </c>
      <c r="HB1" s="14">
        <f t="shared" ref="HB1" si="192">HA1+1</f>
        <v>45430</v>
      </c>
      <c r="HC1" s="14">
        <f t="shared" ref="HC1" si="193">HB1+1</f>
        <v>45431</v>
      </c>
      <c r="HD1" s="14">
        <f t="shared" ref="HD1" si="194">HC1+1</f>
        <v>45432</v>
      </c>
      <c r="HE1" s="14">
        <f t="shared" ref="HE1" si="195">HD1+1</f>
        <v>45433</v>
      </c>
      <c r="HF1" s="14">
        <f t="shared" ref="HF1" si="196">HE1+1</f>
        <v>45434</v>
      </c>
      <c r="HG1" s="14">
        <f t="shared" ref="HG1" si="197">HF1+1</f>
        <v>45435</v>
      </c>
      <c r="HH1" s="14">
        <f t="shared" ref="HH1" si="198">HG1+1</f>
        <v>45436</v>
      </c>
      <c r="HI1" s="14">
        <f t="shared" ref="HI1" si="199">HH1+1</f>
        <v>45437</v>
      </c>
      <c r="HJ1" s="14">
        <f t="shared" ref="HJ1" si="200">HI1+1</f>
        <v>45438</v>
      </c>
      <c r="HK1" s="14">
        <f t="shared" ref="HK1" si="201">HJ1+1</f>
        <v>45439</v>
      </c>
      <c r="HL1" s="14">
        <f t="shared" ref="HL1" si="202">HK1+1</f>
        <v>45440</v>
      </c>
      <c r="HM1" s="14">
        <f t="shared" ref="HM1" si="203">HL1+1</f>
        <v>45441</v>
      </c>
      <c r="HN1" s="14">
        <f t="shared" ref="HN1" si="204">HM1+1</f>
        <v>45442</v>
      </c>
      <c r="HO1" s="14">
        <f t="shared" ref="HO1" si="205">HN1+1</f>
        <v>45443</v>
      </c>
      <c r="HP1" s="14">
        <f t="shared" ref="HP1" si="206">HO1+1</f>
        <v>45444</v>
      </c>
      <c r="HQ1" s="14">
        <f t="shared" ref="HQ1" si="207">HP1+1</f>
        <v>45445</v>
      </c>
      <c r="HR1" s="14">
        <f t="shared" ref="HR1" si="208">HQ1+1</f>
        <v>45446</v>
      </c>
      <c r="HS1" s="14">
        <f t="shared" ref="HS1" si="209">HR1+1</f>
        <v>45447</v>
      </c>
      <c r="HT1" s="14">
        <f t="shared" ref="HT1" si="210">HS1+1</f>
        <v>45448</v>
      </c>
      <c r="HU1" s="14">
        <f t="shared" ref="HU1" si="211">HT1+1</f>
        <v>45449</v>
      </c>
      <c r="HV1" s="14">
        <f t="shared" ref="HV1" si="212">HU1+1</f>
        <v>45450</v>
      </c>
      <c r="HW1" s="14">
        <f t="shared" ref="HW1" si="213">HV1+1</f>
        <v>45451</v>
      </c>
      <c r="HX1" s="14">
        <f t="shared" ref="HX1" si="214">HW1+1</f>
        <v>45452</v>
      </c>
      <c r="HY1" s="14">
        <f t="shared" ref="HY1" si="215">HX1+1</f>
        <v>45453</v>
      </c>
      <c r="HZ1" s="14">
        <f t="shared" ref="HZ1" si="216">HY1+1</f>
        <v>45454</v>
      </c>
      <c r="IA1" s="14">
        <f t="shared" ref="IA1" si="217">HZ1+1</f>
        <v>45455</v>
      </c>
      <c r="IB1" s="14">
        <f t="shared" ref="IB1" si="218">IA1+1</f>
        <v>45456</v>
      </c>
      <c r="IC1" s="14">
        <f t="shared" ref="IC1" si="219">IB1+1</f>
        <v>45457</v>
      </c>
      <c r="ID1" s="14">
        <f t="shared" ref="ID1" si="220">IC1+1</f>
        <v>45458</v>
      </c>
      <c r="IE1" s="14">
        <f t="shared" ref="IE1" si="221">ID1+1</f>
        <v>45459</v>
      </c>
      <c r="IF1" s="14">
        <f t="shared" ref="IF1" si="222">IE1+1</f>
        <v>45460</v>
      </c>
      <c r="IG1" s="14">
        <f t="shared" ref="IG1" si="223">IF1+1</f>
        <v>45461</v>
      </c>
      <c r="IH1" s="14">
        <f t="shared" ref="IH1" si="224">IG1+1</f>
        <v>45462</v>
      </c>
      <c r="II1" s="14">
        <f t="shared" ref="II1" si="225">IH1+1</f>
        <v>45463</v>
      </c>
      <c r="IJ1" s="14">
        <f t="shared" ref="IJ1" si="226">II1+1</f>
        <v>45464</v>
      </c>
      <c r="IK1" s="14">
        <f t="shared" ref="IK1" si="227">IJ1+1</f>
        <v>45465</v>
      </c>
      <c r="IL1" s="14">
        <f t="shared" ref="IL1" si="228">IK1+1</f>
        <v>45466</v>
      </c>
      <c r="IM1" s="14">
        <f t="shared" ref="IM1" si="229">IL1+1</f>
        <v>45467</v>
      </c>
      <c r="IN1" s="14">
        <f t="shared" ref="IN1" si="230">IM1+1</f>
        <v>45468</v>
      </c>
      <c r="IO1" s="14">
        <f t="shared" ref="IO1" si="231">IN1+1</f>
        <v>45469</v>
      </c>
      <c r="IP1" s="14">
        <f t="shared" ref="IP1" si="232">IO1+1</f>
        <v>45470</v>
      </c>
      <c r="IQ1" s="14">
        <f t="shared" ref="IQ1" si="233">IP1+1</f>
        <v>45471</v>
      </c>
      <c r="IR1" s="14">
        <f t="shared" ref="IR1" si="234">IQ1+1</f>
        <v>45472</v>
      </c>
      <c r="IS1" s="14">
        <f t="shared" ref="IS1" si="235">IR1+1</f>
        <v>45473</v>
      </c>
      <c r="IT1" s="14">
        <f t="shared" ref="IT1" si="236">IS1+1</f>
        <v>45474</v>
      </c>
      <c r="IU1" s="14">
        <f t="shared" ref="IU1" si="237">IT1+1</f>
        <v>45475</v>
      </c>
      <c r="IV1" s="14">
        <f t="shared" ref="IV1" si="238">IU1+1</f>
        <v>45476</v>
      </c>
      <c r="IW1" s="14">
        <f t="shared" ref="IW1" si="239">IV1+1</f>
        <v>45477</v>
      </c>
      <c r="IX1" s="14">
        <f t="shared" ref="IX1" si="240">IW1+1</f>
        <v>45478</v>
      </c>
      <c r="IY1" s="14">
        <f t="shared" ref="IY1" si="241">IX1+1</f>
        <v>45479</v>
      </c>
      <c r="IZ1" s="14">
        <f t="shared" ref="IZ1" si="242">IY1+1</f>
        <v>45480</v>
      </c>
      <c r="JA1" s="14">
        <f t="shared" ref="JA1" si="243">IZ1+1</f>
        <v>45481</v>
      </c>
      <c r="JB1" s="14">
        <f t="shared" ref="JB1" si="244">JA1+1</f>
        <v>45482</v>
      </c>
      <c r="JC1" s="14">
        <f t="shared" ref="JC1" si="245">JB1+1</f>
        <v>45483</v>
      </c>
      <c r="JD1" s="14">
        <f t="shared" ref="JD1" si="246">JC1+1</f>
        <v>45484</v>
      </c>
      <c r="JE1" s="14">
        <f t="shared" ref="JE1" si="247">JD1+1</f>
        <v>45485</v>
      </c>
      <c r="JF1" s="14">
        <f t="shared" ref="JF1" si="248">JE1+1</f>
        <v>45486</v>
      </c>
      <c r="JG1" s="14">
        <f t="shared" ref="JG1" si="249">JF1+1</f>
        <v>45487</v>
      </c>
      <c r="JH1" s="14">
        <f t="shared" ref="JH1" si="250">JG1+1</f>
        <v>45488</v>
      </c>
      <c r="JI1" s="14">
        <f t="shared" ref="JI1" si="251">JH1+1</f>
        <v>45489</v>
      </c>
      <c r="JJ1" s="14">
        <f t="shared" ref="JJ1" si="252">JI1+1</f>
        <v>45490</v>
      </c>
      <c r="JK1" s="14">
        <f t="shared" ref="JK1" si="253">JJ1+1</f>
        <v>45491</v>
      </c>
      <c r="JL1" s="14">
        <f t="shared" ref="JL1" si="254">JK1+1</f>
        <v>45492</v>
      </c>
      <c r="JM1" s="14">
        <f t="shared" ref="JM1" si="255">JL1+1</f>
        <v>45493</v>
      </c>
      <c r="JN1" s="14">
        <f t="shared" ref="JN1" si="256">JM1+1</f>
        <v>45494</v>
      </c>
      <c r="JO1" s="14">
        <f t="shared" ref="JO1" si="257">JN1+1</f>
        <v>45495</v>
      </c>
      <c r="JP1" s="14">
        <f t="shared" ref="JP1" si="258">JO1+1</f>
        <v>45496</v>
      </c>
      <c r="JQ1" s="14">
        <f t="shared" ref="JQ1" si="259">JP1+1</f>
        <v>45497</v>
      </c>
      <c r="JR1" s="14">
        <f t="shared" ref="JR1" si="260">JQ1+1</f>
        <v>45498</v>
      </c>
      <c r="JS1" s="14">
        <f t="shared" ref="JS1" si="261">JR1+1</f>
        <v>45499</v>
      </c>
      <c r="JT1" s="14">
        <f t="shared" ref="JT1" si="262">JS1+1</f>
        <v>45500</v>
      </c>
      <c r="JU1" s="14">
        <f t="shared" ref="JU1" si="263">JT1+1</f>
        <v>45501</v>
      </c>
      <c r="JV1" s="14">
        <f t="shared" ref="JV1" si="264">JU1+1</f>
        <v>45502</v>
      </c>
      <c r="JW1" s="14">
        <f t="shared" ref="JW1:KS1" si="265">JV1+1</f>
        <v>45503</v>
      </c>
      <c r="JX1" s="14">
        <f t="shared" si="265"/>
        <v>45504</v>
      </c>
      <c r="JY1" s="14">
        <f t="shared" si="265"/>
        <v>45505</v>
      </c>
      <c r="JZ1" s="14">
        <f t="shared" si="265"/>
        <v>45506</v>
      </c>
      <c r="KA1" s="14">
        <f t="shared" si="265"/>
        <v>45507</v>
      </c>
      <c r="KB1" s="14">
        <f t="shared" si="265"/>
        <v>45508</v>
      </c>
      <c r="KC1" s="14">
        <f t="shared" si="265"/>
        <v>45509</v>
      </c>
      <c r="KD1" s="14">
        <f t="shared" si="265"/>
        <v>45510</v>
      </c>
      <c r="KE1" s="14">
        <f t="shared" si="265"/>
        <v>45511</v>
      </c>
      <c r="KF1" s="14">
        <f t="shared" si="265"/>
        <v>45512</v>
      </c>
      <c r="KG1" s="14">
        <f t="shared" si="265"/>
        <v>45513</v>
      </c>
      <c r="KH1" s="14">
        <f t="shared" si="265"/>
        <v>45514</v>
      </c>
      <c r="KI1" s="14">
        <f t="shared" si="265"/>
        <v>45515</v>
      </c>
      <c r="KJ1" s="14">
        <f t="shared" si="265"/>
        <v>45516</v>
      </c>
      <c r="KK1" s="14">
        <f t="shared" si="265"/>
        <v>45517</v>
      </c>
      <c r="KL1" s="14">
        <f t="shared" si="265"/>
        <v>45518</v>
      </c>
      <c r="KM1" s="14">
        <f t="shared" si="265"/>
        <v>45519</v>
      </c>
      <c r="KN1" s="14">
        <f t="shared" si="265"/>
        <v>45520</v>
      </c>
      <c r="KO1" s="14">
        <f t="shared" si="265"/>
        <v>45521</v>
      </c>
      <c r="KP1" s="14">
        <f t="shared" si="265"/>
        <v>45522</v>
      </c>
      <c r="KQ1" s="14">
        <f t="shared" si="265"/>
        <v>45523</v>
      </c>
      <c r="KR1" s="14">
        <f t="shared" si="265"/>
        <v>45524</v>
      </c>
      <c r="KS1" s="14">
        <f t="shared" si="265"/>
        <v>45525</v>
      </c>
      <c r="KT1" s="14">
        <f t="shared" ref="KT1:MI1" si="266">KS1+1</f>
        <v>45526</v>
      </c>
      <c r="KU1" s="14">
        <f t="shared" si="266"/>
        <v>45527</v>
      </c>
      <c r="KV1" s="14">
        <f t="shared" si="266"/>
        <v>45528</v>
      </c>
      <c r="KW1" s="14">
        <f t="shared" si="266"/>
        <v>45529</v>
      </c>
      <c r="KX1" s="14">
        <f t="shared" si="266"/>
        <v>45530</v>
      </c>
      <c r="KY1" s="14">
        <f t="shared" si="266"/>
        <v>45531</v>
      </c>
      <c r="KZ1" s="14">
        <f t="shared" si="266"/>
        <v>45532</v>
      </c>
      <c r="LA1" s="14">
        <f t="shared" si="266"/>
        <v>45533</v>
      </c>
      <c r="LB1" s="14">
        <f t="shared" si="266"/>
        <v>45534</v>
      </c>
      <c r="LC1" s="14">
        <f t="shared" si="266"/>
        <v>45535</v>
      </c>
      <c r="LD1" s="14">
        <f t="shared" si="266"/>
        <v>45536</v>
      </c>
      <c r="LE1" s="14">
        <f t="shared" si="266"/>
        <v>45537</v>
      </c>
      <c r="LF1" s="14">
        <f t="shared" si="266"/>
        <v>45538</v>
      </c>
      <c r="LG1" s="14">
        <f t="shared" si="266"/>
        <v>45539</v>
      </c>
      <c r="LH1" s="14">
        <f t="shared" si="266"/>
        <v>45540</v>
      </c>
      <c r="LI1" s="14">
        <f t="shared" si="266"/>
        <v>45541</v>
      </c>
      <c r="LJ1" s="14">
        <f t="shared" si="266"/>
        <v>45542</v>
      </c>
      <c r="LK1" s="14">
        <f t="shared" si="266"/>
        <v>45543</v>
      </c>
      <c r="LL1" s="14">
        <f t="shared" si="266"/>
        <v>45544</v>
      </c>
      <c r="LM1" s="14">
        <f t="shared" si="266"/>
        <v>45545</v>
      </c>
      <c r="LN1" s="14">
        <f t="shared" si="266"/>
        <v>45546</v>
      </c>
      <c r="LO1" s="14">
        <f t="shared" si="266"/>
        <v>45547</v>
      </c>
      <c r="LP1" s="14">
        <f t="shared" si="266"/>
        <v>45548</v>
      </c>
      <c r="LQ1" s="14">
        <f t="shared" si="266"/>
        <v>45549</v>
      </c>
      <c r="LR1" s="14">
        <f t="shared" si="266"/>
        <v>45550</v>
      </c>
      <c r="LS1" s="14">
        <f t="shared" si="266"/>
        <v>45551</v>
      </c>
      <c r="LT1" s="14">
        <f t="shared" si="266"/>
        <v>45552</v>
      </c>
      <c r="LU1" s="14">
        <f t="shared" si="266"/>
        <v>45553</v>
      </c>
      <c r="LV1" s="14">
        <f t="shared" si="266"/>
        <v>45554</v>
      </c>
      <c r="LW1" s="14">
        <f t="shared" si="266"/>
        <v>45555</v>
      </c>
      <c r="LX1" s="14">
        <f t="shared" si="266"/>
        <v>45556</v>
      </c>
      <c r="LY1" s="14">
        <f t="shared" si="266"/>
        <v>45557</v>
      </c>
      <c r="LZ1" s="14">
        <f t="shared" si="266"/>
        <v>45558</v>
      </c>
      <c r="MA1" s="14">
        <f t="shared" si="266"/>
        <v>45559</v>
      </c>
      <c r="MB1" s="14">
        <f t="shared" si="266"/>
        <v>45560</v>
      </c>
      <c r="MC1" s="14">
        <f t="shared" si="266"/>
        <v>45561</v>
      </c>
      <c r="MD1" s="14">
        <f t="shared" si="266"/>
        <v>45562</v>
      </c>
      <c r="ME1" s="14">
        <f t="shared" si="266"/>
        <v>45563</v>
      </c>
      <c r="MF1" s="14">
        <f t="shared" si="266"/>
        <v>45564</v>
      </c>
      <c r="MG1" s="14">
        <f t="shared" si="266"/>
        <v>45565</v>
      </c>
      <c r="MH1" s="14">
        <f t="shared" si="266"/>
        <v>45566</v>
      </c>
      <c r="MI1" s="14">
        <f t="shared" si="266"/>
        <v>45567</v>
      </c>
      <c r="MJ1" s="14">
        <f t="shared" ref="MJ1" si="267">MI1+1</f>
        <v>45568</v>
      </c>
      <c r="MK1" s="14">
        <f t="shared" ref="MK1" si="268">MJ1+1</f>
        <v>45569</v>
      </c>
      <c r="ML1" s="14">
        <f t="shared" ref="ML1" si="269">MK1+1</f>
        <v>45570</v>
      </c>
      <c r="MM1" s="14">
        <f t="shared" ref="MM1" si="270">ML1+1</f>
        <v>45571</v>
      </c>
      <c r="MN1" s="14">
        <f t="shared" ref="MN1" si="271">MM1+1</f>
        <v>45572</v>
      </c>
      <c r="MO1" s="14">
        <f t="shared" ref="MO1" si="272">MN1+1</f>
        <v>45573</v>
      </c>
      <c r="MP1" s="14">
        <f t="shared" ref="MP1" si="273">MO1+1</f>
        <v>45574</v>
      </c>
      <c r="MQ1" s="14">
        <f t="shared" ref="MQ1" si="274">MP1+1</f>
        <v>45575</v>
      </c>
      <c r="MR1" s="14">
        <f t="shared" ref="MR1" si="275">MQ1+1</f>
        <v>45576</v>
      </c>
      <c r="MS1" s="14">
        <f t="shared" ref="MS1" si="276">MR1+1</f>
        <v>45577</v>
      </c>
      <c r="MT1" s="14">
        <f t="shared" ref="MT1" si="277">MS1+1</f>
        <v>45578</v>
      </c>
      <c r="MU1" s="14">
        <f t="shared" ref="MU1" si="278">MT1+1</f>
        <v>45579</v>
      </c>
      <c r="MV1" s="14">
        <f t="shared" ref="MV1" si="279">MU1+1</f>
        <v>45580</v>
      </c>
      <c r="MW1" s="14">
        <f t="shared" ref="MW1" si="280">MV1+1</f>
        <v>45581</v>
      </c>
      <c r="MX1" s="14">
        <f t="shared" ref="MX1" si="281">MW1+1</f>
        <v>45582</v>
      </c>
      <c r="MY1" s="14">
        <f t="shared" ref="MY1" si="282">MX1+1</f>
        <v>45583</v>
      </c>
      <c r="MZ1" s="14">
        <f t="shared" ref="MZ1" si="283">MY1+1</f>
        <v>45584</v>
      </c>
      <c r="NA1" s="14">
        <f t="shared" ref="NA1" si="284">MZ1+1</f>
        <v>45585</v>
      </c>
      <c r="NB1" s="14">
        <f t="shared" ref="NB1" si="285">NA1+1</f>
        <v>45586</v>
      </c>
      <c r="NC1" s="14">
        <f t="shared" ref="NC1" si="286">NB1+1</f>
        <v>45587</v>
      </c>
      <c r="ND1" s="14">
        <f t="shared" ref="ND1" si="287">NC1+1</f>
        <v>45588</v>
      </c>
      <c r="NE1" s="14">
        <f t="shared" ref="NE1" si="288">ND1+1</f>
        <v>45589</v>
      </c>
      <c r="NF1" s="14">
        <f t="shared" ref="NF1" si="289">NE1+1</f>
        <v>45590</v>
      </c>
      <c r="NG1" s="14">
        <f t="shared" ref="NG1" si="290">NF1+1</f>
        <v>45591</v>
      </c>
      <c r="NH1" s="14">
        <f t="shared" ref="NH1" si="291">NG1+1</f>
        <v>45592</v>
      </c>
      <c r="NI1" s="14">
        <f t="shared" ref="NI1" si="292">NH1+1</f>
        <v>45593</v>
      </c>
      <c r="NJ1" s="14">
        <f t="shared" ref="NJ1" si="293">NI1+1</f>
        <v>45594</v>
      </c>
      <c r="NK1" s="14">
        <f t="shared" ref="NK1" si="294">NJ1+1</f>
        <v>45595</v>
      </c>
      <c r="NL1" s="14">
        <f t="shared" ref="NL1" si="295">NK1+1</f>
        <v>45596</v>
      </c>
      <c r="NM1" s="14">
        <f t="shared" ref="NM1" si="296">NL1+1</f>
        <v>45597</v>
      </c>
      <c r="NN1" s="14">
        <f t="shared" ref="NN1" si="297">NM1+1</f>
        <v>45598</v>
      </c>
      <c r="NO1" s="14">
        <f t="shared" ref="NO1" si="298">NN1+1</f>
        <v>45599</v>
      </c>
      <c r="NP1" s="14">
        <f t="shared" ref="NP1" si="299">NO1+1</f>
        <v>45600</v>
      </c>
      <c r="NQ1" s="14">
        <f t="shared" ref="NQ1" si="300">NP1+1</f>
        <v>45601</v>
      </c>
      <c r="NR1" s="14">
        <f t="shared" ref="NR1" si="301">NQ1+1</f>
        <v>45602</v>
      </c>
      <c r="NS1" s="14">
        <f t="shared" ref="NS1" si="302">NR1+1</f>
        <v>45603</v>
      </c>
      <c r="NT1" s="14">
        <f t="shared" ref="NT1" si="303">NS1+1</f>
        <v>45604</v>
      </c>
      <c r="NU1" s="14">
        <f t="shared" ref="NU1" si="304">NT1+1</f>
        <v>45605</v>
      </c>
      <c r="NV1" s="14">
        <f t="shared" ref="NV1" si="305">NU1+1</f>
        <v>45606</v>
      </c>
      <c r="NW1" s="14">
        <f t="shared" ref="NW1" si="306">NV1+1</f>
        <v>45607</v>
      </c>
      <c r="NX1" s="14">
        <f t="shared" ref="NX1" si="307">NW1+1</f>
        <v>45608</v>
      </c>
      <c r="NY1" s="14">
        <f t="shared" ref="NY1" si="308">NX1+1</f>
        <v>45609</v>
      </c>
      <c r="NZ1" s="14">
        <f t="shared" ref="NZ1" si="309">NY1+1</f>
        <v>45610</v>
      </c>
      <c r="OA1" s="14">
        <f t="shared" ref="OA1" si="310">NZ1+1</f>
        <v>45611</v>
      </c>
      <c r="OB1" s="14">
        <f t="shared" ref="OB1" si="311">OA1+1</f>
        <v>45612</v>
      </c>
      <c r="OC1" s="14">
        <f t="shared" ref="OC1" si="312">OB1+1</f>
        <v>45613</v>
      </c>
      <c r="OD1" s="14">
        <f t="shared" ref="OD1" si="313">OC1+1</f>
        <v>45614</v>
      </c>
      <c r="OE1" s="73">
        <f t="shared" ref="OE1" si="314">OD1+1</f>
        <v>45615</v>
      </c>
      <c r="OF1" s="73">
        <f t="shared" ref="OF1" si="315">OE1+1</f>
        <v>45616</v>
      </c>
      <c r="OG1" s="14">
        <f t="shared" ref="OG1" si="316">OF1+1</f>
        <v>45617</v>
      </c>
      <c r="OH1" s="14">
        <f t="shared" ref="OH1" si="317">OG1+1</f>
        <v>45618</v>
      </c>
      <c r="OI1" s="14">
        <f t="shared" ref="OI1" si="318">OH1+1</f>
        <v>45619</v>
      </c>
      <c r="OJ1" s="14">
        <f t="shared" ref="OJ1" si="319">OI1+1</f>
        <v>45620</v>
      </c>
      <c r="OK1" s="14">
        <f t="shared" ref="OK1" si="320">OJ1+1</f>
        <v>45621</v>
      </c>
      <c r="OL1" s="14">
        <f t="shared" ref="OL1" si="321">OK1+1</f>
        <v>45622</v>
      </c>
      <c r="OM1" s="14">
        <f t="shared" ref="OM1" si="322">OL1+1</f>
        <v>45623</v>
      </c>
      <c r="ON1" s="14">
        <f t="shared" ref="ON1" si="323">OM1+1</f>
        <v>45624</v>
      </c>
      <c r="OO1" s="14">
        <f t="shared" ref="OO1" si="324">ON1+1</f>
        <v>45625</v>
      </c>
      <c r="OP1" s="14">
        <f t="shared" ref="OP1" si="325">OO1+1</f>
        <v>45626</v>
      </c>
      <c r="OQ1" s="14">
        <f t="shared" ref="OQ1" si="326">OP1+1</f>
        <v>45627</v>
      </c>
      <c r="OR1" s="14">
        <f t="shared" ref="OR1" si="327">OQ1+1</f>
        <v>45628</v>
      </c>
      <c r="OS1" s="14">
        <f t="shared" ref="OS1" si="328">OR1+1</f>
        <v>45629</v>
      </c>
      <c r="OT1" s="14">
        <f t="shared" ref="OT1" si="329">OS1+1</f>
        <v>45630</v>
      </c>
      <c r="OU1" s="14">
        <f t="shared" ref="OU1" si="330">OT1+1</f>
        <v>45631</v>
      </c>
      <c r="OV1" s="14">
        <f t="shared" ref="OV1" si="331">OU1+1</f>
        <v>45632</v>
      </c>
      <c r="OW1" s="14">
        <f t="shared" ref="OW1" si="332">OV1+1</f>
        <v>45633</v>
      </c>
      <c r="OX1" s="14">
        <f t="shared" ref="OX1" si="333">OW1+1</f>
        <v>45634</v>
      </c>
      <c r="OY1" s="14">
        <f t="shared" ref="OY1" si="334">OX1+1</f>
        <v>45635</v>
      </c>
      <c r="OZ1" s="14">
        <f t="shared" ref="OZ1" si="335">OY1+1</f>
        <v>45636</v>
      </c>
      <c r="PA1" s="14">
        <f t="shared" ref="PA1" si="336">OZ1+1</f>
        <v>45637</v>
      </c>
      <c r="PB1" s="14">
        <f t="shared" ref="PB1" si="337">PA1+1</f>
        <v>45638</v>
      </c>
      <c r="PC1" s="14">
        <f t="shared" ref="PC1" si="338">PB1+1</f>
        <v>45639</v>
      </c>
      <c r="PD1" s="14">
        <f t="shared" ref="PD1" si="339">PC1+1</f>
        <v>45640</v>
      </c>
      <c r="PE1" s="14">
        <f t="shared" ref="PE1" si="340">PD1+1</f>
        <v>45641</v>
      </c>
      <c r="PF1" s="14">
        <f t="shared" ref="PF1" si="341">PE1+1</f>
        <v>45642</v>
      </c>
      <c r="PG1" s="14">
        <f t="shared" ref="PG1" si="342">PF1+1</f>
        <v>45643</v>
      </c>
      <c r="PH1" s="14">
        <f t="shared" ref="PH1" si="343">PG1+1</f>
        <v>45644</v>
      </c>
      <c r="PI1" s="14">
        <f t="shared" ref="PI1" si="344">PH1+1</f>
        <v>45645</v>
      </c>
      <c r="PJ1" s="14">
        <f t="shared" ref="PJ1" si="345">PI1+1</f>
        <v>45646</v>
      </c>
      <c r="PK1" s="14">
        <f t="shared" ref="PK1" si="346">PJ1+1</f>
        <v>45647</v>
      </c>
      <c r="PL1" s="14">
        <f t="shared" ref="PL1" si="347">PK1+1</f>
        <v>45648</v>
      </c>
      <c r="PM1" s="14">
        <f t="shared" ref="PM1" si="348">PL1+1</f>
        <v>45649</v>
      </c>
      <c r="PN1" s="14">
        <f t="shared" ref="PN1" si="349">PM1+1</f>
        <v>45650</v>
      </c>
      <c r="PO1" s="14">
        <f t="shared" ref="PO1" si="350">PN1+1</f>
        <v>45651</v>
      </c>
      <c r="PP1" s="14">
        <f t="shared" ref="PP1" si="351">PO1+1</f>
        <v>45652</v>
      </c>
      <c r="PQ1" s="14">
        <f t="shared" ref="PQ1" si="352">PP1+1</f>
        <v>45653</v>
      </c>
      <c r="PR1" s="14">
        <f t="shared" ref="PR1" si="353">PQ1+1</f>
        <v>45654</v>
      </c>
      <c r="PS1" s="14">
        <f t="shared" ref="PS1" si="354">PR1+1</f>
        <v>45655</v>
      </c>
      <c r="PT1" s="14">
        <f t="shared" ref="PT1" si="355">PS1+1</f>
        <v>45656</v>
      </c>
      <c r="PU1" s="14">
        <f t="shared" ref="PU1" si="356">PT1+1</f>
        <v>45657</v>
      </c>
      <c r="PV1" s="14">
        <f t="shared" ref="PV1" si="357">PU1+1</f>
        <v>45658</v>
      </c>
      <c r="PW1" s="14">
        <f t="shared" ref="PW1" si="358">PV1+1</f>
        <v>45659</v>
      </c>
      <c r="PX1" s="14">
        <f t="shared" ref="PX1" si="359">PW1+1</f>
        <v>45660</v>
      </c>
      <c r="PY1" s="14">
        <f t="shared" ref="PY1" si="360">PX1+1</f>
        <v>45661</v>
      </c>
      <c r="PZ1" s="14">
        <f t="shared" ref="PZ1" si="361">PY1+1</f>
        <v>45662</v>
      </c>
      <c r="QA1" s="14">
        <f t="shared" ref="QA1" si="362">PZ1+1</f>
        <v>45663</v>
      </c>
      <c r="QB1" s="14">
        <f t="shared" ref="QB1" si="363">QA1+1</f>
        <v>45664</v>
      </c>
      <c r="QC1" s="14">
        <f t="shared" ref="QC1" si="364">QB1+1</f>
        <v>45665</v>
      </c>
      <c r="QD1" s="14">
        <f t="shared" ref="QD1" si="365">QC1+1</f>
        <v>45666</v>
      </c>
      <c r="QE1" s="14">
        <f t="shared" ref="QE1" si="366">QD1+1</f>
        <v>45667</v>
      </c>
      <c r="QF1" s="14">
        <f t="shared" ref="QF1" si="367">QE1+1</f>
        <v>45668</v>
      </c>
      <c r="QG1" s="14">
        <f t="shared" ref="QG1" si="368">QF1+1</f>
        <v>45669</v>
      </c>
      <c r="QH1" s="14">
        <f t="shared" ref="QH1" si="369">QG1+1</f>
        <v>45670</v>
      </c>
      <c r="QI1" s="14">
        <f t="shared" ref="QI1" si="370">QH1+1</f>
        <v>45671</v>
      </c>
      <c r="QJ1" s="14">
        <f t="shared" ref="QJ1" si="371">QI1+1</f>
        <v>45672</v>
      </c>
      <c r="QK1" s="14">
        <f t="shared" ref="QK1" si="372">QJ1+1</f>
        <v>45673</v>
      </c>
      <c r="QL1" s="14">
        <f t="shared" ref="QL1" si="373">QK1+1</f>
        <v>45674</v>
      </c>
      <c r="QM1" s="14">
        <f t="shared" ref="QM1" si="374">QL1+1</f>
        <v>45675</v>
      </c>
      <c r="QN1" s="14">
        <f t="shared" ref="QN1" si="375">QM1+1</f>
        <v>45676</v>
      </c>
      <c r="QO1" s="14">
        <f t="shared" ref="QO1" si="376">QN1+1</f>
        <v>45677</v>
      </c>
      <c r="QP1" s="14">
        <f t="shared" ref="QP1" si="377">QO1+1</f>
        <v>45678</v>
      </c>
      <c r="QQ1" s="14">
        <f t="shared" ref="QQ1" si="378">QP1+1</f>
        <v>45679</v>
      </c>
      <c r="QR1" s="14">
        <f t="shared" ref="QR1" si="379">QQ1+1</f>
        <v>45680</v>
      </c>
      <c r="QS1" s="14">
        <f t="shared" ref="QS1" si="380">QR1+1</f>
        <v>45681</v>
      </c>
      <c r="QT1" s="14">
        <f t="shared" ref="QT1" si="381">QS1+1</f>
        <v>45682</v>
      </c>
      <c r="QU1" s="14">
        <f t="shared" ref="QU1" si="382">QT1+1</f>
        <v>45683</v>
      </c>
      <c r="QV1" s="14">
        <f t="shared" ref="QV1" si="383">QU1+1</f>
        <v>45684</v>
      </c>
      <c r="QW1" s="14">
        <f t="shared" ref="QW1" si="384">QV1+1</f>
        <v>45685</v>
      </c>
      <c r="QX1" s="14">
        <f t="shared" ref="QX1" si="385">QW1+1</f>
        <v>45686</v>
      </c>
      <c r="QY1" s="14">
        <f t="shared" ref="QY1" si="386">QX1+1</f>
        <v>45687</v>
      </c>
      <c r="QZ1" s="14">
        <f t="shared" ref="QZ1" si="387">QY1+1</f>
        <v>45688</v>
      </c>
      <c r="RA1" s="14">
        <f t="shared" ref="RA1" si="388">QZ1+1</f>
        <v>45689</v>
      </c>
      <c r="RB1" s="14">
        <f t="shared" ref="RB1" si="389">RA1+1</f>
        <v>45690</v>
      </c>
      <c r="RC1" s="14">
        <f t="shared" ref="RC1" si="390">RB1+1</f>
        <v>45691</v>
      </c>
      <c r="RD1" s="14">
        <f t="shared" ref="RD1" si="391">RC1+1</f>
        <v>45692</v>
      </c>
      <c r="RE1" s="14">
        <f t="shared" ref="RE1" si="392">RD1+1</f>
        <v>45693</v>
      </c>
      <c r="RF1" s="14">
        <f t="shared" ref="RF1" si="393">RE1+1</f>
        <v>45694</v>
      </c>
      <c r="RG1" s="14">
        <f t="shared" ref="RG1" si="394">RF1+1</f>
        <v>45695</v>
      </c>
      <c r="RH1" s="14">
        <f t="shared" ref="RH1" si="395">RG1+1</f>
        <v>45696</v>
      </c>
      <c r="RI1" s="14">
        <f t="shared" ref="RI1" si="396">RH1+1</f>
        <v>45697</v>
      </c>
      <c r="RJ1" s="14">
        <f t="shared" ref="RJ1" si="397">RI1+1</f>
        <v>45698</v>
      </c>
      <c r="RK1" s="14">
        <f t="shared" ref="RK1" si="398">RJ1+1</f>
        <v>45699</v>
      </c>
      <c r="RL1" s="14">
        <f t="shared" ref="RL1" si="399">RK1+1</f>
        <v>45700</v>
      </c>
      <c r="RM1" s="14">
        <f t="shared" ref="RM1" si="400">RL1+1</f>
        <v>45701</v>
      </c>
      <c r="RN1" s="14">
        <f t="shared" ref="RN1" si="401">RM1+1</f>
        <v>45702</v>
      </c>
      <c r="RO1" s="14">
        <f t="shared" ref="RO1" si="402">RN1+1</f>
        <v>45703</v>
      </c>
      <c r="RP1" s="14">
        <f t="shared" ref="RP1" si="403">RO1+1</f>
        <v>45704</v>
      </c>
      <c r="RQ1" s="14">
        <f t="shared" ref="RQ1" si="404">RP1+1</f>
        <v>45705</v>
      </c>
      <c r="RR1" s="14">
        <f t="shared" ref="RR1" si="405">RQ1+1</f>
        <v>45706</v>
      </c>
      <c r="RS1" s="14">
        <f t="shared" ref="RS1" si="406">RR1+1</f>
        <v>45707</v>
      </c>
      <c r="RT1" s="14">
        <f t="shared" ref="RT1" si="407">RS1+1</f>
        <v>45708</v>
      </c>
      <c r="RU1" s="14">
        <f t="shared" ref="RU1" si="408">RT1+1</f>
        <v>45709</v>
      </c>
      <c r="RV1" s="14">
        <f t="shared" ref="RV1" si="409">RU1+1</f>
        <v>45710</v>
      </c>
      <c r="RW1" s="14">
        <f t="shared" ref="RW1" si="410">RV1+1</f>
        <v>45711</v>
      </c>
      <c r="RX1" s="14">
        <f t="shared" ref="RX1" si="411">RW1+1</f>
        <v>45712</v>
      </c>
      <c r="RY1" s="14">
        <f t="shared" ref="RY1" si="412">RX1+1</f>
        <v>45713</v>
      </c>
      <c r="RZ1" s="14">
        <f t="shared" ref="RZ1" si="413">RY1+1</f>
        <v>45714</v>
      </c>
      <c r="SA1" s="14">
        <f t="shared" ref="SA1" si="414">RZ1+1</f>
        <v>45715</v>
      </c>
      <c r="SB1" s="14">
        <f t="shared" ref="SB1" si="415">SA1+1</f>
        <v>45716</v>
      </c>
      <c r="SC1" s="14">
        <f t="shared" ref="SC1" si="416">SB1+1</f>
        <v>45717</v>
      </c>
      <c r="SD1" s="14">
        <f t="shared" ref="SD1" si="417">SC1+1</f>
        <v>45718</v>
      </c>
      <c r="SE1" s="14">
        <f t="shared" ref="SE1" si="418">SD1+1</f>
        <v>45719</v>
      </c>
      <c r="SF1" s="14">
        <f t="shared" ref="SF1" si="419">SE1+1</f>
        <v>45720</v>
      </c>
      <c r="SG1" s="14">
        <f t="shared" ref="SG1" si="420">SF1+1</f>
        <v>45721</v>
      </c>
      <c r="SH1" s="14">
        <f t="shared" ref="SH1" si="421">SG1+1</f>
        <v>45722</v>
      </c>
      <c r="SI1" s="14">
        <f t="shared" ref="SI1" si="422">SH1+1</f>
        <v>45723</v>
      </c>
      <c r="SJ1" s="14">
        <f t="shared" ref="SJ1" si="423">SI1+1</f>
        <v>45724</v>
      </c>
      <c r="SK1" s="14">
        <f t="shared" ref="SK1" si="424">SJ1+1</f>
        <v>45725</v>
      </c>
      <c r="SL1" s="14">
        <f t="shared" ref="SL1" si="425">SK1+1</f>
        <v>45726</v>
      </c>
      <c r="SM1" s="14">
        <f t="shared" ref="SM1" si="426">SL1+1</f>
        <v>45727</v>
      </c>
      <c r="SN1" s="14">
        <f t="shared" ref="SN1" si="427">SM1+1</f>
        <v>45728</v>
      </c>
      <c r="SO1" s="14">
        <f t="shared" ref="SO1" si="428">SN1+1</f>
        <v>45729</v>
      </c>
      <c r="SP1" s="14">
        <f t="shared" ref="SP1" si="429">SO1+1</f>
        <v>45730</v>
      </c>
      <c r="SQ1" s="14">
        <f t="shared" ref="SQ1" si="430">SP1+1</f>
        <v>45731</v>
      </c>
      <c r="SR1" s="14">
        <f t="shared" ref="SR1" si="431">SQ1+1</f>
        <v>45732</v>
      </c>
      <c r="SS1" s="14">
        <f t="shared" ref="SS1" si="432">SR1+1</f>
        <v>45733</v>
      </c>
      <c r="ST1" s="14">
        <f t="shared" ref="ST1" si="433">SS1+1</f>
        <v>45734</v>
      </c>
      <c r="SU1" s="14">
        <f t="shared" ref="SU1" si="434">ST1+1</f>
        <v>45735</v>
      </c>
      <c r="SV1" s="14">
        <f t="shared" ref="SV1" si="435">SU1+1</f>
        <v>45736</v>
      </c>
      <c r="SW1" s="14">
        <f t="shared" ref="SW1" si="436">SV1+1</f>
        <v>45737</v>
      </c>
      <c r="SX1" s="14">
        <f t="shared" ref="SX1" si="437">SW1+1</f>
        <v>45738</v>
      </c>
      <c r="SY1" s="14">
        <f t="shared" ref="SY1" si="438">SX1+1</f>
        <v>45739</v>
      </c>
      <c r="SZ1" s="14">
        <f t="shared" ref="SZ1" si="439">SY1+1</f>
        <v>45740</v>
      </c>
      <c r="TA1" s="14">
        <f t="shared" ref="TA1" si="440">SZ1+1</f>
        <v>45741</v>
      </c>
      <c r="TB1" s="14">
        <f t="shared" ref="TB1" si="441">TA1+1</f>
        <v>45742</v>
      </c>
      <c r="TC1" s="14">
        <f t="shared" ref="TC1" si="442">TB1+1</f>
        <v>45743</v>
      </c>
      <c r="TD1" s="14">
        <f t="shared" ref="TD1" si="443">TC1+1</f>
        <v>45744</v>
      </c>
      <c r="TE1" s="14">
        <f t="shared" ref="TE1" si="444">TD1+1</f>
        <v>45745</v>
      </c>
      <c r="TF1" s="14">
        <f t="shared" ref="TF1" si="445">TE1+1</f>
        <v>45746</v>
      </c>
      <c r="TG1" s="14">
        <f t="shared" ref="TG1" si="446">TF1+1</f>
        <v>45747</v>
      </c>
      <c r="TH1" s="14">
        <f t="shared" ref="TH1" si="447">TG1+1</f>
        <v>45748</v>
      </c>
      <c r="TI1" s="14">
        <f t="shared" ref="TI1" si="448">TH1+1</f>
        <v>45749</v>
      </c>
      <c r="TJ1" s="14">
        <f t="shared" ref="TJ1" si="449">TI1+1</f>
        <v>45750</v>
      </c>
      <c r="TK1" s="14">
        <f t="shared" ref="TK1" si="450">TJ1+1</f>
        <v>45751</v>
      </c>
      <c r="TL1" s="14">
        <f t="shared" ref="TL1" si="451">TK1+1</f>
        <v>45752</v>
      </c>
      <c r="TM1" s="14">
        <f t="shared" ref="TM1" si="452">TL1+1</f>
        <v>45753</v>
      </c>
      <c r="TN1" s="14">
        <f t="shared" ref="TN1" si="453">TM1+1</f>
        <v>45754</v>
      </c>
      <c r="TO1" s="14">
        <f t="shared" ref="TO1" si="454">TN1+1</f>
        <v>45755</v>
      </c>
      <c r="TP1" s="14">
        <f t="shared" ref="TP1" si="455">TO1+1</f>
        <v>45756</v>
      </c>
      <c r="TQ1" s="14">
        <f t="shared" ref="TQ1" si="456">TP1+1</f>
        <v>45757</v>
      </c>
      <c r="TR1" s="14">
        <f t="shared" ref="TR1" si="457">TQ1+1</f>
        <v>45758</v>
      </c>
      <c r="TS1" s="14">
        <f t="shared" ref="TS1" si="458">TR1+1</f>
        <v>45759</v>
      </c>
      <c r="TT1" s="14">
        <f t="shared" ref="TT1" si="459">TS1+1</f>
        <v>45760</v>
      </c>
      <c r="TU1" s="14">
        <f t="shared" ref="TU1" si="460">TT1+1</f>
        <v>45761</v>
      </c>
      <c r="TV1" s="14">
        <f t="shared" ref="TV1" si="461">TU1+1</f>
        <v>45762</v>
      </c>
      <c r="TW1" s="14">
        <f t="shared" ref="TW1" si="462">TV1+1</f>
        <v>45763</v>
      </c>
      <c r="TX1" s="14">
        <f t="shared" ref="TX1" si="463">TW1+1</f>
        <v>45764</v>
      </c>
      <c r="TY1" s="14">
        <f t="shared" ref="TY1" si="464">TX1+1</f>
        <v>45765</v>
      </c>
      <c r="TZ1" s="14">
        <f t="shared" ref="TZ1" si="465">TY1+1</f>
        <v>45766</v>
      </c>
      <c r="UA1" s="14">
        <f t="shared" ref="UA1" si="466">TZ1+1</f>
        <v>45767</v>
      </c>
      <c r="UB1" s="14">
        <f t="shared" ref="UB1" si="467">UA1+1</f>
        <v>45768</v>
      </c>
      <c r="UC1" s="14">
        <f t="shared" ref="UC1" si="468">UB1+1</f>
        <v>45769</v>
      </c>
      <c r="UD1" s="14">
        <f t="shared" ref="UD1" si="469">UC1+1</f>
        <v>45770</v>
      </c>
      <c r="UE1" s="14">
        <f t="shared" ref="UE1" si="470">UD1+1</f>
        <v>45771</v>
      </c>
      <c r="UF1" s="14">
        <f t="shared" ref="UF1" si="471">UE1+1</f>
        <v>45772</v>
      </c>
      <c r="UG1" s="14">
        <f t="shared" ref="UG1" si="472">UF1+1</f>
        <v>45773</v>
      </c>
      <c r="UH1" s="14">
        <f t="shared" ref="UH1" si="473">UG1+1</f>
        <v>45774</v>
      </c>
      <c r="UI1" s="14">
        <f t="shared" ref="UI1" si="474">UH1+1</f>
        <v>45775</v>
      </c>
      <c r="UJ1" s="14">
        <f t="shared" ref="UJ1" si="475">UI1+1</f>
        <v>45776</v>
      </c>
      <c r="UK1" s="14">
        <f t="shared" ref="UK1" si="476">UJ1+1</f>
        <v>45777</v>
      </c>
      <c r="UL1" s="14">
        <f t="shared" ref="UL1" si="477">UK1+1</f>
        <v>45778</v>
      </c>
      <c r="UM1" s="14">
        <f t="shared" ref="UM1" si="478">UL1+1</f>
        <v>45779</v>
      </c>
      <c r="UN1" s="14">
        <f t="shared" ref="UN1" si="479">UM1+1</f>
        <v>45780</v>
      </c>
      <c r="UO1" s="14">
        <f t="shared" ref="UO1" si="480">UN1+1</f>
        <v>45781</v>
      </c>
      <c r="UP1" s="14">
        <f t="shared" ref="UP1" si="481">UO1+1</f>
        <v>45782</v>
      </c>
      <c r="UQ1" s="14">
        <f t="shared" ref="UQ1" si="482">UP1+1</f>
        <v>45783</v>
      </c>
      <c r="UR1" s="14">
        <f t="shared" ref="UR1" si="483">UQ1+1</f>
        <v>45784</v>
      </c>
      <c r="US1" s="14">
        <f t="shared" ref="US1" si="484">UR1+1</f>
        <v>45785</v>
      </c>
      <c r="UT1" s="14">
        <f t="shared" ref="UT1" si="485">US1+1</f>
        <v>45786</v>
      </c>
      <c r="UU1" s="14">
        <f t="shared" ref="UU1" si="486">UT1+1</f>
        <v>45787</v>
      </c>
      <c r="UV1" s="14">
        <f t="shared" ref="UV1" si="487">UU1+1</f>
        <v>45788</v>
      </c>
      <c r="UW1" s="14">
        <f t="shared" ref="UW1" si="488">UV1+1</f>
        <v>45789</v>
      </c>
      <c r="UX1" s="14">
        <f t="shared" ref="UX1" si="489">UW1+1</f>
        <v>45790</v>
      </c>
      <c r="UY1" s="14">
        <f t="shared" ref="UY1" si="490">UX1+1</f>
        <v>45791</v>
      </c>
      <c r="UZ1" s="14">
        <f t="shared" ref="UZ1" si="491">UY1+1</f>
        <v>45792</v>
      </c>
      <c r="VA1" s="14">
        <f t="shared" ref="VA1" si="492">UZ1+1</f>
        <v>45793</v>
      </c>
      <c r="VB1" s="14">
        <f t="shared" ref="VB1" si="493">VA1+1</f>
        <v>45794</v>
      </c>
      <c r="VC1" s="14">
        <f t="shared" ref="VC1" si="494">VB1+1</f>
        <v>45795</v>
      </c>
      <c r="VD1" s="14">
        <f t="shared" ref="VD1" si="495">VC1+1</f>
        <v>45796</v>
      </c>
      <c r="VE1" s="14">
        <f t="shared" ref="VE1" si="496">VD1+1</f>
        <v>45797</v>
      </c>
      <c r="VF1" s="14">
        <f t="shared" ref="VF1" si="497">VE1+1</f>
        <v>45798</v>
      </c>
      <c r="VG1" s="14">
        <f t="shared" ref="VG1" si="498">VF1+1</f>
        <v>45799</v>
      </c>
      <c r="VH1" s="14">
        <f t="shared" ref="VH1" si="499">VG1+1</f>
        <v>45800</v>
      </c>
      <c r="VI1" s="14">
        <f t="shared" ref="VI1" si="500">VH1+1</f>
        <v>45801</v>
      </c>
      <c r="VJ1" s="14">
        <f t="shared" ref="VJ1" si="501">VI1+1</f>
        <v>45802</v>
      </c>
      <c r="VK1" s="14">
        <f t="shared" ref="VK1" si="502">VJ1+1</f>
        <v>45803</v>
      </c>
      <c r="VL1" s="14">
        <f t="shared" ref="VL1" si="503">VK1+1</f>
        <v>45804</v>
      </c>
      <c r="VM1" s="14">
        <f t="shared" ref="VM1" si="504">VL1+1</f>
        <v>45805</v>
      </c>
      <c r="VN1" s="14">
        <f t="shared" ref="VN1" si="505">VM1+1</f>
        <v>45806</v>
      </c>
      <c r="VO1" s="14">
        <f t="shared" ref="VO1" si="506">VN1+1</f>
        <v>45807</v>
      </c>
      <c r="VP1" s="14">
        <f t="shared" ref="VP1" si="507">VO1+1</f>
        <v>45808</v>
      </c>
      <c r="VQ1" s="14">
        <f t="shared" ref="VQ1" si="508">VP1+1</f>
        <v>45809</v>
      </c>
      <c r="VR1" s="14">
        <f t="shared" ref="VR1" si="509">VQ1+1</f>
        <v>45810</v>
      </c>
      <c r="VS1" s="14">
        <f t="shared" ref="VS1" si="510">VR1+1</f>
        <v>45811</v>
      </c>
      <c r="VT1" s="14">
        <f t="shared" ref="VT1" si="511">VS1+1</f>
        <v>45812</v>
      </c>
      <c r="VU1" s="14">
        <f t="shared" ref="VU1" si="512">VT1+1</f>
        <v>45813</v>
      </c>
      <c r="VV1" s="14">
        <f t="shared" ref="VV1" si="513">VU1+1</f>
        <v>45814</v>
      </c>
      <c r="VW1" s="14">
        <f t="shared" ref="VW1" si="514">VV1+1</f>
        <v>45815</v>
      </c>
      <c r="VX1" s="14">
        <f t="shared" ref="VX1" si="515">VW1+1</f>
        <v>45816</v>
      </c>
      <c r="VY1" s="14">
        <f t="shared" ref="VY1" si="516">VX1+1</f>
        <v>45817</v>
      </c>
      <c r="VZ1" s="14">
        <f t="shared" ref="VZ1" si="517">VY1+1</f>
        <v>45818</v>
      </c>
      <c r="WA1" s="14">
        <f t="shared" ref="WA1" si="518">VZ1+1</f>
        <v>45819</v>
      </c>
      <c r="WB1" s="14">
        <f t="shared" ref="WB1" si="519">WA1+1</f>
        <v>45820</v>
      </c>
      <c r="WC1" s="14">
        <f t="shared" ref="WC1" si="520">WB1+1</f>
        <v>45821</v>
      </c>
      <c r="WD1" s="14">
        <f t="shared" ref="WD1" si="521">WC1+1</f>
        <v>45822</v>
      </c>
      <c r="WE1" s="14">
        <f t="shared" ref="WE1" si="522">WD1+1</f>
        <v>45823</v>
      </c>
      <c r="WF1" s="14">
        <f t="shared" ref="WF1" si="523">WE1+1</f>
        <v>45824</v>
      </c>
      <c r="WG1" s="14">
        <f t="shared" ref="WG1" si="524">WF1+1</f>
        <v>45825</v>
      </c>
      <c r="WH1" s="14">
        <f t="shared" ref="WH1" si="525">WG1+1</f>
        <v>45826</v>
      </c>
      <c r="WI1" s="14">
        <f t="shared" ref="WI1" si="526">WH1+1</f>
        <v>45827</v>
      </c>
      <c r="WJ1" s="14">
        <f t="shared" ref="WJ1" si="527">WI1+1</f>
        <v>45828</v>
      </c>
      <c r="WK1" s="14">
        <f t="shared" ref="WK1" si="528">WJ1+1</f>
        <v>45829</v>
      </c>
      <c r="WL1" s="14">
        <f t="shared" ref="WL1" si="529">WK1+1</f>
        <v>45830</v>
      </c>
      <c r="WM1" s="14">
        <f t="shared" ref="WM1" si="530">WL1+1</f>
        <v>45831</v>
      </c>
      <c r="WN1" s="14">
        <f t="shared" ref="WN1" si="531">WM1+1</f>
        <v>45832</v>
      </c>
      <c r="WO1" s="14">
        <f t="shared" ref="WO1" si="532">WN1+1</f>
        <v>45833</v>
      </c>
      <c r="WP1" s="14">
        <f t="shared" ref="WP1" si="533">WO1+1</f>
        <v>45834</v>
      </c>
      <c r="WQ1" s="14">
        <f t="shared" ref="WQ1" si="534">WP1+1</f>
        <v>45835</v>
      </c>
      <c r="WR1" s="14">
        <f t="shared" ref="WR1" si="535">WQ1+1</f>
        <v>45836</v>
      </c>
      <c r="WS1" s="14">
        <f t="shared" ref="WS1" si="536">WR1+1</f>
        <v>45837</v>
      </c>
      <c r="WT1" s="14">
        <f t="shared" ref="WT1" si="537">WS1+1</f>
        <v>45838</v>
      </c>
      <c r="WU1" s="14">
        <f t="shared" ref="WU1" si="538">WT1+1</f>
        <v>45839</v>
      </c>
      <c r="WV1" s="14">
        <f t="shared" ref="WV1" si="539">WU1+1</f>
        <v>45840</v>
      </c>
      <c r="WW1" s="14">
        <f t="shared" ref="WW1" si="540">WV1+1</f>
        <v>45841</v>
      </c>
      <c r="WX1" s="14">
        <f t="shared" ref="WX1" si="541">WW1+1</f>
        <v>45842</v>
      </c>
      <c r="WY1" s="14">
        <f t="shared" ref="WY1" si="542">WX1+1</f>
        <v>45843</v>
      </c>
      <c r="WZ1" s="14">
        <f t="shared" ref="WZ1" si="543">WY1+1</f>
        <v>45844</v>
      </c>
      <c r="XA1" s="14">
        <f t="shared" ref="XA1" si="544">WZ1+1</f>
        <v>45845</v>
      </c>
      <c r="XB1" s="14">
        <f t="shared" ref="XB1" si="545">XA1+1</f>
        <v>45846</v>
      </c>
      <c r="XC1" s="14">
        <f t="shared" ref="XC1" si="546">XB1+1</f>
        <v>45847</v>
      </c>
      <c r="XD1" s="14">
        <f t="shared" ref="XD1" si="547">XC1+1</f>
        <v>45848</v>
      </c>
      <c r="XE1" s="14">
        <f t="shared" ref="XE1" si="548">XD1+1</f>
        <v>45849</v>
      </c>
      <c r="XF1" s="14">
        <f t="shared" ref="XF1" si="549">XE1+1</f>
        <v>45850</v>
      </c>
      <c r="XG1" s="14">
        <f t="shared" ref="XG1" si="550">XF1+1</f>
        <v>45851</v>
      </c>
      <c r="XH1" s="14">
        <f t="shared" ref="XH1" si="551">XG1+1</f>
        <v>45852</v>
      </c>
      <c r="XI1" s="14">
        <f t="shared" ref="XI1" si="552">XH1+1</f>
        <v>45853</v>
      </c>
      <c r="XJ1" s="14">
        <f t="shared" ref="XJ1" si="553">XI1+1</f>
        <v>45854</v>
      </c>
      <c r="XK1" s="14">
        <f t="shared" ref="XK1" si="554">XJ1+1</f>
        <v>45855</v>
      </c>
      <c r="XL1" s="14">
        <f t="shared" ref="XL1" si="555">XK1+1</f>
        <v>45856</v>
      </c>
      <c r="XM1" s="14">
        <f t="shared" ref="XM1" si="556">XL1+1</f>
        <v>45857</v>
      </c>
      <c r="XN1" s="14">
        <f t="shared" ref="XN1" si="557">XM1+1</f>
        <v>45858</v>
      </c>
      <c r="XO1" s="14">
        <f t="shared" ref="XO1" si="558">XN1+1</f>
        <v>45859</v>
      </c>
      <c r="XP1" s="14">
        <f t="shared" ref="XP1" si="559">XO1+1</f>
        <v>45860</v>
      </c>
      <c r="XQ1" s="14">
        <f t="shared" ref="XQ1" si="560">XP1+1</f>
        <v>45861</v>
      </c>
      <c r="XR1" s="14">
        <f t="shared" ref="XR1" si="561">XQ1+1</f>
        <v>45862</v>
      </c>
      <c r="XS1" s="14">
        <f t="shared" ref="XS1" si="562">XR1+1</f>
        <v>45863</v>
      </c>
      <c r="XT1" s="14">
        <f t="shared" ref="XT1" si="563">XS1+1</f>
        <v>45864</v>
      </c>
      <c r="XU1" s="14">
        <f t="shared" ref="XU1" si="564">XT1+1</f>
        <v>45865</v>
      </c>
      <c r="XV1" s="14">
        <f t="shared" ref="XV1" si="565">XU1+1</f>
        <v>45866</v>
      </c>
      <c r="XW1" s="14">
        <f t="shared" ref="XW1" si="566">XV1+1</f>
        <v>45867</v>
      </c>
      <c r="XX1" s="14">
        <f t="shared" ref="XX1" si="567">XW1+1</f>
        <v>45868</v>
      </c>
      <c r="XY1" s="14">
        <f t="shared" ref="XY1" si="568">XX1+1</f>
        <v>45869</v>
      </c>
      <c r="XZ1" s="14">
        <f t="shared" ref="XZ1" si="569">XY1+1</f>
        <v>45870</v>
      </c>
      <c r="YA1" s="14">
        <f t="shared" ref="YA1" si="570">XZ1+1</f>
        <v>45871</v>
      </c>
      <c r="YB1" s="14">
        <f t="shared" ref="YB1" si="571">YA1+1</f>
        <v>45872</v>
      </c>
      <c r="YC1" s="14">
        <f t="shared" ref="YC1" si="572">YB1+1</f>
        <v>45873</v>
      </c>
      <c r="YD1" s="14">
        <f t="shared" ref="YD1" si="573">YC1+1</f>
        <v>45874</v>
      </c>
      <c r="YE1" s="14">
        <f t="shared" ref="YE1" si="574">YD1+1</f>
        <v>45875</v>
      </c>
      <c r="YF1" s="14">
        <f t="shared" ref="YF1" si="575">YE1+1</f>
        <v>45876</v>
      </c>
      <c r="YG1" s="14">
        <f t="shared" ref="YG1" si="576">YF1+1</f>
        <v>45877</v>
      </c>
      <c r="YH1" s="14">
        <f t="shared" ref="YH1" si="577">YG1+1</f>
        <v>45878</v>
      </c>
      <c r="YI1" s="14">
        <f t="shared" ref="YI1" si="578">YH1+1</f>
        <v>45879</v>
      </c>
      <c r="YJ1" s="14">
        <f t="shared" ref="YJ1" si="579">YI1+1</f>
        <v>45880</v>
      </c>
      <c r="YK1" s="14">
        <f t="shared" ref="YK1" si="580">YJ1+1</f>
        <v>45881</v>
      </c>
      <c r="YL1" s="14">
        <f t="shared" ref="YL1" si="581">YK1+1</f>
        <v>45882</v>
      </c>
      <c r="YM1" s="14">
        <f t="shared" ref="YM1" si="582">YL1+1</f>
        <v>45883</v>
      </c>
      <c r="YN1" s="14">
        <f t="shared" ref="YN1" si="583">YM1+1</f>
        <v>45884</v>
      </c>
      <c r="YO1" s="14">
        <f t="shared" ref="YO1" si="584">YN1+1</f>
        <v>45885</v>
      </c>
      <c r="YP1" s="14">
        <f t="shared" ref="YP1" si="585">YO1+1</f>
        <v>45886</v>
      </c>
      <c r="YQ1" s="14">
        <f t="shared" ref="YQ1" si="586">YP1+1</f>
        <v>45887</v>
      </c>
      <c r="YR1" s="14">
        <f t="shared" ref="YR1" si="587">YQ1+1</f>
        <v>45888</v>
      </c>
      <c r="YS1" s="14">
        <f t="shared" ref="YS1" si="588">YR1+1</f>
        <v>45889</v>
      </c>
      <c r="YT1" s="14">
        <f t="shared" ref="YT1" si="589">YS1+1</f>
        <v>45890</v>
      </c>
      <c r="YU1" s="14">
        <f t="shared" ref="YU1" si="590">YT1+1</f>
        <v>45891</v>
      </c>
      <c r="YV1" s="14">
        <f t="shared" ref="YV1" si="591">YU1+1</f>
        <v>45892</v>
      </c>
      <c r="YW1" s="14">
        <f t="shared" ref="YW1" si="592">YV1+1</f>
        <v>45893</v>
      </c>
      <c r="YX1" s="14">
        <f t="shared" ref="YX1" si="593">YW1+1</f>
        <v>45894</v>
      </c>
      <c r="YY1" s="14">
        <f t="shared" ref="YY1" si="594">YX1+1</f>
        <v>45895</v>
      </c>
      <c r="YZ1" s="14">
        <f t="shared" ref="YZ1" si="595">YY1+1</f>
        <v>45896</v>
      </c>
      <c r="ZA1" s="14">
        <f t="shared" ref="ZA1" si="596">YZ1+1</f>
        <v>45897</v>
      </c>
      <c r="ZB1" s="14">
        <f t="shared" ref="ZB1" si="597">ZA1+1</f>
        <v>45898</v>
      </c>
      <c r="ZC1" s="14">
        <f t="shared" ref="ZC1" si="598">ZB1+1</f>
        <v>45899</v>
      </c>
      <c r="ZD1" s="14">
        <f t="shared" ref="ZD1" si="599">ZC1+1</f>
        <v>45900</v>
      </c>
      <c r="ZE1" s="14">
        <f t="shared" ref="ZE1" si="600">ZD1+1</f>
        <v>45901</v>
      </c>
      <c r="ZF1" s="14">
        <f t="shared" ref="ZF1" si="601">ZE1+1</f>
        <v>45902</v>
      </c>
      <c r="ZG1" s="14">
        <f t="shared" ref="ZG1" si="602">ZF1+1</f>
        <v>45903</v>
      </c>
      <c r="ZH1" s="14">
        <f t="shared" ref="ZH1" si="603">ZG1+1</f>
        <v>45904</v>
      </c>
      <c r="ZI1" s="14">
        <f t="shared" ref="ZI1" si="604">ZH1+1</f>
        <v>45905</v>
      </c>
      <c r="ZJ1" s="14">
        <f t="shared" ref="ZJ1" si="605">ZI1+1</f>
        <v>45906</v>
      </c>
      <c r="ZK1" s="14">
        <f t="shared" ref="ZK1" si="606">ZJ1+1</f>
        <v>45907</v>
      </c>
      <c r="ZL1" s="14">
        <f t="shared" ref="ZL1" si="607">ZK1+1</f>
        <v>45908</v>
      </c>
      <c r="ZM1" s="14">
        <f t="shared" ref="ZM1" si="608">ZL1+1</f>
        <v>45909</v>
      </c>
      <c r="ZN1" s="14">
        <f t="shared" ref="ZN1" si="609">ZM1+1</f>
        <v>45910</v>
      </c>
      <c r="ZO1" s="14">
        <f t="shared" ref="ZO1" si="610">ZN1+1</f>
        <v>45911</v>
      </c>
      <c r="ZP1" s="14">
        <f t="shared" ref="ZP1" si="611">ZO1+1</f>
        <v>45912</v>
      </c>
      <c r="ZQ1" s="14">
        <f t="shared" ref="ZQ1" si="612">ZP1+1</f>
        <v>45913</v>
      </c>
      <c r="ZR1" s="14">
        <f t="shared" ref="ZR1" si="613">ZQ1+1</f>
        <v>45914</v>
      </c>
      <c r="ZS1" s="14">
        <f t="shared" ref="ZS1" si="614">ZR1+1</f>
        <v>45915</v>
      </c>
      <c r="ZT1" s="14">
        <f t="shared" ref="ZT1" si="615">ZS1+1</f>
        <v>45916</v>
      </c>
      <c r="ZU1" s="14">
        <f t="shared" ref="ZU1" si="616">ZT1+1</f>
        <v>45917</v>
      </c>
      <c r="ZV1" s="14">
        <f t="shared" ref="ZV1" si="617">ZU1+1</f>
        <v>45918</v>
      </c>
      <c r="ZW1" s="14">
        <f t="shared" ref="ZW1" si="618">ZV1+1</f>
        <v>45919</v>
      </c>
      <c r="ZX1" s="14">
        <f t="shared" ref="ZX1" si="619">ZW1+1</f>
        <v>45920</v>
      </c>
      <c r="ZY1" s="14">
        <f t="shared" ref="ZY1" si="620">ZX1+1</f>
        <v>45921</v>
      </c>
      <c r="ZZ1" s="14">
        <f t="shared" ref="ZZ1" si="621">ZY1+1</f>
        <v>45922</v>
      </c>
      <c r="AAA1" s="14">
        <f t="shared" ref="AAA1" si="622">ZZ1+1</f>
        <v>45923</v>
      </c>
      <c r="AAB1" s="14">
        <f t="shared" ref="AAB1" si="623">AAA1+1</f>
        <v>45924</v>
      </c>
      <c r="AAC1" s="14">
        <f t="shared" ref="AAC1" si="624">AAB1+1</f>
        <v>45925</v>
      </c>
      <c r="AAD1" s="14">
        <f t="shared" ref="AAD1:AAI1" si="625">AAC1+1</f>
        <v>45926</v>
      </c>
      <c r="AAE1" s="14">
        <f t="shared" si="625"/>
        <v>45927</v>
      </c>
      <c r="AAF1" s="14">
        <f t="shared" si="625"/>
        <v>45928</v>
      </c>
      <c r="AAG1" s="14">
        <f t="shared" si="625"/>
        <v>45929</v>
      </c>
      <c r="AAH1" s="14">
        <f t="shared" si="625"/>
        <v>45930</v>
      </c>
      <c r="AAI1" s="14">
        <f t="shared" si="625"/>
        <v>45931</v>
      </c>
      <c r="AAJ1" s="14">
        <f t="shared" ref="AAJ1" si="626">AAI1+1</f>
        <v>45932</v>
      </c>
      <c r="AAK1" s="14">
        <f t="shared" ref="AAK1" si="627">AAJ1+1</f>
        <v>45933</v>
      </c>
      <c r="AAL1" s="14">
        <f t="shared" ref="AAL1" si="628">AAK1+1</f>
        <v>45934</v>
      </c>
      <c r="AAM1" s="14">
        <f t="shared" ref="AAM1" si="629">AAL1+1</f>
        <v>45935</v>
      </c>
      <c r="AAN1" s="14">
        <f t="shared" ref="AAN1" si="630">AAM1+1</f>
        <v>45936</v>
      </c>
      <c r="AAO1" s="14">
        <f t="shared" ref="AAO1" si="631">AAN1+1</f>
        <v>45937</v>
      </c>
      <c r="AAP1" s="14">
        <f t="shared" ref="AAP1" si="632">AAO1+1</f>
        <v>45938</v>
      </c>
      <c r="AAQ1" s="14">
        <f t="shared" ref="AAQ1" si="633">AAP1+1</f>
        <v>45939</v>
      </c>
      <c r="AAR1" s="14">
        <f t="shared" ref="AAR1" si="634">AAQ1+1</f>
        <v>45940</v>
      </c>
      <c r="AAS1" s="14">
        <f t="shared" ref="AAS1" si="635">AAR1+1</f>
        <v>45941</v>
      </c>
      <c r="AAT1" s="14">
        <f t="shared" ref="AAT1" si="636">AAS1+1</f>
        <v>45942</v>
      </c>
      <c r="AAU1" s="14">
        <f t="shared" ref="AAU1" si="637">AAT1+1</f>
        <v>45943</v>
      </c>
      <c r="AAV1" s="14">
        <f t="shared" ref="AAV1" si="638">AAU1+1</f>
        <v>45944</v>
      </c>
      <c r="AAW1" s="14">
        <f t="shared" ref="AAW1" si="639">AAV1+1</f>
        <v>45945</v>
      </c>
      <c r="AAX1" s="109">
        <f t="shared" ref="AAX1" si="640">AAW1+1</f>
        <v>45946</v>
      </c>
      <c r="AAY1" s="110">
        <f t="shared" ref="AAY1" si="641">AAX1+1</f>
        <v>45947</v>
      </c>
      <c r="AAZ1" s="14">
        <f t="shared" ref="AAZ1" si="642">AAY1+1</f>
        <v>45948</v>
      </c>
      <c r="ABA1" s="14">
        <f t="shared" ref="ABA1" si="643">AAZ1+1</f>
        <v>45949</v>
      </c>
      <c r="ABB1" s="14">
        <f t="shared" ref="ABB1" si="644">ABA1+1</f>
        <v>45950</v>
      </c>
      <c r="ABC1" s="14">
        <f t="shared" ref="ABC1" si="645">ABB1+1</f>
        <v>45951</v>
      </c>
      <c r="ABD1" s="14">
        <f t="shared" ref="ABD1" si="646">ABC1+1</f>
        <v>45952</v>
      </c>
      <c r="ABE1" s="118">
        <f t="shared" ref="ABE1" si="647">ABD1+1</f>
        <v>45953</v>
      </c>
      <c r="ABF1" s="14">
        <f t="shared" ref="ABF1" si="648">ABE1+1</f>
        <v>45954</v>
      </c>
      <c r="ABG1" s="14">
        <f t="shared" ref="ABG1" si="649">ABF1+1</f>
        <v>45955</v>
      </c>
      <c r="ABH1" s="14">
        <f t="shared" ref="ABH1" si="650">ABG1+1</f>
        <v>45956</v>
      </c>
      <c r="ABI1" s="14">
        <f t="shared" ref="ABI1" si="651">ABH1+1</f>
        <v>45957</v>
      </c>
      <c r="ABJ1" s="14">
        <f t="shared" ref="ABJ1" si="652">ABI1+1</f>
        <v>45958</v>
      </c>
      <c r="ABK1" s="14">
        <f t="shared" ref="ABK1" si="653">ABJ1+1</f>
        <v>45959</v>
      </c>
      <c r="ABL1" s="14">
        <f t="shared" ref="ABL1" si="654">ABK1+1</f>
        <v>45960</v>
      </c>
      <c r="ABM1" s="14">
        <f t="shared" ref="ABM1" si="655">ABL1+1</f>
        <v>45961</v>
      </c>
      <c r="ABN1" s="14">
        <f t="shared" ref="ABN1" si="656">ABM1+1</f>
        <v>45962</v>
      </c>
      <c r="ABO1" s="14">
        <f t="shared" ref="ABO1" si="657">ABN1+1</f>
        <v>45963</v>
      </c>
      <c r="ABP1" s="14">
        <f t="shared" ref="ABP1" si="658">ABO1+1</f>
        <v>45964</v>
      </c>
      <c r="ABQ1" s="14">
        <f t="shared" ref="ABQ1" si="659">ABP1+1</f>
        <v>45965</v>
      </c>
      <c r="ABR1" s="14">
        <f t="shared" ref="ABR1" si="660">ABQ1+1</f>
        <v>45966</v>
      </c>
      <c r="ABS1" s="14">
        <f t="shared" ref="ABS1" si="661">ABR1+1</f>
        <v>45967</v>
      </c>
      <c r="ABT1" s="14">
        <f t="shared" ref="ABT1" si="662">ABS1+1</f>
        <v>45968</v>
      </c>
      <c r="ABU1" s="14">
        <f t="shared" ref="ABU1" si="663">ABT1+1</f>
        <v>45969</v>
      </c>
      <c r="ABV1" s="14">
        <f t="shared" ref="ABV1" si="664">ABU1+1</f>
        <v>45970</v>
      </c>
      <c r="ABW1" s="14">
        <f t="shared" ref="ABW1" si="665">ABV1+1</f>
        <v>45971</v>
      </c>
      <c r="ABX1" s="14">
        <f t="shared" ref="ABX1" si="666">ABW1+1</f>
        <v>45972</v>
      </c>
      <c r="ABY1" s="14">
        <f t="shared" ref="ABY1" si="667">ABX1+1</f>
        <v>45973</v>
      </c>
      <c r="ABZ1" s="14">
        <f t="shared" ref="ABZ1" si="668">ABY1+1</f>
        <v>45974</v>
      </c>
      <c r="ACA1" s="14">
        <f t="shared" ref="ACA1" si="669">ABZ1+1</f>
        <v>45975</v>
      </c>
      <c r="ACB1" s="14">
        <f t="shared" ref="ACB1" si="670">ACA1+1</f>
        <v>45976</v>
      </c>
      <c r="ACC1" s="14">
        <f t="shared" ref="ACC1" si="671">ACB1+1</f>
        <v>45977</v>
      </c>
      <c r="ACD1" s="14">
        <f t="shared" ref="ACD1" si="672">ACC1+1</f>
        <v>45978</v>
      </c>
      <c r="ACE1" s="14">
        <f t="shared" ref="ACE1" si="673">ACD1+1</f>
        <v>45979</v>
      </c>
      <c r="ACF1" s="14">
        <f t="shared" ref="ACF1" si="674">ACE1+1</f>
        <v>45980</v>
      </c>
      <c r="ACG1" s="14">
        <f t="shared" ref="ACG1" si="675">ACF1+1</f>
        <v>45981</v>
      </c>
      <c r="ACH1" s="14">
        <f t="shared" ref="ACH1" si="676">ACG1+1</f>
        <v>45982</v>
      </c>
      <c r="ACI1" s="14">
        <f t="shared" ref="ACI1" si="677">ACH1+1</f>
        <v>45983</v>
      </c>
      <c r="ACJ1" s="14">
        <f t="shared" ref="ACJ1" si="678">ACI1+1</f>
        <v>45984</v>
      </c>
      <c r="ACK1" s="14">
        <f t="shared" ref="ACK1" si="679">ACJ1+1</f>
        <v>45985</v>
      </c>
      <c r="ACL1" s="14">
        <f t="shared" ref="ACL1" si="680">ACK1+1</f>
        <v>45986</v>
      </c>
      <c r="ACM1" s="14">
        <f t="shared" ref="ACM1" si="681">ACL1+1</f>
        <v>45987</v>
      </c>
      <c r="ACN1" s="14">
        <f t="shared" ref="ACN1" si="682">ACM1+1</f>
        <v>45988</v>
      </c>
      <c r="ACO1" s="14">
        <f t="shared" ref="ACO1" si="683">ACN1+1</f>
        <v>45989</v>
      </c>
      <c r="ACP1" s="14">
        <f t="shared" ref="ACP1" si="684">ACO1+1</f>
        <v>45990</v>
      </c>
      <c r="ACQ1" s="14">
        <f t="shared" ref="ACQ1" si="685">ACP1+1</f>
        <v>45991</v>
      </c>
      <c r="ACR1" s="14">
        <f t="shared" ref="ACR1" si="686">ACQ1+1</f>
        <v>45992</v>
      </c>
      <c r="ACS1" s="14">
        <f t="shared" ref="ACS1" si="687">ACR1+1</f>
        <v>45993</v>
      </c>
      <c r="ACT1" s="14">
        <f t="shared" ref="ACT1" si="688">ACS1+1</f>
        <v>45994</v>
      </c>
      <c r="ACU1" s="14">
        <f t="shared" ref="ACU1" si="689">ACT1+1</f>
        <v>45995</v>
      </c>
      <c r="ACV1" s="14">
        <f t="shared" ref="ACV1" si="690">ACU1+1</f>
        <v>45996</v>
      </c>
      <c r="ACW1" s="14">
        <f t="shared" ref="ACW1" si="691">ACV1+1</f>
        <v>45997</v>
      </c>
      <c r="ACX1" s="14">
        <f t="shared" ref="ACX1" si="692">ACW1+1</f>
        <v>45998</v>
      </c>
      <c r="ACY1" s="14">
        <f t="shared" ref="ACY1" si="693">ACX1+1</f>
        <v>45999</v>
      </c>
      <c r="ACZ1" s="14">
        <f t="shared" ref="ACZ1" si="694">ACY1+1</f>
        <v>46000</v>
      </c>
      <c r="ADA1" s="14">
        <f t="shared" ref="ADA1" si="695">ACZ1+1</f>
        <v>46001</v>
      </c>
      <c r="ADB1" s="14">
        <f t="shared" ref="ADB1" si="696">ADA1+1</f>
        <v>46002</v>
      </c>
      <c r="ADC1" s="14">
        <f t="shared" ref="ADC1" si="697">ADB1+1</f>
        <v>46003</v>
      </c>
      <c r="ADD1" s="14">
        <f t="shared" ref="ADD1" si="698">ADC1+1</f>
        <v>46004</v>
      </c>
      <c r="ADE1" s="14">
        <f t="shared" ref="ADE1" si="699">ADD1+1</f>
        <v>46005</v>
      </c>
      <c r="ADF1" s="14">
        <f t="shared" ref="ADF1" si="700">ADE1+1</f>
        <v>46006</v>
      </c>
      <c r="ADG1" s="14">
        <f t="shared" ref="ADG1" si="701">ADF1+1</f>
        <v>46007</v>
      </c>
      <c r="ADH1" s="14">
        <f t="shared" ref="ADH1" si="702">ADG1+1</f>
        <v>46008</v>
      </c>
      <c r="ADI1" s="14">
        <f t="shared" ref="ADI1" si="703">ADH1+1</f>
        <v>46009</v>
      </c>
      <c r="ADJ1" s="14">
        <f t="shared" ref="ADJ1" si="704">ADI1+1</f>
        <v>46010</v>
      </c>
      <c r="ADK1" s="14">
        <f t="shared" ref="ADK1" si="705">ADJ1+1</f>
        <v>46011</v>
      </c>
      <c r="ADL1" s="14">
        <f t="shared" ref="ADL1" si="706">ADK1+1</f>
        <v>46012</v>
      </c>
      <c r="ADM1" s="14">
        <f t="shared" ref="ADM1" si="707">ADL1+1</f>
        <v>46013</v>
      </c>
      <c r="ADN1" s="14">
        <f t="shared" ref="ADN1" si="708">ADM1+1</f>
        <v>46014</v>
      </c>
      <c r="ADO1" s="14">
        <f t="shared" ref="ADO1" si="709">ADN1+1</f>
        <v>46015</v>
      </c>
      <c r="ADP1" s="14">
        <f t="shared" ref="ADP1" si="710">ADO1+1</f>
        <v>46016</v>
      </c>
      <c r="ADQ1" s="14">
        <f t="shared" ref="ADQ1" si="711">ADP1+1</f>
        <v>46017</v>
      </c>
      <c r="ADR1" s="14">
        <f t="shared" ref="ADR1" si="712">ADQ1+1</f>
        <v>46018</v>
      </c>
      <c r="ADS1" s="14">
        <f t="shared" ref="ADS1" si="713">ADR1+1</f>
        <v>46019</v>
      </c>
      <c r="ADT1" s="14">
        <f t="shared" ref="ADT1" si="714">ADS1+1</f>
        <v>46020</v>
      </c>
      <c r="ADU1" s="14">
        <f t="shared" ref="ADU1" si="715">ADT1+1</f>
        <v>46021</v>
      </c>
      <c r="ADV1" s="14">
        <f t="shared" ref="ADV1" si="716">ADU1+1</f>
        <v>46022</v>
      </c>
      <c r="ADW1" s="14">
        <f t="shared" ref="ADW1" si="717">ADV1+1</f>
        <v>46023</v>
      </c>
      <c r="ADX1" s="14">
        <f t="shared" ref="ADX1" si="718">ADW1+1</f>
        <v>46024</v>
      </c>
      <c r="ADY1" s="14">
        <f t="shared" ref="ADY1" si="719">ADX1+1</f>
        <v>46025</v>
      </c>
      <c r="ADZ1" s="14">
        <f t="shared" ref="ADZ1" si="720">ADY1+1</f>
        <v>46026</v>
      </c>
      <c r="AEA1" s="14">
        <f t="shared" ref="AEA1" si="721">ADZ1+1</f>
        <v>46027</v>
      </c>
      <c r="AEB1" s="14">
        <f t="shared" ref="AEB1" si="722">AEA1+1</f>
        <v>46028</v>
      </c>
      <c r="AEC1" s="14">
        <f t="shared" ref="AEC1" si="723">AEB1+1</f>
        <v>46029</v>
      </c>
      <c r="AED1" s="14">
        <f t="shared" ref="AED1" si="724">AEC1+1</f>
        <v>46030</v>
      </c>
      <c r="AEE1" s="14">
        <f t="shared" ref="AEE1" si="725">AED1+1</f>
        <v>46031</v>
      </c>
      <c r="AEF1" s="14">
        <f t="shared" ref="AEF1" si="726">AEE1+1</f>
        <v>46032</v>
      </c>
      <c r="AEG1" s="14">
        <f t="shared" ref="AEG1" si="727">AEF1+1</f>
        <v>46033</v>
      </c>
      <c r="AEH1" s="14">
        <f t="shared" ref="AEH1" si="728">AEG1+1</f>
        <v>46034</v>
      </c>
      <c r="AEI1" s="14">
        <f t="shared" ref="AEI1" si="729">AEH1+1</f>
        <v>46035</v>
      </c>
      <c r="AEJ1" s="14">
        <f t="shared" ref="AEJ1" si="730">AEI1+1</f>
        <v>46036</v>
      </c>
      <c r="AEK1" s="14">
        <f t="shared" ref="AEK1" si="731">AEJ1+1</f>
        <v>46037</v>
      </c>
      <c r="AEL1" s="14">
        <f t="shared" ref="AEL1" si="732">AEK1+1</f>
        <v>46038</v>
      </c>
      <c r="AEM1" s="14">
        <f t="shared" ref="AEM1" si="733">AEL1+1</f>
        <v>46039</v>
      </c>
      <c r="AEN1" s="14">
        <f t="shared" ref="AEN1" si="734">AEM1+1</f>
        <v>46040</v>
      </c>
      <c r="AEO1" s="14">
        <f t="shared" ref="AEO1" si="735">AEN1+1</f>
        <v>46041</v>
      </c>
      <c r="AEP1" s="14">
        <f t="shared" ref="AEP1" si="736">AEO1+1</f>
        <v>46042</v>
      </c>
      <c r="AEQ1" s="14">
        <f t="shared" ref="AEQ1" si="737">AEP1+1</f>
        <v>46043</v>
      </c>
      <c r="AER1" s="14">
        <f t="shared" ref="AER1" si="738">AEQ1+1</f>
        <v>46044</v>
      </c>
      <c r="AES1" s="14">
        <f t="shared" ref="AES1" si="739">AER1+1</f>
        <v>46045</v>
      </c>
      <c r="AET1" s="14">
        <f t="shared" ref="AET1" si="740">AES1+1</f>
        <v>46046</v>
      </c>
      <c r="AEU1" s="14">
        <f t="shared" ref="AEU1" si="741">AET1+1</f>
        <v>46047</v>
      </c>
      <c r="AEV1" s="14">
        <f t="shared" ref="AEV1" si="742">AEU1+1</f>
        <v>46048</v>
      </c>
      <c r="AEW1" s="14">
        <f t="shared" ref="AEW1" si="743">AEV1+1</f>
        <v>46049</v>
      </c>
      <c r="AEX1" s="14">
        <f t="shared" ref="AEX1" si="744">AEW1+1</f>
        <v>46050</v>
      </c>
      <c r="AEY1" s="14">
        <f t="shared" ref="AEY1" si="745">AEX1+1</f>
        <v>46051</v>
      </c>
      <c r="AEZ1" s="14">
        <f t="shared" ref="AEZ1" si="746">AEY1+1</f>
        <v>46052</v>
      </c>
      <c r="AFA1" s="14">
        <f t="shared" ref="AFA1" si="747">AEZ1+1</f>
        <v>46053</v>
      </c>
      <c r="AFB1" s="14">
        <f t="shared" ref="AFB1" si="748">AFA1+1</f>
        <v>46054</v>
      </c>
      <c r="AFC1" s="14">
        <f t="shared" ref="AFC1" si="749">AFB1+1</f>
        <v>46055</v>
      </c>
      <c r="AFD1" s="14">
        <f t="shared" ref="AFD1" si="750">AFC1+1</f>
        <v>46056</v>
      </c>
      <c r="AFE1" s="14">
        <f t="shared" ref="AFE1" si="751">AFD1+1</f>
        <v>46057</v>
      </c>
      <c r="AFF1" s="14">
        <f t="shared" ref="AFF1" si="752">AFE1+1</f>
        <v>46058</v>
      </c>
      <c r="AFG1" s="14">
        <f t="shared" ref="AFG1" si="753">AFF1+1</f>
        <v>46059</v>
      </c>
      <c r="AFH1" s="14">
        <f t="shared" ref="AFH1" si="754">AFG1+1</f>
        <v>46060</v>
      </c>
      <c r="AFI1" s="14">
        <f t="shared" ref="AFI1" si="755">AFH1+1</f>
        <v>46061</v>
      </c>
      <c r="AFJ1" s="14">
        <f t="shared" ref="AFJ1" si="756">AFI1+1</f>
        <v>46062</v>
      </c>
      <c r="AFK1" s="14">
        <f t="shared" ref="AFK1" si="757">AFJ1+1</f>
        <v>46063</v>
      </c>
      <c r="AFL1" s="14">
        <f t="shared" ref="AFL1" si="758">AFK1+1</f>
        <v>46064</v>
      </c>
      <c r="AFM1" s="14">
        <f t="shared" ref="AFM1" si="759">AFL1+1</f>
        <v>46065</v>
      </c>
      <c r="AFN1" s="14">
        <f t="shared" ref="AFN1" si="760">AFM1+1</f>
        <v>46066</v>
      </c>
      <c r="AFO1" s="14">
        <f t="shared" ref="AFO1" si="761">AFN1+1</f>
        <v>46067</v>
      </c>
      <c r="AFP1" s="14">
        <f t="shared" ref="AFP1" si="762">AFO1+1</f>
        <v>46068</v>
      </c>
      <c r="AFQ1" s="14">
        <f t="shared" ref="AFQ1" si="763">AFP1+1</f>
        <v>46069</v>
      </c>
      <c r="AFR1" s="14">
        <f t="shared" ref="AFR1" si="764">AFQ1+1</f>
        <v>46070</v>
      </c>
      <c r="AFS1" s="14">
        <f t="shared" ref="AFS1" si="765">AFR1+1</f>
        <v>46071</v>
      </c>
      <c r="AFT1" s="14">
        <f t="shared" ref="AFT1" si="766">AFS1+1</f>
        <v>46072</v>
      </c>
      <c r="AFU1" s="14">
        <f t="shared" ref="AFU1" si="767">AFT1+1</f>
        <v>46073</v>
      </c>
      <c r="AFV1" s="14">
        <f t="shared" ref="AFV1" si="768">AFU1+1</f>
        <v>46074</v>
      </c>
      <c r="AFW1" s="14">
        <f t="shared" ref="AFW1" si="769">AFV1+1</f>
        <v>46075</v>
      </c>
      <c r="AFX1" s="14">
        <f t="shared" ref="AFX1" si="770">AFW1+1</f>
        <v>46076</v>
      </c>
      <c r="AFY1" s="14">
        <f t="shared" ref="AFY1" si="771">AFX1+1</f>
        <v>46077</v>
      </c>
      <c r="AFZ1" s="14">
        <f t="shared" ref="AFZ1" si="772">AFY1+1</f>
        <v>46078</v>
      </c>
      <c r="AGA1" s="14">
        <f t="shared" ref="AGA1" si="773">AFZ1+1</f>
        <v>46079</v>
      </c>
      <c r="AGB1" s="14">
        <f t="shared" ref="AGB1:AHM1" si="774">AGA1+1</f>
        <v>46080</v>
      </c>
      <c r="AGC1" s="14">
        <f t="shared" si="774"/>
        <v>46081</v>
      </c>
      <c r="AGD1" s="14">
        <f t="shared" si="774"/>
        <v>46082</v>
      </c>
      <c r="AGE1" s="14">
        <f t="shared" si="774"/>
        <v>46083</v>
      </c>
      <c r="AGF1" s="14">
        <f t="shared" si="774"/>
        <v>46084</v>
      </c>
      <c r="AGG1" s="14">
        <f t="shared" si="774"/>
        <v>46085</v>
      </c>
      <c r="AGH1" s="14">
        <f t="shared" si="774"/>
        <v>46086</v>
      </c>
      <c r="AGI1" s="14">
        <f t="shared" si="774"/>
        <v>46087</v>
      </c>
      <c r="AGJ1" s="14">
        <f t="shared" si="774"/>
        <v>46088</v>
      </c>
      <c r="AGK1" s="14">
        <f t="shared" si="774"/>
        <v>46089</v>
      </c>
      <c r="AGL1" s="14">
        <f t="shared" si="774"/>
        <v>46090</v>
      </c>
      <c r="AGM1" s="14">
        <f t="shared" si="774"/>
        <v>46091</v>
      </c>
      <c r="AGN1" s="14">
        <f t="shared" si="774"/>
        <v>46092</v>
      </c>
      <c r="AGO1" s="14">
        <f t="shared" si="774"/>
        <v>46093</v>
      </c>
      <c r="AGP1" s="14">
        <f t="shared" si="774"/>
        <v>46094</v>
      </c>
      <c r="AGQ1" s="14">
        <f t="shared" si="774"/>
        <v>46095</v>
      </c>
      <c r="AGR1" s="14">
        <f t="shared" si="774"/>
        <v>46096</v>
      </c>
      <c r="AGS1" s="14">
        <f t="shared" si="774"/>
        <v>46097</v>
      </c>
      <c r="AGT1" s="14">
        <f t="shared" si="774"/>
        <v>46098</v>
      </c>
      <c r="AGU1" s="14">
        <f t="shared" si="774"/>
        <v>46099</v>
      </c>
      <c r="AGV1" s="14">
        <f t="shared" si="774"/>
        <v>46100</v>
      </c>
      <c r="AGW1" s="14">
        <f t="shared" si="774"/>
        <v>46101</v>
      </c>
      <c r="AGX1" s="14">
        <f t="shared" si="774"/>
        <v>46102</v>
      </c>
      <c r="AGY1" s="14">
        <f t="shared" si="774"/>
        <v>46103</v>
      </c>
      <c r="AGZ1" s="14">
        <f t="shared" si="774"/>
        <v>46104</v>
      </c>
      <c r="AHA1" s="14">
        <f t="shared" si="774"/>
        <v>46105</v>
      </c>
      <c r="AHB1" s="14">
        <f t="shared" si="774"/>
        <v>46106</v>
      </c>
      <c r="AHC1" s="14">
        <f t="shared" si="774"/>
        <v>46107</v>
      </c>
      <c r="AHD1" s="14">
        <f t="shared" si="774"/>
        <v>46108</v>
      </c>
      <c r="AHE1" s="14">
        <f t="shared" si="774"/>
        <v>46109</v>
      </c>
      <c r="AHF1" s="14">
        <f t="shared" si="774"/>
        <v>46110</v>
      </c>
      <c r="AHG1" s="14">
        <f t="shared" si="774"/>
        <v>46111</v>
      </c>
      <c r="AHH1" s="14">
        <f t="shared" si="774"/>
        <v>46112</v>
      </c>
      <c r="AHI1" s="14">
        <f t="shared" si="774"/>
        <v>46113</v>
      </c>
      <c r="AHJ1" s="14">
        <f t="shared" si="774"/>
        <v>46114</v>
      </c>
      <c r="AHK1" s="14">
        <f t="shared" si="774"/>
        <v>46115</v>
      </c>
      <c r="AHL1" s="14">
        <f t="shared" si="774"/>
        <v>46116</v>
      </c>
      <c r="AHM1" s="14">
        <f t="shared" si="774"/>
        <v>46117</v>
      </c>
      <c r="AHN1" s="14">
        <f t="shared" ref="AHN1:AIS1" si="775">AHM1+1</f>
        <v>46118</v>
      </c>
      <c r="AHO1" s="14">
        <f t="shared" si="775"/>
        <v>46119</v>
      </c>
      <c r="AHP1" s="14">
        <f t="shared" si="775"/>
        <v>46120</v>
      </c>
      <c r="AHQ1" s="14">
        <f t="shared" si="775"/>
        <v>46121</v>
      </c>
      <c r="AHR1" s="14">
        <f t="shared" si="775"/>
        <v>46122</v>
      </c>
      <c r="AHS1" s="14">
        <f t="shared" si="775"/>
        <v>46123</v>
      </c>
      <c r="AHT1" s="14">
        <f t="shared" si="775"/>
        <v>46124</v>
      </c>
      <c r="AHU1" s="14">
        <f t="shared" si="775"/>
        <v>46125</v>
      </c>
      <c r="AHV1" s="14">
        <f t="shared" si="775"/>
        <v>46126</v>
      </c>
      <c r="AHW1" s="14">
        <f t="shared" si="775"/>
        <v>46127</v>
      </c>
      <c r="AHX1" s="14">
        <f t="shared" si="775"/>
        <v>46128</v>
      </c>
      <c r="AHY1" s="14">
        <f t="shared" si="775"/>
        <v>46129</v>
      </c>
      <c r="AHZ1" s="14">
        <f t="shared" si="775"/>
        <v>46130</v>
      </c>
      <c r="AIA1" s="14">
        <f t="shared" si="775"/>
        <v>46131</v>
      </c>
      <c r="AIB1" s="14">
        <f t="shared" si="775"/>
        <v>46132</v>
      </c>
      <c r="AIC1" s="14">
        <f t="shared" si="775"/>
        <v>46133</v>
      </c>
      <c r="AID1" s="14">
        <f t="shared" si="775"/>
        <v>46134</v>
      </c>
      <c r="AIE1" s="14">
        <f t="shared" si="775"/>
        <v>46135</v>
      </c>
      <c r="AIF1" s="14">
        <f t="shared" si="775"/>
        <v>46136</v>
      </c>
      <c r="AIG1" s="14">
        <f t="shared" si="775"/>
        <v>46137</v>
      </c>
      <c r="AIH1" s="14">
        <f t="shared" si="775"/>
        <v>46138</v>
      </c>
      <c r="AII1" s="14">
        <f t="shared" si="775"/>
        <v>46139</v>
      </c>
      <c r="AIJ1" s="14">
        <f t="shared" si="775"/>
        <v>46140</v>
      </c>
      <c r="AIK1" s="14">
        <f t="shared" si="775"/>
        <v>46141</v>
      </c>
      <c r="AIL1" s="14">
        <f t="shared" si="775"/>
        <v>46142</v>
      </c>
      <c r="AIM1" s="14">
        <f t="shared" si="775"/>
        <v>46143</v>
      </c>
      <c r="AIN1" s="14">
        <f t="shared" si="775"/>
        <v>46144</v>
      </c>
      <c r="AIO1" s="14">
        <f t="shared" si="775"/>
        <v>46145</v>
      </c>
      <c r="AIP1" s="14">
        <f t="shared" si="775"/>
        <v>46146</v>
      </c>
      <c r="AIQ1" s="14">
        <f t="shared" si="775"/>
        <v>46147</v>
      </c>
      <c r="AIR1" s="14">
        <f t="shared" si="775"/>
        <v>46148</v>
      </c>
      <c r="AIS1" s="14">
        <f t="shared" si="775"/>
        <v>46149</v>
      </c>
      <c r="AIT1" s="14">
        <f t="shared" ref="AIT1:AJY1" si="776">AIS1+1</f>
        <v>46150</v>
      </c>
      <c r="AIU1" s="14">
        <f t="shared" si="776"/>
        <v>46151</v>
      </c>
      <c r="AIV1" s="14">
        <f t="shared" si="776"/>
        <v>46152</v>
      </c>
      <c r="AIW1" s="14">
        <f t="shared" si="776"/>
        <v>46153</v>
      </c>
      <c r="AIX1" s="14">
        <f t="shared" si="776"/>
        <v>46154</v>
      </c>
      <c r="AIY1" s="14">
        <f t="shared" si="776"/>
        <v>46155</v>
      </c>
      <c r="AIZ1" s="14">
        <f t="shared" si="776"/>
        <v>46156</v>
      </c>
      <c r="AJA1" s="14">
        <f t="shared" si="776"/>
        <v>46157</v>
      </c>
      <c r="AJB1" s="14">
        <f t="shared" si="776"/>
        <v>46158</v>
      </c>
      <c r="AJC1" s="14">
        <f t="shared" si="776"/>
        <v>46159</v>
      </c>
      <c r="AJD1" s="14">
        <f t="shared" si="776"/>
        <v>46160</v>
      </c>
      <c r="AJE1" s="14">
        <f t="shared" si="776"/>
        <v>46161</v>
      </c>
      <c r="AJF1" s="14">
        <f t="shared" si="776"/>
        <v>46162</v>
      </c>
      <c r="AJG1" s="14">
        <f t="shared" si="776"/>
        <v>46163</v>
      </c>
      <c r="AJH1" s="14">
        <f t="shared" si="776"/>
        <v>46164</v>
      </c>
      <c r="AJI1" s="14">
        <f t="shared" si="776"/>
        <v>46165</v>
      </c>
      <c r="AJJ1" s="14">
        <f t="shared" si="776"/>
        <v>46166</v>
      </c>
      <c r="AJK1" s="14">
        <f t="shared" si="776"/>
        <v>46167</v>
      </c>
      <c r="AJL1" s="14">
        <f t="shared" si="776"/>
        <v>46168</v>
      </c>
      <c r="AJM1" s="14">
        <f t="shared" si="776"/>
        <v>46169</v>
      </c>
      <c r="AJN1" s="14">
        <f t="shared" si="776"/>
        <v>46170</v>
      </c>
      <c r="AJO1" s="14">
        <f t="shared" si="776"/>
        <v>46171</v>
      </c>
      <c r="AJP1" s="14">
        <f t="shared" si="776"/>
        <v>46172</v>
      </c>
      <c r="AJQ1" s="14">
        <f t="shared" si="776"/>
        <v>46173</v>
      </c>
      <c r="AJR1" s="14">
        <f t="shared" si="776"/>
        <v>46174</v>
      </c>
      <c r="AJS1" s="14">
        <f t="shared" si="776"/>
        <v>46175</v>
      </c>
      <c r="AJT1" s="14">
        <f t="shared" si="776"/>
        <v>46176</v>
      </c>
      <c r="AJU1" s="14">
        <f t="shared" si="776"/>
        <v>46177</v>
      </c>
      <c r="AJV1" s="14">
        <f t="shared" si="776"/>
        <v>46178</v>
      </c>
      <c r="AJW1" s="14">
        <f t="shared" si="776"/>
        <v>46179</v>
      </c>
      <c r="AJX1" s="14">
        <f t="shared" si="776"/>
        <v>46180</v>
      </c>
      <c r="AJY1" s="14">
        <f t="shared" si="776"/>
        <v>46181</v>
      </c>
      <c r="AJZ1" s="14">
        <f t="shared" ref="AJZ1:AKN1" si="777">AJY1+1</f>
        <v>46182</v>
      </c>
      <c r="AKA1" s="14">
        <f t="shared" si="777"/>
        <v>46183</v>
      </c>
      <c r="AKB1" s="14">
        <f t="shared" si="777"/>
        <v>46184</v>
      </c>
      <c r="AKC1" s="14">
        <f t="shared" si="777"/>
        <v>46185</v>
      </c>
      <c r="AKD1" s="14">
        <f t="shared" si="777"/>
        <v>46186</v>
      </c>
      <c r="AKE1" s="14">
        <f t="shared" si="777"/>
        <v>46187</v>
      </c>
      <c r="AKF1" s="14">
        <f t="shared" si="777"/>
        <v>46188</v>
      </c>
      <c r="AKG1" s="14">
        <f t="shared" si="777"/>
        <v>46189</v>
      </c>
      <c r="AKH1" s="14">
        <f t="shared" si="777"/>
        <v>46190</v>
      </c>
      <c r="AKI1" s="14">
        <f t="shared" si="777"/>
        <v>46191</v>
      </c>
      <c r="AKJ1" s="14">
        <f t="shared" si="777"/>
        <v>46192</v>
      </c>
      <c r="AKK1" s="14">
        <f t="shared" si="777"/>
        <v>46193</v>
      </c>
      <c r="AKL1" s="14">
        <f t="shared" si="777"/>
        <v>46194</v>
      </c>
      <c r="AKM1" s="14">
        <f t="shared" si="777"/>
        <v>46195</v>
      </c>
      <c r="AKN1" s="14">
        <f t="shared" si="777"/>
        <v>46196</v>
      </c>
    </row>
    <row r="2" spans="1:976" s="15" customFormat="1">
      <c r="C2" s="16">
        <v>82650</v>
      </c>
      <c r="D2" s="16" t="s">
        <v>147</v>
      </c>
      <c r="E2" s="16" t="s">
        <v>148</v>
      </c>
      <c r="K2" s="24">
        <f>SUM(K3:K10)</f>
        <v>651</v>
      </c>
      <c r="L2" s="24">
        <f t="shared" ref="L2:BW2" si="778">SUM(L3:L10)</f>
        <v>8865</v>
      </c>
      <c r="M2" s="24">
        <f t="shared" si="778"/>
        <v>17560</v>
      </c>
      <c r="N2" s="24">
        <f t="shared" si="778"/>
        <v>6126</v>
      </c>
      <c r="O2" s="24">
        <f t="shared" si="778"/>
        <v>2070</v>
      </c>
      <c r="P2" s="24">
        <f t="shared" si="778"/>
        <v>5431</v>
      </c>
      <c r="Q2" s="24">
        <f t="shared" si="778"/>
        <v>10573</v>
      </c>
      <c r="R2" s="24">
        <f t="shared" si="778"/>
        <v>12616</v>
      </c>
      <c r="S2" s="24">
        <f t="shared" si="778"/>
        <v>12230</v>
      </c>
      <c r="T2" s="24">
        <f t="shared" si="778"/>
        <v>9287</v>
      </c>
      <c r="U2" s="24">
        <f t="shared" si="778"/>
        <v>6021</v>
      </c>
      <c r="V2" s="24">
        <f t="shared" si="778"/>
        <v>7522</v>
      </c>
      <c r="W2" s="24">
        <f t="shared" si="778"/>
        <v>12600</v>
      </c>
      <c r="X2" s="24">
        <f t="shared" si="778"/>
        <v>9685</v>
      </c>
      <c r="Y2" s="24">
        <f t="shared" si="778"/>
        <v>10454</v>
      </c>
      <c r="Z2" s="24">
        <f t="shared" si="778"/>
        <v>13156</v>
      </c>
      <c r="AA2" s="24">
        <f t="shared" si="778"/>
        <v>13460</v>
      </c>
      <c r="AB2" s="24">
        <f t="shared" si="778"/>
        <v>7333</v>
      </c>
      <c r="AC2" s="24">
        <f t="shared" si="778"/>
        <v>2326</v>
      </c>
      <c r="AD2" s="24">
        <f t="shared" si="778"/>
        <v>9814</v>
      </c>
      <c r="AE2" s="24">
        <f t="shared" si="778"/>
        <v>5853</v>
      </c>
      <c r="AF2" s="24">
        <f t="shared" si="778"/>
        <v>8018</v>
      </c>
      <c r="AG2" s="24">
        <f t="shared" si="778"/>
        <v>7845</v>
      </c>
      <c r="AH2" s="24">
        <f t="shared" si="778"/>
        <v>8444</v>
      </c>
      <c r="AI2" s="24">
        <f t="shared" si="778"/>
        <v>3192</v>
      </c>
      <c r="AJ2" s="24">
        <f t="shared" si="778"/>
        <v>2614</v>
      </c>
      <c r="AK2" s="24">
        <f t="shared" si="778"/>
        <v>5698</v>
      </c>
      <c r="AL2" s="24">
        <f t="shared" si="778"/>
        <v>12555</v>
      </c>
      <c r="AM2" s="24">
        <f t="shared" si="778"/>
        <v>13892</v>
      </c>
      <c r="AN2" s="24">
        <f t="shared" si="778"/>
        <v>13893</v>
      </c>
      <c r="AO2" s="24">
        <f t="shared" si="778"/>
        <v>13545</v>
      </c>
      <c r="AP2" s="24">
        <f t="shared" si="778"/>
        <v>5459</v>
      </c>
      <c r="AQ2" s="24">
        <f t="shared" si="778"/>
        <v>2511</v>
      </c>
      <c r="AR2" s="24">
        <f t="shared" si="778"/>
        <v>13411</v>
      </c>
      <c r="AS2" s="24">
        <f t="shared" si="778"/>
        <v>5047</v>
      </c>
      <c r="AT2" s="24">
        <f t="shared" si="778"/>
        <v>7822</v>
      </c>
      <c r="AU2" s="24">
        <f t="shared" si="778"/>
        <v>13679</v>
      </c>
      <c r="AV2" s="24">
        <f t="shared" si="778"/>
        <v>12148</v>
      </c>
      <c r="AW2" s="24">
        <f t="shared" si="778"/>
        <v>9240</v>
      </c>
      <c r="AX2" s="24">
        <f t="shared" si="778"/>
        <v>2211</v>
      </c>
      <c r="AY2" s="24">
        <f t="shared" si="778"/>
        <v>1581</v>
      </c>
      <c r="AZ2" s="24">
        <f t="shared" si="778"/>
        <v>6164</v>
      </c>
      <c r="BA2" s="24">
        <f t="shared" si="778"/>
        <v>12705</v>
      </c>
      <c r="BB2" s="24">
        <f t="shared" si="778"/>
        <v>10946</v>
      </c>
      <c r="BC2" s="24">
        <f t="shared" si="778"/>
        <v>8615</v>
      </c>
      <c r="BD2" s="24">
        <f t="shared" si="778"/>
        <v>6483</v>
      </c>
      <c r="BE2" s="24">
        <f t="shared" si="778"/>
        <v>13946</v>
      </c>
      <c r="BF2" s="24">
        <f t="shared" si="778"/>
        <v>15048</v>
      </c>
      <c r="BG2" s="24">
        <f t="shared" si="778"/>
        <v>10184</v>
      </c>
      <c r="BH2" s="24">
        <f t="shared" si="778"/>
        <v>10594</v>
      </c>
      <c r="BI2" s="24">
        <f t="shared" si="778"/>
        <v>12277</v>
      </c>
      <c r="BJ2" s="24">
        <f t="shared" si="778"/>
        <v>7357</v>
      </c>
      <c r="BK2" s="24">
        <f t="shared" si="778"/>
        <v>9138</v>
      </c>
      <c r="BL2" s="24">
        <f t="shared" si="778"/>
        <v>2080</v>
      </c>
      <c r="BM2" s="24">
        <f t="shared" si="778"/>
        <v>4481</v>
      </c>
      <c r="BN2" s="24">
        <f t="shared" si="778"/>
        <v>10518</v>
      </c>
      <c r="BO2" s="24">
        <f t="shared" si="778"/>
        <v>6770</v>
      </c>
      <c r="BP2" s="24">
        <f t="shared" si="778"/>
        <v>9024</v>
      </c>
      <c r="BQ2" s="24">
        <f t="shared" si="778"/>
        <v>2247</v>
      </c>
      <c r="BR2" s="24">
        <f t="shared" si="778"/>
        <v>1815</v>
      </c>
      <c r="BS2" s="24">
        <f t="shared" si="778"/>
        <v>1446</v>
      </c>
      <c r="BT2" s="24">
        <f t="shared" si="778"/>
        <v>427</v>
      </c>
      <c r="BU2" s="24">
        <f t="shared" si="778"/>
        <v>1890</v>
      </c>
      <c r="BV2" s="24">
        <f t="shared" si="778"/>
        <v>16506</v>
      </c>
      <c r="BW2" s="24">
        <f t="shared" si="778"/>
        <v>5657</v>
      </c>
      <c r="BX2" s="24">
        <f t="shared" ref="BX2:CD2" si="779">SUM(BX3:BX10)</f>
        <v>5305</v>
      </c>
      <c r="BY2" s="24">
        <f t="shared" si="779"/>
        <v>5490</v>
      </c>
      <c r="BZ2" s="24">
        <f t="shared" si="779"/>
        <v>1873</v>
      </c>
      <c r="CA2" s="24">
        <f t="shared" si="779"/>
        <v>11194</v>
      </c>
      <c r="CB2" s="24">
        <f t="shared" si="779"/>
        <v>9572</v>
      </c>
      <c r="CC2" s="24">
        <f t="shared" si="779"/>
        <v>9100</v>
      </c>
      <c r="CD2" s="24">
        <f t="shared" si="779"/>
        <v>7467</v>
      </c>
      <c r="CE2" s="24">
        <f>SUM(CE3:CE10)</f>
        <v>5888</v>
      </c>
      <c r="CF2" s="24">
        <f>SUM(CF3:CF10)</f>
        <v>4789</v>
      </c>
      <c r="CG2" s="24">
        <f>SUM(CG3:CG10)</f>
        <v>1627</v>
      </c>
      <c r="CH2" s="24">
        <f>SUM(CH3:CH10)</f>
        <v>1901</v>
      </c>
      <c r="CI2" s="24">
        <f t="shared" ref="CI2:DQ2" si="780">SUM(CI3:CI10)</f>
        <v>7362</v>
      </c>
      <c r="CJ2" s="24">
        <f t="shared" si="780"/>
        <v>8902</v>
      </c>
      <c r="CK2" s="24">
        <f t="shared" si="780"/>
        <v>5874</v>
      </c>
      <c r="CL2" s="24">
        <f t="shared" si="780"/>
        <v>8162</v>
      </c>
      <c r="CM2" s="24">
        <f t="shared" si="780"/>
        <v>2356</v>
      </c>
      <c r="CN2" s="24">
        <f t="shared" si="780"/>
        <v>375</v>
      </c>
      <c r="CO2" s="24">
        <f t="shared" si="780"/>
        <v>4211</v>
      </c>
      <c r="CP2" s="24">
        <f t="shared" si="780"/>
        <v>10082</v>
      </c>
      <c r="CQ2" s="24">
        <f t="shared" si="780"/>
        <v>9085</v>
      </c>
      <c r="CR2" s="24">
        <f t="shared" si="780"/>
        <v>10156</v>
      </c>
      <c r="CS2" s="24">
        <f t="shared" si="780"/>
        <v>10139</v>
      </c>
      <c r="CT2" s="24">
        <f t="shared" si="780"/>
        <v>7311</v>
      </c>
      <c r="CU2" s="24">
        <f t="shared" si="780"/>
        <v>2356</v>
      </c>
      <c r="CV2" s="24">
        <f t="shared" si="780"/>
        <v>7402</v>
      </c>
      <c r="CW2" s="24">
        <f t="shared" si="780"/>
        <v>8598</v>
      </c>
      <c r="CX2" s="24">
        <f t="shared" si="780"/>
        <v>6242</v>
      </c>
      <c r="CY2" s="24">
        <f t="shared" si="780"/>
        <v>3981</v>
      </c>
      <c r="CZ2" s="24">
        <f t="shared" si="780"/>
        <v>6198</v>
      </c>
      <c r="DA2" s="24">
        <f t="shared" si="780"/>
        <v>3611</v>
      </c>
      <c r="DB2" s="24">
        <f t="shared" si="780"/>
        <v>976</v>
      </c>
      <c r="DC2" s="24">
        <f t="shared" si="780"/>
        <v>7315</v>
      </c>
      <c r="DD2" s="24">
        <f t="shared" si="780"/>
        <v>9509</v>
      </c>
      <c r="DE2" s="24">
        <f t="shared" si="780"/>
        <v>6268</v>
      </c>
      <c r="DF2" s="24">
        <f t="shared" si="780"/>
        <v>9594</v>
      </c>
      <c r="DG2" s="24">
        <f t="shared" si="780"/>
        <v>7435</v>
      </c>
      <c r="DH2" s="24">
        <f t="shared" si="780"/>
        <v>6296</v>
      </c>
      <c r="DI2" s="24">
        <f t="shared" si="780"/>
        <v>0</v>
      </c>
      <c r="DJ2" s="24">
        <f t="shared" si="780"/>
        <v>9331</v>
      </c>
      <c r="DK2" s="24">
        <f t="shared" si="780"/>
        <v>9187</v>
      </c>
      <c r="DL2" s="24">
        <f t="shared" si="780"/>
        <v>13556</v>
      </c>
      <c r="DM2" s="24">
        <f t="shared" si="780"/>
        <v>10625</v>
      </c>
      <c r="DN2" s="24">
        <f t="shared" si="780"/>
        <v>7973</v>
      </c>
      <c r="DO2" s="24">
        <f t="shared" si="780"/>
        <v>1946</v>
      </c>
      <c r="DP2" s="24">
        <f t="shared" si="780"/>
        <v>0</v>
      </c>
      <c r="DQ2" s="24">
        <f t="shared" si="780"/>
        <v>5923</v>
      </c>
      <c r="AAY2" s="111"/>
      <c r="ABE2" s="119"/>
    </row>
    <row r="3" spans="1:976" s="90" customFormat="1">
      <c r="A3" s="88">
        <v>1</v>
      </c>
      <c r="B3" s="90" t="s">
        <v>149</v>
      </c>
      <c r="C3" s="89">
        <v>82652</v>
      </c>
      <c r="D3" s="108" t="s">
        <v>147</v>
      </c>
      <c r="E3" s="108" t="s">
        <v>150</v>
      </c>
      <c r="F3" s="89" t="s">
        <v>11</v>
      </c>
      <c r="G3" s="89" t="s">
        <v>33</v>
      </c>
      <c r="H3" s="89" t="s">
        <v>150</v>
      </c>
      <c r="I3" s="89" t="s">
        <v>151</v>
      </c>
      <c r="J3" s="89" t="s">
        <v>46</v>
      </c>
      <c r="K3" s="91">
        <v>459</v>
      </c>
      <c r="L3" s="91">
        <v>3540</v>
      </c>
      <c r="M3" s="91">
        <v>11442</v>
      </c>
      <c r="N3" s="91">
        <v>0</v>
      </c>
      <c r="O3" s="91" t="s">
        <v>38</v>
      </c>
      <c r="P3" s="91">
        <v>849</v>
      </c>
      <c r="Q3" s="91">
        <v>2347</v>
      </c>
      <c r="R3" s="91">
        <v>4847</v>
      </c>
      <c r="S3" s="91">
        <v>3694</v>
      </c>
      <c r="T3" s="91">
        <v>1516</v>
      </c>
      <c r="U3" s="91" t="s">
        <v>38</v>
      </c>
      <c r="V3" s="91" t="s">
        <v>38</v>
      </c>
      <c r="W3" s="91">
        <v>2308</v>
      </c>
      <c r="X3" s="91">
        <v>1789</v>
      </c>
      <c r="Y3" s="91">
        <v>407</v>
      </c>
      <c r="Z3" s="91">
        <v>2599</v>
      </c>
      <c r="AA3" s="91">
        <v>1551</v>
      </c>
      <c r="AB3" s="91">
        <v>0</v>
      </c>
      <c r="AC3" s="91" t="s">
        <v>38</v>
      </c>
      <c r="AD3" s="91">
        <v>1568</v>
      </c>
      <c r="AE3" s="91">
        <v>1275</v>
      </c>
      <c r="AF3" s="91">
        <v>1899</v>
      </c>
      <c r="AG3" s="91">
        <v>1397</v>
      </c>
      <c r="AH3" s="91">
        <v>835</v>
      </c>
      <c r="AI3" s="91">
        <v>0</v>
      </c>
      <c r="AJ3" s="91" t="s">
        <v>38</v>
      </c>
      <c r="AK3" s="91">
        <v>860</v>
      </c>
      <c r="AL3" s="91">
        <v>4013</v>
      </c>
      <c r="AM3" s="91">
        <v>3394</v>
      </c>
      <c r="AN3" s="91">
        <v>1561</v>
      </c>
      <c r="AO3" s="91">
        <v>5584</v>
      </c>
      <c r="AP3" s="91">
        <v>0</v>
      </c>
      <c r="AQ3" s="91" t="s">
        <v>38</v>
      </c>
      <c r="AR3" s="91">
        <v>3250</v>
      </c>
      <c r="AS3" s="91" t="s">
        <v>38</v>
      </c>
      <c r="AT3" s="91">
        <v>162</v>
      </c>
      <c r="AU3" s="91">
        <v>1978</v>
      </c>
      <c r="AV3" s="91">
        <v>2488</v>
      </c>
      <c r="AW3" s="91">
        <v>0</v>
      </c>
      <c r="AX3" s="91" t="s">
        <v>38</v>
      </c>
      <c r="AY3" s="91">
        <v>534</v>
      </c>
      <c r="AZ3" s="91">
        <v>76</v>
      </c>
      <c r="BA3" s="91">
        <v>1309</v>
      </c>
      <c r="BB3" s="91">
        <v>1767</v>
      </c>
      <c r="BC3" s="91">
        <v>236</v>
      </c>
      <c r="BD3" s="91">
        <v>0</v>
      </c>
      <c r="BE3" s="91">
        <v>0</v>
      </c>
      <c r="BF3" s="91">
        <v>887</v>
      </c>
      <c r="BG3" s="91">
        <v>1956</v>
      </c>
      <c r="BH3" s="91">
        <v>2664</v>
      </c>
      <c r="BI3" s="90">
        <v>4617</v>
      </c>
      <c r="BJ3" s="90">
        <v>1913</v>
      </c>
      <c r="BK3" s="90">
        <v>0</v>
      </c>
      <c r="BL3" s="90" t="s">
        <v>38</v>
      </c>
      <c r="BM3" s="90">
        <v>2391</v>
      </c>
      <c r="BN3" s="90">
        <v>3111</v>
      </c>
      <c r="BO3" s="90">
        <v>681</v>
      </c>
      <c r="BP3" s="90">
        <v>1475</v>
      </c>
      <c r="BQ3" s="90">
        <v>0</v>
      </c>
      <c r="BR3" s="90" t="s">
        <v>38</v>
      </c>
      <c r="BS3" s="90" t="s">
        <v>38</v>
      </c>
      <c r="BT3" s="90" t="s">
        <v>38</v>
      </c>
      <c r="BU3" s="90" t="s">
        <v>38</v>
      </c>
      <c r="BV3" s="90">
        <v>131</v>
      </c>
      <c r="BW3" s="90">
        <v>939</v>
      </c>
      <c r="BX3" s="90">
        <v>912</v>
      </c>
      <c r="BY3" s="90">
        <v>0</v>
      </c>
      <c r="BZ3" s="90" t="s">
        <v>38</v>
      </c>
      <c r="CA3" s="90">
        <v>5049</v>
      </c>
      <c r="CB3" s="90">
        <v>2702</v>
      </c>
      <c r="CC3" s="90">
        <v>4204</v>
      </c>
      <c r="CD3" s="90">
        <v>3004</v>
      </c>
      <c r="CE3" s="90">
        <v>1999</v>
      </c>
      <c r="CF3" s="90">
        <v>0</v>
      </c>
      <c r="CG3" s="90" t="s">
        <v>38</v>
      </c>
      <c r="CH3" s="90">
        <v>380</v>
      </c>
      <c r="CI3" s="90">
        <v>310</v>
      </c>
      <c r="CJ3" s="90">
        <v>1818</v>
      </c>
      <c r="CK3" s="90">
        <v>1245</v>
      </c>
      <c r="CL3" s="90">
        <v>3509</v>
      </c>
      <c r="CM3" s="90" t="s">
        <v>38</v>
      </c>
      <c r="CN3" s="90" t="s">
        <v>38</v>
      </c>
      <c r="CO3" s="90">
        <v>1673</v>
      </c>
      <c r="CP3" s="90">
        <v>2979</v>
      </c>
      <c r="CQ3" s="90">
        <v>1433</v>
      </c>
      <c r="CR3" s="90">
        <v>2435</v>
      </c>
      <c r="CS3" s="90">
        <v>2235</v>
      </c>
      <c r="CT3" s="90">
        <v>0</v>
      </c>
      <c r="CU3" s="90">
        <v>0</v>
      </c>
      <c r="CV3" s="90">
        <v>2917</v>
      </c>
      <c r="CW3" s="90">
        <v>3859</v>
      </c>
      <c r="CX3" s="90">
        <v>500</v>
      </c>
      <c r="CY3" s="90">
        <v>162</v>
      </c>
      <c r="CZ3" s="90">
        <v>2245</v>
      </c>
      <c r="DA3" s="90" t="s">
        <v>38</v>
      </c>
      <c r="DB3" s="90">
        <v>0</v>
      </c>
      <c r="DC3" s="90">
        <v>1532</v>
      </c>
      <c r="DD3" s="90">
        <v>2741</v>
      </c>
      <c r="DE3" s="90">
        <v>787</v>
      </c>
      <c r="DF3" s="90">
        <v>2575</v>
      </c>
      <c r="DG3" s="90">
        <v>1650</v>
      </c>
      <c r="DH3" s="90">
        <v>0</v>
      </c>
      <c r="DI3" s="90" t="s">
        <v>38</v>
      </c>
      <c r="DJ3" s="90">
        <v>320</v>
      </c>
      <c r="DK3" s="90">
        <v>2056</v>
      </c>
      <c r="DL3" s="90">
        <v>4880</v>
      </c>
      <c r="DM3" s="90">
        <v>1645</v>
      </c>
      <c r="DN3" s="90">
        <v>1250</v>
      </c>
      <c r="DO3" s="90" t="s">
        <v>38</v>
      </c>
      <c r="DQ3" s="90">
        <v>206</v>
      </c>
      <c r="DR3" s="90">
        <v>1635</v>
      </c>
      <c r="DS3" s="90">
        <v>4896</v>
      </c>
      <c r="DT3" s="90">
        <v>4582</v>
      </c>
      <c r="DU3" s="90">
        <v>691</v>
      </c>
      <c r="DX3" s="90">
        <v>145</v>
      </c>
      <c r="DY3" s="90">
        <v>4223</v>
      </c>
      <c r="DZ3" s="90">
        <v>6130</v>
      </c>
      <c r="EA3" s="90">
        <v>3628</v>
      </c>
      <c r="EB3" s="90">
        <v>84</v>
      </c>
      <c r="EE3" s="90">
        <v>806</v>
      </c>
      <c r="EF3" s="90">
        <v>4314</v>
      </c>
      <c r="EG3" s="90">
        <v>2340</v>
      </c>
      <c r="EH3" s="90">
        <v>2634</v>
      </c>
      <c r="EI3" s="90">
        <v>1062</v>
      </c>
      <c r="EL3" s="90">
        <v>612</v>
      </c>
      <c r="EM3" s="90">
        <v>2256</v>
      </c>
      <c r="EN3" s="90">
        <v>1064</v>
      </c>
      <c r="EO3" s="90">
        <v>978</v>
      </c>
      <c r="EP3" s="90">
        <v>1451</v>
      </c>
      <c r="ES3" s="90">
        <v>3118</v>
      </c>
      <c r="ET3" s="90">
        <v>1534</v>
      </c>
      <c r="EU3" s="90">
        <v>1285</v>
      </c>
      <c r="EV3" s="90">
        <v>2303</v>
      </c>
      <c r="EW3" s="90">
        <v>1906</v>
      </c>
      <c r="EZ3" s="90">
        <v>2026</v>
      </c>
      <c r="FA3" s="90">
        <v>2443</v>
      </c>
      <c r="FB3" s="90">
        <v>2465</v>
      </c>
      <c r="FC3" s="90">
        <v>6080</v>
      </c>
      <c r="FD3" s="90">
        <v>1050</v>
      </c>
      <c r="FG3" s="90">
        <v>8</v>
      </c>
      <c r="FH3" s="90">
        <v>636</v>
      </c>
      <c r="FI3" s="90">
        <v>478</v>
      </c>
      <c r="FJ3" s="90">
        <v>1410</v>
      </c>
      <c r="FK3" s="90">
        <v>936</v>
      </c>
      <c r="FO3" s="90">
        <v>933</v>
      </c>
      <c r="FP3" s="90">
        <v>808</v>
      </c>
      <c r="FQ3" s="90">
        <v>4079</v>
      </c>
      <c r="FR3" s="90">
        <v>356</v>
      </c>
      <c r="FW3" s="90">
        <v>304</v>
      </c>
      <c r="FX3" s="90">
        <v>5172</v>
      </c>
      <c r="FY3" s="90">
        <v>4557</v>
      </c>
      <c r="GB3" s="90">
        <v>1140</v>
      </c>
      <c r="GC3" s="90">
        <v>2579</v>
      </c>
      <c r="GD3" s="90">
        <v>6978</v>
      </c>
      <c r="GE3" s="90">
        <v>4319</v>
      </c>
      <c r="GF3" s="90">
        <v>936</v>
      </c>
      <c r="GI3" s="90">
        <v>22232</v>
      </c>
      <c r="GJ3" s="90">
        <v>873</v>
      </c>
      <c r="GL3" s="90">
        <v>1305</v>
      </c>
      <c r="GM3" s="90">
        <v>1895</v>
      </c>
      <c r="GQ3" s="90">
        <v>1427</v>
      </c>
      <c r="GR3" s="90">
        <v>4900</v>
      </c>
      <c r="GS3" s="90">
        <v>4633</v>
      </c>
      <c r="GT3" s="90">
        <v>7250</v>
      </c>
      <c r="GW3" s="90">
        <v>1279</v>
      </c>
      <c r="GX3" s="90">
        <v>3319</v>
      </c>
      <c r="GY3" s="90">
        <v>1982</v>
      </c>
      <c r="GZ3" s="90">
        <v>1114</v>
      </c>
      <c r="HA3" s="90">
        <v>2532</v>
      </c>
      <c r="HD3" s="90">
        <v>2114</v>
      </c>
      <c r="HE3" s="90">
        <v>2348</v>
      </c>
      <c r="HG3" s="90">
        <v>6735</v>
      </c>
      <c r="HH3" s="90">
        <v>1970</v>
      </c>
      <c r="HK3" s="90">
        <v>536</v>
      </c>
      <c r="HL3" s="90">
        <v>2996</v>
      </c>
      <c r="HM3" s="90">
        <v>1451</v>
      </c>
      <c r="HN3" s="90">
        <v>6544</v>
      </c>
      <c r="HO3" s="90">
        <v>1423</v>
      </c>
      <c r="HS3" s="90">
        <v>14</v>
      </c>
      <c r="HT3" s="90">
        <v>5503</v>
      </c>
      <c r="HU3" s="90">
        <v>7281</v>
      </c>
      <c r="HV3" s="90">
        <v>4537</v>
      </c>
      <c r="HY3" s="90">
        <v>2960</v>
      </c>
      <c r="HZ3" s="90">
        <v>460</v>
      </c>
      <c r="IA3" s="90">
        <v>3228</v>
      </c>
      <c r="IB3" s="90">
        <v>1619</v>
      </c>
      <c r="IC3" s="90">
        <v>5348</v>
      </c>
      <c r="IG3" s="90">
        <v>5795</v>
      </c>
      <c r="IH3" s="90">
        <v>983</v>
      </c>
      <c r="II3" s="90">
        <v>4372</v>
      </c>
      <c r="IJ3" s="90">
        <v>4553</v>
      </c>
      <c r="IM3" s="90">
        <v>1366</v>
      </c>
      <c r="IN3" s="90">
        <v>2386</v>
      </c>
      <c r="IO3" s="90">
        <v>4163</v>
      </c>
      <c r="IP3" s="90">
        <v>2201</v>
      </c>
      <c r="IQ3" s="90">
        <v>312</v>
      </c>
      <c r="IT3" s="90">
        <v>989</v>
      </c>
      <c r="IU3" s="90">
        <v>472</v>
      </c>
      <c r="IV3" s="90">
        <v>955</v>
      </c>
      <c r="IW3" s="90">
        <v>3200</v>
      </c>
      <c r="IX3" s="90">
        <v>2602</v>
      </c>
      <c r="IY3" s="90">
        <v>670</v>
      </c>
      <c r="JA3" s="90">
        <v>1269</v>
      </c>
      <c r="JB3" s="90">
        <v>755</v>
      </c>
      <c r="JC3" s="90">
        <v>7878</v>
      </c>
      <c r="JD3" s="90">
        <v>6762</v>
      </c>
      <c r="JE3" s="90">
        <v>3770</v>
      </c>
      <c r="JH3" s="90">
        <v>2236</v>
      </c>
      <c r="JI3" s="90">
        <v>826</v>
      </c>
      <c r="JJ3" s="90">
        <v>1639</v>
      </c>
      <c r="JK3" s="90">
        <v>3674</v>
      </c>
      <c r="JL3" s="90">
        <v>4734</v>
      </c>
      <c r="JO3" s="90">
        <v>960</v>
      </c>
      <c r="JP3" s="90">
        <v>2624</v>
      </c>
      <c r="JQ3" s="90">
        <v>1026</v>
      </c>
      <c r="JR3" s="90">
        <v>2617</v>
      </c>
      <c r="JS3" s="90">
        <v>2621</v>
      </c>
      <c r="JW3" s="90">
        <v>4685</v>
      </c>
      <c r="JX3" s="90">
        <v>3160</v>
      </c>
      <c r="JY3" s="90">
        <v>185</v>
      </c>
      <c r="JZ3" s="90">
        <v>2477</v>
      </c>
      <c r="KC3" s="90">
        <v>3688</v>
      </c>
      <c r="KD3" s="90">
        <v>1213</v>
      </c>
      <c r="KE3" s="90">
        <v>4840</v>
      </c>
      <c r="KF3" s="90">
        <v>6543</v>
      </c>
      <c r="KG3" s="90">
        <v>1620</v>
      </c>
      <c r="KK3" s="90">
        <v>1710</v>
      </c>
      <c r="KL3" s="90">
        <v>1884</v>
      </c>
      <c r="KM3" s="90">
        <v>2889</v>
      </c>
      <c r="KN3" s="90">
        <v>1333</v>
      </c>
      <c r="KO3" s="90">
        <v>24</v>
      </c>
      <c r="KP3" s="90">
        <v>13</v>
      </c>
      <c r="KT3" s="90">
        <v>5257</v>
      </c>
      <c r="KU3" s="90">
        <v>6438</v>
      </c>
      <c r="KV3" s="90">
        <v>6</v>
      </c>
      <c r="KW3" s="90">
        <v>25</v>
      </c>
      <c r="KX3" s="90">
        <v>6973</v>
      </c>
      <c r="KY3" s="90">
        <v>3655</v>
      </c>
      <c r="KZ3" s="90">
        <v>917</v>
      </c>
      <c r="LA3" s="90">
        <v>1014</v>
      </c>
      <c r="LB3" s="90">
        <v>877</v>
      </c>
      <c r="LE3" s="90">
        <v>632</v>
      </c>
      <c r="LF3" s="90">
        <v>4025</v>
      </c>
      <c r="LG3" s="90">
        <v>1602</v>
      </c>
      <c r="LH3" s="90">
        <v>6373</v>
      </c>
      <c r="LI3" s="90">
        <v>5150</v>
      </c>
      <c r="LL3" s="90">
        <v>5004</v>
      </c>
      <c r="LM3" s="90">
        <v>681</v>
      </c>
      <c r="LN3" s="90">
        <v>2772</v>
      </c>
      <c r="LO3" s="90">
        <v>2878</v>
      </c>
      <c r="LP3" s="90">
        <v>2960</v>
      </c>
      <c r="LS3" s="90">
        <v>3099</v>
      </c>
      <c r="LT3" s="90">
        <v>1314</v>
      </c>
      <c r="LU3" s="90">
        <v>180</v>
      </c>
      <c r="LV3" s="90">
        <v>3747</v>
      </c>
      <c r="LW3" s="90">
        <v>5149</v>
      </c>
      <c r="LZ3" s="90">
        <v>5377</v>
      </c>
      <c r="MA3" s="90">
        <v>4301</v>
      </c>
      <c r="MB3" s="90">
        <v>2501</v>
      </c>
      <c r="MC3" s="90">
        <v>1409</v>
      </c>
      <c r="MD3" s="90">
        <v>3078</v>
      </c>
      <c r="MG3" s="90">
        <v>636</v>
      </c>
      <c r="MH3" s="90">
        <v>155</v>
      </c>
      <c r="MI3" s="90">
        <v>1127</v>
      </c>
      <c r="MJ3" s="90">
        <v>2086</v>
      </c>
      <c r="MK3" s="90">
        <v>3934</v>
      </c>
      <c r="MN3" s="90">
        <v>3773</v>
      </c>
      <c r="MO3" s="90">
        <v>2936</v>
      </c>
      <c r="MP3" s="90">
        <v>4498</v>
      </c>
      <c r="MQ3" s="90">
        <v>2524</v>
      </c>
      <c r="MR3" s="90">
        <v>4679</v>
      </c>
      <c r="MT3" s="90">
        <v>28</v>
      </c>
      <c r="MV3" s="90">
        <v>4356</v>
      </c>
      <c r="MW3" s="90">
        <v>2435</v>
      </c>
      <c r="MX3" s="90">
        <v>1867</v>
      </c>
      <c r="MY3" s="90">
        <v>2024</v>
      </c>
      <c r="NB3" s="90">
        <v>2986</v>
      </c>
      <c r="NC3" s="90">
        <v>1744</v>
      </c>
      <c r="NE3" s="90">
        <v>2356</v>
      </c>
      <c r="NF3" s="90">
        <v>3717</v>
      </c>
      <c r="NI3" s="90">
        <v>4986</v>
      </c>
      <c r="NJ3" s="90">
        <v>5074</v>
      </c>
      <c r="NK3" s="90">
        <v>8885</v>
      </c>
      <c r="NL3" s="90">
        <v>3738</v>
      </c>
      <c r="NM3" s="90">
        <v>8230</v>
      </c>
      <c r="NP3" s="90">
        <v>1602</v>
      </c>
      <c r="NQ3" s="90">
        <v>586</v>
      </c>
      <c r="NR3" s="90">
        <v>6786</v>
      </c>
      <c r="NS3" s="90">
        <v>3636</v>
      </c>
      <c r="NT3" s="90">
        <v>3438</v>
      </c>
      <c r="NW3" s="90">
        <v>4590</v>
      </c>
      <c r="NX3" s="90">
        <v>2119</v>
      </c>
      <c r="NY3" s="90">
        <v>652</v>
      </c>
      <c r="NZ3" s="90">
        <v>3551</v>
      </c>
      <c r="OA3" s="90">
        <v>6987</v>
      </c>
      <c r="OD3" s="90">
        <v>4490</v>
      </c>
      <c r="OE3" s="90">
        <v>4855</v>
      </c>
      <c r="OF3" s="90">
        <v>7020</v>
      </c>
      <c r="OG3" s="90">
        <v>11553</v>
      </c>
      <c r="OH3" s="90">
        <v>679</v>
      </c>
      <c r="ON3" s="90">
        <v>5927</v>
      </c>
      <c r="OO3" s="90">
        <v>4169</v>
      </c>
      <c r="OR3" s="90">
        <v>1615</v>
      </c>
      <c r="OS3" s="90">
        <v>1877</v>
      </c>
      <c r="OT3" s="90">
        <v>5527</v>
      </c>
      <c r="OV3" s="90">
        <v>5176</v>
      </c>
      <c r="OY3" s="90">
        <v>8153</v>
      </c>
      <c r="OZ3" s="90">
        <v>3629</v>
      </c>
      <c r="PA3" s="90">
        <v>1069</v>
      </c>
      <c r="PB3" s="90">
        <v>1422</v>
      </c>
      <c r="PC3" s="90">
        <v>2258</v>
      </c>
      <c r="PF3" s="90">
        <v>1310</v>
      </c>
      <c r="PG3" s="90">
        <v>2336</v>
      </c>
      <c r="PH3" s="90">
        <v>3919</v>
      </c>
      <c r="PI3" s="90">
        <v>5010</v>
      </c>
      <c r="PJ3" s="90">
        <v>5039</v>
      </c>
      <c r="PM3" s="90">
        <v>4024</v>
      </c>
      <c r="PN3" s="90">
        <v>4317</v>
      </c>
      <c r="PO3" s="90">
        <v>4606</v>
      </c>
      <c r="PP3" s="90">
        <v>2568</v>
      </c>
      <c r="PQ3" s="90">
        <v>658</v>
      </c>
      <c r="PW3" s="90">
        <v>14</v>
      </c>
      <c r="PX3" s="90">
        <v>837</v>
      </c>
      <c r="QA3" s="90">
        <v>814</v>
      </c>
      <c r="QB3" s="90">
        <v>3640</v>
      </c>
      <c r="QC3" s="90">
        <v>42</v>
      </c>
      <c r="QD3" s="90">
        <v>5241</v>
      </c>
      <c r="QE3" s="90">
        <v>5537</v>
      </c>
      <c r="QH3" s="90">
        <v>4337</v>
      </c>
      <c r="QI3" s="90">
        <v>4016</v>
      </c>
      <c r="QJ3" s="90">
        <v>1831</v>
      </c>
      <c r="QK3" s="90">
        <v>1630</v>
      </c>
      <c r="QL3" s="90">
        <v>2489</v>
      </c>
      <c r="QO3" s="90">
        <v>5189</v>
      </c>
      <c r="QP3" s="90">
        <v>2076</v>
      </c>
      <c r="QQ3" s="90">
        <v>3262</v>
      </c>
      <c r="QR3" s="90">
        <v>3227</v>
      </c>
      <c r="QS3" s="90">
        <v>2399</v>
      </c>
      <c r="QV3" s="90">
        <v>5221</v>
      </c>
      <c r="QW3" s="90">
        <v>3527</v>
      </c>
      <c r="QX3" s="90">
        <v>1431</v>
      </c>
      <c r="QY3" s="90">
        <v>5248</v>
      </c>
      <c r="QZ3" s="90">
        <v>5776</v>
      </c>
      <c r="RA3" s="90">
        <v>269</v>
      </c>
      <c r="RC3" s="90">
        <v>1414</v>
      </c>
      <c r="RD3" s="90">
        <v>3838</v>
      </c>
      <c r="RE3" s="90">
        <v>3773</v>
      </c>
      <c r="RF3" s="90">
        <v>3453</v>
      </c>
      <c r="RG3" s="90">
        <v>3774</v>
      </c>
      <c r="RJ3" s="90">
        <v>4994</v>
      </c>
      <c r="RK3" s="90">
        <v>766</v>
      </c>
      <c r="RL3" s="90">
        <v>1233</v>
      </c>
      <c r="RM3" s="90">
        <v>4888</v>
      </c>
      <c r="RN3" s="90">
        <v>1821</v>
      </c>
      <c r="RQ3" s="90">
        <v>604</v>
      </c>
      <c r="RR3" s="90">
        <v>1114</v>
      </c>
      <c r="RS3" s="90">
        <v>5153</v>
      </c>
      <c r="RT3" s="90">
        <v>5770</v>
      </c>
      <c r="RU3" s="90">
        <v>2652</v>
      </c>
      <c r="RX3" s="90">
        <v>3516</v>
      </c>
      <c r="RY3" s="90">
        <v>1986</v>
      </c>
      <c r="RZ3" s="90">
        <v>1666</v>
      </c>
      <c r="SA3" s="90">
        <v>2490</v>
      </c>
      <c r="SB3" s="90">
        <v>4757</v>
      </c>
      <c r="SE3" s="90">
        <v>2818</v>
      </c>
      <c r="SF3" s="90">
        <v>1488</v>
      </c>
      <c r="SG3" s="90">
        <v>3193</v>
      </c>
      <c r="SH3" s="90">
        <v>1880</v>
      </c>
      <c r="SI3" s="90">
        <v>1312</v>
      </c>
      <c r="SL3" s="90">
        <v>1607</v>
      </c>
      <c r="SM3" s="90">
        <v>1939</v>
      </c>
      <c r="SN3" s="90">
        <v>1224</v>
      </c>
      <c r="SO3" s="90">
        <v>4896</v>
      </c>
      <c r="SP3" s="90">
        <v>6563</v>
      </c>
      <c r="SS3" s="90">
        <v>3473</v>
      </c>
      <c r="ST3" s="90">
        <v>641</v>
      </c>
      <c r="SU3" s="90">
        <v>5113</v>
      </c>
      <c r="SV3" s="90">
        <v>4285</v>
      </c>
      <c r="SW3" s="90">
        <v>3161</v>
      </c>
      <c r="SZ3" s="90">
        <v>4492</v>
      </c>
      <c r="TA3" s="90">
        <v>5192</v>
      </c>
      <c r="TB3" s="90">
        <v>259</v>
      </c>
      <c r="TC3" s="90">
        <v>3682</v>
      </c>
      <c r="TD3" s="90">
        <v>1519</v>
      </c>
      <c r="TG3" s="90">
        <v>2175</v>
      </c>
      <c r="TH3" s="90">
        <v>13</v>
      </c>
      <c r="TI3" s="90">
        <v>1891</v>
      </c>
      <c r="TJ3" s="90">
        <v>964</v>
      </c>
      <c r="TK3" s="90">
        <v>4769</v>
      </c>
      <c r="TL3" s="90">
        <v>32</v>
      </c>
      <c r="TO3" s="90">
        <v>3919</v>
      </c>
      <c r="TP3" s="90">
        <v>70</v>
      </c>
      <c r="TQ3" s="90">
        <v>1209</v>
      </c>
      <c r="TR3" s="90">
        <v>4074</v>
      </c>
      <c r="TW3" s="90">
        <v>3497</v>
      </c>
      <c r="TX3" s="90">
        <v>2284</v>
      </c>
      <c r="TY3" s="90">
        <v>7685</v>
      </c>
      <c r="UF3" s="90">
        <v>5288</v>
      </c>
      <c r="UI3" s="90">
        <v>9652</v>
      </c>
      <c r="UJ3" s="90">
        <v>11090</v>
      </c>
      <c r="UK3" s="90">
        <v>5270</v>
      </c>
      <c r="UM3" s="90">
        <v>6409</v>
      </c>
      <c r="UQ3" s="90">
        <v>1680</v>
      </c>
      <c r="UR3" s="90">
        <v>2907</v>
      </c>
      <c r="US3" s="90">
        <v>2167</v>
      </c>
      <c r="UT3" s="90">
        <v>2366</v>
      </c>
      <c r="UX3" s="90">
        <v>3080</v>
      </c>
      <c r="UY3" s="90">
        <v>9842</v>
      </c>
      <c r="UZ3" s="90">
        <v>1749</v>
      </c>
      <c r="VA3" s="90">
        <v>892</v>
      </c>
      <c r="VD3" s="90">
        <v>2701</v>
      </c>
      <c r="VE3" s="90">
        <v>2327</v>
      </c>
      <c r="VF3" s="90">
        <v>1443</v>
      </c>
      <c r="VG3" s="90">
        <v>3038</v>
      </c>
      <c r="VH3" s="90">
        <v>5954</v>
      </c>
      <c r="VK3" s="90">
        <v>1945</v>
      </c>
      <c r="VL3" s="90">
        <v>5573</v>
      </c>
      <c r="VM3" s="90">
        <v>1212</v>
      </c>
      <c r="VN3" s="90">
        <v>9616</v>
      </c>
      <c r="VO3" s="90">
        <v>6213</v>
      </c>
      <c r="VP3" s="90">
        <v>6</v>
      </c>
      <c r="VR3" s="90">
        <v>396</v>
      </c>
      <c r="VT3" s="90">
        <v>2647</v>
      </c>
      <c r="VU3" s="90">
        <v>2960</v>
      </c>
      <c r="VY3" s="90">
        <v>2973</v>
      </c>
      <c r="VZ3" s="90">
        <v>610</v>
      </c>
      <c r="WA3" s="90">
        <v>2544</v>
      </c>
      <c r="WB3" s="90">
        <v>4055</v>
      </c>
      <c r="WC3" s="90">
        <v>1841</v>
      </c>
      <c r="WF3" s="90">
        <v>2318</v>
      </c>
      <c r="WG3" s="90">
        <v>2786</v>
      </c>
      <c r="WH3" s="90">
        <v>1935</v>
      </c>
      <c r="WI3" s="90">
        <v>7122</v>
      </c>
      <c r="WJ3" s="90">
        <v>6413</v>
      </c>
      <c r="WM3" s="90">
        <v>1325</v>
      </c>
      <c r="WQ3" s="90">
        <v>8754</v>
      </c>
      <c r="WR3" s="90">
        <v>1</v>
      </c>
      <c r="WT3" s="90">
        <v>5023</v>
      </c>
      <c r="WU3" s="90">
        <v>817</v>
      </c>
      <c r="WV3" s="90">
        <v>2215</v>
      </c>
      <c r="WW3" s="90">
        <v>1093</v>
      </c>
      <c r="WX3" s="90">
        <v>5344</v>
      </c>
      <c r="XB3" s="90">
        <v>4390</v>
      </c>
      <c r="XC3" s="90">
        <v>1155</v>
      </c>
      <c r="XD3" s="90">
        <v>437</v>
      </c>
      <c r="XE3" s="90">
        <v>126</v>
      </c>
      <c r="XH3" s="90">
        <v>1612</v>
      </c>
      <c r="XI3" s="90">
        <v>3211</v>
      </c>
      <c r="XJ3" s="90">
        <v>2346</v>
      </c>
      <c r="XK3" s="90">
        <v>1159</v>
      </c>
      <c r="XL3" s="90">
        <v>901</v>
      </c>
      <c r="XO3" s="90">
        <v>1430</v>
      </c>
      <c r="XP3" s="90">
        <v>393</v>
      </c>
      <c r="XQ3" s="90">
        <v>6272</v>
      </c>
      <c r="XR3" s="90">
        <v>8019</v>
      </c>
      <c r="XS3" s="90">
        <v>3818</v>
      </c>
      <c r="XT3" s="90" t="s">
        <v>38</v>
      </c>
      <c r="XU3" s="90" t="s">
        <v>38</v>
      </c>
      <c r="XW3" s="90">
        <v>3013</v>
      </c>
      <c r="XX3" s="90">
        <v>6372</v>
      </c>
      <c r="XY3" s="90">
        <v>4883</v>
      </c>
      <c r="XZ3" s="90">
        <v>1603</v>
      </c>
      <c r="YA3" s="90">
        <v>20</v>
      </c>
      <c r="YB3" s="90" t="s">
        <v>38</v>
      </c>
      <c r="YC3" s="90">
        <v>1282</v>
      </c>
      <c r="YD3" s="90">
        <v>225</v>
      </c>
      <c r="YE3" s="90">
        <v>3523</v>
      </c>
      <c r="YF3" s="90">
        <v>3547</v>
      </c>
      <c r="YG3" s="90">
        <v>255</v>
      </c>
      <c r="YH3" s="90" t="s">
        <v>38</v>
      </c>
      <c r="YI3" s="90">
        <v>7</v>
      </c>
      <c r="YJ3" s="90">
        <v>4349</v>
      </c>
      <c r="YL3" s="90">
        <v>3558</v>
      </c>
      <c r="YM3" s="90">
        <v>1645</v>
      </c>
      <c r="YN3" s="90">
        <v>1189</v>
      </c>
      <c r="YQ3" s="90">
        <v>900</v>
      </c>
      <c r="YR3" s="90">
        <v>4863</v>
      </c>
      <c r="YS3" s="90">
        <v>7289</v>
      </c>
      <c r="YT3" s="90">
        <v>5129</v>
      </c>
      <c r="YU3" s="90">
        <v>890</v>
      </c>
      <c r="YV3" s="90">
        <v>50</v>
      </c>
      <c r="YW3" s="90" t="s">
        <v>152</v>
      </c>
      <c r="YX3" s="92">
        <v>3700</v>
      </c>
      <c r="YY3" s="92">
        <v>2514</v>
      </c>
      <c r="YZ3" s="92">
        <v>4195</v>
      </c>
      <c r="ZA3" s="92">
        <v>6401</v>
      </c>
      <c r="ZB3" s="92">
        <v>8461</v>
      </c>
      <c r="ZC3" s="90" t="s">
        <v>152</v>
      </c>
      <c r="ZE3" s="90">
        <v>954</v>
      </c>
      <c r="ZF3" s="90">
        <v>264</v>
      </c>
      <c r="ZG3" s="92">
        <v>3069</v>
      </c>
      <c r="ZH3" s="92">
        <v>5053</v>
      </c>
      <c r="ZI3" s="90" t="s">
        <v>152</v>
      </c>
      <c r="ZJ3" s="90" t="s">
        <v>152</v>
      </c>
      <c r="ZL3" s="92">
        <v>4506</v>
      </c>
      <c r="ZM3" s="90">
        <v>500</v>
      </c>
      <c r="ZN3" s="92">
        <v>4699</v>
      </c>
      <c r="ZO3" s="92">
        <v>2193</v>
      </c>
      <c r="ZP3" s="92">
        <v>5316</v>
      </c>
      <c r="ZQ3" s="90">
        <v>1</v>
      </c>
      <c r="ZR3" s="90" t="s">
        <v>38</v>
      </c>
      <c r="ZS3" s="91">
        <v>3305</v>
      </c>
      <c r="ZT3" s="91">
        <v>663</v>
      </c>
      <c r="ZU3" s="91">
        <v>4649</v>
      </c>
      <c r="ZV3" s="91">
        <v>4140</v>
      </c>
      <c r="ZW3" s="91">
        <v>329</v>
      </c>
      <c r="ZX3" s="91" t="s">
        <v>38</v>
      </c>
      <c r="ZY3" s="91" t="s">
        <v>38</v>
      </c>
      <c r="ZZ3" s="91">
        <v>5148</v>
      </c>
      <c r="AAA3" s="91">
        <v>7019</v>
      </c>
      <c r="AAB3" s="91">
        <v>4023</v>
      </c>
      <c r="AAC3" s="91">
        <v>8847</v>
      </c>
      <c r="AAD3" s="91" t="s">
        <v>152</v>
      </c>
      <c r="AAE3" s="91">
        <v>12</v>
      </c>
      <c r="AAF3" s="91" t="s">
        <v>152</v>
      </c>
      <c r="AAG3" s="91">
        <v>6591</v>
      </c>
      <c r="AAH3" s="91">
        <v>1507</v>
      </c>
      <c r="AAI3" s="91">
        <v>663</v>
      </c>
      <c r="AAJ3" s="90">
        <v>717</v>
      </c>
      <c r="AAK3" s="92">
        <v>2210</v>
      </c>
      <c r="AAL3" s="90" t="s">
        <v>152</v>
      </c>
      <c r="AAM3" s="90" t="s">
        <v>152</v>
      </c>
      <c r="AAN3" s="92">
        <v>1121</v>
      </c>
      <c r="AAO3" s="92">
        <v>1383</v>
      </c>
      <c r="AAP3" s="92">
        <v>1066</v>
      </c>
      <c r="AAQ3" s="92">
        <v>1564</v>
      </c>
      <c r="AAR3" s="91">
        <v>500</v>
      </c>
      <c r="AAS3" s="91" t="s">
        <v>38</v>
      </c>
      <c r="AAT3" s="91" t="s">
        <v>38</v>
      </c>
      <c r="AAU3" s="91" t="s">
        <v>38</v>
      </c>
      <c r="AAV3" s="91">
        <v>4651</v>
      </c>
      <c r="AAW3" s="91">
        <v>1112</v>
      </c>
      <c r="AAX3" s="91">
        <v>5365</v>
      </c>
      <c r="AAY3" s="112">
        <v>2858</v>
      </c>
      <c r="AAZ3" s="90">
        <v>503</v>
      </c>
      <c r="ABA3" s="90" t="s">
        <v>152</v>
      </c>
      <c r="ABB3" s="92">
        <v>5716</v>
      </c>
      <c r="ABC3" s="90">
        <v>186</v>
      </c>
      <c r="ABD3" s="92">
        <v>5270</v>
      </c>
      <c r="ABE3" s="120"/>
      <c r="ABF3" s="91">
        <v>6443</v>
      </c>
      <c r="ABG3" s="91" t="s">
        <v>38</v>
      </c>
      <c r="ABH3" s="91" t="s">
        <v>38</v>
      </c>
      <c r="ABI3" s="91">
        <v>6803</v>
      </c>
      <c r="ABJ3" s="91">
        <v>3786</v>
      </c>
      <c r="ABK3" s="91">
        <v>3019</v>
      </c>
      <c r="ABL3" s="91">
        <v>5683</v>
      </c>
      <c r="ABM3" s="91">
        <v>6768</v>
      </c>
      <c r="ABN3" s="91">
        <v>242</v>
      </c>
      <c r="ABP3" s="90">
        <v>1181</v>
      </c>
      <c r="ABQ3" s="90">
        <v>1231</v>
      </c>
      <c r="ABR3" s="90">
        <v>2590</v>
      </c>
      <c r="ABS3" s="90">
        <v>2359</v>
      </c>
      <c r="ABT3" s="90">
        <v>2691</v>
      </c>
      <c r="ABU3" s="90">
        <v>20</v>
      </c>
      <c r="ABV3" s="90" t="s">
        <v>38</v>
      </c>
      <c r="ABW3" s="90">
        <v>2307</v>
      </c>
      <c r="ABX3" s="90" t="s">
        <v>38</v>
      </c>
      <c r="ABY3" s="90">
        <v>3542</v>
      </c>
      <c r="ABZ3" s="90">
        <v>3425</v>
      </c>
      <c r="ACA3" s="90">
        <v>727</v>
      </c>
      <c r="ACB3" s="90" t="s">
        <v>38</v>
      </c>
      <c r="ACC3" s="90" t="s">
        <v>38</v>
      </c>
      <c r="ACD3" s="90">
        <v>2340</v>
      </c>
      <c r="ACE3" s="90">
        <v>4741</v>
      </c>
      <c r="ACF3" s="90">
        <v>5016</v>
      </c>
      <c r="ACG3" s="90">
        <v>4756</v>
      </c>
      <c r="ACH3" s="90">
        <v>1642</v>
      </c>
      <c r="ACI3" s="90">
        <v>221</v>
      </c>
      <c r="ACK3" s="92">
        <v>3047</v>
      </c>
      <c r="ACL3" s="92">
        <v>5188</v>
      </c>
      <c r="ACM3" s="92">
        <v>6475</v>
      </c>
      <c r="ACN3" s="92">
        <v>5029</v>
      </c>
      <c r="ACO3" s="92">
        <v>8966</v>
      </c>
      <c r="ACP3" s="90" t="s">
        <v>152</v>
      </c>
      <c r="ACQ3" s="90" t="s">
        <v>152</v>
      </c>
      <c r="ACR3" s="90">
        <v>1312</v>
      </c>
      <c r="ACS3" s="90">
        <v>1104</v>
      </c>
      <c r="ACT3" s="90">
        <v>1178</v>
      </c>
      <c r="ACU3" s="90">
        <v>6938</v>
      </c>
      <c r="ACV3" s="90" t="s">
        <v>38</v>
      </c>
      <c r="ACW3" s="90" t="s">
        <v>38</v>
      </c>
      <c r="ACX3" s="90" t="s">
        <v>38</v>
      </c>
      <c r="ACY3" s="90">
        <v>4611</v>
      </c>
      <c r="ACZ3" s="90">
        <v>4245</v>
      </c>
      <c r="ADA3" s="90">
        <v>1090</v>
      </c>
      <c r="ADB3" s="90">
        <v>2990</v>
      </c>
      <c r="ADC3" s="90" t="s">
        <v>38</v>
      </c>
      <c r="ADD3" s="90" t="s">
        <v>38</v>
      </c>
      <c r="ADE3" s="90" t="s">
        <v>38</v>
      </c>
      <c r="ADF3" s="90">
        <v>4464</v>
      </c>
      <c r="ADG3" s="90">
        <v>2782</v>
      </c>
      <c r="ADH3" s="90">
        <v>956</v>
      </c>
      <c r="ADI3" s="90">
        <v>3379</v>
      </c>
      <c r="ADJ3" s="90">
        <v>6047</v>
      </c>
      <c r="ADK3" s="90" t="s">
        <v>38</v>
      </c>
      <c r="ADL3" s="90" t="s">
        <v>38</v>
      </c>
      <c r="ADM3" s="90">
        <v>4579</v>
      </c>
      <c r="ADN3" s="90">
        <v>2423</v>
      </c>
      <c r="ADO3" s="90">
        <v>4016</v>
      </c>
      <c r="ADP3" s="90">
        <v>7700</v>
      </c>
      <c r="ADQ3" s="90">
        <v>4420</v>
      </c>
      <c r="ADR3" s="90" t="s">
        <v>38</v>
      </c>
      <c r="ADS3" s="90" t="s">
        <v>38</v>
      </c>
      <c r="ADT3" s="90" t="s">
        <v>38</v>
      </c>
      <c r="ADU3" s="90">
        <v>1482</v>
      </c>
      <c r="ADX3" s="90">
        <v>213</v>
      </c>
      <c r="ADY3" s="90" t="s">
        <v>38</v>
      </c>
      <c r="ADZ3" s="90" t="s">
        <v>38</v>
      </c>
      <c r="AEA3" s="90">
        <v>1377</v>
      </c>
      <c r="AEB3" s="90">
        <v>628</v>
      </c>
      <c r="AEC3" s="90">
        <v>2250</v>
      </c>
      <c r="AED3" s="90">
        <v>723</v>
      </c>
      <c r="AEE3" s="90">
        <v>9436</v>
      </c>
      <c r="AEF3" s="90" t="s">
        <v>38</v>
      </c>
      <c r="AEG3" s="90" t="s">
        <v>38</v>
      </c>
      <c r="AEH3" s="90">
        <v>3004</v>
      </c>
      <c r="AEI3" s="90">
        <v>1825</v>
      </c>
      <c r="AEJ3" s="90">
        <v>4116</v>
      </c>
      <c r="AEK3" s="90">
        <v>1229</v>
      </c>
      <c r="AEL3" s="90">
        <v>2414</v>
      </c>
      <c r="AEM3" s="90">
        <v>9</v>
      </c>
      <c r="AEO3" s="90">
        <v>7615</v>
      </c>
      <c r="AEP3" s="90">
        <v>1969</v>
      </c>
      <c r="AEQ3" s="90">
        <v>1111</v>
      </c>
      <c r="AER3" s="90">
        <v>5497</v>
      </c>
      <c r="AES3" s="90">
        <v>5064</v>
      </c>
      <c r="AET3" s="90" t="s">
        <v>38</v>
      </c>
      <c r="AEU3" s="90" t="s">
        <v>38</v>
      </c>
      <c r="AEV3" s="90">
        <v>4559</v>
      </c>
      <c r="AEW3" s="90">
        <v>2743</v>
      </c>
      <c r="AEX3" s="90">
        <v>4859</v>
      </c>
      <c r="AEY3" s="90">
        <v>6257</v>
      </c>
      <c r="AEZ3" s="90">
        <v>5396</v>
      </c>
      <c r="AFA3" s="90" t="s">
        <v>38</v>
      </c>
      <c r="AFB3" s="90" t="s">
        <v>38</v>
      </c>
      <c r="AFC3" s="90">
        <v>73</v>
      </c>
      <c r="AFD3" s="90">
        <v>719</v>
      </c>
      <c r="AFE3" s="90">
        <v>6394</v>
      </c>
      <c r="AFF3" s="90">
        <v>4403</v>
      </c>
      <c r="AFG3" s="90">
        <v>781</v>
      </c>
      <c r="AFH3" s="90" t="s">
        <v>38</v>
      </c>
      <c r="AFI3" s="90" t="s">
        <v>38</v>
      </c>
      <c r="AFJ3" s="90">
        <v>3211</v>
      </c>
      <c r="AFK3" s="90">
        <v>3938</v>
      </c>
      <c r="AFL3" s="90">
        <v>2635</v>
      </c>
      <c r="AFM3" s="90">
        <v>5658</v>
      </c>
      <c r="AFN3" s="90">
        <v>4160</v>
      </c>
      <c r="AFO3" s="90">
        <v>198</v>
      </c>
      <c r="AFP3" s="90" t="s">
        <v>38</v>
      </c>
      <c r="AFQ3" s="90">
        <v>2917</v>
      </c>
      <c r="AFR3" s="90">
        <v>2819</v>
      </c>
      <c r="AFS3" s="90">
        <v>4510</v>
      </c>
      <c r="AFT3" s="90">
        <v>4315</v>
      </c>
      <c r="AFU3" s="90">
        <v>2557</v>
      </c>
      <c r="AFV3" s="90" t="s">
        <v>38</v>
      </c>
      <c r="AFW3" s="90" t="s">
        <v>38</v>
      </c>
      <c r="AFX3" s="90">
        <v>3972</v>
      </c>
      <c r="AFY3" s="90">
        <v>6142</v>
      </c>
      <c r="AFZ3" s="90">
        <v>5556</v>
      </c>
      <c r="AGA3" s="90">
        <v>9001</v>
      </c>
      <c r="AGB3" s="90">
        <v>5881</v>
      </c>
      <c r="AGC3" s="90">
        <v>282</v>
      </c>
      <c r="AGD3" s="90" t="s">
        <v>38</v>
      </c>
      <c r="AGE3" s="90">
        <v>1180</v>
      </c>
      <c r="AGF3" s="90" t="s">
        <v>38</v>
      </c>
      <c r="AGG3" s="90">
        <v>1960</v>
      </c>
      <c r="AGH3" s="90">
        <v>1219</v>
      </c>
      <c r="AGI3" s="90">
        <v>2859</v>
      </c>
      <c r="AGJ3" s="90" t="s">
        <v>38</v>
      </c>
      <c r="AGK3" s="90" t="s">
        <v>38</v>
      </c>
      <c r="AGL3" s="90">
        <v>1107</v>
      </c>
      <c r="AGM3" s="90">
        <v>3915</v>
      </c>
      <c r="AGN3" s="90">
        <v>545</v>
      </c>
      <c r="AGO3" s="90">
        <v>1790</v>
      </c>
      <c r="AGP3" s="90">
        <v>4882</v>
      </c>
      <c r="AGQ3" s="90" t="s">
        <v>38</v>
      </c>
      <c r="AGR3" s="90" t="s">
        <v>38</v>
      </c>
      <c r="AGS3" s="90">
        <v>2662</v>
      </c>
      <c r="AGT3" s="90">
        <v>5520</v>
      </c>
      <c r="AGU3" s="90">
        <v>4211</v>
      </c>
      <c r="AGV3" s="90">
        <v>4740</v>
      </c>
      <c r="AGW3" s="92">
        <v>3182</v>
      </c>
      <c r="AGX3" s="90" t="s">
        <v>38</v>
      </c>
      <c r="AGY3" s="90" t="s">
        <v>38</v>
      </c>
      <c r="AGZ3" s="92">
        <v>7278</v>
      </c>
      <c r="AHA3" s="92">
        <v>2080</v>
      </c>
      <c r="AHB3" s="90">
        <v>4093</v>
      </c>
      <c r="AHC3" s="90">
        <v>2919</v>
      </c>
      <c r="AHD3" s="92">
        <v>440</v>
      </c>
      <c r="AHE3" s="92">
        <v>3</v>
      </c>
      <c r="AHF3" s="92" t="s">
        <v>38</v>
      </c>
      <c r="AHG3" s="92">
        <v>3938</v>
      </c>
      <c r="AHH3" s="90">
        <v>2632</v>
      </c>
      <c r="AHI3" s="90">
        <v>1365</v>
      </c>
      <c r="AHJ3" s="90">
        <v>4250</v>
      </c>
      <c r="AHK3" s="90">
        <v>1565</v>
      </c>
      <c r="AHL3" s="90" t="s">
        <v>38</v>
      </c>
      <c r="AHM3" s="90" t="s">
        <v>38</v>
      </c>
      <c r="AHN3" s="90" t="s">
        <v>38</v>
      </c>
      <c r="AHO3" s="90">
        <v>3158</v>
      </c>
      <c r="AHP3" s="90">
        <v>2158</v>
      </c>
      <c r="AHQ3" s="90">
        <v>2276</v>
      </c>
      <c r="AHR3" s="90">
        <v>7377</v>
      </c>
      <c r="AHS3" s="90">
        <v>4</v>
      </c>
      <c r="AHT3" s="90" t="s">
        <v>38</v>
      </c>
      <c r="AHU3" s="90" t="s">
        <v>38</v>
      </c>
      <c r="AHV3" s="90" t="s">
        <v>38</v>
      </c>
      <c r="AHW3" s="90" t="s">
        <v>38</v>
      </c>
      <c r="AHX3" s="90" t="s">
        <v>38</v>
      </c>
      <c r="AHY3" s="90">
        <v>6039</v>
      </c>
      <c r="AHZ3" s="90">
        <v>34</v>
      </c>
      <c r="AIA3" s="90" t="s">
        <v>38</v>
      </c>
      <c r="AIB3" s="90">
        <v>5717</v>
      </c>
      <c r="AIC3" s="90">
        <v>286</v>
      </c>
      <c r="AID3" s="90">
        <v>951</v>
      </c>
      <c r="AIE3" s="90">
        <v>3412</v>
      </c>
      <c r="AIF3" s="90">
        <v>5576</v>
      </c>
      <c r="AIG3" s="90">
        <v>3</v>
      </c>
      <c r="AIH3" s="90" t="s">
        <v>38</v>
      </c>
      <c r="AII3" s="90">
        <v>4835</v>
      </c>
      <c r="AIJ3" s="90">
        <v>6665</v>
      </c>
      <c r="AIK3" s="90">
        <v>7374</v>
      </c>
      <c r="AIL3" s="90">
        <v>5263</v>
      </c>
      <c r="AIM3" s="90" t="s">
        <v>38</v>
      </c>
      <c r="AIN3" s="90">
        <v>238</v>
      </c>
      <c r="AIO3" s="90" t="s">
        <v>38</v>
      </c>
      <c r="AIP3" s="90" t="s">
        <v>38</v>
      </c>
      <c r="AIQ3" s="90" t="s">
        <v>38</v>
      </c>
      <c r="AIR3" s="90">
        <v>3209</v>
      </c>
      <c r="AIS3" s="90">
        <v>4397</v>
      </c>
      <c r="AIT3" s="90">
        <v>3365</v>
      </c>
      <c r="AIU3" s="90" t="s">
        <v>38</v>
      </c>
      <c r="AIV3" s="90" t="s">
        <v>38</v>
      </c>
      <c r="AIW3" s="90">
        <v>4876</v>
      </c>
      <c r="AIX3" s="90">
        <v>1008</v>
      </c>
      <c r="AIY3" s="90">
        <v>642</v>
      </c>
      <c r="AIZ3" s="90">
        <v>2967</v>
      </c>
      <c r="AJA3" s="90">
        <v>5325</v>
      </c>
      <c r="AJB3" s="90" t="s">
        <v>38</v>
      </c>
      <c r="AJC3" s="90" t="s">
        <v>38</v>
      </c>
      <c r="AJD3" s="92">
        <v>5120</v>
      </c>
      <c r="AJE3" s="92">
        <v>3745</v>
      </c>
      <c r="AJF3" s="92">
        <v>1456</v>
      </c>
      <c r="AJG3" s="92">
        <v>4901</v>
      </c>
      <c r="AJH3" s="92">
        <v>3486</v>
      </c>
      <c r="AJI3" s="90" t="s">
        <v>38</v>
      </c>
      <c r="AJJ3" s="90" t="s">
        <v>38</v>
      </c>
      <c r="AJK3" s="90">
        <v>4279</v>
      </c>
      <c r="AJL3" s="90">
        <v>4195</v>
      </c>
      <c r="AJM3" s="90">
        <v>3770</v>
      </c>
      <c r="AJN3" s="90">
        <v>2949</v>
      </c>
      <c r="AJO3" s="90">
        <v>2650</v>
      </c>
      <c r="AJP3" s="90" t="s">
        <v>38</v>
      </c>
      <c r="AJQ3" s="90" t="s">
        <v>38</v>
      </c>
      <c r="AJR3" s="90" t="s">
        <v>38</v>
      </c>
      <c r="AJS3" s="90">
        <v>1984</v>
      </c>
      <c r="AJT3" s="90" t="s">
        <v>38</v>
      </c>
      <c r="AJU3" s="90">
        <v>1512</v>
      </c>
      <c r="AJV3" s="90">
        <v>2396</v>
      </c>
      <c r="AJW3" s="90" t="s">
        <v>38</v>
      </c>
      <c r="AJX3" s="90" t="s">
        <v>38</v>
      </c>
      <c r="AJY3" s="90">
        <v>4059</v>
      </c>
      <c r="AJZ3" s="90">
        <v>2787</v>
      </c>
      <c r="AKA3" s="90">
        <v>3899</v>
      </c>
      <c r="AKB3" s="90">
        <v>4745</v>
      </c>
      <c r="AKC3" s="90">
        <v>4892</v>
      </c>
      <c r="AKD3" s="90">
        <v>2</v>
      </c>
      <c r="AKE3" s="90" t="s">
        <v>38</v>
      </c>
      <c r="AKF3" s="90">
        <v>3675</v>
      </c>
    </row>
    <row r="4" spans="1:976" s="80" customFormat="1">
      <c r="A4" s="80">
        <v>2</v>
      </c>
      <c r="B4" s="80" t="s">
        <v>153</v>
      </c>
      <c r="C4" s="81">
        <v>82652</v>
      </c>
      <c r="D4" s="82" t="s">
        <v>147</v>
      </c>
      <c r="E4" s="81" t="s">
        <v>154</v>
      </c>
      <c r="F4" s="81" t="s">
        <v>11</v>
      </c>
      <c r="G4" s="81" t="s">
        <v>12</v>
      </c>
      <c r="H4" s="81" t="s">
        <v>148</v>
      </c>
      <c r="I4" s="81" t="s">
        <v>151</v>
      </c>
      <c r="J4" s="81" t="s">
        <v>46</v>
      </c>
      <c r="K4" s="83">
        <v>72</v>
      </c>
      <c r="L4" s="83">
        <v>2659</v>
      </c>
      <c r="M4" s="83">
        <v>2082</v>
      </c>
      <c r="N4" s="83">
        <v>1890</v>
      </c>
      <c r="O4" s="83">
        <v>1041</v>
      </c>
      <c r="P4" s="83">
        <v>1152</v>
      </c>
      <c r="Q4" s="83">
        <v>3166</v>
      </c>
      <c r="R4" s="83">
        <v>2802</v>
      </c>
      <c r="S4" s="83">
        <v>2884</v>
      </c>
      <c r="T4" s="83">
        <v>1789</v>
      </c>
      <c r="U4" s="83">
        <v>3417</v>
      </c>
      <c r="V4" s="83">
        <v>5132</v>
      </c>
      <c r="W4" s="83">
        <v>5977</v>
      </c>
      <c r="X4" s="83">
        <v>3587</v>
      </c>
      <c r="Y4" s="83">
        <v>3167</v>
      </c>
      <c r="Z4" s="83">
        <v>1258</v>
      </c>
      <c r="AA4" s="83">
        <v>884</v>
      </c>
      <c r="AB4" s="83">
        <v>591</v>
      </c>
      <c r="AC4" s="83">
        <v>501</v>
      </c>
      <c r="AD4" s="83">
        <v>2468</v>
      </c>
      <c r="AE4" s="83">
        <v>1102</v>
      </c>
      <c r="AF4" s="83">
        <v>751</v>
      </c>
      <c r="AG4" s="83">
        <v>854</v>
      </c>
      <c r="AH4" s="83">
        <v>843</v>
      </c>
      <c r="AI4" s="83">
        <v>1229</v>
      </c>
      <c r="AJ4" s="83">
        <v>1393</v>
      </c>
      <c r="AK4" s="83">
        <v>846</v>
      </c>
      <c r="AL4" s="83">
        <v>2229</v>
      </c>
      <c r="AM4" s="83">
        <v>2124</v>
      </c>
      <c r="AN4" s="83">
        <v>3379</v>
      </c>
      <c r="AO4" s="83">
        <v>1285</v>
      </c>
      <c r="AP4" s="83">
        <v>1560</v>
      </c>
      <c r="AQ4" s="83">
        <v>1044</v>
      </c>
      <c r="AR4" s="83">
        <v>647</v>
      </c>
      <c r="AS4" s="83">
        <v>4083</v>
      </c>
      <c r="AT4" s="83">
        <v>1023</v>
      </c>
      <c r="AU4" s="83">
        <v>3674</v>
      </c>
      <c r="AV4" s="83">
        <v>2015</v>
      </c>
      <c r="AW4" s="83">
        <v>2842</v>
      </c>
      <c r="AX4" s="83">
        <v>1204</v>
      </c>
      <c r="AY4" s="83">
        <v>251</v>
      </c>
      <c r="AZ4" s="83">
        <v>2595</v>
      </c>
      <c r="BA4" s="83">
        <v>5826</v>
      </c>
      <c r="BB4" s="83">
        <v>5738</v>
      </c>
      <c r="BC4" s="83">
        <v>3174</v>
      </c>
      <c r="BD4" s="83">
        <v>2091</v>
      </c>
      <c r="BE4" s="83">
        <v>1435</v>
      </c>
      <c r="BF4" s="83">
        <v>824</v>
      </c>
      <c r="BG4" s="83">
        <v>2866</v>
      </c>
      <c r="BH4" s="83">
        <v>1512</v>
      </c>
      <c r="BI4" s="80">
        <v>1833</v>
      </c>
      <c r="BJ4" s="80">
        <v>1670</v>
      </c>
      <c r="BK4" s="80">
        <v>1879</v>
      </c>
      <c r="BL4" s="80">
        <v>1550</v>
      </c>
      <c r="BM4" s="80">
        <v>698</v>
      </c>
      <c r="BN4" s="80">
        <v>2320</v>
      </c>
      <c r="BO4" s="80">
        <v>3190</v>
      </c>
      <c r="BP4" s="80">
        <v>1243</v>
      </c>
      <c r="BQ4" s="80">
        <v>741</v>
      </c>
      <c r="BR4" s="80">
        <v>1050</v>
      </c>
      <c r="BS4" s="80">
        <v>922</v>
      </c>
      <c r="BT4" s="80">
        <v>166</v>
      </c>
      <c r="BU4" s="80">
        <v>1108</v>
      </c>
      <c r="BV4" s="80">
        <v>1835</v>
      </c>
      <c r="BW4" s="80">
        <v>2244</v>
      </c>
      <c r="BX4" s="80">
        <v>1158</v>
      </c>
      <c r="BY4" s="80">
        <v>1285</v>
      </c>
      <c r="BZ4" s="80">
        <v>801</v>
      </c>
      <c r="CA4" s="80">
        <v>776</v>
      </c>
      <c r="CB4" s="80">
        <v>1221</v>
      </c>
      <c r="CC4" s="80">
        <v>1282</v>
      </c>
      <c r="CD4" s="80">
        <v>1341</v>
      </c>
      <c r="CE4" s="80">
        <v>1141</v>
      </c>
      <c r="CF4" s="80">
        <v>1318</v>
      </c>
      <c r="CG4" s="80">
        <v>999</v>
      </c>
      <c r="CH4" s="80">
        <v>643</v>
      </c>
      <c r="CI4" s="80">
        <v>3934</v>
      </c>
      <c r="CJ4" s="80">
        <v>4804</v>
      </c>
      <c r="CK4" s="80">
        <v>2071</v>
      </c>
      <c r="CL4" s="80">
        <v>1934</v>
      </c>
      <c r="CM4" s="80">
        <v>1470</v>
      </c>
      <c r="CN4" s="80">
        <v>202</v>
      </c>
      <c r="CO4" s="80">
        <v>382</v>
      </c>
      <c r="CP4" s="80">
        <v>3209</v>
      </c>
      <c r="CQ4" s="80">
        <v>1917</v>
      </c>
      <c r="CR4" s="80">
        <v>1571</v>
      </c>
      <c r="CS4" s="80">
        <v>3393</v>
      </c>
      <c r="CT4" s="80">
        <v>3021</v>
      </c>
      <c r="CU4" s="80">
        <v>1909</v>
      </c>
      <c r="CV4" s="80">
        <v>1164</v>
      </c>
      <c r="CW4" s="80">
        <v>2383</v>
      </c>
      <c r="CX4" s="80">
        <v>2620</v>
      </c>
      <c r="CY4" s="80">
        <v>1577</v>
      </c>
      <c r="CZ4" s="80">
        <v>1908</v>
      </c>
      <c r="DA4" s="80">
        <v>2203</v>
      </c>
      <c r="DB4" s="80">
        <v>0</v>
      </c>
      <c r="DC4" s="80">
        <v>3465</v>
      </c>
      <c r="DD4" s="80">
        <v>1318</v>
      </c>
      <c r="DE4" s="80">
        <v>1547</v>
      </c>
      <c r="DF4" s="80">
        <v>1504</v>
      </c>
      <c r="DG4" s="80">
        <v>1469</v>
      </c>
      <c r="DH4" s="80">
        <v>1953</v>
      </c>
      <c r="DI4" s="80" t="s">
        <v>38</v>
      </c>
      <c r="DJ4" s="80">
        <v>4310</v>
      </c>
      <c r="DK4" s="80">
        <v>1983</v>
      </c>
      <c r="DL4" s="80">
        <v>2864</v>
      </c>
      <c r="DM4" s="80">
        <v>3569</v>
      </c>
      <c r="DN4" s="80">
        <v>2920</v>
      </c>
      <c r="DO4" s="80">
        <v>534</v>
      </c>
      <c r="DP4" s="80" t="s">
        <v>38</v>
      </c>
      <c r="DQ4" s="84">
        <v>1385</v>
      </c>
      <c r="DR4" s="84">
        <v>826</v>
      </c>
      <c r="DS4" s="84">
        <v>1020</v>
      </c>
      <c r="DT4" s="84">
        <v>585</v>
      </c>
      <c r="DU4" s="84">
        <v>598</v>
      </c>
      <c r="DV4" s="84">
        <v>785</v>
      </c>
      <c r="DX4" s="84">
        <v>2845</v>
      </c>
      <c r="DY4" s="84">
        <v>1404</v>
      </c>
      <c r="DZ4" s="84">
        <v>2477</v>
      </c>
      <c r="EA4" s="84">
        <v>1651</v>
      </c>
      <c r="EB4" s="84">
        <v>3272</v>
      </c>
      <c r="EC4" s="84">
        <v>2286</v>
      </c>
      <c r="ED4" s="84">
        <v>1664</v>
      </c>
      <c r="EE4" s="84">
        <v>2015</v>
      </c>
      <c r="EF4" s="80">
        <v>2331</v>
      </c>
      <c r="EG4" s="80">
        <v>1813</v>
      </c>
      <c r="EH4" s="80">
        <v>859</v>
      </c>
      <c r="EI4" s="80">
        <v>998</v>
      </c>
      <c r="EJ4" s="80">
        <v>973</v>
      </c>
      <c r="EL4" s="80">
        <v>1436</v>
      </c>
      <c r="EM4" s="80">
        <v>1239</v>
      </c>
      <c r="EN4" s="80">
        <v>569</v>
      </c>
      <c r="EO4" s="80">
        <v>768</v>
      </c>
      <c r="EP4" s="80">
        <v>1251</v>
      </c>
      <c r="EQ4" s="80">
        <v>1754</v>
      </c>
      <c r="ES4" s="80">
        <v>2111</v>
      </c>
      <c r="ET4" s="80">
        <v>1193</v>
      </c>
      <c r="EU4" s="80">
        <v>1116</v>
      </c>
      <c r="EV4" s="80">
        <v>1239</v>
      </c>
      <c r="EW4" s="80">
        <v>1078</v>
      </c>
      <c r="EX4" s="80">
        <v>927</v>
      </c>
      <c r="EZ4" s="80">
        <v>1311</v>
      </c>
      <c r="FA4" s="80">
        <v>1496</v>
      </c>
      <c r="FB4" s="80">
        <v>2831</v>
      </c>
      <c r="FC4" s="80">
        <v>1586</v>
      </c>
      <c r="FD4" s="80">
        <v>962</v>
      </c>
      <c r="FE4" s="80">
        <v>1536</v>
      </c>
      <c r="FG4" s="80">
        <v>2231</v>
      </c>
      <c r="FH4" s="80">
        <v>2288</v>
      </c>
      <c r="FI4" s="80">
        <v>2009</v>
      </c>
      <c r="FJ4" s="80">
        <v>2829</v>
      </c>
      <c r="FK4" s="80">
        <v>3248</v>
      </c>
      <c r="FL4" s="80">
        <v>4002</v>
      </c>
      <c r="FM4" s="80">
        <v>1589</v>
      </c>
      <c r="FN4" s="80">
        <v>2340</v>
      </c>
      <c r="FO4" s="80">
        <v>1640</v>
      </c>
      <c r="FP4" s="80">
        <v>839</v>
      </c>
      <c r="FQ4" s="80">
        <v>672</v>
      </c>
      <c r="FR4" s="80">
        <v>582</v>
      </c>
      <c r="FU4" s="80">
        <v>761</v>
      </c>
      <c r="FV4" s="80">
        <v>1470</v>
      </c>
      <c r="FW4" s="80">
        <v>1997</v>
      </c>
      <c r="FX4" s="80">
        <v>1044</v>
      </c>
      <c r="FY4" s="80">
        <v>880</v>
      </c>
      <c r="FZ4" s="80">
        <v>756</v>
      </c>
      <c r="GB4" s="80">
        <v>1760</v>
      </c>
      <c r="GC4" s="80">
        <v>1115</v>
      </c>
      <c r="GD4" s="80">
        <v>1592</v>
      </c>
      <c r="GE4" s="80">
        <v>1414</v>
      </c>
      <c r="GF4" s="80">
        <v>1588</v>
      </c>
      <c r="GG4" s="80">
        <v>2554</v>
      </c>
      <c r="GI4" s="80">
        <v>3765</v>
      </c>
      <c r="GJ4" s="80">
        <v>1902</v>
      </c>
      <c r="GL4" s="80">
        <v>2403</v>
      </c>
      <c r="GM4" s="80">
        <v>5217</v>
      </c>
      <c r="GN4" s="80">
        <v>5210</v>
      </c>
      <c r="GO4" s="80">
        <v>7842</v>
      </c>
      <c r="GP4" s="80">
        <v>8182</v>
      </c>
      <c r="GQ4" s="80">
        <v>3373</v>
      </c>
      <c r="GR4" s="80">
        <v>1810</v>
      </c>
      <c r="GS4" s="80">
        <v>2156</v>
      </c>
      <c r="GT4" s="80">
        <v>1099</v>
      </c>
      <c r="GU4" s="80">
        <v>1569</v>
      </c>
      <c r="GW4" s="80">
        <v>2296</v>
      </c>
      <c r="GX4" s="80">
        <v>1572</v>
      </c>
      <c r="GY4" s="80">
        <v>2446</v>
      </c>
      <c r="GZ4" s="80">
        <v>2477</v>
      </c>
      <c r="HA4" s="80">
        <v>1636</v>
      </c>
      <c r="HB4" s="80">
        <v>1529</v>
      </c>
      <c r="HD4" s="80">
        <v>2350</v>
      </c>
      <c r="HE4" s="80">
        <v>1307</v>
      </c>
      <c r="HG4" s="80">
        <v>2312</v>
      </c>
      <c r="HH4" s="80">
        <v>1546</v>
      </c>
      <c r="HI4" s="80">
        <v>2148</v>
      </c>
      <c r="HK4" s="80">
        <v>2697</v>
      </c>
      <c r="HL4" s="80">
        <v>5171</v>
      </c>
      <c r="HM4" s="80">
        <v>2162</v>
      </c>
      <c r="HN4" s="80">
        <v>3107</v>
      </c>
      <c r="HO4" s="80">
        <v>2289</v>
      </c>
      <c r="HP4" s="80">
        <v>1393</v>
      </c>
      <c r="HQ4" s="80">
        <v>1675</v>
      </c>
      <c r="HR4" s="80">
        <v>3425</v>
      </c>
      <c r="HS4" s="80">
        <v>3425</v>
      </c>
      <c r="HT4" s="80">
        <v>3620</v>
      </c>
      <c r="HU4" s="80">
        <v>6828</v>
      </c>
      <c r="HV4" s="80">
        <v>4357</v>
      </c>
      <c r="HW4" s="80">
        <v>1870</v>
      </c>
      <c r="HY4" s="80">
        <v>2782</v>
      </c>
      <c r="HZ4" s="80">
        <v>2109</v>
      </c>
      <c r="IA4" s="80">
        <v>1413</v>
      </c>
      <c r="IB4" s="80">
        <v>1651</v>
      </c>
      <c r="IC4" s="80">
        <v>1928</v>
      </c>
      <c r="ID4" s="80">
        <v>2312</v>
      </c>
      <c r="IF4" s="80">
        <v>3548</v>
      </c>
      <c r="IG4" s="80">
        <v>1428</v>
      </c>
      <c r="IH4" s="80">
        <v>1138</v>
      </c>
      <c r="II4" s="80">
        <v>6228</v>
      </c>
      <c r="IJ4" s="80">
        <v>2222</v>
      </c>
      <c r="IK4" s="80">
        <v>982</v>
      </c>
      <c r="IM4" s="80">
        <v>3140</v>
      </c>
      <c r="IN4" s="80">
        <v>1980</v>
      </c>
      <c r="IO4" s="80">
        <v>2779</v>
      </c>
      <c r="IP4" s="80">
        <v>2874</v>
      </c>
      <c r="IQ4" s="80">
        <v>2260</v>
      </c>
      <c r="IR4" s="80">
        <v>2319</v>
      </c>
      <c r="IT4" s="80">
        <v>4945</v>
      </c>
      <c r="IU4" s="80">
        <v>1629</v>
      </c>
      <c r="IV4" s="80">
        <v>1801</v>
      </c>
      <c r="IW4" s="80">
        <v>1391</v>
      </c>
      <c r="IX4" s="80">
        <v>6721</v>
      </c>
      <c r="IY4" s="80">
        <v>3665</v>
      </c>
      <c r="IZ4" s="80">
        <v>6423</v>
      </c>
      <c r="JA4" s="80">
        <v>3973</v>
      </c>
      <c r="JB4" s="80">
        <v>1890</v>
      </c>
      <c r="JC4" s="80">
        <v>2938</v>
      </c>
      <c r="JD4" s="80">
        <v>1149</v>
      </c>
      <c r="JE4" s="80">
        <v>1603</v>
      </c>
      <c r="JF4" s="80">
        <v>1358</v>
      </c>
      <c r="JH4" s="80">
        <v>2375</v>
      </c>
      <c r="JI4" s="80">
        <v>3967</v>
      </c>
      <c r="JJ4" s="80">
        <v>2593</v>
      </c>
      <c r="JK4" s="80">
        <v>1573</v>
      </c>
      <c r="JL4" s="80">
        <v>1394</v>
      </c>
      <c r="JM4" s="80">
        <v>1094</v>
      </c>
      <c r="JO4" s="80">
        <v>2909</v>
      </c>
      <c r="JP4" s="80">
        <v>1248</v>
      </c>
      <c r="JQ4" s="80">
        <v>3550</v>
      </c>
      <c r="JR4" s="80">
        <v>1639</v>
      </c>
      <c r="JS4" s="80">
        <v>2219</v>
      </c>
      <c r="JT4" s="80">
        <v>1781</v>
      </c>
      <c r="JV4" s="80">
        <v>3068</v>
      </c>
      <c r="JW4" s="80">
        <v>3568</v>
      </c>
      <c r="JX4" s="80">
        <v>1814</v>
      </c>
      <c r="JY4" s="80">
        <v>2001</v>
      </c>
      <c r="JZ4" s="80">
        <v>1295</v>
      </c>
      <c r="KA4" s="80">
        <v>1450</v>
      </c>
      <c r="KC4" s="80">
        <v>2534</v>
      </c>
      <c r="KD4" s="80">
        <v>1886</v>
      </c>
      <c r="KE4" s="80">
        <v>4688</v>
      </c>
      <c r="KF4" s="80">
        <v>9952</v>
      </c>
      <c r="KG4" s="80">
        <v>4485</v>
      </c>
      <c r="KH4" s="80">
        <v>3041</v>
      </c>
      <c r="KI4" s="80">
        <v>1073</v>
      </c>
      <c r="KK4" s="80">
        <v>2621</v>
      </c>
      <c r="KL4" s="80">
        <v>1268</v>
      </c>
      <c r="KM4" s="80">
        <v>4663</v>
      </c>
      <c r="KN4" s="80">
        <v>1685</v>
      </c>
      <c r="KO4" s="80">
        <v>1062</v>
      </c>
      <c r="KP4" s="80">
        <v>906</v>
      </c>
      <c r="KR4" s="80">
        <v>413</v>
      </c>
      <c r="KS4" s="80">
        <v>264</v>
      </c>
      <c r="KT4" s="80">
        <v>3530</v>
      </c>
      <c r="KU4" s="80">
        <v>2156</v>
      </c>
      <c r="KV4" s="80">
        <v>3529</v>
      </c>
      <c r="KX4" s="80">
        <v>4792</v>
      </c>
      <c r="KY4" s="80">
        <v>2837</v>
      </c>
      <c r="KZ4" s="80">
        <v>3056</v>
      </c>
      <c r="LA4" s="80">
        <v>1721</v>
      </c>
      <c r="LB4" s="80">
        <v>2318</v>
      </c>
      <c r="LC4" s="80">
        <v>1612</v>
      </c>
      <c r="LE4" s="80">
        <v>3620</v>
      </c>
      <c r="LF4" s="80">
        <v>1589</v>
      </c>
      <c r="LG4" s="80">
        <v>1407</v>
      </c>
      <c r="LH4" s="80">
        <v>3713</v>
      </c>
      <c r="LI4" s="80">
        <v>2571</v>
      </c>
      <c r="LJ4" s="80">
        <v>3932</v>
      </c>
      <c r="LK4" s="80">
        <v>4597</v>
      </c>
      <c r="LL4" s="80">
        <v>6562</v>
      </c>
      <c r="LM4" s="80">
        <v>6994</v>
      </c>
      <c r="LN4" s="80">
        <v>2585</v>
      </c>
      <c r="LO4" s="80">
        <v>3335</v>
      </c>
      <c r="LP4" s="80">
        <v>1282</v>
      </c>
      <c r="LQ4" s="80">
        <v>1337</v>
      </c>
      <c r="LS4" s="80">
        <v>2852</v>
      </c>
      <c r="LT4" s="80">
        <v>1875</v>
      </c>
      <c r="LU4" s="80">
        <v>1436</v>
      </c>
      <c r="LV4" s="80">
        <v>1003</v>
      </c>
      <c r="LW4" s="80">
        <v>2097</v>
      </c>
      <c r="LX4" s="80">
        <v>1810</v>
      </c>
      <c r="LZ4" s="80">
        <v>2471</v>
      </c>
      <c r="MA4" s="80">
        <v>1591</v>
      </c>
      <c r="MB4" s="80">
        <v>2445</v>
      </c>
      <c r="MC4" s="80">
        <v>2285</v>
      </c>
      <c r="MD4" s="80">
        <v>65</v>
      </c>
      <c r="ME4" s="80">
        <v>2067</v>
      </c>
      <c r="MF4" s="80">
        <v>2821</v>
      </c>
      <c r="MG4" s="80">
        <v>3695</v>
      </c>
      <c r="MH4" s="80">
        <v>1549</v>
      </c>
      <c r="MI4" s="80">
        <v>1226</v>
      </c>
      <c r="MJ4" s="80">
        <v>1322</v>
      </c>
      <c r="MK4" s="80">
        <v>1278</v>
      </c>
      <c r="ML4" s="80">
        <v>1203</v>
      </c>
      <c r="MM4" s="80">
        <v>4</v>
      </c>
      <c r="MN4" s="80">
        <v>3196</v>
      </c>
      <c r="MO4" s="80">
        <v>3289</v>
      </c>
      <c r="MP4" s="80">
        <v>4244</v>
      </c>
      <c r="MQ4" s="80">
        <v>8581</v>
      </c>
      <c r="MR4" s="80">
        <v>8588</v>
      </c>
      <c r="MS4" s="80">
        <v>2633</v>
      </c>
      <c r="MU4" s="80">
        <v>2220</v>
      </c>
      <c r="MV4" s="80">
        <v>3088</v>
      </c>
      <c r="MW4" s="80">
        <v>1122</v>
      </c>
      <c r="MX4" s="80">
        <v>1261</v>
      </c>
      <c r="MY4" s="80">
        <v>2065</v>
      </c>
      <c r="MZ4" s="80">
        <v>1369</v>
      </c>
      <c r="NA4" s="80">
        <v>2</v>
      </c>
      <c r="NB4" s="80">
        <v>1991</v>
      </c>
      <c r="NC4" s="80">
        <v>1156</v>
      </c>
      <c r="NE4" s="80">
        <v>2118</v>
      </c>
      <c r="NF4" s="80">
        <v>2369</v>
      </c>
      <c r="NG4" s="80">
        <v>2405</v>
      </c>
      <c r="NI4" s="80">
        <v>3981</v>
      </c>
      <c r="NJ4" s="80">
        <v>3977</v>
      </c>
      <c r="NK4" s="80">
        <v>2555</v>
      </c>
      <c r="NL4" s="80">
        <v>3297</v>
      </c>
      <c r="NM4" s="80">
        <v>1824</v>
      </c>
      <c r="NN4" s="80">
        <v>2200</v>
      </c>
      <c r="NP4" s="80">
        <v>4353</v>
      </c>
      <c r="NQ4" s="80">
        <v>7007</v>
      </c>
      <c r="NR4" s="80">
        <v>2578</v>
      </c>
      <c r="NS4" s="80">
        <v>2218</v>
      </c>
      <c r="NT4" s="80">
        <v>2685</v>
      </c>
      <c r="NU4" s="80">
        <v>3369</v>
      </c>
      <c r="NV4" s="80">
        <v>4539</v>
      </c>
      <c r="NW4" s="80">
        <v>7679</v>
      </c>
      <c r="NX4" s="80">
        <v>8669</v>
      </c>
      <c r="NY4" s="80">
        <v>3331</v>
      </c>
      <c r="NZ4" s="80">
        <v>3372</v>
      </c>
      <c r="OA4" s="80">
        <v>2013</v>
      </c>
      <c r="OB4" s="80">
        <v>1296</v>
      </c>
      <c r="OD4" s="80">
        <v>2113</v>
      </c>
      <c r="OE4" s="80">
        <v>1072</v>
      </c>
      <c r="OF4" s="80">
        <v>1090</v>
      </c>
      <c r="OG4" s="80">
        <v>995</v>
      </c>
      <c r="OH4" s="80">
        <v>1348</v>
      </c>
      <c r="OI4" s="80">
        <v>1517</v>
      </c>
      <c r="OJ4" s="80">
        <v>1463</v>
      </c>
      <c r="OK4" s="80">
        <v>463</v>
      </c>
      <c r="OL4" s="80">
        <v>353</v>
      </c>
      <c r="OM4" s="80">
        <v>202</v>
      </c>
      <c r="ON4" s="80">
        <v>5927</v>
      </c>
      <c r="OO4" s="80">
        <v>4756</v>
      </c>
      <c r="OP4" s="80">
        <v>2796</v>
      </c>
      <c r="OR4" s="80">
        <v>2727</v>
      </c>
      <c r="OS4" s="80">
        <v>1864</v>
      </c>
      <c r="OT4" s="80">
        <v>1788</v>
      </c>
      <c r="OV4" s="80">
        <v>3330</v>
      </c>
      <c r="OW4" s="80">
        <v>2375</v>
      </c>
      <c r="OY4" s="80">
        <v>4116</v>
      </c>
      <c r="OZ4" s="80">
        <v>7874</v>
      </c>
      <c r="PA4" s="80">
        <v>5860</v>
      </c>
      <c r="PB4" s="80">
        <v>7864</v>
      </c>
      <c r="PC4" s="80">
        <v>5345</v>
      </c>
      <c r="PD4" s="80">
        <v>2625</v>
      </c>
      <c r="PF4" s="80">
        <v>4400</v>
      </c>
      <c r="PG4" s="80">
        <v>2843</v>
      </c>
      <c r="PH4" s="80">
        <v>1844</v>
      </c>
      <c r="PI4" s="80">
        <v>1864</v>
      </c>
      <c r="PJ4" s="80">
        <v>2152</v>
      </c>
      <c r="PK4" s="80">
        <v>1988</v>
      </c>
      <c r="PM4" s="80">
        <v>3333</v>
      </c>
      <c r="PN4" s="80">
        <v>2909</v>
      </c>
      <c r="PO4" s="80">
        <v>2605</v>
      </c>
      <c r="PP4" s="80">
        <v>2415</v>
      </c>
      <c r="PQ4" s="80">
        <v>3033</v>
      </c>
      <c r="PR4" s="80">
        <v>1899</v>
      </c>
      <c r="PS4" s="80">
        <v>1449</v>
      </c>
      <c r="PT4" s="80">
        <v>1812</v>
      </c>
      <c r="PW4" s="80">
        <v>3244</v>
      </c>
      <c r="PX4" s="80">
        <v>2664</v>
      </c>
      <c r="PY4" s="80">
        <v>2437</v>
      </c>
      <c r="QA4" s="80">
        <v>3159</v>
      </c>
      <c r="QB4" s="80">
        <v>1755</v>
      </c>
      <c r="QC4" s="80">
        <v>1713</v>
      </c>
      <c r="QD4" s="80">
        <v>1410</v>
      </c>
      <c r="QE4" s="80">
        <v>1378</v>
      </c>
      <c r="QF4" s="80">
        <v>1115</v>
      </c>
      <c r="QH4" s="80">
        <v>3586</v>
      </c>
      <c r="QI4" s="80">
        <v>1494</v>
      </c>
      <c r="QJ4" s="80">
        <v>1657</v>
      </c>
      <c r="QK4" s="80">
        <v>3396</v>
      </c>
      <c r="QL4" s="80">
        <v>2718</v>
      </c>
      <c r="QM4" s="80">
        <v>2515</v>
      </c>
      <c r="QO4" s="80">
        <v>4179</v>
      </c>
      <c r="QP4" s="80">
        <v>2021</v>
      </c>
      <c r="QQ4" s="80">
        <v>2774</v>
      </c>
      <c r="QR4" s="80">
        <v>1877</v>
      </c>
      <c r="QS4" s="80">
        <v>2680</v>
      </c>
      <c r="QT4" s="80">
        <v>3268</v>
      </c>
      <c r="QV4" s="80">
        <v>5528</v>
      </c>
      <c r="QW4" s="80">
        <v>2841</v>
      </c>
      <c r="QX4" s="80">
        <v>2454</v>
      </c>
      <c r="QY4" s="80">
        <v>3025</v>
      </c>
      <c r="QZ4" s="80">
        <v>2549</v>
      </c>
      <c r="RA4" s="80">
        <v>2359</v>
      </c>
      <c r="RB4" s="80">
        <v>3297</v>
      </c>
      <c r="RC4" s="80">
        <v>3591</v>
      </c>
      <c r="RD4" s="80">
        <v>4688</v>
      </c>
      <c r="RE4" s="80">
        <v>3343</v>
      </c>
      <c r="RF4" s="80">
        <v>2947</v>
      </c>
      <c r="RG4" s="80">
        <v>2647</v>
      </c>
      <c r="RH4" s="80">
        <v>1632</v>
      </c>
      <c r="RJ4" s="80">
        <v>4957</v>
      </c>
      <c r="RK4" s="80">
        <v>2081</v>
      </c>
      <c r="RL4" s="80">
        <v>1994</v>
      </c>
      <c r="RM4" s="80">
        <v>2062</v>
      </c>
      <c r="RN4" s="80">
        <v>2544</v>
      </c>
      <c r="RO4" s="80">
        <v>2581</v>
      </c>
      <c r="RQ4" s="80">
        <v>4421</v>
      </c>
      <c r="RR4" s="80">
        <v>1685</v>
      </c>
      <c r="RS4" s="80">
        <v>1108</v>
      </c>
      <c r="RT4" s="80">
        <v>934</v>
      </c>
      <c r="RU4" s="80">
        <v>1520</v>
      </c>
      <c r="RV4" s="80">
        <v>1508</v>
      </c>
      <c r="RX4" s="80">
        <v>3500</v>
      </c>
      <c r="RY4" s="80">
        <v>2581</v>
      </c>
      <c r="RZ4" s="80">
        <v>2065</v>
      </c>
      <c r="SA4" s="80">
        <v>2957</v>
      </c>
      <c r="SB4" s="80">
        <v>3190</v>
      </c>
      <c r="SC4" s="80">
        <v>2738</v>
      </c>
      <c r="SD4" s="80">
        <v>3086</v>
      </c>
      <c r="SE4" s="80">
        <v>4555</v>
      </c>
      <c r="SF4" s="80">
        <v>2522</v>
      </c>
      <c r="SG4" s="80">
        <v>2054</v>
      </c>
      <c r="SH4" s="80">
        <v>3407</v>
      </c>
      <c r="SI4" s="80">
        <v>853</v>
      </c>
      <c r="SJ4" s="80">
        <v>1232</v>
      </c>
      <c r="SL4" s="80">
        <v>2108</v>
      </c>
      <c r="SM4" s="80">
        <v>1176</v>
      </c>
      <c r="SN4" s="80">
        <v>1264</v>
      </c>
      <c r="SO4" s="80">
        <v>1130</v>
      </c>
      <c r="SP4" s="80">
        <v>1337</v>
      </c>
      <c r="SQ4" s="80">
        <v>1882</v>
      </c>
      <c r="SS4" s="80">
        <v>3055</v>
      </c>
      <c r="ST4" s="80">
        <v>1511</v>
      </c>
      <c r="SU4" s="80">
        <v>1273</v>
      </c>
      <c r="SV4" s="80">
        <v>1824</v>
      </c>
      <c r="SW4" s="80">
        <v>1906</v>
      </c>
      <c r="SX4" s="80">
        <v>1721</v>
      </c>
      <c r="SZ4" s="80">
        <v>3120</v>
      </c>
      <c r="TA4" s="80">
        <v>2045</v>
      </c>
      <c r="TB4" s="80">
        <v>2313</v>
      </c>
      <c r="TC4" s="80">
        <v>2394</v>
      </c>
      <c r="TD4" s="80">
        <v>1602</v>
      </c>
      <c r="TE4" s="80">
        <v>1152</v>
      </c>
      <c r="TG4" s="80">
        <v>3459</v>
      </c>
      <c r="TH4" s="80">
        <v>3186</v>
      </c>
      <c r="TI4" s="80">
        <v>2795</v>
      </c>
      <c r="TJ4" s="80">
        <v>2458</v>
      </c>
      <c r="TK4" s="80">
        <v>4955</v>
      </c>
      <c r="TL4" s="80">
        <v>3465</v>
      </c>
      <c r="TN4" s="80">
        <v>3862</v>
      </c>
      <c r="TO4" s="80">
        <v>1125</v>
      </c>
      <c r="TP4" s="80">
        <v>1399</v>
      </c>
      <c r="TQ4" s="80">
        <v>1117</v>
      </c>
      <c r="TR4" s="80">
        <v>827</v>
      </c>
      <c r="TS4" s="80">
        <v>571</v>
      </c>
      <c r="TT4" s="80">
        <v>90</v>
      </c>
      <c r="TV4" s="80">
        <v>2472</v>
      </c>
      <c r="TW4" s="80">
        <v>1033</v>
      </c>
      <c r="TX4" s="80">
        <v>1312</v>
      </c>
      <c r="TY4" s="80">
        <v>1114</v>
      </c>
      <c r="TZ4" s="80">
        <v>1351</v>
      </c>
      <c r="UA4" s="80">
        <v>1210</v>
      </c>
      <c r="UB4" s="80">
        <v>762</v>
      </c>
      <c r="UC4" s="80">
        <v>751</v>
      </c>
      <c r="UD4" s="80">
        <v>853</v>
      </c>
      <c r="UE4" s="80">
        <v>1651</v>
      </c>
      <c r="UF4" s="80">
        <v>3268</v>
      </c>
      <c r="UG4" s="80">
        <v>3105</v>
      </c>
      <c r="UI4" s="80">
        <v>2732</v>
      </c>
      <c r="UJ4" s="80">
        <v>3384</v>
      </c>
      <c r="UK4" s="80">
        <v>5308</v>
      </c>
      <c r="UM4" s="80">
        <v>5313</v>
      </c>
      <c r="UN4" s="80">
        <v>2700</v>
      </c>
      <c r="UO4" s="80">
        <v>3366</v>
      </c>
      <c r="UP4" s="80">
        <v>5410</v>
      </c>
      <c r="UQ4" s="80">
        <v>5250</v>
      </c>
      <c r="UR4" s="80">
        <v>1916</v>
      </c>
      <c r="US4" s="80">
        <v>2080</v>
      </c>
      <c r="UT4" s="80">
        <v>1350</v>
      </c>
      <c r="UU4" s="80">
        <v>1547</v>
      </c>
      <c r="UW4" s="80">
        <v>2375</v>
      </c>
      <c r="UX4" s="80">
        <v>1486</v>
      </c>
      <c r="UY4" s="80">
        <v>1554</v>
      </c>
      <c r="UZ4" s="80">
        <v>2801</v>
      </c>
      <c r="VA4" s="80">
        <v>1922</v>
      </c>
      <c r="VB4" s="80">
        <v>2191</v>
      </c>
      <c r="VD4" s="80">
        <v>3057</v>
      </c>
      <c r="VE4" s="80">
        <v>1790</v>
      </c>
      <c r="VF4" s="80">
        <v>1268</v>
      </c>
      <c r="VG4" s="80">
        <v>1636</v>
      </c>
      <c r="VH4" s="80">
        <v>2009</v>
      </c>
      <c r="VI4" s="80">
        <v>3672</v>
      </c>
      <c r="VJ4" s="80">
        <v>3113</v>
      </c>
      <c r="VK4" s="80">
        <v>3885</v>
      </c>
      <c r="VL4" s="80">
        <v>3816</v>
      </c>
      <c r="VM4" s="80">
        <v>3040</v>
      </c>
      <c r="VN4" s="80">
        <v>3074</v>
      </c>
      <c r="VO4" s="80">
        <v>2857</v>
      </c>
      <c r="VP4" s="80">
        <v>3645</v>
      </c>
      <c r="VR4" s="80">
        <v>4007</v>
      </c>
      <c r="VT4" s="80">
        <v>5866</v>
      </c>
      <c r="VU4" s="80">
        <v>3836</v>
      </c>
      <c r="VV4" s="80">
        <v>7528</v>
      </c>
      <c r="VW4" s="80">
        <v>3652</v>
      </c>
      <c r="VX4" s="80">
        <v>2594</v>
      </c>
      <c r="VY4" s="80">
        <v>2459</v>
      </c>
      <c r="VZ4" s="80">
        <v>1540</v>
      </c>
      <c r="WA4" s="80">
        <v>1464</v>
      </c>
      <c r="WB4" s="80">
        <v>1445</v>
      </c>
      <c r="WC4" s="80">
        <v>1435</v>
      </c>
      <c r="WD4" s="80">
        <v>1595</v>
      </c>
      <c r="WF4" s="80">
        <v>3348</v>
      </c>
      <c r="WG4" s="80">
        <v>1885</v>
      </c>
      <c r="WH4" s="80">
        <v>1892</v>
      </c>
      <c r="WI4" s="80">
        <v>2353</v>
      </c>
      <c r="WJ4" s="80">
        <v>1972</v>
      </c>
      <c r="WK4" s="80">
        <v>1751</v>
      </c>
      <c r="WM4" s="80">
        <v>2759</v>
      </c>
      <c r="WN4" s="80">
        <v>1839</v>
      </c>
      <c r="WO4" s="80">
        <v>1093</v>
      </c>
      <c r="WP4" s="80">
        <v>3196</v>
      </c>
      <c r="WQ4" s="80">
        <v>3085</v>
      </c>
      <c r="WR4" s="80">
        <v>3260</v>
      </c>
      <c r="WT4" s="80">
        <v>4174</v>
      </c>
      <c r="WU4" s="80">
        <v>2754</v>
      </c>
      <c r="WV4" s="80">
        <v>3037</v>
      </c>
      <c r="WW4" s="80">
        <v>2587</v>
      </c>
      <c r="WX4" s="80">
        <v>3098</v>
      </c>
      <c r="WY4" s="80">
        <v>3228</v>
      </c>
      <c r="WZ4" s="80">
        <v>2293</v>
      </c>
      <c r="XA4" s="80">
        <v>7106</v>
      </c>
      <c r="XB4" s="80">
        <v>4774</v>
      </c>
      <c r="XC4" s="80">
        <v>2189</v>
      </c>
      <c r="XD4" s="80">
        <v>2008</v>
      </c>
      <c r="XE4" s="80">
        <v>1773</v>
      </c>
      <c r="XF4" s="80">
        <v>1655</v>
      </c>
      <c r="XH4" s="80">
        <v>3040</v>
      </c>
      <c r="XI4" s="80">
        <v>2777</v>
      </c>
      <c r="XJ4" s="80">
        <v>2956</v>
      </c>
      <c r="XK4" s="80">
        <v>2593</v>
      </c>
      <c r="XL4" s="80">
        <v>1268</v>
      </c>
      <c r="XM4" s="80">
        <v>1855</v>
      </c>
      <c r="XN4" s="80" t="s">
        <v>38</v>
      </c>
      <c r="XO4" s="80">
        <v>3108</v>
      </c>
      <c r="XP4" s="80">
        <v>2184</v>
      </c>
      <c r="XQ4" s="80">
        <v>2101</v>
      </c>
      <c r="XR4" s="80">
        <v>2004</v>
      </c>
      <c r="XS4" s="80">
        <v>3445</v>
      </c>
      <c r="XT4" s="80">
        <v>3251</v>
      </c>
      <c r="XU4" s="80">
        <v>2916</v>
      </c>
      <c r="XW4" s="80">
        <v>3909</v>
      </c>
      <c r="XX4" s="80">
        <v>1865</v>
      </c>
      <c r="XY4" s="80">
        <v>2382</v>
      </c>
      <c r="XZ4" s="80">
        <v>1771</v>
      </c>
      <c r="YA4" s="80">
        <v>1662</v>
      </c>
      <c r="YB4" s="80" t="s">
        <v>38</v>
      </c>
      <c r="YC4" s="80">
        <v>3521</v>
      </c>
      <c r="YD4" s="80">
        <v>2502</v>
      </c>
      <c r="YE4" s="80">
        <v>3053</v>
      </c>
      <c r="YF4" s="80">
        <v>4404</v>
      </c>
      <c r="YG4" s="80">
        <v>6710</v>
      </c>
      <c r="YH4" s="80">
        <v>6599</v>
      </c>
      <c r="YI4" s="80">
        <v>2566</v>
      </c>
      <c r="YJ4" s="80">
        <v>1764</v>
      </c>
      <c r="YL4" s="80">
        <v>2837</v>
      </c>
      <c r="YM4" s="80">
        <v>1827</v>
      </c>
      <c r="YN4" s="80">
        <v>2431</v>
      </c>
      <c r="YO4" s="80">
        <v>1677</v>
      </c>
      <c r="YQ4" s="80">
        <v>3461</v>
      </c>
      <c r="YR4" s="80">
        <v>1557</v>
      </c>
      <c r="YS4" s="80">
        <v>1708</v>
      </c>
      <c r="YT4" s="80">
        <v>1320</v>
      </c>
      <c r="YU4" s="80">
        <v>1235</v>
      </c>
      <c r="YV4" s="80">
        <v>1343</v>
      </c>
      <c r="YW4" s="80" t="s">
        <v>152</v>
      </c>
      <c r="YX4" s="85">
        <v>3875</v>
      </c>
      <c r="YY4" s="85">
        <v>3126</v>
      </c>
      <c r="YZ4" s="85">
        <v>3310</v>
      </c>
      <c r="ZA4" s="85">
        <v>3151</v>
      </c>
      <c r="ZB4" s="85">
        <v>2453</v>
      </c>
      <c r="ZC4" s="85">
        <v>2506</v>
      </c>
      <c r="ZE4" s="85">
        <v>3694</v>
      </c>
      <c r="ZF4" s="85">
        <v>3351</v>
      </c>
      <c r="ZG4" s="85">
        <v>3162</v>
      </c>
      <c r="ZH4" s="85">
        <v>3755</v>
      </c>
      <c r="ZI4" s="85">
        <v>3235</v>
      </c>
      <c r="ZJ4" s="85">
        <v>2958</v>
      </c>
      <c r="ZL4" s="85">
        <v>10675</v>
      </c>
      <c r="ZM4" s="85">
        <v>10569</v>
      </c>
      <c r="ZN4" s="85">
        <v>5927</v>
      </c>
      <c r="ZO4" s="85">
        <v>9342</v>
      </c>
      <c r="ZP4" s="85">
        <v>5440</v>
      </c>
      <c r="ZQ4" s="80">
        <v>1563</v>
      </c>
      <c r="ZR4" s="80">
        <v>0</v>
      </c>
      <c r="ZS4" s="83">
        <v>2433</v>
      </c>
      <c r="ZT4" s="83">
        <v>2046</v>
      </c>
      <c r="ZU4" s="83">
        <v>2422</v>
      </c>
      <c r="ZV4" s="83">
        <v>1529</v>
      </c>
      <c r="ZW4" s="83">
        <v>1650</v>
      </c>
      <c r="ZX4" s="83">
        <v>1955</v>
      </c>
      <c r="ZY4" s="83" t="s">
        <v>38</v>
      </c>
      <c r="ZZ4" s="83">
        <v>2765</v>
      </c>
      <c r="AAA4" s="83">
        <v>1293</v>
      </c>
      <c r="AAB4" s="83">
        <v>1709</v>
      </c>
      <c r="AAC4" s="83">
        <v>2646</v>
      </c>
      <c r="AAD4" s="83">
        <v>2484</v>
      </c>
      <c r="AAE4" s="83">
        <v>2270</v>
      </c>
      <c r="AAF4" s="83" t="s">
        <v>152</v>
      </c>
      <c r="AAG4" s="83">
        <v>3938</v>
      </c>
      <c r="AAH4" s="83">
        <v>2035</v>
      </c>
      <c r="AAI4" s="83">
        <v>2173</v>
      </c>
      <c r="AAJ4" s="85">
        <v>2195</v>
      </c>
      <c r="AAK4" s="85">
        <v>2109</v>
      </c>
      <c r="AAL4" s="85">
        <v>2280</v>
      </c>
      <c r="AAM4" s="80" t="s">
        <v>152</v>
      </c>
      <c r="AAN4" s="85">
        <v>3528</v>
      </c>
      <c r="AAO4" s="85">
        <v>3579</v>
      </c>
      <c r="AAP4" s="85">
        <v>4483</v>
      </c>
      <c r="AAQ4" s="85">
        <v>4373</v>
      </c>
      <c r="AAR4" s="83">
        <v>9591</v>
      </c>
      <c r="AAS4" s="83">
        <v>4505</v>
      </c>
      <c r="AAT4" s="83" t="s">
        <v>38</v>
      </c>
      <c r="AAU4" s="83" t="s">
        <v>38</v>
      </c>
      <c r="AAV4" s="83">
        <v>4927</v>
      </c>
      <c r="AAW4" s="83">
        <v>3290</v>
      </c>
      <c r="AAX4" s="83">
        <v>2246</v>
      </c>
      <c r="AAY4" s="113">
        <v>2067</v>
      </c>
      <c r="AAZ4" s="85">
        <v>1865</v>
      </c>
      <c r="ABA4" s="80" t="s">
        <v>152</v>
      </c>
      <c r="ABB4" s="85">
        <v>5343</v>
      </c>
      <c r="ABC4" s="85">
        <v>1103</v>
      </c>
      <c r="ABD4" s="85">
        <v>1584</v>
      </c>
      <c r="ABE4" s="121"/>
      <c r="ABF4" s="83">
        <v>3466</v>
      </c>
      <c r="ABG4" s="83">
        <v>2054</v>
      </c>
      <c r="ABH4" s="83" t="s">
        <v>38</v>
      </c>
      <c r="ABI4" s="83">
        <v>3974</v>
      </c>
      <c r="ABJ4" s="83">
        <v>2740</v>
      </c>
      <c r="ABK4" s="83">
        <v>2200</v>
      </c>
      <c r="ABL4" s="83">
        <v>2815</v>
      </c>
      <c r="ABM4" s="83">
        <v>2530</v>
      </c>
      <c r="ABN4" s="83">
        <v>2982</v>
      </c>
      <c r="ABP4" s="80">
        <v>5816</v>
      </c>
      <c r="ABQ4" s="80">
        <v>2839</v>
      </c>
      <c r="ABR4" s="80">
        <v>2490</v>
      </c>
      <c r="ABS4" s="80">
        <v>3829</v>
      </c>
      <c r="ABT4" s="80">
        <v>5859</v>
      </c>
      <c r="ABU4" s="80">
        <v>5179</v>
      </c>
      <c r="ABV4" s="80">
        <v>3994</v>
      </c>
      <c r="ABW4" s="80">
        <v>5807</v>
      </c>
      <c r="ABX4" s="80">
        <v>12740</v>
      </c>
      <c r="ABY4" s="80">
        <v>8997</v>
      </c>
      <c r="ABZ4" s="80">
        <v>4361</v>
      </c>
      <c r="ACA4" s="80">
        <v>3545</v>
      </c>
      <c r="ACB4" s="80">
        <v>1876</v>
      </c>
      <c r="ACC4" s="80">
        <v>0</v>
      </c>
      <c r="ACD4" s="80">
        <v>4680</v>
      </c>
      <c r="ACE4" s="80">
        <v>1882</v>
      </c>
      <c r="ACF4" s="80">
        <v>2713</v>
      </c>
      <c r="ACG4" s="80">
        <v>2261</v>
      </c>
      <c r="ACH4" s="80">
        <v>2436</v>
      </c>
      <c r="ACI4" s="80">
        <v>1904</v>
      </c>
      <c r="ACK4" s="80">
        <v>4195</v>
      </c>
      <c r="ACL4" s="80">
        <v>3191</v>
      </c>
      <c r="ACM4" s="80">
        <v>4800</v>
      </c>
      <c r="ACN4" s="80">
        <v>3014</v>
      </c>
      <c r="ACO4" s="80">
        <v>3467</v>
      </c>
      <c r="ACP4" s="80">
        <v>4669</v>
      </c>
      <c r="ACQ4" s="80">
        <v>0</v>
      </c>
      <c r="ACR4" s="80">
        <v>4723</v>
      </c>
      <c r="ACS4" s="80">
        <v>4766</v>
      </c>
      <c r="ACT4" s="80">
        <v>3204</v>
      </c>
      <c r="ACU4" s="80">
        <v>2915</v>
      </c>
      <c r="ACV4" s="80" t="s">
        <v>38</v>
      </c>
      <c r="ACW4" s="80">
        <v>5684</v>
      </c>
      <c r="ACX4" s="80">
        <v>4630</v>
      </c>
      <c r="ACY4" s="80">
        <v>4595</v>
      </c>
      <c r="ACZ4" s="80">
        <v>6890</v>
      </c>
      <c r="ADA4" s="80">
        <v>4610</v>
      </c>
      <c r="ADB4" s="80">
        <v>8328</v>
      </c>
      <c r="ADC4" s="80">
        <v>10879</v>
      </c>
      <c r="ADD4" s="80">
        <v>9219</v>
      </c>
      <c r="ADE4" s="80">
        <v>3669</v>
      </c>
      <c r="ADF4" s="80">
        <v>6640</v>
      </c>
      <c r="ADG4" s="80">
        <v>6348</v>
      </c>
      <c r="ADH4" s="80">
        <v>3568</v>
      </c>
      <c r="ADI4" s="80">
        <v>4397</v>
      </c>
      <c r="ADJ4" s="80">
        <v>4569</v>
      </c>
      <c r="ADK4" s="80">
        <v>2690</v>
      </c>
      <c r="ADL4" s="80">
        <v>1335</v>
      </c>
      <c r="ADM4" s="80">
        <v>4545</v>
      </c>
      <c r="ADN4" s="80">
        <v>3622</v>
      </c>
      <c r="ADO4" s="80">
        <v>3892</v>
      </c>
      <c r="ADP4" s="80">
        <v>4232</v>
      </c>
      <c r="ADQ4" s="80">
        <v>3067</v>
      </c>
      <c r="ADR4" s="80">
        <v>3053</v>
      </c>
      <c r="ADS4" s="80">
        <v>994</v>
      </c>
      <c r="ADT4" s="80">
        <v>4474</v>
      </c>
      <c r="ADU4" s="80">
        <v>2658</v>
      </c>
      <c r="ADX4" s="80">
        <v>3224</v>
      </c>
      <c r="ADY4" s="80">
        <v>2897</v>
      </c>
      <c r="ADZ4" s="80">
        <v>2113</v>
      </c>
      <c r="AEA4" s="80">
        <v>3339</v>
      </c>
      <c r="AEB4" s="80">
        <v>3735</v>
      </c>
      <c r="AEC4" s="80">
        <v>2570</v>
      </c>
      <c r="AED4" s="80">
        <v>2977</v>
      </c>
      <c r="AEE4" s="80">
        <v>2011</v>
      </c>
      <c r="AEF4" s="80">
        <v>1945</v>
      </c>
      <c r="AEG4" s="80" t="s">
        <v>38</v>
      </c>
      <c r="AEH4" s="80">
        <v>3926</v>
      </c>
      <c r="AEI4" s="80">
        <v>3471</v>
      </c>
      <c r="AEJ4" s="80">
        <v>2715</v>
      </c>
      <c r="AEK4" s="80">
        <v>3188</v>
      </c>
      <c r="AEL4" s="80">
        <v>4215</v>
      </c>
      <c r="AEM4" s="80">
        <v>2279</v>
      </c>
      <c r="AEN4" s="80">
        <v>2044</v>
      </c>
      <c r="AEO4" s="80">
        <v>2344</v>
      </c>
      <c r="AEP4" s="80">
        <v>2727</v>
      </c>
      <c r="AEQ4" s="80">
        <v>3930</v>
      </c>
      <c r="AER4" s="80">
        <v>2827</v>
      </c>
      <c r="AES4" s="80">
        <v>2808</v>
      </c>
      <c r="AET4" s="80">
        <v>2977</v>
      </c>
      <c r="AEU4" s="80">
        <v>2922</v>
      </c>
      <c r="AEV4" s="80">
        <v>2841</v>
      </c>
      <c r="AEW4" s="80">
        <v>5034</v>
      </c>
      <c r="AEX4" s="80">
        <v>3907</v>
      </c>
      <c r="AEY4" s="80">
        <v>2650</v>
      </c>
      <c r="AEZ4" s="80">
        <v>4449</v>
      </c>
      <c r="AFA4" s="80">
        <v>3105</v>
      </c>
      <c r="AFB4" s="80">
        <v>3130</v>
      </c>
      <c r="AFC4" s="80">
        <v>6640</v>
      </c>
      <c r="AFD4" s="80">
        <v>5468</v>
      </c>
      <c r="AFE4" s="80">
        <v>4093</v>
      </c>
      <c r="AFF4" s="80">
        <v>2964</v>
      </c>
      <c r="AFG4" s="80">
        <v>2843</v>
      </c>
      <c r="AFH4" s="80">
        <v>2793</v>
      </c>
      <c r="AFI4" s="80" t="s">
        <v>38</v>
      </c>
      <c r="AFJ4" s="80">
        <v>5618</v>
      </c>
      <c r="AFK4" s="80">
        <v>3588</v>
      </c>
      <c r="AFL4" s="80">
        <v>2384</v>
      </c>
      <c r="AFM4" s="80">
        <v>3042</v>
      </c>
      <c r="AFN4" s="80">
        <v>2959</v>
      </c>
      <c r="AFO4" s="80">
        <v>2965</v>
      </c>
      <c r="AFP4" s="80">
        <v>2006</v>
      </c>
      <c r="AFQ4" s="80">
        <v>3147</v>
      </c>
      <c r="AFR4" s="80">
        <v>2346</v>
      </c>
      <c r="AFS4" s="80">
        <v>2137</v>
      </c>
      <c r="AFT4" s="80">
        <v>1634</v>
      </c>
      <c r="AFU4" s="80">
        <v>3633</v>
      </c>
      <c r="AFV4" s="80">
        <v>3670</v>
      </c>
      <c r="AFW4" s="80">
        <v>1423</v>
      </c>
      <c r="AFX4" s="80">
        <v>3590</v>
      </c>
      <c r="AFY4" s="80">
        <v>3155</v>
      </c>
      <c r="AFZ4" s="80">
        <v>3413</v>
      </c>
      <c r="AGA4" s="80">
        <v>3214</v>
      </c>
      <c r="AGB4" s="80">
        <v>2967</v>
      </c>
      <c r="AGC4" s="80">
        <v>2888</v>
      </c>
      <c r="AGD4" s="80">
        <v>1420</v>
      </c>
      <c r="AGE4" s="80">
        <v>5043</v>
      </c>
      <c r="AGF4" s="80">
        <v>6437</v>
      </c>
      <c r="AGG4" s="80">
        <v>5457</v>
      </c>
      <c r="AGH4" s="80">
        <v>4491</v>
      </c>
      <c r="AGI4" s="80">
        <v>4339</v>
      </c>
      <c r="AGJ4" s="80">
        <v>159</v>
      </c>
      <c r="AGK4" s="80">
        <v>1824</v>
      </c>
      <c r="AGL4" s="80">
        <v>4266</v>
      </c>
      <c r="AGM4" s="80">
        <v>3318</v>
      </c>
      <c r="AGN4" s="80">
        <v>3636</v>
      </c>
      <c r="AGO4" s="80">
        <v>2359</v>
      </c>
      <c r="AGP4" s="80">
        <v>1932</v>
      </c>
      <c r="AGQ4" s="80">
        <v>2650</v>
      </c>
      <c r="AGR4" s="80">
        <v>2822</v>
      </c>
      <c r="AGS4" s="80">
        <v>2542</v>
      </c>
      <c r="AGT4" s="80">
        <v>3103</v>
      </c>
      <c r="AGU4" s="80">
        <v>2125</v>
      </c>
      <c r="AGV4" s="80">
        <v>2405</v>
      </c>
      <c r="AGW4" s="80">
        <v>2658</v>
      </c>
      <c r="AGX4" s="80">
        <v>2751</v>
      </c>
      <c r="AGY4" s="80" t="s">
        <v>38</v>
      </c>
      <c r="AGZ4" s="80">
        <v>4036</v>
      </c>
      <c r="AHA4" s="80">
        <v>2308</v>
      </c>
      <c r="AHB4" s="80">
        <v>3723</v>
      </c>
      <c r="AHC4" s="80">
        <v>5800</v>
      </c>
      <c r="AHD4" s="80">
        <v>5078</v>
      </c>
      <c r="AHE4" s="80">
        <v>3368</v>
      </c>
      <c r="AHF4" s="80" t="s">
        <v>38</v>
      </c>
      <c r="AHG4" s="80">
        <v>6236</v>
      </c>
      <c r="AHH4" s="80">
        <v>2568</v>
      </c>
      <c r="AHI4" s="80">
        <v>3597</v>
      </c>
      <c r="AHJ4" s="80">
        <v>3342</v>
      </c>
      <c r="AHK4" s="80">
        <v>3990</v>
      </c>
      <c r="AHL4" s="80">
        <v>5631</v>
      </c>
      <c r="AHM4" s="80">
        <v>5302</v>
      </c>
      <c r="AHN4" s="80">
        <v>4246</v>
      </c>
      <c r="AHO4" s="80">
        <v>3335</v>
      </c>
      <c r="AHP4" s="80">
        <v>2655</v>
      </c>
      <c r="AHQ4" s="80">
        <v>1956</v>
      </c>
      <c r="AHR4" s="80">
        <v>1632</v>
      </c>
      <c r="AHS4" s="80">
        <v>2439</v>
      </c>
      <c r="AHT4" s="80">
        <v>1401</v>
      </c>
      <c r="AHU4" s="80" t="s">
        <v>38</v>
      </c>
      <c r="AHV4" s="80" t="s">
        <v>38</v>
      </c>
      <c r="AHW4" s="80">
        <v>4291</v>
      </c>
      <c r="AHX4" s="80">
        <v>2412</v>
      </c>
      <c r="AHY4" s="80">
        <v>1887</v>
      </c>
      <c r="AHZ4" s="80">
        <v>2375</v>
      </c>
      <c r="AIA4" s="80" t="s">
        <v>38</v>
      </c>
      <c r="AIB4" s="80">
        <v>2983</v>
      </c>
      <c r="AIC4" s="80">
        <v>2565</v>
      </c>
      <c r="AID4" s="80">
        <v>2150</v>
      </c>
      <c r="AIE4" s="80">
        <v>2083</v>
      </c>
      <c r="AIF4" s="80">
        <v>2035</v>
      </c>
      <c r="AIG4" s="80">
        <v>2436</v>
      </c>
      <c r="AIH4" s="80" t="s">
        <v>38</v>
      </c>
      <c r="AII4" s="80">
        <v>4475</v>
      </c>
      <c r="AIJ4" s="80">
        <v>2583</v>
      </c>
      <c r="AIK4" s="80">
        <v>4244</v>
      </c>
      <c r="AIL4" s="80">
        <v>2716</v>
      </c>
      <c r="AIM4" s="80">
        <v>1454</v>
      </c>
      <c r="AIN4" s="80">
        <v>4522</v>
      </c>
      <c r="AIO4" s="80">
        <v>2741</v>
      </c>
      <c r="AIP4" s="80">
        <v>4382</v>
      </c>
      <c r="AIQ4" s="80">
        <v>7864</v>
      </c>
      <c r="AIR4" s="80">
        <v>9201</v>
      </c>
      <c r="AIS4" s="80">
        <v>5731</v>
      </c>
      <c r="AIT4" s="80">
        <v>3382</v>
      </c>
      <c r="AIU4" s="80">
        <v>1933</v>
      </c>
      <c r="AIV4" s="80">
        <v>1893</v>
      </c>
      <c r="AIW4" s="80">
        <v>2168</v>
      </c>
      <c r="AIX4" s="80">
        <v>4802</v>
      </c>
      <c r="AIY4" s="80">
        <v>2648</v>
      </c>
      <c r="AIZ4" s="80">
        <v>2776</v>
      </c>
      <c r="AJA4" s="80">
        <v>4455</v>
      </c>
      <c r="AJB4" s="80">
        <v>2611</v>
      </c>
      <c r="AJC4" s="80">
        <v>1847</v>
      </c>
      <c r="AJD4" s="85">
        <v>3510</v>
      </c>
      <c r="AJE4" s="85">
        <v>2595</v>
      </c>
      <c r="AJF4" s="85">
        <v>3214</v>
      </c>
      <c r="AJG4" s="85">
        <v>4241</v>
      </c>
      <c r="AJH4" s="85">
        <v>4392</v>
      </c>
      <c r="AJI4" s="85">
        <v>6011</v>
      </c>
      <c r="AJJ4" s="80" t="s">
        <v>38</v>
      </c>
      <c r="AJK4" s="80">
        <v>4967</v>
      </c>
      <c r="AJL4" s="80">
        <v>5417</v>
      </c>
      <c r="AJM4" s="80">
        <v>4651</v>
      </c>
      <c r="AJN4" s="80">
        <v>4546</v>
      </c>
      <c r="AJO4" s="80">
        <v>4067</v>
      </c>
      <c r="AJP4" s="80">
        <v>3134</v>
      </c>
      <c r="AJQ4" s="80">
        <v>2712</v>
      </c>
      <c r="AJR4" s="80" t="s">
        <v>38</v>
      </c>
      <c r="AJS4" s="80">
        <v>4527</v>
      </c>
      <c r="AJT4" s="80">
        <v>1708</v>
      </c>
      <c r="AJU4" s="80">
        <v>4037</v>
      </c>
      <c r="AJV4" s="80">
        <v>6321</v>
      </c>
      <c r="AJW4" s="80">
        <v>6138</v>
      </c>
      <c r="AJX4" s="80">
        <v>3780</v>
      </c>
      <c r="AJY4" s="80">
        <v>5133</v>
      </c>
      <c r="AJZ4" s="80">
        <v>4020</v>
      </c>
      <c r="AKA4" s="80">
        <v>5174</v>
      </c>
      <c r="AKB4" s="80">
        <v>2537</v>
      </c>
      <c r="AKC4" s="80">
        <v>2136</v>
      </c>
      <c r="AKD4" s="80">
        <v>3165</v>
      </c>
      <c r="AKE4" s="80" t="s">
        <v>38</v>
      </c>
      <c r="AKF4" s="80">
        <v>4687</v>
      </c>
    </row>
    <row r="5" spans="1:976" s="103" customFormat="1">
      <c r="A5" s="102">
        <v>3</v>
      </c>
      <c r="B5" s="103" t="s">
        <v>155</v>
      </c>
      <c r="C5" s="104">
        <v>82658</v>
      </c>
      <c r="D5" s="105" t="s">
        <v>147</v>
      </c>
      <c r="E5" s="105" t="s">
        <v>150</v>
      </c>
      <c r="F5" s="104" t="s">
        <v>31</v>
      </c>
      <c r="G5" s="104" t="s">
        <v>33</v>
      </c>
      <c r="H5" s="104" t="s">
        <v>150</v>
      </c>
      <c r="I5" s="104" t="s">
        <v>151</v>
      </c>
      <c r="J5" s="104" t="s">
        <v>46</v>
      </c>
      <c r="K5" s="106">
        <v>0</v>
      </c>
      <c r="L5" s="106">
        <v>2298</v>
      </c>
      <c r="M5" s="106">
        <v>2751</v>
      </c>
      <c r="N5" s="106">
        <v>2861</v>
      </c>
      <c r="O5" s="106" t="s">
        <v>38</v>
      </c>
      <c r="P5" s="106">
        <v>2450</v>
      </c>
      <c r="Q5" s="106">
        <v>3956</v>
      </c>
      <c r="R5" s="106">
        <v>3031</v>
      </c>
      <c r="S5" s="106">
        <v>4205</v>
      </c>
      <c r="T5" s="106">
        <v>4460</v>
      </c>
      <c r="U5" s="106" t="s">
        <v>38</v>
      </c>
      <c r="V5" s="106" t="s">
        <v>38</v>
      </c>
      <c r="W5" s="106">
        <v>0</v>
      </c>
      <c r="X5" s="106">
        <v>2</v>
      </c>
      <c r="Y5" s="106">
        <v>1138</v>
      </c>
      <c r="Z5" s="106">
        <v>3944</v>
      </c>
      <c r="AA5" s="106">
        <v>6676</v>
      </c>
      <c r="AB5" s="106">
        <v>3754</v>
      </c>
      <c r="AC5" s="106" t="s">
        <v>38</v>
      </c>
      <c r="AD5" s="106">
        <v>3810</v>
      </c>
      <c r="AE5" s="106">
        <v>1900</v>
      </c>
      <c r="AF5" s="106">
        <v>3318</v>
      </c>
      <c r="AG5" s="106">
        <v>3470</v>
      </c>
      <c r="AH5" s="106">
        <v>4922</v>
      </c>
      <c r="AI5" s="106">
        <v>2</v>
      </c>
      <c r="AJ5" s="106" t="s">
        <v>38</v>
      </c>
      <c r="AK5" s="106">
        <v>2152</v>
      </c>
      <c r="AL5" s="106">
        <v>3816</v>
      </c>
      <c r="AM5" s="106">
        <v>4670</v>
      </c>
      <c r="AN5" s="106">
        <v>5905</v>
      </c>
      <c r="AO5" s="106">
        <v>4542</v>
      </c>
      <c r="AP5" s="106">
        <v>2284</v>
      </c>
      <c r="AQ5" s="106" t="s">
        <v>38</v>
      </c>
      <c r="AR5" s="106">
        <v>7292</v>
      </c>
      <c r="AS5" s="106" t="s">
        <v>38</v>
      </c>
      <c r="AT5" s="106">
        <v>5102</v>
      </c>
      <c r="AU5" s="106">
        <v>6368</v>
      </c>
      <c r="AV5" s="106">
        <v>5436</v>
      </c>
      <c r="AW5" s="106">
        <v>4076</v>
      </c>
      <c r="AX5" s="106" t="s">
        <v>38</v>
      </c>
      <c r="AY5" s="106">
        <v>8</v>
      </c>
      <c r="AZ5" s="106">
        <v>0</v>
      </c>
      <c r="BA5" s="106">
        <v>2</v>
      </c>
      <c r="BB5" s="106">
        <v>2</v>
      </c>
      <c r="BC5" s="106">
        <v>0</v>
      </c>
      <c r="BD5" s="106">
        <v>4</v>
      </c>
      <c r="BE5" s="106">
        <v>7636</v>
      </c>
      <c r="BF5" s="106">
        <v>10698</v>
      </c>
      <c r="BG5" s="106">
        <v>4760</v>
      </c>
      <c r="BH5" s="106">
        <v>5722</v>
      </c>
      <c r="BI5" s="103">
        <v>4990</v>
      </c>
      <c r="BJ5" s="103">
        <v>2858</v>
      </c>
      <c r="BK5" s="103">
        <v>6482</v>
      </c>
      <c r="BL5" s="103" t="s">
        <v>38</v>
      </c>
      <c r="BM5" s="103">
        <v>754</v>
      </c>
      <c r="BN5" s="103">
        <v>4178</v>
      </c>
      <c r="BO5" s="103">
        <v>1858</v>
      </c>
      <c r="BP5" s="103">
        <v>4882</v>
      </c>
      <c r="BQ5" s="103">
        <v>558</v>
      </c>
      <c r="BR5" s="103" t="s">
        <v>38</v>
      </c>
      <c r="BS5" s="103" t="s">
        <v>38</v>
      </c>
      <c r="BT5" s="103" t="s">
        <v>38</v>
      </c>
      <c r="BU5" s="103" t="s">
        <v>38</v>
      </c>
      <c r="BV5" s="103">
        <v>13138</v>
      </c>
      <c r="BW5" s="103">
        <v>1979</v>
      </c>
      <c r="BX5" s="103">
        <v>2520</v>
      </c>
      <c r="BY5" s="103">
        <v>2024</v>
      </c>
      <c r="BZ5" s="103" t="s">
        <v>38</v>
      </c>
      <c r="CA5" s="103">
        <v>4534</v>
      </c>
      <c r="CB5" s="103">
        <v>4753</v>
      </c>
      <c r="CC5" s="103">
        <v>2494</v>
      </c>
      <c r="CD5" s="103">
        <v>2240</v>
      </c>
      <c r="CE5" s="103">
        <v>1938</v>
      </c>
      <c r="CF5" s="103">
        <v>2524</v>
      </c>
      <c r="CG5" s="103" t="s">
        <v>38</v>
      </c>
      <c r="CH5" s="103">
        <v>258</v>
      </c>
      <c r="CI5" s="103">
        <v>1908</v>
      </c>
      <c r="CJ5" s="103">
        <v>1510</v>
      </c>
      <c r="CK5" s="103">
        <v>1559</v>
      </c>
      <c r="CL5" s="103">
        <v>1434</v>
      </c>
      <c r="CM5" s="103" t="s">
        <v>38</v>
      </c>
      <c r="CN5" s="103" t="s">
        <v>38</v>
      </c>
      <c r="CO5" s="103">
        <v>1691</v>
      </c>
      <c r="CP5" s="103">
        <v>3050</v>
      </c>
      <c r="CQ5" s="103">
        <v>4459</v>
      </c>
      <c r="CR5" s="103">
        <v>4308</v>
      </c>
      <c r="CS5" s="103">
        <v>3575</v>
      </c>
      <c r="CT5" s="103">
        <v>3062</v>
      </c>
      <c r="CU5" s="103">
        <v>3</v>
      </c>
      <c r="CV5" s="103">
        <v>2533</v>
      </c>
      <c r="CW5" s="103">
        <v>1758</v>
      </c>
      <c r="CX5" s="103">
        <v>1513</v>
      </c>
      <c r="CY5" s="103">
        <v>1100</v>
      </c>
      <c r="CZ5" s="103">
        <v>0</v>
      </c>
      <c r="DA5" s="103" t="s">
        <v>38</v>
      </c>
      <c r="DB5" s="103">
        <v>2</v>
      </c>
      <c r="DC5" s="103">
        <v>1</v>
      </c>
      <c r="DD5" s="103">
        <v>3253</v>
      </c>
      <c r="DE5" s="103">
        <v>2409</v>
      </c>
      <c r="DF5" s="103">
        <v>4672</v>
      </c>
      <c r="DG5" s="103">
        <v>3340</v>
      </c>
      <c r="DH5" s="103">
        <v>3215</v>
      </c>
      <c r="DI5" s="103" t="s">
        <v>38</v>
      </c>
      <c r="DJ5" s="103">
        <v>2968</v>
      </c>
      <c r="DK5" s="103">
        <v>3491</v>
      </c>
      <c r="DL5" s="103">
        <v>3932</v>
      </c>
      <c r="DM5" s="103">
        <v>3939</v>
      </c>
      <c r="DN5" s="103">
        <v>2925</v>
      </c>
      <c r="DO5" s="103" t="s">
        <v>38</v>
      </c>
      <c r="DP5" s="103" t="s">
        <v>38</v>
      </c>
      <c r="DQ5" s="103">
        <v>3387</v>
      </c>
      <c r="DR5" s="103">
        <v>3902</v>
      </c>
      <c r="DS5" s="103">
        <v>2383</v>
      </c>
      <c r="DT5" s="103">
        <v>1474</v>
      </c>
      <c r="DU5" s="103">
        <v>2976</v>
      </c>
      <c r="DV5" s="103">
        <v>1688</v>
      </c>
      <c r="DW5" s="103" t="s">
        <v>38</v>
      </c>
      <c r="DX5" s="103">
        <v>1761</v>
      </c>
      <c r="DY5" s="103">
        <v>365</v>
      </c>
      <c r="DZ5" s="103">
        <v>2703</v>
      </c>
      <c r="EA5" s="103">
        <v>2831</v>
      </c>
      <c r="EB5" s="103">
        <v>3514</v>
      </c>
      <c r="EC5" s="103">
        <v>1201</v>
      </c>
      <c r="ED5" s="103">
        <v>2</v>
      </c>
      <c r="EE5" s="103">
        <v>2884</v>
      </c>
      <c r="EF5" s="103">
        <v>2217</v>
      </c>
      <c r="EG5" s="103">
        <v>3253</v>
      </c>
      <c r="EH5" s="103">
        <v>1677</v>
      </c>
      <c r="EI5" s="103">
        <v>2959</v>
      </c>
      <c r="EJ5" s="103">
        <v>2851</v>
      </c>
      <c r="EL5" s="103">
        <v>3746</v>
      </c>
      <c r="EM5" s="103">
        <v>3914</v>
      </c>
      <c r="EN5" s="103">
        <v>3136</v>
      </c>
      <c r="EO5" s="103">
        <v>1761</v>
      </c>
      <c r="EP5" s="103">
        <v>2585</v>
      </c>
      <c r="EQ5" s="103">
        <v>4446</v>
      </c>
      <c r="ER5" s="103">
        <v>4497</v>
      </c>
      <c r="ES5" s="103">
        <v>1991</v>
      </c>
      <c r="ET5" s="103">
        <v>60</v>
      </c>
      <c r="EU5" s="103">
        <v>185</v>
      </c>
      <c r="EV5" s="103">
        <v>2734</v>
      </c>
      <c r="EW5" s="103">
        <v>1139</v>
      </c>
      <c r="EX5" s="103">
        <v>203</v>
      </c>
      <c r="EZ5" s="103">
        <v>4078</v>
      </c>
      <c r="FA5" s="103">
        <v>3097</v>
      </c>
      <c r="FB5" s="103">
        <v>2677</v>
      </c>
      <c r="FC5" s="103">
        <v>1496</v>
      </c>
      <c r="FD5" s="103">
        <v>2086</v>
      </c>
      <c r="FE5" s="103">
        <v>1561</v>
      </c>
      <c r="FF5" s="103" t="s">
        <v>38</v>
      </c>
      <c r="FG5" s="103">
        <v>2044</v>
      </c>
      <c r="FH5" s="103">
        <v>702</v>
      </c>
      <c r="FI5" s="103">
        <v>1527</v>
      </c>
      <c r="FJ5" s="103">
        <v>1570</v>
      </c>
      <c r="FK5" s="103">
        <v>1901</v>
      </c>
      <c r="FL5" s="103">
        <v>1982</v>
      </c>
      <c r="FM5" s="103">
        <v>3423</v>
      </c>
      <c r="FN5" s="103">
        <v>2959</v>
      </c>
      <c r="FO5" s="103">
        <v>2851</v>
      </c>
      <c r="FP5" s="103" t="s">
        <v>38</v>
      </c>
      <c r="FQ5" s="103">
        <v>3746</v>
      </c>
      <c r="FR5" s="103">
        <v>3914</v>
      </c>
      <c r="FS5" s="103">
        <v>3136</v>
      </c>
      <c r="FT5" s="103">
        <v>1761</v>
      </c>
      <c r="FU5" s="103">
        <v>1685</v>
      </c>
      <c r="FV5" s="103">
        <v>1567</v>
      </c>
      <c r="FW5" s="103">
        <v>3828</v>
      </c>
      <c r="FX5" s="103">
        <v>2881</v>
      </c>
      <c r="FY5" s="103">
        <v>3891</v>
      </c>
      <c r="FZ5" s="103">
        <v>3069</v>
      </c>
      <c r="GA5" s="103">
        <v>1493</v>
      </c>
      <c r="GB5" s="103">
        <v>1428</v>
      </c>
      <c r="GC5" s="103">
        <v>4533</v>
      </c>
      <c r="GI5" s="103" t="s">
        <v>38</v>
      </c>
      <c r="GJ5" s="103" t="s">
        <v>38</v>
      </c>
      <c r="GK5" s="103" t="s">
        <v>38</v>
      </c>
      <c r="GL5" s="103" t="s">
        <v>38</v>
      </c>
      <c r="GM5" s="103">
        <v>1898</v>
      </c>
      <c r="GN5" s="103">
        <v>3</v>
      </c>
      <c r="GO5" s="103">
        <v>1</v>
      </c>
      <c r="GP5" s="103" t="s">
        <v>38</v>
      </c>
      <c r="GQ5" s="103">
        <v>4101</v>
      </c>
      <c r="GR5" s="103">
        <v>3539</v>
      </c>
      <c r="GS5" s="103">
        <v>3728</v>
      </c>
      <c r="GT5" s="103">
        <v>3923</v>
      </c>
      <c r="GU5" s="103">
        <v>1228</v>
      </c>
      <c r="GW5" s="103">
        <v>1842</v>
      </c>
      <c r="GX5" s="103">
        <v>832</v>
      </c>
      <c r="GY5" s="103">
        <v>1441</v>
      </c>
      <c r="GZ5" s="103">
        <v>518</v>
      </c>
      <c r="HA5" s="103">
        <v>32</v>
      </c>
      <c r="HB5" s="103" t="s">
        <v>38</v>
      </c>
      <c r="HD5" s="103">
        <v>1</v>
      </c>
      <c r="HE5" s="103">
        <v>736</v>
      </c>
      <c r="HF5" s="103" t="s">
        <v>38</v>
      </c>
      <c r="HG5" s="103">
        <v>1</v>
      </c>
      <c r="HH5" s="103">
        <v>2721</v>
      </c>
      <c r="HI5" s="103">
        <v>2202</v>
      </c>
      <c r="HJ5" s="103" t="s">
        <v>38</v>
      </c>
      <c r="HK5" s="103">
        <v>3712</v>
      </c>
      <c r="HL5" s="103">
        <v>4169</v>
      </c>
      <c r="HM5" s="103">
        <v>3210</v>
      </c>
      <c r="HN5" s="103">
        <v>3734</v>
      </c>
      <c r="HO5" s="103">
        <v>3789</v>
      </c>
      <c r="HP5" s="103">
        <v>2115</v>
      </c>
      <c r="HQ5" s="103">
        <v>1496</v>
      </c>
      <c r="HR5" s="103" t="s">
        <v>38</v>
      </c>
      <c r="HS5" s="103">
        <v>1997</v>
      </c>
      <c r="HT5" s="103">
        <v>3178</v>
      </c>
      <c r="HU5" s="103">
        <v>2155</v>
      </c>
      <c r="HV5" s="103">
        <v>3231</v>
      </c>
      <c r="HW5" s="103">
        <v>2791</v>
      </c>
      <c r="HY5" s="103">
        <v>1881</v>
      </c>
      <c r="HZ5" s="103">
        <v>2115</v>
      </c>
      <c r="IA5" s="103">
        <v>1746</v>
      </c>
      <c r="IB5" s="103">
        <v>2538</v>
      </c>
      <c r="IC5" s="103">
        <v>1932</v>
      </c>
      <c r="ID5" s="103">
        <v>1939</v>
      </c>
      <c r="IE5" s="103" t="s">
        <v>38</v>
      </c>
      <c r="IF5" s="103">
        <v>1</v>
      </c>
      <c r="IG5" s="103">
        <v>1694</v>
      </c>
      <c r="IH5" s="103">
        <v>1647</v>
      </c>
      <c r="II5" s="103">
        <v>1843</v>
      </c>
      <c r="IJ5" s="103">
        <v>2243</v>
      </c>
      <c r="IK5" s="103">
        <v>2371</v>
      </c>
      <c r="IL5" s="103" t="s">
        <v>38</v>
      </c>
      <c r="IM5" s="103">
        <v>4294</v>
      </c>
      <c r="IN5" s="103">
        <v>1788</v>
      </c>
      <c r="IO5" s="103">
        <v>3812</v>
      </c>
      <c r="IP5" s="103">
        <v>1457</v>
      </c>
      <c r="IQ5" s="103">
        <v>1720</v>
      </c>
      <c r="IR5" s="103">
        <v>1359</v>
      </c>
      <c r="IS5" s="103" t="s">
        <v>38</v>
      </c>
      <c r="IT5" s="103">
        <v>2752</v>
      </c>
      <c r="IU5" s="103">
        <v>2735</v>
      </c>
      <c r="IV5" s="103">
        <v>2094</v>
      </c>
      <c r="IW5" s="103">
        <v>4288</v>
      </c>
      <c r="IX5" s="103">
        <v>4150</v>
      </c>
      <c r="IY5" s="103">
        <v>1855</v>
      </c>
      <c r="IZ5" s="103" t="s">
        <v>38</v>
      </c>
      <c r="JA5" s="103">
        <v>1302</v>
      </c>
      <c r="JB5" s="103">
        <v>2632</v>
      </c>
      <c r="JC5" s="103">
        <v>464</v>
      </c>
      <c r="JD5" s="103">
        <v>2243</v>
      </c>
      <c r="JE5" s="103">
        <v>3162</v>
      </c>
      <c r="JF5" s="103">
        <v>2218</v>
      </c>
      <c r="JH5" s="103">
        <v>3337</v>
      </c>
      <c r="JI5" s="103">
        <v>2323</v>
      </c>
      <c r="JJ5" s="103">
        <v>2317</v>
      </c>
      <c r="JK5" s="103">
        <v>1457</v>
      </c>
      <c r="JL5" s="103">
        <v>1948</v>
      </c>
      <c r="JM5" s="103">
        <v>1913</v>
      </c>
      <c r="JO5" s="103">
        <v>4340</v>
      </c>
      <c r="JP5" s="103">
        <v>3775</v>
      </c>
      <c r="JQ5" s="103">
        <v>3319</v>
      </c>
      <c r="JR5" s="103">
        <v>4117</v>
      </c>
      <c r="JS5" s="103">
        <v>2183</v>
      </c>
      <c r="JT5" s="103">
        <v>2434</v>
      </c>
      <c r="JU5" s="103" t="s">
        <v>38</v>
      </c>
      <c r="JV5" s="103" t="s">
        <v>38</v>
      </c>
      <c r="JW5" s="103">
        <v>2679</v>
      </c>
      <c r="JX5" s="103">
        <v>2943</v>
      </c>
      <c r="JY5" s="103">
        <v>2619</v>
      </c>
      <c r="JZ5" s="103">
        <v>3171</v>
      </c>
      <c r="KA5" s="103">
        <v>3284</v>
      </c>
      <c r="KC5" s="103">
        <v>3217</v>
      </c>
      <c r="KD5" s="103">
        <v>897</v>
      </c>
      <c r="KE5" s="103">
        <v>1884</v>
      </c>
      <c r="KF5" s="103">
        <v>103</v>
      </c>
      <c r="KG5" s="103">
        <v>1414</v>
      </c>
      <c r="KH5" s="103">
        <v>2235</v>
      </c>
      <c r="KI5" s="103">
        <v>2326</v>
      </c>
      <c r="KK5" s="103">
        <v>3270</v>
      </c>
      <c r="KL5" s="103">
        <v>1390</v>
      </c>
      <c r="KM5" s="103">
        <v>1912</v>
      </c>
      <c r="KN5" s="103">
        <v>697</v>
      </c>
      <c r="KO5" s="103">
        <v>1623</v>
      </c>
      <c r="KQ5" s="103">
        <v>2088</v>
      </c>
      <c r="KR5" s="103">
        <v>3028</v>
      </c>
      <c r="KS5" s="103">
        <v>4691</v>
      </c>
      <c r="KT5" s="103">
        <v>2739</v>
      </c>
      <c r="KU5" s="103">
        <v>2215</v>
      </c>
      <c r="KV5" s="103">
        <v>2426</v>
      </c>
      <c r="KW5" s="103">
        <v>3997</v>
      </c>
      <c r="KX5" s="103">
        <v>2691</v>
      </c>
      <c r="KY5" s="103">
        <v>2549</v>
      </c>
      <c r="KZ5" s="103">
        <v>2285</v>
      </c>
      <c r="LA5" s="103">
        <v>2339</v>
      </c>
      <c r="LB5" s="103">
        <v>3564</v>
      </c>
      <c r="LC5" s="103">
        <v>2786</v>
      </c>
      <c r="LD5" s="103" t="s">
        <v>38</v>
      </c>
      <c r="LE5" s="103">
        <v>2560</v>
      </c>
      <c r="LF5" s="103">
        <v>4556</v>
      </c>
      <c r="LG5" s="103">
        <v>5069</v>
      </c>
      <c r="LH5" s="103">
        <v>5104</v>
      </c>
      <c r="LI5" s="103">
        <v>4072</v>
      </c>
      <c r="LJ5" s="103">
        <v>2722</v>
      </c>
      <c r="LK5" s="103">
        <v>2369</v>
      </c>
      <c r="LL5" s="103">
        <v>780</v>
      </c>
      <c r="LM5" s="103">
        <v>943</v>
      </c>
      <c r="LN5" s="103">
        <v>763</v>
      </c>
      <c r="LO5" s="103">
        <v>6266</v>
      </c>
      <c r="LP5" s="103">
        <v>5216</v>
      </c>
      <c r="LQ5" s="103">
        <v>1974</v>
      </c>
      <c r="LR5" s="103">
        <v>1196</v>
      </c>
      <c r="LS5" s="103">
        <v>2135</v>
      </c>
      <c r="LT5" s="103">
        <v>3201</v>
      </c>
      <c r="LU5" s="103">
        <v>3252</v>
      </c>
      <c r="LV5" s="103">
        <v>2596</v>
      </c>
      <c r="LW5" s="103">
        <v>1</v>
      </c>
      <c r="LX5" s="103" t="s">
        <v>38</v>
      </c>
      <c r="LZ5" s="103">
        <v>4732</v>
      </c>
      <c r="MA5" s="103">
        <v>1269</v>
      </c>
      <c r="MB5" s="103">
        <v>6712</v>
      </c>
      <c r="MC5" s="103">
        <v>4981</v>
      </c>
      <c r="MD5" s="103">
        <v>777</v>
      </c>
      <c r="ME5" s="103">
        <v>56</v>
      </c>
      <c r="MG5" s="103">
        <v>92</v>
      </c>
      <c r="MH5" s="103">
        <v>1105</v>
      </c>
      <c r="MI5" s="103">
        <v>1332</v>
      </c>
      <c r="MJ5" s="103">
        <v>1755</v>
      </c>
      <c r="MK5" s="103">
        <v>5695</v>
      </c>
      <c r="ML5" s="103">
        <v>5130</v>
      </c>
      <c r="MM5" s="103">
        <v>397</v>
      </c>
      <c r="MN5" s="103">
        <v>314</v>
      </c>
      <c r="MO5" s="103">
        <v>1869</v>
      </c>
      <c r="MP5" s="103">
        <v>1380</v>
      </c>
      <c r="MQ5" s="103">
        <v>3238</v>
      </c>
      <c r="MR5" s="103">
        <v>1196</v>
      </c>
      <c r="MS5" s="103">
        <v>2510</v>
      </c>
      <c r="MT5" s="103">
        <v>1769</v>
      </c>
      <c r="MU5" s="103">
        <v>352</v>
      </c>
      <c r="MV5" s="103">
        <v>3396</v>
      </c>
      <c r="MW5" s="103">
        <v>683</v>
      </c>
      <c r="MX5" s="103">
        <v>2421</v>
      </c>
      <c r="MY5" s="103">
        <v>742</v>
      </c>
      <c r="MZ5" s="103">
        <v>304</v>
      </c>
      <c r="NA5" s="103">
        <v>106</v>
      </c>
      <c r="NB5" s="103">
        <v>8100</v>
      </c>
      <c r="NC5" s="103">
        <v>1903</v>
      </c>
      <c r="ND5" s="103">
        <v>78</v>
      </c>
      <c r="NE5" s="103">
        <v>930</v>
      </c>
      <c r="NF5" s="103">
        <v>10758</v>
      </c>
      <c r="NG5" s="103">
        <v>2443</v>
      </c>
      <c r="NI5" s="103">
        <v>4643</v>
      </c>
      <c r="NJ5" s="103">
        <v>2711</v>
      </c>
      <c r="NK5" s="103">
        <v>2120</v>
      </c>
      <c r="NL5" s="103">
        <v>1027</v>
      </c>
      <c r="NM5" s="103">
        <v>1611</v>
      </c>
      <c r="NN5" s="103">
        <v>4691</v>
      </c>
      <c r="NP5" s="103">
        <v>1095</v>
      </c>
      <c r="NQ5" s="103">
        <v>5930</v>
      </c>
      <c r="NR5" s="103">
        <v>340</v>
      </c>
      <c r="NS5" s="103">
        <v>274</v>
      </c>
      <c r="NT5" s="103">
        <v>3810</v>
      </c>
      <c r="NU5" s="103">
        <v>2536</v>
      </c>
      <c r="NV5" s="103">
        <v>74</v>
      </c>
      <c r="NW5" s="103">
        <v>2504</v>
      </c>
      <c r="NX5" s="103">
        <v>5154</v>
      </c>
      <c r="NY5" s="103">
        <v>1454</v>
      </c>
      <c r="NZ5" s="103">
        <v>1315</v>
      </c>
      <c r="OA5" s="103">
        <v>950</v>
      </c>
      <c r="OB5" s="103">
        <v>1723</v>
      </c>
      <c r="OC5" s="103">
        <v>3630</v>
      </c>
      <c r="OD5" s="103">
        <v>3655</v>
      </c>
      <c r="OE5" s="103">
        <v>1336</v>
      </c>
      <c r="OF5" s="103">
        <v>1564</v>
      </c>
      <c r="OG5" s="103">
        <v>894</v>
      </c>
      <c r="OH5" s="103">
        <v>138</v>
      </c>
      <c r="OI5" s="103">
        <v>1566</v>
      </c>
      <c r="OJ5" s="103">
        <v>59</v>
      </c>
      <c r="OK5" s="103">
        <v>2545</v>
      </c>
      <c r="OL5" s="103">
        <v>1082</v>
      </c>
      <c r="OM5" s="103">
        <v>3972</v>
      </c>
      <c r="ON5" s="103">
        <v>1656</v>
      </c>
      <c r="OO5" s="103">
        <v>2319</v>
      </c>
      <c r="OP5" s="103">
        <v>2994</v>
      </c>
      <c r="OR5" s="103">
        <v>5114</v>
      </c>
      <c r="OS5" s="103">
        <v>4147</v>
      </c>
      <c r="OT5" s="103">
        <v>5124</v>
      </c>
      <c r="OV5" s="103">
        <v>2512</v>
      </c>
      <c r="OW5" s="103">
        <v>1989</v>
      </c>
      <c r="OX5" s="103">
        <v>132</v>
      </c>
      <c r="OY5" s="103">
        <v>6199</v>
      </c>
      <c r="OZ5" s="103">
        <v>4330</v>
      </c>
      <c r="PA5" s="103">
        <v>1977</v>
      </c>
      <c r="PB5" s="103">
        <v>2441</v>
      </c>
      <c r="PC5" s="103">
        <v>2482</v>
      </c>
      <c r="PD5" s="103">
        <v>2870</v>
      </c>
      <c r="PE5" s="103">
        <v>2974</v>
      </c>
      <c r="PF5" s="103">
        <v>1421</v>
      </c>
      <c r="PG5" s="103">
        <v>2523</v>
      </c>
      <c r="PH5" s="103">
        <v>2226</v>
      </c>
      <c r="PI5" s="103">
        <v>3069</v>
      </c>
      <c r="PJ5" s="103">
        <v>4290</v>
      </c>
      <c r="PK5" s="103">
        <v>5411</v>
      </c>
      <c r="PM5" s="103">
        <v>5325</v>
      </c>
      <c r="PN5" s="103">
        <v>3601</v>
      </c>
      <c r="PO5" s="103">
        <v>1785</v>
      </c>
      <c r="PP5" s="103">
        <v>1670</v>
      </c>
      <c r="PQ5" s="103">
        <v>3081</v>
      </c>
      <c r="PR5" s="103">
        <v>2069</v>
      </c>
      <c r="PW5" s="103">
        <v>21</v>
      </c>
      <c r="PX5" s="103">
        <v>243</v>
      </c>
      <c r="PY5" s="103">
        <v>177</v>
      </c>
      <c r="PZ5" s="103">
        <v>118</v>
      </c>
      <c r="QA5" s="103">
        <v>2134</v>
      </c>
      <c r="QB5" s="103">
        <v>1217</v>
      </c>
      <c r="QC5" s="103">
        <v>3010</v>
      </c>
      <c r="QD5" s="103">
        <v>1631</v>
      </c>
      <c r="QE5" s="103">
        <v>154</v>
      </c>
      <c r="QF5" s="103">
        <v>2779</v>
      </c>
      <c r="QH5" s="103">
        <v>1242</v>
      </c>
      <c r="QI5" s="103">
        <v>2514</v>
      </c>
      <c r="QJ5" s="103">
        <v>2002</v>
      </c>
      <c r="QK5" s="103">
        <v>2029</v>
      </c>
      <c r="QL5" s="103">
        <v>5847</v>
      </c>
      <c r="QM5" s="103">
        <v>5497</v>
      </c>
      <c r="QO5" s="103">
        <v>3642</v>
      </c>
      <c r="QP5" s="103">
        <v>4670</v>
      </c>
      <c r="QQ5" s="103">
        <v>2640</v>
      </c>
      <c r="QR5" s="103">
        <v>3303</v>
      </c>
      <c r="QS5" s="103">
        <v>2807</v>
      </c>
      <c r="QT5" s="103">
        <v>68</v>
      </c>
      <c r="QU5" s="103">
        <v>2757</v>
      </c>
      <c r="QV5" s="103">
        <v>3867</v>
      </c>
      <c r="QW5" s="103">
        <v>3862</v>
      </c>
      <c r="QX5" s="103">
        <v>6096</v>
      </c>
      <c r="QY5" s="103">
        <v>2856</v>
      </c>
      <c r="QZ5" s="103">
        <v>2947</v>
      </c>
      <c r="RA5" s="103">
        <v>2860</v>
      </c>
      <c r="RC5" s="103">
        <v>93</v>
      </c>
      <c r="RD5" s="103">
        <v>6644</v>
      </c>
      <c r="RE5" s="103">
        <v>1387</v>
      </c>
      <c r="RF5" s="103">
        <v>3841</v>
      </c>
      <c r="RG5" s="103">
        <v>7853</v>
      </c>
      <c r="RJ5" s="103">
        <v>3817</v>
      </c>
      <c r="RK5" s="103">
        <v>3335</v>
      </c>
      <c r="RL5" s="103">
        <v>3460</v>
      </c>
      <c r="RM5" s="103">
        <v>1419</v>
      </c>
      <c r="RN5" s="103">
        <v>2232</v>
      </c>
      <c r="RO5" s="103">
        <v>10271</v>
      </c>
      <c r="RQ5" s="103">
        <v>3159</v>
      </c>
      <c r="RR5" s="103">
        <v>97</v>
      </c>
      <c r="RS5" s="103">
        <v>3710</v>
      </c>
      <c r="RT5" s="103">
        <v>8482</v>
      </c>
      <c r="RU5" s="103">
        <v>4839</v>
      </c>
      <c r="RV5" s="103">
        <v>3987</v>
      </c>
      <c r="RX5" s="103">
        <v>9382</v>
      </c>
      <c r="RY5" s="103">
        <v>3233</v>
      </c>
      <c r="RZ5" s="103">
        <v>1180</v>
      </c>
      <c r="SA5" s="103">
        <v>5746</v>
      </c>
      <c r="SB5" s="103">
        <v>2528</v>
      </c>
      <c r="SC5" s="103">
        <v>81</v>
      </c>
      <c r="SD5" s="103">
        <v>5579</v>
      </c>
      <c r="SE5" s="103">
        <v>4898</v>
      </c>
      <c r="SF5" s="103">
        <v>1950</v>
      </c>
      <c r="SG5" s="103">
        <v>1171</v>
      </c>
      <c r="SH5" s="103">
        <v>6169</v>
      </c>
      <c r="SI5" s="103">
        <v>653</v>
      </c>
      <c r="SJ5" s="103">
        <v>219</v>
      </c>
      <c r="SL5" s="103">
        <v>5717</v>
      </c>
      <c r="SM5" s="103">
        <v>3378</v>
      </c>
      <c r="SN5" s="103">
        <v>3105</v>
      </c>
      <c r="SO5" s="103">
        <v>3397</v>
      </c>
      <c r="SP5" s="103">
        <v>4301</v>
      </c>
      <c r="SQ5" s="103">
        <v>3914</v>
      </c>
      <c r="SS5" s="103">
        <v>2032</v>
      </c>
      <c r="ST5" s="103">
        <v>1708</v>
      </c>
      <c r="SU5" s="103">
        <v>4934</v>
      </c>
      <c r="SV5" s="103">
        <v>3391</v>
      </c>
      <c r="SW5" s="103">
        <v>4292</v>
      </c>
      <c r="SX5" s="103">
        <v>1116</v>
      </c>
      <c r="SZ5" s="103">
        <v>8021</v>
      </c>
      <c r="TA5" s="103">
        <v>4068</v>
      </c>
      <c r="TB5" s="103">
        <v>1842</v>
      </c>
      <c r="TC5" s="103">
        <v>6014</v>
      </c>
      <c r="TD5" s="103">
        <v>3310</v>
      </c>
      <c r="TE5" s="103">
        <v>3107</v>
      </c>
      <c r="TG5" s="103">
        <v>3741</v>
      </c>
      <c r="TH5" s="103">
        <v>188</v>
      </c>
      <c r="TI5" s="103">
        <v>5352</v>
      </c>
      <c r="TJ5" s="103">
        <v>1308</v>
      </c>
      <c r="TK5" s="103">
        <v>1672</v>
      </c>
      <c r="TL5" s="103">
        <v>705</v>
      </c>
      <c r="TN5" s="103">
        <v>3986</v>
      </c>
      <c r="TO5" s="103">
        <v>1885</v>
      </c>
      <c r="TP5" s="103">
        <v>3553</v>
      </c>
      <c r="TQ5" s="103">
        <v>497</v>
      </c>
      <c r="TR5" s="103">
        <v>333</v>
      </c>
      <c r="TS5" s="103">
        <v>242</v>
      </c>
      <c r="TV5" s="103">
        <v>417</v>
      </c>
      <c r="TW5" s="103">
        <v>9798</v>
      </c>
      <c r="TX5" s="103">
        <v>8071</v>
      </c>
      <c r="TY5" s="103">
        <v>1448</v>
      </c>
      <c r="TZ5" s="103">
        <v>3184</v>
      </c>
      <c r="UB5" s="103">
        <v>142</v>
      </c>
      <c r="UC5" s="103">
        <v>9</v>
      </c>
      <c r="UI5" s="103">
        <v>304</v>
      </c>
      <c r="UJ5" s="103">
        <v>548</v>
      </c>
      <c r="UK5" s="103">
        <v>3870</v>
      </c>
      <c r="UL5" s="103">
        <v>2777</v>
      </c>
      <c r="UM5" s="103">
        <v>1949</v>
      </c>
      <c r="UN5" s="103">
        <v>4370</v>
      </c>
      <c r="UQ5" s="103">
        <v>6134</v>
      </c>
      <c r="UR5" s="103">
        <v>8932</v>
      </c>
      <c r="US5" s="103">
        <v>2620</v>
      </c>
      <c r="UT5" s="103">
        <v>2427</v>
      </c>
      <c r="UU5" s="103">
        <v>7953</v>
      </c>
      <c r="UW5" s="103">
        <v>5519</v>
      </c>
      <c r="UX5" s="103">
        <v>5232</v>
      </c>
      <c r="UY5" s="103">
        <v>7682</v>
      </c>
      <c r="UZ5" s="103">
        <v>5980</v>
      </c>
      <c r="VA5" s="103">
        <v>7692</v>
      </c>
      <c r="VB5" s="103">
        <v>6882</v>
      </c>
      <c r="VD5" s="103">
        <v>2699</v>
      </c>
      <c r="VE5" s="103">
        <v>4331</v>
      </c>
      <c r="VF5" s="103">
        <v>1912</v>
      </c>
      <c r="VG5" s="103">
        <v>2558</v>
      </c>
      <c r="VH5" s="103">
        <v>558</v>
      </c>
      <c r="VI5" s="103">
        <v>5645</v>
      </c>
      <c r="VK5" s="103">
        <v>2494</v>
      </c>
      <c r="VL5" s="103">
        <v>4590</v>
      </c>
      <c r="VM5" s="103">
        <v>2271</v>
      </c>
      <c r="VN5" s="103">
        <v>3113</v>
      </c>
      <c r="VO5" s="103">
        <v>4019</v>
      </c>
      <c r="VP5" s="103">
        <v>1172</v>
      </c>
      <c r="VR5" s="103">
        <v>970</v>
      </c>
      <c r="VT5" s="103">
        <v>4329</v>
      </c>
      <c r="VU5" s="103">
        <v>11594</v>
      </c>
      <c r="VV5" s="103">
        <v>99</v>
      </c>
      <c r="VW5" s="103">
        <v>198</v>
      </c>
      <c r="VX5" s="103">
        <v>1684</v>
      </c>
      <c r="VY5" s="103">
        <v>8543</v>
      </c>
      <c r="VZ5" s="103">
        <v>9557</v>
      </c>
      <c r="WA5" s="103">
        <v>7392</v>
      </c>
      <c r="WB5" s="103">
        <v>2915</v>
      </c>
      <c r="WC5" s="103">
        <v>3341</v>
      </c>
      <c r="WD5" s="103">
        <v>2580</v>
      </c>
      <c r="WF5" s="103">
        <v>2507</v>
      </c>
      <c r="WG5" s="103">
        <v>2825</v>
      </c>
      <c r="WH5" s="103">
        <v>7392</v>
      </c>
      <c r="WI5" s="103">
        <v>1807</v>
      </c>
      <c r="WJ5" s="103">
        <v>6470</v>
      </c>
      <c r="WK5" s="103">
        <v>1122</v>
      </c>
      <c r="WM5" s="103">
        <v>6334</v>
      </c>
      <c r="WN5" s="103">
        <v>5213</v>
      </c>
      <c r="WO5" s="103">
        <v>11832</v>
      </c>
      <c r="WP5" s="103">
        <v>1050</v>
      </c>
      <c r="WQ5" s="103">
        <v>9750</v>
      </c>
      <c r="WR5" s="103">
        <v>795</v>
      </c>
      <c r="WT5" s="103">
        <v>156</v>
      </c>
      <c r="WU5" s="103">
        <v>9091</v>
      </c>
      <c r="WV5" s="103">
        <v>1483</v>
      </c>
      <c r="WW5" s="103">
        <v>10490</v>
      </c>
      <c r="WX5" s="103">
        <v>2042</v>
      </c>
      <c r="WY5" s="103">
        <v>1268</v>
      </c>
      <c r="WZ5" s="103">
        <v>3397</v>
      </c>
      <c r="XA5" s="103">
        <v>535</v>
      </c>
      <c r="XB5" s="103">
        <v>94</v>
      </c>
      <c r="XC5" s="103">
        <v>3837</v>
      </c>
      <c r="XD5" s="103">
        <v>6366</v>
      </c>
      <c r="XE5" s="103">
        <v>1050</v>
      </c>
      <c r="XF5" s="103">
        <v>2401</v>
      </c>
      <c r="XG5" s="103" t="s">
        <v>38</v>
      </c>
      <c r="XH5" s="103">
        <v>4233</v>
      </c>
      <c r="XI5" s="103">
        <v>3757</v>
      </c>
      <c r="XJ5" s="103">
        <v>4572</v>
      </c>
      <c r="XK5" s="103">
        <v>7505</v>
      </c>
      <c r="XL5" s="103">
        <v>6805</v>
      </c>
      <c r="XM5" s="103">
        <v>4362</v>
      </c>
      <c r="XN5" s="103" t="s">
        <v>38</v>
      </c>
      <c r="XO5" s="103">
        <v>5924</v>
      </c>
      <c r="XP5" s="103">
        <v>5671</v>
      </c>
      <c r="XQ5" s="103">
        <v>4543</v>
      </c>
      <c r="XR5" s="103">
        <v>5014</v>
      </c>
      <c r="XS5" s="103">
        <v>5573</v>
      </c>
      <c r="XT5" s="103">
        <v>5181</v>
      </c>
      <c r="XU5" s="103">
        <v>2133</v>
      </c>
      <c r="XW5" s="103">
        <v>5638</v>
      </c>
      <c r="XX5" s="103">
        <v>4880</v>
      </c>
      <c r="XY5" s="103">
        <v>4582</v>
      </c>
      <c r="XZ5" s="103">
        <v>5007</v>
      </c>
      <c r="YA5" s="103">
        <v>1289</v>
      </c>
      <c r="YB5" s="103" t="s">
        <v>38</v>
      </c>
      <c r="YC5" s="103">
        <v>4490</v>
      </c>
      <c r="YD5" s="103">
        <v>2770</v>
      </c>
      <c r="YE5" s="103">
        <v>4093</v>
      </c>
      <c r="YF5" s="103">
        <v>3362</v>
      </c>
      <c r="YG5" s="103">
        <v>3945</v>
      </c>
      <c r="YH5" s="103">
        <v>2994</v>
      </c>
      <c r="YI5" s="103">
        <v>1986</v>
      </c>
      <c r="YJ5" s="103">
        <v>4806</v>
      </c>
      <c r="YL5" s="103">
        <v>5166</v>
      </c>
      <c r="YM5" s="103">
        <v>3445</v>
      </c>
      <c r="YN5" s="103">
        <v>5095</v>
      </c>
      <c r="YO5" s="103">
        <v>3216</v>
      </c>
      <c r="YQ5" s="103">
        <v>4392</v>
      </c>
      <c r="YR5" s="103">
        <v>7572</v>
      </c>
      <c r="YS5" s="103">
        <v>6746</v>
      </c>
      <c r="YT5" s="103">
        <v>4075</v>
      </c>
      <c r="YU5" s="103">
        <v>4742</v>
      </c>
      <c r="YV5" s="103">
        <v>2768</v>
      </c>
      <c r="YX5" s="103">
        <v>6134</v>
      </c>
      <c r="YY5" s="103">
        <v>4084</v>
      </c>
      <c r="YZ5" s="103">
        <v>6536</v>
      </c>
      <c r="ZA5" s="103">
        <v>6693</v>
      </c>
      <c r="ZB5" s="103">
        <v>6186</v>
      </c>
      <c r="ZC5" s="103">
        <v>3686</v>
      </c>
      <c r="ZE5" s="107">
        <v>2270</v>
      </c>
      <c r="ZF5" s="107">
        <v>6356</v>
      </c>
      <c r="ZG5" s="107">
        <v>15671</v>
      </c>
      <c r="ZH5" s="107">
        <v>4206</v>
      </c>
      <c r="ZI5" s="107">
        <v>4245</v>
      </c>
      <c r="ZJ5" s="107">
        <v>4514</v>
      </c>
      <c r="ZK5" s="103" t="s">
        <v>152</v>
      </c>
      <c r="ZL5" s="107">
        <v>5057</v>
      </c>
      <c r="ZM5" s="103">
        <v>969</v>
      </c>
      <c r="ZN5" s="103">
        <v>180</v>
      </c>
      <c r="ZO5" s="103">
        <v>465</v>
      </c>
      <c r="ZP5" s="107">
        <v>2460</v>
      </c>
      <c r="ZQ5" s="103">
        <v>3286</v>
      </c>
      <c r="ZR5" s="103">
        <v>4052</v>
      </c>
      <c r="ZS5" s="106">
        <v>10100</v>
      </c>
      <c r="ZT5" s="106">
        <v>8658</v>
      </c>
      <c r="ZU5" s="106">
        <v>11362</v>
      </c>
      <c r="ZV5" s="106">
        <v>5669</v>
      </c>
      <c r="ZW5" s="106">
        <v>7625</v>
      </c>
      <c r="ZX5" s="106">
        <v>4114</v>
      </c>
      <c r="ZY5" s="106">
        <v>517</v>
      </c>
      <c r="ZZ5" s="106">
        <v>3530</v>
      </c>
      <c r="AAA5" s="106">
        <v>4183</v>
      </c>
      <c r="AAB5" s="106">
        <v>2921</v>
      </c>
      <c r="AAC5" s="106">
        <v>3184</v>
      </c>
      <c r="AAD5" s="106">
        <v>4807</v>
      </c>
      <c r="AAE5" s="106">
        <v>3422</v>
      </c>
      <c r="AAF5" s="106" t="s">
        <v>152</v>
      </c>
      <c r="AAG5" s="106">
        <v>5251</v>
      </c>
      <c r="AAH5" s="106">
        <v>5426</v>
      </c>
      <c r="AAI5" s="106">
        <v>6486</v>
      </c>
      <c r="AAJ5" s="107">
        <v>5235</v>
      </c>
      <c r="AAK5" s="107">
        <v>4662</v>
      </c>
      <c r="AAL5" s="107">
        <v>1485</v>
      </c>
      <c r="AAM5" s="103" t="s">
        <v>152</v>
      </c>
      <c r="AAN5" s="107">
        <v>3974</v>
      </c>
      <c r="AAO5" s="107">
        <v>4387</v>
      </c>
      <c r="AAP5" s="107">
        <v>5130</v>
      </c>
      <c r="AAQ5" s="107">
        <v>2753</v>
      </c>
      <c r="AAR5" s="106">
        <v>1507</v>
      </c>
      <c r="AAS5" s="106">
        <v>1693</v>
      </c>
      <c r="AAT5" s="106" t="s">
        <v>38</v>
      </c>
      <c r="AAU5" s="106" t="s">
        <v>38</v>
      </c>
      <c r="AAV5" s="106">
        <v>8099</v>
      </c>
      <c r="AAW5" s="106">
        <v>7020</v>
      </c>
      <c r="AAX5" s="106">
        <v>6563</v>
      </c>
      <c r="AAY5" s="114">
        <v>3135</v>
      </c>
      <c r="AAZ5" s="107">
        <v>2603</v>
      </c>
      <c r="ABA5" s="103" t="s">
        <v>152</v>
      </c>
      <c r="ABB5" s="107">
        <v>3715</v>
      </c>
      <c r="ABC5" s="107">
        <v>5260</v>
      </c>
      <c r="ABD5" s="107">
        <v>10027</v>
      </c>
      <c r="ABE5" s="122">
        <v>7311</v>
      </c>
      <c r="ABF5" s="106">
        <v>1785</v>
      </c>
      <c r="ABG5" s="106">
        <v>3547</v>
      </c>
      <c r="ABH5" s="106">
        <v>2755</v>
      </c>
      <c r="ABI5" s="106">
        <v>5148</v>
      </c>
      <c r="ABJ5" s="106">
        <v>4549</v>
      </c>
      <c r="ABK5" s="106">
        <v>5280</v>
      </c>
      <c r="ABL5" s="106">
        <v>4051</v>
      </c>
      <c r="ABM5" s="106">
        <v>3833</v>
      </c>
      <c r="ABN5" s="106">
        <v>409</v>
      </c>
      <c r="ABP5" s="103">
        <v>2796</v>
      </c>
      <c r="ABQ5" s="103">
        <v>1079</v>
      </c>
      <c r="ABR5" s="103">
        <v>3534</v>
      </c>
      <c r="ABS5" s="103">
        <v>3028</v>
      </c>
      <c r="ABT5" s="103">
        <v>1792</v>
      </c>
      <c r="ABU5" s="103">
        <v>2701</v>
      </c>
      <c r="ABV5" s="103">
        <v>2066</v>
      </c>
      <c r="ABW5" s="103">
        <v>4177</v>
      </c>
      <c r="ABX5" s="103">
        <v>71</v>
      </c>
      <c r="ABY5" s="103">
        <v>130</v>
      </c>
      <c r="ABZ5" s="103">
        <v>4207</v>
      </c>
      <c r="ACA5" s="103">
        <v>5581</v>
      </c>
      <c r="ACB5" s="103">
        <v>3636</v>
      </c>
      <c r="ACC5" s="103">
        <v>7011</v>
      </c>
      <c r="ACD5" s="103">
        <v>3117</v>
      </c>
      <c r="ACE5" s="103">
        <v>3012</v>
      </c>
      <c r="ACF5" s="103">
        <v>3370</v>
      </c>
      <c r="ACG5" s="103">
        <v>3151</v>
      </c>
      <c r="ACH5" s="103">
        <v>2531</v>
      </c>
      <c r="ACI5" s="103">
        <v>1702</v>
      </c>
      <c r="ACK5" s="103">
        <v>1684</v>
      </c>
      <c r="ACL5" s="103">
        <v>3902</v>
      </c>
      <c r="ACM5" s="103">
        <v>5628</v>
      </c>
      <c r="ACN5" s="103">
        <v>6496</v>
      </c>
      <c r="ACO5" s="103">
        <v>5633</v>
      </c>
      <c r="ACP5" s="103">
        <v>3880</v>
      </c>
      <c r="ACQ5" s="103">
        <v>5703</v>
      </c>
      <c r="ACR5" s="103">
        <v>2135</v>
      </c>
      <c r="ACS5" s="103">
        <v>1958</v>
      </c>
      <c r="ACT5" s="103">
        <v>1247</v>
      </c>
      <c r="ACU5" s="103">
        <v>1272</v>
      </c>
      <c r="ACV5" s="103" t="s">
        <v>38</v>
      </c>
      <c r="ACW5" s="103">
        <v>774</v>
      </c>
      <c r="ACX5" s="103" t="s">
        <v>38</v>
      </c>
      <c r="ACY5" s="103">
        <v>2949</v>
      </c>
      <c r="ACZ5" s="103">
        <v>3001</v>
      </c>
      <c r="ADA5" s="103">
        <v>2641</v>
      </c>
      <c r="ADB5" s="103">
        <v>1651</v>
      </c>
      <c r="ADC5" s="103">
        <v>90</v>
      </c>
      <c r="ADD5" s="103">
        <v>83</v>
      </c>
      <c r="ADE5" s="103">
        <v>2580</v>
      </c>
      <c r="ADF5" s="103">
        <v>3183</v>
      </c>
      <c r="ADG5" s="103">
        <v>1914</v>
      </c>
      <c r="ADH5" s="103">
        <v>3924</v>
      </c>
      <c r="ADI5" s="103">
        <v>2515</v>
      </c>
      <c r="ADJ5" s="103">
        <v>2356</v>
      </c>
      <c r="ADK5" s="103">
        <v>2414</v>
      </c>
      <c r="ADL5" s="103" t="s">
        <v>38</v>
      </c>
      <c r="ADM5" s="103">
        <v>3167</v>
      </c>
      <c r="ADN5" s="103">
        <v>3860</v>
      </c>
      <c r="ADO5" s="103">
        <v>4260</v>
      </c>
      <c r="ADP5" s="103">
        <v>3166</v>
      </c>
      <c r="ADQ5" s="103">
        <v>5447</v>
      </c>
      <c r="ADR5" s="103">
        <v>5338</v>
      </c>
      <c r="ADS5" s="103" t="s">
        <v>38</v>
      </c>
      <c r="ADT5" s="103">
        <v>6913</v>
      </c>
      <c r="ADU5" s="103">
        <v>2907</v>
      </c>
      <c r="ADV5" s="103" t="s">
        <v>38</v>
      </c>
      <c r="ADX5" s="103">
        <v>1916</v>
      </c>
      <c r="ADY5" s="103">
        <v>178</v>
      </c>
      <c r="ADZ5" s="103" t="s">
        <v>38</v>
      </c>
      <c r="AEA5" s="103">
        <v>1027</v>
      </c>
      <c r="AEB5" s="103">
        <v>1831</v>
      </c>
      <c r="AEC5" s="103">
        <v>1172</v>
      </c>
      <c r="AED5" s="103">
        <v>2178</v>
      </c>
      <c r="AEE5" s="103">
        <v>3818</v>
      </c>
      <c r="AEF5" s="103">
        <v>4240</v>
      </c>
      <c r="AEG5" s="103" t="s">
        <v>38</v>
      </c>
      <c r="AEH5" s="103">
        <v>3613</v>
      </c>
      <c r="AEI5" s="103">
        <v>6327</v>
      </c>
      <c r="AEJ5" s="103">
        <v>5269</v>
      </c>
      <c r="AEK5" s="103">
        <v>3467</v>
      </c>
      <c r="AEL5" s="103">
        <v>5108</v>
      </c>
      <c r="AEM5" s="103">
        <v>3829</v>
      </c>
      <c r="AEO5" s="103">
        <v>4089</v>
      </c>
      <c r="AEP5" s="103">
        <v>2339</v>
      </c>
      <c r="AEQ5" s="103">
        <v>3449</v>
      </c>
      <c r="AER5" s="103">
        <v>6345</v>
      </c>
      <c r="AES5" s="103">
        <v>6065</v>
      </c>
      <c r="AET5" s="103">
        <v>5104</v>
      </c>
      <c r="AEU5" s="103">
        <v>3594</v>
      </c>
      <c r="AEV5" s="103">
        <v>6183</v>
      </c>
      <c r="AEW5" s="103">
        <v>4169</v>
      </c>
      <c r="AEX5" s="103">
        <v>1879</v>
      </c>
      <c r="AEY5" s="103">
        <v>2627</v>
      </c>
      <c r="AEZ5" s="103">
        <v>2864</v>
      </c>
      <c r="AFA5" s="103">
        <v>1252</v>
      </c>
      <c r="AFB5" s="103" t="s">
        <v>38</v>
      </c>
      <c r="AFC5" s="103">
        <v>83</v>
      </c>
      <c r="AFD5" s="103">
        <v>23</v>
      </c>
      <c r="AFE5" s="103">
        <v>7338</v>
      </c>
      <c r="AFF5" s="103">
        <v>8394</v>
      </c>
      <c r="AFG5" s="103">
        <v>8923</v>
      </c>
      <c r="AFH5" s="103">
        <v>3862</v>
      </c>
      <c r="AFI5" s="103" t="s">
        <v>38</v>
      </c>
      <c r="AFJ5" s="103">
        <v>2488</v>
      </c>
      <c r="AFK5" s="103">
        <v>5851</v>
      </c>
      <c r="AFL5" s="103">
        <v>4438</v>
      </c>
      <c r="AFM5" s="103">
        <v>4594</v>
      </c>
      <c r="AFN5" s="103">
        <v>8936</v>
      </c>
      <c r="AFO5" s="103">
        <v>6330</v>
      </c>
      <c r="AFP5" s="103" t="s">
        <v>38</v>
      </c>
      <c r="AFQ5" s="103">
        <v>4173</v>
      </c>
      <c r="AFR5" s="103">
        <v>4829</v>
      </c>
      <c r="AFS5" s="103">
        <v>4062</v>
      </c>
      <c r="AFT5" s="103">
        <v>7059</v>
      </c>
      <c r="AFU5" s="103">
        <v>6171</v>
      </c>
      <c r="AFV5" s="103">
        <v>5849</v>
      </c>
      <c r="AFW5" s="103" t="s">
        <v>38</v>
      </c>
      <c r="AFX5" s="103">
        <v>4889</v>
      </c>
      <c r="AFY5" s="103">
        <v>5821</v>
      </c>
      <c r="AFZ5" s="103">
        <v>6565</v>
      </c>
      <c r="AGA5" s="103">
        <v>5550</v>
      </c>
      <c r="AGB5" s="103">
        <v>6838</v>
      </c>
      <c r="AGC5" s="103">
        <v>4246</v>
      </c>
      <c r="AGD5" s="103">
        <v>4652</v>
      </c>
      <c r="AGE5" s="103">
        <v>3677</v>
      </c>
      <c r="AGF5" s="103">
        <v>815</v>
      </c>
      <c r="AGG5" s="103">
        <v>72</v>
      </c>
      <c r="AGH5" s="103">
        <v>6675</v>
      </c>
      <c r="AGI5" s="103">
        <v>3032</v>
      </c>
      <c r="AGJ5" s="103" t="s">
        <v>38</v>
      </c>
      <c r="AGK5" s="103" t="s">
        <v>38</v>
      </c>
      <c r="AGL5" s="103">
        <v>4807</v>
      </c>
      <c r="AGM5" s="103">
        <v>4364</v>
      </c>
      <c r="AGN5" s="103">
        <v>3397</v>
      </c>
      <c r="AGO5" s="103">
        <v>3473</v>
      </c>
      <c r="AGP5" s="103">
        <v>3721</v>
      </c>
      <c r="AGQ5" s="103">
        <v>2345</v>
      </c>
      <c r="AGR5" s="103" t="s">
        <v>38</v>
      </c>
      <c r="AGS5" s="103">
        <v>5279</v>
      </c>
      <c r="AGT5" s="103">
        <v>6475</v>
      </c>
      <c r="AGU5" s="103">
        <v>7255</v>
      </c>
      <c r="AGV5" s="103">
        <v>8800</v>
      </c>
      <c r="AGW5" s="103">
        <v>5179</v>
      </c>
      <c r="AGX5" s="103">
        <v>4853</v>
      </c>
      <c r="AGY5" s="103">
        <v>3566</v>
      </c>
      <c r="AGZ5" s="103">
        <v>6237</v>
      </c>
      <c r="AHA5" s="103">
        <v>6656</v>
      </c>
      <c r="AHB5" s="103">
        <v>6260</v>
      </c>
      <c r="AHC5" s="103">
        <v>6611</v>
      </c>
      <c r="AHD5" s="103">
        <v>6181</v>
      </c>
      <c r="AHE5" s="103">
        <v>5335</v>
      </c>
      <c r="AHF5" s="103">
        <v>3171</v>
      </c>
      <c r="AHG5" s="103">
        <v>5657</v>
      </c>
      <c r="AHH5" s="103">
        <v>5816</v>
      </c>
      <c r="AHI5" s="103">
        <v>1409</v>
      </c>
      <c r="AHJ5" s="103">
        <v>3508</v>
      </c>
      <c r="AHK5" s="103">
        <v>1252</v>
      </c>
      <c r="AHL5" s="103">
        <v>108</v>
      </c>
      <c r="AHM5" s="103" t="s">
        <v>38</v>
      </c>
      <c r="AHN5" s="103" t="s">
        <v>38</v>
      </c>
      <c r="AHO5" s="103">
        <v>4356</v>
      </c>
      <c r="AHP5" s="103">
        <v>4900</v>
      </c>
      <c r="AHQ5" s="103">
        <v>5554</v>
      </c>
      <c r="AHR5" s="103">
        <v>4169</v>
      </c>
      <c r="AHS5" s="103">
        <v>5121</v>
      </c>
      <c r="AHT5" s="103" t="s">
        <v>38</v>
      </c>
      <c r="AHU5" s="103" t="s">
        <v>38</v>
      </c>
      <c r="AHV5" s="103" t="s">
        <v>38</v>
      </c>
      <c r="AHW5" s="103">
        <v>143</v>
      </c>
      <c r="AHX5" s="103">
        <v>4534</v>
      </c>
      <c r="AHY5" s="103">
        <v>3536</v>
      </c>
      <c r="AHZ5" s="103">
        <v>7402</v>
      </c>
      <c r="AIA5" s="103">
        <v>4160</v>
      </c>
      <c r="AIB5" s="103">
        <v>7023</v>
      </c>
      <c r="AIC5" s="103">
        <v>1226</v>
      </c>
      <c r="AID5" s="103" t="s">
        <v>38</v>
      </c>
      <c r="AIE5" s="103" t="s">
        <v>38</v>
      </c>
      <c r="AIF5" s="103" t="s">
        <v>38</v>
      </c>
      <c r="AIG5" s="103">
        <v>6</v>
      </c>
      <c r="AIH5" s="103" t="s">
        <v>38</v>
      </c>
      <c r="AII5" s="103" t="s">
        <v>38</v>
      </c>
      <c r="AIJ5" s="103">
        <v>5024</v>
      </c>
      <c r="AIK5" s="103">
        <v>9216</v>
      </c>
      <c r="AIL5" s="103">
        <v>8599</v>
      </c>
      <c r="AIM5" s="103" t="s">
        <v>38</v>
      </c>
      <c r="AIN5" s="103">
        <v>4442</v>
      </c>
      <c r="AIO5" s="103">
        <v>4683</v>
      </c>
      <c r="AIP5" s="103">
        <v>5559</v>
      </c>
      <c r="AIQ5" s="103">
        <v>44</v>
      </c>
      <c r="AIR5" s="103">
        <v>6155</v>
      </c>
      <c r="AIS5" s="103">
        <v>8073</v>
      </c>
      <c r="AIT5" s="103">
        <v>10582</v>
      </c>
      <c r="AIU5" s="103">
        <v>4176</v>
      </c>
      <c r="AIV5" s="103">
        <v>268</v>
      </c>
      <c r="AIW5" s="103">
        <v>4121</v>
      </c>
      <c r="AIX5" s="103">
        <v>618</v>
      </c>
      <c r="AIY5" s="103">
        <v>6146</v>
      </c>
      <c r="AIZ5" s="103">
        <v>9342</v>
      </c>
      <c r="AJA5" s="103">
        <v>7130</v>
      </c>
      <c r="AJB5" s="103">
        <v>3356</v>
      </c>
      <c r="AJC5" s="103">
        <v>586</v>
      </c>
      <c r="AJD5" s="107">
        <v>2344</v>
      </c>
      <c r="AJE5" s="107">
        <v>3036</v>
      </c>
      <c r="AJF5" s="107">
        <v>3008</v>
      </c>
      <c r="AJG5" s="107">
        <v>5414</v>
      </c>
      <c r="AJH5" s="107">
        <v>2977</v>
      </c>
      <c r="AJI5" s="107">
        <v>2843</v>
      </c>
      <c r="AJJ5" s="103" t="s">
        <v>152</v>
      </c>
      <c r="AJK5" s="103">
        <v>310</v>
      </c>
      <c r="AJL5" s="103">
        <v>2876</v>
      </c>
      <c r="AJM5" s="103">
        <v>5855</v>
      </c>
      <c r="AJN5" s="103">
        <v>5157</v>
      </c>
      <c r="AJO5" s="103">
        <v>4430</v>
      </c>
      <c r="AJP5" s="103">
        <v>6267</v>
      </c>
      <c r="AJQ5" s="103" t="s">
        <v>38</v>
      </c>
      <c r="AJR5" s="103" t="s">
        <v>38</v>
      </c>
      <c r="AJS5" s="103">
        <v>3338</v>
      </c>
      <c r="AJT5" s="103">
        <v>1</v>
      </c>
      <c r="AJU5" s="103">
        <v>2099</v>
      </c>
      <c r="AJV5" s="103">
        <v>3137</v>
      </c>
      <c r="AJW5" s="103">
        <v>166</v>
      </c>
      <c r="AJX5" s="103" t="s">
        <v>38</v>
      </c>
      <c r="AJY5" s="103">
        <v>3725</v>
      </c>
      <c r="AJZ5" s="103">
        <v>1727</v>
      </c>
      <c r="AKA5" s="103">
        <v>4209</v>
      </c>
      <c r="AKB5" s="103">
        <v>5744</v>
      </c>
      <c r="AKC5" s="103">
        <v>8993</v>
      </c>
      <c r="AKD5" s="103">
        <v>4280</v>
      </c>
      <c r="AKE5" s="103" t="s">
        <v>38</v>
      </c>
      <c r="AKF5" s="103">
        <v>5927</v>
      </c>
    </row>
    <row r="6" spans="1:976" s="103" customFormat="1">
      <c r="A6" s="102">
        <v>4</v>
      </c>
      <c r="B6" s="103" t="s">
        <v>156</v>
      </c>
      <c r="C6" s="104">
        <v>82658</v>
      </c>
      <c r="D6" s="105" t="s">
        <v>147</v>
      </c>
      <c r="E6" s="104" t="s">
        <v>157</v>
      </c>
      <c r="F6" s="104" t="s">
        <v>31</v>
      </c>
      <c r="G6" s="104" t="s">
        <v>12</v>
      </c>
      <c r="H6" s="104" t="s">
        <v>148</v>
      </c>
      <c r="I6" s="104" t="s">
        <v>151</v>
      </c>
      <c r="J6" s="104" t="s">
        <v>46</v>
      </c>
      <c r="K6" s="106">
        <v>110</v>
      </c>
      <c r="L6" s="106">
        <v>336</v>
      </c>
      <c r="M6" s="106">
        <v>1215</v>
      </c>
      <c r="N6" s="106">
        <v>1364</v>
      </c>
      <c r="O6" s="106">
        <v>1029</v>
      </c>
      <c r="P6" s="106">
        <v>955</v>
      </c>
      <c r="Q6" s="106">
        <v>982</v>
      </c>
      <c r="R6" s="106">
        <v>1592</v>
      </c>
      <c r="S6" s="106">
        <v>1436</v>
      </c>
      <c r="T6" s="106">
        <v>1478</v>
      </c>
      <c r="U6" s="106">
        <v>2531</v>
      </c>
      <c r="V6" s="106">
        <v>2390</v>
      </c>
      <c r="W6" s="106">
        <v>4209</v>
      </c>
      <c r="X6" s="106">
        <v>4282</v>
      </c>
      <c r="Y6" s="106">
        <v>5729</v>
      </c>
      <c r="Z6" s="106">
        <v>5344</v>
      </c>
      <c r="AA6" s="106">
        <v>4340</v>
      </c>
      <c r="AB6" s="106">
        <v>2977</v>
      </c>
      <c r="AC6" s="106">
        <v>1825</v>
      </c>
      <c r="AD6" s="106">
        <v>1929</v>
      </c>
      <c r="AE6" s="106">
        <v>1536</v>
      </c>
      <c r="AF6" s="106">
        <v>1900</v>
      </c>
      <c r="AG6" s="106">
        <v>2092</v>
      </c>
      <c r="AH6" s="106">
        <v>1822</v>
      </c>
      <c r="AI6" s="106">
        <v>1922</v>
      </c>
      <c r="AJ6" s="106">
        <v>1221</v>
      </c>
      <c r="AK6" s="106">
        <v>1794</v>
      </c>
      <c r="AL6" s="106">
        <v>2497</v>
      </c>
      <c r="AM6" s="106">
        <v>3704</v>
      </c>
      <c r="AN6" s="106">
        <v>3048</v>
      </c>
      <c r="AO6" s="106">
        <v>2134</v>
      </c>
      <c r="AP6" s="106">
        <v>1615</v>
      </c>
      <c r="AQ6" s="106">
        <v>1467</v>
      </c>
      <c r="AR6" s="106">
        <v>2222</v>
      </c>
      <c r="AS6" s="106">
        <v>964</v>
      </c>
      <c r="AT6" s="106">
        <v>1535</v>
      </c>
      <c r="AU6" s="106">
        <v>1659</v>
      </c>
      <c r="AV6" s="106">
        <v>2209</v>
      </c>
      <c r="AW6" s="106">
        <v>2322</v>
      </c>
      <c r="AX6" s="106">
        <v>1007</v>
      </c>
      <c r="AY6" s="106">
        <v>788</v>
      </c>
      <c r="AZ6" s="106">
        <v>3493</v>
      </c>
      <c r="BA6" s="106">
        <v>5568</v>
      </c>
      <c r="BB6" s="106">
        <v>3439</v>
      </c>
      <c r="BC6" s="106">
        <v>5205</v>
      </c>
      <c r="BD6" s="106">
        <v>4388</v>
      </c>
      <c r="BE6" s="106">
        <v>4875</v>
      </c>
      <c r="BF6" s="106">
        <v>2639</v>
      </c>
      <c r="BG6" s="106">
        <v>602</v>
      </c>
      <c r="BH6" s="106">
        <v>696</v>
      </c>
      <c r="BI6" s="103">
        <v>837</v>
      </c>
      <c r="BJ6" s="103">
        <v>916</v>
      </c>
      <c r="BK6" s="103">
        <v>777</v>
      </c>
      <c r="BL6" s="103">
        <v>530</v>
      </c>
      <c r="BM6" s="103">
        <v>638</v>
      </c>
      <c r="BN6" s="103">
        <v>909</v>
      </c>
      <c r="BO6" s="103">
        <v>1041</v>
      </c>
      <c r="BP6" s="103">
        <v>1424</v>
      </c>
      <c r="BQ6" s="103">
        <v>948</v>
      </c>
      <c r="BR6" s="103">
        <v>765</v>
      </c>
      <c r="BS6" s="103">
        <v>524</v>
      </c>
      <c r="BT6" s="103">
        <v>261</v>
      </c>
      <c r="BU6" s="103">
        <v>782</v>
      </c>
      <c r="BV6" s="103">
        <v>1402</v>
      </c>
      <c r="BW6" s="103">
        <v>495</v>
      </c>
      <c r="BX6" s="103">
        <v>715</v>
      </c>
      <c r="BY6" s="103">
        <v>2181</v>
      </c>
      <c r="BZ6" s="103">
        <v>1072</v>
      </c>
      <c r="CA6" s="103">
        <v>835</v>
      </c>
      <c r="CB6" s="103">
        <v>896</v>
      </c>
      <c r="CC6" s="103">
        <v>1120</v>
      </c>
      <c r="CD6" s="103">
        <v>882</v>
      </c>
      <c r="CE6" s="103">
        <v>810</v>
      </c>
      <c r="CF6" s="103">
        <v>947</v>
      </c>
      <c r="CG6" s="103">
        <v>628</v>
      </c>
      <c r="CH6" s="103">
        <v>620</v>
      </c>
      <c r="CI6" s="103">
        <v>1210</v>
      </c>
      <c r="CJ6" s="103">
        <v>770</v>
      </c>
      <c r="CK6" s="103">
        <v>999</v>
      </c>
      <c r="CL6" s="103">
        <v>1285</v>
      </c>
      <c r="CM6" s="103">
        <v>886</v>
      </c>
      <c r="CN6" s="103">
        <v>173</v>
      </c>
      <c r="CO6" s="103">
        <v>465</v>
      </c>
      <c r="CP6" s="103">
        <v>844</v>
      </c>
      <c r="CQ6" s="103">
        <v>1276</v>
      </c>
      <c r="CR6" s="103">
        <v>1842</v>
      </c>
      <c r="CS6" s="103">
        <v>936</v>
      </c>
      <c r="CT6" s="103">
        <v>1228</v>
      </c>
      <c r="CU6" s="103">
        <v>444</v>
      </c>
      <c r="CV6" s="103">
        <v>788</v>
      </c>
      <c r="CW6" s="103">
        <v>598</v>
      </c>
      <c r="CX6" s="103">
        <v>1609</v>
      </c>
      <c r="CY6" s="103">
        <v>1142</v>
      </c>
      <c r="CZ6" s="103">
        <v>2045</v>
      </c>
      <c r="DA6" s="103">
        <v>1408</v>
      </c>
      <c r="DB6" s="103">
        <v>974</v>
      </c>
      <c r="DC6" s="103">
        <v>2317</v>
      </c>
      <c r="DD6" s="103">
        <v>2197</v>
      </c>
      <c r="DE6" s="103">
        <v>1525</v>
      </c>
      <c r="DF6" s="103">
        <v>843</v>
      </c>
      <c r="DG6" s="103">
        <v>976</v>
      </c>
      <c r="DH6" s="103">
        <v>1128</v>
      </c>
      <c r="DI6" s="103" t="s">
        <v>38</v>
      </c>
      <c r="DJ6" s="103">
        <v>1733</v>
      </c>
      <c r="DK6" s="103">
        <v>1657</v>
      </c>
      <c r="DL6" s="103">
        <v>1880</v>
      </c>
      <c r="DM6" s="103">
        <v>1472</v>
      </c>
      <c r="DN6" s="103">
        <v>878</v>
      </c>
      <c r="DO6" s="103">
        <v>1412</v>
      </c>
      <c r="DP6" s="103" t="s">
        <v>38</v>
      </c>
      <c r="DQ6" s="103">
        <v>945</v>
      </c>
      <c r="DR6" s="103">
        <v>1542</v>
      </c>
      <c r="DS6" s="103">
        <v>894</v>
      </c>
      <c r="DT6" s="103">
        <v>501</v>
      </c>
      <c r="DU6" s="103">
        <v>910</v>
      </c>
      <c r="DV6" s="103">
        <v>940</v>
      </c>
      <c r="DW6" s="103" t="s">
        <v>38</v>
      </c>
      <c r="DX6" s="103">
        <v>1618</v>
      </c>
      <c r="DY6" s="103">
        <v>3060</v>
      </c>
      <c r="DZ6" s="103">
        <v>2196</v>
      </c>
      <c r="EA6" s="103">
        <v>1913</v>
      </c>
      <c r="EB6" s="103">
        <v>870</v>
      </c>
      <c r="EC6" s="103">
        <v>2276</v>
      </c>
      <c r="ED6" s="103">
        <v>4230</v>
      </c>
      <c r="EE6" s="103">
        <v>1528</v>
      </c>
      <c r="EF6" s="103">
        <v>2875</v>
      </c>
      <c r="EG6" s="103">
        <v>5963</v>
      </c>
      <c r="EH6" s="103">
        <v>5342</v>
      </c>
      <c r="EI6" s="103">
        <v>3754</v>
      </c>
      <c r="EJ6" s="103">
        <v>962</v>
      </c>
      <c r="EL6" s="103">
        <v>1791</v>
      </c>
      <c r="EM6" s="103">
        <v>1600</v>
      </c>
      <c r="EN6" s="103">
        <v>1152</v>
      </c>
      <c r="EO6" s="103">
        <v>972</v>
      </c>
      <c r="EP6" s="103">
        <v>2339</v>
      </c>
      <c r="EQ6" s="103">
        <v>1349</v>
      </c>
      <c r="ER6" s="103">
        <v>437</v>
      </c>
      <c r="ES6" s="103">
        <v>6</v>
      </c>
      <c r="ET6" s="103">
        <v>23</v>
      </c>
      <c r="EU6" s="103">
        <v>812</v>
      </c>
      <c r="EV6" s="103">
        <v>553</v>
      </c>
      <c r="EW6" s="103">
        <v>676</v>
      </c>
      <c r="EX6" s="103">
        <v>1989</v>
      </c>
      <c r="EZ6" s="103">
        <v>1758</v>
      </c>
      <c r="FA6" s="103">
        <v>2342</v>
      </c>
      <c r="FB6" s="103">
        <v>1954</v>
      </c>
      <c r="FC6" s="103">
        <v>2267</v>
      </c>
      <c r="FD6" s="103">
        <v>3158</v>
      </c>
      <c r="FE6" s="103">
        <v>3511</v>
      </c>
      <c r="FF6" s="103">
        <v>2012</v>
      </c>
      <c r="FG6" s="103">
        <v>534</v>
      </c>
      <c r="FH6" s="103">
        <v>1731</v>
      </c>
      <c r="FI6" s="103">
        <v>2014</v>
      </c>
      <c r="FJ6" s="103">
        <v>2330</v>
      </c>
      <c r="FK6" s="103">
        <v>2882</v>
      </c>
      <c r="FL6" s="103">
        <v>3270</v>
      </c>
      <c r="FM6" s="103">
        <v>4829</v>
      </c>
      <c r="FN6" s="103">
        <v>2427</v>
      </c>
      <c r="FO6" s="103">
        <v>2502</v>
      </c>
      <c r="FP6" s="103">
        <v>2974</v>
      </c>
      <c r="FQ6" s="103">
        <v>3155</v>
      </c>
      <c r="FR6" s="103">
        <v>1202</v>
      </c>
      <c r="FS6" s="103">
        <v>727</v>
      </c>
      <c r="FT6" s="103">
        <v>252</v>
      </c>
      <c r="FU6" s="103">
        <v>681</v>
      </c>
      <c r="FV6" s="103">
        <v>887</v>
      </c>
      <c r="FW6" s="103">
        <v>1347</v>
      </c>
      <c r="FX6" s="103">
        <v>2330</v>
      </c>
      <c r="FY6" s="103">
        <v>2342</v>
      </c>
      <c r="FZ6" s="103">
        <v>2935</v>
      </c>
      <c r="GA6" s="103">
        <v>961</v>
      </c>
      <c r="GB6" s="103">
        <v>2241</v>
      </c>
      <c r="GC6" s="103">
        <v>1267</v>
      </c>
      <c r="GI6" s="103">
        <v>1851</v>
      </c>
      <c r="GJ6" s="103">
        <v>5310</v>
      </c>
      <c r="GK6" s="103">
        <v>3462</v>
      </c>
      <c r="GL6" s="103">
        <v>3542</v>
      </c>
      <c r="GM6" s="103">
        <v>1248</v>
      </c>
      <c r="GN6" s="103">
        <v>2110</v>
      </c>
      <c r="GO6" s="103">
        <v>6744</v>
      </c>
      <c r="GP6" s="103">
        <v>5137</v>
      </c>
      <c r="GQ6" s="103">
        <v>4370</v>
      </c>
      <c r="GR6" s="103">
        <v>1558</v>
      </c>
      <c r="GS6" s="103">
        <v>947</v>
      </c>
      <c r="GT6" s="103">
        <v>936</v>
      </c>
      <c r="GU6" s="103">
        <v>977</v>
      </c>
      <c r="GW6" s="103">
        <v>1777</v>
      </c>
      <c r="GX6" s="103">
        <v>1493</v>
      </c>
      <c r="GY6" s="103">
        <v>2767</v>
      </c>
      <c r="GZ6" s="103">
        <v>2422</v>
      </c>
      <c r="HA6" s="103">
        <v>2209</v>
      </c>
      <c r="HB6" s="103">
        <v>1751</v>
      </c>
      <c r="HD6" s="103">
        <v>2128</v>
      </c>
      <c r="HE6" s="103">
        <v>1200</v>
      </c>
      <c r="HF6" s="103" t="s">
        <v>38</v>
      </c>
      <c r="HG6" s="103">
        <v>1838</v>
      </c>
      <c r="HH6" s="103">
        <v>1070</v>
      </c>
      <c r="HI6" s="103">
        <v>2786</v>
      </c>
      <c r="HJ6" s="103">
        <v>1218</v>
      </c>
      <c r="HK6" s="103">
        <v>2228</v>
      </c>
      <c r="HL6" s="103">
        <v>1876</v>
      </c>
      <c r="HM6" s="103">
        <v>1585</v>
      </c>
      <c r="HN6" s="103">
        <v>1644</v>
      </c>
      <c r="HO6" s="103">
        <v>1437</v>
      </c>
      <c r="HP6" s="103">
        <v>1087</v>
      </c>
      <c r="HQ6" s="103">
        <v>949</v>
      </c>
      <c r="HR6" s="103" t="s">
        <v>38</v>
      </c>
      <c r="HS6" s="103">
        <v>3142</v>
      </c>
      <c r="HT6" s="103">
        <v>2900</v>
      </c>
      <c r="HU6" s="103">
        <v>6746</v>
      </c>
      <c r="HV6" s="103">
        <v>6247</v>
      </c>
      <c r="HW6" s="103">
        <v>4398</v>
      </c>
      <c r="HY6" s="103">
        <v>2908</v>
      </c>
      <c r="HZ6" s="103">
        <v>1334</v>
      </c>
      <c r="IA6" s="103">
        <v>1126</v>
      </c>
      <c r="IB6" s="103">
        <v>985</v>
      </c>
      <c r="IC6" s="103">
        <v>994</v>
      </c>
      <c r="ID6" s="103">
        <v>2924</v>
      </c>
      <c r="IE6" s="103">
        <v>1594</v>
      </c>
      <c r="IF6" s="103">
        <v>1215</v>
      </c>
      <c r="IG6" s="103">
        <v>1440</v>
      </c>
      <c r="IH6" s="103">
        <v>1037</v>
      </c>
      <c r="II6" s="103">
        <v>843</v>
      </c>
      <c r="IJ6" s="103">
        <v>1062</v>
      </c>
      <c r="IK6" s="103">
        <v>937</v>
      </c>
      <c r="IL6" s="103" t="s">
        <v>38</v>
      </c>
      <c r="IM6" s="103">
        <v>2576</v>
      </c>
      <c r="IN6" s="103">
        <v>2882</v>
      </c>
      <c r="IO6" s="103">
        <v>2342</v>
      </c>
      <c r="IP6" s="103">
        <v>1733</v>
      </c>
      <c r="IQ6" s="103">
        <v>1664</v>
      </c>
      <c r="IR6" s="103">
        <v>2176</v>
      </c>
      <c r="IS6" s="103">
        <v>2696</v>
      </c>
      <c r="IT6" s="103">
        <v>3749</v>
      </c>
      <c r="IU6" s="103">
        <v>3044</v>
      </c>
      <c r="IV6" s="103">
        <v>1776</v>
      </c>
      <c r="IW6" s="103">
        <v>1476</v>
      </c>
      <c r="IX6" s="103">
        <v>1173</v>
      </c>
      <c r="IY6" s="103">
        <v>1928</v>
      </c>
      <c r="IZ6" s="103">
        <v>6836</v>
      </c>
      <c r="JA6" s="103">
        <v>5625</v>
      </c>
      <c r="JB6" s="103">
        <v>3069</v>
      </c>
      <c r="JC6" s="103">
        <v>958</v>
      </c>
      <c r="JD6" s="103">
        <v>877</v>
      </c>
      <c r="JE6" s="103">
        <v>628</v>
      </c>
      <c r="JF6" s="103">
        <v>395</v>
      </c>
      <c r="JH6" s="103">
        <v>2470</v>
      </c>
      <c r="JI6" s="103">
        <v>3191</v>
      </c>
      <c r="JJ6" s="103">
        <v>858</v>
      </c>
      <c r="JK6" s="103">
        <v>903</v>
      </c>
      <c r="JL6" s="103">
        <v>840</v>
      </c>
      <c r="JM6" s="103">
        <v>960</v>
      </c>
      <c r="JO6" s="103">
        <v>2311</v>
      </c>
      <c r="JP6" s="103">
        <v>1028</v>
      </c>
      <c r="JQ6" s="103">
        <v>1033</v>
      </c>
      <c r="JR6" s="103">
        <v>2644</v>
      </c>
      <c r="JS6" s="103">
        <v>1563</v>
      </c>
      <c r="JT6" s="103">
        <v>2101</v>
      </c>
      <c r="JU6" s="103" t="s">
        <v>38</v>
      </c>
      <c r="JV6" s="103">
        <v>1793</v>
      </c>
      <c r="JW6" s="103">
        <v>3706</v>
      </c>
      <c r="JX6" s="103">
        <v>2452</v>
      </c>
      <c r="JY6" s="103">
        <v>1458</v>
      </c>
      <c r="JZ6" s="103">
        <v>1094</v>
      </c>
      <c r="KA6" s="103">
        <v>1505</v>
      </c>
      <c r="KC6" s="103">
        <v>2810</v>
      </c>
      <c r="KD6" s="103">
        <v>1480</v>
      </c>
      <c r="KE6" s="103">
        <v>2195</v>
      </c>
      <c r="KF6" s="103">
        <v>5144</v>
      </c>
      <c r="KG6" s="103">
        <v>5847</v>
      </c>
      <c r="KH6" s="103">
        <v>2098</v>
      </c>
      <c r="KI6" s="103">
        <v>698</v>
      </c>
      <c r="KK6" s="103">
        <v>3023</v>
      </c>
      <c r="KL6" s="103">
        <v>1409</v>
      </c>
      <c r="KM6" s="103">
        <v>2291</v>
      </c>
      <c r="KN6" s="103">
        <v>1485</v>
      </c>
      <c r="KO6" s="103">
        <v>1044</v>
      </c>
      <c r="KQ6" s="103">
        <v>2164</v>
      </c>
      <c r="KR6" s="103">
        <v>1007</v>
      </c>
      <c r="KS6" s="103">
        <v>998</v>
      </c>
      <c r="KT6" s="103">
        <v>891</v>
      </c>
      <c r="KU6" s="103">
        <v>915</v>
      </c>
      <c r="KV6" s="103">
        <v>1178</v>
      </c>
      <c r="KW6" s="103">
        <v>1907</v>
      </c>
      <c r="KX6" s="103">
        <v>2300</v>
      </c>
      <c r="KY6" s="103">
        <v>1623</v>
      </c>
      <c r="KZ6" s="103">
        <v>1556</v>
      </c>
      <c r="LA6" s="103">
        <v>1433</v>
      </c>
      <c r="LB6" s="103">
        <v>1495</v>
      </c>
      <c r="LC6" s="103">
        <v>1440</v>
      </c>
      <c r="LD6" s="103">
        <v>4413</v>
      </c>
      <c r="LE6" s="103">
        <v>4613</v>
      </c>
      <c r="LF6" s="103">
        <v>1496</v>
      </c>
      <c r="LG6" s="103">
        <v>1345</v>
      </c>
      <c r="LH6" s="103">
        <v>1169</v>
      </c>
      <c r="LI6" s="103">
        <v>1222</v>
      </c>
      <c r="LJ6" s="103">
        <v>1743</v>
      </c>
      <c r="LK6" s="103">
        <v>2463</v>
      </c>
      <c r="LL6" s="103">
        <v>5915</v>
      </c>
      <c r="LM6" s="103">
        <v>5620</v>
      </c>
      <c r="LN6" s="103">
        <v>5103</v>
      </c>
      <c r="LO6" s="103">
        <v>2782</v>
      </c>
      <c r="LP6" s="103">
        <v>711</v>
      </c>
      <c r="LQ6" s="103">
        <v>735</v>
      </c>
      <c r="LR6" s="103">
        <v>1473</v>
      </c>
      <c r="LS6" s="103">
        <v>1786</v>
      </c>
      <c r="LT6" s="103">
        <v>1133</v>
      </c>
      <c r="LU6" s="103">
        <v>864</v>
      </c>
      <c r="LV6" s="103">
        <v>905</v>
      </c>
      <c r="LW6" s="103">
        <v>718</v>
      </c>
      <c r="LX6" s="103">
        <v>32</v>
      </c>
      <c r="LY6" s="103">
        <v>718</v>
      </c>
      <c r="LZ6" s="103">
        <v>1073</v>
      </c>
      <c r="MA6" s="103">
        <v>1111</v>
      </c>
      <c r="MB6" s="103">
        <v>1826</v>
      </c>
      <c r="MC6" s="103">
        <v>1785</v>
      </c>
      <c r="MD6" s="103">
        <v>1409</v>
      </c>
      <c r="ME6" s="103">
        <v>715</v>
      </c>
      <c r="MG6" s="103">
        <v>1452</v>
      </c>
      <c r="MH6" s="103">
        <v>1716</v>
      </c>
      <c r="MI6" s="103">
        <v>2740</v>
      </c>
      <c r="MJ6" s="103">
        <v>1307</v>
      </c>
      <c r="MK6" s="103">
        <v>1167</v>
      </c>
      <c r="ML6" s="103">
        <v>2660</v>
      </c>
      <c r="MM6" s="103">
        <v>1927</v>
      </c>
      <c r="MN6" s="103">
        <v>1310</v>
      </c>
      <c r="MO6" s="103">
        <v>1442</v>
      </c>
      <c r="MP6" s="103">
        <v>1833</v>
      </c>
      <c r="MQ6" s="103">
        <v>3819</v>
      </c>
      <c r="MR6" s="103">
        <v>5164</v>
      </c>
      <c r="MS6" s="103">
        <v>4243</v>
      </c>
      <c r="MT6" s="103">
        <v>1505</v>
      </c>
      <c r="MU6" s="103">
        <v>1113</v>
      </c>
      <c r="MV6" s="103">
        <v>1820</v>
      </c>
      <c r="MW6" s="103">
        <v>2025</v>
      </c>
      <c r="MX6" s="103">
        <v>1294</v>
      </c>
      <c r="MY6" s="103">
        <v>1201</v>
      </c>
      <c r="MZ6" s="103">
        <v>1337</v>
      </c>
      <c r="NA6" s="103">
        <v>1207</v>
      </c>
      <c r="NB6" s="103">
        <v>1444</v>
      </c>
      <c r="NC6" s="103">
        <v>1914</v>
      </c>
      <c r="ND6" s="103">
        <v>1351</v>
      </c>
      <c r="NE6" s="103">
        <v>1129</v>
      </c>
      <c r="NF6" s="103">
        <v>2835</v>
      </c>
      <c r="NG6" s="103">
        <v>2055</v>
      </c>
      <c r="NH6" s="103">
        <v>337</v>
      </c>
      <c r="NI6" s="103">
        <v>1930</v>
      </c>
      <c r="NJ6" s="103">
        <v>2919</v>
      </c>
      <c r="NK6" s="103">
        <v>1607</v>
      </c>
      <c r="NL6" s="103">
        <v>1496</v>
      </c>
      <c r="NM6" s="103">
        <v>1831</v>
      </c>
      <c r="NN6" s="103">
        <v>1633</v>
      </c>
      <c r="NO6" s="103">
        <v>491</v>
      </c>
      <c r="NP6" s="103">
        <v>1638</v>
      </c>
      <c r="NQ6" s="103">
        <v>2195</v>
      </c>
      <c r="NR6" s="103">
        <v>3375</v>
      </c>
      <c r="NS6" s="103">
        <v>3574</v>
      </c>
      <c r="NT6" s="103">
        <v>1290</v>
      </c>
      <c r="NU6" s="103">
        <v>3669</v>
      </c>
      <c r="NV6" s="103">
        <v>2844</v>
      </c>
      <c r="NW6" s="103">
        <v>4413</v>
      </c>
      <c r="NX6" s="103">
        <v>5861</v>
      </c>
      <c r="NY6" s="103">
        <v>7360</v>
      </c>
      <c r="NZ6" s="103">
        <v>6061</v>
      </c>
      <c r="OA6" s="103">
        <v>1930</v>
      </c>
      <c r="OB6" s="103">
        <v>1723</v>
      </c>
      <c r="OC6" s="103">
        <v>1395</v>
      </c>
      <c r="OD6" s="103">
        <v>1371</v>
      </c>
      <c r="OE6" s="103">
        <v>1107</v>
      </c>
      <c r="OF6" s="103">
        <v>1139</v>
      </c>
      <c r="OG6" s="103">
        <v>1482</v>
      </c>
      <c r="OH6" s="103">
        <v>1610</v>
      </c>
      <c r="OI6" s="103">
        <v>2162</v>
      </c>
      <c r="OJ6" s="103">
        <v>1796</v>
      </c>
      <c r="OK6" s="103">
        <v>2005</v>
      </c>
      <c r="OL6" s="103">
        <v>3221</v>
      </c>
      <c r="OM6" s="103">
        <v>2860</v>
      </c>
      <c r="ON6" s="103">
        <v>2300</v>
      </c>
      <c r="OO6" s="103">
        <v>2482</v>
      </c>
      <c r="OP6" s="103">
        <v>2443</v>
      </c>
      <c r="OQ6" s="103">
        <v>546</v>
      </c>
      <c r="OR6" s="103">
        <v>2031</v>
      </c>
      <c r="OS6" s="103">
        <v>2459</v>
      </c>
      <c r="OT6" s="103">
        <v>1306</v>
      </c>
      <c r="OU6" s="103">
        <v>113</v>
      </c>
      <c r="OV6" s="103">
        <v>2099</v>
      </c>
      <c r="OW6" s="103">
        <v>1568</v>
      </c>
      <c r="OX6" s="103">
        <v>1433</v>
      </c>
      <c r="OY6" s="103">
        <v>1624</v>
      </c>
      <c r="OZ6" s="103">
        <v>2933</v>
      </c>
      <c r="PA6" s="103">
        <v>2725</v>
      </c>
      <c r="PB6" s="103">
        <v>6102</v>
      </c>
      <c r="PC6" s="103">
        <v>6805</v>
      </c>
      <c r="PD6" s="103">
        <v>5960</v>
      </c>
      <c r="PE6" s="103">
        <v>3692</v>
      </c>
      <c r="PF6" s="103">
        <v>1748</v>
      </c>
      <c r="PG6" s="103">
        <v>1361</v>
      </c>
      <c r="PH6" s="103">
        <v>1106</v>
      </c>
      <c r="PI6" s="103">
        <v>996</v>
      </c>
      <c r="PJ6" s="103">
        <v>917</v>
      </c>
      <c r="PK6" s="103">
        <v>952</v>
      </c>
      <c r="PL6" s="103">
        <v>271</v>
      </c>
      <c r="PM6" s="103">
        <v>1632</v>
      </c>
      <c r="PN6" s="103">
        <v>1481</v>
      </c>
      <c r="PO6" s="103">
        <v>2359</v>
      </c>
      <c r="PP6" s="103">
        <v>1492</v>
      </c>
      <c r="PQ6" s="103">
        <v>1182</v>
      </c>
      <c r="PR6" s="103">
        <v>1088</v>
      </c>
      <c r="PS6" s="103">
        <v>1181</v>
      </c>
      <c r="PT6" s="103">
        <v>1154</v>
      </c>
      <c r="PU6" s="103">
        <v>53</v>
      </c>
      <c r="PW6" s="103">
        <v>1619</v>
      </c>
      <c r="PX6" s="103">
        <v>2754</v>
      </c>
      <c r="PY6" s="103">
        <v>3142</v>
      </c>
      <c r="PZ6" s="103">
        <v>1706</v>
      </c>
      <c r="QA6" s="103">
        <v>2231</v>
      </c>
      <c r="QB6" s="103">
        <v>1704</v>
      </c>
      <c r="QC6" s="103">
        <v>1837</v>
      </c>
      <c r="QD6" s="103">
        <v>1049</v>
      </c>
      <c r="QE6" s="103">
        <v>929</v>
      </c>
      <c r="QF6" s="103">
        <v>957</v>
      </c>
      <c r="QG6" s="103">
        <v>213</v>
      </c>
      <c r="QH6" s="103">
        <v>1609</v>
      </c>
      <c r="QI6" s="103">
        <v>1325</v>
      </c>
      <c r="QJ6" s="103">
        <v>2684</v>
      </c>
      <c r="QK6" s="103">
        <v>2051</v>
      </c>
      <c r="QL6" s="103">
        <v>1827</v>
      </c>
      <c r="QM6" s="103">
        <v>1157</v>
      </c>
      <c r="QN6" s="103">
        <v>267</v>
      </c>
      <c r="QO6" s="103">
        <v>1937</v>
      </c>
      <c r="QP6" s="103">
        <v>1960</v>
      </c>
      <c r="QQ6" s="103">
        <v>1789</v>
      </c>
      <c r="QR6" s="103">
        <v>1172</v>
      </c>
      <c r="QS6" s="103">
        <v>1160</v>
      </c>
      <c r="QT6" s="103">
        <v>1996</v>
      </c>
      <c r="QU6" s="103">
        <v>3207</v>
      </c>
      <c r="QV6" s="103">
        <v>1358</v>
      </c>
      <c r="QW6" s="103">
        <v>2011</v>
      </c>
      <c r="QX6" s="103">
        <v>1618</v>
      </c>
      <c r="QY6" s="103">
        <v>1719</v>
      </c>
      <c r="QZ6" s="103">
        <v>2074</v>
      </c>
      <c r="RA6" s="103">
        <v>2581</v>
      </c>
      <c r="RB6" s="103">
        <v>4521</v>
      </c>
      <c r="RC6" s="103">
        <v>5593</v>
      </c>
      <c r="RD6" s="103">
        <v>4443</v>
      </c>
      <c r="RE6" s="103">
        <v>1702</v>
      </c>
      <c r="RF6" s="103">
        <v>1114</v>
      </c>
      <c r="RG6" s="103">
        <v>1353</v>
      </c>
      <c r="RH6" s="103">
        <v>1398</v>
      </c>
      <c r="RI6" s="103">
        <v>1214</v>
      </c>
      <c r="RJ6" s="103">
        <v>1687</v>
      </c>
      <c r="RK6" s="103">
        <v>1667</v>
      </c>
      <c r="RL6" s="103">
        <v>1523</v>
      </c>
      <c r="RM6" s="103">
        <v>1164</v>
      </c>
      <c r="RN6" s="103">
        <v>1293</v>
      </c>
      <c r="RO6" s="103">
        <v>2366</v>
      </c>
      <c r="RQ6" s="103">
        <v>2302</v>
      </c>
      <c r="RR6" s="103">
        <v>1634</v>
      </c>
      <c r="RS6" s="103">
        <v>1379</v>
      </c>
      <c r="RT6" s="103">
        <v>1018</v>
      </c>
      <c r="RU6" s="103">
        <v>1034</v>
      </c>
      <c r="RV6" s="103">
        <v>1295</v>
      </c>
      <c r="RX6" s="103">
        <v>2477</v>
      </c>
      <c r="RY6" s="103">
        <v>2147</v>
      </c>
      <c r="RZ6" s="103">
        <v>1771</v>
      </c>
      <c r="SA6" s="103">
        <v>1306</v>
      </c>
      <c r="SB6" s="103">
        <v>1202</v>
      </c>
      <c r="SC6" s="103">
        <v>1198</v>
      </c>
      <c r="SD6" s="103">
        <v>1052</v>
      </c>
      <c r="SE6" s="103">
        <v>4012</v>
      </c>
      <c r="SF6" s="103">
        <v>5246</v>
      </c>
      <c r="SG6" s="103">
        <v>6554</v>
      </c>
      <c r="SH6" s="103">
        <v>2272</v>
      </c>
      <c r="SI6" s="103">
        <v>1017</v>
      </c>
      <c r="SJ6" s="103">
        <v>1277</v>
      </c>
      <c r="SL6" s="103">
        <v>1724</v>
      </c>
      <c r="SM6" s="103">
        <v>1876</v>
      </c>
      <c r="SN6" s="103">
        <v>1437</v>
      </c>
      <c r="SO6" s="103">
        <v>1158</v>
      </c>
      <c r="SP6" s="103">
        <v>750</v>
      </c>
      <c r="SQ6" s="103">
        <v>2688</v>
      </c>
      <c r="SR6" s="103">
        <v>1175</v>
      </c>
      <c r="SS6" s="103">
        <v>1656</v>
      </c>
      <c r="ST6" s="103">
        <v>1240</v>
      </c>
      <c r="SU6" s="103">
        <v>2661</v>
      </c>
      <c r="SV6" s="103">
        <v>1385</v>
      </c>
      <c r="SW6" s="103">
        <v>942</v>
      </c>
      <c r="SX6" s="103">
        <v>1057</v>
      </c>
      <c r="SY6" s="103">
        <v>967</v>
      </c>
      <c r="SZ6" s="103">
        <v>1879</v>
      </c>
      <c r="TA6" s="103">
        <v>3421</v>
      </c>
      <c r="TB6" s="103">
        <v>2951</v>
      </c>
      <c r="TC6" s="103">
        <v>2008</v>
      </c>
      <c r="TD6" s="103">
        <v>2030</v>
      </c>
      <c r="TE6" s="103">
        <v>1279</v>
      </c>
      <c r="TG6" s="103">
        <v>1835</v>
      </c>
      <c r="TH6" s="103">
        <v>1769</v>
      </c>
      <c r="TI6" s="103">
        <v>1954</v>
      </c>
      <c r="TJ6" s="103">
        <v>1627</v>
      </c>
      <c r="TK6" s="103">
        <v>5687</v>
      </c>
      <c r="TL6" s="103">
        <v>6160</v>
      </c>
      <c r="TM6" s="103">
        <v>1127</v>
      </c>
      <c r="TN6" s="103">
        <v>1922</v>
      </c>
      <c r="TO6" s="103">
        <v>2072</v>
      </c>
      <c r="TP6" s="103">
        <v>1655</v>
      </c>
      <c r="TQ6" s="103">
        <v>1346</v>
      </c>
      <c r="TR6" s="103">
        <v>1201</v>
      </c>
      <c r="TS6" s="103">
        <v>1246</v>
      </c>
      <c r="TT6" s="103">
        <v>207</v>
      </c>
      <c r="TV6" s="103">
        <v>2384</v>
      </c>
      <c r="TW6" s="103">
        <v>2079</v>
      </c>
      <c r="TX6" s="103">
        <v>2846</v>
      </c>
      <c r="TY6" s="103">
        <v>1546</v>
      </c>
      <c r="TZ6" s="103">
        <v>1410</v>
      </c>
      <c r="UB6" s="103">
        <v>1953</v>
      </c>
      <c r="UC6" s="103">
        <v>1820</v>
      </c>
      <c r="UD6" s="103">
        <v>2</v>
      </c>
      <c r="UI6" s="103">
        <v>1578</v>
      </c>
      <c r="UJ6" s="103">
        <v>6740</v>
      </c>
      <c r="UK6" s="103">
        <v>6899</v>
      </c>
      <c r="UL6" s="103">
        <v>526</v>
      </c>
      <c r="UM6" s="103">
        <v>2384</v>
      </c>
      <c r="UN6" s="103">
        <v>3177</v>
      </c>
      <c r="UO6" s="103">
        <v>3265</v>
      </c>
      <c r="UP6" s="103">
        <v>6197</v>
      </c>
      <c r="UQ6" s="103">
        <v>7338</v>
      </c>
      <c r="UR6" s="103">
        <v>6184</v>
      </c>
      <c r="US6" s="103">
        <v>2794</v>
      </c>
      <c r="UT6" s="103">
        <v>2346</v>
      </c>
      <c r="UU6" s="103">
        <v>1757</v>
      </c>
      <c r="UW6" s="103">
        <v>2581</v>
      </c>
      <c r="UX6" s="103">
        <v>2830</v>
      </c>
      <c r="UY6" s="103">
        <v>1574</v>
      </c>
      <c r="UZ6" s="103">
        <v>3127</v>
      </c>
      <c r="VA6" s="103">
        <v>3183</v>
      </c>
      <c r="VB6" s="103">
        <v>1785</v>
      </c>
      <c r="VD6" s="103">
        <v>3533</v>
      </c>
      <c r="VE6" s="103">
        <v>3056</v>
      </c>
      <c r="VF6" s="103">
        <v>2124</v>
      </c>
      <c r="VG6" s="103">
        <v>1936</v>
      </c>
      <c r="VH6" s="103">
        <v>1642</v>
      </c>
      <c r="VI6" s="103">
        <v>2286</v>
      </c>
      <c r="VJ6" s="103">
        <v>3444</v>
      </c>
      <c r="VK6" s="103">
        <v>5321</v>
      </c>
      <c r="VL6" s="103">
        <v>2514</v>
      </c>
      <c r="VM6" s="103">
        <v>1451</v>
      </c>
      <c r="VN6" s="103">
        <v>3645</v>
      </c>
      <c r="VO6" s="103">
        <v>2360</v>
      </c>
      <c r="VP6" s="103">
        <v>2696</v>
      </c>
      <c r="VQ6" s="103">
        <v>180</v>
      </c>
      <c r="VR6" s="103">
        <v>4088</v>
      </c>
      <c r="VT6" s="103">
        <v>2976</v>
      </c>
      <c r="VU6" s="103">
        <v>5061</v>
      </c>
      <c r="VV6" s="103">
        <v>6811</v>
      </c>
      <c r="VW6" s="103">
        <v>8992</v>
      </c>
      <c r="VX6" s="103">
        <v>5937</v>
      </c>
      <c r="VY6" s="103">
        <v>3114</v>
      </c>
      <c r="VZ6" s="103">
        <v>2342</v>
      </c>
      <c r="WA6" s="103">
        <v>1455</v>
      </c>
      <c r="WB6" s="103">
        <v>1678</v>
      </c>
      <c r="WC6" s="103">
        <v>1466</v>
      </c>
      <c r="WD6" s="103">
        <v>1548</v>
      </c>
      <c r="WE6" s="103">
        <v>2321</v>
      </c>
      <c r="WF6" s="103">
        <v>3778</v>
      </c>
      <c r="WG6" s="103">
        <v>2321</v>
      </c>
      <c r="WH6" s="103">
        <v>1347</v>
      </c>
      <c r="WI6" s="103">
        <v>1521</v>
      </c>
      <c r="WJ6" s="103">
        <v>1869</v>
      </c>
      <c r="WK6" s="103">
        <v>1954</v>
      </c>
      <c r="WM6" s="103">
        <v>3025</v>
      </c>
      <c r="WN6" s="103">
        <v>2280</v>
      </c>
      <c r="WO6" s="103">
        <v>3464</v>
      </c>
      <c r="WP6" s="103">
        <v>2807</v>
      </c>
      <c r="WQ6" s="103">
        <v>2170</v>
      </c>
      <c r="WR6" s="103">
        <v>2124</v>
      </c>
      <c r="WS6" s="103">
        <v>2234</v>
      </c>
      <c r="WT6" s="103">
        <v>3090</v>
      </c>
      <c r="WU6" s="103">
        <v>2543</v>
      </c>
      <c r="WV6" s="103">
        <v>1893</v>
      </c>
      <c r="WW6" s="103">
        <v>2200</v>
      </c>
      <c r="WX6" s="103">
        <v>1436</v>
      </c>
      <c r="WY6" s="103">
        <v>1546</v>
      </c>
      <c r="WZ6" s="103">
        <v>3995</v>
      </c>
      <c r="XA6" s="103">
        <v>6831</v>
      </c>
      <c r="XB6" s="103">
        <v>8534</v>
      </c>
      <c r="XC6" s="103">
        <v>4749</v>
      </c>
      <c r="XD6" s="103">
        <v>2326</v>
      </c>
      <c r="XE6" s="103">
        <v>1288</v>
      </c>
      <c r="XF6" s="103">
        <v>1962</v>
      </c>
      <c r="XH6" s="103">
        <v>3054</v>
      </c>
      <c r="XI6" s="103">
        <v>3376</v>
      </c>
      <c r="XJ6" s="103">
        <v>3150</v>
      </c>
      <c r="XK6" s="103">
        <v>2618</v>
      </c>
      <c r="XL6" s="103">
        <v>1711</v>
      </c>
      <c r="XM6" s="103">
        <v>1605</v>
      </c>
      <c r="XO6" s="103">
        <v>2488</v>
      </c>
      <c r="XP6" s="103">
        <v>3401</v>
      </c>
      <c r="XQ6" s="103">
        <v>2218</v>
      </c>
      <c r="XR6" s="103">
        <v>1389</v>
      </c>
      <c r="XS6" s="103">
        <v>3415</v>
      </c>
      <c r="XT6" s="103">
        <v>3664</v>
      </c>
      <c r="XU6" s="103">
        <v>2894</v>
      </c>
      <c r="XW6" s="103">
        <v>3794</v>
      </c>
      <c r="XX6" s="103">
        <v>4280</v>
      </c>
      <c r="XY6" s="103">
        <v>2772</v>
      </c>
      <c r="XZ6" s="103">
        <v>1853</v>
      </c>
      <c r="YA6" s="103">
        <v>2905</v>
      </c>
      <c r="YB6" s="103" t="s">
        <v>38</v>
      </c>
      <c r="YC6" s="103">
        <v>3554</v>
      </c>
      <c r="YD6" s="103">
        <v>3370</v>
      </c>
      <c r="YE6" s="103">
        <v>2086</v>
      </c>
      <c r="YF6" s="103">
        <v>3517</v>
      </c>
      <c r="YG6" s="103">
        <v>7293</v>
      </c>
      <c r="YH6" s="103">
        <v>6591</v>
      </c>
      <c r="YI6" s="103">
        <v>3500</v>
      </c>
      <c r="YJ6" s="103">
        <v>2173</v>
      </c>
      <c r="YL6" s="103">
        <v>3034</v>
      </c>
      <c r="YM6" s="103">
        <v>3393</v>
      </c>
      <c r="YN6" s="103">
        <v>3037</v>
      </c>
      <c r="YO6" s="103">
        <v>1962</v>
      </c>
      <c r="YQ6" s="103">
        <v>3210</v>
      </c>
      <c r="YR6" s="103">
        <v>2253</v>
      </c>
      <c r="YS6" s="103">
        <v>1848</v>
      </c>
      <c r="YT6" s="103">
        <v>1804</v>
      </c>
      <c r="YU6" s="103">
        <v>1682</v>
      </c>
      <c r="YV6" s="103">
        <v>1617</v>
      </c>
      <c r="YW6" s="103">
        <v>1506</v>
      </c>
      <c r="YX6" s="103">
        <v>3876</v>
      </c>
      <c r="YY6" s="103">
        <v>3290</v>
      </c>
      <c r="YZ6" s="103">
        <v>2434</v>
      </c>
      <c r="ZA6" s="103">
        <v>2750</v>
      </c>
      <c r="ZB6" s="103">
        <v>2242</v>
      </c>
      <c r="ZC6" s="103">
        <v>2337</v>
      </c>
      <c r="ZE6" s="107">
        <v>4079</v>
      </c>
      <c r="ZF6" s="107">
        <v>3753</v>
      </c>
      <c r="ZG6" s="107">
        <v>2230</v>
      </c>
      <c r="ZH6" s="107">
        <v>2185</v>
      </c>
      <c r="ZI6" s="107">
        <v>3068</v>
      </c>
      <c r="ZJ6" s="107">
        <v>2746</v>
      </c>
      <c r="ZK6" s="107">
        <v>2968</v>
      </c>
      <c r="ZL6" s="107">
        <v>4343</v>
      </c>
      <c r="ZM6" s="107">
        <v>7333</v>
      </c>
      <c r="ZN6" s="107">
        <v>12879</v>
      </c>
      <c r="ZO6" s="107">
        <v>7182</v>
      </c>
      <c r="ZP6" s="107">
        <v>4561</v>
      </c>
      <c r="ZQ6" s="103">
        <v>2302</v>
      </c>
      <c r="ZR6" s="103">
        <v>2019</v>
      </c>
      <c r="ZS6" s="106">
        <v>3408</v>
      </c>
      <c r="ZT6" s="106">
        <v>2456</v>
      </c>
      <c r="ZU6" s="106">
        <v>1759</v>
      </c>
      <c r="ZV6" s="106">
        <v>1414</v>
      </c>
      <c r="ZW6" s="106">
        <v>1796</v>
      </c>
      <c r="ZX6" s="106">
        <v>1384</v>
      </c>
      <c r="ZY6" s="106" t="s">
        <v>38</v>
      </c>
      <c r="ZZ6" s="106">
        <v>3120</v>
      </c>
      <c r="AAA6" s="106">
        <v>2237</v>
      </c>
      <c r="AAB6" s="106">
        <v>1912</v>
      </c>
      <c r="AAC6" s="106">
        <v>3909</v>
      </c>
      <c r="AAD6" s="106">
        <v>2564</v>
      </c>
      <c r="AAE6" s="106">
        <v>2725</v>
      </c>
      <c r="AAF6" s="106" t="s">
        <v>152</v>
      </c>
      <c r="AAG6" s="106">
        <v>4476</v>
      </c>
      <c r="AAH6" s="106">
        <v>3049</v>
      </c>
      <c r="AAI6" s="106">
        <v>1831</v>
      </c>
      <c r="AAJ6" s="107">
        <v>2043</v>
      </c>
      <c r="AAK6" s="107">
        <v>1872</v>
      </c>
      <c r="AAL6" s="107">
        <v>2082</v>
      </c>
      <c r="AAM6" s="107">
        <v>2271</v>
      </c>
      <c r="AAN6" s="107">
        <v>3184</v>
      </c>
      <c r="AAO6" s="107">
        <v>2627</v>
      </c>
      <c r="AAP6" s="107">
        <v>2289</v>
      </c>
      <c r="AAQ6" s="107">
        <v>3096</v>
      </c>
      <c r="AAR6" s="106">
        <v>9076</v>
      </c>
      <c r="AAS6" s="106">
        <v>7837</v>
      </c>
      <c r="AAT6" s="106">
        <v>3540</v>
      </c>
      <c r="AAU6" s="106">
        <v>865</v>
      </c>
      <c r="AAV6" s="106">
        <v>3451</v>
      </c>
      <c r="AAW6" s="106">
        <v>2660</v>
      </c>
      <c r="AAX6" s="106">
        <v>2536</v>
      </c>
      <c r="AAY6" s="114">
        <v>2467</v>
      </c>
      <c r="AAZ6" s="107">
        <v>1576</v>
      </c>
      <c r="ABA6" s="103" t="s">
        <v>152</v>
      </c>
      <c r="ABB6" s="107">
        <v>3980</v>
      </c>
      <c r="ABC6" s="107">
        <v>2753</v>
      </c>
      <c r="ABD6" s="107">
        <v>3260</v>
      </c>
      <c r="ABE6" s="123" t="s">
        <v>152</v>
      </c>
      <c r="ABF6" s="106">
        <v>4210</v>
      </c>
      <c r="ABG6" s="106">
        <v>4101</v>
      </c>
      <c r="ABH6" s="106">
        <v>2698</v>
      </c>
      <c r="ABI6" s="106">
        <v>2424</v>
      </c>
      <c r="ABJ6" s="106">
        <v>2470</v>
      </c>
      <c r="ABK6" s="106">
        <v>2500</v>
      </c>
      <c r="ABL6" s="106">
        <v>2409</v>
      </c>
      <c r="ABM6" s="106">
        <v>2802</v>
      </c>
      <c r="ABN6" s="106">
        <v>3958</v>
      </c>
      <c r="ABO6" s="106">
        <v>2054</v>
      </c>
      <c r="ABP6" s="103">
        <v>4130</v>
      </c>
      <c r="ABQ6" s="103">
        <v>2331</v>
      </c>
      <c r="ABR6" s="103">
        <v>2309</v>
      </c>
      <c r="ABS6" s="103">
        <v>2148</v>
      </c>
      <c r="ABT6" s="103">
        <v>2182</v>
      </c>
      <c r="ABU6" s="103">
        <v>2017</v>
      </c>
      <c r="ABV6" s="103">
        <v>629</v>
      </c>
      <c r="ABW6" s="103">
        <v>1022</v>
      </c>
      <c r="ABX6" s="103">
        <v>795</v>
      </c>
      <c r="ABY6" s="103">
        <v>1637</v>
      </c>
      <c r="ABZ6" s="103">
        <v>195</v>
      </c>
      <c r="ACA6" s="103">
        <v>323</v>
      </c>
      <c r="ACB6" s="103">
        <v>205</v>
      </c>
      <c r="ACC6" s="103">
        <v>156</v>
      </c>
      <c r="ACD6" s="103">
        <v>176</v>
      </c>
      <c r="ACE6" s="103">
        <v>182</v>
      </c>
      <c r="ACF6" s="103">
        <v>173</v>
      </c>
      <c r="ACG6" s="103">
        <v>204</v>
      </c>
      <c r="ACH6" s="103">
        <v>180</v>
      </c>
      <c r="ACI6" s="103">
        <v>164</v>
      </c>
      <c r="ACK6" s="103">
        <v>846</v>
      </c>
      <c r="ACL6" s="103">
        <v>250</v>
      </c>
      <c r="ACM6" s="103">
        <v>203</v>
      </c>
      <c r="ACN6" s="103">
        <v>234</v>
      </c>
      <c r="ACO6" s="103">
        <v>349</v>
      </c>
      <c r="ACP6" s="103">
        <v>1120</v>
      </c>
      <c r="ACQ6" s="103">
        <v>991</v>
      </c>
      <c r="ACR6" s="103">
        <v>3249</v>
      </c>
      <c r="ACS6" s="103">
        <v>3087</v>
      </c>
      <c r="ACT6" s="103">
        <v>2161</v>
      </c>
      <c r="ACU6" s="103">
        <v>2441</v>
      </c>
      <c r="ACV6" s="103" t="s">
        <v>38</v>
      </c>
      <c r="ACW6" s="103">
        <v>3326</v>
      </c>
      <c r="ACX6" s="103">
        <v>2648</v>
      </c>
      <c r="ACY6" s="103">
        <v>1897</v>
      </c>
      <c r="ACZ6" s="103">
        <v>3825</v>
      </c>
      <c r="ADA6" s="103">
        <v>2791</v>
      </c>
      <c r="ADB6" s="103">
        <v>4303</v>
      </c>
      <c r="ADC6" s="103">
        <v>8121</v>
      </c>
      <c r="ADD6" s="103">
        <v>8504</v>
      </c>
      <c r="ADE6" s="103">
        <v>4755</v>
      </c>
      <c r="ADF6" s="103">
        <v>3763</v>
      </c>
      <c r="ADG6" s="103">
        <v>3001</v>
      </c>
      <c r="ADH6" s="103">
        <v>3239</v>
      </c>
      <c r="ADI6" s="103">
        <v>2607</v>
      </c>
      <c r="ADJ6" s="103">
        <v>2415</v>
      </c>
      <c r="ADK6" s="103">
        <v>2267</v>
      </c>
      <c r="ADL6" s="103">
        <v>1521</v>
      </c>
      <c r="ADM6" s="103">
        <v>3552</v>
      </c>
      <c r="ADN6" s="103">
        <v>2856</v>
      </c>
      <c r="ADO6" s="103">
        <v>2879</v>
      </c>
      <c r="ADP6" s="103">
        <v>3366</v>
      </c>
      <c r="ADQ6" s="103">
        <v>3227</v>
      </c>
      <c r="ADR6" s="103">
        <v>2601</v>
      </c>
      <c r="ADS6" s="103">
        <v>2516</v>
      </c>
      <c r="ADT6" s="103">
        <v>2603</v>
      </c>
      <c r="ADU6" s="103">
        <v>2323</v>
      </c>
      <c r="ADV6" s="103">
        <v>182</v>
      </c>
      <c r="ADX6" s="103">
        <v>4146</v>
      </c>
      <c r="ADY6" s="103">
        <v>3318</v>
      </c>
      <c r="ADZ6" s="103">
        <v>2880</v>
      </c>
      <c r="AEA6" s="103">
        <v>3244</v>
      </c>
      <c r="AEB6" s="103">
        <v>3309</v>
      </c>
      <c r="AEC6" s="103">
        <v>3169</v>
      </c>
      <c r="AED6" s="103">
        <v>1834</v>
      </c>
      <c r="AEE6" s="103">
        <v>2128</v>
      </c>
      <c r="AEF6" s="103">
        <v>2570</v>
      </c>
      <c r="AEG6" s="103">
        <v>1301</v>
      </c>
      <c r="AEH6" s="103">
        <v>2760</v>
      </c>
      <c r="AEI6" s="103">
        <v>4191</v>
      </c>
      <c r="AEJ6" s="103">
        <v>2004</v>
      </c>
      <c r="AEK6" s="103">
        <v>3525</v>
      </c>
      <c r="AEL6" s="103">
        <v>3266</v>
      </c>
      <c r="AEM6" s="103">
        <v>2394</v>
      </c>
      <c r="AEN6" s="103">
        <v>1484</v>
      </c>
      <c r="AEO6" s="103">
        <v>2677</v>
      </c>
      <c r="AEP6" s="103">
        <v>2043</v>
      </c>
      <c r="AEQ6" s="103">
        <v>1766</v>
      </c>
      <c r="AER6" s="103">
        <v>2005</v>
      </c>
      <c r="AES6" s="103">
        <v>1780</v>
      </c>
      <c r="AET6" s="103">
        <v>1832</v>
      </c>
      <c r="AEU6" s="103">
        <v>2958</v>
      </c>
      <c r="AEV6" s="103">
        <v>3029</v>
      </c>
      <c r="AEW6" s="103">
        <v>3149</v>
      </c>
      <c r="AEX6" s="103">
        <v>3506</v>
      </c>
      <c r="AEY6" s="103">
        <v>3526</v>
      </c>
      <c r="AEZ6" s="103">
        <v>2772</v>
      </c>
      <c r="AFA6" s="103">
        <v>3738</v>
      </c>
      <c r="AFB6" s="103">
        <v>3342</v>
      </c>
      <c r="AFC6" s="103">
        <v>6981</v>
      </c>
      <c r="AFD6" s="103">
        <v>9363</v>
      </c>
      <c r="AFE6" s="103">
        <v>4093</v>
      </c>
      <c r="AFF6" s="103">
        <v>3157</v>
      </c>
      <c r="AFG6" s="103">
        <v>2658</v>
      </c>
      <c r="AFH6" s="103">
        <v>2414</v>
      </c>
      <c r="AFI6" s="103" t="s">
        <v>38</v>
      </c>
      <c r="AFJ6" s="103">
        <v>5201</v>
      </c>
      <c r="AFK6" s="103">
        <v>2905</v>
      </c>
      <c r="AFL6" s="103">
        <v>2628</v>
      </c>
      <c r="AFM6" s="103">
        <v>2506</v>
      </c>
      <c r="AFN6" s="103">
        <v>2128</v>
      </c>
      <c r="AFO6" s="103">
        <v>1915</v>
      </c>
      <c r="AFP6" s="103">
        <v>3074</v>
      </c>
      <c r="AFQ6" s="103">
        <v>3660</v>
      </c>
      <c r="AFR6" s="103">
        <v>3013</v>
      </c>
      <c r="AFS6" s="103">
        <v>2510</v>
      </c>
      <c r="AFT6" s="103">
        <v>2137</v>
      </c>
      <c r="AFU6" s="103">
        <v>2265</v>
      </c>
      <c r="AFV6" s="103">
        <v>2088</v>
      </c>
      <c r="AFW6" s="103">
        <v>2425</v>
      </c>
      <c r="AFX6" s="103">
        <v>2486</v>
      </c>
      <c r="AFY6" s="103">
        <v>1989</v>
      </c>
      <c r="AFZ6" s="103">
        <v>4873</v>
      </c>
      <c r="AGA6" s="103">
        <v>2662</v>
      </c>
      <c r="AGB6" s="103">
        <v>3298</v>
      </c>
      <c r="AGC6" s="103">
        <v>3326</v>
      </c>
      <c r="AGD6" s="103">
        <v>2894</v>
      </c>
      <c r="AGE6" s="103">
        <v>6323</v>
      </c>
      <c r="AGF6" s="103">
        <v>7280</v>
      </c>
      <c r="AGG6" s="103">
        <v>10340</v>
      </c>
      <c r="AGH6" s="103">
        <v>7325</v>
      </c>
      <c r="AGI6" s="103">
        <v>4199</v>
      </c>
      <c r="AGJ6" s="103">
        <v>1116</v>
      </c>
      <c r="AGK6" s="103">
        <v>2232</v>
      </c>
      <c r="AGL6" s="103">
        <v>4269</v>
      </c>
      <c r="AGM6" s="103">
        <v>2734</v>
      </c>
      <c r="AGN6" s="103">
        <v>2238</v>
      </c>
      <c r="AGO6" s="103">
        <v>1840</v>
      </c>
      <c r="AGP6" s="103">
        <v>1765</v>
      </c>
      <c r="AGQ6" s="103">
        <v>2069</v>
      </c>
      <c r="AGR6" s="103">
        <v>3294</v>
      </c>
      <c r="AGS6" s="103">
        <v>3915</v>
      </c>
      <c r="AGT6" s="103">
        <v>1987</v>
      </c>
      <c r="AGU6" s="103">
        <v>1656</v>
      </c>
      <c r="AGV6" s="103">
        <v>1672</v>
      </c>
      <c r="AGW6" s="103">
        <v>2158</v>
      </c>
      <c r="AGX6" s="103">
        <v>1862</v>
      </c>
      <c r="AGY6" s="103">
        <v>1811</v>
      </c>
      <c r="AGZ6" s="103">
        <v>1947</v>
      </c>
      <c r="AHA6" s="103">
        <v>2879</v>
      </c>
      <c r="AHB6" s="103">
        <v>4992</v>
      </c>
      <c r="AHC6" s="103">
        <v>5034</v>
      </c>
      <c r="AHD6" s="103">
        <v>3809</v>
      </c>
      <c r="AHE6" s="103">
        <v>2358</v>
      </c>
      <c r="AHF6" s="103">
        <v>2127</v>
      </c>
      <c r="AHG6" s="103">
        <v>4885</v>
      </c>
      <c r="AHH6" s="103">
        <v>3067</v>
      </c>
      <c r="AHI6" s="103">
        <v>4568</v>
      </c>
      <c r="AHJ6" s="103">
        <v>2856</v>
      </c>
      <c r="AHK6" s="103">
        <v>3127</v>
      </c>
      <c r="AHL6" s="103">
        <v>4998</v>
      </c>
      <c r="AHM6" s="103">
        <v>9352</v>
      </c>
      <c r="AHN6" s="103">
        <v>6152</v>
      </c>
      <c r="AHO6" s="103">
        <v>3112</v>
      </c>
      <c r="AHP6" s="103">
        <v>2273</v>
      </c>
      <c r="AHQ6" s="103">
        <v>1762</v>
      </c>
      <c r="AHR6" s="103">
        <v>2154</v>
      </c>
      <c r="AHS6" s="103">
        <v>1951</v>
      </c>
      <c r="AHT6" s="103">
        <v>1893</v>
      </c>
      <c r="AHU6" s="103" t="s">
        <v>38</v>
      </c>
      <c r="AHV6" s="103" t="s">
        <v>38</v>
      </c>
      <c r="AHW6" s="103">
        <v>3785</v>
      </c>
      <c r="AHX6" s="103">
        <v>4207</v>
      </c>
      <c r="AHY6" s="103">
        <v>2012</v>
      </c>
      <c r="AHZ6" s="103">
        <v>2080</v>
      </c>
      <c r="AIA6" s="103">
        <v>1702</v>
      </c>
      <c r="AIB6" s="103">
        <v>4135</v>
      </c>
      <c r="AIC6" s="103">
        <v>3350</v>
      </c>
      <c r="AID6" s="103" t="s">
        <v>38</v>
      </c>
      <c r="AIE6" s="103" t="s">
        <v>38</v>
      </c>
      <c r="AIF6" s="103" t="s">
        <v>38</v>
      </c>
      <c r="AIG6" s="103" t="s">
        <v>38</v>
      </c>
      <c r="AIH6" s="103" t="s">
        <v>38</v>
      </c>
      <c r="AII6" s="103">
        <v>4954</v>
      </c>
      <c r="AIJ6" s="103">
        <v>10240</v>
      </c>
      <c r="AIK6" s="103">
        <v>9256</v>
      </c>
      <c r="AIL6" s="103">
        <v>3916</v>
      </c>
      <c r="AIM6" s="103">
        <v>1454</v>
      </c>
      <c r="AIN6" s="103">
        <v>4522</v>
      </c>
      <c r="AIO6" s="103">
        <v>2741</v>
      </c>
      <c r="AIP6" s="103">
        <v>4382</v>
      </c>
      <c r="AIQ6" s="103">
        <v>7864</v>
      </c>
      <c r="AIR6" s="103">
        <v>9201</v>
      </c>
      <c r="AIS6" s="103">
        <v>5731</v>
      </c>
      <c r="AIT6" s="103">
        <v>3382</v>
      </c>
      <c r="AIU6" s="103">
        <v>1933</v>
      </c>
      <c r="AIV6" s="103">
        <v>1893</v>
      </c>
      <c r="AIW6" s="103">
        <v>2168</v>
      </c>
      <c r="AIX6" s="103">
        <v>4802</v>
      </c>
      <c r="AIY6" s="103">
        <v>2648</v>
      </c>
      <c r="AIZ6" s="103">
        <v>2776</v>
      </c>
      <c r="AJA6" s="103">
        <v>4455</v>
      </c>
      <c r="AJB6" s="103">
        <v>2611</v>
      </c>
      <c r="AJC6" s="103">
        <v>1847</v>
      </c>
      <c r="AJD6" s="107">
        <v>3972</v>
      </c>
      <c r="AJE6" s="107">
        <v>2614</v>
      </c>
      <c r="AJF6" s="107">
        <v>2286</v>
      </c>
      <c r="AJG6" s="107">
        <v>2855</v>
      </c>
      <c r="AJH6" s="107">
        <v>2775</v>
      </c>
      <c r="AJI6" s="107">
        <v>2423</v>
      </c>
      <c r="AJJ6" s="103" t="s">
        <v>152</v>
      </c>
      <c r="AJK6" s="103">
        <v>4992</v>
      </c>
      <c r="AJL6" s="103">
        <v>6121</v>
      </c>
      <c r="AJM6" s="103">
        <v>6004</v>
      </c>
      <c r="AJN6" s="103">
        <v>3695</v>
      </c>
      <c r="AJO6" s="103">
        <v>3460</v>
      </c>
      <c r="AJP6" s="103">
        <v>2691</v>
      </c>
      <c r="AJQ6" s="103">
        <v>1875</v>
      </c>
      <c r="AJR6" s="103">
        <v>7055</v>
      </c>
      <c r="AJS6" s="103">
        <v>4478</v>
      </c>
      <c r="AJT6" s="103">
        <v>3222</v>
      </c>
      <c r="AJU6" s="103">
        <v>4816</v>
      </c>
      <c r="AJV6" s="103">
        <v>6128</v>
      </c>
      <c r="AJW6" s="103">
        <v>8205</v>
      </c>
      <c r="AJX6" s="103">
        <v>9701</v>
      </c>
      <c r="AJY6" s="103">
        <v>7632</v>
      </c>
      <c r="AJZ6" s="103">
        <v>5775</v>
      </c>
      <c r="AKA6" s="103">
        <v>2868</v>
      </c>
      <c r="AKB6" s="103">
        <v>1786</v>
      </c>
      <c r="AKC6" s="103">
        <v>1788</v>
      </c>
      <c r="AKD6" s="103">
        <v>1717</v>
      </c>
      <c r="AKE6" s="103">
        <v>1552</v>
      </c>
      <c r="AKF6" s="103">
        <v>5279</v>
      </c>
    </row>
    <row r="7" spans="1:976">
      <c r="A7">
        <v>5</v>
      </c>
      <c r="B7" t="s">
        <v>158</v>
      </c>
      <c r="C7" s="1">
        <v>82658</v>
      </c>
      <c r="D7" s="2" t="s">
        <v>147</v>
      </c>
      <c r="E7" s="1" t="s">
        <v>159</v>
      </c>
      <c r="F7" s="1" t="s">
        <v>31</v>
      </c>
      <c r="G7" s="1" t="s">
        <v>12</v>
      </c>
      <c r="H7" s="1" t="s">
        <v>160</v>
      </c>
      <c r="I7" s="1" t="s">
        <v>151</v>
      </c>
      <c r="J7" s="1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HP7">
        <v>135</v>
      </c>
      <c r="HQ7">
        <v>97</v>
      </c>
      <c r="HS7">
        <v>184</v>
      </c>
      <c r="HT7">
        <v>183</v>
      </c>
      <c r="HU7">
        <v>507</v>
      </c>
      <c r="HV7">
        <v>346</v>
      </c>
      <c r="HW7">
        <v>237</v>
      </c>
      <c r="HX7">
        <v>206</v>
      </c>
      <c r="HY7">
        <v>252</v>
      </c>
      <c r="HZ7">
        <v>129</v>
      </c>
      <c r="IA7">
        <v>122</v>
      </c>
      <c r="IB7">
        <v>60</v>
      </c>
      <c r="IC7">
        <v>1510</v>
      </c>
      <c r="ID7">
        <v>701</v>
      </c>
      <c r="IE7">
        <v>563</v>
      </c>
      <c r="IF7">
        <v>342</v>
      </c>
      <c r="IG7">
        <v>176</v>
      </c>
      <c r="IH7">
        <v>135</v>
      </c>
      <c r="II7">
        <v>209</v>
      </c>
      <c r="IJ7">
        <v>217</v>
      </c>
      <c r="IK7">
        <v>136</v>
      </c>
      <c r="IL7">
        <v>111</v>
      </c>
      <c r="IM7">
        <v>173</v>
      </c>
      <c r="IN7">
        <v>135</v>
      </c>
      <c r="IO7">
        <v>129</v>
      </c>
      <c r="IP7">
        <v>155</v>
      </c>
      <c r="IQ7">
        <v>191</v>
      </c>
      <c r="IR7">
        <v>193</v>
      </c>
      <c r="IS7">
        <v>228</v>
      </c>
      <c r="IT7" s="43">
        <v>245</v>
      </c>
      <c r="IU7" s="43">
        <v>151</v>
      </c>
      <c r="IV7" s="43">
        <v>141</v>
      </c>
      <c r="IW7" s="43">
        <v>120</v>
      </c>
      <c r="IX7" s="43">
        <v>195</v>
      </c>
      <c r="IY7" s="43">
        <v>354</v>
      </c>
      <c r="IZ7" s="43">
        <v>599</v>
      </c>
      <c r="JA7" s="43">
        <v>361</v>
      </c>
      <c r="JB7" s="43">
        <v>197</v>
      </c>
      <c r="JC7" s="43">
        <v>209</v>
      </c>
      <c r="JD7" s="43">
        <v>157</v>
      </c>
      <c r="JE7" s="43">
        <v>218</v>
      </c>
      <c r="JF7" s="43">
        <v>197</v>
      </c>
      <c r="JG7" s="43">
        <v>161</v>
      </c>
      <c r="JH7" s="43">
        <v>376</v>
      </c>
      <c r="JI7" s="43">
        <v>140</v>
      </c>
      <c r="JJ7" s="43">
        <v>141</v>
      </c>
      <c r="JK7" s="43">
        <v>197</v>
      </c>
      <c r="JL7" s="43">
        <v>184</v>
      </c>
      <c r="JM7" s="43">
        <v>141</v>
      </c>
      <c r="JN7" s="43">
        <v>115</v>
      </c>
      <c r="JO7" s="43">
        <v>227</v>
      </c>
      <c r="JP7" s="43">
        <v>112</v>
      </c>
      <c r="JQ7" s="43">
        <v>125</v>
      </c>
      <c r="JR7" s="43">
        <v>139</v>
      </c>
      <c r="JS7" s="43">
        <v>143</v>
      </c>
      <c r="JT7" s="43">
        <v>136</v>
      </c>
      <c r="JU7" s="43">
        <v>201</v>
      </c>
      <c r="JV7" s="43"/>
      <c r="JW7" s="43">
        <v>277</v>
      </c>
      <c r="JX7" s="43">
        <v>133</v>
      </c>
      <c r="LD7">
        <v>163</v>
      </c>
      <c r="LE7">
        <v>211</v>
      </c>
      <c r="LF7">
        <v>211</v>
      </c>
      <c r="LG7">
        <v>181</v>
      </c>
      <c r="LH7">
        <v>207</v>
      </c>
      <c r="LI7">
        <v>153</v>
      </c>
      <c r="LJ7">
        <v>299</v>
      </c>
      <c r="LK7">
        <v>314</v>
      </c>
      <c r="LL7">
        <v>594</v>
      </c>
      <c r="LM7">
        <v>398</v>
      </c>
      <c r="LN7">
        <v>202</v>
      </c>
      <c r="LO7">
        <v>148</v>
      </c>
      <c r="LP7">
        <v>129</v>
      </c>
      <c r="LQ7">
        <v>113</v>
      </c>
      <c r="LR7">
        <v>193</v>
      </c>
      <c r="LS7">
        <v>151</v>
      </c>
      <c r="LT7">
        <v>136</v>
      </c>
      <c r="LU7">
        <v>135</v>
      </c>
      <c r="LV7">
        <v>168</v>
      </c>
      <c r="LW7">
        <v>153</v>
      </c>
      <c r="LX7">
        <v>15</v>
      </c>
      <c r="LY7">
        <v>15</v>
      </c>
      <c r="LZ7">
        <v>42</v>
      </c>
      <c r="MA7">
        <v>14</v>
      </c>
      <c r="MB7">
        <v>33</v>
      </c>
      <c r="MC7">
        <v>13</v>
      </c>
      <c r="MD7">
        <v>27</v>
      </c>
      <c r="ME7">
        <v>16</v>
      </c>
      <c r="MF7">
        <v>38</v>
      </c>
      <c r="MG7">
        <v>73</v>
      </c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</row>
    <row r="8" spans="1:976">
      <c r="A8">
        <v>6</v>
      </c>
      <c r="B8" t="s">
        <v>161</v>
      </c>
      <c r="C8" s="1">
        <v>82652</v>
      </c>
      <c r="D8" s="2" t="s">
        <v>147</v>
      </c>
      <c r="E8" s="2" t="s">
        <v>150</v>
      </c>
      <c r="F8" s="1" t="s">
        <v>97</v>
      </c>
      <c r="G8" s="1" t="s">
        <v>33</v>
      </c>
      <c r="H8" s="1" t="s">
        <v>150</v>
      </c>
      <c r="I8" s="1" t="s">
        <v>162</v>
      </c>
      <c r="J8" s="1" t="s">
        <v>46</v>
      </c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ZS8" s="23"/>
      <c r="ZT8" s="23"/>
      <c r="ZU8" s="23"/>
      <c r="ZV8" s="23"/>
      <c r="ZW8" s="23"/>
      <c r="ZX8" s="23"/>
      <c r="ZY8" s="23"/>
      <c r="ZZ8" s="23"/>
      <c r="AAA8" s="23"/>
      <c r="AAB8" s="23"/>
      <c r="AAC8" s="23"/>
      <c r="AAD8" s="23"/>
      <c r="AAE8" s="23"/>
      <c r="AAF8" s="23"/>
      <c r="AAG8" s="23"/>
      <c r="AAH8" s="23"/>
      <c r="AAI8" s="23"/>
    </row>
    <row r="9" spans="1:976">
      <c r="C9" s="1"/>
      <c r="D9" s="2"/>
      <c r="E9" s="2"/>
      <c r="F9" s="1"/>
      <c r="G9" s="1"/>
      <c r="H9" s="1"/>
      <c r="I9" s="1"/>
      <c r="J9" s="1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ZS9" s="23"/>
      <c r="ZT9" s="23"/>
      <c r="ZU9" s="23"/>
      <c r="ZV9" s="23"/>
      <c r="ZW9" s="23"/>
      <c r="ZX9" s="23"/>
      <c r="ZY9" s="23"/>
      <c r="ZZ9" s="23"/>
      <c r="AAA9" s="23"/>
      <c r="AAB9" s="23"/>
      <c r="AAC9" s="23"/>
      <c r="AAD9" s="23"/>
      <c r="AAE9" s="23"/>
      <c r="AAF9" s="23"/>
      <c r="AAG9" s="23"/>
      <c r="AAH9" s="23"/>
      <c r="AAI9" s="23"/>
    </row>
    <row r="10" spans="1:976" s="98" customFormat="1" ht="16.5" customHeight="1">
      <c r="A10" s="97">
        <v>7</v>
      </c>
      <c r="B10" s="98" t="s">
        <v>163</v>
      </c>
      <c r="C10" s="99">
        <v>82652</v>
      </c>
      <c r="D10" s="100" t="s">
        <v>147</v>
      </c>
      <c r="E10" s="99" t="s">
        <v>154</v>
      </c>
      <c r="F10" s="99" t="s">
        <v>97</v>
      </c>
      <c r="G10" s="99" t="s">
        <v>12</v>
      </c>
      <c r="H10" s="99" t="s">
        <v>148</v>
      </c>
      <c r="I10" s="99" t="s">
        <v>162</v>
      </c>
      <c r="J10" s="99" t="s">
        <v>46</v>
      </c>
      <c r="K10" s="101">
        <v>10</v>
      </c>
      <c r="L10" s="101">
        <v>32</v>
      </c>
      <c r="M10" s="101">
        <v>70</v>
      </c>
      <c r="N10" s="101">
        <v>11</v>
      </c>
      <c r="O10" s="101" t="s">
        <v>38</v>
      </c>
      <c r="P10" s="101">
        <v>25</v>
      </c>
      <c r="Q10" s="101">
        <v>122</v>
      </c>
      <c r="R10" s="101">
        <v>344</v>
      </c>
      <c r="S10" s="101">
        <v>11</v>
      </c>
      <c r="T10" s="101">
        <v>44</v>
      </c>
      <c r="U10" s="101">
        <v>73</v>
      </c>
      <c r="V10" s="101" t="s">
        <v>38</v>
      </c>
      <c r="W10" s="101">
        <v>106</v>
      </c>
      <c r="X10" s="101">
        <v>25</v>
      </c>
      <c r="Y10" s="101">
        <v>13</v>
      </c>
      <c r="Z10" s="101">
        <v>11</v>
      </c>
      <c r="AA10" s="101">
        <v>9</v>
      </c>
      <c r="AB10" s="101">
        <v>11</v>
      </c>
      <c r="AC10" s="101" t="s">
        <v>38</v>
      </c>
      <c r="AD10" s="101">
        <v>39</v>
      </c>
      <c r="AE10" s="101">
        <v>40</v>
      </c>
      <c r="AF10" s="101">
        <v>150</v>
      </c>
      <c r="AG10" s="101">
        <v>32</v>
      </c>
      <c r="AH10" s="101">
        <v>22</v>
      </c>
      <c r="AI10" s="101">
        <v>39</v>
      </c>
      <c r="AJ10" s="101" t="s">
        <v>38</v>
      </c>
      <c r="AK10" s="101">
        <v>46</v>
      </c>
      <c r="AL10" s="101" t="s">
        <v>38</v>
      </c>
      <c r="AM10" s="101" t="s">
        <v>38</v>
      </c>
      <c r="AN10" s="101" t="s">
        <v>38</v>
      </c>
      <c r="AO10" s="101" t="s">
        <v>38</v>
      </c>
      <c r="AP10" s="101" t="s">
        <v>38</v>
      </c>
      <c r="AQ10" s="101" t="s">
        <v>38</v>
      </c>
      <c r="AR10" s="101" t="s">
        <v>38</v>
      </c>
      <c r="AS10" s="101" t="s">
        <v>38</v>
      </c>
      <c r="AT10" s="101" t="s">
        <v>38</v>
      </c>
      <c r="AU10" s="101" t="s">
        <v>38</v>
      </c>
      <c r="AV10" s="101" t="s">
        <v>38</v>
      </c>
      <c r="AW10" s="101" t="s">
        <v>38</v>
      </c>
      <c r="AX10" s="101" t="s">
        <v>38</v>
      </c>
      <c r="AY10" s="101" t="s">
        <v>38</v>
      </c>
      <c r="AZ10" s="101" t="s">
        <v>38</v>
      </c>
      <c r="BA10" s="101" t="s">
        <v>38</v>
      </c>
      <c r="BB10" s="101" t="s">
        <v>38</v>
      </c>
      <c r="BC10" s="101" t="s">
        <v>38</v>
      </c>
      <c r="BD10" s="101" t="s">
        <v>38</v>
      </c>
      <c r="BE10" s="101" t="s">
        <v>38</v>
      </c>
      <c r="BF10" s="101" t="s">
        <v>38</v>
      </c>
      <c r="BG10" s="101" t="s">
        <v>38</v>
      </c>
      <c r="BH10" s="101" t="s">
        <v>38</v>
      </c>
      <c r="BI10" s="98" t="s">
        <v>38</v>
      </c>
      <c r="BJ10" s="98" t="s">
        <v>38</v>
      </c>
      <c r="BK10" s="98" t="s">
        <v>38</v>
      </c>
      <c r="BL10" s="98" t="s">
        <v>38</v>
      </c>
      <c r="BM10" s="98" t="s">
        <v>38</v>
      </c>
      <c r="BN10" s="98" t="s">
        <v>38</v>
      </c>
      <c r="BO10" s="98" t="s">
        <v>38</v>
      </c>
      <c r="BP10" s="98" t="s">
        <v>38</v>
      </c>
      <c r="BQ10" s="98" t="s">
        <v>38</v>
      </c>
      <c r="BR10" s="98" t="s">
        <v>38</v>
      </c>
      <c r="BS10" s="98" t="s">
        <v>38</v>
      </c>
      <c r="BT10" s="98" t="s">
        <v>38</v>
      </c>
      <c r="BU10" s="98" t="s">
        <v>38</v>
      </c>
      <c r="BV10" s="98" t="s">
        <v>38</v>
      </c>
      <c r="BW10" s="98" t="s">
        <v>38</v>
      </c>
      <c r="BX10" s="98" t="s">
        <v>38</v>
      </c>
      <c r="BY10" s="98" t="s">
        <v>38</v>
      </c>
      <c r="WU10" s="98">
        <v>93</v>
      </c>
      <c r="WV10" s="98">
        <v>63</v>
      </c>
      <c r="WW10" s="98">
        <v>77</v>
      </c>
      <c r="WX10" s="98">
        <v>32</v>
      </c>
      <c r="WY10" s="98">
        <v>46</v>
      </c>
      <c r="WZ10" s="98">
        <v>44</v>
      </c>
      <c r="XA10" s="98">
        <v>115</v>
      </c>
      <c r="XB10" s="98">
        <v>288</v>
      </c>
      <c r="XC10" s="98">
        <v>48</v>
      </c>
      <c r="XD10" s="98">
        <v>53</v>
      </c>
      <c r="XE10" s="98">
        <v>80</v>
      </c>
      <c r="XF10" s="98">
        <v>75</v>
      </c>
      <c r="XH10" s="98">
        <v>71</v>
      </c>
      <c r="XI10" s="98">
        <v>84</v>
      </c>
      <c r="XJ10" s="98">
        <v>21</v>
      </c>
      <c r="XK10" s="98">
        <v>38</v>
      </c>
      <c r="XL10" s="98">
        <v>27</v>
      </c>
      <c r="XM10" s="98">
        <v>52</v>
      </c>
      <c r="XO10" s="98">
        <v>80</v>
      </c>
      <c r="XP10" s="98">
        <v>43</v>
      </c>
      <c r="XQ10" s="98">
        <v>101</v>
      </c>
      <c r="XR10" s="98">
        <v>73</v>
      </c>
      <c r="XS10" s="98">
        <v>72</v>
      </c>
      <c r="XT10" s="98">
        <v>51</v>
      </c>
      <c r="XU10" s="98">
        <v>62</v>
      </c>
      <c r="XV10" s="98" t="s">
        <v>38</v>
      </c>
      <c r="XW10" s="98">
        <v>143</v>
      </c>
      <c r="XX10" s="98">
        <v>52</v>
      </c>
      <c r="XY10" s="98">
        <v>71</v>
      </c>
      <c r="XZ10" s="98">
        <v>26</v>
      </c>
      <c r="YA10" s="98">
        <v>57</v>
      </c>
      <c r="YB10" s="98" t="s">
        <v>38</v>
      </c>
      <c r="YC10" s="98">
        <v>63</v>
      </c>
      <c r="YD10" s="98">
        <v>57</v>
      </c>
      <c r="YE10" s="98">
        <v>55</v>
      </c>
      <c r="YF10" s="98">
        <v>82</v>
      </c>
      <c r="YG10" s="98">
        <v>74</v>
      </c>
      <c r="YH10" s="98">
        <v>100</v>
      </c>
      <c r="YI10" s="98">
        <v>48</v>
      </c>
      <c r="YJ10" s="98">
        <v>41</v>
      </c>
      <c r="YL10" s="98">
        <v>68</v>
      </c>
      <c r="YM10" s="98">
        <v>87</v>
      </c>
      <c r="YN10" s="98">
        <v>48</v>
      </c>
      <c r="YO10" s="98">
        <v>76</v>
      </c>
      <c r="YQ10" s="98">
        <v>123</v>
      </c>
      <c r="YR10" s="98" t="s">
        <v>38</v>
      </c>
      <c r="YS10" s="98">
        <v>100</v>
      </c>
      <c r="YT10" s="98">
        <v>54</v>
      </c>
      <c r="YU10" s="98">
        <v>58</v>
      </c>
      <c r="YV10" s="98">
        <v>69</v>
      </c>
      <c r="YX10" s="98">
        <v>163</v>
      </c>
      <c r="YY10" s="98">
        <v>46</v>
      </c>
      <c r="YZ10" s="98">
        <v>56</v>
      </c>
      <c r="ZA10" s="98">
        <v>84</v>
      </c>
      <c r="ZB10" s="98">
        <v>84</v>
      </c>
      <c r="ZC10" s="98">
        <v>49</v>
      </c>
      <c r="ZE10" s="98">
        <v>142</v>
      </c>
      <c r="ZF10" s="98">
        <v>77</v>
      </c>
      <c r="ZG10" s="98">
        <v>102</v>
      </c>
      <c r="ZH10" s="98">
        <v>112</v>
      </c>
      <c r="ZI10" s="98">
        <v>129</v>
      </c>
      <c r="ZJ10" s="98">
        <v>167</v>
      </c>
      <c r="ZL10" s="98">
        <v>216</v>
      </c>
      <c r="ZM10" s="98">
        <v>110</v>
      </c>
      <c r="ZN10" s="98">
        <v>390</v>
      </c>
      <c r="ZO10" s="98">
        <v>63</v>
      </c>
      <c r="ZP10" s="98">
        <v>223</v>
      </c>
      <c r="ZQ10" s="98">
        <v>39</v>
      </c>
      <c r="ZR10" s="98" t="s">
        <v>38</v>
      </c>
      <c r="ZS10" s="101">
        <v>74</v>
      </c>
      <c r="ZT10" s="101">
        <v>51</v>
      </c>
      <c r="ZU10" s="101">
        <v>35</v>
      </c>
      <c r="ZV10" s="101">
        <v>42</v>
      </c>
      <c r="ZW10" s="101">
        <v>37</v>
      </c>
      <c r="ZX10" s="101">
        <v>17</v>
      </c>
      <c r="ZY10" s="101" t="s">
        <v>38</v>
      </c>
      <c r="ZZ10" s="101">
        <v>99</v>
      </c>
      <c r="AAA10" s="101">
        <v>36</v>
      </c>
      <c r="AAB10" s="101">
        <v>79</v>
      </c>
      <c r="AAC10" s="101">
        <v>34</v>
      </c>
      <c r="AAD10" s="101">
        <v>13</v>
      </c>
      <c r="AAE10" s="101">
        <v>22</v>
      </c>
      <c r="AAF10" s="101" t="s">
        <v>152</v>
      </c>
      <c r="AAG10" s="101">
        <v>66</v>
      </c>
      <c r="AAH10" s="101">
        <v>42</v>
      </c>
      <c r="AAI10" s="101">
        <v>27</v>
      </c>
      <c r="AAJ10" s="98">
        <v>18</v>
      </c>
      <c r="AAK10" s="98">
        <v>32</v>
      </c>
      <c r="AAL10" s="98">
        <v>59</v>
      </c>
      <c r="AAM10" s="98" t="s">
        <v>152</v>
      </c>
      <c r="AAN10" s="98">
        <v>42</v>
      </c>
      <c r="AAO10" s="98">
        <v>18</v>
      </c>
      <c r="AAP10" s="98">
        <v>53</v>
      </c>
      <c r="AAQ10" s="98">
        <v>48</v>
      </c>
      <c r="AAR10" s="98">
        <v>82</v>
      </c>
      <c r="AAS10" s="98">
        <v>102</v>
      </c>
      <c r="AAT10" s="98" t="s">
        <v>38</v>
      </c>
      <c r="AAU10" s="98" t="s">
        <v>38</v>
      </c>
      <c r="AAV10" s="98">
        <v>87</v>
      </c>
      <c r="AAW10" s="98">
        <v>70</v>
      </c>
      <c r="AAX10" s="98">
        <v>26</v>
      </c>
      <c r="AAY10" s="97">
        <v>33</v>
      </c>
      <c r="AAZ10" s="98">
        <v>18</v>
      </c>
      <c r="ABA10" s="98" t="s">
        <v>152</v>
      </c>
      <c r="ABB10" s="98">
        <v>88</v>
      </c>
      <c r="ABC10" s="98">
        <v>59</v>
      </c>
      <c r="ABD10" s="98">
        <v>28</v>
      </c>
      <c r="ABE10" s="125" t="s">
        <v>152</v>
      </c>
      <c r="ABF10" s="98">
        <v>74</v>
      </c>
      <c r="ABG10" s="98">
        <v>74</v>
      </c>
      <c r="ABH10" s="98" t="s">
        <v>38</v>
      </c>
      <c r="ABI10" s="98">
        <v>105</v>
      </c>
      <c r="ABJ10" s="98">
        <v>70</v>
      </c>
      <c r="ABK10" s="98">
        <v>50</v>
      </c>
      <c r="ABL10" s="98">
        <v>41</v>
      </c>
      <c r="ABM10" s="98">
        <v>54</v>
      </c>
      <c r="ABN10" s="98">
        <v>116</v>
      </c>
      <c r="ABP10" s="98">
        <v>224</v>
      </c>
      <c r="ABQ10" s="98">
        <v>313</v>
      </c>
      <c r="ABR10" s="98">
        <v>86</v>
      </c>
      <c r="ABS10" s="98">
        <v>155</v>
      </c>
      <c r="ABT10" s="98">
        <v>149</v>
      </c>
      <c r="ABU10" s="98">
        <v>171</v>
      </c>
      <c r="ABV10" s="98">
        <v>116</v>
      </c>
      <c r="ABW10" s="98">
        <v>172</v>
      </c>
      <c r="ABX10" s="98">
        <v>196</v>
      </c>
      <c r="ABY10" s="98">
        <v>132</v>
      </c>
      <c r="ABZ10" s="98">
        <v>241</v>
      </c>
      <c r="ACA10" s="98">
        <v>150</v>
      </c>
      <c r="ACB10" s="98">
        <v>45</v>
      </c>
      <c r="ACC10" s="98">
        <v>0</v>
      </c>
      <c r="ACD10" s="98">
        <v>167</v>
      </c>
      <c r="ACE10" s="98">
        <v>73</v>
      </c>
      <c r="ACF10" s="98">
        <v>48</v>
      </c>
      <c r="ACG10" s="98">
        <v>42</v>
      </c>
      <c r="ACH10" s="98">
        <v>166</v>
      </c>
      <c r="ACI10" s="98">
        <v>73</v>
      </c>
      <c r="ACK10" s="98">
        <v>142</v>
      </c>
      <c r="ACL10" s="98">
        <v>70</v>
      </c>
      <c r="ACM10" s="98">
        <v>88</v>
      </c>
      <c r="ACN10" s="98">
        <v>110</v>
      </c>
      <c r="ACO10" s="98">
        <v>76</v>
      </c>
      <c r="ACP10" s="98">
        <v>87</v>
      </c>
      <c r="ACQ10" s="98">
        <v>0</v>
      </c>
      <c r="ACR10" s="98">
        <v>146</v>
      </c>
      <c r="ACS10" s="98">
        <v>102</v>
      </c>
      <c r="ACT10" s="98">
        <v>107</v>
      </c>
      <c r="ACU10" s="98">
        <v>40</v>
      </c>
      <c r="ACV10" s="98">
        <v>0</v>
      </c>
      <c r="ACW10" s="98">
        <v>132</v>
      </c>
      <c r="ACX10" s="98">
        <v>78</v>
      </c>
      <c r="ACY10" s="98">
        <v>143</v>
      </c>
      <c r="ACZ10" s="98">
        <v>139</v>
      </c>
      <c r="ADA10" s="98">
        <v>101</v>
      </c>
      <c r="ADB10" s="98">
        <v>230</v>
      </c>
      <c r="ADC10" s="98">
        <v>244</v>
      </c>
      <c r="ADD10" s="98">
        <v>288</v>
      </c>
      <c r="ADE10" s="98">
        <v>53</v>
      </c>
      <c r="ADF10" s="98">
        <v>262</v>
      </c>
      <c r="ADG10" s="98">
        <v>145</v>
      </c>
      <c r="ADH10" s="98">
        <v>97</v>
      </c>
      <c r="ADI10" s="98">
        <v>118</v>
      </c>
      <c r="ADJ10" s="98">
        <v>182</v>
      </c>
      <c r="ADK10" s="98">
        <v>122</v>
      </c>
      <c r="ADL10" s="98">
        <v>40</v>
      </c>
      <c r="ADM10" s="98">
        <v>212</v>
      </c>
      <c r="ADN10" s="98">
        <v>91</v>
      </c>
      <c r="ADO10" s="98">
        <v>126</v>
      </c>
      <c r="ADP10" s="98">
        <v>41</v>
      </c>
      <c r="ADQ10" s="98">
        <v>91</v>
      </c>
      <c r="ADR10" s="98">
        <v>86</v>
      </c>
      <c r="ADS10" s="98">
        <v>0</v>
      </c>
      <c r="ADT10" s="98">
        <v>178</v>
      </c>
      <c r="ADU10" s="98">
        <v>131</v>
      </c>
      <c r="ADW10" s="98">
        <v>0</v>
      </c>
      <c r="ADX10" s="98">
        <v>0</v>
      </c>
      <c r="ADY10" s="98">
        <v>110</v>
      </c>
      <c r="ADZ10" s="98">
        <v>128</v>
      </c>
      <c r="AEA10" s="98">
        <v>197</v>
      </c>
      <c r="AEB10" s="98">
        <v>136</v>
      </c>
      <c r="AEC10" s="98">
        <v>107</v>
      </c>
      <c r="AED10" s="98">
        <v>68</v>
      </c>
      <c r="AEE10" s="98">
        <v>132</v>
      </c>
      <c r="AEF10" s="98">
        <v>66</v>
      </c>
      <c r="AEG10" s="98">
        <v>0</v>
      </c>
      <c r="AEH10" s="98">
        <v>130</v>
      </c>
      <c r="AEI10" s="98">
        <v>81</v>
      </c>
      <c r="AEJ10" s="98">
        <v>50</v>
      </c>
      <c r="AEK10" s="98">
        <v>48</v>
      </c>
      <c r="AEL10" s="98">
        <v>56</v>
      </c>
      <c r="AEM10" s="98">
        <v>47</v>
      </c>
      <c r="AEN10" s="98">
        <v>58</v>
      </c>
      <c r="AEO10" s="98">
        <v>85</v>
      </c>
      <c r="AEP10" s="98">
        <v>100</v>
      </c>
      <c r="AEQ10" s="98">
        <v>74</v>
      </c>
      <c r="AER10" s="98">
        <v>55</v>
      </c>
      <c r="AES10" s="98">
        <v>48</v>
      </c>
      <c r="AET10" s="98">
        <v>80</v>
      </c>
      <c r="AEU10" s="98">
        <v>80</v>
      </c>
      <c r="AEV10" s="98">
        <v>124</v>
      </c>
      <c r="AEW10" s="98">
        <v>96</v>
      </c>
      <c r="AEX10" s="98">
        <v>128</v>
      </c>
      <c r="AEY10" s="98">
        <v>55</v>
      </c>
      <c r="AEZ10" s="98">
        <v>82</v>
      </c>
      <c r="AFA10" s="98">
        <v>111</v>
      </c>
      <c r="AFB10" s="98">
        <v>119</v>
      </c>
      <c r="AFC10" s="98">
        <v>124</v>
      </c>
      <c r="AFD10" s="98">
        <v>347</v>
      </c>
      <c r="AFE10" s="98">
        <v>152</v>
      </c>
      <c r="AFF10" s="98">
        <v>131</v>
      </c>
      <c r="AFG10" s="98">
        <v>40</v>
      </c>
      <c r="AFH10" s="98">
        <v>83</v>
      </c>
      <c r="AFI10" s="98" t="s">
        <v>38</v>
      </c>
      <c r="AFJ10" s="98">
        <v>191</v>
      </c>
      <c r="AFK10" s="98">
        <v>69</v>
      </c>
      <c r="AFL10" s="98">
        <v>27</v>
      </c>
      <c r="AFM10" s="98">
        <v>34</v>
      </c>
      <c r="AFN10" s="98">
        <v>49</v>
      </c>
      <c r="AFO10" s="98">
        <v>49</v>
      </c>
      <c r="AFP10" s="98" t="s">
        <v>38</v>
      </c>
      <c r="AFQ10" s="98">
        <v>131</v>
      </c>
      <c r="AFR10" s="98">
        <v>61</v>
      </c>
      <c r="AFS10" s="98">
        <v>35</v>
      </c>
      <c r="AFT10" s="98">
        <v>25</v>
      </c>
      <c r="AFU10" s="98">
        <v>68</v>
      </c>
      <c r="AFV10" s="98">
        <v>201</v>
      </c>
      <c r="AFW10" s="98" t="s">
        <v>38</v>
      </c>
      <c r="AFX10" s="98">
        <v>145</v>
      </c>
      <c r="AFY10" s="98">
        <v>59</v>
      </c>
      <c r="AFZ10" s="98">
        <v>37</v>
      </c>
      <c r="AGA10" s="98">
        <v>81</v>
      </c>
      <c r="AGB10" s="98">
        <v>50</v>
      </c>
      <c r="AGC10" s="98">
        <v>30</v>
      </c>
      <c r="AGD10" s="98" t="s">
        <v>38</v>
      </c>
      <c r="AGE10" s="98">
        <v>192</v>
      </c>
      <c r="AGF10" s="98">
        <v>157</v>
      </c>
      <c r="AGG10" s="98">
        <v>78</v>
      </c>
      <c r="AGH10" s="98">
        <v>124</v>
      </c>
      <c r="AGI10" s="98">
        <v>97</v>
      </c>
      <c r="AGJ10" s="98" t="s">
        <v>38</v>
      </c>
      <c r="AGK10" s="98">
        <v>21</v>
      </c>
      <c r="AGL10" s="98">
        <v>135</v>
      </c>
      <c r="AGM10" s="98">
        <v>48</v>
      </c>
      <c r="AGN10" s="98">
        <v>41</v>
      </c>
      <c r="AGO10" s="98">
        <v>52</v>
      </c>
      <c r="AGP10" s="98">
        <v>72</v>
      </c>
      <c r="AGQ10" s="98">
        <v>58</v>
      </c>
      <c r="AGR10" s="98">
        <v>53</v>
      </c>
      <c r="AGS10" s="98">
        <v>61</v>
      </c>
      <c r="AGT10" s="98">
        <v>281</v>
      </c>
      <c r="AGU10" s="98">
        <v>55</v>
      </c>
      <c r="AGV10" s="98">
        <v>37</v>
      </c>
      <c r="AGW10" s="98">
        <v>79</v>
      </c>
      <c r="AGX10" s="98">
        <v>60</v>
      </c>
      <c r="AGY10" s="98" t="s">
        <v>38</v>
      </c>
      <c r="AGZ10" s="98">
        <v>105</v>
      </c>
      <c r="AHA10" s="98">
        <v>58</v>
      </c>
      <c r="AHB10" s="98">
        <v>39</v>
      </c>
      <c r="AHC10" s="98">
        <v>87</v>
      </c>
      <c r="AHD10" s="98">
        <v>103</v>
      </c>
      <c r="AHE10" s="98">
        <v>82</v>
      </c>
      <c r="AHF10" s="98" t="s">
        <v>38</v>
      </c>
      <c r="AHG10" s="98">
        <v>184</v>
      </c>
      <c r="AHH10" s="98">
        <v>91</v>
      </c>
      <c r="AHI10" s="98">
        <v>75</v>
      </c>
      <c r="AHJ10" s="98">
        <v>49</v>
      </c>
      <c r="AHK10" s="98">
        <v>63</v>
      </c>
      <c r="AHL10" s="98">
        <v>55</v>
      </c>
      <c r="AHM10" s="98">
        <v>80</v>
      </c>
      <c r="AHN10" s="98">
        <v>96</v>
      </c>
      <c r="AHO10" s="98">
        <v>180</v>
      </c>
      <c r="AHP10" s="98">
        <v>52</v>
      </c>
      <c r="AHQ10" s="98">
        <v>69</v>
      </c>
      <c r="AHR10" s="98">
        <v>28</v>
      </c>
      <c r="AHS10" s="98">
        <v>96</v>
      </c>
      <c r="AHT10" s="98">
        <v>70</v>
      </c>
      <c r="AHU10" s="98" t="s">
        <v>38</v>
      </c>
      <c r="AHV10" s="98" t="s">
        <v>38</v>
      </c>
      <c r="AHW10" s="98">
        <v>124</v>
      </c>
      <c r="AHX10" s="98">
        <v>74</v>
      </c>
      <c r="AHY10" s="98">
        <v>47</v>
      </c>
      <c r="AHZ10" s="98">
        <v>44</v>
      </c>
      <c r="AIA10" s="98">
        <v>0</v>
      </c>
      <c r="AIB10" s="98">
        <v>134</v>
      </c>
      <c r="AIC10" s="98">
        <v>43</v>
      </c>
      <c r="AID10" s="98">
        <v>55</v>
      </c>
      <c r="AIE10" s="98">
        <v>77</v>
      </c>
      <c r="AIF10" s="98">
        <v>82</v>
      </c>
      <c r="AIG10" s="98">
        <v>98</v>
      </c>
      <c r="AIH10" s="98">
        <v>0</v>
      </c>
      <c r="AII10" s="98">
        <v>235</v>
      </c>
      <c r="AIJ10" s="98">
        <v>63</v>
      </c>
      <c r="AIK10" s="98">
        <v>87</v>
      </c>
      <c r="AIL10" s="98">
        <v>74</v>
      </c>
      <c r="AIN10" s="98">
        <v>178</v>
      </c>
      <c r="AIO10" s="98">
        <v>145</v>
      </c>
      <c r="AIP10" s="98">
        <v>166</v>
      </c>
      <c r="AIQ10" s="98">
        <v>179</v>
      </c>
      <c r="AIR10" s="98">
        <v>324</v>
      </c>
      <c r="AIS10" s="98">
        <v>150</v>
      </c>
      <c r="AIT10" s="98">
        <v>79</v>
      </c>
      <c r="AIU10" s="98">
        <v>64</v>
      </c>
      <c r="AIV10" s="98" t="s">
        <v>38</v>
      </c>
      <c r="AIW10" s="98">
        <v>304</v>
      </c>
      <c r="AIX10" s="98">
        <v>88</v>
      </c>
      <c r="AIY10" s="98">
        <v>56</v>
      </c>
      <c r="AIZ10" s="98">
        <v>83</v>
      </c>
      <c r="AJA10" s="98">
        <v>125</v>
      </c>
      <c r="AJB10" s="98">
        <v>46</v>
      </c>
      <c r="AJC10" s="98" t="s">
        <v>164</v>
      </c>
      <c r="AJD10" s="98">
        <v>126</v>
      </c>
      <c r="AJE10" s="98">
        <v>67</v>
      </c>
      <c r="AJF10" s="98">
        <v>176</v>
      </c>
      <c r="AJG10" s="98">
        <v>72</v>
      </c>
      <c r="AJH10" s="98">
        <v>100</v>
      </c>
      <c r="AJI10" s="98">
        <v>159</v>
      </c>
      <c r="AJK10" s="98">
        <v>181</v>
      </c>
      <c r="AJL10" s="98">
        <v>53</v>
      </c>
      <c r="AJM10" s="98">
        <v>73</v>
      </c>
      <c r="AJN10" s="98">
        <v>115</v>
      </c>
      <c r="AJO10" s="98">
        <v>68</v>
      </c>
      <c r="AJP10" s="98">
        <v>75</v>
      </c>
      <c r="AJQ10" s="98">
        <v>126</v>
      </c>
      <c r="AJR10" s="98" t="s">
        <v>38</v>
      </c>
      <c r="AJS10" s="98">
        <v>234</v>
      </c>
      <c r="AJT10" s="98">
        <v>117</v>
      </c>
      <c r="AJU10" s="98">
        <v>159</v>
      </c>
      <c r="AJV10" s="98">
        <v>39</v>
      </c>
      <c r="AJW10" s="98">
        <v>100</v>
      </c>
      <c r="AJX10" s="98">
        <v>66</v>
      </c>
      <c r="AJY10" s="98">
        <v>160</v>
      </c>
      <c r="AJZ10" s="98">
        <v>121</v>
      </c>
      <c r="AKA10" s="98">
        <v>63</v>
      </c>
      <c r="AKB10" s="98">
        <v>44</v>
      </c>
      <c r="AKC10" s="98">
        <v>73</v>
      </c>
      <c r="AKD10" s="98">
        <v>44</v>
      </c>
      <c r="AKE10" s="98" t="s">
        <v>38</v>
      </c>
      <c r="AKF10" s="98">
        <v>91</v>
      </c>
    </row>
    <row r="11" spans="1:976" s="15" customFormat="1">
      <c r="C11" s="16">
        <v>82660</v>
      </c>
      <c r="D11" s="16" t="s">
        <v>147</v>
      </c>
      <c r="E11" s="16" t="s">
        <v>165</v>
      </c>
      <c r="K11" s="24">
        <f>SUM(K12:K27)</f>
        <v>300</v>
      </c>
      <c r="L11" s="24">
        <f t="shared" ref="L11:AZ11" si="781">SUM(L12:L27)</f>
        <v>193</v>
      </c>
      <c r="M11" s="24">
        <f t="shared" si="781"/>
        <v>877</v>
      </c>
      <c r="N11" s="24">
        <f t="shared" si="781"/>
        <v>71</v>
      </c>
      <c r="O11" s="24">
        <f t="shared" si="781"/>
        <v>74</v>
      </c>
      <c r="P11" s="24">
        <f t="shared" si="781"/>
        <v>1412</v>
      </c>
      <c r="Q11" s="24">
        <f t="shared" si="781"/>
        <v>163</v>
      </c>
      <c r="R11" s="24">
        <f t="shared" si="781"/>
        <v>7395</v>
      </c>
      <c r="S11" s="24">
        <f t="shared" si="781"/>
        <v>76252</v>
      </c>
      <c r="T11" s="24">
        <f t="shared" si="781"/>
        <v>978</v>
      </c>
      <c r="U11" s="24">
        <f t="shared" si="781"/>
        <v>585</v>
      </c>
      <c r="V11" s="24">
        <f t="shared" si="781"/>
        <v>188</v>
      </c>
      <c r="W11" s="24">
        <f t="shared" si="781"/>
        <v>529</v>
      </c>
      <c r="X11" s="24">
        <f t="shared" si="781"/>
        <v>486</v>
      </c>
      <c r="Y11" s="24">
        <f t="shared" si="781"/>
        <v>891</v>
      </c>
      <c r="Z11" s="24">
        <f t="shared" si="781"/>
        <v>4676</v>
      </c>
      <c r="AA11" s="24">
        <f t="shared" si="781"/>
        <v>795</v>
      </c>
      <c r="AB11" s="24">
        <f t="shared" si="781"/>
        <v>38</v>
      </c>
      <c r="AC11" s="24">
        <f t="shared" si="781"/>
        <v>42</v>
      </c>
      <c r="AD11" s="24">
        <f t="shared" si="781"/>
        <v>1296</v>
      </c>
      <c r="AE11" s="24">
        <f t="shared" si="781"/>
        <v>1193</v>
      </c>
      <c r="AF11" s="24">
        <f t="shared" si="781"/>
        <v>1881</v>
      </c>
      <c r="AG11" s="24">
        <f t="shared" si="781"/>
        <v>1780</v>
      </c>
      <c r="AH11" s="24">
        <f t="shared" si="781"/>
        <v>1571</v>
      </c>
      <c r="AI11" s="24">
        <f t="shared" si="781"/>
        <v>78</v>
      </c>
      <c r="AJ11" s="24">
        <f t="shared" si="781"/>
        <v>47</v>
      </c>
      <c r="AK11" s="24">
        <f t="shared" si="781"/>
        <v>1044</v>
      </c>
      <c r="AL11" s="24">
        <f t="shared" si="781"/>
        <v>985</v>
      </c>
      <c r="AM11" s="24">
        <f t="shared" si="781"/>
        <v>2082</v>
      </c>
      <c r="AN11" s="24">
        <f t="shared" si="781"/>
        <v>327</v>
      </c>
      <c r="AO11" s="24">
        <f t="shared" si="781"/>
        <v>1164</v>
      </c>
      <c r="AP11" s="24">
        <f t="shared" si="781"/>
        <v>28</v>
      </c>
      <c r="AQ11" s="24">
        <f t="shared" si="781"/>
        <v>12</v>
      </c>
      <c r="AR11" s="24">
        <f t="shared" si="781"/>
        <v>1143</v>
      </c>
      <c r="AS11" s="24">
        <f t="shared" si="781"/>
        <v>1</v>
      </c>
      <c r="AT11" s="24">
        <f t="shared" si="781"/>
        <v>745</v>
      </c>
      <c r="AU11" s="24">
        <f t="shared" si="781"/>
        <v>1238</v>
      </c>
      <c r="AV11" s="24">
        <f t="shared" si="781"/>
        <v>2769</v>
      </c>
      <c r="AW11" s="24">
        <f t="shared" si="781"/>
        <v>0</v>
      </c>
      <c r="AX11" s="24">
        <f t="shared" si="781"/>
        <v>0</v>
      </c>
      <c r="AY11" s="24">
        <f t="shared" si="781"/>
        <v>358</v>
      </c>
      <c r="AZ11" s="24">
        <f t="shared" si="781"/>
        <v>333</v>
      </c>
      <c r="BA11" s="24">
        <f>SUM(BA12:BA27)</f>
        <v>619</v>
      </c>
      <c r="BB11" s="24">
        <f t="shared" ref="BB11:BX11" si="782">SUM(BB12:BB27)</f>
        <v>420</v>
      </c>
      <c r="BC11" s="24">
        <f t="shared" si="782"/>
        <v>477</v>
      </c>
      <c r="BD11" s="24">
        <f t="shared" si="782"/>
        <v>5</v>
      </c>
      <c r="BE11" s="24">
        <f t="shared" si="782"/>
        <v>0</v>
      </c>
      <c r="BF11" s="24">
        <f t="shared" si="782"/>
        <v>141</v>
      </c>
      <c r="BG11" s="24">
        <f t="shared" si="782"/>
        <v>153</v>
      </c>
      <c r="BH11" s="24">
        <f t="shared" si="782"/>
        <v>731</v>
      </c>
      <c r="BI11" s="24">
        <f t="shared" si="782"/>
        <v>285</v>
      </c>
      <c r="BJ11" s="24">
        <f t="shared" si="782"/>
        <v>874</v>
      </c>
      <c r="BK11" s="24">
        <f t="shared" si="782"/>
        <v>13</v>
      </c>
      <c r="BL11" s="24">
        <f t="shared" si="782"/>
        <v>0</v>
      </c>
      <c r="BM11" s="24">
        <f t="shared" si="782"/>
        <v>1043</v>
      </c>
      <c r="BN11" s="24">
        <f t="shared" si="782"/>
        <v>331</v>
      </c>
      <c r="BO11" s="24">
        <f t="shared" si="782"/>
        <v>1817</v>
      </c>
      <c r="BP11" s="24">
        <f t="shared" si="782"/>
        <v>698</v>
      </c>
      <c r="BQ11" s="24">
        <f t="shared" si="782"/>
        <v>10</v>
      </c>
      <c r="BR11" s="24">
        <f t="shared" si="782"/>
        <v>0</v>
      </c>
      <c r="BS11" s="24">
        <f t="shared" si="782"/>
        <v>0</v>
      </c>
      <c r="BT11" s="24">
        <f t="shared" si="782"/>
        <v>0</v>
      </c>
      <c r="BU11" s="24">
        <f t="shared" si="782"/>
        <v>0</v>
      </c>
      <c r="BV11" s="24">
        <f t="shared" si="782"/>
        <v>83</v>
      </c>
      <c r="BW11" s="24">
        <f t="shared" si="782"/>
        <v>27</v>
      </c>
      <c r="BX11" s="24">
        <f t="shared" si="782"/>
        <v>56</v>
      </c>
      <c r="BY11" s="24">
        <f>SUM(BY12:BY27)</f>
        <v>0</v>
      </c>
      <c r="BZ11" s="24">
        <f t="shared" ref="BZ11" si="783">SUM(BZ12:BZ27)</f>
        <v>0</v>
      </c>
      <c r="CA11" s="24">
        <f t="shared" ref="CA11" si="784">SUM(CA12:CA27)</f>
        <v>50</v>
      </c>
      <c r="CB11" s="24">
        <f t="shared" ref="CB11" si="785">SUM(CB12:CB27)</f>
        <v>907</v>
      </c>
      <c r="CC11" s="24">
        <f t="shared" ref="CC11" si="786">SUM(CC12:CC27)</f>
        <v>5414</v>
      </c>
      <c r="CD11" s="24">
        <f t="shared" ref="CD11" si="787">SUM(CD12:CD27)</f>
        <v>1190</v>
      </c>
      <c r="CE11" s="24">
        <f t="shared" ref="CE11" si="788">SUM(CE12:CE27)</f>
        <v>2749</v>
      </c>
      <c r="CF11" s="24">
        <f t="shared" ref="CF11" si="789">SUM(CF12:CF27)</f>
        <v>442</v>
      </c>
      <c r="CG11" s="24">
        <f t="shared" ref="CG11" si="790">SUM(CG12:CG27)</f>
        <v>3</v>
      </c>
      <c r="CH11" s="24">
        <f>SUM(CH12:CH27)</f>
        <v>7842</v>
      </c>
      <c r="CI11" s="24">
        <f t="shared" ref="CI11:DP11" si="791">SUM(CI12:CI27)</f>
        <v>30</v>
      </c>
      <c r="CJ11" s="24">
        <f t="shared" si="791"/>
        <v>4935</v>
      </c>
      <c r="CK11" s="24">
        <f t="shared" si="791"/>
        <v>3</v>
      </c>
      <c r="CL11" s="24">
        <f t="shared" si="791"/>
        <v>1121</v>
      </c>
      <c r="CM11" s="24">
        <f t="shared" si="791"/>
        <v>0</v>
      </c>
      <c r="CN11" s="24">
        <f t="shared" si="791"/>
        <v>0</v>
      </c>
      <c r="CO11" s="24">
        <f t="shared" si="791"/>
        <v>188</v>
      </c>
      <c r="CP11" s="24">
        <f t="shared" si="791"/>
        <v>11869</v>
      </c>
      <c r="CQ11" s="24">
        <f t="shared" si="791"/>
        <v>2397</v>
      </c>
      <c r="CR11" s="24">
        <f t="shared" si="791"/>
        <v>544</v>
      </c>
      <c r="CS11" s="24">
        <f t="shared" si="791"/>
        <v>20</v>
      </c>
      <c r="CT11" s="24">
        <f t="shared" si="791"/>
        <v>0</v>
      </c>
      <c r="CU11" s="24">
        <f t="shared" si="791"/>
        <v>0</v>
      </c>
      <c r="CV11" s="24">
        <f t="shared" si="791"/>
        <v>159</v>
      </c>
      <c r="CW11" s="24">
        <f t="shared" si="791"/>
        <v>0</v>
      </c>
      <c r="CX11" s="24">
        <f t="shared" si="791"/>
        <v>4</v>
      </c>
      <c r="CY11" s="24">
        <f t="shared" si="791"/>
        <v>4942</v>
      </c>
      <c r="CZ11" s="24">
        <f t="shared" si="791"/>
        <v>8242</v>
      </c>
      <c r="DA11" s="24">
        <f t="shared" si="791"/>
        <v>609</v>
      </c>
      <c r="DB11" s="24">
        <f t="shared" si="791"/>
        <v>770</v>
      </c>
      <c r="DC11" s="24">
        <f t="shared" si="791"/>
        <v>1504</v>
      </c>
      <c r="DD11" s="24">
        <f t="shared" si="791"/>
        <v>2103</v>
      </c>
      <c r="DE11" s="24">
        <f t="shared" si="791"/>
        <v>1692</v>
      </c>
      <c r="DF11" s="24">
        <f t="shared" si="791"/>
        <v>3473</v>
      </c>
      <c r="DG11" s="24">
        <f t="shared" si="791"/>
        <v>1445</v>
      </c>
      <c r="DH11" s="24">
        <f t="shared" si="791"/>
        <v>0</v>
      </c>
      <c r="DI11" s="24">
        <f t="shared" si="791"/>
        <v>0</v>
      </c>
      <c r="DJ11" s="24">
        <f t="shared" si="791"/>
        <v>8694</v>
      </c>
      <c r="DK11" s="24">
        <f t="shared" si="791"/>
        <v>1558</v>
      </c>
      <c r="DL11" s="24">
        <f t="shared" si="791"/>
        <v>7508</v>
      </c>
      <c r="DM11" s="24">
        <f t="shared" si="791"/>
        <v>330</v>
      </c>
      <c r="DN11" s="24">
        <f t="shared" si="791"/>
        <v>725</v>
      </c>
      <c r="DO11" s="24">
        <f t="shared" si="791"/>
        <v>21</v>
      </c>
      <c r="DP11" s="24">
        <f t="shared" si="791"/>
        <v>33</v>
      </c>
      <c r="DQ11" s="24">
        <f>SUM(DQ12:DQ27)</f>
        <v>120</v>
      </c>
      <c r="ZS11" s="24"/>
      <c r="ZT11" s="24"/>
      <c r="ZU11" s="24"/>
      <c r="ZV11" s="24"/>
      <c r="ZW11" s="24"/>
      <c r="ZX11" s="24"/>
      <c r="ZY11" s="24"/>
      <c r="ZZ11" s="24"/>
      <c r="AAA11" s="24"/>
      <c r="AAB11" s="24"/>
      <c r="AAC11" s="24"/>
      <c r="AAD11" s="24"/>
      <c r="AAE11" s="24"/>
      <c r="AAF11" s="24"/>
      <c r="AAG11" s="24"/>
      <c r="AAH11" s="24"/>
      <c r="AAI11" s="24"/>
      <c r="AAY11" s="111"/>
      <c r="ABE11" s="119"/>
    </row>
    <row r="12" spans="1:976">
      <c r="A12">
        <v>1</v>
      </c>
      <c r="B12" t="s">
        <v>166</v>
      </c>
      <c r="C12" s="1">
        <v>82660</v>
      </c>
      <c r="D12" s="1" t="s">
        <v>147</v>
      </c>
      <c r="E12" s="1" t="s">
        <v>167</v>
      </c>
      <c r="F12" s="1" t="s">
        <v>11</v>
      </c>
      <c r="G12" s="1" t="s">
        <v>33</v>
      </c>
      <c r="H12" s="1" t="s">
        <v>167</v>
      </c>
      <c r="I12" s="1" t="s">
        <v>151</v>
      </c>
      <c r="J12" s="1" t="s">
        <v>46</v>
      </c>
      <c r="K12" s="23">
        <v>25</v>
      </c>
      <c r="L12" s="23" t="s">
        <v>38</v>
      </c>
      <c r="M12" s="23" t="s">
        <v>38</v>
      </c>
      <c r="N12" s="23" t="s">
        <v>38</v>
      </c>
      <c r="O12" s="23" t="s">
        <v>38</v>
      </c>
      <c r="P12" s="23" t="s">
        <v>38</v>
      </c>
      <c r="Q12" s="23" t="s">
        <v>38</v>
      </c>
      <c r="R12" s="23">
        <v>7</v>
      </c>
      <c r="S12" s="23">
        <v>131</v>
      </c>
      <c r="T12" s="23">
        <v>1</v>
      </c>
      <c r="U12" s="23" t="s">
        <v>38</v>
      </c>
      <c r="V12" s="23" t="s">
        <v>38</v>
      </c>
      <c r="W12" s="23" t="s">
        <v>38</v>
      </c>
      <c r="X12" s="23" t="s">
        <v>38</v>
      </c>
      <c r="Y12" s="23">
        <v>5</v>
      </c>
      <c r="Z12" s="23" t="s">
        <v>38</v>
      </c>
      <c r="AA12" s="23">
        <v>4</v>
      </c>
      <c r="AB12" s="23" t="s">
        <v>38</v>
      </c>
      <c r="AC12" s="23" t="s">
        <v>38</v>
      </c>
      <c r="AD12" s="23">
        <v>2</v>
      </c>
      <c r="AE12" s="23" t="s">
        <v>38</v>
      </c>
      <c r="AF12" s="23">
        <v>2</v>
      </c>
      <c r="AG12" s="23" t="s">
        <v>38</v>
      </c>
      <c r="AH12" s="23">
        <v>6</v>
      </c>
      <c r="AI12" s="23" t="s">
        <v>38</v>
      </c>
      <c r="AJ12" s="23" t="s">
        <v>38</v>
      </c>
      <c r="AK12" s="23" t="s">
        <v>38</v>
      </c>
      <c r="AL12" s="23">
        <v>20</v>
      </c>
      <c r="AM12" s="23" t="s">
        <v>38</v>
      </c>
      <c r="AN12" s="23" t="s">
        <v>38</v>
      </c>
      <c r="AO12" s="23" t="s">
        <v>38</v>
      </c>
      <c r="AP12" s="23" t="s">
        <v>38</v>
      </c>
      <c r="AQ12" s="23" t="s">
        <v>38</v>
      </c>
      <c r="AR12" s="23" t="s">
        <v>38</v>
      </c>
      <c r="AS12" s="23" t="s">
        <v>38</v>
      </c>
      <c r="AT12" s="23" t="s">
        <v>38</v>
      </c>
      <c r="AU12" s="23">
        <v>3</v>
      </c>
      <c r="AV12" s="23" t="s">
        <v>38</v>
      </c>
      <c r="AW12" s="23" t="s">
        <v>38</v>
      </c>
      <c r="AX12" s="23" t="s">
        <v>38</v>
      </c>
      <c r="AY12" s="23">
        <v>1</v>
      </c>
      <c r="AZ12" s="23" t="s">
        <v>38</v>
      </c>
      <c r="BA12" s="23" t="s">
        <v>38</v>
      </c>
      <c r="BB12" s="23" t="s">
        <v>38</v>
      </c>
      <c r="BC12" s="23" t="s">
        <v>38</v>
      </c>
      <c r="BD12" s="23" t="s">
        <v>38</v>
      </c>
      <c r="BE12" s="23" t="s">
        <v>38</v>
      </c>
      <c r="BF12" s="23" t="s">
        <v>38</v>
      </c>
      <c r="BG12" s="23">
        <v>2</v>
      </c>
      <c r="BH12" s="23">
        <v>51</v>
      </c>
      <c r="BI12">
        <v>40</v>
      </c>
      <c r="BJ12">
        <v>25</v>
      </c>
      <c r="BK12" t="s">
        <v>38</v>
      </c>
      <c r="BL12" t="s">
        <v>38</v>
      </c>
      <c r="BM12" t="s">
        <v>38</v>
      </c>
      <c r="BN12">
        <v>23</v>
      </c>
      <c r="BO12" t="s">
        <v>38</v>
      </c>
      <c r="BP12" t="s">
        <v>38</v>
      </c>
      <c r="BQ12" t="s">
        <v>38</v>
      </c>
      <c r="BR12" t="s">
        <v>38</v>
      </c>
      <c r="BS12" t="s">
        <v>38</v>
      </c>
      <c r="BT12" t="s">
        <v>38</v>
      </c>
      <c r="BU12" t="s">
        <v>38</v>
      </c>
      <c r="BV12">
        <v>28</v>
      </c>
      <c r="BW12" t="s">
        <v>38</v>
      </c>
      <c r="BX12" t="s">
        <v>38</v>
      </c>
      <c r="BY12" t="s">
        <v>38</v>
      </c>
      <c r="BZ12" t="s">
        <v>38</v>
      </c>
      <c r="CA12" t="s">
        <v>38</v>
      </c>
      <c r="CB12">
        <v>1</v>
      </c>
      <c r="CC12">
        <v>1</v>
      </c>
      <c r="CD12">
        <v>20</v>
      </c>
      <c r="CE12">
        <v>1</v>
      </c>
      <c r="CF12" t="s">
        <v>38</v>
      </c>
      <c r="CG12" t="s">
        <v>38</v>
      </c>
      <c r="CH12" t="s">
        <v>38</v>
      </c>
      <c r="CI12" t="s">
        <v>38</v>
      </c>
      <c r="CJ12" t="s">
        <v>38</v>
      </c>
      <c r="CK12">
        <v>1</v>
      </c>
      <c r="CL12" t="s">
        <v>38</v>
      </c>
      <c r="CM12" t="s">
        <v>38</v>
      </c>
      <c r="CN12" t="s">
        <v>38</v>
      </c>
      <c r="CS12" t="s">
        <v>38</v>
      </c>
      <c r="CT12" t="s">
        <v>38</v>
      </c>
      <c r="CU12" t="s">
        <v>38</v>
      </c>
      <c r="CV12">
        <v>38</v>
      </c>
      <c r="CW12" t="s">
        <v>38</v>
      </c>
      <c r="CX12">
        <v>4</v>
      </c>
      <c r="CY12">
        <v>22</v>
      </c>
      <c r="CZ12" t="s">
        <v>38</v>
      </c>
      <c r="DA12" t="s">
        <v>38</v>
      </c>
      <c r="DB12" t="s">
        <v>38</v>
      </c>
      <c r="DC12">
        <v>2</v>
      </c>
      <c r="DD12">
        <v>34</v>
      </c>
      <c r="DE12">
        <v>10</v>
      </c>
      <c r="DF12">
        <v>2</v>
      </c>
      <c r="DG12" t="s">
        <v>38</v>
      </c>
      <c r="DH12" t="s">
        <v>38</v>
      </c>
      <c r="DI12" t="s">
        <v>38</v>
      </c>
      <c r="DJ12">
        <v>4</v>
      </c>
      <c r="DK12">
        <v>1</v>
      </c>
      <c r="DL12">
        <v>37</v>
      </c>
      <c r="DM12">
        <v>1</v>
      </c>
      <c r="DN12">
        <v>5</v>
      </c>
      <c r="DO12" t="s">
        <v>38</v>
      </c>
      <c r="ZS12" s="23"/>
      <c r="ZT12" s="23"/>
      <c r="ZU12" s="23"/>
      <c r="ZV12" s="23"/>
      <c r="ZW12" s="23"/>
      <c r="ZX12" s="23"/>
      <c r="ZY12" s="23"/>
      <c r="ZZ12" s="23"/>
      <c r="AAA12" s="23"/>
      <c r="AAB12" s="23"/>
      <c r="AAC12" s="23"/>
      <c r="AAD12" s="23"/>
      <c r="AAE12" s="23"/>
      <c r="AAF12" s="23"/>
      <c r="AAG12" s="23"/>
      <c r="AAH12" s="23"/>
      <c r="AAI12" s="23"/>
    </row>
    <row r="13" spans="1:976" s="90" customFormat="1">
      <c r="A13" s="88">
        <v>2</v>
      </c>
      <c r="B13" s="90" t="s">
        <v>168</v>
      </c>
      <c r="C13" s="89">
        <v>82660</v>
      </c>
      <c r="D13" s="89" t="s">
        <v>147</v>
      </c>
      <c r="E13" s="89" t="s">
        <v>167</v>
      </c>
      <c r="F13" s="89" t="s">
        <v>11</v>
      </c>
      <c r="G13" s="89" t="s">
        <v>12</v>
      </c>
      <c r="H13" s="89" t="s">
        <v>167</v>
      </c>
      <c r="I13" s="89" t="s">
        <v>151</v>
      </c>
      <c r="J13" s="89" t="s">
        <v>46</v>
      </c>
      <c r="K13" s="91">
        <v>63</v>
      </c>
      <c r="L13" s="91">
        <v>48</v>
      </c>
      <c r="M13" s="91">
        <v>135</v>
      </c>
      <c r="N13" s="91" t="s">
        <v>38</v>
      </c>
      <c r="O13" s="91" t="s">
        <v>38</v>
      </c>
      <c r="P13" s="91">
        <v>98</v>
      </c>
      <c r="Q13" s="91" t="s">
        <v>38</v>
      </c>
      <c r="R13" s="91">
        <v>6736</v>
      </c>
      <c r="S13" s="91">
        <v>75634</v>
      </c>
      <c r="T13" s="91">
        <v>70</v>
      </c>
      <c r="U13" s="91" t="s">
        <v>38</v>
      </c>
      <c r="V13" s="91" t="s">
        <v>38</v>
      </c>
      <c r="W13" s="91" t="s">
        <v>38</v>
      </c>
      <c r="X13" s="91">
        <v>360</v>
      </c>
      <c r="Y13" s="91">
        <v>96</v>
      </c>
      <c r="Z13" s="91">
        <v>4145</v>
      </c>
      <c r="AA13" s="91" t="s">
        <v>38</v>
      </c>
      <c r="AB13" s="91" t="s">
        <v>38</v>
      </c>
      <c r="AC13" s="91" t="s">
        <v>38</v>
      </c>
      <c r="AD13" s="91" t="s">
        <v>38</v>
      </c>
      <c r="AE13" s="91">
        <v>148</v>
      </c>
      <c r="AF13" s="91">
        <v>158</v>
      </c>
      <c r="AG13" s="91">
        <v>754</v>
      </c>
      <c r="AH13" s="91" t="s">
        <v>38</v>
      </c>
      <c r="AI13" s="91" t="s">
        <v>38</v>
      </c>
      <c r="AJ13" s="91" t="s">
        <v>38</v>
      </c>
      <c r="AK13" s="91" t="s">
        <v>38</v>
      </c>
      <c r="AL13" s="91">
        <v>2</v>
      </c>
      <c r="AM13" s="91">
        <v>1975</v>
      </c>
      <c r="AN13" s="91">
        <v>202</v>
      </c>
      <c r="AO13" s="91" t="s">
        <v>38</v>
      </c>
      <c r="AP13" s="91" t="s">
        <v>38</v>
      </c>
      <c r="AQ13" s="91" t="s">
        <v>38</v>
      </c>
      <c r="AR13" s="91" t="s">
        <v>38</v>
      </c>
      <c r="AS13" s="91" t="s">
        <v>38</v>
      </c>
      <c r="AT13" s="91" t="s">
        <v>38</v>
      </c>
      <c r="AU13" s="91" t="s">
        <v>38</v>
      </c>
      <c r="AV13" s="91" t="s">
        <v>38</v>
      </c>
      <c r="AW13" s="91" t="s">
        <v>38</v>
      </c>
      <c r="AX13" s="91" t="s">
        <v>38</v>
      </c>
      <c r="AY13" s="91" t="s">
        <v>38</v>
      </c>
      <c r="AZ13" s="91" t="s">
        <v>38</v>
      </c>
      <c r="BA13" s="91" t="s">
        <v>38</v>
      </c>
      <c r="BB13" s="91" t="s">
        <v>38</v>
      </c>
      <c r="BC13" s="91" t="s">
        <v>38</v>
      </c>
      <c r="BD13" s="91" t="s">
        <v>38</v>
      </c>
      <c r="BE13" s="91" t="s">
        <v>38</v>
      </c>
      <c r="BF13" s="91" t="s">
        <v>38</v>
      </c>
      <c r="BG13" s="91" t="s">
        <v>38</v>
      </c>
      <c r="BH13" s="91" t="s">
        <v>38</v>
      </c>
      <c r="BI13" s="90" t="s">
        <v>38</v>
      </c>
      <c r="BJ13" s="90" t="s">
        <v>38</v>
      </c>
      <c r="BK13" s="90" t="s">
        <v>38</v>
      </c>
      <c r="BL13" s="90" t="s">
        <v>38</v>
      </c>
      <c r="BM13" s="90" t="s">
        <v>38</v>
      </c>
      <c r="BN13" s="90" t="s">
        <v>38</v>
      </c>
      <c r="BO13" s="90" t="s">
        <v>38</v>
      </c>
      <c r="BP13" s="90" t="s">
        <v>38</v>
      </c>
      <c r="BQ13" s="90" t="s">
        <v>38</v>
      </c>
      <c r="BR13" s="90" t="s">
        <v>38</v>
      </c>
      <c r="BS13" s="90" t="s">
        <v>38</v>
      </c>
      <c r="BT13" s="90" t="s">
        <v>38</v>
      </c>
      <c r="BU13" s="90" t="s">
        <v>38</v>
      </c>
      <c r="BV13" s="90" t="s">
        <v>38</v>
      </c>
      <c r="BW13" s="90" t="s">
        <v>38</v>
      </c>
      <c r="BX13" s="90" t="s">
        <v>38</v>
      </c>
      <c r="BY13" s="90" t="s">
        <v>38</v>
      </c>
      <c r="BZ13" s="90" t="s">
        <v>38</v>
      </c>
      <c r="CA13" s="90">
        <v>0</v>
      </c>
      <c r="CB13" s="90">
        <v>492</v>
      </c>
      <c r="CC13" s="90">
        <v>5368</v>
      </c>
      <c r="CD13" s="90">
        <v>331</v>
      </c>
      <c r="CE13" s="90">
        <v>1987</v>
      </c>
      <c r="CF13" s="90" t="s">
        <v>38</v>
      </c>
      <c r="CG13" s="90" t="s">
        <v>38</v>
      </c>
      <c r="CH13" s="90">
        <v>7364</v>
      </c>
      <c r="CI13" s="90" t="s">
        <v>38</v>
      </c>
      <c r="CJ13" s="90">
        <v>4832</v>
      </c>
      <c r="CK13" s="90" t="s">
        <v>38</v>
      </c>
      <c r="CL13" s="90" t="s">
        <v>38</v>
      </c>
      <c r="CM13" s="90" t="s">
        <v>38</v>
      </c>
      <c r="CN13" s="90" t="s">
        <v>38</v>
      </c>
      <c r="CP13" s="90">
        <v>11136</v>
      </c>
      <c r="CQ13" s="90">
        <v>783</v>
      </c>
      <c r="CR13" s="90">
        <v>80</v>
      </c>
      <c r="CS13" s="90" t="s">
        <v>38</v>
      </c>
      <c r="CT13" s="90" t="s">
        <v>38</v>
      </c>
      <c r="CU13" s="90" t="s">
        <v>38</v>
      </c>
      <c r="CV13" s="90">
        <v>101</v>
      </c>
      <c r="CW13" s="90" t="s">
        <v>38</v>
      </c>
      <c r="CX13" s="90" t="s">
        <v>38</v>
      </c>
      <c r="CY13" s="90">
        <v>4726</v>
      </c>
      <c r="CZ13" s="90">
        <v>8093</v>
      </c>
      <c r="DA13" s="90" t="s">
        <v>38</v>
      </c>
      <c r="DB13" s="90" t="s">
        <v>38</v>
      </c>
      <c r="DC13" s="90">
        <v>883</v>
      </c>
      <c r="DD13" s="90">
        <v>1925</v>
      </c>
      <c r="DE13" s="90">
        <v>1306</v>
      </c>
      <c r="DF13" s="90">
        <v>3106</v>
      </c>
      <c r="DG13" s="90">
        <v>1193</v>
      </c>
      <c r="DH13" s="90" t="s">
        <v>38</v>
      </c>
      <c r="DI13" s="90" t="s">
        <v>38</v>
      </c>
      <c r="DJ13" s="90">
        <v>8480</v>
      </c>
      <c r="DK13" s="90">
        <v>1346</v>
      </c>
      <c r="DL13" s="90">
        <v>6841</v>
      </c>
      <c r="DM13" s="90" t="s">
        <v>38</v>
      </c>
      <c r="DN13" s="90">
        <v>457</v>
      </c>
      <c r="DO13" s="90">
        <v>21</v>
      </c>
      <c r="DP13" s="90">
        <v>33</v>
      </c>
      <c r="DT13" s="90">
        <v>25</v>
      </c>
      <c r="DU13" s="90">
        <v>83</v>
      </c>
      <c r="DX13" s="90">
        <v>397</v>
      </c>
      <c r="DY13" s="90">
        <v>61</v>
      </c>
      <c r="DZ13" s="90">
        <v>113</v>
      </c>
      <c r="EB13" s="90">
        <v>3</v>
      </c>
      <c r="EE13" s="90">
        <v>146</v>
      </c>
      <c r="EF13" s="90">
        <v>937</v>
      </c>
      <c r="EG13" s="90">
        <v>85</v>
      </c>
      <c r="EH13" s="90">
        <v>1648</v>
      </c>
      <c r="EL13" s="90">
        <v>872</v>
      </c>
      <c r="EM13" s="90">
        <v>1079</v>
      </c>
      <c r="EO13" s="90">
        <v>1009</v>
      </c>
      <c r="EP13" s="90">
        <v>86</v>
      </c>
      <c r="ES13" s="90">
        <v>219</v>
      </c>
      <c r="ET13" s="90">
        <v>3</v>
      </c>
      <c r="EU13" s="90">
        <v>8</v>
      </c>
      <c r="EV13" s="90">
        <v>5</v>
      </c>
      <c r="EZ13" s="90">
        <v>1</v>
      </c>
      <c r="FA13" s="90">
        <v>1185</v>
      </c>
      <c r="FB13" s="90">
        <v>16</v>
      </c>
      <c r="FD13" s="90">
        <v>33</v>
      </c>
      <c r="FG13" s="90">
        <v>161</v>
      </c>
      <c r="FH13" s="90">
        <v>480</v>
      </c>
      <c r="FJ13" s="90">
        <v>1513</v>
      </c>
      <c r="FO13" s="90">
        <v>2606</v>
      </c>
      <c r="FP13" s="90">
        <v>499</v>
      </c>
      <c r="FQ13" s="90">
        <v>19</v>
      </c>
      <c r="FR13" s="90">
        <v>412</v>
      </c>
      <c r="FX13" s="90">
        <v>307</v>
      </c>
      <c r="GB13" s="90">
        <v>105</v>
      </c>
      <c r="GC13" s="90">
        <v>48</v>
      </c>
      <c r="GD13" s="90">
        <v>1131</v>
      </c>
      <c r="GE13" s="90">
        <v>195</v>
      </c>
      <c r="GF13" s="90">
        <v>21</v>
      </c>
      <c r="GH13" s="90">
        <v>122</v>
      </c>
      <c r="GI13" s="90">
        <v>9</v>
      </c>
      <c r="GQ13" s="90">
        <v>279</v>
      </c>
      <c r="GR13" s="90">
        <v>1142</v>
      </c>
      <c r="GT13" s="90">
        <v>404</v>
      </c>
      <c r="GW13" s="90">
        <v>654</v>
      </c>
      <c r="GX13" s="90">
        <v>913</v>
      </c>
      <c r="HD13" s="90">
        <v>107</v>
      </c>
      <c r="HE13" s="90">
        <v>96</v>
      </c>
      <c r="HG13" s="90">
        <v>3</v>
      </c>
      <c r="HH13" s="90">
        <v>1530</v>
      </c>
      <c r="HT13" s="90">
        <v>92</v>
      </c>
      <c r="HU13" s="90">
        <v>87</v>
      </c>
      <c r="HY13" s="90">
        <v>100</v>
      </c>
      <c r="IN13" s="90">
        <v>2189</v>
      </c>
      <c r="IO13" s="90">
        <v>1488</v>
      </c>
      <c r="IQ13" s="90">
        <v>344</v>
      </c>
      <c r="IT13" s="90">
        <v>587</v>
      </c>
      <c r="IW13" s="90">
        <v>19</v>
      </c>
      <c r="JA13" s="90">
        <v>306</v>
      </c>
      <c r="JB13" s="90">
        <v>838</v>
      </c>
      <c r="JC13" s="90">
        <v>288</v>
      </c>
      <c r="JD13" s="90">
        <v>1613</v>
      </c>
      <c r="JE13" s="90">
        <v>47</v>
      </c>
      <c r="JH13" s="90">
        <v>1831</v>
      </c>
      <c r="JJ13" s="90">
        <v>1729</v>
      </c>
      <c r="JK13" s="90">
        <v>52</v>
      </c>
      <c r="JL13" s="90">
        <v>933</v>
      </c>
      <c r="JO13" s="90">
        <v>6</v>
      </c>
      <c r="JP13" s="90">
        <v>299</v>
      </c>
      <c r="JQ13" s="90">
        <v>205</v>
      </c>
      <c r="JR13" s="90">
        <v>150</v>
      </c>
      <c r="JY13" s="90">
        <v>72</v>
      </c>
      <c r="JZ13" s="90">
        <v>2</v>
      </c>
      <c r="KE13" s="90">
        <v>88</v>
      </c>
      <c r="KF13" s="90">
        <v>1</v>
      </c>
      <c r="KG13" s="90">
        <v>94</v>
      </c>
      <c r="KK13" s="90">
        <v>186</v>
      </c>
      <c r="KL13" s="90">
        <v>45</v>
      </c>
      <c r="KM13" s="90">
        <v>342</v>
      </c>
      <c r="KN13" s="90">
        <v>41</v>
      </c>
      <c r="KV13" s="90">
        <v>372</v>
      </c>
      <c r="KX13" s="90">
        <v>355</v>
      </c>
      <c r="KY13" s="90">
        <v>45</v>
      </c>
      <c r="KZ13" s="90">
        <v>631</v>
      </c>
      <c r="LA13" s="90">
        <v>242</v>
      </c>
      <c r="LF13" s="90">
        <v>87</v>
      </c>
      <c r="LG13" s="90">
        <v>154</v>
      </c>
      <c r="LM13" s="90">
        <v>117</v>
      </c>
      <c r="LN13" s="90">
        <v>90</v>
      </c>
      <c r="LO13" s="90">
        <v>7</v>
      </c>
      <c r="LS13" s="90">
        <v>277</v>
      </c>
      <c r="LT13" s="90">
        <v>4</v>
      </c>
      <c r="LV13" s="90">
        <v>424</v>
      </c>
      <c r="LW13" s="90">
        <v>10</v>
      </c>
      <c r="LZ13" s="90">
        <v>92</v>
      </c>
      <c r="MB13" s="90">
        <v>348</v>
      </c>
      <c r="MG13" s="90">
        <v>158</v>
      </c>
      <c r="MH13" s="90">
        <v>4</v>
      </c>
      <c r="MJ13" s="90">
        <v>10</v>
      </c>
      <c r="MK13" s="90">
        <v>2</v>
      </c>
      <c r="MP13" s="90">
        <v>264</v>
      </c>
      <c r="MQ13" s="90">
        <v>1</v>
      </c>
      <c r="MV13" s="90">
        <v>113</v>
      </c>
      <c r="MW13" s="90">
        <v>181</v>
      </c>
      <c r="NB13" s="90">
        <v>1483</v>
      </c>
      <c r="NC13" s="90">
        <v>615</v>
      </c>
      <c r="NE13" s="90">
        <v>4</v>
      </c>
      <c r="NK13" s="90">
        <v>727</v>
      </c>
      <c r="NL13" s="90">
        <v>107</v>
      </c>
      <c r="NM13" s="90">
        <v>25</v>
      </c>
      <c r="NQ13" s="90">
        <v>10</v>
      </c>
      <c r="NR13" s="90">
        <v>30</v>
      </c>
      <c r="NS13" s="90">
        <v>438</v>
      </c>
      <c r="NW13" s="90">
        <v>309</v>
      </c>
      <c r="NZ13" s="90">
        <v>1279</v>
      </c>
      <c r="OA13" s="90">
        <v>791</v>
      </c>
      <c r="OD13" s="90">
        <v>90</v>
      </c>
      <c r="OE13" s="90">
        <v>352</v>
      </c>
      <c r="OH13" s="90">
        <v>249</v>
      </c>
      <c r="OP13" s="90">
        <v>473</v>
      </c>
      <c r="OW13" s="90">
        <v>40</v>
      </c>
      <c r="OY13" s="90">
        <v>14</v>
      </c>
      <c r="OZ13" s="90">
        <v>405</v>
      </c>
      <c r="PA13" s="90">
        <v>350</v>
      </c>
      <c r="PB13" s="90">
        <v>52</v>
      </c>
      <c r="PC13" s="90">
        <v>104</v>
      </c>
      <c r="PG13" s="90">
        <v>150</v>
      </c>
      <c r="PH13" s="90">
        <v>75</v>
      </c>
      <c r="PI13" s="90">
        <v>998</v>
      </c>
      <c r="PK13" s="90">
        <v>45</v>
      </c>
      <c r="PN13" s="90">
        <v>685</v>
      </c>
      <c r="PO13" s="90">
        <v>1</v>
      </c>
      <c r="PQ13" s="90">
        <v>136</v>
      </c>
      <c r="QC13" s="90">
        <v>6</v>
      </c>
      <c r="QD13" s="90">
        <v>158</v>
      </c>
      <c r="QE13" s="90">
        <v>4417</v>
      </c>
      <c r="QH13" s="90">
        <v>2011</v>
      </c>
      <c r="QJ13" s="90">
        <v>10</v>
      </c>
      <c r="QK13" s="90">
        <v>0</v>
      </c>
      <c r="QL13" s="90">
        <v>270</v>
      </c>
      <c r="QP13" s="90">
        <v>1126</v>
      </c>
      <c r="QQ13" s="90">
        <v>19</v>
      </c>
      <c r="QV13" s="90">
        <v>220</v>
      </c>
      <c r="QX13" s="90">
        <v>1834</v>
      </c>
      <c r="RG13" s="90">
        <v>25</v>
      </c>
      <c r="RJ13" s="90">
        <v>199</v>
      </c>
      <c r="RM13" s="90">
        <v>120</v>
      </c>
      <c r="RN13" s="90">
        <v>847</v>
      </c>
      <c r="RQ13" s="90">
        <v>177</v>
      </c>
      <c r="RR13" s="90">
        <v>215</v>
      </c>
      <c r="RT13" s="90">
        <v>516</v>
      </c>
      <c r="RU13" s="90">
        <v>75</v>
      </c>
      <c r="RX13" s="90">
        <v>108</v>
      </c>
      <c r="RY13" s="90">
        <v>32</v>
      </c>
      <c r="RZ13" s="90">
        <v>66</v>
      </c>
      <c r="SG13" s="90">
        <v>32</v>
      </c>
      <c r="SH13" s="90">
        <v>5</v>
      </c>
      <c r="SI13" s="90">
        <v>19</v>
      </c>
      <c r="SL13" s="90">
        <v>1</v>
      </c>
      <c r="SN13" s="90">
        <v>1412</v>
      </c>
      <c r="SS13" s="90">
        <v>312</v>
      </c>
      <c r="ST13" s="90">
        <v>161</v>
      </c>
      <c r="SW13" s="90">
        <v>955</v>
      </c>
      <c r="TA13" s="90">
        <v>627</v>
      </c>
      <c r="TC13" s="90">
        <v>56</v>
      </c>
      <c r="TH13" s="90">
        <v>92</v>
      </c>
      <c r="TJ13" s="90">
        <v>20</v>
      </c>
      <c r="TK13" s="90">
        <v>381</v>
      </c>
      <c r="TO13" s="90">
        <v>155</v>
      </c>
      <c r="TP13" s="90">
        <v>368</v>
      </c>
      <c r="TQ13" s="90">
        <v>1496</v>
      </c>
      <c r="TR13" s="90">
        <v>254</v>
      </c>
      <c r="TW13" s="90">
        <v>1396</v>
      </c>
      <c r="TX13" s="90">
        <v>394</v>
      </c>
      <c r="TY13" s="90">
        <v>8</v>
      </c>
      <c r="UE13" s="90">
        <v>3</v>
      </c>
      <c r="UF13" s="90">
        <v>1</v>
      </c>
      <c r="UG13" s="90">
        <v>1536</v>
      </c>
      <c r="UI13" s="90">
        <v>245</v>
      </c>
      <c r="UJ13" s="90">
        <v>171</v>
      </c>
      <c r="UK13" s="90">
        <v>3215</v>
      </c>
      <c r="UM13" s="90">
        <v>90</v>
      </c>
      <c r="UQ13" s="90">
        <v>135</v>
      </c>
      <c r="UT13" s="90">
        <v>392</v>
      </c>
      <c r="UX13" s="90">
        <v>654</v>
      </c>
      <c r="UY13" s="90">
        <v>174</v>
      </c>
      <c r="UZ13" s="90">
        <v>49</v>
      </c>
      <c r="VA13" s="90">
        <v>2012</v>
      </c>
      <c r="VD13" s="90">
        <v>55</v>
      </c>
      <c r="VE13" s="90">
        <v>38</v>
      </c>
      <c r="VF13" s="90">
        <v>429</v>
      </c>
      <c r="VG13" s="90">
        <v>102</v>
      </c>
      <c r="VH13" s="90">
        <v>1849</v>
      </c>
      <c r="VN13" s="90">
        <v>19</v>
      </c>
      <c r="VO13" s="90">
        <v>36</v>
      </c>
      <c r="VT13" s="90">
        <v>514</v>
      </c>
      <c r="VV13" s="90">
        <v>3219</v>
      </c>
      <c r="VY13" s="90">
        <v>316</v>
      </c>
      <c r="WA13" s="90">
        <v>86</v>
      </c>
      <c r="WB13" s="90">
        <v>166</v>
      </c>
      <c r="WC13" s="90">
        <v>748</v>
      </c>
      <c r="WD13" s="90">
        <v>116</v>
      </c>
      <c r="WF13" s="90">
        <v>37</v>
      </c>
      <c r="WI13" s="90">
        <v>269</v>
      </c>
      <c r="WM13" s="90">
        <v>552</v>
      </c>
      <c r="WQ13" s="90">
        <v>46</v>
      </c>
      <c r="WT13" s="90">
        <v>142</v>
      </c>
      <c r="WU13" s="90">
        <v>195</v>
      </c>
      <c r="WX13" s="90">
        <v>1742</v>
      </c>
      <c r="WY13" s="90">
        <v>2</v>
      </c>
      <c r="XB13" s="90">
        <v>1</v>
      </c>
      <c r="XC13" s="90">
        <v>222</v>
      </c>
      <c r="XD13" s="90">
        <v>7</v>
      </c>
      <c r="XE13" s="90">
        <v>131</v>
      </c>
      <c r="XH13" s="90">
        <v>147</v>
      </c>
      <c r="XJ13" s="90">
        <v>534</v>
      </c>
      <c r="XK13" s="90">
        <v>338</v>
      </c>
      <c r="XO13" s="90">
        <v>1719</v>
      </c>
      <c r="XP13" s="90">
        <v>129</v>
      </c>
      <c r="XQ13" s="90">
        <v>163</v>
      </c>
      <c r="XR13" s="90" t="s">
        <v>38</v>
      </c>
      <c r="XS13" s="90" t="s">
        <v>38</v>
      </c>
      <c r="XT13" s="90" t="s">
        <v>38</v>
      </c>
      <c r="XU13" s="90" t="s">
        <v>38</v>
      </c>
      <c r="XV13" s="90" t="s">
        <v>38</v>
      </c>
      <c r="XW13" s="90" t="s">
        <v>38</v>
      </c>
      <c r="XX13" s="90">
        <v>153</v>
      </c>
      <c r="XY13" s="90" t="s">
        <v>38</v>
      </c>
      <c r="XZ13" s="90">
        <v>433</v>
      </c>
      <c r="YA13" s="90" t="s">
        <v>38</v>
      </c>
      <c r="YB13" s="90" t="s">
        <v>38</v>
      </c>
      <c r="YC13" s="90">
        <v>1138</v>
      </c>
      <c r="YL13" s="90">
        <v>169</v>
      </c>
      <c r="YM13" s="90">
        <v>1</v>
      </c>
      <c r="YN13" s="90">
        <v>27</v>
      </c>
      <c r="YO13" s="90" t="s">
        <v>38</v>
      </c>
      <c r="YQ13" s="90">
        <v>438</v>
      </c>
      <c r="YR13" s="90" t="s">
        <v>38</v>
      </c>
      <c r="YS13" s="90">
        <v>162</v>
      </c>
      <c r="YT13" s="90">
        <v>38</v>
      </c>
      <c r="YU13" s="90">
        <v>135</v>
      </c>
      <c r="YV13" s="90" t="s">
        <v>38</v>
      </c>
      <c r="YX13" s="90">
        <v>256</v>
      </c>
      <c r="YY13" s="90">
        <v>52</v>
      </c>
      <c r="YZ13" s="90" t="s">
        <v>38</v>
      </c>
      <c r="ZA13" s="90" t="s">
        <v>38</v>
      </c>
      <c r="ZB13" s="90" t="s">
        <v>38</v>
      </c>
      <c r="ZC13" s="90" t="s">
        <v>38</v>
      </c>
      <c r="ZE13" s="90">
        <v>73</v>
      </c>
      <c r="ZF13" s="90">
        <v>26</v>
      </c>
      <c r="ZG13" s="90" t="s">
        <v>152</v>
      </c>
      <c r="ZH13" s="90" t="s">
        <v>152</v>
      </c>
      <c r="ZI13" s="90" t="s">
        <v>152</v>
      </c>
      <c r="ZJ13" s="90">
        <v>141</v>
      </c>
      <c r="ZL13" s="90">
        <v>30</v>
      </c>
      <c r="ZM13" s="90" t="s">
        <v>152</v>
      </c>
      <c r="ZN13" s="90">
        <v>145</v>
      </c>
      <c r="ZO13" s="90" t="s">
        <v>38</v>
      </c>
      <c r="ZP13" s="90" t="s">
        <v>38</v>
      </c>
      <c r="ZQ13" s="90">
        <v>91</v>
      </c>
      <c r="ZR13" s="90" t="s">
        <v>38</v>
      </c>
      <c r="ZS13" s="91">
        <v>114</v>
      </c>
      <c r="ZT13" s="91">
        <v>1024</v>
      </c>
      <c r="ZU13" s="91" t="s">
        <v>38</v>
      </c>
      <c r="ZV13" s="91">
        <v>79</v>
      </c>
      <c r="ZW13" s="91">
        <v>138</v>
      </c>
      <c r="ZX13" s="91" t="s">
        <v>38</v>
      </c>
      <c r="ZY13" s="91" t="s">
        <v>38</v>
      </c>
      <c r="ZZ13" s="91">
        <v>411</v>
      </c>
      <c r="AAA13" s="91">
        <v>40</v>
      </c>
      <c r="AAB13" s="91" t="s">
        <v>152</v>
      </c>
      <c r="AAC13" s="91" t="s">
        <v>152</v>
      </c>
      <c r="AAD13" s="91" t="s">
        <v>152</v>
      </c>
      <c r="AAE13" s="91" t="s">
        <v>152</v>
      </c>
      <c r="AAF13" s="91" t="s">
        <v>152</v>
      </c>
      <c r="AAG13" s="91" t="s">
        <v>152</v>
      </c>
      <c r="AAH13" s="91" t="s">
        <v>152</v>
      </c>
      <c r="AAI13" s="91" t="s">
        <v>152</v>
      </c>
      <c r="AAJ13" s="90">
        <v>276</v>
      </c>
      <c r="AAK13" s="90" t="s">
        <v>152</v>
      </c>
      <c r="AAL13" s="90" t="s">
        <v>152</v>
      </c>
      <c r="AAM13" s="90" t="s">
        <v>152</v>
      </c>
      <c r="AAN13" s="90" t="s">
        <v>152</v>
      </c>
      <c r="AAO13" s="90">
        <v>289</v>
      </c>
      <c r="AAP13" s="90">
        <v>360</v>
      </c>
      <c r="AAQ13" s="90">
        <v>26</v>
      </c>
      <c r="AAR13" s="90" t="s">
        <v>152</v>
      </c>
      <c r="AAS13" s="90" t="s">
        <v>152</v>
      </c>
      <c r="AAT13" s="90" t="s">
        <v>152</v>
      </c>
      <c r="AAU13" s="90" t="s">
        <v>152</v>
      </c>
      <c r="AAV13" s="90" t="s">
        <v>152</v>
      </c>
      <c r="AAW13" s="90">
        <v>34</v>
      </c>
      <c r="AAX13" s="90">
        <v>43</v>
      </c>
      <c r="AAY13" s="88" t="s">
        <v>152</v>
      </c>
      <c r="AAZ13" s="90">
        <v>2</v>
      </c>
      <c r="ABA13" s="90" t="s">
        <v>152</v>
      </c>
      <c r="ABB13" s="90" t="s">
        <v>152</v>
      </c>
      <c r="ABC13" s="90">
        <v>267</v>
      </c>
      <c r="ABD13" s="90" t="s">
        <v>152</v>
      </c>
      <c r="ABE13" s="120"/>
      <c r="ABF13" s="90">
        <v>803</v>
      </c>
      <c r="ABG13" s="90" t="s">
        <v>38</v>
      </c>
      <c r="ABH13" s="90" t="s">
        <v>38</v>
      </c>
      <c r="ABI13" s="90">
        <v>416</v>
      </c>
      <c r="ABJ13" s="90">
        <v>32</v>
      </c>
      <c r="ABK13" s="90" t="s">
        <v>38</v>
      </c>
      <c r="ABL13" s="90" t="s">
        <v>38</v>
      </c>
      <c r="ABM13" s="90" t="s">
        <v>38</v>
      </c>
      <c r="ABN13" s="90">
        <v>60</v>
      </c>
      <c r="ABP13" s="90">
        <v>120</v>
      </c>
      <c r="ABQ13" s="90">
        <v>133</v>
      </c>
      <c r="ABR13" s="90" t="s">
        <v>38</v>
      </c>
      <c r="ABS13" s="90" t="s">
        <v>38</v>
      </c>
      <c r="ABT13" s="90">
        <v>23</v>
      </c>
      <c r="ABU13" s="90" t="s">
        <v>38</v>
      </c>
      <c r="ABV13" s="90" t="s">
        <v>38</v>
      </c>
      <c r="ABW13" s="90">
        <v>78</v>
      </c>
      <c r="ABX13" s="90" t="s">
        <v>38</v>
      </c>
      <c r="ABY13" s="90" t="s">
        <v>38</v>
      </c>
      <c r="ABZ13" s="90">
        <v>28</v>
      </c>
      <c r="ACA13" s="90" t="s">
        <v>38</v>
      </c>
      <c r="ACB13" s="90" t="s">
        <v>38</v>
      </c>
      <c r="ACC13" s="90" t="s">
        <v>38</v>
      </c>
      <c r="ACD13" s="90">
        <v>450</v>
      </c>
      <c r="ACE13" s="90">
        <v>366</v>
      </c>
      <c r="ACF13" s="90">
        <v>185</v>
      </c>
      <c r="ACG13" s="90">
        <v>268</v>
      </c>
      <c r="ACH13" s="90">
        <v>20</v>
      </c>
      <c r="ACI13" s="90" t="s">
        <v>38</v>
      </c>
      <c r="ACK13" s="90">
        <v>211</v>
      </c>
      <c r="ACL13" s="90">
        <v>103</v>
      </c>
      <c r="ACM13" s="90" t="s">
        <v>38</v>
      </c>
      <c r="ACN13" s="90">
        <v>17</v>
      </c>
      <c r="ACO13" s="90">
        <v>158</v>
      </c>
      <c r="ACP13" s="90" t="s">
        <v>38</v>
      </c>
      <c r="ACQ13" s="90" t="s">
        <v>38</v>
      </c>
      <c r="ACR13" s="90" t="s">
        <v>38</v>
      </c>
      <c r="ACS13" s="90" t="s">
        <v>38</v>
      </c>
      <c r="ACT13" s="90" t="s">
        <v>38</v>
      </c>
      <c r="ACU13" s="90">
        <v>3</v>
      </c>
      <c r="ACV13" s="90" t="s">
        <v>38</v>
      </c>
      <c r="ACW13" s="90" t="s">
        <v>38</v>
      </c>
      <c r="ACX13" s="90" t="s">
        <v>38</v>
      </c>
      <c r="ACY13" s="90">
        <v>117</v>
      </c>
      <c r="ACZ13" s="90" t="s">
        <v>38</v>
      </c>
      <c r="ADA13" s="90" t="s">
        <v>38</v>
      </c>
      <c r="ADB13" s="90" t="s">
        <v>38</v>
      </c>
      <c r="ADC13" s="90" t="s">
        <v>38</v>
      </c>
      <c r="ADF13" s="90">
        <v>144</v>
      </c>
      <c r="ADG13" s="90" t="s">
        <v>38</v>
      </c>
      <c r="ADH13" s="90" t="s">
        <v>38</v>
      </c>
      <c r="ADI13" s="90">
        <v>347</v>
      </c>
      <c r="ADJ13" s="90">
        <v>250</v>
      </c>
      <c r="ADK13" s="90" t="s">
        <v>38</v>
      </c>
      <c r="ADL13" s="90" t="s">
        <v>38</v>
      </c>
      <c r="ADM13" s="90" t="s">
        <v>38</v>
      </c>
      <c r="ADN13" s="90">
        <v>380</v>
      </c>
      <c r="ADO13" s="90" t="s">
        <v>38</v>
      </c>
      <c r="ADP13" s="90" t="s">
        <v>38</v>
      </c>
      <c r="ADQ13" s="90" t="s">
        <v>38</v>
      </c>
      <c r="ADR13" s="90" t="s">
        <v>38</v>
      </c>
      <c r="ADS13" s="90" t="s">
        <v>38</v>
      </c>
      <c r="ADT13" s="90" t="s">
        <v>38</v>
      </c>
      <c r="ADU13" s="90" t="s">
        <v>38</v>
      </c>
      <c r="ADX13" s="90" t="s">
        <v>38</v>
      </c>
      <c r="ADY13" s="90" t="s">
        <v>38</v>
      </c>
      <c r="ADZ13" s="90" t="s">
        <v>38</v>
      </c>
      <c r="AEA13" s="90">
        <v>1</v>
      </c>
      <c r="AEB13" s="90" t="s">
        <v>38</v>
      </c>
      <c r="AEC13" s="90">
        <v>106</v>
      </c>
      <c r="AED13" s="90" t="s">
        <v>38</v>
      </c>
      <c r="AEE13" s="90">
        <v>289</v>
      </c>
      <c r="AEF13" s="90" t="s">
        <v>38</v>
      </c>
      <c r="AEG13" s="90" t="s">
        <v>38</v>
      </c>
      <c r="AEJ13" s="90">
        <v>12</v>
      </c>
      <c r="AEK13" s="90">
        <v>115</v>
      </c>
      <c r="AEO13" s="90">
        <v>5</v>
      </c>
      <c r="AEP13" s="90" t="s">
        <v>38</v>
      </c>
      <c r="AEQ13" s="90">
        <v>4</v>
      </c>
      <c r="AER13" s="90">
        <v>1258</v>
      </c>
      <c r="AES13" s="90">
        <v>156</v>
      </c>
      <c r="AET13" s="90" t="s">
        <v>38</v>
      </c>
      <c r="AEU13" s="90" t="s">
        <v>38</v>
      </c>
      <c r="AEV13" s="90">
        <v>143</v>
      </c>
      <c r="AEW13" s="90">
        <v>87</v>
      </c>
      <c r="AEX13" s="90">
        <v>50</v>
      </c>
      <c r="AEY13" s="90">
        <v>122</v>
      </c>
      <c r="AEZ13" s="90" t="s">
        <v>38</v>
      </c>
      <c r="AFA13" s="90" t="s">
        <v>38</v>
      </c>
      <c r="AFB13" s="90" t="s">
        <v>38</v>
      </c>
      <c r="AFC13" s="90" t="s">
        <v>38</v>
      </c>
      <c r="AFD13" s="90" t="s">
        <v>38</v>
      </c>
      <c r="AFE13" s="90">
        <v>137</v>
      </c>
      <c r="AFF13" s="90">
        <v>2</v>
      </c>
      <c r="AFG13" s="90">
        <v>3</v>
      </c>
      <c r="AFH13" s="90" t="s">
        <v>38</v>
      </c>
      <c r="AFI13" s="90" t="s">
        <v>38</v>
      </c>
      <c r="AFJ13" s="90">
        <v>85</v>
      </c>
      <c r="AFK13" s="90" t="s">
        <v>38</v>
      </c>
      <c r="AFL13" s="90">
        <v>16</v>
      </c>
      <c r="AFM13" s="90">
        <v>110</v>
      </c>
      <c r="AFN13" s="90" t="s">
        <v>38</v>
      </c>
      <c r="AFO13" s="90" t="s">
        <v>38</v>
      </c>
      <c r="AFP13" s="90" t="s">
        <v>38</v>
      </c>
      <c r="AFQ13" s="90" t="s">
        <v>38</v>
      </c>
      <c r="AFR13" s="90">
        <v>70</v>
      </c>
      <c r="AFS13" s="90" t="s">
        <v>38</v>
      </c>
      <c r="AFT13" s="90" t="s">
        <v>38</v>
      </c>
      <c r="AFU13" s="90">
        <v>299</v>
      </c>
      <c r="AFV13" s="90" t="s">
        <v>38</v>
      </c>
      <c r="AFW13" s="90" t="s">
        <v>38</v>
      </c>
      <c r="AFX13" s="90">
        <v>493</v>
      </c>
      <c r="AFY13" s="90">
        <v>456</v>
      </c>
      <c r="AFZ13" s="90" t="s">
        <v>38</v>
      </c>
      <c r="AGA13" s="90" t="s">
        <v>38</v>
      </c>
      <c r="AGB13" s="90" t="s">
        <v>38</v>
      </c>
      <c r="AGC13" s="90" t="s">
        <v>38</v>
      </c>
      <c r="AGD13" s="90" t="s">
        <v>38</v>
      </c>
      <c r="AGE13" s="90" t="s">
        <v>38</v>
      </c>
      <c r="AGF13" s="90" t="s">
        <v>38</v>
      </c>
      <c r="AGG13" s="90">
        <v>123</v>
      </c>
      <c r="AGH13" s="90">
        <v>98</v>
      </c>
      <c r="AGI13" s="90" t="s">
        <v>38</v>
      </c>
      <c r="AGJ13" s="90" t="s">
        <v>38</v>
      </c>
      <c r="AGK13" s="90" t="s">
        <v>38</v>
      </c>
      <c r="AGL13" s="90">
        <v>18</v>
      </c>
      <c r="AGM13" s="90" t="s">
        <v>38</v>
      </c>
      <c r="AGN13" s="90">
        <v>7</v>
      </c>
      <c r="AGO13" s="90">
        <v>29</v>
      </c>
      <c r="AGP13" s="90" t="s">
        <v>38</v>
      </c>
      <c r="AGQ13" s="90" t="s">
        <v>38</v>
      </c>
      <c r="AGR13" s="90" t="s">
        <v>38</v>
      </c>
      <c r="AGS13" s="90">
        <v>22</v>
      </c>
      <c r="AGT13" s="90">
        <v>711</v>
      </c>
      <c r="AGU13" s="90">
        <v>75</v>
      </c>
      <c r="AGV13" s="90" t="s">
        <v>38</v>
      </c>
      <c r="AGW13" s="90">
        <v>136</v>
      </c>
      <c r="AGX13" s="90" t="s">
        <v>38</v>
      </c>
      <c r="AGY13" s="90" t="s">
        <v>38</v>
      </c>
      <c r="AGZ13" s="90">
        <v>157</v>
      </c>
      <c r="AHA13" s="90">
        <v>83</v>
      </c>
      <c r="AHB13" s="90" t="s">
        <v>38</v>
      </c>
      <c r="AHC13" s="90">
        <v>219</v>
      </c>
      <c r="AHD13" s="90">
        <v>9</v>
      </c>
      <c r="AHE13" s="90" t="s">
        <v>38</v>
      </c>
      <c r="AHF13" s="90" t="s">
        <v>38</v>
      </c>
      <c r="AHG13" s="90" t="s">
        <v>38</v>
      </c>
      <c r="AHH13" s="90">
        <v>1374</v>
      </c>
      <c r="AHI13" s="90">
        <v>7</v>
      </c>
      <c r="AHJ13" s="90" t="s">
        <v>38</v>
      </c>
      <c r="AHK13" s="90" t="s">
        <v>38</v>
      </c>
      <c r="AHL13" s="90" t="s">
        <v>38</v>
      </c>
      <c r="AHM13" s="90" t="s">
        <v>38</v>
      </c>
      <c r="AHN13" s="90" t="s">
        <v>38</v>
      </c>
      <c r="AHO13" s="90" t="s">
        <v>38</v>
      </c>
      <c r="AHP13" s="90">
        <v>16</v>
      </c>
      <c r="AHQ13" s="90" t="s">
        <v>38</v>
      </c>
      <c r="AHR13" s="90">
        <v>141</v>
      </c>
      <c r="AHS13" s="90" t="s">
        <v>38</v>
      </c>
      <c r="AHT13" s="90" t="s">
        <v>38</v>
      </c>
      <c r="AHU13" s="90" t="s">
        <v>38</v>
      </c>
      <c r="AHV13" s="90" t="s">
        <v>38</v>
      </c>
      <c r="AHW13" s="90" t="s">
        <v>38</v>
      </c>
      <c r="AHX13" s="90" t="s">
        <v>38</v>
      </c>
      <c r="AHY13" s="90" t="s">
        <v>38</v>
      </c>
      <c r="AHZ13" s="90" t="s">
        <v>38</v>
      </c>
      <c r="AIA13" s="90" t="s">
        <v>38</v>
      </c>
      <c r="AIB13" s="90" t="s">
        <v>38</v>
      </c>
      <c r="AIC13" s="90">
        <v>1423</v>
      </c>
      <c r="AID13" s="90" t="s">
        <v>38</v>
      </c>
      <c r="AIE13" s="90">
        <v>365</v>
      </c>
      <c r="AIF13" s="90">
        <v>180</v>
      </c>
      <c r="AIG13" s="90" t="s">
        <v>38</v>
      </c>
      <c r="AIH13" s="90" t="s">
        <v>38</v>
      </c>
      <c r="AII13" s="90">
        <v>3841</v>
      </c>
      <c r="AIJ13" s="90" t="s">
        <v>38</v>
      </c>
      <c r="AIK13" s="90">
        <v>29</v>
      </c>
      <c r="AIL13" s="90">
        <v>11</v>
      </c>
      <c r="AIN13" s="90" t="s">
        <v>38</v>
      </c>
      <c r="AIO13" s="90" t="s">
        <v>38</v>
      </c>
      <c r="AIP13" s="90" t="s">
        <v>38</v>
      </c>
      <c r="AIQ13" s="90" t="s">
        <v>38</v>
      </c>
      <c r="AIR13" s="90" t="s">
        <v>38</v>
      </c>
      <c r="AIS13" s="90" t="s">
        <v>38</v>
      </c>
      <c r="AIT13" s="90" t="s">
        <v>38</v>
      </c>
      <c r="AIU13" s="90" t="s">
        <v>38</v>
      </c>
      <c r="AIV13" s="90" t="s">
        <v>38</v>
      </c>
      <c r="AIW13" s="90" t="s">
        <v>38</v>
      </c>
      <c r="AIX13" s="90">
        <v>1096</v>
      </c>
      <c r="AIY13" s="90">
        <v>110</v>
      </c>
      <c r="AIZ13" s="90" t="s">
        <v>38</v>
      </c>
      <c r="AJA13" s="90">
        <v>259</v>
      </c>
      <c r="AJB13" s="90" t="s">
        <v>152</v>
      </c>
      <c r="AJC13" s="90" t="s">
        <v>152</v>
      </c>
      <c r="AJD13" s="90" t="s">
        <v>152</v>
      </c>
      <c r="AJE13" s="90" t="s">
        <v>152</v>
      </c>
      <c r="AJF13" s="92">
        <v>1165</v>
      </c>
      <c r="AJG13" s="90">
        <v>180</v>
      </c>
      <c r="AJH13" s="90">
        <v>432</v>
      </c>
      <c r="AJI13" s="90" t="s">
        <v>38</v>
      </c>
      <c r="AJJ13" s="90" t="s">
        <v>38</v>
      </c>
      <c r="AJK13" s="90">
        <v>334</v>
      </c>
      <c r="AJL13" s="90">
        <v>744</v>
      </c>
      <c r="AJM13" s="90" t="s">
        <v>38</v>
      </c>
      <c r="AJN13" s="90">
        <v>9</v>
      </c>
      <c r="AJO13" s="90" t="s">
        <v>38</v>
      </c>
      <c r="AJP13" s="90" t="s">
        <v>38</v>
      </c>
      <c r="AJQ13" s="90" t="s">
        <v>38</v>
      </c>
      <c r="AJR13" s="90" t="s">
        <v>38</v>
      </c>
      <c r="AJS13" s="90">
        <v>34</v>
      </c>
      <c r="AJT13" s="90" t="s">
        <v>38</v>
      </c>
      <c r="AJU13" s="90" t="s">
        <v>38</v>
      </c>
      <c r="AJV13" s="90" t="s">
        <v>38</v>
      </c>
      <c r="AJW13" s="90" t="s">
        <v>38</v>
      </c>
      <c r="AJX13" s="90" t="s">
        <v>38</v>
      </c>
      <c r="AJY13" s="90" t="s">
        <v>38</v>
      </c>
      <c r="AJZ13" s="90" t="s">
        <v>38</v>
      </c>
      <c r="AKA13" s="90" t="s">
        <v>38</v>
      </c>
      <c r="AKB13" s="90">
        <v>250</v>
      </c>
      <c r="AKC13" s="90" t="s">
        <v>38</v>
      </c>
      <c r="AKD13" s="90">
        <v>275</v>
      </c>
      <c r="AKE13" s="90" t="s">
        <v>38</v>
      </c>
      <c r="AKF13" s="90">
        <v>793</v>
      </c>
    </row>
    <row r="14" spans="1:976">
      <c r="A14">
        <v>3</v>
      </c>
      <c r="B14" t="s">
        <v>169</v>
      </c>
      <c r="C14" s="1">
        <v>82660</v>
      </c>
      <c r="D14" s="1" t="s">
        <v>147</v>
      </c>
      <c r="E14" s="1" t="s">
        <v>167</v>
      </c>
      <c r="F14" s="1" t="s">
        <v>31</v>
      </c>
      <c r="G14" s="1" t="s">
        <v>33</v>
      </c>
      <c r="H14" s="1" t="s">
        <v>167</v>
      </c>
      <c r="I14" s="1" t="s">
        <v>151</v>
      </c>
      <c r="J14" s="1" t="s">
        <v>46</v>
      </c>
      <c r="K14" s="25" t="s">
        <v>38</v>
      </c>
      <c r="L14" s="25" t="s">
        <v>38</v>
      </c>
      <c r="M14" s="25">
        <v>3</v>
      </c>
      <c r="N14" s="25">
        <v>4</v>
      </c>
      <c r="O14" s="25" t="s">
        <v>38</v>
      </c>
      <c r="P14" s="25" t="s">
        <v>38</v>
      </c>
      <c r="Q14" s="25" t="s">
        <v>38</v>
      </c>
      <c r="R14" s="25" t="s">
        <v>38</v>
      </c>
      <c r="S14" s="25" t="s">
        <v>38</v>
      </c>
      <c r="T14" s="25" t="s">
        <v>38</v>
      </c>
      <c r="U14" s="25" t="s">
        <v>38</v>
      </c>
      <c r="V14" s="25" t="s">
        <v>38</v>
      </c>
      <c r="W14" s="25" t="s">
        <v>38</v>
      </c>
      <c r="X14" s="25" t="s">
        <v>38</v>
      </c>
      <c r="Y14" s="25" t="s">
        <v>38</v>
      </c>
      <c r="Z14" s="25" t="s">
        <v>38</v>
      </c>
      <c r="AA14" s="25" t="s">
        <v>38</v>
      </c>
      <c r="AB14" s="25" t="s">
        <v>38</v>
      </c>
      <c r="AC14" s="25" t="s">
        <v>38</v>
      </c>
      <c r="AD14" s="25" t="s">
        <v>38</v>
      </c>
      <c r="AE14" s="25" t="s">
        <v>38</v>
      </c>
      <c r="AF14" s="25" t="s">
        <v>38</v>
      </c>
      <c r="AG14" s="25" t="s">
        <v>38</v>
      </c>
      <c r="AH14" s="25" t="s">
        <v>38</v>
      </c>
      <c r="AI14" s="25" t="s">
        <v>38</v>
      </c>
      <c r="AJ14" s="25" t="s">
        <v>38</v>
      </c>
      <c r="AK14" s="25" t="s">
        <v>38</v>
      </c>
      <c r="AL14" s="25" t="s">
        <v>38</v>
      </c>
      <c r="AM14" s="25" t="s">
        <v>38</v>
      </c>
      <c r="AN14" s="25" t="s">
        <v>38</v>
      </c>
      <c r="AO14" s="25" t="s">
        <v>38</v>
      </c>
      <c r="AP14" s="25" t="s">
        <v>38</v>
      </c>
      <c r="AQ14" s="25" t="s">
        <v>38</v>
      </c>
      <c r="AR14" s="25" t="s">
        <v>38</v>
      </c>
      <c r="AS14" s="25" t="s">
        <v>38</v>
      </c>
      <c r="AT14" s="25" t="s">
        <v>38</v>
      </c>
      <c r="AU14" s="25" t="s">
        <v>38</v>
      </c>
      <c r="AV14" s="25" t="s">
        <v>38</v>
      </c>
      <c r="AW14" s="25" t="s">
        <v>38</v>
      </c>
      <c r="AX14" s="25" t="s">
        <v>38</v>
      </c>
      <c r="AY14" s="25" t="s">
        <v>38</v>
      </c>
      <c r="AZ14" s="25" t="s">
        <v>38</v>
      </c>
      <c r="BA14" s="25" t="s">
        <v>38</v>
      </c>
      <c r="BB14" s="25" t="s">
        <v>38</v>
      </c>
      <c r="BC14" s="25" t="s">
        <v>38</v>
      </c>
      <c r="BD14" s="25" t="s">
        <v>38</v>
      </c>
      <c r="BE14" s="25" t="s">
        <v>38</v>
      </c>
      <c r="BF14" s="25" t="s">
        <v>38</v>
      </c>
      <c r="BG14" s="25" t="s">
        <v>38</v>
      </c>
      <c r="BH14" s="25" t="s">
        <v>38</v>
      </c>
      <c r="BI14" t="s">
        <v>38</v>
      </c>
      <c r="BJ14" t="s">
        <v>38</v>
      </c>
      <c r="ZS14" s="23"/>
      <c r="ZT14" s="23"/>
      <c r="ZU14" s="23"/>
      <c r="ZV14" s="23"/>
      <c r="ZW14" s="23"/>
      <c r="ZX14" s="23"/>
      <c r="ZY14" s="23"/>
      <c r="ZZ14" s="23"/>
      <c r="AAA14" s="23"/>
      <c r="AAB14" s="23"/>
      <c r="AAC14" s="23"/>
      <c r="AAD14" s="23"/>
      <c r="AAE14" s="23"/>
      <c r="AAF14" s="23"/>
      <c r="AAG14" s="23"/>
      <c r="AAH14" s="23"/>
      <c r="AAI14" s="23"/>
    </row>
    <row r="15" spans="1:976" s="94" customFormat="1" ht="16.5" customHeight="1">
      <c r="A15" s="93">
        <v>4</v>
      </c>
      <c r="B15" s="94" t="s">
        <v>170</v>
      </c>
      <c r="C15" s="95">
        <v>82660</v>
      </c>
      <c r="D15" s="95" t="s">
        <v>147</v>
      </c>
      <c r="E15" s="95" t="s">
        <v>167</v>
      </c>
      <c r="F15" s="95" t="s">
        <v>31</v>
      </c>
      <c r="G15" s="95" t="s">
        <v>12</v>
      </c>
      <c r="H15" s="95" t="s">
        <v>167</v>
      </c>
      <c r="I15" s="95" t="s">
        <v>151</v>
      </c>
      <c r="J15" s="95" t="s">
        <v>46</v>
      </c>
      <c r="K15" s="96" t="s">
        <v>38</v>
      </c>
      <c r="L15" s="96" t="s">
        <v>38</v>
      </c>
      <c r="M15" s="96" t="s">
        <v>38</v>
      </c>
      <c r="N15" s="96" t="s">
        <v>38</v>
      </c>
      <c r="O15" s="96" t="s">
        <v>38</v>
      </c>
      <c r="P15" s="96" t="s">
        <v>38</v>
      </c>
      <c r="Q15" s="96" t="s">
        <v>38</v>
      </c>
      <c r="R15" s="96" t="s">
        <v>38</v>
      </c>
      <c r="S15" s="96" t="s">
        <v>38</v>
      </c>
      <c r="T15" s="96" t="s">
        <v>38</v>
      </c>
      <c r="U15" s="96" t="s">
        <v>38</v>
      </c>
      <c r="V15" s="96" t="s">
        <v>38</v>
      </c>
      <c r="W15" s="96" t="s">
        <v>38</v>
      </c>
      <c r="X15" s="96" t="s">
        <v>38</v>
      </c>
      <c r="Y15" s="96" t="s">
        <v>38</v>
      </c>
      <c r="Z15" s="96">
        <v>245</v>
      </c>
      <c r="AA15" s="96" t="s">
        <v>38</v>
      </c>
      <c r="AB15" s="96" t="s">
        <v>38</v>
      </c>
      <c r="AC15" s="96" t="s">
        <v>38</v>
      </c>
      <c r="AD15" s="96">
        <v>607</v>
      </c>
      <c r="AE15" s="96">
        <v>748</v>
      </c>
      <c r="AF15" s="96">
        <v>1377</v>
      </c>
      <c r="AG15" s="96">
        <v>850</v>
      </c>
      <c r="AH15" s="96">
        <v>1068</v>
      </c>
      <c r="AI15" s="96" t="s">
        <v>38</v>
      </c>
      <c r="AJ15" s="96" t="s">
        <v>38</v>
      </c>
      <c r="AK15" s="96">
        <v>765</v>
      </c>
      <c r="AL15" s="96">
        <v>848</v>
      </c>
      <c r="AM15" s="96" t="s">
        <v>38</v>
      </c>
      <c r="AN15" s="96">
        <v>1</v>
      </c>
      <c r="AO15" s="96">
        <v>672</v>
      </c>
      <c r="AP15" s="96" t="s">
        <v>38</v>
      </c>
      <c r="AQ15" s="96" t="s">
        <v>38</v>
      </c>
      <c r="AR15" s="96">
        <v>369</v>
      </c>
      <c r="AS15" s="96" t="s">
        <v>38</v>
      </c>
      <c r="AT15" s="96" t="s">
        <v>38</v>
      </c>
      <c r="AU15" s="96" t="s">
        <v>38</v>
      </c>
      <c r="AV15" s="96" t="s">
        <v>38</v>
      </c>
      <c r="AW15" s="96" t="s">
        <v>38</v>
      </c>
      <c r="AX15" s="96" t="s">
        <v>38</v>
      </c>
      <c r="AY15" s="96" t="s">
        <v>38</v>
      </c>
      <c r="AZ15" s="96" t="s">
        <v>38</v>
      </c>
      <c r="BA15" s="96" t="s">
        <v>38</v>
      </c>
      <c r="BB15" s="96" t="s">
        <v>38</v>
      </c>
      <c r="BC15" s="96" t="s">
        <v>38</v>
      </c>
      <c r="BD15" s="96" t="s">
        <v>38</v>
      </c>
      <c r="BE15" s="96" t="s">
        <v>38</v>
      </c>
      <c r="BF15" s="96" t="s">
        <v>38</v>
      </c>
      <c r="BG15" s="96" t="s">
        <v>38</v>
      </c>
      <c r="BH15" s="96" t="s">
        <v>38</v>
      </c>
      <c r="BI15" s="94" t="s">
        <v>38</v>
      </c>
      <c r="BJ15" s="94" t="s">
        <v>38</v>
      </c>
      <c r="BK15" s="94" t="s">
        <v>38</v>
      </c>
      <c r="BL15" s="94" t="s">
        <v>38</v>
      </c>
      <c r="BM15" s="94" t="s">
        <v>38</v>
      </c>
      <c r="BN15" s="94" t="s">
        <v>38</v>
      </c>
      <c r="BO15" s="94">
        <v>254</v>
      </c>
      <c r="BP15" s="94" t="s">
        <v>38</v>
      </c>
      <c r="BQ15" s="94" t="s">
        <v>38</v>
      </c>
      <c r="BR15" s="94" t="s">
        <v>38</v>
      </c>
      <c r="BS15" s="94" t="s">
        <v>38</v>
      </c>
      <c r="BT15" s="94" t="s">
        <v>38</v>
      </c>
      <c r="BU15" s="94" t="s">
        <v>38</v>
      </c>
      <c r="BV15" s="94" t="s">
        <v>38</v>
      </c>
      <c r="BW15" s="94" t="s">
        <v>38</v>
      </c>
      <c r="BX15" s="94" t="s">
        <v>38</v>
      </c>
      <c r="BY15" s="94" t="s">
        <v>38</v>
      </c>
      <c r="BZ15" s="94" t="s">
        <v>38</v>
      </c>
      <c r="CA15" s="94" t="s">
        <v>38</v>
      </c>
      <c r="CB15" s="94" t="s">
        <v>38</v>
      </c>
      <c r="CC15" s="94" t="s">
        <v>38</v>
      </c>
      <c r="CD15" s="94">
        <v>544</v>
      </c>
      <c r="CE15" s="94" t="s">
        <v>38</v>
      </c>
      <c r="CF15" s="94">
        <v>442</v>
      </c>
      <c r="CG15" s="94" t="s">
        <v>38</v>
      </c>
      <c r="CH15" s="94">
        <v>71</v>
      </c>
      <c r="CI15" s="94" t="s">
        <v>38</v>
      </c>
      <c r="CJ15" s="94" t="s">
        <v>38</v>
      </c>
      <c r="CK15" s="94" t="s">
        <v>38</v>
      </c>
      <c r="CL15" s="94">
        <v>865</v>
      </c>
      <c r="CM15" s="94" t="s">
        <v>38</v>
      </c>
      <c r="CN15" s="94" t="s">
        <v>38</v>
      </c>
      <c r="CO15" s="94">
        <v>179</v>
      </c>
      <c r="CP15" s="94" t="s">
        <v>38</v>
      </c>
      <c r="CQ15" s="94" t="s">
        <v>38</v>
      </c>
      <c r="CR15" s="94" t="s">
        <v>38</v>
      </c>
      <c r="CS15" s="94" t="s">
        <v>38</v>
      </c>
      <c r="CV15" s="94" t="s">
        <v>38</v>
      </c>
      <c r="CW15" s="94" t="s">
        <v>38</v>
      </c>
      <c r="CX15" s="94" t="s">
        <v>38</v>
      </c>
      <c r="CY15" s="94" t="s">
        <v>38</v>
      </c>
      <c r="CZ15" s="94" t="s">
        <v>38</v>
      </c>
      <c r="DA15" s="94" t="s">
        <v>38</v>
      </c>
      <c r="DB15" s="94" t="s">
        <v>38</v>
      </c>
      <c r="DC15" s="94" t="s">
        <v>38</v>
      </c>
      <c r="DD15" s="94" t="s">
        <v>38</v>
      </c>
      <c r="DE15" s="94" t="s">
        <v>38</v>
      </c>
      <c r="DF15" s="94" t="s">
        <v>38</v>
      </c>
      <c r="DG15" s="94" t="s">
        <v>38</v>
      </c>
      <c r="DH15" s="94" t="s">
        <v>38</v>
      </c>
      <c r="DI15" s="94" t="s">
        <v>38</v>
      </c>
      <c r="DJ15" s="94" t="s">
        <v>38</v>
      </c>
      <c r="DK15" s="94" t="s">
        <v>38</v>
      </c>
      <c r="DL15" s="94" t="s">
        <v>38</v>
      </c>
      <c r="DM15" s="94" t="s">
        <v>38</v>
      </c>
      <c r="DN15" s="94" t="s">
        <v>38</v>
      </c>
      <c r="DO15" s="94" t="s">
        <v>38</v>
      </c>
      <c r="DX15" s="94">
        <v>204</v>
      </c>
      <c r="DY15" s="94">
        <v>41</v>
      </c>
      <c r="DZ15" s="94">
        <v>237</v>
      </c>
      <c r="EA15" s="94">
        <v>1005</v>
      </c>
      <c r="EB15" s="94">
        <v>1503</v>
      </c>
      <c r="EC15" s="94">
        <v>1064</v>
      </c>
      <c r="ED15" s="94" t="s">
        <v>38</v>
      </c>
      <c r="EH15" s="94">
        <v>398</v>
      </c>
      <c r="EI15" s="94">
        <v>488</v>
      </c>
      <c r="EL15" s="94">
        <v>461</v>
      </c>
      <c r="EM15" s="94">
        <v>100</v>
      </c>
      <c r="EN15" s="94" t="s">
        <v>38</v>
      </c>
      <c r="EO15" s="94">
        <v>306</v>
      </c>
      <c r="EP15" s="94">
        <v>312</v>
      </c>
      <c r="EQ15" s="94">
        <v>532</v>
      </c>
      <c r="ER15" s="94">
        <v>753</v>
      </c>
      <c r="EU15" s="94">
        <v>623</v>
      </c>
      <c r="EV15" s="94">
        <v>944</v>
      </c>
      <c r="EW15" s="94">
        <v>1262</v>
      </c>
      <c r="EZ15" s="94">
        <v>871</v>
      </c>
      <c r="FA15" s="94">
        <v>778</v>
      </c>
      <c r="FB15" s="94">
        <v>1067</v>
      </c>
      <c r="FC15" s="94">
        <v>2364</v>
      </c>
      <c r="FD15" s="94">
        <v>741</v>
      </c>
      <c r="FE15" s="94">
        <v>10906</v>
      </c>
      <c r="FF15" s="94">
        <v>3215</v>
      </c>
      <c r="FG15" s="94">
        <v>294</v>
      </c>
      <c r="FH15" s="94" t="s">
        <v>38</v>
      </c>
      <c r="FI15" s="94">
        <v>1339</v>
      </c>
      <c r="FJ15" s="94">
        <v>337</v>
      </c>
      <c r="FK15" s="94">
        <v>76</v>
      </c>
      <c r="FL15" s="94" t="s">
        <v>38</v>
      </c>
      <c r="FM15" s="94">
        <v>963</v>
      </c>
      <c r="FN15" s="94">
        <v>488</v>
      </c>
      <c r="FO15" s="94" t="s">
        <v>38</v>
      </c>
      <c r="FP15" s="94" t="s">
        <v>38</v>
      </c>
      <c r="FQ15" s="94">
        <v>461</v>
      </c>
      <c r="FR15" s="94">
        <v>100</v>
      </c>
      <c r="FS15" s="94" t="s">
        <v>38</v>
      </c>
      <c r="FT15" s="94">
        <v>306</v>
      </c>
      <c r="GM15" s="94">
        <v>41</v>
      </c>
      <c r="GS15" s="94">
        <v>1458</v>
      </c>
      <c r="GT15" s="94">
        <v>732</v>
      </c>
      <c r="GU15" s="94">
        <v>510</v>
      </c>
      <c r="GV15" s="94" t="s">
        <v>38</v>
      </c>
      <c r="GW15" s="94">
        <v>1866</v>
      </c>
      <c r="GX15" s="94">
        <v>1425</v>
      </c>
      <c r="GY15" s="94">
        <v>704</v>
      </c>
      <c r="GZ15" s="94">
        <v>236</v>
      </c>
      <c r="HA15" s="94">
        <v>229</v>
      </c>
      <c r="HB15" s="94">
        <v>377</v>
      </c>
      <c r="HD15" s="94">
        <v>430</v>
      </c>
      <c r="HE15" s="94">
        <v>612</v>
      </c>
      <c r="HF15" s="94" t="s">
        <v>38</v>
      </c>
      <c r="HG15" s="94">
        <v>949</v>
      </c>
      <c r="HH15" s="94">
        <v>425</v>
      </c>
      <c r="HI15" s="94">
        <v>1066</v>
      </c>
      <c r="HK15" s="94">
        <v>377</v>
      </c>
      <c r="HL15" s="94" t="s">
        <v>38</v>
      </c>
      <c r="HM15" s="94">
        <v>726</v>
      </c>
      <c r="HN15" s="94">
        <v>254</v>
      </c>
      <c r="HO15" s="94">
        <v>496</v>
      </c>
      <c r="HZ15" s="94">
        <v>241</v>
      </c>
      <c r="IA15" s="94">
        <v>884</v>
      </c>
      <c r="IB15" s="94">
        <v>1260</v>
      </c>
      <c r="IC15" s="94">
        <v>1343</v>
      </c>
      <c r="IG15" s="94">
        <v>1060</v>
      </c>
      <c r="IH15" s="94">
        <v>1698</v>
      </c>
      <c r="II15" s="94">
        <v>1365</v>
      </c>
      <c r="IJ15" s="94" t="s">
        <v>38</v>
      </c>
      <c r="IK15" s="94">
        <v>1539</v>
      </c>
      <c r="IM15" s="94">
        <v>1057</v>
      </c>
      <c r="IN15" s="94">
        <v>590</v>
      </c>
      <c r="IO15" s="94">
        <v>19</v>
      </c>
      <c r="IP15" s="94" t="s">
        <v>38</v>
      </c>
      <c r="IQ15" s="94">
        <v>65</v>
      </c>
      <c r="IR15" s="94" t="s">
        <v>38</v>
      </c>
      <c r="IS15" s="94">
        <v>252</v>
      </c>
      <c r="IT15" s="94">
        <v>212</v>
      </c>
      <c r="IU15" s="94">
        <v>137</v>
      </c>
      <c r="JD15" s="94">
        <v>220</v>
      </c>
      <c r="JE15" s="94">
        <v>1477</v>
      </c>
      <c r="JF15" s="94">
        <v>1021</v>
      </c>
      <c r="JH15" s="94">
        <v>3477</v>
      </c>
      <c r="JI15" s="94">
        <v>1645</v>
      </c>
      <c r="JJ15" s="94">
        <v>458</v>
      </c>
      <c r="JK15" s="94">
        <v>1288</v>
      </c>
      <c r="JL15" s="94">
        <v>838</v>
      </c>
      <c r="JM15" s="94">
        <v>598</v>
      </c>
      <c r="JO15" s="94" t="s">
        <v>38</v>
      </c>
      <c r="JP15" s="94" t="s">
        <v>38</v>
      </c>
      <c r="JQ15" s="94">
        <v>4123</v>
      </c>
      <c r="JR15" s="94" t="s">
        <v>38</v>
      </c>
      <c r="JS15" s="94">
        <v>29</v>
      </c>
      <c r="JT15" s="94" t="s">
        <v>38</v>
      </c>
      <c r="JU15" s="94" t="s">
        <v>38</v>
      </c>
      <c r="KH15" s="94">
        <v>2</v>
      </c>
      <c r="KI15" s="94">
        <v>46</v>
      </c>
      <c r="KK15" s="94">
        <v>6759</v>
      </c>
      <c r="KL15" s="94">
        <v>751</v>
      </c>
      <c r="KM15" s="94">
        <v>888</v>
      </c>
      <c r="KN15" s="94">
        <v>1549</v>
      </c>
      <c r="KO15" s="94">
        <v>1169</v>
      </c>
      <c r="KQ15" s="94">
        <v>1524</v>
      </c>
      <c r="KR15" s="94">
        <v>1135</v>
      </c>
      <c r="KS15" s="94">
        <v>541</v>
      </c>
      <c r="KT15" s="94">
        <v>218</v>
      </c>
      <c r="KU15" s="94">
        <v>306</v>
      </c>
      <c r="KV15" s="94">
        <v>247</v>
      </c>
      <c r="KW15" s="94" t="s">
        <v>38</v>
      </c>
      <c r="KZ15" s="94">
        <v>371</v>
      </c>
      <c r="LF15" s="94">
        <v>85</v>
      </c>
      <c r="LG15" s="94">
        <v>552</v>
      </c>
      <c r="LH15" s="94">
        <v>399</v>
      </c>
      <c r="LI15" s="94" t="s">
        <v>38</v>
      </c>
      <c r="LJ15" s="94">
        <v>629</v>
      </c>
      <c r="LK15" s="94">
        <v>738</v>
      </c>
      <c r="LL15" s="94">
        <v>801</v>
      </c>
      <c r="LM15" s="94" t="s">
        <v>38</v>
      </c>
      <c r="LN15" s="94">
        <v>1293</v>
      </c>
      <c r="LO15" s="94">
        <v>1060</v>
      </c>
      <c r="LP15" s="94">
        <v>772</v>
      </c>
      <c r="LQ15" s="94">
        <v>1225</v>
      </c>
      <c r="LR15" s="94">
        <v>410</v>
      </c>
      <c r="LS15" s="94">
        <v>1139</v>
      </c>
      <c r="LT15" s="94">
        <v>899</v>
      </c>
      <c r="LU15" s="94">
        <v>1523</v>
      </c>
      <c r="LV15" s="94">
        <v>810</v>
      </c>
      <c r="MN15" s="94">
        <v>297</v>
      </c>
      <c r="QQ15" s="94">
        <v>460</v>
      </c>
      <c r="RU15" s="94">
        <v>145</v>
      </c>
      <c r="RV15" s="94">
        <v>145</v>
      </c>
      <c r="RX15" s="94">
        <v>389</v>
      </c>
      <c r="SB15" s="94">
        <v>17</v>
      </c>
      <c r="SV15" s="94">
        <v>439</v>
      </c>
      <c r="SW15" s="94">
        <v>75</v>
      </c>
      <c r="TZ15" s="94">
        <v>6</v>
      </c>
      <c r="UQ15" s="94">
        <v>249</v>
      </c>
      <c r="US15" s="94">
        <v>126</v>
      </c>
      <c r="UX15" s="94">
        <v>861</v>
      </c>
      <c r="UY15" s="94">
        <v>174</v>
      </c>
      <c r="UZ15" s="94">
        <v>136</v>
      </c>
      <c r="VA15" s="94">
        <v>2012</v>
      </c>
      <c r="VD15" s="94">
        <v>55</v>
      </c>
      <c r="VE15" s="94">
        <v>93</v>
      </c>
      <c r="VF15" s="94">
        <v>499</v>
      </c>
      <c r="VG15" s="94">
        <v>102</v>
      </c>
      <c r="VH15" s="94">
        <v>1849</v>
      </c>
      <c r="VI15" s="94">
        <v>219</v>
      </c>
      <c r="VK15" s="94">
        <v>1</v>
      </c>
      <c r="VM15" s="94">
        <v>8</v>
      </c>
      <c r="VN15" s="94">
        <v>1</v>
      </c>
      <c r="VO15" s="94">
        <v>326</v>
      </c>
      <c r="VP15" s="94">
        <v>333</v>
      </c>
      <c r="VT15" s="94">
        <v>51</v>
      </c>
      <c r="VW15" s="94">
        <v>79</v>
      </c>
      <c r="VZ15" s="94">
        <v>17</v>
      </c>
      <c r="WD15" s="94">
        <v>204</v>
      </c>
      <c r="WG15" s="94">
        <v>157</v>
      </c>
      <c r="WJ15" s="94">
        <v>27</v>
      </c>
      <c r="WP15" s="94">
        <v>76</v>
      </c>
      <c r="WT15" s="94">
        <v>13</v>
      </c>
      <c r="WU15" s="94">
        <v>229</v>
      </c>
      <c r="WW15" s="94">
        <v>394</v>
      </c>
      <c r="XA15" s="94">
        <v>97</v>
      </c>
      <c r="XH15" s="94">
        <v>105</v>
      </c>
      <c r="XI15" s="94" t="s">
        <v>38</v>
      </c>
      <c r="XJ15" s="94">
        <v>165</v>
      </c>
      <c r="XK15" s="94" t="s">
        <v>38</v>
      </c>
      <c r="XL15" s="94" t="s">
        <v>38</v>
      </c>
      <c r="XM15" s="94" t="s">
        <v>38</v>
      </c>
      <c r="XN15" s="94" t="s">
        <v>38</v>
      </c>
      <c r="XO15" s="94">
        <v>29</v>
      </c>
      <c r="XP15" s="94" t="s">
        <v>38</v>
      </c>
      <c r="XQ15" s="94">
        <v>1</v>
      </c>
      <c r="XR15" s="94" t="s">
        <v>38</v>
      </c>
      <c r="XS15" s="94">
        <v>76</v>
      </c>
      <c r="XT15" s="94">
        <v>208</v>
      </c>
      <c r="XU15" s="94" t="s">
        <v>38</v>
      </c>
      <c r="XV15" s="94" t="s">
        <v>38</v>
      </c>
      <c r="XW15" s="94" t="s">
        <v>38</v>
      </c>
      <c r="XX15" s="94" t="s">
        <v>38</v>
      </c>
      <c r="XY15" s="94">
        <v>85</v>
      </c>
      <c r="YC15" s="94" t="s">
        <v>38</v>
      </c>
      <c r="YD15" s="94">
        <v>166</v>
      </c>
      <c r="YE15" s="94">
        <v>489</v>
      </c>
      <c r="YF15" s="94" t="s">
        <v>38</v>
      </c>
      <c r="YG15" s="94" t="s">
        <v>38</v>
      </c>
      <c r="YH15" s="94" t="s">
        <v>38</v>
      </c>
      <c r="YI15" s="94" t="s">
        <v>38</v>
      </c>
      <c r="YJ15" s="94">
        <v>216</v>
      </c>
      <c r="YL15" s="94">
        <v>88</v>
      </c>
      <c r="YM15" s="94" t="s">
        <v>38</v>
      </c>
      <c r="YN15" s="94">
        <v>4</v>
      </c>
      <c r="YQ15" s="94" t="s">
        <v>38</v>
      </c>
      <c r="YR15" s="94">
        <v>80</v>
      </c>
      <c r="YS15" s="94" t="s">
        <v>38</v>
      </c>
      <c r="YT15" s="94">
        <v>12</v>
      </c>
      <c r="YU15" s="94">
        <v>69</v>
      </c>
      <c r="YV15" s="94" t="s">
        <v>38</v>
      </c>
      <c r="YW15" s="94" t="s">
        <v>38</v>
      </c>
      <c r="YX15" s="94" t="s">
        <v>38</v>
      </c>
      <c r="ZE15" s="94">
        <v>80</v>
      </c>
      <c r="ZF15" s="94">
        <v>80</v>
      </c>
      <c r="ZG15" s="94" t="s">
        <v>152</v>
      </c>
      <c r="ZH15" s="94">
        <v>332</v>
      </c>
      <c r="ZI15" s="94">
        <v>102</v>
      </c>
      <c r="ZJ15" s="94">
        <v>198</v>
      </c>
      <c r="ZK15" s="94">
        <v>0</v>
      </c>
      <c r="ZL15" s="94">
        <v>0</v>
      </c>
      <c r="ZM15" s="94">
        <v>0</v>
      </c>
      <c r="ZN15" s="94">
        <v>0</v>
      </c>
      <c r="ZO15" s="94">
        <v>0</v>
      </c>
      <c r="ZP15" s="94">
        <v>0</v>
      </c>
      <c r="ZQ15" s="94">
        <v>120</v>
      </c>
      <c r="ZR15" s="94">
        <v>95</v>
      </c>
      <c r="ZS15" s="96">
        <v>0</v>
      </c>
      <c r="ZT15" s="96">
        <v>1</v>
      </c>
      <c r="ZU15" s="96">
        <v>0</v>
      </c>
      <c r="ZV15" s="96">
        <v>127</v>
      </c>
      <c r="ZW15" s="96" t="s">
        <v>38</v>
      </c>
      <c r="ZX15" s="96">
        <v>21</v>
      </c>
      <c r="ZY15" s="96" t="s">
        <v>38</v>
      </c>
      <c r="ZZ15" s="96">
        <v>80</v>
      </c>
      <c r="AAA15" s="96" t="s">
        <v>38</v>
      </c>
      <c r="AAB15" s="96" t="s">
        <v>38</v>
      </c>
      <c r="AAC15" s="96">
        <v>182</v>
      </c>
      <c r="AAD15" s="96" t="s">
        <v>152</v>
      </c>
      <c r="AAE15" s="96" t="s">
        <v>152</v>
      </c>
      <c r="AAF15" s="96" t="s">
        <v>152</v>
      </c>
      <c r="AAG15" s="96" t="s">
        <v>152</v>
      </c>
      <c r="AAH15" s="96" t="s">
        <v>152</v>
      </c>
      <c r="AAI15" s="96" t="s">
        <v>152</v>
      </c>
      <c r="AAJ15" s="94">
        <v>74</v>
      </c>
      <c r="AAK15" s="94" t="s">
        <v>152</v>
      </c>
      <c r="AAL15" s="94">
        <v>73</v>
      </c>
      <c r="AAM15" s="94" t="s">
        <v>152</v>
      </c>
      <c r="AAN15" s="94" t="s">
        <v>152</v>
      </c>
      <c r="AAO15" s="94">
        <v>289</v>
      </c>
      <c r="AAP15" s="94">
        <v>137</v>
      </c>
      <c r="AAQ15" s="94" t="s">
        <v>164</v>
      </c>
      <c r="AAW15" s="94">
        <v>182</v>
      </c>
      <c r="AAX15" s="94" t="s">
        <v>152</v>
      </c>
      <c r="AAY15" s="93" t="s">
        <v>152</v>
      </c>
      <c r="AAZ15" s="94" t="s">
        <v>152</v>
      </c>
      <c r="ABA15" s="94" t="s">
        <v>152</v>
      </c>
      <c r="ABB15" s="94">
        <v>90</v>
      </c>
      <c r="ABC15" s="94" t="s">
        <v>152</v>
      </c>
      <c r="ABD15" s="94" t="s">
        <v>152</v>
      </c>
      <c r="ABE15" s="126"/>
      <c r="ABF15" s="94">
        <v>101</v>
      </c>
      <c r="ABG15" s="94">
        <v>71</v>
      </c>
      <c r="ABH15" s="94" t="s">
        <v>38</v>
      </c>
      <c r="ABI15" s="94" t="s">
        <v>38</v>
      </c>
      <c r="ABJ15" s="94" t="s">
        <v>38</v>
      </c>
      <c r="ABK15" s="94" t="s">
        <v>38</v>
      </c>
      <c r="ABL15" s="94">
        <v>50</v>
      </c>
      <c r="ABP15" s="94" t="s">
        <v>38</v>
      </c>
      <c r="ABQ15" s="94" t="s">
        <v>38</v>
      </c>
      <c r="ABR15" s="94" t="s">
        <v>38</v>
      </c>
      <c r="ABS15" s="94">
        <v>156</v>
      </c>
      <c r="ABT15" s="94">
        <v>214</v>
      </c>
      <c r="ABU15" s="94">
        <v>72</v>
      </c>
      <c r="ABV15" s="94">
        <v>0</v>
      </c>
      <c r="ABW15" s="94">
        <v>0</v>
      </c>
      <c r="ABX15" s="94">
        <v>0</v>
      </c>
      <c r="ABY15" s="94">
        <v>0</v>
      </c>
      <c r="ABZ15" s="94">
        <v>0</v>
      </c>
      <c r="ACB15" s="94">
        <v>84</v>
      </c>
      <c r="ACC15" s="94">
        <v>0</v>
      </c>
      <c r="ACD15" s="94">
        <v>79</v>
      </c>
      <c r="ACE15" s="94">
        <v>110</v>
      </c>
      <c r="ACF15" s="94">
        <v>15</v>
      </c>
      <c r="ACG15" s="94">
        <v>104</v>
      </c>
      <c r="ACH15" s="94">
        <v>24</v>
      </c>
      <c r="ACI15" s="94">
        <v>0</v>
      </c>
      <c r="ACK15" s="94">
        <v>1</v>
      </c>
      <c r="ACL15" s="94">
        <v>0</v>
      </c>
      <c r="ACM15" s="94">
        <v>0</v>
      </c>
      <c r="ACN15" s="94">
        <v>191</v>
      </c>
      <c r="ACO15" s="94">
        <v>0</v>
      </c>
      <c r="ACP15" s="94">
        <v>0</v>
      </c>
      <c r="ACQ15" s="94">
        <v>0</v>
      </c>
      <c r="ACR15" s="94">
        <v>0</v>
      </c>
      <c r="ACS15" s="94">
        <v>0</v>
      </c>
      <c r="ACT15" s="94">
        <v>0</v>
      </c>
      <c r="ACU15" s="94">
        <v>92</v>
      </c>
      <c r="ACV15" s="94">
        <v>0</v>
      </c>
      <c r="ACW15" s="94">
        <v>261</v>
      </c>
      <c r="ACX15" s="94">
        <v>281</v>
      </c>
      <c r="ACY15" s="94">
        <v>0</v>
      </c>
      <c r="ACZ15" s="94">
        <v>0</v>
      </c>
      <c r="ADA15" s="94">
        <v>308</v>
      </c>
      <c r="ADB15" s="94">
        <v>0</v>
      </c>
      <c r="ADC15" s="94">
        <v>0</v>
      </c>
      <c r="ADD15" s="94">
        <v>0</v>
      </c>
      <c r="ADE15" s="94">
        <v>0</v>
      </c>
      <c r="ADF15" s="94">
        <v>0</v>
      </c>
      <c r="ADG15" s="94">
        <v>0</v>
      </c>
      <c r="ADH15" s="94">
        <v>60</v>
      </c>
      <c r="ADI15" s="94" t="s">
        <v>38</v>
      </c>
      <c r="ADJ15" s="94" t="s">
        <v>38</v>
      </c>
      <c r="ADK15" s="94" t="s">
        <v>38</v>
      </c>
      <c r="ADL15" s="94" t="s">
        <v>38</v>
      </c>
      <c r="ADM15" s="94" t="s">
        <v>38</v>
      </c>
      <c r="ADN15" s="94" t="s">
        <v>38</v>
      </c>
      <c r="ADO15" s="94">
        <v>3</v>
      </c>
      <c r="ADP15" s="94" t="s">
        <v>38</v>
      </c>
      <c r="ADQ15" s="94" t="s">
        <v>38</v>
      </c>
      <c r="ADR15" s="94" t="s">
        <v>38</v>
      </c>
      <c r="ADS15" s="94" t="s">
        <v>38</v>
      </c>
      <c r="ADT15" s="94" t="s">
        <v>38</v>
      </c>
      <c r="ADU15" s="94" t="s">
        <v>38</v>
      </c>
      <c r="ADW15" s="94">
        <v>0</v>
      </c>
      <c r="ADX15" s="94">
        <v>0</v>
      </c>
      <c r="ADY15" s="94">
        <v>0</v>
      </c>
      <c r="ADZ15" s="94">
        <v>0</v>
      </c>
      <c r="AEA15" s="94">
        <v>0</v>
      </c>
      <c r="AEB15" s="94">
        <v>44</v>
      </c>
      <c r="AEC15" s="94">
        <v>2</v>
      </c>
      <c r="AED15" s="94">
        <v>158</v>
      </c>
      <c r="AEE15" s="94">
        <v>0</v>
      </c>
      <c r="AEF15" s="94">
        <v>0</v>
      </c>
      <c r="AEG15" s="94">
        <v>0</v>
      </c>
      <c r="AEH15" s="94">
        <v>0</v>
      </c>
      <c r="AEI15" s="94">
        <v>2</v>
      </c>
      <c r="AEJ15" s="94">
        <v>0</v>
      </c>
      <c r="AEK15" s="94">
        <v>0</v>
      </c>
      <c r="AEL15" s="94">
        <v>0</v>
      </c>
      <c r="AEM15" s="94">
        <v>0</v>
      </c>
      <c r="AEN15" s="94">
        <v>0</v>
      </c>
      <c r="AEO15" s="94">
        <v>0</v>
      </c>
      <c r="AEP15" s="94">
        <v>15</v>
      </c>
      <c r="AEQ15" s="94">
        <v>0</v>
      </c>
      <c r="AER15" s="94">
        <v>0</v>
      </c>
      <c r="AES15" s="94">
        <v>0</v>
      </c>
      <c r="AET15" s="94">
        <v>0</v>
      </c>
      <c r="AEU15" s="94">
        <v>0</v>
      </c>
      <c r="AEV15" s="94">
        <v>0</v>
      </c>
      <c r="AEW15" s="94">
        <v>193</v>
      </c>
      <c r="AEX15" s="94">
        <v>1</v>
      </c>
      <c r="AEY15" s="94">
        <v>115</v>
      </c>
      <c r="AEZ15" s="94">
        <v>0</v>
      </c>
      <c r="AFA15" s="94">
        <v>57</v>
      </c>
      <c r="AFB15" s="94">
        <v>0</v>
      </c>
      <c r="AFC15" s="94">
        <v>95</v>
      </c>
      <c r="AFD15" s="94">
        <v>0</v>
      </c>
      <c r="AFE15" s="94">
        <v>0</v>
      </c>
      <c r="AFF15" s="94">
        <v>1190</v>
      </c>
      <c r="AFG15" s="94">
        <v>0</v>
      </c>
      <c r="AFH15" s="94">
        <v>0</v>
      </c>
      <c r="AFI15" s="94">
        <v>0</v>
      </c>
      <c r="AFJ15" s="94">
        <v>0</v>
      </c>
      <c r="AFK15" s="94">
        <v>161</v>
      </c>
      <c r="AFL15" s="94">
        <v>0</v>
      </c>
      <c r="AFM15" s="94">
        <v>0</v>
      </c>
      <c r="AFN15" s="94">
        <v>0</v>
      </c>
      <c r="AFO15" s="94">
        <v>0</v>
      </c>
      <c r="AFP15" s="94">
        <v>0</v>
      </c>
      <c r="AFQ15" s="94">
        <v>0</v>
      </c>
      <c r="AFR15" s="94">
        <v>0</v>
      </c>
      <c r="AFS15" s="94">
        <v>0</v>
      </c>
      <c r="AFT15" s="94">
        <v>12</v>
      </c>
      <c r="AFU15" s="94">
        <v>0</v>
      </c>
      <c r="AFV15" s="94">
        <v>0</v>
      </c>
      <c r="AFW15" s="94">
        <v>0</v>
      </c>
      <c r="AFX15" s="94">
        <v>0</v>
      </c>
      <c r="AFY15" s="94">
        <v>0</v>
      </c>
      <c r="AFZ15" s="94">
        <v>0</v>
      </c>
      <c r="AGU15" s="94">
        <v>62</v>
      </c>
      <c r="AGX15" s="94">
        <v>24</v>
      </c>
      <c r="AHB15" s="94">
        <v>25</v>
      </c>
      <c r="AHK15" s="94">
        <v>32</v>
      </c>
      <c r="AHO15" s="94">
        <v>9</v>
      </c>
      <c r="AHZ15" s="94">
        <v>10</v>
      </c>
    </row>
    <row r="16" spans="1:976">
      <c r="A16">
        <v>5</v>
      </c>
      <c r="B16" t="s">
        <v>171</v>
      </c>
      <c r="C16" s="1">
        <v>82660</v>
      </c>
      <c r="D16" s="2" t="s">
        <v>147</v>
      </c>
      <c r="E16" s="2" t="s">
        <v>167</v>
      </c>
      <c r="F16" s="1" t="s">
        <v>97</v>
      </c>
      <c r="G16" s="1" t="s">
        <v>33</v>
      </c>
      <c r="H16" s="1" t="s">
        <v>167</v>
      </c>
      <c r="I16" s="1" t="s">
        <v>162</v>
      </c>
      <c r="J16" s="1" t="s">
        <v>46</v>
      </c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ZS16" s="23"/>
      <c r="ZT16" s="23"/>
      <c r="ZU16" s="23"/>
      <c r="ZV16" s="23"/>
      <c r="ZW16" s="23"/>
      <c r="ZX16" s="23"/>
      <c r="ZY16" s="23"/>
      <c r="ZZ16" s="23"/>
      <c r="AAA16" s="23"/>
      <c r="AAB16" s="23"/>
      <c r="AAC16" s="23"/>
      <c r="AAD16" s="23"/>
      <c r="AAE16" s="23"/>
      <c r="AAF16" s="23"/>
      <c r="AAG16" s="23"/>
      <c r="AAH16" s="23"/>
      <c r="AAI16" s="23"/>
    </row>
    <row r="17" spans="1:968">
      <c r="A17">
        <v>6</v>
      </c>
      <c r="B17" t="s">
        <v>172</v>
      </c>
      <c r="C17" s="1">
        <v>82660</v>
      </c>
      <c r="D17" s="2" t="s">
        <v>147</v>
      </c>
      <c r="E17" s="1" t="s">
        <v>167</v>
      </c>
      <c r="F17" s="1" t="s">
        <v>97</v>
      </c>
      <c r="G17" s="1" t="s">
        <v>12</v>
      </c>
      <c r="H17" s="1" t="s">
        <v>167</v>
      </c>
      <c r="I17" s="1" t="s">
        <v>162</v>
      </c>
      <c r="J17" s="1" t="s">
        <v>46</v>
      </c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ZS17" s="23"/>
      <c r="ZT17" s="23"/>
      <c r="ZU17" s="23"/>
      <c r="ZV17" s="23"/>
      <c r="ZW17" s="23"/>
      <c r="ZX17" s="23"/>
      <c r="ZY17" s="23"/>
      <c r="ZZ17" s="23"/>
      <c r="AAA17" s="23"/>
      <c r="AAB17" s="23"/>
      <c r="AAC17" s="23"/>
      <c r="AAD17" s="23"/>
      <c r="AAE17" s="23"/>
      <c r="AAF17" s="23"/>
      <c r="AAG17" s="23"/>
      <c r="AAH17" s="23"/>
      <c r="AAI17" s="23"/>
    </row>
    <row r="18" spans="1:968" s="90" customFormat="1">
      <c r="A18" s="88">
        <v>7</v>
      </c>
      <c r="B18" s="90" t="s">
        <v>173</v>
      </c>
      <c r="C18" s="89">
        <v>82660</v>
      </c>
      <c r="D18" s="89" t="s">
        <v>147</v>
      </c>
      <c r="E18" s="89" t="s">
        <v>174</v>
      </c>
      <c r="F18" s="89" t="s">
        <v>11</v>
      </c>
      <c r="G18" s="89" t="s">
        <v>33</v>
      </c>
      <c r="H18" s="89" t="s">
        <v>175</v>
      </c>
      <c r="I18" s="89" t="s">
        <v>151</v>
      </c>
      <c r="J18" s="89" t="s">
        <v>46</v>
      </c>
      <c r="K18" s="91">
        <v>3</v>
      </c>
      <c r="L18" s="91" t="s">
        <v>38</v>
      </c>
      <c r="M18" s="91">
        <v>86</v>
      </c>
      <c r="N18" s="91" t="s">
        <v>38</v>
      </c>
      <c r="O18" s="91" t="s">
        <v>38</v>
      </c>
      <c r="P18" s="91">
        <v>787</v>
      </c>
      <c r="Q18" s="91">
        <v>96</v>
      </c>
      <c r="R18" s="91">
        <v>145</v>
      </c>
      <c r="S18" s="91">
        <v>278</v>
      </c>
      <c r="T18" s="91">
        <v>474</v>
      </c>
      <c r="U18" s="91" t="s">
        <v>38</v>
      </c>
      <c r="V18" s="91" t="s">
        <v>38</v>
      </c>
      <c r="W18" s="91">
        <v>386</v>
      </c>
      <c r="X18" s="91" t="s">
        <v>38</v>
      </c>
      <c r="Y18" s="91">
        <v>387</v>
      </c>
      <c r="Z18" s="91">
        <v>231</v>
      </c>
      <c r="AA18" s="91">
        <v>-148</v>
      </c>
      <c r="AB18" s="91" t="s">
        <v>38</v>
      </c>
      <c r="AC18" s="91" t="s">
        <v>38</v>
      </c>
      <c r="AD18" s="91">
        <v>628</v>
      </c>
      <c r="AE18" s="91">
        <v>238</v>
      </c>
      <c r="AF18" s="91">
        <v>107</v>
      </c>
      <c r="AG18" s="91">
        <v>108</v>
      </c>
      <c r="AH18" s="91">
        <v>417</v>
      </c>
      <c r="AI18" s="91" t="s">
        <v>38</v>
      </c>
      <c r="AJ18" s="91" t="s">
        <v>38</v>
      </c>
      <c r="AK18" s="91">
        <v>225</v>
      </c>
      <c r="AL18" s="91">
        <v>60</v>
      </c>
      <c r="AM18" s="91">
        <v>70</v>
      </c>
      <c r="AN18" s="91">
        <v>98</v>
      </c>
      <c r="AO18" s="91">
        <v>442</v>
      </c>
      <c r="AP18" s="91" t="s">
        <v>38</v>
      </c>
      <c r="AQ18" s="91" t="s">
        <v>38</v>
      </c>
      <c r="AR18" s="91" t="s">
        <v>38</v>
      </c>
      <c r="AS18" s="91" t="s">
        <v>38</v>
      </c>
      <c r="AT18" s="91">
        <v>745</v>
      </c>
      <c r="AU18" s="91">
        <v>386</v>
      </c>
      <c r="AV18" s="91">
        <v>775</v>
      </c>
      <c r="AW18" s="91" t="s">
        <v>38</v>
      </c>
      <c r="AX18" s="91" t="s">
        <v>38</v>
      </c>
      <c r="AY18" s="91" t="s">
        <v>38</v>
      </c>
      <c r="AZ18" s="91" t="s">
        <v>38</v>
      </c>
      <c r="BA18" s="91" t="s">
        <v>38</v>
      </c>
      <c r="BB18" s="91" t="s">
        <v>38</v>
      </c>
      <c r="BC18" s="91" t="s">
        <v>38</v>
      </c>
      <c r="BD18" s="91" t="s">
        <v>38</v>
      </c>
      <c r="BE18" s="91" t="s">
        <v>38</v>
      </c>
      <c r="BF18" s="91">
        <v>83</v>
      </c>
      <c r="BG18" s="91">
        <v>105</v>
      </c>
      <c r="BH18" s="91">
        <v>10</v>
      </c>
      <c r="BI18" s="90">
        <v>33</v>
      </c>
      <c r="BJ18" s="90">
        <v>-2</v>
      </c>
      <c r="BK18" s="90" t="s">
        <v>38</v>
      </c>
      <c r="BL18" s="90" t="s">
        <v>38</v>
      </c>
      <c r="BM18" s="90">
        <v>86</v>
      </c>
      <c r="BN18" s="90">
        <v>73</v>
      </c>
      <c r="BO18" s="90">
        <v>165</v>
      </c>
      <c r="BP18" s="90">
        <v>0</v>
      </c>
      <c r="BQ18" s="90">
        <v>0</v>
      </c>
      <c r="BR18" s="90" t="s">
        <v>38</v>
      </c>
      <c r="BS18" s="90" t="s">
        <v>38</v>
      </c>
      <c r="BT18" s="90" t="s">
        <v>38</v>
      </c>
      <c r="BU18" s="90" t="s">
        <v>38</v>
      </c>
      <c r="BV18" s="90">
        <v>54</v>
      </c>
      <c r="BW18" s="90" t="s">
        <v>38</v>
      </c>
      <c r="BX18" s="90" t="s">
        <v>38</v>
      </c>
      <c r="BY18" s="90" t="s">
        <v>38</v>
      </c>
      <c r="BZ18" s="90" t="s">
        <v>38</v>
      </c>
      <c r="CA18" s="90">
        <v>41</v>
      </c>
      <c r="CB18" s="90">
        <v>-1</v>
      </c>
      <c r="CC18" s="90">
        <v>1</v>
      </c>
      <c r="CD18" s="90" t="s">
        <v>38</v>
      </c>
      <c r="CE18" s="90">
        <v>6</v>
      </c>
      <c r="CF18" s="90" t="s">
        <v>38</v>
      </c>
      <c r="CG18" s="90" t="s">
        <v>38</v>
      </c>
      <c r="CH18" s="90">
        <v>263</v>
      </c>
      <c r="CI18" s="90">
        <v>30</v>
      </c>
      <c r="CJ18" s="90" t="s">
        <v>38</v>
      </c>
      <c r="CK18" s="90">
        <v>1</v>
      </c>
      <c r="CL18" s="90">
        <v>245</v>
      </c>
      <c r="CM18" s="90" t="s">
        <v>38</v>
      </c>
      <c r="CN18" s="90" t="s">
        <v>38</v>
      </c>
      <c r="CO18" s="90">
        <v>0</v>
      </c>
      <c r="CP18" s="90" t="s">
        <v>38</v>
      </c>
      <c r="CQ18" s="90">
        <v>0</v>
      </c>
      <c r="CR18" s="90">
        <v>108</v>
      </c>
      <c r="CS18" s="90">
        <v>20</v>
      </c>
      <c r="CV18" s="90">
        <v>20</v>
      </c>
      <c r="CW18" s="90" t="s">
        <v>38</v>
      </c>
      <c r="CX18" s="90" t="s">
        <v>38</v>
      </c>
      <c r="CY18" s="90">
        <v>118</v>
      </c>
      <c r="CZ18" s="90">
        <v>120</v>
      </c>
      <c r="DA18" s="90">
        <v>393</v>
      </c>
      <c r="DB18" s="90">
        <v>373</v>
      </c>
      <c r="DC18" s="90">
        <v>-2</v>
      </c>
      <c r="DD18" s="90" t="s">
        <v>38</v>
      </c>
      <c r="DE18" s="90">
        <v>154</v>
      </c>
      <c r="DF18" s="90">
        <v>351</v>
      </c>
      <c r="DG18" s="90">
        <v>238</v>
      </c>
      <c r="DH18" s="90" t="s">
        <v>38</v>
      </c>
      <c r="DI18" s="90" t="s">
        <v>38</v>
      </c>
      <c r="DJ18" s="90">
        <v>0</v>
      </c>
      <c r="DK18" s="90">
        <v>162</v>
      </c>
      <c r="DL18" s="90">
        <v>542</v>
      </c>
      <c r="DM18" s="90">
        <v>290</v>
      </c>
      <c r="DN18" s="90">
        <v>69</v>
      </c>
      <c r="DO18" s="90" t="s">
        <v>38</v>
      </c>
      <c r="DQ18" s="90">
        <v>120</v>
      </c>
      <c r="DR18" s="90">
        <v>7</v>
      </c>
      <c r="DS18" s="90">
        <v>188</v>
      </c>
      <c r="DT18" s="90">
        <v>56</v>
      </c>
      <c r="DX18" s="90">
        <v>408</v>
      </c>
      <c r="DZ18" s="90">
        <v>1</v>
      </c>
      <c r="EA18" s="90">
        <v>40</v>
      </c>
      <c r="EB18" s="90">
        <v>13</v>
      </c>
      <c r="EH18" s="90">
        <v>1</v>
      </c>
      <c r="EI18" s="90">
        <v>60</v>
      </c>
      <c r="EN18" s="90">
        <v>288</v>
      </c>
      <c r="EO18" s="90">
        <v>287</v>
      </c>
      <c r="EP18" s="90">
        <v>989</v>
      </c>
      <c r="ES18" s="90">
        <v>45</v>
      </c>
      <c r="EU18" s="90">
        <v>5</v>
      </c>
      <c r="EV18" s="90">
        <v>100</v>
      </c>
      <c r="EW18" s="90">
        <v>61</v>
      </c>
      <c r="EZ18" s="90">
        <v>233</v>
      </c>
      <c r="FB18" s="90">
        <v>4</v>
      </c>
      <c r="FC18" s="90">
        <v>91</v>
      </c>
      <c r="FG18" s="90">
        <v>624</v>
      </c>
      <c r="FH18" s="90">
        <v>120</v>
      </c>
      <c r="FI18" s="90">
        <v>10</v>
      </c>
      <c r="FJ18" s="90">
        <v>395</v>
      </c>
      <c r="FK18" s="90">
        <v>169</v>
      </c>
      <c r="FO18" s="90">
        <v>700</v>
      </c>
      <c r="FP18" s="90">
        <v>245</v>
      </c>
      <c r="FQ18" s="90">
        <v>155</v>
      </c>
      <c r="FW18" s="90">
        <v>116</v>
      </c>
      <c r="FX18" s="90">
        <v>87</v>
      </c>
      <c r="FY18" s="90">
        <v>117</v>
      </c>
      <c r="FZ18" s="90">
        <v>0</v>
      </c>
      <c r="GA18" s="90">
        <v>192</v>
      </c>
      <c r="GB18" s="90">
        <v>2</v>
      </c>
      <c r="GD18" s="90">
        <v>16</v>
      </c>
      <c r="GE18" s="90">
        <v>293</v>
      </c>
      <c r="GF18" s="90">
        <v>56</v>
      </c>
      <c r="GI18" s="90">
        <v>704</v>
      </c>
      <c r="GL18" s="90">
        <v>16</v>
      </c>
      <c r="GM18" s="90">
        <v>114</v>
      </c>
      <c r="GQ18" s="90">
        <v>122</v>
      </c>
      <c r="GR18" s="90">
        <v>101</v>
      </c>
      <c r="GS18" s="90">
        <v>13</v>
      </c>
      <c r="GT18" s="90">
        <v>435</v>
      </c>
      <c r="GW18" s="90">
        <v>707</v>
      </c>
      <c r="GX18" s="90">
        <v>10</v>
      </c>
      <c r="GY18" s="90">
        <v>281</v>
      </c>
      <c r="GZ18" s="90">
        <v>266</v>
      </c>
      <c r="HA18" s="90">
        <v>179</v>
      </c>
      <c r="HD18" s="90">
        <v>284</v>
      </c>
      <c r="HE18" s="90">
        <v>713</v>
      </c>
      <c r="HG18" s="90">
        <v>113</v>
      </c>
      <c r="HH18" s="90">
        <v>1</v>
      </c>
      <c r="HL18" s="90">
        <v>25</v>
      </c>
      <c r="HM18" s="90">
        <v>197</v>
      </c>
      <c r="HO18" s="90">
        <v>66</v>
      </c>
      <c r="HS18" s="90">
        <v>891</v>
      </c>
      <c r="HT18" s="90">
        <v>341</v>
      </c>
      <c r="HU18" s="90">
        <v>153</v>
      </c>
      <c r="HV18" s="90">
        <v>171</v>
      </c>
      <c r="HY18" s="90">
        <v>356</v>
      </c>
      <c r="HZ18" s="90">
        <v>141</v>
      </c>
      <c r="IA18" s="90">
        <v>234</v>
      </c>
      <c r="IB18" s="90">
        <v>510</v>
      </c>
      <c r="IC18" s="90">
        <v>1001</v>
      </c>
      <c r="ID18" s="90">
        <v>276</v>
      </c>
      <c r="IG18" s="90">
        <v>127</v>
      </c>
      <c r="IH18" s="90">
        <v>151</v>
      </c>
      <c r="II18" s="90">
        <v>161</v>
      </c>
      <c r="IJ18" s="90">
        <v>124</v>
      </c>
      <c r="IM18" s="90">
        <v>599</v>
      </c>
      <c r="IN18" s="90">
        <v>249</v>
      </c>
      <c r="IO18" s="90">
        <v>49</v>
      </c>
      <c r="IP18" s="90">
        <v>155</v>
      </c>
      <c r="IQ18" s="90">
        <v>416</v>
      </c>
      <c r="IT18" s="90">
        <v>281</v>
      </c>
      <c r="IU18" s="90">
        <v>11</v>
      </c>
      <c r="IV18" s="90">
        <v>652</v>
      </c>
      <c r="IW18" s="90">
        <v>1907</v>
      </c>
      <c r="IX18" s="90">
        <v>159</v>
      </c>
      <c r="IY18" s="90">
        <v>11</v>
      </c>
      <c r="JA18" s="90">
        <v>374</v>
      </c>
      <c r="JB18" s="90">
        <v>37</v>
      </c>
      <c r="JC18" s="90">
        <v>165</v>
      </c>
      <c r="JD18" s="90">
        <v>231</v>
      </c>
      <c r="JE18" s="90">
        <v>424</v>
      </c>
      <c r="JH18" s="90">
        <v>515</v>
      </c>
      <c r="JI18" s="90">
        <v>92</v>
      </c>
      <c r="JJ18" s="90">
        <v>121</v>
      </c>
      <c r="JK18" s="90">
        <v>383</v>
      </c>
      <c r="JL18" s="90">
        <v>73</v>
      </c>
      <c r="JO18" s="90">
        <v>787</v>
      </c>
      <c r="JP18" s="90">
        <v>640</v>
      </c>
      <c r="JQ18" s="90">
        <v>212</v>
      </c>
      <c r="JR18" s="90">
        <v>154</v>
      </c>
      <c r="JS18" s="90">
        <v>143</v>
      </c>
      <c r="JW18" s="90">
        <v>108</v>
      </c>
      <c r="JX18" s="90">
        <v>114</v>
      </c>
      <c r="JY18" s="90">
        <v>214</v>
      </c>
      <c r="JZ18" s="90">
        <v>230</v>
      </c>
      <c r="KC18" s="90">
        <v>522</v>
      </c>
      <c r="KD18" s="90">
        <v>37</v>
      </c>
      <c r="KE18" s="90">
        <v>41</v>
      </c>
      <c r="KF18" s="90">
        <v>76</v>
      </c>
      <c r="KG18" s="90">
        <v>72</v>
      </c>
      <c r="KK18" s="90">
        <v>1619</v>
      </c>
      <c r="KL18" s="90">
        <v>144</v>
      </c>
      <c r="KM18" s="90">
        <v>191</v>
      </c>
      <c r="KN18" s="90">
        <v>94</v>
      </c>
      <c r="KO18" s="90">
        <v>62</v>
      </c>
      <c r="KT18" s="90">
        <v>7</v>
      </c>
      <c r="KU18" s="90">
        <v>1944</v>
      </c>
      <c r="KV18" s="90">
        <v>2305</v>
      </c>
      <c r="KX18" s="90">
        <v>184</v>
      </c>
      <c r="KY18" s="90">
        <v>238</v>
      </c>
      <c r="KZ18" s="90">
        <v>299</v>
      </c>
      <c r="LA18" s="90">
        <v>39</v>
      </c>
      <c r="LB18" s="90">
        <v>268</v>
      </c>
      <c r="LC18" s="90">
        <v>114</v>
      </c>
      <c r="LE18" s="90">
        <v>100</v>
      </c>
      <c r="LF18" s="90">
        <v>14</v>
      </c>
      <c r="LG18" s="90">
        <v>232</v>
      </c>
      <c r="LH18" s="90">
        <v>149</v>
      </c>
      <c r="LI18" s="90">
        <v>87</v>
      </c>
      <c r="LL18" s="90">
        <v>899</v>
      </c>
      <c r="LM18" s="90">
        <v>307</v>
      </c>
      <c r="LN18" s="90">
        <v>149</v>
      </c>
      <c r="LO18" s="90">
        <v>175</v>
      </c>
      <c r="LP18" s="90">
        <v>166</v>
      </c>
      <c r="LS18" s="90">
        <v>358</v>
      </c>
      <c r="LT18" s="90">
        <v>268</v>
      </c>
      <c r="LU18" s="90">
        <v>189</v>
      </c>
      <c r="LV18" s="90">
        <v>851</v>
      </c>
      <c r="LW18" s="90">
        <v>595</v>
      </c>
      <c r="LZ18" s="90">
        <v>351</v>
      </c>
      <c r="MB18" s="90">
        <v>438</v>
      </c>
      <c r="MC18" s="90">
        <v>438</v>
      </c>
      <c r="MD18" s="90">
        <v>1095</v>
      </c>
      <c r="MF18" s="90">
        <v>956</v>
      </c>
      <c r="MG18" s="90">
        <v>96</v>
      </c>
      <c r="MH18" s="90">
        <v>717</v>
      </c>
      <c r="MI18" s="90">
        <v>21</v>
      </c>
      <c r="MJ18" s="90">
        <v>422</v>
      </c>
      <c r="MK18" s="90">
        <v>150</v>
      </c>
      <c r="MN18" s="90">
        <v>344</v>
      </c>
      <c r="MO18" s="90">
        <v>1137</v>
      </c>
      <c r="MP18" s="90">
        <v>5</v>
      </c>
      <c r="MQ18" s="90">
        <v>48</v>
      </c>
      <c r="MR18" s="90">
        <v>230</v>
      </c>
      <c r="MS18" s="90">
        <v>288</v>
      </c>
      <c r="MV18" s="90">
        <v>103</v>
      </c>
      <c r="MW18" s="90">
        <v>157</v>
      </c>
      <c r="MX18" s="90">
        <v>1023</v>
      </c>
      <c r="MY18" s="90">
        <v>156</v>
      </c>
      <c r="MZ18" s="90">
        <v>87</v>
      </c>
      <c r="NB18" s="90">
        <v>687</v>
      </c>
      <c r="NC18" s="90">
        <v>561</v>
      </c>
      <c r="NE18" s="90">
        <v>1070</v>
      </c>
      <c r="NF18" s="90">
        <v>1064</v>
      </c>
      <c r="NG18" s="90">
        <v>1810</v>
      </c>
      <c r="NI18" s="90">
        <v>1032</v>
      </c>
      <c r="NJ18" s="90">
        <v>1980</v>
      </c>
      <c r="NK18" s="90">
        <v>116</v>
      </c>
      <c r="NL18" s="90">
        <v>720</v>
      </c>
      <c r="NM18" s="90">
        <v>96</v>
      </c>
      <c r="NN18" s="90">
        <v>545</v>
      </c>
      <c r="NP18" s="90">
        <v>1512</v>
      </c>
      <c r="NQ18" s="90">
        <v>1054</v>
      </c>
      <c r="NT18" s="90">
        <v>1760</v>
      </c>
      <c r="NU18" s="90">
        <v>352</v>
      </c>
      <c r="NW18" s="90">
        <v>284</v>
      </c>
      <c r="NX18" s="90">
        <v>76</v>
      </c>
      <c r="NY18" s="90">
        <v>1625</v>
      </c>
      <c r="NZ18" s="90">
        <v>166</v>
      </c>
      <c r="OA18" s="90">
        <v>440</v>
      </c>
      <c r="OB18" s="90">
        <v>576</v>
      </c>
      <c r="OD18" s="90">
        <v>487</v>
      </c>
      <c r="OE18" s="90">
        <v>450</v>
      </c>
      <c r="OF18" s="90">
        <v>99</v>
      </c>
      <c r="OG18" s="90">
        <v>378</v>
      </c>
      <c r="OH18" s="90">
        <v>408</v>
      </c>
      <c r="OI18" s="90">
        <v>137</v>
      </c>
      <c r="ON18" s="90">
        <v>2267</v>
      </c>
      <c r="OO18" s="90">
        <v>125</v>
      </c>
      <c r="OP18" s="90">
        <v>1505</v>
      </c>
      <c r="OR18" s="90">
        <v>995</v>
      </c>
      <c r="OS18" s="90">
        <v>964</v>
      </c>
      <c r="OT18" s="90">
        <v>199</v>
      </c>
      <c r="OV18" s="90">
        <v>359</v>
      </c>
      <c r="OY18" s="90">
        <v>1291</v>
      </c>
      <c r="OZ18" s="90">
        <v>558</v>
      </c>
      <c r="PA18" s="90">
        <v>264</v>
      </c>
      <c r="PB18" s="90">
        <v>2118</v>
      </c>
      <c r="PC18" s="90">
        <v>384</v>
      </c>
      <c r="PD18" s="90">
        <v>965</v>
      </c>
      <c r="PF18" s="90">
        <v>1091</v>
      </c>
      <c r="PG18" s="90">
        <v>2608</v>
      </c>
      <c r="PH18" s="90">
        <v>977</v>
      </c>
      <c r="PI18" s="90">
        <v>1182</v>
      </c>
      <c r="PJ18" s="90">
        <v>1229</v>
      </c>
      <c r="PK18" s="90">
        <v>1144</v>
      </c>
      <c r="PM18" s="90">
        <v>840</v>
      </c>
      <c r="PN18" s="90">
        <v>1025</v>
      </c>
      <c r="PO18" s="90">
        <v>2595</v>
      </c>
      <c r="PP18" s="90">
        <v>1955</v>
      </c>
      <c r="PQ18" s="90">
        <v>862</v>
      </c>
      <c r="PW18" s="90">
        <v>696</v>
      </c>
      <c r="QA18" s="90">
        <v>194</v>
      </c>
      <c r="QB18" s="90">
        <v>119</v>
      </c>
      <c r="QC18" s="90">
        <v>24</v>
      </c>
      <c r="QD18" s="90">
        <v>394</v>
      </c>
      <c r="QE18" s="90">
        <v>292</v>
      </c>
      <c r="QH18" s="90">
        <v>1049</v>
      </c>
      <c r="QI18" s="90">
        <v>119</v>
      </c>
      <c r="QJ18" s="90">
        <v>1320</v>
      </c>
      <c r="QK18" s="90">
        <v>362</v>
      </c>
      <c r="QL18" s="90">
        <v>1168</v>
      </c>
      <c r="QO18" s="90">
        <v>569</v>
      </c>
      <c r="QP18" s="90">
        <v>111</v>
      </c>
      <c r="QQ18" s="90">
        <v>125</v>
      </c>
      <c r="QR18" s="90">
        <v>293</v>
      </c>
      <c r="QS18" s="90">
        <v>171</v>
      </c>
      <c r="QV18" s="90">
        <v>392</v>
      </c>
      <c r="QW18" s="90">
        <v>68</v>
      </c>
      <c r="QX18" s="90">
        <v>1423</v>
      </c>
      <c r="QY18" s="90">
        <v>271</v>
      </c>
      <c r="QZ18" s="90">
        <v>71</v>
      </c>
      <c r="RA18" s="90">
        <v>158</v>
      </c>
      <c r="RC18" s="90">
        <v>37</v>
      </c>
      <c r="RD18" s="90">
        <v>103</v>
      </c>
      <c r="RE18" s="90">
        <v>294</v>
      </c>
      <c r="RF18" s="90">
        <v>240</v>
      </c>
      <c r="RG18" s="90">
        <v>109</v>
      </c>
      <c r="RJ18" s="90">
        <v>154</v>
      </c>
      <c r="RK18" s="90">
        <v>420</v>
      </c>
      <c r="RL18" s="90">
        <v>285</v>
      </c>
      <c r="RN18" s="90">
        <v>869</v>
      </c>
      <c r="RQ18" s="90">
        <v>446</v>
      </c>
      <c r="RR18" s="90">
        <v>398</v>
      </c>
      <c r="RS18" s="90">
        <v>803</v>
      </c>
      <c r="RT18" s="90">
        <v>373</v>
      </c>
      <c r="RU18" s="90">
        <v>273</v>
      </c>
      <c r="RX18" s="90">
        <v>442</v>
      </c>
      <c r="RY18" s="90">
        <v>153</v>
      </c>
      <c r="RZ18" s="90">
        <v>41</v>
      </c>
      <c r="SA18" s="90">
        <v>261</v>
      </c>
      <c r="SB18" s="90">
        <v>580</v>
      </c>
      <c r="SC18" s="90">
        <v>7</v>
      </c>
      <c r="SE18" s="90">
        <v>66</v>
      </c>
      <c r="SF18" s="90">
        <v>623</v>
      </c>
      <c r="SG18" s="90">
        <v>151</v>
      </c>
      <c r="SH18" s="90">
        <v>637</v>
      </c>
      <c r="SI18" s="90">
        <v>174</v>
      </c>
      <c r="SL18" s="90">
        <v>191</v>
      </c>
      <c r="SM18" s="90">
        <v>501</v>
      </c>
      <c r="SN18" s="90">
        <v>465</v>
      </c>
      <c r="SO18" s="90">
        <v>326</v>
      </c>
      <c r="SP18" s="90">
        <v>1119</v>
      </c>
      <c r="SS18" s="90">
        <v>295</v>
      </c>
      <c r="ST18" s="90">
        <v>44</v>
      </c>
      <c r="SU18" s="90">
        <v>1212</v>
      </c>
      <c r="SV18" s="90">
        <v>994</v>
      </c>
      <c r="SW18" s="90">
        <v>332</v>
      </c>
      <c r="SZ18" s="90">
        <v>544</v>
      </c>
      <c r="TA18" s="90">
        <v>191</v>
      </c>
      <c r="TB18" s="90">
        <v>183</v>
      </c>
      <c r="TC18" s="90">
        <v>269</v>
      </c>
      <c r="TD18" s="90">
        <v>684</v>
      </c>
      <c r="TG18" s="90">
        <v>2789</v>
      </c>
      <c r="TH18" s="90">
        <v>58</v>
      </c>
      <c r="TI18" s="90">
        <v>467</v>
      </c>
      <c r="TJ18" s="90">
        <v>293</v>
      </c>
      <c r="TK18" s="90">
        <v>258</v>
      </c>
      <c r="TL18" s="90">
        <v>381</v>
      </c>
      <c r="TO18" s="90">
        <v>1</v>
      </c>
      <c r="TP18" s="90">
        <v>114</v>
      </c>
      <c r="TQ18" s="90">
        <v>135</v>
      </c>
      <c r="TR18" s="90">
        <v>55</v>
      </c>
      <c r="TW18" s="90">
        <v>31</v>
      </c>
      <c r="TX18" s="90">
        <v>1523</v>
      </c>
      <c r="TY18" s="90">
        <v>40</v>
      </c>
      <c r="UF18" s="90">
        <v>919</v>
      </c>
      <c r="UI18" s="90">
        <v>119</v>
      </c>
      <c r="UK18" s="90">
        <v>1000</v>
      </c>
      <c r="UM18" s="90">
        <v>919</v>
      </c>
      <c r="UN18" s="90">
        <v>479</v>
      </c>
      <c r="UQ18" s="90">
        <v>521</v>
      </c>
      <c r="UR18" s="90">
        <v>8</v>
      </c>
      <c r="US18" s="90">
        <v>274</v>
      </c>
      <c r="UT18" s="90">
        <v>194</v>
      </c>
      <c r="UX18" s="90">
        <v>1036</v>
      </c>
      <c r="UY18" s="90">
        <v>449</v>
      </c>
      <c r="UZ18" s="90">
        <v>160</v>
      </c>
      <c r="VA18" s="90">
        <v>1045</v>
      </c>
      <c r="VD18" s="90">
        <v>704</v>
      </c>
      <c r="VE18" s="90">
        <v>504</v>
      </c>
      <c r="VF18" s="90">
        <v>958</v>
      </c>
      <c r="VG18" s="90">
        <v>1129</v>
      </c>
      <c r="VH18" s="90">
        <v>1107</v>
      </c>
      <c r="VI18" s="90">
        <v>1263</v>
      </c>
      <c r="VK18" s="90">
        <v>1955</v>
      </c>
      <c r="VL18" s="90">
        <v>1955</v>
      </c>
      <c r="VM18" s="90">
        <v>942</v>
      </c>
      <c r="VN18" s="90">
        <v>445</v>
      </c>
      <c r="VO18" s="90">
        <v>383</v>
      </c>
      <c r="VP18" s="90">
        <v>459</v>
      </c>
      <c r="VR18" s="90">
        <v>113</v>
      </c>
      <c r="VT18" s="90">
        <v>291</v>
      </c>
      <c r="VU18" s="90">
        <v>834</v>
      </c>
      <c r="VX18" s="90">
        <v>1033</v>
      </c>
      <c r="VY18" s="90">
        <v>315</v>
      </c>
      <c r="VZ18" s="90">
        <v>259</v>
      </c>
      <c r="WA18" s="90">
        <v>468</v>
      </c>
      <c r="WB18" s="90">
        <v>1188</v>
      </c>
      <c r="WC18" s="90">
        <v>201</v>
      </c>
      <c r="WF18" s="90">
        <v>709</v>
      </c>
      <c r="WG18" s="90">
        <v>91</v>
      </c>
      <c r="WH18" s="90">
        <v>1323</v>
      </c>
      <c r="WI18" s="90">
        <v>952</v>
      </c>
      <c r="WK18" s="90">
        <v>1003</v>
      </c>
      <c r="WM18" s="90">
        <v>247</v>
      </c>
      <c r="WQ18" s="90">
        <v>1746</v>
      </c>
      <c r="WR18" s="90">
        <v>171</v>
      </c>
      <c r="WT18" s="90">
        <v>319</v>
      </c>
      <c r="WU18" s="90">
        <v>2234</v>
      </c>
      <c r="WV18" s="90">
        <v>474</v>
      </c>
      <c r="WW18" s="90">
        <v>350</v>
      </c>
      <c r="WX18" s="90">
        <v>172</v>
      </c>
      <c r="WY18" s="90">
        <v>1038</v>
      </c>
      <c r="XB18" s="90">
        <v>679</v>
      </c>
      <c r="XC18" s="90">
        <v>1009</v>
      </c>
      <c r="XD18" s="90">
        <v>933</v>
      </c>
      <c r="XE18" s="90">
        <v>203</v>
      </c>
      <c r="XH18" s="90">
        <v>654</v>
      </c>
      <c r="XI18" s="90">
        <v>222</v>
      </c>
      <c r="XJ18" s="90">
        <v>804</v>
      </c>
      <c r="XK18" s="90">
        <v>377</v>
      </c>
      <c r="XM18" s="90">
        <v>2065</v>
      </c>
      <c r="XO18" s="90">
        <v>778</v>
      </c>
      <c r="XP18" s="90">
        <v>1347</v>
      </c>
      <c r="XQ18" s="90">
        <v>177</v>
      </c>
      <c r="XR18" s="90">
        <v>217</v>
      </c>
      <c r="XS18" s="90" t="s">
        <v>38</v>
      </c>
      <c r="XT18" s="90">
        <v>885</v>
      </c>
      <c r="XU18" s="90" t="s">
        <v>38</v>
      </c>
      <c r="XX18" s="90">
        <v>2919</v>
      </c>
      <c r="XY18" s="90">
        <v>325</v>
      </c>
      <c r="XZ18" s="90">
        <v>1079</v>
      </c>
      <c r="YA18" s="90">
        <v>2139</v>
      </c>
      <c r="YB18" s="90" t="s">
        <v>38</v>
      </c>
      <c r="YC18" s="90">
        <v>168</v>
      </c>
      <c r="YD18" s="90">
        <v>45</v>
      </c>
      <c r="YE18" s="90">
        <v>44</v>
      </c>
      <c r="YF18" s="90">
        <v>604</v>
      </c>
      <c r="YG18" s="90" t="s">
        <v>38</v>
      </c>
      <c r="YH18" s="90" t="s">
        <v>38</v>
      </c>
      <c r="YI18" s="90">
        <v>262</v>
      </c>
      <c r="YJ18" s="90">
        <v>436</v>
      </c>
      <c r="YL18" s="90">
        <v>265</v>
      </c>
      <c r="YM18" s="90">
        <v>470</v>
      </c>
      <c r="YN18" s="90">
        <v>188</v>
      </c>
      <c r="YQ18" s="90">
        <v>621</v>
      </c>
      <c r="YR18" s="90">
        <v>393</v>
      </c>
      <c r="YS18" s="90">
        <v>327</v>
      </c>
      <c r="YT18" s="90">
        <v>242</v>
      </c>
      <c r="YU18" s="90" t="s">
        <v>38</v>
      </c>
      <c r="YV18" s="90">
        <v>295</v>
      </c>
      <c r="YW18" s="90" t="s">
        <v>38</v>
      </c>
      <c r="YX18" s="90">
        <v>180</v>
      </c>
      <c r="YY18" s="90">
        <v>359</v>
      </c>
      <c r="YZ18" s="90">
        <v>1043</v>
      </c>
      <c r="ZA18" s="90">
        <v>908</v>
      </c>
      <c r="ZB18" s="90" t="s">
        <v>38</v>
      </c>
      <c r="ZC18" s="90">
        <v>2147</v>
      </c>
      <c r="ZE18" s="90">
        <v>820</v>
      </c>
      <c r="ZF18" s="90">
        <v>425</v>
      </c>
      <c r="ZG18" s="92">
        <v>1927</v>
      </c>
      <c r="ZH18" s="90">
        <v>118</v>
      </c>
      <c r="ZI18" s="90" t="s">
        <v>152</v>
      </c>
      <c r="ZJ18" s="90">
        <v>579</v>
      </c>
      <c r="ZL18" s="92">
        <v>1299</v>
      </c>
      <c r="ZM18" s="90" t="s">
        <v>152</v>
      </c>
      <c r="ZN18" s="90">
        <v>593</v>
      </c>
      <c r="ZO18" s="90">
        <v>415</v>
      </c>
      <c r="ZP18" s="90">
        <v>270</v>
      </c>
      <c r="ZQ18" s="90">
        <v>489</v>
      </c>
      <c r="ZR18" s="90" t="s">
        <v>38</v>
      </c>
      <c r="ZS18" s="91">
        <v>235</v>
      </c>
      <c r="ZT18" s="91">
        <v>761</v>
      </c>
      <c r="ZU18" s="91">
        <v>426</v>
      </c>
      <c r="ZV18" s="91">
        <v>370</v>
      </c>
      <c r="ZW18" s="91">
        <v>1044</v>
      </c>
      <c r="ZX18" s="91">
        <v>392</v>
      </c>
      <c r="ZY18" s="91" t="s">
        <v>38</v>
      </c>
      <c r="ZZ18" s="91">
        <v>591</v>
      </c>
      <c r="AAA18" s="91">
        <v>196</v>
      </c>
      <c r="AAB18" s="91">
        <v>953</v>
      </c>
      <c r="AAC18" s="91">
        <v>486</v>
      </c>
      <c r="AAD18" s="91" t="s">
        <v>152</v>
      </c>
      <c r="AAE18" s="91">
        <v>2733</v>
      </c>
      <c r="AAF18" s="91" t="s">
        <v>152</v>
      </c>
      <c r="AAG18" s="91">
        <v>904</v>
      </c>
      <c r="AAH18" s="91">
        <v>370</v>
      </c>
      <c r="AAI18" s="91">
        <v>781</v>
      </c>
      <c r="AAJ18" s="90">
        <v>152</v>
      </c>
      <c r="AAK18" s="90">
        <v>143</v>
      </c>
      <c r="AAL18" s="90">
        <v>831</v>
      </c>
      <c r="AAM18" s="90" t="s">
        <v>152</v>
      </c>
      <c r="AAN18" s="90">
        <v>556</v>
      </c>
      <c r="AAO18" s="90">
        <v>120</v>
      </c>
      <c r="AAP18" s="90">
        <v>716</v>
      </c>
      <c r="AAQ18" s="90">
        <v>828</v>
      </c>
      <c r="AAT18" s="90">
        <v>259</v>
      </c>
      <c r="AAU18" s="90" t="s">
        <v>38</v>
      </c>
      <c r="AAV18" s="90">
        <v>146</v>
      </c>
      <c r="AAW18" s="90">
        <v>1405</v>
      </c>
      <c r="AAX18" s="90">
        <v>2102</v>
      </c>
      <c r="AAY18" s="88">
        <v>634</v>
      </c>
      <c r="AAZ18" s="92">
        <v>1816</v>
      </c>
      <c r="ABA18" s="90" t="s">
        <v>152</v>
      </c>
      <c r="ABB18" s="90">
        <v>961</v>
      </c>
      <c r="ABC18" s="90">
        <v>186</v>
      </c>
      <c r="ABD18" s="90">
        <v>350</v>
      </c>
      <c r="ABE18" s="120"/>
      <c r="ABF18" s="90">
        <v>234</v>
      </c>
      <c r="ABG18" s="90">
        <v>491</v>
      </c>
      <c r="ABH18" s="90" t="s">
        <v>38</v>
      </c>
      <c r="ABI18" s="90">
        <v>1146</v>
      </c>
      <c r="ABJ18" s="90">
        <v>172</v>
      </c>
      <c r="ABK18" s="90">
        <v>1032</v>
      </c>
      <c r="ABL18" s="90">
        <v>610</v>
      </c>
      <c r="ABM18" s="90">
        <v>1891</v>
      </c>
      <c r="ABN18" s="90">
        <v>2982</v>
      </c>
      <c r="ABP18" s="90">
        <v>804</v>
      </c>
      <c r="ABQ18" s="90">
        <v>2748</v>
      </c>
      <c r="ABR18" s="90">
        <v>1344</v>
      </c>
      <c r="ABS18" s="90">
        <v>311</v>
      </c>
      <c r="ABT18" s="90">
        <v>790</v>
      </c>
      <c r="ABU18" s="90">
        <v>897</v>
      </c>
      <c r="ABV18" s="90" t="s">
        <v>38</v>
      </c>
      <c r="ABW18" s="90">
        <v>845</v>
      </c>
      <c r="ABX18" s="90" t="s">
        <v>38</v>
      </c>
      <c r="ABY18" s="90">
        <v>335</v>
      </c>
      <c r="ABZ18" s="90">
        <v>848</v>
      </c>
      <c r="ACA18" s="90">
        <v>394</v>
      </c>
      <c r="ACB18" s="90">
        <v>293</v>
      </c>
      <c r="ACC18" s="90" t="s">
        <v>38</v>
      </c>
      <c r="ACD18" s="90">
        <v>473</v>
      </c>
      <c r="ACE18" s="90">
        <v>766</v>
      </c>
      <c r="ACF18" s="90">
        <v>1029</v>
      </c>
      <c r="ACG18" s="90">
        <v>718</v>
      </c>
      <c r="ACH18" s="90">
        <v>656</v>
      </c>
      <c r="ACI18" s="90">
        <v>1374</v>
      </c>
      <c r="ACK18" s="90">
        <v>689</v>
      </c>
      <c r="ACL18" s="90">
        <v>935</v>
      </c>
      <c r="ACM18" s="90">
        <v>1594</v>
      </c>
      <c r="ACN18" s="90">
        <v>291</v>
      </c>
      <c r="ACO18" s="90" t="s">
        <v>38</v>
      </c>
      <c r="ACP18" s="90">
        <v>659</v>
      </c>
      <c r="ACQ18" s="90" t="s">
        <v>38</v>
      </c>
      <c r="ACR18" s="90">
        <v>937</v>
      </c>
      <c r="ACS18" s="90">
        <v>1007</v>
      </c>
      <c r="ACT18" s="90">
        <v>3</v>
      </c>
      <c r="ACU18" s="90">
        <v>1808</v>
      </c>
      <c r="ACV18" s="90" t="s">
        <v>38</v>
      </c>
      <c r="ACW18" s="90" t="s">
        <v>38</v>
      </c>
      <c r="ACX18" s="90">
        <v>86</v>
      </c>
      <c r="ACY18" s="90">
        <v>1146</v>
      </c>
      <c r="ACZ18" s="90">
        <v>713</v>
      </c>
      <c r="ADA18" s="90">
        <v>276</v>
      </c>
      <c r="ADB18" s="90">
        <v>432</v>
      </c>
      <c r="ADC18" s="90" t="s">
        <v>38</v>
      </c>
      <c r="ADD18" s="90" t="s">
        <v>38</v>
      </c>
      <c r="ADE18" s="90">
        <v>3258</v>
      </c>
      <c r="ADF18" s="90" t="s">
        <v>38</v>
      </c>
      <c r="ADG18" s="90">
        <v>1659</v>
      </c>
      <c r="ADH18" s="90">
        <v>265</v>
      </c>
      <c r="ADI18" s="90">
        <v>762</v>
      </c>
      <c r="ADJ18" s="90">
        <v>198</v>
      </c>
      <c r="ADK18" s="90">
        <v>2947</v>
      </c>
      <c r="ADL18" s="90" t="s">
        <v>38</v>
      </c>
      <c r="ADM18" s="90" t="s">
        <v>38</v>
      </c>
      <c r="ADN18" s="90">
        <v>1777</v>
      </c>
      <c r="ADO18" s="90">
        <v>1901</v>
      </c>
      <c r="ADP18" s="90">
        <v>1171</v>
      </c>
      <c r="ADQ18" s="90" t="s">
        <v>38</v>
      </c>
      <c r="ADR18" s="90">
        <v>3191</v>
      </c>
      <c r="ADS18" s="90" t="s">
        <v>38</v>
      </c>
      <c r="ADT18" s="90">
        <v>2564</v>
      </c>
      <c r="ADU18" s="90" t="s">
        <v>38</v>
      </c>
      <c r="ADX18" s="90">
        <v>348</v>
      </c>
      <c r="ADY18" s="90" t="s">
        <v>38</v>
      </c>
      <c r="ADZ18" s="90" t="s">
        <v>38</v>
      </c>
      <c r="AEA18" s="90" t="s">
        <v>38</v>
      </c>
      <c r="AEB18" s="90" t="s">
        <v>38</v>
      </c>
      <c r="AEC18" s="90">
        <v>72</v>
      </c>
      <c r="AED18" s="90">
        <v>1619</v>
      </c>
      <c r="AEE18" s="90" t="s">
        <v>38</v>
      </c>
      <c r="AEF18" s="90">
        <v>2607</v>
      </c>
      <c r="AEG18" s="90" t="s">
        <v>38</v>
      </c>
      <c r="AEH18" s="90">
        <v>220</v>
      </c>
      <c r="AEI18" s="90">
        <v>868</v>
      </c>
      <c r="AEJ18" s="90">
        <v>847</v>
      </c>
      <c r="AEK18" s="90">
        <v>1914</v>
      </c>
      <c r="AEL18" s="90">
        <v>313</v>
      </c>
      <c r="AEM18" s="90">
        <v>167</v>
      </c>
      <c r="AEO18" s="90">
        <v>1049</v>
      </c>
      <c r="AEP18" s="90">
        <v>122</v>
      </c>
      <c r="AEQ18" s="90">
        <v>499</v>
      </c>
      <c r="AER18" s="90">
        <v>428</v>
      </c>
      <c r="AES18" s="90">
        <v>12</v>
      </c>
      <c r="AET18" s="90">
        <v>551</v>
      </c>
      <c r="AEU18" s="90" t="s">
        <v>38</v>
      </c>
      <c r="AEV18" s="90">
        <v>138</v>
      </c>
      <c r="AEW18" s="90">
        <v>2231</v>
      </c>
      <c r="AEX18" s="90">
        <v>9</v>
      </c>
      <c r="AEY18" s="90">
        <v>92</v>
      </c>
      <c r="AEZ18" s="90" t="s">
        <v>38</v>
      </c>
      <c r="AFA18" s="90">
        <v>751</v>
      </c>
      <c r="AFB18" s="90" t="s">
        <v>38</v>
      </c>
      <c r="AFC18" s="90" t="s">
        <v>38</v>
      </c>
      <c r="AFD18" s="90">
        <v>2612</v>
      </c>
      <c r="AFE18" s="90">
        <v>42</v>
      </c>
      <c r="AFF18" s="90">
        <v>1640</v>
      </c>
      <c r="AFG18" s="90">
        <v>2420</v>
      </c>
      <c r="AFH18" s="90">
        <v>539</v>
      </c>
      <c r="AFI18" s="90" t="s">
        <v>38</v>
      </c>
      <c r="AFJ18" s="90">
        <v>769</v>
      </c>
      <c r="AFK18" s="90">
        <v>580</v>
      </c>
      <c r="AFL18" s="90">
        <v>321</v>
      </c>
      <c r="AFM18" s="90">
        <v>1707</v>
      </c>
      <c r="AFN18" s="90">
        <v>326</v>
      </c>
      <c r="AFO18" s="90">
        <v>458</v>
      </c>
      <c r="AFP18" s="90" t="s">
        <v>38</v>
      </c>
      <c r="AFQ18" s="90">
        <v>2891</v>
      </c>
      <c r="AFR18" s="90">
        <v>1106</v>
      </c>
      <c r="AFS18" s="90">
        <v>428</v>
      </c>
      <c r="AFT18" s="90">
        <v>361</v>
      </c>
      <c r="AFU18" s="90" t="s">
        <v>38</v>
      </c>
      <c r="AFV18" s="90">
        <v>5678</v>
      </c>
      <c r="AFW18" s="90" t="s">
        <v>38</v>
      </c>
      <c r="AFX18" s="90">
        <v>1547</v>
      </c>
      <c r="AFY18" s="90">
        <v>4264</v>
      </c>
      <c r="AFZ18" s="90">
        <v>160</v>
      </c>
      <c r="AGA18" s="90">
        <v>929</v>
      </c>
      <c r="AGB18" s="90">
        <v>610</v>
      </c>
      <c r="AGC18" s="90">
        <v>5360</v>
      </c>
      <c r="AGD18" s="90" t="s">
        <v>38</v>
      </c>
      <c r="AGE18" s="90">
        <v>571</v>
      </c>
      <c r="AGF18" s="90" t="s">
        <v>38</v>
      </c>
      <c r="AGG18" s="90">
        <v>953</v>
      </c>
      <c r="AGH18" s="90">
        <v>153</v>
      </c>
      <c r="AGI18" s="90">
        <v>28</v>
      </c>
      <c r="AGJ18" s="90" t="s">
        <v>38</v>
      </c>
      <c r="AGK18" s="90" t="s">
        <v>38</v>
      </c>
      <c r="AGL18" s="90">
        <v>2381</v>
      </c>
      <c r="AGM18" s="90" t="s">
        <v>38</v>
      </c>
      <c r="AGN18" s="90">
        <v>1812</v>
      </c>
      <c r="AGO18" s="90">
        <v>1521</v>
      </c>
      <c r="AGP18" s="90">
        <v>122</v>
      </c>
      <c r="AGQ18" s="90">
        <v>3272</v>
      </c>
      <c r="AGR18" s="90" t="s">
        <v>38</v>
      </c>
      <c r="AGS18" s="90">
        <v>563</v>
      </c>
      <c r="AGT18" s="90">
        <v>632</v>
      </c>
      <c r="AGU18" s="90">
        <v>681</v>
      </c>
      <c r="AGV18" s="90">
        <v>1148</v>
      </c>
      <c r="AGW18" s="90">
        <v>604</v>
      </c>
      <c r="AGX18" s="90">
        <v>803</v>
      </c>
      <c r="AGY18" s="90" t="s">
        <v>38</v>
      </c>
      <c r="AGZ18" s="90">
        <v>207</v>
      </c>
      <c r="AHA18" s="90">
        <v>743</v>
      </c>
      <c r="AHB18" s="90">
        <v>840</v>
      </c>
      <c r="AHC18" s="90">
        <v>920</v>
      </c>
      <c r="AHD18" s="90">
        <v>512</v>
      </c>
      <c r="AHE18" s="90">
        <v>4568</v>
      </c>
      <c r="AHF18" s="90" t="s">
        <v>38</v>
      </c>
      <c r="AHG18" s="90">
        <v>102</v>
      </c>
      <c r="AHH18" s="90">
        <v>391</v>
      </c>
      <c r="AHI18" s="90">
        <v>1363</v>
      </c>
      <c r="AHJ18" s="90">
        <v>807</v>
      </c>
      <c r="AHK18" s="90">
        <v>948</v>
      </c>
      <c r="AHL18" s="90" t="s">
        <v>38</v>
      </c>
      <c r="AHM18" s="90" t="s">
        <v>38</v>
      </c>
      <c r="AHN18" s="90" t="s">
        <v>38</v>
      </c>
      <c r="AHO18" s="90">
        <v>1971</v>
      </c>
      <c r="AHP18" s="90">
        <v>2114</v>
      </c>
      <c r="AHQ18" s="90">
        <v>588</v>
      </c>
      <c r="AHR18" s="90">
        <v>263</v>
      </c>
      <c r="AHS18" s="90">
        <v>948</v>
      </c>
      <c r="AHT18" s="90" t="s">
        <v>38</v>
      </c>
      <c r="AHU18" s="90" t="s">
        <v>38</v>
      </c>
      <c r="AHV18" s="90" t="s">
        <v>38</v>
      </c>
      <c r="AHW18" s="90" t="s">
        <v>38</v>
      </c>
      <c r="AHX18" s="90" t="s">
        <v>38</v>
      </c>
      <c r="AHY18" s="90" t="s">
        <v>38</v>
      </c>
      <c r="AHZ18" s="90">
        <v>1101</v>
      </c>
      <c r="AIA18" s="90" t="s">
        <v>38</v>
      </c>
      <c r="AIB18" s="90">
        <v>260</v>
      </c>
      <c r="AIC18" s="90">
        <v>568</v>
      </c>
      <c r="AID18" s="90">
        <v>1038</v>
      </c>
      <c r="AIE18" s="90">
        <v>559</v>
      </c>
      <c r="AIF18" s="90">
        <v>126</v>
      </c>
      <c r="AIG18" s="90">
        <v>2797</v>
      </c>
      <c r="AIH18" s="90" t="s">
        <v>38</v>
      </c>
      <c r="AII18" s="90">
        <v>1132</v>
      </c>
      <c r="AIJ18" s="90">
        <v>660</v>
      </c>
      <c r="AIK18" s="90">
        <v>201</v>
      </c>
      <c r="AIL18" s="90" t="s">
        <v>38</v>
      </c>
      <c r="AIN18" s="90">
        <v>1058</v>
      </c>
      <c r="AIO18" s="90">
        <v>1871</v>
      </c>
      <c r="AIP18" s="90">
        <v>952</v>
      </c>
      <c r="AIQ18" s="90" t="s">
        <v>38</v>
      </c>
      <c r="AIR18" s="90">
        <v>950</v>
      </c>
      <c r="AIS18" s="90">
        <v>158</v>
      </c>
      <c r="AIT18" s="90">
        <v>493</v>
      </c>
      <c r="AIU18" s="90">
        <v>245</v>
      </c>
      <c r="AIV18" s="90" t="s">
        <v>38</v>
      </c>
      <c r="AIW18" s="90">
        <v>1026</v>
      </c>
      <c r="AIX18" s="90">
        <v>261</v>
      </c>
      <c r="AIY18" s="90">
        <v>135</v>
      </c>
      <c r="AIZ18" s="90">
        <v>521</v>
      </c>
      <c r="AJA18" s="90">
        <v>2037</v>
      </c>
      <c r="AJB18" s="90">
        <v>11442</v>
      </c>
      <c r="AJC18" s="90" t="s">
        <v>38</v>
      </c>
      <c r="AJD18" s="92">
        <v>2209</v>
      </c>
      <c r="AJE18" s="90">
        <v>363</v>
      </c>
      <c r="AJF18" s="92">
        <v>1330</v>
      </c>
      <c r="AJG18" s="90">
        <v>938</v>
      </c>
      <c r="AJH18" s="90" t="s">
        <v>152</v>
      </c>
      <c r="AJI18" s="90">
        <v>838</v>
      </c>
      <c r="AJJ18" s="90" t="s">
        <v>38</v>
      </c>
      <c r="AJK18" s="90">
        <v>387</v>
      </c>
      <c r="AJL18" s="90">
        <v>1359</v>
      </c>
      <c r="AJM18" s="90">
        <v>11</v>
      </c>
      <c r="AJN18" s="90">
        <v>78</v>
      </c>
      <c r="AJO18" s="90">
        <v>77</v>
      </c>
      <c r="AJP18" s="90">
        <v>133</v>
      </c>
      <c r="AJQ18" s="90" t="s">
        <v>38</v>
      </c>
      <c r="AJR18" s="90" t="s">
        <v>38</v>
      </c>
      <c r="AJS18" s="90">
        <v>721</v>
      </c>
      <c r="AJT18" s="90" t="s">
        <v>38</v>
      </c>
      <c r="AJU18" s="90">
        <v>2527</v>
      </c>
      <c r="AJV18" s="90">
        <v>851</v>
      </c>
      <c r="AJW18" s="90" t="s">
        <v>38</v>
      </c>
      <c r="AJX18" s="90" t="s">
        <v>38</v>
      </c>
      <c r="AJY18" s="90">
        <v>1737</v>
      </c>
      <c r="AJZ18" s="90">
        <v>2030</v>
      </c>
      <c r="AKA18" s="90">
        <v>1259</v>
      </c>
      <c r="AKB18" s="90">
        <v>265</v>
      </c>
      <c r="AKC18" s="90" t="s">
        <v>38</v>
      </c>
      <c r="AKD18" s="90">
        <v>574</v>
      </c>
      <c r="AKE18" s="90" t="s">
        <v>38</v>
      </c>
      <c r="AKF18" s="90">
        <v>266</v>
      </c>
    </row>
    <row r="19" spans="1:968" s="90" customFormat="1" ht="15" customHeight="1">
      <c r="A19" s="88">
        <v>7</v>
      </c>
      <c r="B19" s="90" t="s">
        <v>176</v>
      </c>
      <c r="C19" s="89">
        <v>82660</v>
      </c>
      <c r="D19" s="89" t="s">
        <v>147</v>
      </c>
      <c r="E19" s="89" t="s">
        <v>174</v>
      </c>
      <c r="F19" s="89" t="s">
        <v>11</v>
      </c>
      <c r="G19" s="89" t="s">
        <v>33</v>
      </c>
      <c r="H19" s="89" t="s">
        <v>177</v>
      </c>
      <c r="I19" s="89" t="s">
        <v>45</v>
      </c>
      <c r="J19" s="89" t="s">
        <v>46</v>
      </c>
      <c r="K19" s="91">
        <v>15</v>
      </c>
      <c r="L19" s="91" t="s">
        <v>38</v>
      </c>
      <c r="M19" s="91">
        <v>1</v>
      </c>
      <c r="N19" s="91" t="s">
        <v>38</v>
      </c>
      <c r="O19" s="91" t="s">
        <v>38</v>
      </c>
      <c r="P19" s="91">
        <v>7</v>
      </c>
      <c r="Q19" s="91">
        <v>6</v>
      </c>
      <c r="R19" s="91">
        <v>1</v>
      </c>
      <c r="S19" s="91" t="s">
        <v>38</v>
      </c>
      <c r="T19" s="91" t="s">
        <v>38</v>
      </c>
      <c r="U19" s="91">
        <v>1</v>
      </c>
      <c r="V19" s="91" t="s">
        <v>38</v>
      </c>
      <c r="W19" s="91" t="s">
        <v>38</v>
      </c>
      <c r="X19" s="91" t="s">
        <v>38</v>
      </c>
      <c r="Y19" s="91">
        <v>7</v>
      </c>
      <c r="Z19" s="91" t="s">
        <v>38</v>
      </c>
      <c r="AA19" s="91">
        <v>901</v>
      </c>
      <c r="AB19" s="91" t="s">
        <v>38</v>
      </c>
      <c r="AC19" s="91" t="s">
        <v>38</v>
      </c>
      <c r="AD19" s="91">
        <v>1</v>
      </c>
      <c r="AE19" s="91">
        <v>12</v>
      </c>
      <c r="AF19" s="91">
        <v>1</v>
      </c>
      <c r="AG19" s="91">
        <v>1</v>
      </c>
      <c r="AH19" s="91" t="s">
        <v>38</v>
      </c>
      <c r="AI19" s="91" t="s">
        <v>38</v>
      </c>
      <c r="AJ19" s="91" t="s">
        <v>38</v>
      </c>
      <c r="AK19" s="91">
        <v>12</v>
      </c>
      <c r="AL19" s="91" t="s">
        <v>38</v>
      </c>
      <c r="AM19" s="91" t="s">
        <v>38</v>
      </c>
      <c r="AN19" s="91" t="s">
        <v>38</v>
      </c>
      <c r="AO19" s="91" t="s">
        <v>38</v>
      </c>
      <c r="AP19" s="91" t="s">
        <v>38</v>
      </c>
      <c r="AQ19" s="91" t="s">
        <v>38</v>
      </c>
      <c r="AR19" s="91" t="s">
        <v>38</v>
      </c>
      <c r="AS19" s="91" t="s">
        <v>38</v>
      </c>
      <c r="AT19" s="91" t="s">
        <v>38</v>
      </c>
      <c r="AU19" s="91" t="s">
        <v>38</v>
      </c>
      <c r="AV19" s="91" t="s">
        <v>38</v>
      </c>
      <c r="AW19" s="91" t="s">
        <v>38</v>
      </c>
      <c r="AX19" s="91" t="s">
        <v>38</v>
      </c>
      <c r="AY19" s="91"/>
      <c r="AZ19" s="91"/>
      <c r="BA19" s="91"/>
      <c r="BB19" s="91"/>
      <c r="BC19" s="91"/>
      <c r="BD19" s="91"/>
      <c r="BE19" s="91" t="s">
        <v>38</v>
      </c>
      <c r="BF19" s="91">
        <v>30</v>
      </c>
      <c r="BG19" s="91">
        <v>16</v>
      </c>
      <c r="BH19" s="91" t="s">
        <v>38</v>
      </c>
      <c r="BI19" s="90" t="s">
        <v>38</v>
      </c>
      <c r="BJ19" s="90">
        <v>21</v>
      </c>
      <c r="BK19" s="90" t="s">
        <v>38</v>
      </c>
      <c r="BL19" s="90" t="s">
        <v>38</v>
      </c>
      <c r="BM19" s="90">
        <v>21</v>
      </c>
      <c r="BN19" s="90">
        <v>10</v>
      </c>
      <c r="BO19" s="90">
        <v>14</v>
      </c>
      <c r="BP19" s="90">
        <v>47</v>
      </c>
      <c r="BQ19" s="90">
        <v>10</v>
      </c>
      <c r="BR19" s="90" t="s">
        <v>38</v>
      </c>
      <c r="BS19" s="90" t="s">
        <v>38</v>
      </c>
      <c r="BT19" s="90" t="s">
        <v>38</v>
      </c>
      <c r="BU19" s="90" t="s">
        <v>38</v>
      </c>
      <c r="BV19" s="90" t="s">
        <v>38</v>
      </c>
      <c r="BW19" s="90" t="s">
        <v>38</v>
      </c>
      <c r="BX19" s="90">
        <v>1</v>
      </c>
      <c r="BY19" s="90" t="s">
        <v>38</v>
      </c>
      <c r="BZ19" s="90" t="s">
        <v>38</v>
      </c>
      <c r="CA19" s="90">
        <v>3</v>
      </c>
      <c r="CB19" s="90">
        <v>16</v>
      </c>
      <c r="CC19" s="90" t="s">
        <v>38</v>
      </c>
      <c r="CD19" s="90">
        <v>8</v>
      </c>
      <c r="CE19" s="90">
        <v>7</v>
      </c>
      <c r="CF19" s="90" t="s">
        <v>38</v>
      </c>
      <c r="CG19" s="90" t="s">
        <v>38</v>
      </c>
      <c r="CH19" s="90" t="s">
        <v>38</v>
      </c>
      <c r="CI19" s="90" t="s">
        <v>38</v>
      </c>
      <c r="CJ19" s="90" t="s">
        <v>38</v>
      </c>
      <c r="CK19" s="90">
        <v>1</v>
      </c>
      <c r="CL19" s="90">
        <v>11</v>
      </c>
      <c r="CM19" s="90" t="s">
        <v>38</v>
      </c>
      <c r="CN19" s="90" t="s">
        <v>38</v>
      </c>
      <c r="CO19" s="90">
        <v>9</v>
      </c>
      <c r="CP19" s="90">
        <v>1</v>
      </c>
      <c r="CQ19" s="90">
        <v>22</v>
      </c>
      <c r="CR19" s="90">
        <v>1</v>
      </c>
      <c r="CS19" s="90" t="s">
        <v>38</v>
      </c>
      <c r="CV19" s="90" t="s">
        <v>38</v>
      </c>
      <c r="CW19" s="90" t="s">
        <v>38</v>
      </c>
      <c r="CX19" s="90" t="s">
        <v>38</v>
      </c>
      <c r="CY19" s="90">
        <v>24</v>
      </c>
      <c r="CZ19" s="90">
        <v>29</v>
      </c>
      <c r="DA19" s="90">
        <v>178</v>
      </c>
      <c r="DB19" s="90">
        <v>117</v>
      </c>
      <c r="DC19" s="90">
        <v>136</v>
      </c>
      <c r="DD19" s="90" t="s">
        <v>38</v>
      </c>
      <c r="DE19" s="90">
        <v>16</v>
      </c>
      <c r="DF19" s="90">
        <v>12</v>
      </c>
      <c r="DG19" s="90">
        <v>14</v>
      </c>
      <c r="DH19" s="90" t="s">
        <v>38</v>
      </c>
      <c r="DI19" s="90" t="s">
        <v>38</v>
      </c>
      <c r="DJ19" s="90">
        <v>33</v>
      </c>
      <c r="DK19" s="90">
        <v>3</v>
      </c>
      <c r="DL19" s="90" t="s">
        <v>38</v>
      </c>
      <c r="DM19" s="90">
        <v>39</v>
      </c>
      <c r="DN19" s="90">
        <v>16</v>
      </c>
      <c r="DO19" s="90" t="s">
        <v>38</v>
      </c>
      <c r="DS19" s="90">
        <v>13</v>
      </c>
      <c r="DT19" s="90">
        <v>8</v>
      </c>
      <c r="DU19" s="90">
        <v>73</v>
      </c>
      <c r="DX19" s="90">
        <v>11</v>
      </c>
      <c r="EF19" s="90">
        <v>281</v>
      </c>
      <c r="EH19" s="90">
        <v>151</v>
      </c>
      <c r="EI19" s="90">
        <v>458</v>
      </c>
      <c r="EL19" s="90">
        <v>17</v>
      </c>
      <c r="EZ19" s="90">
        <v>4</v>
      </c>
      <c r="FB19" s="90">
        <v>4</v>
      </c>
      <c r="FG19" s="90">
        <v>6</v>
      </c>
      <c r="FH19" s="90">
        <v>8</v>
      </c>
      <c r="FR19" s="90">
        <v>25</v>
      </c>
      <c r="FW19" s="90">
        <v>11</v>
      </c>
      <c r="GI19" s="90">
        <v>4</v>
      </c>
      <c r="GQ19" s="90">
        <v>49</v>
      </c>
      <c r="GT19" s="90">
        <v>13</v>
      </c>
      <c r="GZ19" s="90">
        <v>28</v>
      </c>
      <c r="HD19" s="90">
        <v>4</v>
      </c>
      <c r="HE19" s="90">
        <v>23</v>
      </c>
      <c r="HG19" s="90">
        <v>69</v>
      </c>
      <c r="HH19" s="90">
        <v>42</v>
      </c>
      <c r="HK19" s="90">
        <v>73</v>
      </c>
      <c r="HL19" s="90">
        <v>26</v>
      </c>
      <c r="HM19" s="90">
        <v>99</v>
      </c>
      <c r="HN19" s="90">
        <v>65</v>
      </c>
      <c r="HO19" s="90">
        <v>130</v>
      </c>
      <c r="HS19" s="90">
        <v>5</v>
      </c>
      <c r="IB19" s="90">
        <v>30</v>
      </c>
      <c r="IC19" s="90">
        <v>16</v>
      </c>
      <c r="ID19" s="90">
        <v>12</v>
      </c>
      <c r="IG19" s="90">
        <v>7</v>
      </c>
      <c r="IJ19" s="90">
        <v>3</v>
      </c>
      <c r="IM19" s="90">
        <v>10</v>
      </c>
      <c r="IN19" s="90">
        <v>7</v>
      </c>
      <c r="IO19" s="90">
        <v>8</v>
      </c>
      <c r="IP19" s="90">
        <v>9</v>
      </c>
      <c r="IV19" s="90">
        <v>128</v>
      </c>
      <c r="JA19" s="90">
        <v>1</v>
      </c>
      <c r="JI19" s="90">
        <v>11</v>
      </c>
      <c r="JJ19" s="90">
        <v>3</v>
      </c>
      <c r="JK19" s="90">
        <v>54</v>
      </c>
      <c r="JL19" s="90">
        <v>61</v>
      </c>
      <c r="JS19" s="90">
        <v>191</v>
      </c>
      <c r="KD19" s="90">
        <v>4</v>
      </c>
      <c r="KE19" s="90">
        <v>40</v>
      </c>
      <c r="KF19" s="90">
        <v>2</v>
      </c>
      <c r="KK19" s="90">
        <v>10</v>
      </c>
      <c r="KL19" s="90">
        <v>2</v>
      </c>
      <c r="KM19" s="90">
        <v>13</v>
      </c>
      <c r="KV19" s="90">
        <v>15</v>
      </c>
      <c r="KX19" s="90">
        <v>34</v>
      </c>
      <c r="LA19" s="90">
        <v>6</v>
      </c>
      <c r="LB19" s="90">
        <v>12</v>
      </c>
      <c r="LE19" s="90">
        <v>2</v>
      </c>
      <c r="LF19" s="90">
        <v>4</v>
      </c>
      <c r="LG19" s="90">
        <v>3</v>
      </c>
      <c r="LH19" s="90">
        <v>4</v>
      </c>
      <c r="LL19" s="90">
        <v>3</v>
      </c>
      <c r="LN19" s="90">
        <v>22</v>
      </c>
      <c r="LT19" s="90">
        <v>7</v>
      </c>
      <c r="LU19" s="90">
        <v>2</v>
      </c>
      <c r="LV19" s="90">
        <v>50</v>
      </c>
      <c r="LZ19" s="90">
        <v>15</v>
      </c>
      <c r="MB19" s="90">
        <v>12</v>
      </c>
      <c r="MC19" s="90">
        <v>1</v>
      </c>
      <c r="MK19" s="90">
        <v>65</v>
      </c>
      <c r="MN19" s="90">
        <v>30</v>
      </c>
      <c r="MP19" s="90">
        <v>37</v>
      </c>
      <c r="MQ19" s="90">
        <v>4</v>
      </c>
      <c r="MR19" s="90">
        <v>0</v>
      </c>
      <c r="MS19" s="90">
        <v>185</v>
      </c>
      <c r="MV19" s="90">
        <v>6</v>
      </c>
      <c r="MW19" s="90">
        <v>354</v>
      </c>
      <c r="MX19" s="90">
        <v>12</v>
      </c>
      <c r="MY19" s="90">
        <v>972</v>
      </c>
      <c r="MZ19" s="90">
        <v>255</v>
      </c>
      <c r="NB19" s="90">
        <v>19</v>
      </c>
      <c r="NC19" s="90">
        <v>126</v>
      </c>
      <c r="NE19" s="90">
        <v>567</v>
      </c>
      <c r="NF19" s="90">
        <v>17</v>
      </c>
      <c r="NG19" s="90">
        <v>118</v>
      </c>
      <c r="NI19" s="90">
        <v>57</v>
      </c>
      <c r="NJ19" s="90">
        <v>30</v>
      </c>
      <c r="NK19" s="90">
        <v>249</v>
      </c>
      <c r="NL19" s="90">
        <v>0</v>
      </c>
      <c r="NM19" s="90">
        <v>1</v>
      </c>
      <c r="NN19" s="90">
        <v>140</v>
      </c>
      <c r="NP19" s="90">
        <v>35</v>
      </c>
      <c r="NT19" s="90">
        <v>57</v>
      </c>
      <c r="OA19" s="90">
        <v>38</v>
      </c>
      <c r="OB19" s="90">
        <v>3</v>
      </c>
      <c r="OH19" s="90">
        <v>50</v>
      </c>
      <c r="OI19" s="90">
        <v>48</v>
      </c>
      <c r="ON19" s="90">
        <v>331</v>
      </c>
      <c r="OP19" s="90">
        <v>27</v>
      </c>
      <c r="OR19" s="90">
        <v>10</v>
      </c>
      <c r="OS19" s="90">
        <v>20</v>
      </c>
      <c r="OT19" s="90">
        <v>53</v>
      </c>
      <c r="OV19" s="90">
        <v>61</v>
      </c>
      <c r="OY19" s="90">
        <v>52</v>
      </c>
      <c r="OZ19" s="90">
        <v>70</v>
      </c>
      <c r="PB19" s="90">
        <v>20</v>
      </c>
      <c r="PC19" s="90">
        <v>60</v>
      </c>
      <c r="PF19" s="90">
        <v>305</v>
      </c>
      <c r="PG19" s="90">
        <v>97</v>
      </c>
      <c r="PH19" s="90">
        <v>66</v>
      </c>
      <c r="PI19" s="90">
        <v>93</v>
      </c>
      <c r="PJ19" s="90">
        <v>74</v>
      </c>
      <c r="PK19" s="90">
        <v>69</v>
      </c>
      <c r="PM19" s="90">
        <v>12</v>
      </c>
      <c r="PN19" s="90">
        <v>1</v>
      </c>
      <c r="PP19" s="90">
        <v>6</v>
      </c>
      <c r="PQ19" s="90">
        <v>6</v>
      </c>
      <c r="PW19" s="90">
        <v>333</v>
      </c>
      <c r="QA19" s="90">
        <v>20</v>
      </c>
      <c r="QC19" s="90">
        <v>27</v>
      </c>
      <c r="QD19" s="90">
        <v>5</v>
      </c>
      <c r="QE19" s="90">
        <v>38</v>
      </c>
      <c r="QH19" s="90">
        <v>41</v>
      </c>
      <c r="QI19" s="90">
        <v>3</v>
      </c>
      <c r="QJ19" s="90">
        <v>50</v>
      </c>
      <c r="QK19" s="90">
        <v>27</v>
      </c>
      <c r="QL19" s="90">
        <v>6</v>
      </c>
      <c r="QO19" s="90">
        <v>2022</v>
      </c>
      <c r="QQ19" s="90">
        <v>48</v>
      </c>
      <c r="QR19" s="90">
        <v>76</v>
      </c>
      <c r="QS19" s="90">
        <v>60</v>
      </c>
      <c r="QV19" s="90">
        <v>717</v>
      </c>
      <c r="QW19" s="90">
        <v>1124</v>
      </c>
      <c r="QX19" s="90">
        <v>21</v>
      </c>
      <c r="RA19" s="90">
        <v>127</v>
      </c>
      <c r="RC19" s="90">
        <v>1</v>
      </c>
      <c r="RD19" s="90">
        <v>278</v>
      </c>
      <c r="RE19" s="90">
        <v>53</v>
      </c>
      <c r="RF19" s="90">
        <v>2</v>
      </c>
      <c r="RG19" s="90">
        <v>457</v>
      </c>
      <c r="RJ19" s="90">
        <v>197</v>
      </c>
      <c r="RK19" s="90">
        <v>60</v>
      </c>
      <c r="RL19" s="90">
        <v>1381</v>
      </c>
      <c r="RQ19" s="90">
        <v>87</v>
      </c>
      <c r="RR19" s="90">
        <v>487</v>
      </c>
      <c r="RS19" s="90">
        <v>506</v>
      </c>
      <c r="RT19" s="90">
        <v>255</v>
      </c>
      <c r="RU19" s="90">
        <v>156</v>
      </c>
      <c r="RX19" s="90">
        <v>366</v>
      </c>
      <c r="RY19" s="90">
        <v>53</v>
      </c>
      <c r="RZ19" s="90">
        <v>370</v>
      </c>
      <c r="SB19" s="90">
        <v>288</v>
      </c>
      <c r="SF19" s="90">
        <v>39</v>
      </c>
      <c r="SG19" s="90">
        <v>15</v>
      </c>
      <c r="SI19" s="90">
        <v>111</v>
      </c>
      <c r="SL19" s="90">
        <v>5</v>
      </c>
      <c r="SM19" s="90">
        <v>114</v>
      </c>
      <c r="SN19" s="90">
        <v>53</v>
      </c>
      <c r="SO19" s="90">
        <v>25</v>
      </c>
      <c r="SP19" s="90">
        <v>453</v>
      </c>
      <c r="SS19" s="90">
        <v>2305</v>
      </c>
      <c r="ST19" s="90">
        <v>216</v>
      </c>
      <c r="SU19" s="90">
        <v>162</v>
      </c>
      <c r="SV19" s="90">
        <v>201</v>
      </c>
      <c r="SW19" s="90">
        <v>76</v>
      </c>
      <c r="SZ19" s="90">
        <v>187</v>
      </c>
      <c r="TA19" s="90">
        <v>2059</v>
      </c>
      <c r="TB19" s="90">
        <v>154</v>
      </c>
      <c r="TC19" s="90">
        <v>6</v>
      </c>
      <c r="TD19" s="90">
        <v>364</v>
      </c>
      <c r="TG19" s="90">
        <v>565</v>
      </c>
      <c r="TH19" s="90">
        <v>266</v>
      </c>
      <c r="TI19" s="90">
        <v>145</v>
      </c>
      <c r="TJ19" s="90">
        <v>196</v>
      </c>
      <c r="TK19" s="90">
        <v>157</v>
      </c>
      <c r="TL19" s="90">
        <v>643</v>
      </c>
      <c r="TO19" s="90">
        <v>281</v>
      </c>
      <c r="TQ19" s="90">
        <v>309</v>
      </c>
      <c r="TR19" s="90">
        <v>553</v>
      </c>
      <c r="TW19" s="90">
        <v>446</v>
      </c>
      <c r="TX19" s="90">
        <v>2631</v>
      </c>
      <c r="TY19" s="90">
        <v>18</v>
      </c>
      <c r="UE19" s="90">
        <v>1943</v>
      </c>
      <c r="UF19" s="90">
        <v>70</v>
      </c>
      <c r="UI19" s="90">
        <v>193</v>
      </c>
      <c r="UJ19" s="90">
        <v>68</v>
      </c>
      <c r="UK19" s="90">
        <v>247</v>
      </c>
      <c r="UM19" s="90">
        <v>1066</v>
      </c>
      <c r="UN19" s="90">
        <v>661</v>
      </c>
      <c r="UQ19" s="90">
        <v>233</v>
      </c>
      <c r="US19" s="90">
        <v>484</v>
      </c>
      <c r="UT19" s="90">
        <v>383</v>
      </c>
      <c r="UX19" s="90">
        <v>719</v>
      </c>
      <c r="UY19" s="90">
        <v>398</v>
      </c>
      <c r="UZ19" s="90">
        <v>42</v>
      </c>
      <c r="VA19" s="90">
        <v>997</v>
      </c>
      <c r="VD19" s="90">
        <v>309</v>
      </c>
      <c r="VE19" s="90">
        <v>25</v>
      </c>
      <c r="VF19" s="90">
        <v>1352</v>
      </c>
      <c r="VH19" s="90">
        <v>425</v>
      </c>
      <c r="VI19" s="90">
        <v>654</v>
      </c>
      <c r="VK19" s="90">
        <v>869</v>
      </c>
      <c r="VL19" s="90">
        <v>714</v>
      </c>
      <c r="VM19" s="90">
        <v>507</v>
      </c>
      <c r="VN19" s="90">
        <v>240</v>
      </c>
      <c r="VO19" s="90">
        <v>129</v>
      </c>
      <c r="VP19" s="90">
        <v>363</v>
      </c>
      <c r="VR19" s="90">
        <v>511</v>
      </c>
      <c r="VT19" s="90">
        <v>459</v>
      </c>
      <c r="VU19" s="90">
        <v>1135</v>
      </c>
      <c r="VX19" s="90">
        <v>428</v>
      </c>
      <c r="VY19" s="90">
        <v>1005</v>
      </c>
      <c r="VZ19" s="90">
        <v>251</v>
      </c>
      <c r="WA19" s="90">
        <v>379</v>
      </c>
      <c r="WB19" s="90">
        <v>71</v>
      </c>
      <c r="WC19" s="90">
        <v>434</v>
      </c>
      <c r="WF19" s="90">
        <v>1388</v>
      </c>
      <c r="WG19" s="90">
        <v>1506</v>
      </c>
      <c r="WH19" s="90">
        <v>3030</v>
      </c>
      <c r="WI19" s="90">
        <v>2203</v>
      </c>
      <c r="WK19" s="90">
        <v>1523</v>
      </c>
      <c r="WM19" s="90">
        <v>127</v>
      </c>
      <c r="WQ19" s="90">
        <v>4655</v>
      </c>
      <c r="WR19" s="90">
        <v>1595</v>
      </c>
      <c r="WT19" s="90">
        <v>1350</v>
      </c>
      <c r="WU19" s="90">
        <v>198</v>
      </c>
      <c r="WV19" s="90">
        <v>25</v>
      </c>
      <c r="WW19" s="90">
        <v>586</v>
      </c>
      <c r="WX19" s="90">
        <v>522</v>
      </c>
      <c r="WY19" s="90">
        <v>814</v>
      </c>
      <c r="XB19" s="90">
        <v>2436</v>
      </c>
      <c r="XC19" s="90">
        <v>174</v>
      </c>
      <c r="XD19" s="90">
        <v>276</v>
      </c>
      <c r="XE19" s="90">
        <v>784</v>
      </c>
      <c r="XH19" s="90">
        <v>5274</v>
      </c>
      <c r="XI19" s="90">
        <v>3198</v>
      </c>
      <c r="XJ19" s="90">
        <v>2160</v>
      </c>
      <c r="XK19" s="90">
        <v>246</v>
      </c>
      <c r="XL19" s="90">
        <v>1227</v>
      </c>
      <c r="XM19" s="90">
        <v>1044</v>
      </c>
      <c r="XO19" s="90">
        <v>862</v>
      </c>
      <c r="XP19" s="90">
        <v>860</v>
      </c>
      <c r="XQ19" s="90">
        <v>639</v>
      </c>
      <c r="XR19" s="90">
        <v>2059</v>
      </c>
      <c r="XS19" s="90" t="s">
        <v>38</v>
      </c>
      <c r="XT19" s="90">
        <v>3321</v>
      </c>
      <c r="XU19" s="90" t="s">
        <v>38</v>
      </c>
      <c r="XW19" s="90">
        <v>1456</v>
      </c>
      <c r="XX19" s="90">
        <v>598</v>
      </c>
      <c r="XY19" s="90">
        <v>67</v>
      </c>
      <c r="XZ19" s="90">
        <v>1134</v>
      </c>
      <c r="YA19" s="90">
        <v>689</v>
      </c>
      <c r="YB19" s="90" t="s">
        <v>38</v>
      </c>
      <c r="YC19" s="90">
        <v>116</v>
      </c>
      <c r="YD19" s="90">
        <v>565</v>
      </c>
      <c r="YE19" s="90">
        <v>164</v>
      </c>
      <c r="YF19" s="90">
        <v>429</v>
      </c>
      <c r="YG19" s="90" t="s">
        <v>38</v>
      </c>
      <c r="YH19" s="90" t="s">
        <v>38</v>
      </c>
      <c r="YI19" s="90">
        <v>2305</v>
      </c>
      <c r="YJ19" s="90">
        <v>1017</v>
      </c>
      <c r="YL19" s="90">
        <v>1274</v>
      </c>
      <c r="YM19" s="90">
        <v>703</v>
      </c>
      <c r="YN19" s="90">
        <v>393</v>
      </c>
      <c r="YQ19" s="90">
        <v>682</v>
      </c>
      <c r="YR19" s="90">
        <v>94</v>
      </c>
      <c r="YS19" s="90">
        <v>213</v>
      </c>
      <c r="YT19" s="90">
        <v>322</v>
      </c>
      <c r="YU19" s="90">
        <v>108</v>
      </c>
      <c r="YV19" s="90">
        <v>467</v>
      </c>
      <c r="YW19" s="90" t="s">
        <v>38</v>
      </c>
      <c r="YX19" s="90">
        <v>38</v>
      </c>
      <c r="YY19" s="90">
        <v>91</v>
      </c>
      <c r="YZ19" s="90">
        <v>136</v>
      </c>
      <c r="ZA19" s="90">
        <v>215</v>
      </c>
      <c r="ZB19" s="90" t="s">
        <v>38</v>
      </c>
      <c r="ZC19" s="90">
        <v>1004</v>
      </c>
      <c r="ZE19" s="92">
        <v>2117</v>
      </c>
      <c r="ZF19" s="90">
        <v>225</v>
      </c>
      <c r="ZG19" s="90">
        <v>450</v>
      </c>
      <c r="ZH19" s="90">
        <v>103</v>
      </c>
      <c r="ZI19" s="90" t="s">
        <v>152</v>
      </c>
      <c r="ZJ19" s="90">
        <v>730</v>
      </c>
      <c r="ZL19" s="90">
        <v>204</v>
      </c>
      <c r="ZM19" s="90" t="s">
        <v>152</v>
      </c>
      <c r="ZN19" s="90">
        <v>382</v>
      </c>
      <c r="ZO19" s="90">
        <v>66</v>
      </c>
      <c r="ZP19" s="90">
        <v>1530</v>
      </c>
      <c r="ZQ19" s="90">
        <v>1127</v>
      </c>
      <c r="ZR19" s="90" t="s">
        <v>38</v>
      </c>
      <c r="ZS19" s="91">
        <v>1342</v>
      </c>
      <c r="ZT19" s="91">
        <v>1487</v>
      </c>
      <c r="ZU19" s="91">
        <v>183</v>
      </c>
      <c r="ZV19" s="91">
        <v>20</v>
      </c>
      <c r="ZW19" s="91" t="s">
        <v>38</v>
      </c>
      <c r="ZX19" s="91">
        <v>537</v>
      </c>
      <c r="ZY19" s="91" t="s">
        <v>38</v>
      </c>
      <c r="ZZ19" s="91">
        <v>484</v>
      </c>
      <c r="AAA19" s="91">
        <v>51</v>
      </c>
      <c r="AAB19" s="91">
        <v>306</v>
      </c>
      <c r="AAC19" s="91">
        <v>122</v>
      </c>
      <c r="AAD19" s="91">
        <v>96</v>
      </c>
      <c r="AAE19" s="91">
        <v>753</v>
      </c>
      <c r="AAF19" s="91" t="s">
        <v>152</v>
      </c>
      <c r="AAG19" s="91">
        <v>396</v>
      </c>
      <c r="AAH19" s="91" t="s">
        <v>152</v>
      </c>
      <c r="AAI19" s="91" t="s">
        <v>152</v>
      </c>
      <c r="AAJ19" s="90">
        <v>606</v>
      </c>
      <c r="AAK19" s="90">
        <v>694</v>
      </c>
      <c r="AAL19" s="92">
        <v>2619</v>
      </c>
      <c r="AAM19" s="90" t="s">
        <v>152</v>
      </c>
      <c r="AAN19" s="90">
        <v>629</v>
      </c>
      <c r="AAO19" s="90">
        <v>758</v>
      </c>
      <c r="AAP19" s="90">
        <v>352</v>
      </c>
      <c r="AAQ19" s="90">
        <v>391</v>
      </c>
      <c r="AAR19" s="90" t="s">
        <v>152</v>
      </c>
      <c r="AAS19" s="90" t="s">
        <v>152</v>
      </c>
      <c r="AAT19" s="90">
        <v>595</v>
      </c>
      <c r="AAU19" s="90" t="s">
        <v>152</v>
      </c>
      <c r="AAV19" s="90">
        <v>262</v>
      </c>
      <c r="AAW19" s="90">
        <v>313</v>
      </c>
      <c r="AAX19" s="90">
        <v>650</v>
      </c>
      <c r="AAY19" s="88">
        <v>39</v>
      </c>
      <c r="AAZ19" s="92">
        <v>2621</v>
      </c>
      <c r="ABA19" s="90" t="s">
        <v>152</v>
      </c>
      <c r="ABB19" s="92">
        <v>2185</v>
      </c>
      <c r="ABC19" s="90">
        <v>40</v>
      </c>
      <c r="ABD19" s="90">
        <v>186</v>
      </c>
      <c r="ABE19" s="120"/>
      <c r="ABF19" s="90">
        <v>131</v>
      </c>
      <c r="ABG19" s="90">
        <v>3841</v>
      </c>
      <c r="ABH19" s="90" t="s">
        <v>38</v>
      </c>
      <c r="ABI19" s="90">
        <v>6079</v>
      </c>
      <c r="ABJ19" s="90">
        <v>1303</v>
      </c>
      <c r="ABK19" s="90">
        <v>211</v>
      </c>
      <c r="ABL19" s="90">
        <v>496</v>
      </c>
      <c r="ABM19" s="90">
        <v>85</v>
      </c>
      <c r="ABN19" s="90">
        <v>4851</v>
      </c>
      <c r="ABP19" s="90">
        <v>685</v>
      </c>
      <c r="ABQ19" s="90">
        <v>80</v>
      </c>
      <c r="ABR19" s="90">
        <v>2562</v>
      </c>
      <c r="ABS19" s="90">
        <v>1708</v>
      </c>
      <c r="ABT19" s="90">
        <v>1200</v>
      </c>
      <c r="ABU19" s="90">
        <v>1928</v>
      </c>
      <c r="ABV19" s="90" t="s">
        <v>38</v>
      </c>
      <c r="ABW19" s="90">
        <v>1698</v>
      </c>
      <c r="ABX19" s="90" t="s">
        <v>38</v>
      </c>
      <c r="ABY19" s="90">
        <v>1816</v>
      </c>
      <c r="ABZ19" s="90">
        <v>880</v>
      </c>
      <c r="ACA19" s="90">
        <v>1354</v>
      </c>
      <c r="ACB19" s="90">
        <v>2082</v>
      </c>
      <c r="ACC19" s="90" t="s">
        <v>38</v>
      </c>
      <c r="ACD19" s="90">
        <v>550</v>
      </c>
      <c r="ACE19" s="90">
        <v>1697</v>
      </c>
      <c r="ACF19" s="90">
        <v>694</v>
      </c>
      <c r="ACG19" s="90">
        <v>1400</v>
      </c>
      <c r="ACH19" s="90">
        <v>628</v>
      </c>
      <c r="ACI19" s="90">
        <v>3627</v>
      </c>
      <c r="ACK19" s="90">
        <v>1492</v>
      </c>
      <c r="ACL19" s="90">
        <v>2085</v>
      </c>
      <c r="ACM19" s="90">
        <v>0</v>
      </c>
      <c r="ACN19" s="90">
        <v>0</v>
      </c>
      <c r="ACO19" s="90">
        <v>0</v>
      </c>
      <c r="ACP19" s="90">
        <v>0</v>
      </c>
      <c r="ACQ19" s="90">
        <v>0</v>
      </c>
      <c r="ACR19" s="90">
        <v>688</v>
      </c>
      <c r="ACS19" s="90">
        <v>2475</v>
      </c>
      <c r="ACT19" s="90">
        <v>381</v>
      </c>
      <c r="ACU19" s="90">
        <v>3126</v>
      </c>
      <c r="ACV19" s="90" t="s">
        <v>38</v>
      </c>
      <c r="ACW19" s="90" t="s">
        <v>38</v>
      </c>
      <c r="ACX19" s="90">
        <v>2079</v>
      </c>
      <c r="ACY19" s="90">
        <v>2733</v>
      </c>
      <c r="ACZ19" s="90">
        <v>1470</v>
      </c>
      <c r="ADA19" s="90">
        <v>1423</v>
      </c>
      <c r="ADB19" s="90">
        <v>769</v>
      </c>
      <c r="ADC19" s="90" t="s">
        <v>38</v>
      </c>
      <c r="ADD19" s="90" t="s">
        <v>38</v>
      </c>
      <c r="ADE19" s="90">
        <v>606</v>
      </c>
      <c r="ADF19" s="90">
        <v>1</v>
      </c>
      <c r="ADG19" s="90">
        <v>639</v>
      </c>
      <c r="ADH19" s="90">
        <v>1005</v>
      </c>
      <c r="ADI19" s="90">
        <v>213</v>
      </c>
      <c r="ADJ19" s="90">
        <v>1602</v>
      </c>
      <c r="ADK19" s="90">
        <v>644</v>
      </c>
      <c r="ADL19" s="90" t="s">
        <v>38</v>
      </c>
      <c r="ADM19" s="90">
        <v>100</v>
      </c>
      <c r="ADN19" s="90">
        <v>1691</v>
      </c>
      <c r="ADO19" s="90">
        <v>196</v>
      </c>
      <c r="ADP19" s="90">
        <v>3</v>
      </c>
      <c r="ADQ19" s="90" t="s">
        <v>38</v>
      </c>
      <c r="ADR19" s="90">
        <v>760</v>
      </c>
      <c r="ADS19" s="90" t="s">
        <v>38</v>
      </c>
      <c r="ADT19" s="90" t="s">
        <v>38</v>
      </c>
      <c r="ADU19" s="90" t="s">
        <v>38</v>
      </c>
      <c r="ADX19" s="90" t="s">
        <v>38</v>
      </c>
      <c r="ADY19" s="90" t="s">
        <v>38</v>
      </c>
      <c r="ADZ19" s="90" t="s">
        <v>38</v>
      </c>
      <c r="AEA19" s="90" t="s">
        <v>38</v>
      </c>
      <c r="AEB19" s="90" t="s">
        <v>38</v>
      </c>
      <c r="AEC19" s="90" t="s">
        <v>38</v>
      </c>
      <c r="AED19" s="90" t="s">
        <v>38</v>
      </c>
      <c r="AEE19" s="90" t="s">
        <v>38</v>
      </c>
      <c r="AEF19" s="90">
        <v>73</v>
      </c>
      <c r="AEG19" s="90" t="s">
        <v>38</v>
      </c>
      <c r="AEH19" s="90">
        <v>296</v>
      </c>
      <c r="AEI19" s="90">
        <v>303</v>
      </c>
      <c r="AEJ19" s="90">
        <v>920</v>
      </c>
      <c r="AEK19" s="90">
        <v>2162</v>
      </c>
      <c r="AEL19" s="90">
        <v>842</v>
      </c>
      <c r="AEM19" s="90">
        <v>4421</v>
      </c>
      <c r="AEO19" s="90">
        <v>633</v>
      </c>
      <c r="AEP19" s="90">
        <v>1100</v>
      </c>
      <c r="AEQ19" s="90">
        <v>268</v>
      </c>
      <c r="AER19" s="90">
        <v>562</v>
      </c>
      <c r="AES19" s="90">
        <v>297</v>
      </c>
      <c r="AET19" s="90">
        <v>225</v>
      </c>
      <c r="AEU19" s="90" t="s">
        <v>38</v>
      </c>
      <c r="AEV19" s="90">
        <v>820</v>
      </c>
      <c r="AEW19" s="90">
        <v>368</v>
      </c>
      <c r="AEX19" s="90">
        <v>784</v>
      </c>
      <c r="AEY19" s="90">
        <v>866</v>
      </c>
      <c r="AEZ19" s="90" t="s">
        <v>38</v>
      </c>
      <c r="AFA19" s="90">
        <v>511</v>
      </c>
      <c r="AFB19" s="90" t="s">
        <v>38</v>
      </c>
      <c r="AFC19" s="90" t="s">
        <v>38</v>
      </c>
      <c r="AFD19" s="90">
        <v>291</v>
      </c>
      <c r="AFE19" s="90">
        <v>294</v>
      </c>
      <c r="AFF19" s="90">
        <v>331</v>
      </c>
      <c r="AFG19" s="90">
        <v>982</v>
      </c>
      <c r="AFH19" s="90">
        <v>548</v>
      </c>
      <c r="AFI19" s="90" t="s">
        <v>38</v>
      </c>
      <c r="AFJ19" s="90">
        <v>633</v>
      </c>
      <c r="AFK19" s="90">
        <v>470</v>
      </c>
      <c r="AFL19" s="90">
        <v>165</v>
      </c>
      <c r="AFM19" s="90">
        <v>888</v>
      </c>
      <c r="AFN19" s="90">
        <v>986</v>
      </c>
      <c r="AFO19" s="90">
        <v>1541</v>
      </c>
      <c r="AFP19" s="90" t="s">
        <v>38</v>
      </c>
      <c r="AFQ19" s="90">
        <v>545</v>
      </c>
      <c r="AFR19" s="90">
        <v>199</v>
      </c>
      <c r="AFS19" s="90">
        <v>55</v>
      </c>
      <c r="AFT19" s="90">
        <v>401</v>
      </c>
      <c r="AFU19" s="90">
        <v>1</v>
      </c>
      <c r="AFV19" s="90">
        <v>133</v>
      </c>
      <c r="AFW19" s="90" t="s">
        <v>38</v>
      </c>
      <c r="AFX19" s="90">
        <v>428</v>
      </c>
      <c r="AFY19" s="90">
        <v>20</v>
      </c>
      <c r="AFZ19" s="90">
        <v>299</v>
      </c>
      <c r="AGA19" s="90">
        <v>138</v>
      </c>
      <c r="AGB19" s="90">
        <v>43</v>
      </c>
      <c r="AGC19" s="90">
        <v>611</v>
      </c>
      <c r="AGD19" s="90" t="s">
        <v>38</v>
      </c>
      <c r="AGE19" s="90">
        <v>813</v>
      </c>
      <c r="AGF19" s="90" t="s">
        <v>38</v>
      </c>
      <c r="AGG19" s="90">
        <v>528</v>
      </c>
      <c r="AGH19" s="90">
        <v>270</v>
      </c>
      <c r="AGI19" s="90">
        <v>251</v>
      </c>
      <c r="AGJ19" s="90" t="s">
        <v>38</v>
      </c>
      <c r="AGK19" s="90" t="s">
        <v>38</v>
      </c>
      <c r="AGL19" s="90">
        <v>949</v>
      </c>
      <c r="AGM19" s="90" t="s">
        <v>38</v>
      </c>
      <c r="AGN19" s="90">
        <v>580</v>
      </c>
      <c r="AGO19" s="90">
        <v>15</v>
      </c>
      <c r="AGP19" s="90">
        <v>499</v>
      </c>
      <c r="AGQ19" s="90">
        <v>301</v>
      </c>
      <c r="AGR19" s="90" t="s">
        <v>38</v>
      </c>
      <c r="AGS19" s="90">
        <v>924</v>
      </c>
      <c r="AGT19" s="90">
        <v>259</v>
      </c>
      <c r="AGU19" s="90">
        <v>298</v>
      </c>
      <c r="AGV19" s="90">
        <v>63</v>
      </c>
      <c r="AGW19" s="90">
        <v>234</v>
      </c>
      <c r="AGX19" s="90">
        <v>72</v>
      </c>
      <c r="AGY19" s="90" t="s">
        <v>38</v>
      </c>
      <c r="AGZ19" s="90">
        <v>44</v>
      </c>
      <c r="AHA19" s="90">
        <v>78</v>
      </c>
      <c r="AHB19" s="90">
        <v>155</v>
      </c>
      <c r="AHC19" s="90">
        <v>309</v>
      </c>
      <c r="AHD19" s="90">
        <v>408</v>
      </c>
      <c r="AHE19" s="90">
        <v>192</v>
      </c>
      <c r="AHF19" s="90" t="s">
        <v>38</v>
      </c>
      <c r="AHG19" s="90">
        <v>136</v>
      </c>
      <c r="AHH19" s="90" t="s">
        <v>38</v>
      </c>
      <c r="AHI19" s="90">
        <v>72</v>
      </c>
      <c r="AHJ19" s="90">
        <v>133</v>
      </c>
      <c r="AHK19" s="90">
        <v>44</v>
      </c>
      <c r="AHL19" s="90" t="s">
        <v>38</v>
      </c>
      <c r="AHM19" s="90" t="s">
        <v>38</v>
      </c>
      <c r="AHN19" s="90" t="s">
        <v>38</v>
      </c>
      <c r="AHO19" s="90">
        <v>148</v>
      </c>
      <c r="AHP19" s="90">
        <v>10</v>
      </c>
      <c r="AHQ19" s="90">
        <v>234</v>
      </c>
      <c r="AHR19" s="90">
        <v>222</v>
      </c>
      <c r="AHS19" s="90">
        <v>220</v>
      </c>
      <c r="AHT19" s="90" t="s">
        <v>38</v>
      </c>
      <c r="AHU19" s="90" t="s">
        <v>38</v>
      </c>
      <c r="AHV19" s="90" t="s">
        <v>38</v>
      </c>
      <c r="AHW19" s="90" t="s">
        <v>38</v>
      </c>
      <c r="AHX19" s="90" t="s">
        <v>38</v>
      </c>
      <c r="AHY19" s="90" t="s">
        <v>38</v>
      </c>
      <c r="AHZ19" s="90">
        <v>318</v>
      </c>
      <c r="AIA19" s="90" t="s">
        <v>38</v>
      </c>
      <c r="AIB19" s="90">
        <v>139</v>
      </c>
      <c r="AIC19" s="90">
        <v>111</v>
      </c>
      <c r="AID19" s="90">
        <v>135</v>
      </c>
      <c r="AIE19" s="90">
        <v>106</v>
      </c>
      <c r="AIF19" s="90">
        <v>107</v>
      </c>
      <c r="AIG19" s="90">
        <v>419</v>
      </c>
      <c r="AIH19" s="90" t="s">
        <v>38</v>
      </c>
      <c r="AII19" s="90">
        <v>232</v>
      </c>
      <c r="AIJ19" s="90">
        <v>257</v>
      </c>
      <c r="AIK19" s="90" t="s">
        <v>38</v>
      </c>
      <c r="AIL19" s="90" t="s">
        <v>38</v>
      </c>
      <c r="AIN19" s="90">
        <v>1114</v>
      </c>
      <c r="AIO19" s="90">
        <v>481</v>
      </c>
      <c r="AIP19" s="90" t="s">
        <v>38</v>
      </c>
      <c r="AIQ19" s="90" t="s">
        <v>38</v>
      </c>
      <c r="AIR19" s="90">
        <v>656</v>
      </c>
      <c r="AIS19" s="90">
        <v>36</v>
      </c>
      <c r="AIT19" s="90">
        <v>187</v>
      </c>
      <c r="AIU19" s="90">
        <v>548</v>
      </c>
      <c r="AIV19" s="90" t="s">
        <v>38</v>
      </c>
      <c r="AIW19" s="90">
        <v>461</v>
      </c>
      <c r="AIX19" s="90">
        <v>22</v>
      </c>
      <c r="AIY19" s="90">
        <v>146</v>
      </c>
      <c r="AIZ19" s="90">
        <v>115</v>
      </c>
      <c r="AJA19" s="90">
        <v>137</v>
      </c>
      <c r="AJB19" s="90">
        <v>367</v>
      </c>
      <c r="AJC19" s="90" t="s">
        <v>38</v>
      </c>
      <c r="AJD19" s="90">
        <v>271</v>
      </c>
      <c r="AJE19" s="90">
        <v>765</v>
      </c>
      <c r="AJF19" s="90">
        <v>292</v>
      </c>
      <c r="AJG19" s="90">
        <v>284</v>
      </c>
      <c r="AJH19" s="90" t="s">
        <v>152</v>
      </c>
      <c r="AJI19" s="90">
        <v>277</v>
      </c>
      <c r="AJJ19" s="90" t="s">
        <v>38</v>
      </c>
      <c r="AJK19" s="90">
        <v>417</v>
      </c>
      <c r="AJL19" s="90">
        <v>197</v>
      </c>
      <c r="AJM19" s="90">
        <v>50</v>
      </c>
      <c r="AJN19" s="90">
        <v>28</v>
      </c>
      <c r="AJO19" s="90">
        <v>85</v>
      </c>
      <c r="AJP19" s="90">
        <v>11</v>
      </c>
      <c r="AJQ19" s="90" t="s">
        <v>38</v>
      </c>
      <c r="AJR19" s="90" t="s">
        <v>38</v>
      </c>
      <c r="AJS19" s="90">
        <v>5</v>
      </c>
      <c r="AJT19" s="90" t="s">
        <v>38</v>
      </c>
      <c r="AJU19" s="90">
        <v>56</v>
      </c>
      <c r="AJV19" s="90">
        <v>148</v>
      </c>
      <c r="AJW19" s="90" t="s">
        <v>38</v>
      </c>
      <c r="AJX19" s="90" t="s">
        <v>38</v>
      </c>
      <c r="AJY19" s="90">
        <v>788</v>
      </c>
      <c r="AJZ19" s="90">
        <v>714</v>
      </c>
      <c r="AKA19" s="90">
        <v>977</v>
      </c>
      <c r="AKB19" s="90">
        <v>250</v>
      </c>
      <c r="AKC19" s="90" t="s">
        <v>38</v>
      </c>
      <c r="AKD19" s="90">
        <v>594</v>
      </c>
      <c r="AKE19" s="90" t="s">
        <v>38</v>
      </c>
      <c r="AKF19" s="90">
        <v>470</v>
      </c>
    </row>
    <row r="20" spans="1:968" s="90" customFormat="1">
      <c r="A20" s="88">
        <v>8</v>
      </c>
      <c r="B20" s="90" t="s">
        <v>178</v>
      </c>
      <c r="C20" s="89">
        <v>82660</v>
      </c>
      <c r="D20" s="89" t="s">
        <v>147</v>
      </c>
      <c r="E20" s="89" t="s">
        <v>174</v>
      </c>
      <c r="F20" s="89" t="s">
        <v>11</v>
      </c>
      <c r="G20" s="89" t="s">
        <v>12</v>
      </c>
      <c r="H20" s="89" t="s">
        <v>179</v>
      </c>
      <c r="I20" s="89" t="s">
        <v>45</v>
      </c>
      <c r="J20" s="89" t="s">
        <v>46</v>
      </c>
      <c r="K20" s="91">
        <v>113</v>
      </c>
      <c r="L20" s="91">
        <v>73</v>
      </c>
      <c r="M20" s="91">
        <v>605</v>
      </c>
      <c r="N20" s="91" t="s">
        <v>38</v>
      </c>
      <c r="O20" s="91" t="s">
        <v>38</v>
      </c>
      <c r="P20" s="91">
        <v>476</v>
      </c>
      <c r="Q20" s="91" t="s">
        <v>38</v>
      </c>
      <c r="R20" s="91">
        <v>467</v>
      </c>
      <c r="S20" s="91">
        <v>152</v>
      </c>
      <c r="T20" s="91">
        <v>53</v>
      </c>
      <c r="U20" s="91" t="s">
        <v>38</v>
      </c>
      <c r="V20" s="91" t="s">
        <v>38</v>
      </c>
      <c r="W20" s="91" t="s">
        <v>38</v>
      </c>
      <c r="X20" s="91">
        <v>34</v>
      </c>
      <c r="Y20" s="91">
        <v>290</v>
      </c>
      <c r="Z20" s="91">
        <v>14</v>
      </c>
      <c r="AA20" s="91" t="s">
        <v>38</v>
      </c>
      <c r="AB20" s="91" t="s">
        <v>38</v>
      </c>
      <c r="AC20" s="91" t="s">
        <v>38</v>
      </c>
      <c r="AD20" s="91" t="s">
        <v>38</v>
      </c>
      <c r="AE20" s="91">
        <v>6</v>
      </c>
      <c r="AF20" s="91">
        <v>194</v>
      </c>
      <c r="AG20" s="91">
        <v>3</v>
      </c>
      <c r="AH20" s="91" t="s">
        <v>38</v>
      </c>
      <c r="AI20" s="91" t="s">
        <v>38</v>
      </c>
      <c r="AJ20" s="91" t="s">
        <v>38</v>
      </c>
      <c r="AK20" s="91" t="s">
        <v>38</v>
      </c>
      <c r="AL20" s="91">
        <v>2</v>
      </c>
      <c r="AM20" s="91">
        <v>3</v>
      </c>
      <c r="AN20" s="91">
        <v>11</v>
      </c>
      <c r="AO20" s="91">
        <v>14</v>
      </c>
      <c r="AP20" s="91" t="s">
        <v>38</v>
      </c>
      <c r="AQ20" s="91" t="s">
        <v>38</v>
      </c>
      <c r="AR20" s="91">
        <v>770</v>
      </c>
      <c r="AS20" s="91" t="s">
        <v>38</v>
      </c>
      <c r="AT20" s="91" t="s">
        <v>38</v>
      </c>
      <c r="AU20" s="91">
        <v>849</v>
      </c>
      <c r="AV20" s="91">
        <v>1994</v>
      </c>
      <c r="AW20" s="91" t="s">
        <v>38</v>
      </c>
      <c r="AX20" s="91" t="s">
        <v>38</v>
      </c>
      <c r="AY20" s="91"/>
      <c r="AZ20" s="91"/>
      <c r="BA20" s="91"/>
      <c r="BB20" s="91"/>
      <c r="BC20" s="91"/>
      <c r="BD20" s="91"/>
      <c r="BE20" s="91" t="s">
        <v>38</v>
      </c>
      <c r="BF20" s="91" t="s">
        <v>38</v>
      </c>
      <c r="BG20" s="91" t="s">
        <v>38</v>
      </c>
      <c r="BH20" s="91">
        <v>627</v>
      </c>
      <c r="BI20" s="90">
        <v>188</v>
      </c>
      <c r="BJ20" s="90">
        <v>810</v>
      </c>
      <c r="BK20" s="90" t="s">
        <v>38</v>
      </c>
      <c r="BL20" s="90" t="s">
        <v>38</v>
      </c>
      <c r="BM20" s="90">
        <v>936</v>
      </c>
      <c r="BN20" s="90">
        <v>225</v>
      </c>
      <c r="BO20" s="90">
        <v>1384</v>
      </c>
      <c r="BP20" s="90">
        <v>651</v>
      </c>
      <c r="BQ20" s="90" t="s">
        <v>38</v>
      </c>
      <c r="BR20" s="90" t="s">
        <v>38</v>
      </c>
      <c r="BS20" s="90" t="s">
        <v>38</v>
      </c>
      <c r="BT20" s="90" t="s">
        <v>38</v>
      </c>
      <c r="BU20" s="90" t="s">
        <v>38</v>
      </c>
      <c r="BV20" s="90">
        <v>1</v>
      </c>
      <c r="BW20" s="90">
        <v>27</v>
      </c>
      <c r="BX20" s="90">
        <v>55</v>
      </c>
      <c r="BY20" s="90" t="s">
        <v>38</v>
      </c>
      <c r="BZ20" s="90" t="s">
        <v>38</v>
      </c>
      <c r="CA20" s="90">
        <v>6</v>
      </c>
      <c r="CB20" s="90">
        <v>399</v>
      </c>
      <c r="CC20" s="90">
        <v>44</v>
      </c>
      <c r="CD20" s="90">
        <v>287</v>
      </c>
      <c r="CE20" s="90">
        <v>748</v>
      </c>
      <c r="CF20" s="90" t="s">
        <v>38</v>
      </c>
      <c r="CG20" s="90">
        <v>3</v>
      </c>
      <c r="CH20" s="90">
        <v>144</v>
      </c>
      <c r="CI20" s="90" t="s">
        <v>38</v>
      </c>
      <c r="CJ20" s="90">
        <v>103</v>
      </c>
      <c r="CK20" s="90" t="s">
        <v>38</v>
      </c>
      <c r="CL20" s="90" t="s">
        <v>38</v>
      </c>
      <c r="CM20" s="90" t="s">
        <v>38</v>
      </c>
      <c r="CN20" s="90" t="s">
        <v>38</v>
      </c>
      <c r="CO20" s="90" t="s">
        <v>38</v>
      </c>
      <c r="CP20" s="90">
        <v>732</v>
      </c>
      <c r="CQ20" s="90">
        <v>1592</v>
      </c>
      <c r="CR20" s="90">
        <v>355</v>
      </c>
      <c r="CS20" s="90" t="s">
        <v>38</v>
      </c>
      <c r="CV20" s="90" t="s">
        <v>38</v>
      </c>
      <c r="CW20" s="90" t="s">
        <v>38</v>
      </c>
      <c r="CX20" s="90" t="s">
        <v>38</v>
      </c>
      <c r="CY20" s="90">
        <v>52</v>
      </c>
      <c r="CZ20" s="90" t="s">
        <v>38</v>
      </c>
      <c r="DA20" s="90">
        <v>38</v>
      </c>
      <c r="DB20" s="90">
        <v>280</v>
      </c>
      <c r="DC20" s="90">
        <v>485</v>
      </c>
      <c r="DD20" s="90">
        <v>144</v>
      </c>
      <c r="DE20" s="90">
        <v>206</v>
      </c>
      <c r="DF20" s="90">
        <v>2</v>
      </c>
      <c r="DG20" s="90" t="s">
        <v>38</v>
      </c>
      <c r="DH20" s="90" t="s">
        <v>38</v>
      </c>
      <c r="DI20" s="90" t="s">
        <v>38</v>
      </c>
      <c r="DJ20" s="90">
        <v>177</v>
      </c>
      <c r="DK20" s="90">
        <v>46</v>
      </c>
      <c r="DL20" s="90">
        <v>88</v>
      </c>
      <c r="DM20" s="90" t="s">
        <v>38</v>
      </c>
      <c r="DN20" s="90">
        <v>178</v>
      </c>
      <c r="DO20" s="90" t="s">
        <v>38</v>
      </c>
      <c r="DT20" s="90">
        <v>661</v>
      </c>
      <c r="DU20" s="90">
        <v>45</v>
      </c>
      <c r="EB20" s="90">
        <v>86</v>
      </c>
      <c r="EL20" s="90">
        <v>131</v>
      </c>
      <c r="EO20" s="90">
        <v>39</v>
      </c>
      <c r="EP20" s="90">
        <v>17</v>
      </c>
      <c r="EU20" s="90">
        <v>798</v>
      </c>
      <c r="FA20" s="90">
        <v>18</v>
      </c>
      <c r="FB20" s="90">
        <v>11</v>
      </c>
      <c r="FC20" s="90">
        <v>19</v>
      </c>
      <c r="FD20" s="90">
        <v>10</v>
      </c>
      <c r="FH20" s="90">
        <v>8</v>
      </c>
      <c r="FO20" s="90">
        <v>15</v>
      </c>
      <c r="FQ20" s="90">
        <v>184</v>
      </c>
      <c r="FX20" s="90">
        <v>186</v>
      </c>
      <c r="GB20" s="90">
        <v>1</v>
      </c>
      <c r="GC20" s="90">
        <v>15</v>
      </c>
      <c r="GD20" s="90">
        <v>55</v>
      </c>
      <c r="GF20" s="90">
        <v>99</v>
      </c>
      <c r="GM20" s="90">
        <v>35</v>
      </c>
      <c r="GQ20" s="90">
        <v>3</v>
      </c>
      <c r="GW20" s="90">
        <v>203</v>
      </c>
      <c r="HD20" s="90">
        <v>175</v>
      </c>
      <c r="HE20" s="90">
        <v>1</v>
      </c>
      <c r="HG20" s="90">
        <v>22</v>
      </c>
      <c r="HT20" s="90">
        <v>26</v>
      </c>
      <c r="HU20" s="90">
        <v>71</v>
      </c>
      <c r="IA20" s="90">
        <v>34</v>
      </c>
      <c r="IG20" s="90">
        <v>42</v>
      </c>
      <c r="II20" s="90">
        <v>58</v>
      </c>
      <c r="IO20" s="90">
        <v>11</v>
      </c>
      <c r="IQ20" s="90">
        <v>1</v>
      </c>
      <c r="IY20" s="90">
        <v>61</v>
      </c>
      <c r="JA20" s="90">
        <v>50</v>
      </c>
      <c r="JI20" s="90">
        <v>147</v>
      </c>
      <c r="JP20" s="90">
        <v>282</v>
      </c>
      <c r="JR20" s="90">
        <v>2</v>
      </c>
      <c r="JW20" s="90">
        <v>1</v>
      </c>
      <c r="JY20" s="90">
        <v>16</v>
      </c>
      <c r="KK20" s="90">
        <v>248</v>
      </c>
      <c r="KN20" s="90">
        <v>5</v>
      </c>
      <c r="KX20" s="90">
        <v>172</v>
      </c>
      <c r="LF20" s="90">
        <v>48</v>
      </c>
      <c r="LN20" s="90">
        <v>77</v>
      </c>
      <c r="LT20" s="90">
        <v>805</v>
      </c>
      <c r="LW20" s="90">
        <v>10</v>
      </c>
      <c r="MI20" s="90">
        <v>58</v>
      </c>
      <c r="MQ20" s="90">
        <v>68</v>
      </c>
      <c r="NB20" s="90">
        <v>675</v>
      </c>
      <c r="NC20" s="90">
        <v>41</v>
      </c>
      <c r="NF20" s="90">
        <v>1251</v>
      </c>
      <c r="NL20" s="90">
        <v>3</v>
      </c>
      <c r="NS20" s="90">
        <v>423</v>
      </c>
      <c r="NX20" s="90">
        <v>108</v>
      </c>
      <c r="NY20" s="90">
        <v>28</v>
      </c>
      <c r="OA20" s="90">
        <v>1</v>
      </c>
      <c r="OT20" s="90">
        <v>357</v>
      </c>
      <c r="OV20" s="90">
        <v>2503</v>
      </c>
      <c r="OW20" s="90">
        <v>2333</v>
      </c>
      <c r="OY20" s="90">
        <v>1570</v>
      </c>
      <c r="OZ20" s="90">
        <v>1288</v>
      </c>
      <c r="PA20" s="90">
        <v>72</v>
      </c>
      <c r="PB20" s="90">
        <v>1113</v>
      </c>
      <c r="PD20" s="90">
        <v>1219</v>
      </c>
      <c r="PE20" s="90">
        <v>220</v>
      </c>
      <c r="QA20" s="90">
        <v>20</v>
      </c>
      <c r="QC20" s="90">
        <v>27</v>
      </c>
      <c r="QH20" s="90">
        <v>320</v>
      </c>
      <c r="QI20" s="90">
        <v>173</v>
      </c>
      <c r="QJ20" s="90">
        <v>54</v>
      </c>
      <c r="QK20" s="90">
        <v>3</v>
      </c>
      <c r="QL20" s="90">
        <v>12</v>
      </c>
      <c r="RC20" s="90">
        <v>55</v>
      </c>
      <c r="RE20" s="90">
        <v>88</v>
      </c>
      <c r="RF20" s="90">
        <v>113</v>
      </c>
      <c r="RJ20" s="90">
        <v>2</v>
      </c>
      <c r="RQ20" s="90">
        <v>25</v>
      </c>
      <c r="RR20" s="90">
        <v>16</v>
      </c>
      <c r="RT20" s="90">
        <v>151</v>
      </c>
      <c r="RX20" s="90">
        <v>114</v>
      </c>
      <c r="RZ20" s="90">
        <v>67</v>
      </c>
      <c r="SE20" s="90">
        <v>185</v>
      </c>
      <c r="SH20" s="90">
        <v>1</v>
      </c>
      <c r="SL20" s="90">
        <v>31</v>
      </c>
      <c r="SN20" s="90">
        <v>12</v>
      </c>
      <c r="SO20" s="90">
        <v>20</v>
      </c>
      <c r="SP20" s="90">
        <v>2</v>
      </c>
      <c r="SS20" s="90">
        <v>24</v>
      </c>
      <c r="ST20" s="90">
        <v>18</v>
      </c>
      <c r="TC20" s="90">
        <v>550</v>
      </c>
      <c r="TD20" s="90">
        <v>2</v>
      </c>
      <c r="TH20" s="90">
        <v>51</v>
      </c>
      <c r="TJ20" s="90">
        <v>26</v>
      </c>
      <c r="TK20" s="90">
        <v>19</v>
      </c>
      <c r="UI20" s="90">
        <v>155</v>
      </c>
      <c r="UM20" s="90">
        <v>15</v>
      </c>
      <c r="UQ20" s="90">
        <v>13</v>
      </c>
      <c r="UR20" s="90">
        <v>40</v>
      </c>
      <c r="US20" s="90">
        <v>18</v>
      </c>
      <c r="UY20" s="90">
        <v>1</v>
      </c>
      <c r="UZ20" s="90">
        <v>307</v>
      </c>
      <c r="VD20" s="90">
        <v>17</v>
      </c>
      <c r="VK20" s="90">
        <v>25</v>
      </c>
      <c r="VN20" s="90">
        <v>54</v>
      </c>
      <c r="VY20" s="90">
        <v>213</v>
      </c>
      <c r="WB20" s="90">
        <v>14</v>
      </c>
      <c r="WC20" s="90">
        <v>166</v>
      </c>
      <c r="WG20" s="90">
        <v>63</v>
      </c>
      <c r="WM20" s="90">
        <v>23</v>
      </c>
      <c r="WQ20" s="90">
        <v>80</v>
      </c>
      <c r="WU20" s="90">
        <v>149</v>
      </c>
      <c r="WW20" s="90">
        <v>276</v>
      </c>
      <c r="WX20" s="90">
        <v>53</v>
      </c>
      <c r="WY20" s="90">
        <v>80</v>
      </c>
      <c r="XB20" s="90">
        <v>45</v>
      </c>
      <c r="XC20" s="90">
        <v>59</v>
      </c>
      <c r="XD20" s="90">
        <v>26</v>
      </c>
      <c r="XE20" s="90">
        <v>156</v>
      </c>
      <c r="XH20" s="90">
        <v>268</v>
      </c>
      <c r="XI20" s="90">
        <v>248</v>
      </c>
      <c r="XJ20" s="90">
        <v>980</v>
      </c>
      <c r="XO20" s="90">
        <v>16</v>
      </c>
      <c r="XP20" s="90">
        <v>37</v>
      </c>
      <c r="XQ20" s="90" t="s">
        <v>38</v>
      </c>
      <c r="XR20" s="90" t="s">
        <v>38</v>
      </c>
      <c r="XS20" s="90">
        <v>7</v>
      </c>
      <c r="XT20" s="90" t="s">
        <v>38</v>
      </c>
      <c r="XU20" s="90" t="s">
        <v>38</v>
      </c>
      <c r="XV20" s="90" t="s">
        <v>38</v>
      </c>
      <c r="XW20" s="90" t="s">
        <v>38</v>
      </c>
      <c r="XX20" s="90" t="s">
        <v>38</v>
      </c>
      <c r="XY20" s="90">
        <v>108</v>
      </c>
      <c r="XZ20" s="90">
        <v>8</v>
      </c>
      <c r="YA20" s="90" t="s">
        <v>38</v>
      </c>
      <c r="YB20" s="90" t="s">
        <v>38</v>
      </c>
      <c r="YC20" s="90">
        <v>4</v>
      </c>
      <c r="YD20" s="90" t="s">
        <v>38</v>
      </c>
      <c r="YE20" s="90" t="s">
        <v>38</v>
      </c>
      <c r="YF20" s="90">
        <v>146</v>
      </c>
      <c r="YG20" s="90" t="s">
        <v>38</v>
      </c>
      <c r="YH20" s="90" t="s">
        <v>38</v>
      </c>
      <c r="YI20" s="90" t="s">
        <v>38</v>
      </c>
      <c r="YJ20" s="90">
        <v>59</v>
      </c>
      <c r="YM20" s="90">
        <v>177</v>
      </c>
      <c r="YN20" s="90">
        <v>42</v>
      </c>
      <c r="YQ20" s="90">
        <v>262</v>
      </c>
      <c r="YR20" s="90">
        <v>28</v>
      </c>
      <c r="YS20" s="90" t="s">
        <v>38</v>
      </c>
      <c r="YT20" s="90" t="s">
        <v>38</v>
      </c>
      <c r="YU20" s="90" t="s">
        <v>38</v>
      </c>
      <c r="YV20" s="90" t="s">
        <v>38</v>
      </c>
      <c r="YX20" s="90">
        <v>407</v>
      </c>
      <c r="YY20" s="90">
        <v>52</v>
      </c>
      <c r="YZ20" s="90">
        <v>30</v>
      </c>
      <c r="ZA20" s="90">
        <v>4</v>
      </c>
      <c r="ZB20" s="90">
        <v>30</v>
      </c>
      <c r="ZC20" s="90" t="s">
        <v>38</v>
      </c>
      <c r="ZE20" s="90" t="s">
        <v>152</v>
      </c>
      <c r="ZF20" s="90">
        <v>40</v>
      </c>
      <c r="ZG20" s="90" t="s">
        <v>152</v>
      </c>
      <c r="ZH20" s="90">
        <v>21</v>
      </c>
      <c r="ZI20" s="90" t="s">
        <v>152</v>
      </c>
      <c r="ZJ20" s="90">
        <v>1</v>
      </c>
      <c r="ZL20" s="90" t="s">
        <v>152</v>
      </c>
      <c r="ZM20" s="90" t="s">
        <v>152</v>
      </c>
      <c r="ZN20" s="90" t="s">
        <v>152</v>
      </c>
      <c r="ZO20" s="90">
        <v>227</v>
      </c>
      <c r="ZP20" s="90" t="s">
        <v>38</v>
      </c>
      <c r="ZQ20" s="90" t="s">
        <v>38</v>
      </c>
      <c r="ZR20" s="90" t="s">
        <v>38</v>
      </c>
      <c r="ZS20" s="91">
        <v>13</v>
      </c>
      <c r="ZT20" s="91">
        <v>96</v>
      </c>
      <c r="ZU20" s="91" t="s">
        <v>152</v>
      </c>
      <c r="ZV20" s="91" t="s">
        <v>152</v>
      </c>
      <c r="ZW20" s="91">
        <v>89</v>
      </c>
      <c r="ZX20" s="91" t="s">
        <v>152</v>
      </c>
      <c r="ZY20" s="91" t="s">
        <v>152</v>
      </c>
      <c r="ZZ20" s="91">
        <v>2</v>
      </c>
      <c r="AAA20" s="91">
        <v>2</v>
      </c>
      <c r="AAB20" s="91">
        <v>7</v>
      </c>
      <c r="AAC20" s="91">
        <v>6</v>
      </c>
      <c r="AAD20" s="91" t="s">
        <v>152</v>
      </c>
      <c r="AAE20" s="91" t="s">
        <v>152</v>
      </c>
      <c r="AAF20" s="91">
        <v>41</v>
      </c>
      <c r="AAG20" s="91">
        <v>17</v>
      </c>
      <c r="AAH20" s="91">
        <v>39</v>
      </c>
      <c r="AAI20" s="91">
        <v>161</v>
      </c>
      <c r="AAJ20" s="90" t="s">
        <v>152</v>
      </c>
      <c r="AAK20" s="90">
        <v>224</v>
      </c>
      <c r="AAL20" s="90" t="s">
        <v>152</v>
      </c>
      <c r="AAM20" s="90" t="s">
        <v>152</v>
      </c>
      <c r="AAN20" s="90">
        <v>268</v>
      </c>
      <c r="AAO20" s="92">
        <v>5429</v>
      </c>
      <c r="AAP20" s="90">
        <v>813</v>
      </c>
      <c r="AAQ20" s="92">
        <v>7738</v>
      </c>
      <c r="AAR20" s="90">
        <v>1</v>
      </c>
      <c r="AAS20" s="90">
        <v>2467</v>
      </c>
      <c r="AAT20" s="90" t="s">
        <v>38</v>
      </c>
      <c r="AAU20" s="90" t="s">
        <v>38</v>
      </c>
      <c r="AAV20" s="90">
        <v>3188</v>
      </c>
      <c r="AAW20" s="90">
        <v>17</v>
      </c>
      <c r="AAX20" s="90">
        <v>78</v>
      </c>
      <c r="AAY20" s="88">
        <v>5</v>
      </c>
      <c r="ABC20" s="90">
        <v>9</v>
      </c>
      <c r="ABE20" s="120"/>
      <c r="ABF20" s="90">
        <v>44</v>
      </c>
      <c r="ABG20" s="90" t="s">
        <v>38</v>
      </c>
      <c r="ABH20" s="90" t="s">
        <v>38</v>
      </c>
      <c r="ABI20" s="90" t="s">
        <v>38</v>
      </c>
      <c r="ABJ20" s="90">
        <v>15</v>
      </c>
      <c r="ABK20" s="90">
        <v>176</v>
      </c>
      <c r="ABL20" s="90" t="s">
        <v>38</v>
      </c>
      <c r="ABM20" s="90">
        <v>129</v>
      </c>
      <c r="ABN20" s="90" t="s">
        <v>38</v>
      </c>
      <c r="ABP20" s="90">
        <v>202</v>
      </c>
      <c r="ABQ20" s="90" t="s">
        <v>38</v>
      </c>
      <c r="ABR20" s="90" t="s">
        <v>38</v>
      </c>
      <c r="ABS20" s="90" t="s">
        <v>38</v>
      </c>
      <c r="ABT20" s="90" t="s">
        <v>38</v>
      </c>
      <c r="ABU20" s="90" t="s">
        <v>38</v>
      </c>
      <c r="ABV20" s="90" t="s">
        <v>38</v>
      </c>
      <c r="ABW20" s="90" t="s">
        <v>38</v>
      </c>
      <c r="ABX20" s="90">
        <v>22</v>
      </c>
      <c r="ABY20" s="90" t="s">
        <v>38</v>
      </c>
      <c r="ABZ20" s="90">
        <v>56</v>
      </c>
      <c r="ACA20" s="90" t="s">
        <v>38</v>
      </c>
      <c r="ACB20" s="90" t="s">
        <v>38</v>
      </c>
      <c r="ACC20" s="90" t="s">
        <v>38</v>
      </c>
      <c r="ACD20" s="90">
        <v>288</v>
      </c>
      <c r="ACE20" s="90">
        <v>2</v>
      </c>
      <c r="ACF20" s="90">
        <v>38</v>
      </c>
      <c r="ACG20" s="90">
        <v>0</v>
      </c>
      <c r="ACH20" s="90">
        <v>618</v>
      </c>
      <c r="ACI20" s="90">
        <v>0</v>
      </c>
      <c r="ACJ20" s="90">
        <v>0</v>
      </c>
      <c r="ACK20" s="90">
        <v>0</v>
      </c>
      <c r="ACL20" s="90">
        <v>22</v>
      </c>
      <c r="ACM20" s="90">
        <v>0</v>
      </c>
      <c r="ACN20" s="90">
        <v>21</v>
      </c>
      <c r="ACO20" s="90">
        <v>1</v>
      </c>
      <c r="ACP20" s="90">
        <v>0</v>
      </c>
      <c r="ACR20" s="90">
        <v>607</v>
      </c>
      <c r="ACS20" s="90" t="s">
        <v>38</v>
      </c>
      <c r="ACT20" s="90">
        <v>28</v>
      </c>
      <c r="ACU20" s="90">
        <v>1</v>
      </c>
      <c r="ACV20" s="90" t="s">
        <v>38</v>
      </c>
      <c r="ACW20" s="90" t="s">
        <v>38</v>
      </c>
      <c r="ACX20" s="90" t="s">
        <v>38</v>
      </c>
      <c r="ACY20" s="90" t="s">
        <v>38</v>
      </c>
      <c r="ACZ20" s="90">
        <v>32</v>
      </c>
      <c r="ADA20" s="90" t="s">
        <v>38</v>
      </c>
      <c r="ADB20" s="90">
        <v>199</v>
      </c>
      <c r="ADC20" s="90">
        <v>303</v>
      </c>
      <c r="ADD20" s="90" t="s">
        <v>38</v>
      </c>
      <c r="ADE20" s="90" t="s">
        <v>38</v>
      </c>
      <c r="ADF20" s="90">
        <v>283</v>
      </c>
      <c r="ADG20" s="90">
        <v>418</v>
      </c>
      <c r="ADH20" s="90">
        <v>7</v>
      </c>
      <c r="ADI20" s="90">
        <v>247</v>
      </c>
      <c r="ADJ20" s="90" t="s">
        <v>38</v>
      </c>
      <c r="ADK20" s="90" t="s">
        <v>38</v>
      </c>
      <c r="ADL20" s="90" t="s">
        <v>38</v>
      </c>
      <c r="ADM20" s="90" t="s">
        <v>38</v>
      </c>
      <c r="ADN20" s="90" t="s">
        <v>38</v>
      </c>
      <c r="ADO20" s="90">
        <v>91</v>
      </c>
      <c r="ADP20" s="90">
        <v>47</v>
      </c>
      <c r="ADQ20" s="90">
        <v>12</v>
      </c>
      <c r="ADR20" s="90" t="s">
        <v>38</v>
      </c>
      <c r="ADS20" s="90" t="s">
        <v>38</v>
      </c>
      <c r="ADT20" s="90">
        <v>40</v>
      </c>
      <c r="ADU20" s="90" t="s">
        <v>38</v>
      </c>
      <c r="ADX20" s="90" t="s">
        <v>38</v>
      </c>
      <c r="ADY20" s="90" t="s">
        <v>38</v>
      </c>
      <c r="ADZ20" s="90" t="s">
        <v>38</v>
      </c>
      <c r="AEA20" s="90" t="s">
        <v>38</v>
      </c>
      <c r="AEB20" s="90" t="s">
        <v>38</v>
      </c>
      <c r="AEC20" s="90" t="s">
        <v>38</v>
      </c>
      <c r="AED20" s="90">
        <v>297</v>
      </c>
      <c r="AEE20" s="90">
        <v>908</v>
      </c>
      <c r="AEF20" s="90" t="s">
        <v>38</v>
      </c>
      <c r="AEG20" s="90" t="s">
        <v>38</v>
      </c>
      <c r="AEH20" s="90">
        <v>16</v>
      </c>
      <c r="AEI20" s="90" t="s">
        <v>38</v>
      </c>
      <c r="AEJ20" s="90" t="s">
        <v>38</v>
      </c>
      <c r="AEK20" s="90">
        <v>681</v>
      </c>
      <c r="AEL20" s="90">
        <v>359</v>
      </c>
      <c r="AEO20" s="90" t="s">
        <v>38</v>
      </c>
      <c r="AEP20" s="90" t="s">
        <v>38</v>
      </c>
      <c r="AEQ20" s="90">
        <v>153</v>
      </c>
      <c r="AER20" s="90" t="s">
        <v>38</v>
      </c>
      <c r="AES20" s="90" t="s">
        <v>38</v>
      </c>
      <c r="AET20" s="90" t="s">
        <v>38</v>
      </c>
      <c r="AEU20" s="90" t="s">
        <v>38</v>
      </c>
      <c r="AEV20" s="90" t="s">
        <v>38</v>
      </c>
      <c r="AEW20" s="90">
        <v>630</v>
      </c>
      <c r="AEX20" s="90">
        <v>298</v>
      </c>
      <c r="AEY20" s="90" t="s">
        <v>38</v>
      </c>
      <c r="AEZ20" s="90">
        <v>53</v>
      </c>
      <c r="AFA20" s="90" t="s">
        <v>38</v>
      </c>
      <c r="AFB20" s="90" t="s">
        <v>38</v>
      </c>
      <c r="AFC20" s="90" t="s">
        <v>38</v>
      </c>
      <c r="AFD20" s="90">
        <v>324</v>
      </c>
      <c r="AFE20" s="90">
        <v>15</v>
      </c>
      <c r="AFF20" s="90">
        <v>9</v>
      </c>
      <c r="AFG20" s="90" t="s">
        <v>38</v>
      </c>
      <c r="AFH20" s="90" t="s">
        <v>38</v>
      </c>
      <c r="AFI20" s="90" t="s">
        <v>38</v>
      </c>
      <c r="AFJ20" s="90">
        <v>575</v>
      </c>
      <c r="AFK20" s="90" t="s">
        <v>38</v>
      </c>
      <c r="AFL20" s="90">
        <v>516</v>
      </c>
      <c r="AFM20" s="90">
        <v>283</v>
      </c>
      <c r="AFN20" s="90" t="s">
        <v>38</v>
      </c>
      <c r="AFO20" s="90" t="s">
        <v>38</v>
      </c>
      <c r="AFP20" s="90" t="s">
        <v>38</v>
      </c>
      <c r="AFQ20" s="90">
        <v>5</v>
      </c>
      <c r="AFR20" s="90">
        <v>136</v>
      </c>
      <c r="AFS20" s="90">
        <v>129</v>
      </c>
      <c r="AFT20" s="90">
        <v>50</v>
      </c>
      <c r="AFU20" s="90">
        <v>35</v>
      </c>
      <c r="AFV20" s="90" t="s">
        <v>38</v>
      </c>
      <c r="AFW20" s="90" t="s">
        <v>38</v>
      </c>
      <c r="AFX20" s="90">
        <v>271</v>
      </c>
      <c r="AFY20" s="90" t="s">
        <v>38</v>
      </c>
      <c r="AFZ20" s="90">
        <v>43</v>
      </c>
      <c r="AGA20" s="90" t="s">
        <v>38</v>
      </c>
      <c r="AGB20" s="90" t="s">
        <v>38</v>
      </c>
      <c r="AGC20" s="90" t="s">
        <v>38</v>
      </c>
      <c r="AGD20" s="90" t="s">
        <v>38</v>
      </c>
      <c r="AGE20" s="90">
        <v>376</v>
      </c>
      <c r="AGF20" s="90" t="s">
        <v>38</v>
      </c>
      <c r="AGG20" s="90">
        <v>429</v>
      </c>
      <c r="AGH20" s="90" t="s">
        <v>38</v>
      </c>
      <c r="AGI20" s="90" t="s">
        <v>38</v>
      </c>
      <c r="AGJ20" s="90" t="s">
        <v>38</v>
      </c>
      <c r="AGK20" s="90" t="s">
        <v>38</v>
      </c>
      <c r="AGL20" s="90">
        <v>153</v>
      </c>
      <c r="AGM20" s="90" t="s">
        <v>38</v>
      </c>
      <c r="AGN20" s="90" t="s">
        <v>38</v>
      </c>
      <c r="AGO20" s="90" t="s">
        <v>38</v>
      </c>
      <c r="AGP20" s="90">
        <v>141</v>
      </c>
      <c r="AGQ20" s="90" t="s">
        <v>38</v>
      </c>
      <c r="AGR20" s="90" t="s">
        <v>38</v>
      </c>
      <c r="AGS20" s="90" t="s">
        <v>38</v>
      </c>
      <c r="AGT20" s="90">
        <v>16</v>
      </c>
      <c r="AGU20" s="90" t="s">
        <v>38</v>
      </c>
      <c r="AGV20" s="90">
        <v>776</v>
      </c>
      <c r="AGW20" s="90" t="s">
        <v>38</v>
      </c>
      <c r="AGX20" s="90" t="s">
        <v>38</v>
      </c>
      <c r="AGY20" s="90" t="s">
        <v>38</v>
      </c>
      <c r="AGZ20" s="90">
        <v>57</v>
      </c>
      <c r="AHA20" s="90">
        <v>2</v>
      </c>
      <c r="AHB20" s="90" t="s">
        <v>38</v>
      </c>
      <c r="AHC20" s="90">
        <v>6447</v>
      </c>
      <c r="AHD20" s="90">
        <v>192</v>
      </c>
      <c r="AHE20" s="90" t="s">
        <v>38</v>
      </c>
      <c r="AHF20" s="90" t="s">
        <v>38</v>
      </c>
      <c r="AHG20" s="90" t="s">
        <v>38</v>
      </c>
      <c r="AHH20" s="90">
        <v>130</v>
      </c>
      <c r="AHI20" s="90" t="s">
        <v>38</v>
      </c>
      <c r="AHJ20" s="90">
        <v>227</v>
      </c>
      <c r="AHK20" s="90">
        <v>13</v>
      </c>
      <c r="AHL20" s="90" t="s">
        <v>38</v>
      </c>
      <c r="AHM20" s="90" t="s">
        <v>38</v>
      </c>
      <c r="AHN20" s="90" t="s">
        <v>38</v>
      </c>
      <c r="AHO20" s="90" t="s">
        <v>38</v>
      </c>
      <c r="AHP20" s="90">
        <v>45</v>
      </c>
      <c r="AHQ20" s="90" t="s">
        <v>38</v>
      </c>
      <c r="AHR20" s="90">
        <v>406</v>
      </c>
      <c r="AHS20" s="90" t="s">
        <v>38</v>
      </c>
      <c r="AHT20" s="90" t="s">
        <v>38</v>
      </c>
      <c r="AHU20" s="90" t="s">
        <v>38</v>
      </c>
      <c r="AHV20" s="90" t="s">
        <v>38</v>
      </c>
      <c r="AHW20" s="90" t="s">
        <v>38</v>
      </c>
      <c r="AHX20" s="90" t="s">
        <v>38</v>
      </c>
      <c r="AHY20" s="90">
        <v>326</v>
      </c>
      <c r="AHZ20" s="90" t="s">
        <v>38</v>
      </c>
      <c r="AIA20" s="90" t="s">
        <v>38</v>
      </c>
      <c r="AIB20" s="90">
        <v>201</v>
      </c>
      <c r="AIC20" s="90" t="s">
        <v>38</v>
      </c>
      <c r="AID20" s="90" t="s">
        <v>38</v>
      </c>
      <c r="AIE20" s="90" t="s">
        <v>38</v>
      </c>
      <c r="AIF20" s="90" t="s">
        <v>38</v>
      </c>
      <c r="AIG20" s="90">
        <v>90</v>
      </c>
      <c r="AIH20" s="90" t="s">
        <v>38</v>
      </c>
      <c r="AII20" s="90" t="s">
        <v>38</v>
      </c>
      <c r="AIJ20" s="90" t="s">
        <v>38</v>
      </c>
      <c r="AIK20" s="90">
        <v>178</v>
      </c>
      <c r="AIL20" s="90" t="s">
        <v>38</v>
      </c>
      <c r="AIN20" s="90" t="s">
        <v>38</v>
      </c>
      <c r="AIO20" s="90" t="s">
        <v>38</v>
      </c>
      <c r="AIP20" s="90" t="s">
        <v>38</v>
      </c>
      <c r="AIQ20" s="90" t="s">
        <v>38</v>
      </c>
      <c r="AIR20" s="90">
        <v>326</v>
      </c>
      <c r="AIS20" s="90">
        <v>5</v>
      </c>
      <c r="AIT20" s="90">
        <v>138</v>
      </c>
      <c r="AIU20" s="90" t="s">
        <v>38</v>
      </c>
      <c r="AIV20" s="90" t="s">
        <v>38</v>
      </c>
      <c r="AIW20" s="90" t="s">
        <v>38</v>
      </c>
      <c r="AIX20" s="90" t="s">
        <v>38</v>
      </c>
      <c r="AIY20" s="90">
        <v>102</v>
      </c>
      <c r="AIZ20" s="90">
        <v>5</v>
      </c>
      <c r="AJA20" s="90" t="s">
        <v>38</v>
      </c>
      <c r="AJB20" s="90">
        <v>34</v>
      </c>
      <c r="AJC20" s="90" t="s">
        <v>38</v>
      </c>
      <c r="AJD20" s="90">
        <v>5</v>
      </c>
      <c r="AJE20" s="90">
        <v>356</v>
      </c>
      <c r="AJF20" s="90">
        <v>141</v>
      </c>
      <c r="AJG20" s="90" t="s">
        <v>152</v>
      </c>
      <c r="AJH20" s="90" t="s">
        <v>38</v>
      </c>
      <c r="AJI20" s="90" t="s">
        <v>38</v>
      </c>
      <c r="AJJ20" s="90" t="s">
        <v>38</v>
      </c>
      <c r="AJK20" s="90">
        <v>14</v>
      </c>
      <c r="AJL20" s="90" t="s">
        <v>38</v>
      </c>
      <c r="AJM20" s="90">
        <v>234</v>
      </c>
      <c r="AJN20" s="90">
        <v>192</v>
      </c>
      <c r="AJO20" s="90" t="s">
        <v>38</v>
      </c>
      <c r="AJP20" s="90" t="s">
        <v>38</v>
      </c>
      <c r="AJQ20" s="90" t="s">
        <v>38</v>
      </c>
      <c r="AJR20" s="90" t="s">
        <v>38</v>
      </c>
      <c r="AJS20" s="90" t="s">
        <v>38</v>
      </c>
      <c r="AJT20" s="90" t="s">
        <v>38</v>
      </c>
      <c r="AJU20" s="90">
        <v>214</v>
      </c>
      <c r="AJV20" s="90" t="s">
        <v>38</v>
      </c>
      <c r="AJW20" s="90" t="s">
        <v>38</v>
      </c>
      <c r="AJX20" s="90" t="s">
        <v>38</v>
      </c>
      <c r="AJY20" s="90">
        <v>281</v>
      </c>
      <c r="AJZ20" s="90">
        <v>31</v>
      </c>
      <c r="AKA20" s="90">
        <v>96</v>
      </c>
      <c r="AKB20" s="90" t="s">
        <v>38</v>
      </c>
      <c r="AKC20" s="90">
        <v>31</v>
      </c>
      <c r="AKD20" s="90">
        <v>12</v>
      </c>
      <c r="AKE20" s="90" t="s">
        <v>38</v>
      </c>
      <c r="AKF20" s="90">
        <v>130</v>
      </c>
    </row>
    <row r="21" spans="1:968">
      <c r="A21">
        <v>9</v>
      </c>
      <c r="B21" t="s">
        <v>180</v>
      </c>
      <c r="C21" s="1">
        <v>82660</v>
      </c>
      <c r="D21" s="1" t="s">
        <v>147</v>
      </c>
      <c r="E21" s="1" t="s">
        <v>174</v>
      </c>
      <c r="F21" s="1" t="s">
        <v>31</v>
      </c>
      <c r="G21" s="1" t="s">
        <v>33</v>
      </c>
      <c r="H21" s="1" t="s">
        <v>181</v>
      </c>
      <c r="I21" s="1" t="s">
        <v>151</v>
      </c>
      <c r="J21" s="1" t="s">
        <v>46</v>
      </c>
      <c r="K21" s="23">
        <v>81</v>
      </c>
      <c r="L21" s="23">
        <v>72</v>
      </c>
      <c r="M21" s="23">
        <v>47</v>
      </c>
      <c r="N21" s="23">
        <v>67</v>
      </c>
      <c r="O21" s="23">
        <v>74</v>
      </c>
      <c r="P21" s="23">
        <v>44</v>
      </c>
      <c r="Q21" s="23">
        <v>61</v>
      </c>
      <c r="R21" s="23">
        <v>39</v>
      </c>
      <c r="S21" s="23">
        <v>57</v>
      </c>
      <c r="T21" s="23">
        <v>380</v>
      </c>
      <c r="U21" s="23">
        <v>584</v>
      </c>
      <c r="V21" s="23">
        <v>188</v>
      </c>
      <c r="W21" s="23">
        <v>143</v>
      </c>
      <c r="X21" s="23">
        <v>92</v>
      </c>
      <c r="Y21" s="23">
        <v>106</v>
      </c>
      <c r="Z21" s="23">
        <v>41</v>
      </c>
      <c r="AA21" s="23">
        <v>38</v>
      </c>
      <c r="AB21" s="23">
        <v>38</v>
      </c>
      <c r="AC21" s="23">
        <v>42</v>
      </c>
      <c r="AD21" s="23">
        <v>58</v>
      </c>
      <c r="AE21" s="23">
        <v>41</v>
      </c>
      <c r="AF21" s="23">
        <v>42</v>
      </c>
      <c r="AG21" s="23">
        <v>64</v>
      </c>
      <c r="AH21" s="23">
        <v>80</v>
      </c>
      <c r="AI21" s="23">
        <v>78</v>
      </c>
      <c r="AJ21" s="23">
        <v>47</v>
      </c>
      <c r="AK21" s="23">
        <v>42</v>
      </c>
      <c r="AL21" s="23">
        <v>53</v>
      </c>
      <c r="AM21" s="23">
        <v>34</v>
      </c>
      <c r="AN21" s="23">
        <v>15</v>
      </c>
      <c r="AO21" s="23">
        <v>36</v>
      </c>
      <c r="AP21" s="23">
        <v>28</v>
      </c>
      <c r="AQ21" s="23">
        <v>12</v>
      </c>
      <c r="AR21" s="23">
        <v>4</v>
      </c>
      <c r="AS21" s="23">
        <v>1</v>
      </c>
      <c r="AT21" s="23" t="s">
        <v>38</v>
      </c>
      <c r="AU21" s="23" t="s">
        <v>38</v>
      </c>
      <c r="AV21" s="23" t="s">
        <v>38</v>
      </c>
      <c r="AW21" s="23" t="s">
        <v>38</v>
      </c>
      <c r="AX21" s="23" t="s">
        <v>38</v>
      </c>
      <c r="AY21" s="23">
        <v>178</v>
      </c>
      <c r="AZ21" s="23">
        <v>144</v>
      </c>
      <c r="BA21" s="23">
        <v>582</v>
      </c>
      <c r="BB21" s="23">
        <v>317</v>
      </c>
      <c r="BC21" s="23">
        <v>126</v>
      </c>
      <c r="BD21" s="23" t="s">
        <v>38</v>
      </c>
      <c r="BE21" s="23" t="s">
        <v>38</v>
      </c>
      <c r="BF21" s="23">
        <v>28</v>
      </c>
      <c r="BG21" s="23">
        <v>30</v>
      </c>
      <c r="BH21" s="23">
        <v>43</v>
      </c>
      <c r="BI21">
        <v>24</v>
      </c>
      <c r="BJ21">
        <v>20</v>
      </c>
      <c r="BK21">
        <v>13</v>
      </c>
      <c r="GB21">
        <v>11</v>
      </c>
      <c r="GC21">
        <v>1</v>
      </c>
      <c r="ZS21" s="23"/>
      <c r="ZT21" s="23"/>
      <c r="ZU21" s="23"/>
      <c r="ZV21" s="23"/>
      <c r="ZW21" s="23"/>
      <c r="ZX21" s="23"/>
      <c r="ZY21" s="23"/>
      <c r="ZZ21" s="23"/>
      <c r="AAA21" s="23"/>
      <c r="AAB21" s="23"/>
      <c r="AAC21" s="23"/>
      <c r="AAD21" s="23"/>
      <c r="AAE21" s="23"/>
      <c r="AAF21" s="23"/>
      <c r="AAG21" s="23"/>
      <c r="AAH21" s="23"/>
      <c r="AAI21" s="23"/>
    </row>
    <row r="22" spans="1:968" s="94" customFormat="1">
      <c r="A22" s="93">
        <v>10</v>
      </c>
      <c r="B22" s="94" t="s">
        <v>182</v>
      </c>
      <c r="C22" s="95">
        <v>82660</v>
      </c>
      <c r="D22" s="95" t="s">
        <v>147</v>
      </c>
      <c r="E22" s="95" t="s">
        <v>174</v>
      </c>
      <c r="F22" s="95" t="s">
        <v>31</v>
      </c>
      <c r="G22" s="95" t="s">
        <v>12</v>
      </c>
      <c r="H22" s="95" t="s">
        <v>179</v>
      </c>
      <c r="I22" s="95" t="s">
        <v>151</v>
      </c>
      <c r="J22" s="95" t="s">
        <v>46</v>
      </c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6"/>
      <c r="AQ22" s="96"/>
      <c r="AR22" s="96"/>
      <c r="AS22" s="96"/>
      <c r="AT22" s="96"/>
      <c r="AU22" s="96"/>
      <c r="AV22" s="96"/>
      <c r="AW22" s="96"/>
      <c r="AX22" s="96"/>
      <c r="AY22" s="96" t="s">
        <v>38</v>
      </c>
      <c r="AZ22" s="96" t="s">
        <v>38</v>
      </c>
      <c r="BA22" s="96">
        <v>1</v>
      </c>
      <c r="BB22" s="96" t="s">
        <v>38</v>
      </c>
      <c r="BC22" s="96" t="s">
        <v>38</v>
      </c>
      <c r="BD22" s="96" t="s">
        <v>38</v>
      </c>
      <c r="BE22" s="96"/>
      <c r="BF22" s="96"/>
      <c r="BG22" s="96"/>
      <c r="BH22" s="96"/>
      <c r="MB22" s="94">
        <v>2204</v>
      </c>
      <c r="MD22" s="94">
        <v>233</v>
      </c>
      <c r="MG22" s="94">
        <v>443</v>
      </c>
      <c r="MH22" s="94">
        <v>314</v>
      </c>
      <c r="MI22" s="94">
        <v>757</v>
      </c>
      <c r="MJ22" s="94">
        <v>302</v>
      </c>
      <c r="MK22" s="94">
        <v>111</v>
      </c>
      <c r="ML22" s="94">
        <v>2056</v>
      </c>
      <c r="MM22" s="94">
        <v>1074</v>
      </c>
      <c r="MN22" s="94">
        <v>142</v>
      </c>
      <c r="MO22" s="94">
        <v>530</v>
      </c>
      <c r="MP22" s="94">
        <v>468</v>
      </c>
      <c r="MQ22" s="94">
        <v>417</v>
      </c>
      <c r="MR22" s="94">
        <v>1350</v>
      </c>
      <c r="MS22" s="94">
        <v>623</v>
      </c>
      <c r="MT22" s="94">
        <v>815</v>
      </c>
      <c r="MV22" s="94">
        <v>74</v>
      </c>
      <c r="MX22" s="94">
        <v>277</v>
      </c>
      <c r="MY22" s="94">
        <v>134</v>
      </c>
      <c r="NB22" s="94">
        <v>783</v>
      </c>
      <c r="NC22" s="94">
        <v>162</v>
      </c>
      <c r="NE22" s="94">
        <v>50</v>
      </c>
      <c r="NF22" s="94">
        <v>1721</v>
      </c>
      <c r="NG22" s="94">
        <v>5200</v>
      </c>
      <c r="NI22" s="94">
        <v>2641</v>
      </c>
      <c r="NJ22" s="94">
        <v>686</v>
      </c>
      <c r="NQ22" s="94">
        <v>19</v>
      </c>
      <c r="NR22" s="94">
        <v>73</v>
      </c>
      <c r="NS22" s="94">
        <v>2080</v>
      </c>
      <c r="NT22" s="94">
        <v>1545</v>
      </c>
      <c r="NU22" s="94">
        <v>298</v>
      </c>
      <c r="NV22" s="94">
        <v>234</v>
      </c>
      <c r="NW22" s="94">
        <v>120</v>
      </c>
      <c r="NX22" s="94">
        <v>2047</v>
      </c>
      <c r="NY22" s="94">
        <v>903</v>
      </c>
      <c r="NZ22" s="94">
        <v>1117</v>
      </c>
      <c r="OA22" s="94">
        <v>262</v>
      </c>
      <c r="OB22" s="94">
        <v>449</v>
      </c>
      <c r="OD22" s="94">
        <v>389</v>
      </c>
      <c r="OE22" s="94">
        <v>313</v>
      </c>
      <c r="OK22" s="94">
        <v>1</v>
      </c>
      <c r="OP22" s="94">
        <v>96</v>
      </c>
      <c r="OT22" s="94">
        <v>44</v>
      </c>
      <c r="OV22" s="94">
        <v>2483</v>
      </c>
      <c r="OW22" s="94">
        <v>2333</v>
      </c>
      <c r="OY22" s="94">
        <v>1434</v>
      </c>
      <c r="OZ22" s="94">
        <v>1288</v>
      </c>
      <c r="PA22" s="94">
        <v>72</v>
      </c>
      <c r="PB22" s="94">
        <v>1113</v>
      </c>
      <c r="PD22" s="94">
        <v>1273</v>
      </c>
      <c r="PE22" s="94">
        <v>897</v>
      </c>
      <c r="PG22" s="94">
        <v>193</v>
      </c>
      <c r="PH22" s="94">
        <v>275</v>
      </c>
      <c r="PI22" s="94">
        <v>58</v>
      </c>
      <c r="PO22" s="94">
        <v>3</v>
      </c>
      <c r="QA22" s="94">
        <v>878</v>
      </c>
      <c r="QB22" s="94">
        <v>263</v>
      </c>
      <c r="QC22" s="94">
        <v>624</v>
      </c>
      <c r="QD22" s="94">
        <v>836</v>
      </c>
      <c r="QE22" s="94">
        <v>850</v>
      </c>
      <c r="QF22" s="94">
        <v>408</v>
      </c>
      <c r="RC22" s="94">
        <v>547</v>
      </c>
      <c r="RE22" s="94">
        <v>55</v>
      </c>
      <c r="RF22" s="94">
        <v>1806</v>
      </c>
      <c r="RG22" s="94">
        <v>544</v>
      </c>
      <c r="RJ22" s="94">
        <v>60</v>
      </c>
      <c r="RK22" s="94">
        <v>1399</v>
      </c>
      <c r="RL22" s="94">
        <v>788</v>
      </c>
      <c r="RM22" s="94">
        <v>807</v>
      </c>
      <c r="RN22" s="94">
        <v>669</v>
      </c>
      <c r="RO22" s="94">
        <v>1450</v>
      </c>
      <c r="RQ22" s="94">
        <v>407</v>
      </c>
      <c r="RR22" s="94">
        <v>1231</v>
      </c>
      <c r="RS22" s="94">
        <v>1333</v>
      </c>
      <c r="RT22" s="94">
        <v>3877</v>
      </c>
      <c r="RX22" s="94">
        <v>13</v>
      </c>
      <c r="SB22" s="94">
        <v>9</v>
      </c>
      <c r="TI22" s="94">
        <v>180</v>
      </c>
      <c r="XH22" s="94">
        <v>885</v>
      </c>
      <c r="XI22" s="94">
        <v>118</v>
      </c>
      <c r="XJ22" s="94">
        <v>51</v>
      </c>
      <c r="XK22" s="94">
        <v>1</v>
      </c>
      <c r="XL22" s="94" t="s">
        <v>38</v>
      </c>
      <c r="XM22" s="94">
        <v>4</v>
      </c>
      <c r="XN22" s="94" t="s">
        <v>38</v>
      </c>
      <c r="XO22" s="94">
        <v>7</v>
      </c>
      <c r="XP22" s="94" t="s">
        <v>38</v>
      </c>
      <c r="XQ22" s="94">
        <v>1021</v>
      </c>
      <c r="XW22" s="94" t="s">
        <v>38</v>
      </c>
      <c r="XX22" s="94">
        <v>18</v>
      </c>
      <c r="XY22" s="94" t="s">
        <v>38</v>
      </c>
      <c r="XZ22" s="94" t="s">
        <v>38</v>
      </c>
      <c r="YA22" s="94" t="s">
        <v>38</v>
      </c>
      <c r="YB22" s="94" t="s">
        <v>38</v>
      </c>
      <c r="YC22" s="94" t="s">
        <v>38</v>
      </c>
      <c r="YD22" s="94">
        <v>161</v>
      </c>
      <c r="YE22" s="94">
        <v>145</v>
      </c>
      <c r="YF22" s="94">
        <v>1570</v>
      </c>
      <c r="YG22" s="94">
        <v>1530</v>
      </c>
      <c r="YH22" s="94" t="s">
        <v>38</v>
      </c>
      <c r="YI22" s="94">
        <v>61</v>
      </c>
      <c r="YJ22" s="94">
        <v>64</v>
      </c>
      <c r="YK22" s="94" t="s">
        <v>38</v>
      </c>
      <c r="YL22" s="94" t="s">
        <v>38</v>
      </c>
      <c r="YQ22" s="94">
        <v>6</v>
      </c>
      <c r="YR22" s="94" t="s">
        <v>38</v>
      </c>
      <c r="YS22" s="94" t="s">
        <v>38</v>
      </c>
      <c r="YT22" s="94">
        <v>262</v>
      </c>
      <c r="YU22" s="94">
        <v>2</v>
      </c>
      <c r="YV22" s="94" t="s">
        <v>38</v>
      </c>
      <c r="YW22" s="94" t="s">
        <v>38</v>
      </c>
      <c r="YX22" s="94" t="s">
        <v>38</v>
      </c>
      <c r="YY22" s="94" t="s">
        <v>38</v>
      </c>
      <c r="YZ22" s="94">
        <v>57</v>
      </c>
      <c r="ZA22" s="94">
        <v>1</v>
      </c>
      <c r="ZB22" s="94">
        <v>55</v>
      </c>
      <c r="ZE22" s="94" t="s">
        <v>152</v>
      </c>
      <c r="ZF22" s="94" t="s">
        <v>152</v>
      </c>
      <c r="ZG22" s="94">
        <v>72</v>
      </c>
      <c r="ZH22" s="94" t="s">
        <v>152</v>
      </c>
      <c r="ZI22" s="94">
        <v>18</v>
      </c>
      <c r="ZJ22" s="94" t="s">
        <v>38</v>
      </c>
      <c r="ZK22" s="94" t="s">
        <v>38</v>
      </c>
      <c r="ZL22" s="94" t="s">
        <v>38</v>
      </c>
      <c r="ZM22" s="94">
        <v>720</v>
      </c>
      <c r="ZN22" s="94">
        <v>683</v>
      </c>
      <c r="ZO22" s="94" t="s">
        <v>38</v>
      </c>
      <c r="ZP22" s="94">
        <v>1423</v>
      </c>
      <c r="ZQ22" s="94">
        <v>261</v>
      </c>
      <c r="ZR22" s="94" t="s">
        <v>38</v>
      </c>
      <c r="ZS22" s="96" t="s">
        <v>38</v>
      </c>
      <c r="ZT22" s="96" t="s">
        <v>38</v>
      </c>
      <c r="ZU22" s="96">
        <v>15</v>
      </c>
      <c r="ZV22" s="96">
        <v>99</v>
      </c>
      <c r="ZW22" s="96">
        <v>238</v>
      </c>
      <c r="ZX22" s="96"/>
      <c r="ZY22" s="96"/>
      <c r="ZZ22" s="96" t="s">
        <v>38</v>
      </c>
      <c r="AAA22" s="96"/>
      <c r="AAB22" s="96"/>
      <c r="AAC22" s="96">
        <v>218</v>
      </c>
      <c r="AAD22" s="96" t="s">
        <v>152</v>
      </c>
      <c r="AAE22" s="96">
        <v>369</v>
      </c>
      <c r="AAF22" s="96" t="s">
        <v>152</v>
      </c>
      <c r="AAG22" s="96" t="s">
        <v>152</v>
      </c>
      <c r="AAH22" s="96" t="s">
        <v>152</v>
      </c>
      <c r="AAI22" s="96" t="s">
        <v>152</v>
      </c>
      <c r="AAJ22" s="94" t="s">
        <v>152</v>
      </c>
      <c r="AAK22" s="94">
        <v>642</v>
      </c>
      <c r="AAL22" s="94" t="s">
        <v>152</v>
      </c>
      <c r="AAM22" s="94" t="s">
        <v>152</v>
      </c>
      <c r="AAN22" s="94">
        <v>234</v>
      </c>
      <c r="AAO22" s="94">
        <v>49</v>
      </c>
      <c r="AAP22" s="94">
        <v>813</v>
      </c>
      <c r="AAQ22" s="94">
        <v>1176</v>
      </c>
      <c r="AAR22" s="94" t="s">
        <v>38</v>
      </c>
      <c r="AAS22" s="94" t="s">
        <v>38</v>
      </c>
      <c r="AAT22" s="94" t="s">
        <v>38</v>
      </c>
      <c r="AAU22" s="94" t="s">
        <v>38</v>
      </c>
      <c r="AAV22" s="94">
        <v>1109</v>
      </c>
      <c r="AAW22" s="94" t="s">
        <v>38</v>
      </c>
      <c r="AAX22" s="94" t="s">
        <v>38</v>
      </c>
      <c r="AAY22" s="93">
        <v>74</v>
      </c>
      <c r="AAZ22" s="94">
        <v>18</v>
      </c>
      <c r="ABA22" s="94" t="s">
        <v>152</v>
      </c>
      <c r="ABB22" s="94" t="s">
        <v>152</v>
      </c>
      <c r="ABC22" s="94">
        <v>503</v>
      </c>
      <c r="ABD22" s="94">
        <v>8</v>
      </c>
      <c r="ABE22" s="126"/>
      <c r="ABF22" s="94">
        <v>78</v>
      </c>
      <c r="ABG22" s="94" t="s">
        <v>38</v>
      </c>
      <c r="ABH22" s="94" t="s">
        <v>38</v>
      </c>
      <c r="ABI22" s="94" t="s">
        <v>38</v>
      </c>
      <c r="ABJ22" s="94" t="s">
        <v>38</v>
      </c>
      <c r="ABK22" s="94">
        <v>108</v>
      </c>
      <c r="ABL22" s="94" t="s">
        <v>38</v>
      </c>
      <c r="ABP22" s="94" t="s">
        <v>38</v>
      </c>
      <c r="ABQ22" s="94" t="s">
        <v>38</v>
      </c>
      <c r="ABR22" s="94" t="s">
        <v>38</v>
      </c>
      <c r="ABS22" s="94">
        <v>245</v>
      </c>
      <c r="ABT22" s="94">
        <v>1001</v>
      </c>
      <c r="ABU22" s="94">
        <v>353</v>
      </c>
      <c r="ABV22" s="94" t="s">
        <v>38</v>
      </c>
      <c r="ABW22" s="94">
        <v>14</v>
      </c>
      <c r="ABX22" s="94" t="s">
        <v>38</v>
      </c>
      <c r="ABY22" s="94" t="s">
        <v>38</v>
      </c>
      <c r="ABZ22" s="94">
        <v>3268</v>
      </c>
      <c r="ACA22" s="94" t="s">
        <v>38</v>
      </c>
      <c r="ACB22" s="94" t="s">
        <v>38</v>
      </c>
      <c r="ACC22" s="94" t="s">
        <v>38</v>
      </c>
      <c r="ACD22" s="94">
        <v>12</v>
      </c>
      <c r="ACE22" s="94">
        <v>92</v>
      </c>
      <c r="ACF22" s="94" t="s">
        <v>38</v>
      </c>
      <c r="ACG22" s="94" t="s">
        <v>38</v>
      </c>
      <c r="ACH22" s="94" t="s">
        <v>38</v>
      </c>
      <c r="ACI22" s="94">
        <v>26</v>
      </c>
      <c r="ACJ22" s="94" t="s">
        <v>38</v>
      </c>
      <c r="ACK22" s="94">
        <v>75</v>
      </c>
      <c r="ACL22" s="94" t="s">
        <v>38</v>
      </c>
      <c r="ACM22" s="94" t="s">
        <v>38</v>
      </c>
      <c r="ACN22" s="94" t="s">
        <v>38</v>
      </c>
      <c r="ACO22" s="94" t="s">
        <v>38</v>
      </c>
      <c r="ACP22" s="94" t="s">
        <v>38</v>
      </c>
      <c r="ACQ22" s="94" t="s">
        <v>38</v>
      </c>
      <c r="ACR22" s="94">
        <v>80</v>
      </c>
      <c r="ACS22" s="94" t="s">
        <v>38</v>
      </c>
      <c r="ACT22" s="94">
        <v>15</v>
      </c>
      <c r="ACU22" s="94" t="s">
        <v>38</v>
      </c>
      <c r="ACV22" s="94" t="s">
        <v>38</v>
      </c>
      <c r="ACW22" s="94">
        <v>5021</v>
      </c>
      <c r="ACX22" s="94" t="s">
        <v>38</v>
      </c>
      <c r="ACY22" s="94">
        <v>1</v>
      </c>
      <c r="ACZ22" s="94">
        <v>1</v>
      </c>
      <c r="ADA22" s="94">
        <v>244</v>
      </c>
      <c r="ADB22" s="94">
        <v>2220</v>
      </c>
      <c r="ADC22" s="94" t="s">
        <v>38</v>
      </c>
      <c r="ADD22" s="94" t="s">
        <v>38</v>
      </c>
      <c r="ADE22" s="94">
        <v>1367</v>
      </c>
      <c r="ADF22" s="94" t="s">
        <v>38</v>
      </c>
      <c r="ADG22" s="94" t="s">
        <v>38</v>
      </c>
      <c r="ADH22" s="94">
        <v>13</v>
      </c>
      <c r="ADI22" s="94">
        <v>63</v>
      </c>
      <c r="ADJ22" s="94">
        <v>16</v>
      </c>
      <c r="ADK22" s="94" t="s">
        <v>38</v>
      </c>
      <c r="ADL22" s="94" t="s">
        <v>38</v>
      </c>
      <c r="ADM22" s="94" t="s">
        <v>38</v>
      </c>
      <c r="ADN22" s="94" t="s">
        <v>38</v>
      </c>
      <c r="ADO22" s="94" t="s">
        <v>38</v>
      </c>
      <c r="ADP22" s="94" t="s">
        <v>38</v>
      </c>
      <c r="ADQ22" s="94" t="s">
        <v>38</v>
      </c>
      <c r="ADR22" s="94" t="s">
        <v>38</v>
      </c>
      <c r="ADS22" s="94" t="s">
        <v>38</v>
      </c>
      <c r="ADT22" s="94">
        <v>50</v>
      </c>
      <c r="ADX22" s="94" t="s">
        <v>38</v>
      </c>
      <c r="ADY22" s="94" t="s">
        <v>38</v>
      </c>
      <c r="ADZ22" s="94" t="s">
        <v>38</v>
      </c>
      <c r="AEA22" s="94" t="s">
        <v>38</v>
      </c>
      <c r="AEB22" s="94" t="s">
        <v>38</v>
      </c>
      <c r="AEC22" s="94">
        <v>101</v>
      </c>
      <c r="AED22" s="94">
        <v>1782</v>
      </c>
      <c r="AEE22" s="94">
        <v>1638</v>
      </c>
      <c r="AEF22" s="94" t="s">
        <v>38</v>
      </c>
      <c r="AEG22" s="94" t="s">
        <v>38</v>
      </c>
      <c r="AEH22" s="94">
        <v>31</v>
      </c>
      <c r="AEI22" s="94">
        <v>344</v>
      </c>
      <c r="AEJ22" s="94">
        <v>12</v>
      </c>
      <c r="AEK22" s="94">
        <v>384</v>
      </c>
      <c r="AEL22" s="94">
        <v>433</v>
      </c>
      <c r="AEM22" s="94">
        <v>105</v>
      </c>
      <c r="AEN22" s="94">
        <v>250</v>
      </c>
      <c r="AEO22" s="94">
        <v>643</v>
      </c>
      <c r="AEP22" s="94">
        <v>1010</v>
      </c>
      <c r="AEQ22" s="94">
        <v>366</v>
      </c>
      <c r="AER22" s="94">
        <v>121</v>
      </c>
      <c r="AES22" s="94">
        <v>137</v>
      </c>
      <c r="AET22" s="94">
        <v>158</v>
      </c>
      <c r="AEU22" s="94" t="s">
        <v>38</v>
      </c>
      <c r="AEV22" s="94" t="s">
        <v>38</v>
      </c>
      <c r="AEW22" s="94">
        <v>517</v>
      </c>
      <c r="AEX22" s="94">
        <v>1</v>
      </c>
      <c r="AEY22" s="94" t="s">
        <v>38</v>
      </c>
      <c r="AEZ22" s="94" t="s">
        <v>38</v>
      </c>
      <c r="AFA22" s="94" t="s">
        <v>38</v>
      </c>
      <c r="AFB22" s="94" t="s">
        <v>38</v>
      </c>
      <c r="AFC22" s="94" t="s">
        <v>38</v>
      </c>
      <c r="AFD22" s="94" t="s">
        <v>38</v>
      </c>
      <c r="AFE22" s="94">
        <v>1</v>
      </c>
      <c r="AFF22" s="94">
        <v>1451</v>
      </c>
      <c r="AFG22" s="94">
        <v>1959</v>
      </c>
      <c r="AFH22" s="94">
        <v>2420</v>
      </c>
      <c r="AFI22" s="94" t="s">
        <v>38</v>
      </c>
      <c r="AFJ22" s="94">
        <v>493</v>
      </c>
      <c r="AFK22" s="94">
        <v>215</v>
      </c>
      <c r="AFL22" s="94">
        <v>3115</v>
      </c>
      <c r="AFM22" s="94">
        <v>2525</v>
      </c>
      <c r="AFN22" s="94">
        <v>2341</v>
      </c>
      <c r="AFO22" s="94" t="s">
        <v>38</v>
      </c>
      <c r="AFP22" s="94" t="s">
        <v>38</v>
      </c>
      <c r="AFQ22" s="94">
        <v>302</v>
      </c>
      <c r="AFR22" s="94" t="s">
        <v>38</v>
      </c>
      <c r="AFS22" s="94" t="s">
        <v>38</v>
      </c>
      <c r="AFT22" s="94">
        <v>2054</v>
      </c>
      <c r="AFU22" s="94">
        <v>155</v>
      </c>
      <c r="AFV22" s="94">
        <v>53</v>
      </c>
      <c r="AFW22" s="94" t="s">
        <v>38</v>
      </c>
      <c r="AFX22" s="94" t="s">
        <v>38</v>
      </c>
      <c r="AFY22" s="94">
        <v>610</v>
      </c>
      <c r="AFZ22" s="94" t="s">
        <v>38</v>
      </c>
      <c r="AGA22" s="94" t="s">
        <v>38</v>
      </c>
      <c r="AGB22" s="94" t="s">
        <v>38</v>
      </c>
      <c r="AGC22" s="94" t="s">
        <v>38</v>
      </c>
      <c r="AGD22" s="94" t="s">
        <v>38</v>
      </c>
      <c r="AGE22" s="94" t="s">
        <v>38</v>
      </c>
      <c r="AGF22" s="94" t="s">
        <v>38</v>
      </c>
      <c r="AGG22" s="94" t="s">
        <v>38</v>
      </c>
      <c r="AGH22" s="94">
        <v>239</v>
      </c>
      <c r="AGI22" s="94" t="s">
        <v>38</v>
      </c>
      <c r="AGJ22" s="94" t="s">
        <v>38</v>
      </c>
      <c r="AGK22" s="94" t="s">
        <v>38</v>
      </c>
      <c r="AGL22" s="94">
        <v>456</v>
      </c>
      <c r="AGM22" s="94">
        <v>5113</v>
      </c>
      <c r="AGN22" s="94">
        <v>2679</v>
      </c>
      <c r="AGO22" s="94">
        <v>343</v>
      </c>
      <c r="AGP22" s="94">
        <v>407</v>
      </c>
      <c r="AGQ22" s="94" t="s">
        <v>38</v>
      </c>
      <c r="AGR22" s="94">
        <v>90</v>
      </c>
      <c r="AGS22" s="94">
        <v>3921</v>
      </c>
      <c r="AGT22" s="94">
        <v>768</v>
      </c>
      <c r="AGU22" s="94">
        <v>6</v>
      </c>
      <c r="AGV22" s="94">
        <v>28</v>
      </c>
      <c r="AGW22" s="94">
        <v>116</v>
      </c>
      <c r="AGX22" s="94">
        <v>32</v>
      </c>
      <c r="AGY22" s="94">
        <v>32</v>
      </c>
      <c r="AGZ22" s="94">
        <v>631</v>
      </c>
      <c r="AHA22" s="94">
        <v>1</v>
      </c>
      <c r="AHB22" s="94">
        <v>935</v>
      </c>
      <c r="AHC22" s="94">
        <v>183</v>
      </c>
      <c r="AHD22" s="94">
        <v>277</v>
      </c>
      <c r="AHE22" s="94">
        <v>652</v>
      </c>
      <c r="AHF22" s="94" t="s">
        <v>38</v>
      </c>
      <c r="AHG22" s="94">
        <v>30</v>
      </c>
      <c r="AHH22" s="94">
        <v>495</v>
      </c>
      <c r="AHI22" s="94">
        <v>26</v>
      </c>
      <c r="AHJ22" s="94">
        <v>80</v>
      </c>
      <c r="AHK22" s="94">
        <v>596</v>
      </c>
      <c r="AHL22" s="94">
        <v>551</v>
      </c>
      <c r="AHM22" s="94" t="s">
        <v>38</v>
      </c>
      <c r="AHN22" s="94">
        <v>10</v>
      </c>
      <c r="AHO22" s="94">
        <v>1283</v>
      </c>
      <c r="AHP22" s="94">
        <v>2796</v>
      </c>
      <c r="AHQ22" s="94">
        <v>2914</v>
      </c>
      <c r="AHR22" s="94">
        <v>865</v>
      </c>
      <c r="AHS22" s="94">
        <v>854</v>
      </c>
      <c r="AHT22" s="94" t="s">
        <v>38</v>
      </c>
      <c r="AHU22" s="94" t="s">
        <v>38</v>
      </c>
      <c r="AHV22" s="94" t="s">
        <v>38</v>
      </c>
      <c r="AHW22" s="94">
        <v>52</v>
      </c>
      <c r="AHX22" s="94" t="s">
        <v>38</v>
      </c>
      <c r="AHY22" s="94" t="s">
        <v>38</v>
      </c>
      <c r="AHZ22" s="94" t="s">
        <v>38</v>
      </c>
      <c r="AIA22" s="94" t="s">
        <v>38</v>
      </c>
      <c r="AIB22" s="94">
        <v>12</v>
      </c>
      <c r="AIC22" s="94">
        <v>10</v>
      </c>
      <c r="AID22" s="94" t="s">
        <v>38</v>
      </c>
      <c r="AIE22" s="94" t="s">
        <v>38</v>
      </c>
      <c r="AIF22" s="94" t="s">
        <v>38</v>
      </c>
      <c r="AIG22" s="94" t="s">
        <v>38</v>
      </c>
      <c r="AIH22" s="94" t="s">
        <v>38</v>
      </c>
      <c r="AII22" s="94" t="s">
        <v>38</v>
      </c>
      <c r="AIJ22" s="94" t="s">
        <v>38</v>
      </c>
      <c r="AIK22" s="94" t="s">
        <v>38</v>
      </c>
      <c r="AIL22" s="94">
        <v>2470</v>
      </c>
      <c r="AIM22" s="94" t="s">
        <v>38</v>
      </c>
      <c r="AIN22" s="94">
        <v>88</v>
      </c>
      <c r="AIO22" s="94" t="s">
        <v>38</v>
      </c>
      <c r="AIP22" s="94" t="s">
        <v>38</v>
      </c>
      <c r="AIQ22" s="94">
        <v>5</v>
      </c>
      <c r="AIR22" s="94">
        <v>147</v>
      </c>
      <c r="AIS22" s="94">
        <v>46</v>
      </c>
      <c r="AIT22" s="94">
        <v>230</v>
      </c>
      <c r="AIU22" s="94">
        <v>1682</v>
      </c>
      <c r="AIV22" s="94" t="s">
        <v>38</v>
      </c>
      <c r="AIW22" s="94">
        <v>815</v>
      </c>
      <c r="AIX22" s="94">
        <v>860</v>
      </c>
      <c r="AIY22" s="94">
        <v>509</v>
      </c>
      <c r="AIZ22" s="94">
        <v>593</v>
      </c>
      <c r="AJA22" s="94">
        <v>69</v>
      </c>
      <c r="AJB22" s="94">
        <v>125</v>
      </c>
      <c r="AJC22" s="94" t="s">
        <v>38</v>
      </c>
      <c r="AJD22" s="158">
        <v>1152</v>
      </c>
      <c r="AJE22" s="94" t="s">
        <v>152</v>
      </c>
      <c r="AJF22" s="94">
        <v>59</v>
      </c>
      <c r="AJG22" s="94">
        <v>285</v>
      </c>
      <c r="AJH22" s="94" t="s">
        <v>152</v>
      </c>
      <c r="AJI22" s="94">
        <v>194</v>
      </c>
      <c r="AJJ22" s="94" t="s">
        <v>152</v>
      </c>
      <c r="AJK22" s="94">
        <v>78</v>
      </c>
      <c r="AJL22" s="94">
        <v>51</v>
      </c>
      <c r="AJM22" s="94">
        <v>168</v>
      </c>
      <c r="AJN22" s="94">
        <v>126</v>
      </c>
      <c r="AJO22" s="94">
        <v>638</v>
      </c>
      <c r="AJP22" s="94">
        <v>296</v>
      </c>
      <c r="AJQ22" s="94" t="s">
        <v>38</v>
      </c>
      <c r="AJR22" s="94" t="s">
        <v>38</v>
      </c>
      <c r="AJS22" s="94">
        <v>585</v>
      </c>
      <c r="AJT22" s="94">
        <v>955</v>
      </c>
      <c r="AJU22" s="94">
        <v>943</v>
      </c>
      <c r="AJV22" s="94">
        <v>168</v>
      </c>
      <c r="AJW22" s="94">
        <v>77</v>
      </c>
      <c r="AJX22" s="94" t="s">
        <v>38</v>
      </c>
      <c r="AJY22" s="94">
        <v>463</v>
      </c>
      <c r="AJZ22" s="94">
        <v>448</v>
      </c>
      <c r="AKA22" s="94">
        <v>627</v>
      </c>
      <c r="AKB22" s="94">
        <v>274</v>
      </c>
      <c r="AKC22" s="94">
        <v>378</v>
      </c>
      <c r="AKD22" s="94">
        <v>149</v>
      </c>
      <c r="AKE22" s="94">
        <v>99</v>
      </c>
      <c r="AKF22" s="94">
        <v>1215</v>
      </c>
    </row>
    <row r="23" spans="1:968" s="98" customFormat="1">
      <c r="A23" s="97">
        <v>11</v>
      </c>
      <c r="B23" s="98" t="s">
        <v>183</v>
      </c>
      <c r="C23" s="99">
        <v>82660</v>
      </c>
      <c r="D23" s="100" t="s">
        <v>147</v>
      </c>
      <c r="E23" s="99" t="s">
        <v>174</v>
      </c>
      <c r="F23" s="99" t="s">
        <v>97</v>
      </c>
      <c r="G23" s="99" t="s">
        <v>33</v>
      </c>
      <c r="H23" s="99" t="s">
        <v>175</v>
      </c>
      <c r="I23" s="99" t="s">
        <v>162</v>
      </c>
      <c r="J23" s="99" t="s">
        <v>46</v>
      </c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>
        <v>40</v>
      </c>
      <c r="AZ23" s="101" t="s">
        <v>38</v>
      </c>
      <c r="BA23" s="101" t="s">
        <v>38</v>
      </c>
      <c r="BB23" s="101">
        <v>90</v>
      </c>
      <c r="BC23" s="101">
        <v>344</v>
      </c>
      <c r="BD23" s="101" t="s">
        <v>38</v>
      </c>
      <c r="BE23" s="101"/>
      <c r="BF23" s="101"/>
      <c r="BG23" s="101"/>
      <c r="BH23" s="101"/>
      <c r="WU23" s="98">
        <v>3</v>
      </c>
      <c r="WY23" s="98">
        <v>454</v>
      </c>
      <c r="XC23" s="98">
        <v>2</v>
      </c>
      <c r="XE23" s="98">
        <v>350</v>
      </c>
      <c r="XF23" s="98">
        <v>2</v>
      </c>
      <c r="XH23" s="98">
        <v>3</v>
      </c>
      <c r="XL23" s="98">
        <v>132</v>
      </c>
      <c r="XM23" s="98">
        <v>171</v>
      </c>
      <c r="XO23" s="98">
        <v>3</v>
      </c>
      <c r="XP23" s="98" t="s">
        <v>38</v>
      </c>
      <c r="XQ23" s="98">
        <v>2</v>
      </c>
      <c r="XR23" s="98" t="s">
        <v>38</v>
      </c>
      <c r="XS23" s="98">
        <v>159</v>
      </c>
      <c r="XT23" s="98">
        <v>138</v>
      </c>
      <c r="XU23" s="98" t="s">
        <v>38</v>
      </c>
      <c r="XW23" s="98">
        <v>1</v>
      </c>
      <c r="XX23" s="98">
        <v>1</v>
      </c>
      <c r="XY23" s="98">
        <v>2</v>
      </c>
      <c r="XZ23" s="98">
        <v>670</v>
      </c>
      <c r="YA23" s="98">
        <v>26</v>
      </c>
      <c r="YB23" s="98" t="s">
        <v>38</v>
      </c>
      <c r="YC23" s="98">
        <v>1</v>
      </c>
      <c r="YD23" s="98">
        <v>3</v>
      </c>
      <c r="YE23" s="98">
        <v>1</v>
      </c>
      <c r="YF23" s="98">
        <v>2</v>
      </c>
      <c r="YG23" s="98">
        <v>1</v>
      </c>
      <c r="YH23" s="98" t="s">
        <v>38</v>
      </c>
      <c r="YI23" s="98" t="s">
        <v>38</v>
      </c>
      <c r="YJ23" s="98">
        <v>1429</v>
      </c>
      <c r="YL23" s="98">
        <v>18</v>
      </c>
      <c r="YM23" s="98">
        <v>2</v>
      </c>
      <c r="YN23" s="98">
        <v>2</v>
      </c>
      <c r="YO23" s="98">
        <v>2</v>
      </c>
      <c r="YP23" s="98" t="s">
        <v>38</v>
      </c>
      <c r="YT23" s="98">
        <v>398</v>
      </c>
      <c r="YX23" s="98">
        <v>1</v>
      </c>
      <c r="YY23" s="98" t="s">
        <v>38</v>
      </c>
      <c r="YZ23" s="98">
        <v>343</v>
      </c>
      <c r="ZA23" s="98">
        <v>7</v>
      </c>
      <c r="ZB23" s="98" t="s">
        <v>38</v>
      </c>
      <c r="ZC23" s="98">
        <v>1</v>
      </c>
      <c r="ZE23" s="98">
        <v>3</v>
      </c>
      <c r="ZF23" s="98" t="s">
        <v>152</v>
      </c>
      <c r="ZG23" s="98">
        <v>624</v>
      </c>
      <c r="ZH23" s="98" t="s">
        <v>152</v>
      </c>
      <c r="ZI23" s="98">
        <v>1</v>
      </c>
      <c r="ZJ23" s="98">
        <v>111</v>
      </c>
      <c r="ZL23" s="98" t="s">
        <v>152</v>
      </c>
      <c r="ZM23" s="98">
        <v>2</v>
      </c>
      <c r="ZN23" s="98">
        <v>714</v>
      </c>
      <c r="ZO23" s="98">
        <v>3</v>
      </c>
      <c r="ZP23" s="98">
        <v>3</v>
      </c>
      <c r="ZQ23" s="98">
        <v>1</v>
      </c>
      <c r="ZR23" s="98" t="s">
        <v>38</v>
      </c>
      <c r="ZS23" s="101" t="s">
        <v>38</v>
      </c>
      <c r="ZT23" s="101">
        <v>3</v>
      </c>
      <c r="ZU23" s="101" t="s">
        <v>38</v>
      </c>
      <c r="ZV23" s="101">
        <v>9</v>
      </c>
      <c r="ZW23" s="101">
        <v>641</v>
      </c>
      <c r="ZX23" s="101">
        <v>362</v>
      </c>
      <c r="ZY23" s="101" t="s">
        <v>38</v>
      </c>
      <c r="ZZ23" s="101">
        <v>1</v>
      </c>
      <c r="AAA23" s="101">
        <v>16</v>
      </c>
      <c r="AAB23" s="101">
        <v>4</v>
      </c>
      <c r="AAC23" s="101">
        <v>7</v>
      </c>
      <c r="AAD23" s="101">
        <v>1</v>
      </c>
      <c r="AAE23" s="101">
        <v>131</v>
      </c>
      <c r="AAF23" s="101" t="s">
        <v>152</v>
      </c>
      <c r="AAG23" s="101">
        <v>5</v>
      </c>
      <c r="AAH23" s="101" t="s">
        <v>152</v>
      </c>
      <c r="AAI23" s="101">
        <v>1</v>
      </c>
      <c r="AAJ23" s="98">
        <v>56</v>
      </c>
      <c r="AAK23" s="98">
        <v>3</v>
      </c>
      <c r="AAL23" s="98">
        <v>133</v>
      </c>
      <c r="AAM23" s="98" t="s">
        <v>152</v>
      </c>
      <c r="AAN23" s="98">
        <v>2</v>
      </c>
      <c r="AAO23" s="98" t="s">
        <v>152</v>
      </c>
      <c r="AAP23" s="98" t="s">
        <v>152</v>
      </c>
      <c r="AAQ23" s="98">
        <v>203</v>
      </c>
      <c r="AAW23" s="98">
        <v>3</v>
      </c>
      <c r="AAX23" s="98" t="s">
        <v>152</v>
      </c>
      <c r="AAY23" s="97">
        <v>1</v>
      </c>
      <c r="AAZ23" s="98">
        <v>243</v>
      </c>
      <c r="ABA23" s="98" t="s">
        <v>152</v>
      </c>
      <c r="ABB23" s="98">
        <v>9</v>
      </c>
      <c r="ABC23" s="98" t="s">
        <v>152</v>
      </c>
      <c r="ABD23" s="98">
        <v>1</v>
      </c>
      <c r="ABE23" s="125"/>
      <c r="ABF23" s="98" t="s">
        <v>38</v>
      </c>
      <c r="ABG23" s="98">
        <v>126</v>
      </c>
      <c r="ABH23" s="98" t="s">
        <v>38</v>
      </c>
      <c r="ABI23" s="98" t="s">
        <v>38</v>
      </c>
      <c r="ABJ23" s="98" t="s">
        <v>38</v>
      </c>
      <c r="ABK23" s="98" t="s">
        <v>38</v>
      </c>
      <c r="ABL23" s="98">
        <v>617</v>
      </c>
      <c r="ABM23" s="98" t="s">
        <v>38</v>
      </c>
      <c r="ABN23" s="98">
        <v>3</v>
      </c>
      <c r="ABP23" s="98">
        <v>1</v>
      </c>
      <c r="ABQ23" s="98">
        <v>4</v>
      </c>
      <c r="ABR23" s="98">
        <v>1288</v>
      </c>
      <c r="ABS23" s="98">
        <v>1</v>
      </c>
      <c r="ABT23" s="98" t="s">
        <v>38</v>
      </c>
      <c r="ABU23" s="98">
        <v>1</v>
      </c>
      <c r="ABV23" s="98" t="s">
        <v>38</v>
      </c>
      <c r="ABW23" s="98">
        <v>1</v>
      </c>
      <c r="ABX23" s="98" t="s">
        <v>38</v>
      </c>
      <c r="ABY23" s="98">
        <v>1484</v>
      </c>
      <c r="ABZ23" s="98">
        <v>4</v>
      </c>
      <c r="ACB23" s="98">
        <v>2</v>
      </c>
      <c r="ACC23" s="98" t="s">
        <v>38</v>
      </c>
      <c r="ACD23" s="98">
        <v>2</v>
      </c>
      <c r="ACE23" s="98">
        <v>3</v>
      </c>
      <c r="ACF23" s="98">
        <v>2</v>
      </c>
      <c r="ACG23" s="98">
        <v>907</v>
      </c>
      <c r="ACH23" s="98" t="s">
        <v>38</v>
      </c>
      <c r="ACI23" s="98" t="s">
        <v>38</v>
      </c>
      <c r="ACJ23" s="98" t="s">
        <v>38</v>
      </c>
      <c r="ACK23" s="98">
        <v>1</v>
      </c>
      <c r="ACL23" s="98">
        <v>3</v>
      </c>
      <c r="ACM23" s="98" t="s">
        <v>38</v>
      </c>
      <c r="ACN23" s="98">
        <v>4</v>
      </c>
      <c r="ACO23" s="98" t="s">
        <v>38</v>
      </c>
      <c r="ACP23" s="98">
        <v>1039</v>
      </c>
      <c r="ACQ23" s="98" t="s">
        <v>38</v>
      </c>
      <c r="ACR23" s="98">
        <v>3</v>
      </c>
      <c r="ACS23" s="98">
        <v>1</v>
      </c>
      <c r="ACT23" s="98">
        <v>42</v>
      </c>
      <c r="ACU23" s="98">
        <v>488</v>
      </c>
      <c r="ACV23" s="98" t="s">
        <v>38</v>
      </c>
      <c r="ACW23" s="98">
        <v>2</v>
      </c>
      <c r="ACX23" s="98" t="s">
        <v>38</v>
      </c>
      <c r="ACY23" s="98">
        <v>5</v>
      </c>
      <c r="ACZ23" s="98">
        <v>10</v>
      </c>
      <c r="ADA23" s="98">
        <v>615</v>
      </c>
      <c r="ADB23" s="98">
        <v>3</v>
      </c>
      <c r="ADC23" s="98" t="s">
        <v>38</v>
      </c>
      <c r="ADD23" s="98">
        <v>3</v>
      </c>
      <c r="ADE23" s="98">
        <v>36</v>
      </c>
      <c r="ADF23" s="98">
        <v>13</v>
      </c>
      <c r="ADG23" s="98">
        <v>61</v>
      </c>
      <c r="ADH23" s="98">
        <v>3</v>
      </c>
      <c r="ADI23" s="98" t="s">
        <v>38</v>
      </c>
      <c r="ADJ23" s="98">
        <v>1</v>
      </c>
      <c r="ADK23" s="98">
        <v>993</v>
      </c>
      <c r="ADL23" s="98" t="s">
        <v>38</v>
      </c>
      <c r="ADM23" s="98">
        <v>3</v>
      </c>
      <c r="ADN23" s="98" t="s">
        <v>38</v>
      </c>
      <c r="ADO23" s="98">
        <v>16</v>
      </c>
      <c r="ADP23" s="98">
        <v>1</v>
      </c>
      <c r="ADQ23" s="98">
        <v>789</v>
      </c>
      <c r="ADR23" s="98">
        <v>236</v>
      </c>
      <c r="ADS23" s="98" t="s">
        <v>38</v>
      </c>
      <c r="ADT23" s="98" t="s">
        <v>38</v>
      </c>
      <c r="ADU23" s="98" t="s">
        <v>38</v>
      </c>
      <c r="ADW23" s="98" t="s">
        <v>38</v>
      </c>
      <c r="ADX23" s="98">
        <v>1045</v>
      </c>
      <c r="ADY23" s="98">
        <v>1</v>
      </c>
      <c r="ADZ23" s="98" t="s">
        <v>38</v>
      </c>
      <c r="AEA23" s="98">
        <v>2</v>
      </c>
      <c r="AEB23" s="98">
        <v>3</v>
      </c>
      <c r="AEC23" s="98">
        <v>6</v>
      </c>
      <c r="AED23" s="98">
        <v>377</v>
      </c>
      <c r="AEE23" s="98">
        <v>1</v>
      </c>
      <c r="AEF23" s="98">
        <v>1281</v>
      </c>
      <c r="AEG23" s="98" t="s">
        <v>38</v>
      </c>
      <c r="AEH23" s="98">
        <v>390</v>
      </c>
      <c r="AEI23" s="98">
        <v>20</v>
      </c>
      <c r="AEJ23" s="98">
        <v>121</v>
      </c>
      <c r="AEK23" s="98">
        <v>182</v>
      </c>
      <c r="AEL23" s="98">
        <v>172</v>
      </c>
      <c r="AEM23" s="98" t="s">
        <v>38</v>
      </c>
      <c r="AEN23" s="98" t="s">
        <v>38</v>
      </c>
      <c r="AEO23" s="98">
        <v>1</v>
      </c>
      <c r="AEP23" s="98">
        <v>1</v>
      </c>
      <c r="AEQ23" s="98">
        <v>1</v>
      </c>
      <c r="AER23" s="98">
        <v>199</v>
      </c>
      <c r="AES23" s="98">
        <v>204</v>
      </c>
      <c r="AET23" s="98">
        <v>2</v>
      </c>
      <c r="AEU23" s="98" t="s">
        <v>38</v>
      </c>
      <c r="AEV23" s="98" t="s">
        <v>38</v>
      </c>
      <c r="AEW23" s="98">
        <v>4</v>
      </c>
      <c r="AEX23" s="98">
        <v>1</v>
      </c>
      <c r="AEY23" s="98">
        <v>419</v>
      </c>
      <c r="AEZ23" s="98">
        <v>4</v>
      </c>
      <c r="AFA23" s="98">
        <v>2</v>
      </c>
      <c r="AFB23" s="98" t="s">
        <v>38</v>
      </c>
      <c r="AFC23" s="98">
        <v>1</v>
      </c>
      <c r="AFD23" s="98" t="s">
        <v>38</v>
      </c>
      <c r="AFE23" s="98">
        <v>64</v>
      </c>
      <c r="AFF23" s="98">
        <v>297</v>
      </c>
      <c r="AFG23" s="98">
        <v>48</v>
      </c>
      <c r="AFH23" s="98">
        <v>10</v>
      </c>
      <c r="AFI23" s="98" t="s">
        <v>38</v>
      </c>
      <c r="AFJ23" s="98">
        <v>1</v>
      </c>
      <c r="AFK23" s="98">
        <v>5</v>
      </c>
      <c r="AFL23" s="98" t="s">
        <v>38</v>
      </c>
      <c r="AFM23" s="98">
        <v>51</v>
      </c>
      <c r="AFN23" s="98">
        <v>5</v>
      </c>
      <c r="AFO23" s="98">
        <v>5</v>
      </c>
      <c r="AFP23" s="98" t="s">
        <v>38</v>
      </c>
      <c r="AFQ23" s="98">
        <v>1</v>
      </c>
      <c r="AFR23" s="98">
        <v>1</v>
      </c>
      <c r="AFS23" s="98">
        <v>751</v>
      </c>
      <c r="AFT23" s="98">
        <v>1</v>
      </c>
      <c r="AFU23" s="98">
        <v>365</v>
      </c>
      <c r="AFV23" s="98">
        <v>284</v>
      </c>
      <c r="AFW23" s="98" t="s">
        <v>38</v>
      </c>
      <c r="AFX23" s="98">
        <v>43</v>
      </c>
      <c r="AFY23" s="98" t="s">
        <v>38</v>
      </c>
      <c r="AFZ23" s="98" t="s">
        <v>38</v>
      </c>
      <c r="AGA23" s="98">
        <v>256</v>
      </c>
      <c r="AGB23" s="98" t="s">
        <v>38</v>
      </c>
      <c r="AGC23" s="98" t="s">
        <v>38</v>
      </c>
      <c r="AGD23" s="98" t="s">
        <v>38</v>
      </c>
      <c r="AGE23" s="98" t="s">
        <v>38</v>
      </c>
      <c r="AGF23" s="98" t="s">
        <v>38</v>
      </c>
      <c r="AGG23" s="98" t="s">
        <v>38</v>
      </c>
      <c r="AGH23" s="98">
        <v>2</v>
      </c>
      <c r="AGI23" s="98">
        <v>389</v>
      </c>
      <c r="AGJ23" s="98" t="s">
        <v>38</v>
      </c>
      <c r="AGK23" s="98" t="s">
        <v>38</v>
      </c>
      <c r="AGL23" s="98" t="s">
        <v>38</v>
      </c>
      <c r="AGM23" s="98">
        <v>1</v>
      </c>
      <c r="AGN23" s="98">
        <v>111</v>
      </c>
      <c r="AGO23" s="98">
        <v>728</v>
      </c>
      <c r="AGP23" s="98">
        <v>56</v>
      </c>
      <c r="AGQ23" s="98" t="s">
        <v>38</v>
      </c>
      <c r="AGR23" s="98" t="s">
        <v>38</v>
      </c>
      <c r="AGS23" s="98">
        <v>2</v>
      </c>
      <c r="AGT23" s="98">
        <v>2</v>
      </c>
      <c r="AGU23" s="98" t="s">
        <v>38</v>
      </c>
      <c r="AGV23" s="98">
        <v>216</v>
      </c>
      <c r="AGW23" s="98">
        <v>10</v>
      </c>
      <c r="AGX23" s="98">
        <v>4</v>
      </c>
      <c r="AGY23" s="98" t="s">
        <v>38</v>
      </c>
      <c r="AGZ23" s="98">
        <v>11</v>
      </c>
      <c r="AHA23" s="98" t="s">
        <v>38</v>
      </c>
      <c r="AHB23" s="98" t="s">
        <v>38</v>
      </c>
      <c r="AHC23" s="98">
        <v>240</v>
      </c>
      <c r="AHD23" s="98" t="s">
        <v>38</v>
      </c>
      <c r="AHE23" s="98">
        <v>1</v>
      </c>
      <c r="AHF23" s="98" t="s">
        <v>38</v>
      </c>
      <c r="AHG23" s="98">
        <v>1</v>
      </c>
      <c r="AHH23" s="98">
        <v>5</v>
      </c>
      <c r="AHI23" s="98" t="s">
        <v>38</v>
      </c>
      <c r="AHJ23" s="98">
        <v>104</v>
      </c>
      <c r="AHK23" s="98">
        <v>414</v>
      </c>
      <c r="AHL23" s="98">
        <v>4</v>
      </c>
      <c r="AHM23" s="98" t="s">
        <v>38</v>
      </c>
      <c r="AHN23" s="98" t="s">
        <v>38</v>
      </c>
      <c r="AHO23" s="98">
        <v>1</v>
      </c>
      <c r="AHP23" s="98">
        <v>20</v>
      </c>
      <c r="AHQ23" s="98">
        <v>714</v>
      </c>
      <c r="AHR23" s="98">
        <v>755</v>
      </c>
      <c r="AHS23" s="98">
        <v>2</v>
      </c>
      <c r="AHT23" s="98" t="s">
        <v>38</v>
      </c>
      <c r="AHU23" s="98" t="s">
        <v>38</v>
      </c>
      <c r="AHV23" s="98" t="s">
        <v>38</v>
      </c>
      <c r="AHW23" s="98">
        <v>4</v>
      </c>
      <c r="AHX23" s="98">
        <v>2</v>
      </c>
      <c r="AHY23" s="98">
        <v>907</v>
      </c>
      <c r="AHZ23" s="98">
        <v>102</v>
      </c>
      <c r="AIA23" s="98" t="s">
        <v>38</v>
      </c>
      <c r="AIB23" s="98">
        <v>18</v>
      </c>
      <c r="AIC23" s="98">
        <v>2</v>
      </c>
      <c r="AID23" s="98">
        <v>109</v>
      </c>
      <c r="AIE23" s="98" t="s">
        <v>38</v>
      </c>
      <c r="AIF23" s="98">
        <v>274</v>
      </c>
      <c r="AIG23" s="98" t="s">
        <v>38</v>
      </c>
      <c r="AIH23" s="98" t="s">
        <v>38</v>
      </c>
      <c r="AII23" s="98" t="s">
        <v>38</v>
      </c>
      <c r="AIJ23" s="98">
        <v>1</v>
      </c>
      <c r="AIK23" s="98" t="s">
        <v>38</v>
      </c>
      <c r="AIL23" s="98">
        <v>4</v>
      </c>
      <c r="AIN23" s="98">
        <v>298</v>
      </c>
      <c r="AIO23" s="98" t="s">
        <v>38</v>
      </c>
      <c r="AIP23" s="98" t="s">
        <v>38</v>
      </c>
      <c r="AIQ23" s="98" t="s">
        <v>38</v>
      </c>
      <c r="AIR23" s="98" t="s">
        <v>38</v>
      </c>
      <c r="AIS23" s="98">
        <v>684</v>
      </c>
      <c r="AIT23" s="98">
        <v>1</v>
      </c>
      <c r="AIU23" s="98">
        <v>153</v>
      </c>
      <c r="AIV23" s="98" t="s">
        <v>38</v>
      </c>
      <c r="AIW23" s="98">
        <v>4</v>
      </c>
      <c r="AIX23" s="98">
        <v>6</v>
      </c>
      <c r="AIY23" s="98">
        <v>1</v>
      </c>
      <c r="AIZ23" s="98">
        <v>636</v>
      </c>
      <c r="AJA23" s="98">
        <v>1</v>
      </c>
      <c r="AJB23" s="98">
        <v>122</v>
      </c>
      <c r="AJC23" s="98" t="s">
        <v>152</v>
      </c>
      <c r="AJD23" s="98">
        <v>4</v>
      </c>
      <c r="AJE23" s="98">
        <v>4</v>
      </c>
      <c r="AJF23" s="98">
        <v>1</v>
      </c>
      <c r="AJG23" s="98">
        <v>657</v>
      </c>
      <c r="AJH23" s="98" t="s">
        <v>152</v>
      </c>
      <c r="AJI23" s="98" t="s">
        <v>152</v>
      </c>
      <c r="AJK23" s="98">
        <v>256</v>
      </c>
      <c r="AJL23" s="98">
        <v>10</v>
      </c>
      <c r="AJM23" s="98" t="s">
        <v>38</v>
      </c>
      <c r="AJN23" s="98">
        <v>547</v>
      </c>
      <c r="AJO23" s="98">
        <v>4</v>
      </c>
      <c r="AJP23" s="98">
        <v>143</v>
      </c>
      <c r="AJQ23" s="98" t="s">
        <v>38</v>
      </c>
      <c r="AJR23" s="98" t="s">
        <v>38</v>
      </c>
      <c r="AJS23" s="98" t="s">
        <v>38</v>
      </c>
      <c r="AJT23" s="98" t="s">
        <v>38</v>
      </c>
      <c r="AJU23" s="98">
        <v>3</v>
      </c>
      <c r="AJV23" s="98" t="s">
        <v>38</v>
      </c>
      <c r="AJW23" s="98">
        <v>2</v>
      </c>
      <c r="AJX23" s="98" t="s">
        <v>38</v>
      </c>
      <c r="AJY23" s="98">
        <v>362</v>
      </c>
      <c r="AJZ23" s="98">
        <v>1</v>
      </c>
      <c r="AKA23" s="98">
        <v>6</v>
      </c>
      <c r="AKB23" s="98">
        <v>558</v>
      </c>
      <c r="AKC23" s="98">
        <v>4</v>
      </c>
      <c r="AKD23" s="98">
        <v>2</v>
      </c>
    </row>
    <row r="24" spans="1:968">
      <c r="A24">
        <v>12</v>
      </c>
      <c r="B24" t="s">
        <v>184</v>
      </c>
      <c r="C24" s="1">
        <v>82660</v>
      </c>
      <c r="D24" s="2" t="s">
        <v>147</v>
      </c>
      <c r="E24" s="1" t="s">
        <v>174</v>
      </c>
      <c r="F24" s="1" t="s">
        <v>97</v>
      </c>
      <c r="G24" s="1" t="s">
        <v>12</v>
      </c>
      <c r="H24" s="1" t="s">
        <v>177</v>
      </c>
      <c r="I24" s="1" t="s">
        <v>162</v>
      </c>
      <c r="J24" s="1" t="s">
        <v>46</v>
      </c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>
        <v>139</v>
      </c>
      <c r="AZ24" s="25">
        <v>189</v>
      </c>
      <c r="BA24" s="25">
        <v>36</v>
      </c>
      <c r="BB24" s="25">
        <v>13</v>
      </c>
      <c r="BC24" s="25">
        <v>7</v>
      </c>
      <c r="BD24" s="25">
        <v>5</v>
      </c>
      <c r="BE24" s="25"/>
      <c r="BF24" s="25"/>
      <c r="BG24" s="25"/>
      <c r="BH24" s="25"/>
      <c r="ZV24" s="23"/>
      <c r="ZW24" s="23"/>
      <c r="ZX24" s="23"/>
      <c r="ZY24" s="23"/>
      <c r="ZZ24" s="23"/>
      <c r="AAA24" s="23"/>
      <c r="AAB24" s="23"/>
      <c r="AAC24" s="23"/>
      <c r="AAD24" s="23"/>
      <c r="AAE24" s="23"/>
      <c r="AAF24" s="23"/>
      <c r="AAG24" s="23"/>
      <c r="AAH24" s="23"/>
      <c r="AAI24" s="23"/>
    </row>
    <row r="25" spans="1:968" s="19" customFormat="1">
      <c r="B25" s="19" t="s">
        <v>185</v>
      </c>
      <c r="C25" s="20">
        <v>82660</v>
      </c>
      <c r="D25" s="20" t="s">
        <v>147</v>
      </c>
      <c r="E25" s="20" t="s">
        <v>174</v>
      </c>
      <c r="F25" s="20" t="s">
        <v>186</v>
      </c>
      <c r="G25" s="20" t="s">
        <v>33</v>
      </c>
      <c r="H25" s="21" t="s">
        <v>187</v>
      </c>
      <c r="I25" s="20"/>
      <c r="J25" s="20" t="s">
        <v>46</v>
      </c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ZV25" s="26"/>
      <c r="ZW25" s="26"/>
      <c r="ZX25" s="26"/>
      <c r="ZY25" s="26"/>
      <c r="ZZ25" s="26"/>
      <c r="AAA25" s="26"/>
      <c r="AAB25" s="26"/>
      <c r="AAC25" s="26"/>
      <c r="AAD25" s="26"/>
      <c r="AAE25" s="26"/>
      <c r="AAF25" s="26"/>
      <c r="AAG25" s="26"/>
      <c r="AAH25" s="26"/>
      <c r="AAI25" s="26"/>
      <c r="AAY25" s="116"/>
      <c r="ABE25" s="127"/>
    </row>
    <row r="26" spans="1:968" s="19" customFormat="1">
      <c r="B26" s="19" t="s">
        <v>188</v>
      </c>
      <c r="C26" s="20">
        <v>82660</v>
      </c>
      <c r="D26" s="20" t="s">
        <v>147</v>
      </c>
      <c r="E26" s="20" t="s">
        <v>174</v>
      </c>
      <c r="F26" s="20" t="s">
        <v>186</v>
      </c>
      <c r="G26" s="20" t="s">
        <v>12</v>
      </c>
      <c r="H26" s="20" t="s">
        <v>189</v>
      </c>
      <c r="I26" s="20"/>
      <c r="J26" s="20" t="s">
        <v>46</v>
      </c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ZV26" s="26"/>
      <c r="ZW26" s="26"/>
      <c r="ZX26" s="26"/>
      <c r="ZY26" s="26"/>
      <c r="ZZ26" s="26"/>
      <c r="AAA26" s="26"/>
      <c r="AAB26" s="26"/>
      <c r="AAC26" s="26"/>
      <c r="AAD26" s="26"/>
      <c r="AAE26" s="26"/>
      <c r="AAF26" s="26"/>
      <c r="AAG26" s="26"/>
      <c r="AAH26" s="26"/>
      <c r="AAI26" s="26"/>
      <c r="AAY26" s="116"/>
      <c r="ABE26" s="127"/>
    </row>
    <row r="27" spans="1:968" s="19" customFormat="1">
      <c r="B27" s="19" t="s">
        <v>190</v>
      </c>
      <c r="C27" s="20">
        <v>82660</v>
      </c>
      <c r="D27" s="20" t="s">
        <v>147</v>
      </c>
      <c r="E27" s="20" t="s">
        <v>174</v>
      </c>
      <c r="F27" s="20" t="s">
        <v>186</v>
      </c>
      <c r="G27" s="20" t="s">
        <v>12</v>
      </c>
      <c r="H27" s="20" t="s">
        <v>191</v>
      </c>
      <c r="I27" s="20"/>
      <c r="J27" s="20" t="s">
        <v>46</v>
      </c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ZV27" s="26"/>
      <c r="ZW27" s="26"/>
      <c r="ZX27" s="26"/>
      <c r="ZY27" s="26"/>
      <c r="ZZ27" s="26"/>
      <c r="AAA27" s="26"/>
      <c r="AAB27" s="26"/>
      <c r="AAC27" s="26"/>
      <c r="AAD27" s="26"/>
      <c r="AAE27" s="26"/>
      <c r="AAF27" s="26"/>
      <c r="AAG27" s="26"/>
      <c r="AAH27" s="26"/>
      <c r="AAI27" s="26"/>
      <c r="AAY27" s="116"/>
      <c r="ABE27" s="127"/>
    </row>
    <row r="28" spans="1:968" s="15" customFormat="1">
      <c r="C28" s="16">
        <v>82665</v>
      </c>
      <c r="D28" s="16" t="s">
        <v>147</v>
      </c>
      <c r="E28" s="16" t="s">
        <v>192</v>
      </c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ZV28" s="24"/>
      <c r="ZW28" s="24"/>
      <c r="ZX28" s="24"/>
      <c r="ZY28" s="24"/>
      <c r="ZZ28" s="24"/>
      <c r="AAA28" s="24"/>
      <c r="AAB28" s="24"/>
      <c r="AAC28" s="24"/>
      <c r="AAD28" s="24"/>
      <c r="AAE28" s="24"/>
      <c r="AAF28" s="24"/>
      <c r="AAG28" s="24"/>
      <c r="AAH28" s="24"/>
      <c r="AAI28" s="24"/>
      <c r="AAY28" s="111"/>
      <c r="ABE28" s="119"/>
    </row>
    <row r="29" spans="1:968">
      <c r="A29">
        <v>1</v>
      </c>
      <c r="B29" t="s">
        <v>193</v>
      </c>
      <c r="C29" s="1">
        <v>82665</v>
      </c>
      <c r="D29" s="1" t="s">
        <v>147</v>
      </c>
      <c r="E29" s="1" t="s">
        <v>192</v>
      </c>
      <c r="F29" s="1" t="s">
        <v>192</v>
      </c>
      <c r="G29" s="1" t="s">
        <v>33</v>
      </c>
      <c r="H29" s="1" t="s">
        <v>21</v>
      </c>
      <c r="I29" s="1" t="s">
        <v>64</v>
      </c>
      <c r="J29" s="1" t="s">
        <v>46</v>
      </c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ZV29" s="23"/>
      <c r="ZW29" s="23"/>
      <c r="ZX29" s="23"/>
      <c r="ZY29" s="23"/>
      <c r="ZZ29" s="23"/>
      <c r="AAA29" s="23"/>
      <c r="AAB29" s="23"/>
      <c r="AAC29" s="23"/>
      <c r="AAD29" s="23"/>
      <c r="AAE29" s="23"/>
      <c r="AAF29" s="23"/>
      <c r="AAG29" s="23"/>
      <c r="AAH29" s="23"/>
      <c r="AAI29" s="23"/>
    </row>
    <row r="30" spans="1:968">
      <c r="A30">
        <v>2</v>
      </c>
      <c r="B30" t="s">
        <v>194</v>
      </c>
      <c r="C30" s="1">
        <v>82665</v>
      </c>
      <c r="D30" s="1" t="s">
        <v>147</v>
      </c>
      <c r="E30" s="1" t="s">
        <v>192</v>
      </c>
      <c r="F30" s="1" t="s">
        <v>192</v>
      </c>
      <c r="G30" s="1" t="s">
        <v>12</v>
      </c>
      <c r="H30" s="1" t="s">
        <v>21</v>
      </c>
      <c r="I30" s="1" t="s">
        <v>64</v>
      </c>
      <c r="J30" s="1" t="s">
        <v>46</v>
      </c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ZV30" s="23"/>
      <c r="ZW30" s="23"/>
      <c r="ZX30" s="23"/>
      <c r="ZY30" s="23"/>
      <c r="ZZ30" s="23"/>
      <c r="AAA30" s="23"/>
      <c r="AAB30" s="23"/>
      <c r="AAC30" s="23"/>
      <c r="AAD30" s="23"/>
      <c r="AAE30" s="23"/>
      <c r="AAF30" s="23"/>
      <c r="AAG30" s="23"/>
      <c r="AAH30" s="23"/>
      <c r="AAI30" s="23"/>
    </row>
    <row r="31" spans="1:968" s="15" customFormat="1">
      <c r="C31" s="16">
        <v>82664</v>
      </c>
      <c r="D31" s="16" t="s">
        <v>147</v>
      </c>
      <c r="E31" s="16" t="s">
        <v>26</v>
      </c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ZV31" s="24"/>
      <c r="ZW31" s="24"/>
      <c r="ZX31" s="24"/>
      <c r="ZY31" s="24"/>
      <c r="ZZ31" s="24"/>
      <c r="AAA31" s="24"/>
      <c r="AAB31" s="24"/>
      <c r="AAC31" s="24"/>
      <c r="AAD31" s="24"/>
      <c r="AAE31" s="24"/>
      <c r="AAF31" s="24"/>
      <c r="AAG31" s="24"/>
      <c r="AAH31" s="24"/>
      <c r="AAI31" s="24"/>
      <c r="AAY31" s="111"/>
      <c r="ABE31" s="119"/>
    </row>
    <row r="32" spans="1:968">
      <c r="A32">
        <v>1</v>
      </c>
      <c r="B32" t="s">
        <v>195</v>
      </c>
      <c r="C32" s="1">
        <v>82664</v>
      </c>
      <c r="D32" s="1" t="s">
        <v>147</v>
      </c>
      <c r="E32" s="1" t="s">
        <v>26</v>
      </c>
      <c r="F32" s="1" t="s">
        <v>26</v>
      </c>
      <c r="G32" s="1" t="s">
        <v>33</v>
      </c>
      <c r="H32" s="1" t="s">
        <v>21</v>
      </c>
      <c r="I32" s="1" t="s">
        <v>64</v>
      </c>
      <c r="J32" s="1" t="s">
        <v>46</v>
      </c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WT32" s="79">
        <v>2342248</v>
      </c>
      <c r="XN32" s="79">
        <v>995010</v>
      </c>
    </row>
    <row r="33" spans="1:970">
      <c r="A33">
        <v>2</v>
      </c>
      <c r="B33" t="s">
        <v>196</v>
      </c>
      <c r="C33" s="1">
        <v>82664</v>
      </c>
      <c r="D33" s="1" t="s">
        <v>147</v>
      </c>
      <c r="E33" s="1" t="s">
        <v>26</v>
      </c>
      <c r="F33" s="1" t="s">
        <v>26</v>
      </c>
      <c r="G33" s="1" t="s">
        <v>12</v>
      </c>
      <c r="H33" s="1" t="s">
        <v>21</v>
      </c>
      <c r="I33" s="1" t="s">
        <v>64</v>
      </c>
      <c r="J33" s="1" t="s">
        <v>46</v>
      </c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WT33" s="79">
        <v>2567055</v>
      </c>
      <c r="XN33" s="79">
        <v>1089646</v>
      </c>
    </row>
    <row r="36" spans="1:970">
      <c r="B36" s="1" t="s">
        <v>80</v>
      </c>
      <c r="C36" s="27">
        <v>99999</v>
      </c>
      <c r="D36" s="1" t="s">
        <v>147</v>
      </c>
      <c r="E36" s="28" t="s">
        <v>197</v>
      </c>
      <c r="F36" s="1" t="s">
        <v>21</v>
      </c>
      <c r="G36" s="1" t="s">
        <v>21</v>
      </c>
      <c r="H36" s="1" t="s">
        <v>21</v>
      </c>
      <c r="I36" s="1" t="s">
        <v>21</v>
      </c>
      <c r="J36" s="1" t="s">
        <v>21</v>
      </c>
      <c r="K36" s="29">
        <f t="shared" ref="K36:AP36" si="792">SUM(K3:K10)+SUM(K12:K27)</f>
        <v>951</v>
      </c>
      <c r="L36" s="29">
        <f t="shared" si="792"/>
        <v>9058</v>
      </c>
      <c r="M36" s="29">
        <f t="shared" si="792"/>
        <v>18437</v>
      </c>
      <c r="N36" s="29">
        <f t="shared" si="792"/>
        <v>6197</v>
      </c>
      <c r="O36" s="29">
        <f t="shared" si="792"/>
        <v>2144</v>
      </c>
      <c r="P36" s="29">
        <f t="shared" si="792"/>
        <v>6843</v>
      </c>
      <c r="Q36" s="29">
        <f t="shared" si="792"/>
        <v>10736</v>
      </c>
      <c r="R36" s="29">
        <f t="shared" si="792"/>
        <v>20011</v>
      </c>
      <c r="S36" s="29">
        <f t="shared" si="792"/>
        <v>88482</v>
      </c>
      <c r="T36" s="29">
        <f t="shared" si="792"/>
        <v>10265</v>
      </c>
      <c r="U36" s="29">
        <f t="shared" si="792"/>
        <v>6606</v>
      </c>
      <c r="V36" s="29">
        <f t="shared" si="792"/>
        <v>7710</v>
      </c>
      <c r="W36" s="29">
        <f t="shared" si="792"/>
        <v>13129</v>
      </c>
      <c r="X36" s="29">
        <f t="shared" si="792"/>
        <v>10171</v>
      </c>
      <c r="Y36" s="29">
        <f t="shared" si="792"/>
        <v>11345</v>
      </c>
      <c r="Z36" s="29">
        <f t="shared" si="792"/>
        <v>17832</v>
      </c>
      <c r="AA36" s="29">
        <f t="shared" si="792"/>
        <v>14255</v>
      </c>
      <c r="AB36" s="29">
        <f t="shared" si="792"/>
        <v>7371</v>
      </c>
      <c r="AC36" s="29">
        <f t="shared" si="792"/>
        <v>2368</v>
      </c>
      <c r="AD36" s="29">
        <f t="shared" si="792"/>
        <v>11110</v>
      </c>
      <c r="AE36" s="29">
        <f t="shared" si="792"/>
        <v>7046</v>
      </c>
      <c r="AF36" s="29">
        <f t="shared" si="792"/>
        <v>9899</v>
      </c>
      <c r="AG36" s="29">
        <f t="shared" si="792"/>
        <v>9625</v>
      </c>
      <c r="AH36" s="29">
        <f t="shared" si="792"/>
        <v>10015</v>
      </c>
      <c r="AI36" s="29">
        <f t="shared" si="792"/>
        <v>3270</v>
      </c>
      <c r="AJ36" s="29">
        <f t="shared" si="792"/>
        <v>2661</v>
      </c>
      <c r="AK36" s="29">
        <f t="shared" si="792"/>
        <v>6742</v>
      </c>
      <c r="AL36" s="29">
        <f t="shared" si="792"/>
        <v>13540</v>
      </c>
      <c r="AM36" s="29">
        <f t="shared" si="792"/>
        <v>15974</v>
      </c>
      <c r="AN36" s="29">
        <f t="shared" si="792"/>
        <v>14220</v>
      </c>
      <c r="AO36" s="29">
        <f t="shared" si="792"/>
        <v>14709</v>
      </c>
      <c r="AP36" s="29">
        <f t="shared" si="792"/>
        <v>5487</v>
      </c>
      <c r="AQ36" s="29">
        <f t="shared" ref="AQ36:DB36" si="793">SUM(AQ3:AQ10)+SUM(AQ12:AQ27)</f>
        <v>2523</v>
      </c>
      <c r="AR36" s="29">
        <f t="shared" si="793"/>
        <v>14554</v>
      </c>
      <c r="AS36" s="29">
        <f t="shared" si="793"/>
        <v>5048</v>
      </c>
      <c r="AT36" s="29">
        <f t="shared" si="793"/>
        <v>8567</v>
      </c>
      <c r="AU36" s="29">
        <f t="shared" si="793"/>
        <v>14917</v>
      </c>
      <c r="AV36" s="29">
        <f t="shared" si="793"/>
        <v>14917</v>
      </c>
      <c r="AW36" s="29">
        <f t="shared" si="793"/>
        <v>9240</v>
      </c>
      <c r="AX36" s="29">
        <f t="shared" si="793"/>
        <v>2211</v>
      </c>
      <c r="AY36" s="29">
        <f t="shared" si="793"/>
        <v>1939</v>
      </c>
      <c r="AZ36" s="29">
        <f t="shared" si="793"/>
        <v>6497</v>
      </c>
      <c r="BA36" s="29">
        <f t="shared" si="793"/>
        <v>13324</v>
      </c>
      <c r="BB36" s="29">
        <f t="shared" si="793"/>
        <v>11366</v>
      </c>
      <c r="BC36" s="29">
        <f t="shared" si="793"/>
        <v>9092</v>
      </c>
      <c r="BD36" s="29">
        <f t="shared" si="793"/>
        <v>6488</v>
      </c>
      <c r="BE36" s="29">
        <f t="shared" si="793"/>
        <v>13946</v>
      </c>
      <c r="BF36" s="29">
        <f t="shared" si="793"/>
        <v>15189</v>
      </c>
      <c r="BG36" s="29">
        <f t="shared" si="793"/>
        <v>10337</v>
      </c>
      <c r="BH36" s="29">
        <f t="shared" si="793"/>
        <v>11325</v>
      </c>
      <c r="BI36" s="29">
        <f t="shared" si="793"/>
        <v>12562</v>
      </c>
      <c r="BJ36" s="29">
        <f t="shared" si="793"/>
        <v>8231</v>
      </c>
      <c r="BK36" s="29">
        <f t="shared" si="793"/>
        <v>9151</v>
      </c>
      <c r="BL36" s="29">
        <f t="shared" si="793"/>
        <v>2080</v>
      </c>
      <c r="BM36" s="29">
        <f t="shared" si="793"/>
        <v>5524</v>
      </c>
      <c r="BN36" s="29">
        <f t="shared" si="793"/>
        <v>10849</v>
      </c>
      <c r="BO36" s="29">
        <f t="shared" si="793"/>
        <v>8587</v>
      </c>
      <c r="BP36" s="29">
        <f t="shared" si="793"/>
        <v>9722</v>
      </c>
      <c r="BQ36" s="29">
        <f t="shared" si="793"/>
        <v>2257</v>
      </c>
      <c r="BR36" s="29">
        <f t="shared" si="793"/>
        <v>1815</v>
      </c>
      <c r="BS36" s="29">
        <f t="shared" si="793"/>
        <v>1446</v>
      </c>
      <c r="BT36" s="29">
        <f t="shared" si="793"/>
        <v>427</v>
      </c>
      <c r="BU36" s="29">
        <f t="shared" si="793"/>
        <v>1890</v>
      </c>
      <c r="BV36" s="29">
        <f t="shared" si="793"/>
        <v>16589</v>
      </c>
      <c r="BW36" s="29">
        <f t="shared" si="793"/>
        <v>5684</v>
      </c>
      <c r="BX36" s="29">
        <f t="shared" si="793"/>
        <v>5361</v>
      </c>
      <c r="BY36" s="29">
        <f t="shared" si="793"/>
        <v>5490</v>
      </c>
      <c r="BZ36" s="29">
        <f t="shared" si="793"/>
        <v>1873</v>
      </c>
      <c r="CA36" s="29">
        <f t="shared" si="793"/>
        <v>11244</v>
      </c>
      <c r="CB36" s="29">
        <f t="shared" si="793"/>
        <v>10479</v>
      </c>
      <c r="CC36" s="29">
        <f t="shared" si="793"/>
        <v>14514</v>
      </c>
      <c r="CD36" s="29">
        <f t="shared" si="793"/>
        <v>8657</v>
      </c>
      <c r="CE36" s="29">
        <f t="shared" si="793"/>
        <v>8637</v>
      </c>
      <c r="CF36" s="29">
        <f t="shared" si="793"/>
        <v>5231</v>
      </c>
      <c r="CG36" s="29">
        <f>SUM(CG3:CG10)+SUM(CG12:CG27)</f>
        <v>1630</v>
      </c>
      <c r="CH36" s="29">
        <f t="shared" si="793"/>
        <v>9743</v>
      </c>
      <c r="CI36" s="29">
        <f t="shared" si="793"/>
        <v>7392</v>
      </c>
      <c r="CJ36" s="29">
        <f t="shared" si="793"/>
        <v>13837</v>
      </c>
      <c r="CK36" s="29">
        <f t="shared" si="793"/>
        <v>5877</v>
      </c>
      <c r="CL36" s="29">
        <f t="shared" si="793"/>
        <v>9283</v>
      </c>
      <c r="CM36" s="29">
        <f t="shared" si="793"/>
        <v>2356</v>
      </c>
      <c r="CN36" s="29">
        <f t="shared" si="793"/>
        <v>375</v>
      </c>
      <c r="CO36" s="29">
        <f t="shared" si="793"/>
        <v>4399</v>
      </c>
      <c r="CP36" s="29">
        <f t="shared" si="793"/>
        <v>21951</v>
      </c>
      <c r="CQ36" s="29">
        <f t="shared" si="793"/>
        <v>11482</v>
      </c>
      <c r="CR36" s="29">
        <f t="shared" si="793"/>
        <v>10700</v>
      </c>
      <c r="CS36" s="29">
        <f t="shared" si="793"/>
        <v>10159</v>
      </c>
      <c r="CT36" s="29">
        <f t="shared" si="793"/>
        <v>7311</v>
      </c>
      <c r="CU36" s="29">
        <f t="shared" si="793"/>
        <v>2356</v>
      </c>
      <c r="CV36" s="29">
        <f t="shared" si="793"/>
        <v>7561</v>
      </c>
      <c r="CW36" s="29">
        <f t="shared" si="793"/>
        <v>8598</v>
      </c>
      <c r="CX36" s="29">
        <f t="shared" si="793"/>
        <v>6246</v>
      </c>
      <c r="CY36" s="29">
        <f>SUM(CY3:CY10)+SUM(CY12:CY27)</f>
        <v>8923</v>
      </c>
      <c r="CZ36" s="29">
        <f t="shared" si="793"/>
        <v>14440</v>
      </c>
      <c r="DA36" s="29">
        <f t="shared" si="793"/>
        <v>4220</v>
      </c>
      <c r="DB36" s="29">
        <f t="shared" si="793"/>
        <v>1746</v>
      </c>
      <c r="DC36" s="29">
        <f t="shared" ref="DC36:FN36" si="794">SUM(DC3:DC10)+SUM(DC12:DC27)</f>
        <v>8819</v>
      </c>
      <c r="DD36" s="29">
        <f t="shared" si="794"/>
        <v>11612</v>
      </c>
      <c r="DE36" s="29">
        <f t="shared" si="794"/>
        <v>7960</v>
      </c>
      <c r="DF36" s="29">
        <f t="shared" si="794"/>
        <v>13067</v>
      </c>
      <c r="DG36" s="29">
        <f t="shared" si="794"/>
        <v>8880</v>
      </c>
      <c r="DH36" s="29">
        <f t="shared" si="794"/>
        <v>6296</v>
      </c>
      <c r="DI36" s="29">
        <f t="shared" si="794"/>
        <v>0</v>
      </c>
      <c r="DJ36" s="29">
        <f t="shared" si="794"/>
        <v>18025</v>
      </c>
      <c r="DK36" s="29">
        <f t="shared" si="794"/>
        <v>10745</v>
      </c>
      <c r="DL36" s="29">
        <f t="shared" si="794"/>
        <v>21064</v>
      </c>
      <c r="DM36" s="29">
        <f t="shared" si="794"/>
        <v>10955</v>
      </c>
      <c r="DN36" s="29">
        <f t="shared" si="794"/>
        <v>8698</v>
      </c>
      <c r="DO36" s="29">
        <f t="shared" si="794"/>
        <v>1967</v>
      </c>
      <c r="DP36" s="29">
        <f t="shared" si="794"/>
        <v>33</v>
      </c>
      <c r="DQ36" s="29">
        <f t="shared" si="794"/>
        <v>6043</v>
      </c>
      <c r="DR36" s="29">
        <f t="shared" si="794"/>
        <v>7912</v>
      </c>
      <c r="DS36" s="29">
        <f t="shared" si="794"/>
        <v>9394</v>
      </c>
      <c r="DT36" s="29">
        <f t="shared" si="794"/>
        <v>7892</v>
      </c>
      <c r="DU36" s="29">
        <f t="shared" si="794"/>
        <v>5376</v>
      </c>
      <c r="DV36" s="29">
        <f t="shared" si="794"/>
        <v>3413</v>
      </c>
      <c r="DW36" s="29">
        <f t="shared" si="794"/>
        <v>0</v>
      </c>
      <c r="DX36" s="29">
        <f t="shared" si="794"/>
        <v>7389</v>
      </c>
      <c r="DY36" s="29">
        <f t="shared" si="794"/>
        <v>9154</v>
      </c>
      <c r="DZ36" s="29">
        <f t="shared" si="794"/>
        <v>13857</v>
      </c>
      <c r="EA36" s="29">
        <f t="shared" si="794"/>
        <v>11068</v>
      </c>
      <c r="EB36" s="29">
        <f t="shared" si="794"/>
        <v>9345</v>
      </c>
      <c r="EC36" s="29">
        <f t="shared" si="794"/>
        <v>6827</v>
      </c>
      <c r="ED36" s="29">
        <f t="shared" si="794"/>
        <v>5896</v>
      </c>
      <c r="EE36" s="29">
        <f t="shared" si="794"/>
        <v>7379</v>
      </c>
      <c r="EF36" s="29">
        <f t="shared" si="794"/>
        <v>12955</v>
      </c>
      <c r="EG36" s="29">
        <f t="shared" si="794"/>
        <v>13454</v>
      </c>
      <c r="EH36" s="29">
        <f t="shared" si="794"/>
        <v>12710</v>
      </c>
      <c r="EI36" s="29">
        <f t="shared" si="794"/>
        <v>9779</v>
      </c>
      <c r="EJ36" s="29">
        <f t="shared" si="794"/>
        <v>4786</v>
      </c>
      <c r="EK36" s="29">
        <f t="shared" si="794"/>
        <v>0</v>
      </c>
      <c r="EL36" s="29">
        <f t="shared" si="794"/>
        <v>9066</v>
      </c>
      <c r="EM36" s="29">
        <f t="shared" si="794"/>
        <v>10188</v>
      </c>
      <c r="EN36" s="29">
        <f t="shared" si="794"/>
        <v>6209</v>
      </c>
      <c r="EO36" s="29">
        <f t="shared" si="794"/>
        <v>6120</v>
      </c>
      <c r="EP36" s="29">
        <f t="shared" si="794"/>
        <v>9030</v>
      </c>
      <c r="EQ36" s="29">
        <f t="shared" si="794"/>
        <v>8081</v>
      </c>
      <c r="ER36" s="29">
        <f t="shared" si="794"/>
        <v>5687</v>
      </c>
      <c r="ES36" s="29">
        <f t="shared" si="794"/>
        <v>7490</v>
      </c>
      <c r="ET36" s="29">
        <f t="shared" si="794"/>
        <v>2813</v>
      </c>
      <c r="EU36" s="29">
        <f t="shared" si="794"/>
        <v>4832</v>
      </c>
      <c r="EV36" s="29">
        <f t="shared" si="794"/>
        <v>7878</v>
      </c>
      <c r="EW36" s="29">
        <f t="shared" si="794"/>
        <v>6122</v>
      </c>
      <c r="EX36" s="29">
        <f t="shared" si="794"/>
        <v>3119</v>
      </c>
      <c r="EY36" s="29">
        <f t="shared" si="794"/>
        <v>0</v>
      </c>
      <c r="EZ36" s="29">
        <f t="shared" si="794"/>
        <v>10282</v>
      </c>
      <c r="FA36" s="29">
        <f t="shared" si="794"/>
        <v>11359</v>
      </c>
      <c r="FB36" s="29">
        <f t="shared" si="794"/>
        <v>11029</v>
      </c>
      <c r="FC36" s="29">
        <f t="shared" si="794"/>
        <v>13903</v>
      </c>
      <c r="FD36" s="29">
        <f t="shared" si="794"/>
        <v>8040</v>
      </c>
      <c r="FE36" s="29">
        <f t="shared" si="794"/>
        <v>17514</v>
      </c>
      <c r="FF36" s="29">
        <f t="shared" si="794"/>
        <v>5227</v>
      </c>
      <c r="FG36" s="29">
        <f t="shared" si="794"/>
        <v>5902</v>
      </c>
      <c r="FH36" s="29">
        <f t="shared" si="794"/>
        <v>5973</v>
      </c>
      <c r="FI36" s="29">
        <f t="shared" si="794"/>
        <v>7377</v>
      </c>
      <c r="FJ36" s="29">
        <f t="shared" si="794"/>
        <v>10384</v>
      </c>
      <c r="FK36" s="29">
        <f t="shared" si="794"/>
        <v>9212</v>
      </c>
      <c r="FL36" s="29">
        <f t="shared" si="794"/>
        <v>9254</v>
      </c>
      <c r="FM36" s="29">
        <f t="shared" si="794"/>
        <v>10804</v>
      </c>
      <c r="FN36" s="29">
        <f t="shared" si="794"/>
        <v>8214</v>
      </c>
      <c r="FO36" s="29">
        <f t="shared" ref="FO36:HV36" si="795">SUM(FO3:FO10)+SUM(FO12:FO27)</f>
        <v>11247</v>
      </c>
      <c r="FP36" s="29">
        <f t="shared" si="795"/>
        <v>5365</v>
      </c>
      <c r="FQ36" s="29">
        <f t="shared" si="795"/>
        <v>12471</v>
      </c>
      <c r="FR36" s="29">
        <f t="shared" si="795"/>
        <v>6591</v>
      </c>
      <c r="FS36" s="29">
        <f t="shared" si="795"/>
        <v>3863</v>
      </c>
      <c r="FT36" s="29">
        <f t="shared" si="795"/>
        <v>2319</v>
      </c>
      <c r="FU36" s="29">
        <f t="shared" si="795"/>
        <v>3127</v>
      </c>
      <c r="FV36" s="29">
        <f t="shared" si="795"/>
        <v>3924</v>
      </c>
      <c r="FW36" s="29">
        <f t="shared" si="795"/>
        <v>7603</v>
      </c>
      <c r="FX36" s="29">
        <f t="shared" si="795"/>
        <v>12007</v>
      </c>
      <c r="FY36" s="29">
        <f t="shared" si="795"/>
        <v>11787</v>
      </c>
      <c r="FZ36" s="29">
        <f t="shared" si="795"/>
        <v>6760</v>
      </c>
      <c r="GA36" s="29">
        <f t="shared" si="795"/>
        <v>2646</v>
      </c>
      <c r="GB36" s="29">
        <f t="shared" si="795"/>
        <v>6688</v>
      </c>
      <c r="GC36" s="29">
        <f t="shared" si="795"/>
        <v>9558</v>
      </c>
      <c r="GD36" s="29">
        <f t="shared" si="795"/>
        <v>9772</v>
      </c>
      <c r="GE36" s="29">
        <f t="shared" si="795"/>
        <v>6221</v>
      </c>
      <c r="GF36" s="29">
        <f t="shared" si="795"/>
        <v>2700</v>
      </c>
      <c r="GG36" s="29">
        <f t="shared" si="795"/>
        <v>2554</v>
      </c>
      <c r="GH36" s="29">
        <f t="shared" si="795"/>
        <v>122</v>
      </c>
      <c r="GI36" s="29">
        <f t="shared" si="795"/>
        <v>28565</v>
      </c>
      <c r="GJ36" s="29">
        <f t="shared" si="795"/>
        <v>8085</v>
      </c>
      <c r="GK36" s="29">
        <f t="shared" si="795"/>
        <v>3462</v>
      </c>
      <c r="GL36" s="29">
        <f t="shared" si="795"/>
        <v>7266</v>
      </c>
      <c r="GM36" s="29">
        <f t="shared" si="795"/>
        <v>10448</v>
      </c>
      <c r="GN36" s="29">
        <f t="shared" si="795"/>
        <v>7323</v>
      </c>
      <c r="GO36" s="29">
        <f t="shared" si="795"/>
        <v>14587</v>
      </c>
      <c r="GP36" s="29">
        <f t="shared" si="795"/>
        <v>13319</v>
      </c>
      <c r="GQ36" s="29">
        <f t="shared" si="795"/>
        <v>13724</v>
      </c>
      <c r="GR36" s="29">
        <f t="shared" si="795"/>
        <v>13050</v>
      </c>
      <c r="GS36" s="29">
        <f t="shared" si="795"/>
        <v>12935</v>
      </c>
      <c r="GT36" s="29">
        <f t="shared" si="795"/>
        <v>14792</v>
      </c>
      <c r="GU36" s="29">
        <f t="shared" si="795"/>
        <v>4284</v>
      </c>
      <c r="GV36" s="29">
        <f t="shared" si="795"/>
        <v>0</v>
      </c>
      <c r="GW36" s="29">
        <f t="shared" si="795"/>
        <v>10624</v>
      </c>
      <c r="GX36" s="29">
        <f t="shared" si="795"/>
        <v>9564</v>
      </c>
      <c r="GY36" s="29">
        <f t="shared" si="795"/>
        <v>9621</v>
      </c>
      <c r="GZ36" s="29">
        <f t="shared" si="795"/>
        <v>7061</v>
      </c>
      <c r="HA36" s="29">
        <f t="shared" si="795"/>
        <v>6817</v>
      </c>
      <c r="HB36" s="29">
        <f t="shared" si="795"/>
        <v>3657</v>
      </c>
      <c r="HC36" s="29">
        <f t="shared" si="795"/>
        <v>0</v>
      </c>
      <c r="HD36" s="29">
        <f t="shared" si="795"/>
        <v>7593</v>
      </c>
      <c r="HE36" s="29">
        <f t="shared" si="795"/>
        <v>7036</v>
      </c>
      <c r="HF36" s="29">
        <f t="shared" si="795"/>
        <v>0</v>
      </c>
      <c r="HG36" s="29">
        <f t="shared" si="795"/>
        <v>12042</v>
      </c>
      <c r="HH36" s="29">
        <f t="shared" si="795"/>
        <v>9305</v>
      </c>
      <c r="HI36" s="29">
        <f t="shared" si="795"/>
        <v>8202</v>
      </c>
      <c r="HJ36" s="29">
        <f t="shared" si="795"/>
        <v>1218</v>
      </c>
      <c r="HK36" s="29">
        <f t="shared" si="795"/>
        <v>9623</v>
      </c>
      <c r="HL36" s="29">
        <f t="shared" si="795"/>
        <v>14263</v>
      </c>
      <c r="HM36" s="29">
        <f t="shared" si="795"/>
        <v>9430</v>
      </c>
      <c r="HN36" s="29">
        <f t="shared" si="795"/>
        <v>15348</v>
      </c>
      <c r="HO36" s="29">
        <f t="shared" si="795"/>
        <v>9630</v>
      </c>
      <c r="HP36" s="29">
        <f t="shared" si="795"/>
        <v>4730</v>
      </c>
      <c r="HQ36" s="29">
        <f t="shared" si="795"/>
        <v>4217</v>
      </c>
      <c r="HR36" s="29">
        <f t="shared" si="795"/>
        <v>3425</v>
      </c>
      <c r="HS36" s="29">
        <f t="shared" si="795"/>
        <v>9658</v>
      </c>
      <c r="HT36" s="29">
        <f t="shared" si="795"/>
        <v>15843</v>
      </c>
      <c r="HU36" s="29">
        <f t="shared" si="795"/>
        <v>23828</v>
      </c>
      <c r="HV36" s="29">
        <f t="shared" si="795"/>
        <v>18889</v>
      </c>
      <c r="HW36" s="29">
        <f t="shared" ref="HW36:IL36" si="796">SUM(HW3:HW10)+SUM(HW12:HW27)</f>
        <v>9296</v>
      </c>
      <c r="HX36" s="29">
        <f t="shared" si="796"/>
        <v>206</v>
      </c>
      <c r="HY36" s="29">
        <f t="shared" si="796"/>
        <v>11239</v>
      </c>
      <c r="HZ36" s="29">
        <f t="shared" si="796"/>
        <v>6529</v>
      </c>
      <c r="IA36" s="29">
        <f t="shared" si="796"/>
        <v>8787</v>
      </c>
      <c r="IB36" s="29">
        <f t="shared" si="796"/>
        <v>8653</v>
      </c>
      <c r="IC36" s="29">
        <f t="shared" si="796"/>
        <v>14072</v>
      </c>
      <c r="ID36" s="29">
        <f>SUM(ID3:ID10)+SUM(ID12:ID27)</f>
        <v>8164</v>
      </c>
      <c r="IE36" s="29">
        <f t="shared" si="796"/>
        <v>2157</v>
      </c>
      <c r="IF36" s="29">
        <f t="shared" si="796"/>
        <v>5106</v>
      </c>
      <c r="IG36" s="29">
        <f t="shared" si="796"/>
        <v>11769</v>
      </c>
      <c r="IH36" s="29">
        <f t="shared" si="796"/>
        <v>6789</v>
      </c>
      <c r="II36" s="29">
        <f t="shared" si="796"/>
        <v>15079</v>
      </c>
      <c r="IJ36" s="29">
        <f t="shared" si="796"/>
        <v>10424</v>
      </c>
      <c r="IK36" s="29">
        <f>SUM(IK3:IK10)+SUM(IK12:IK27)</f>
        <v>5965</v>
      </c>
      <c r="IL36" s="29">
        <f t="shared" si="796"/>
        <v>111</v>
      </c>
      <c r="IM36" s="29">
        <f t="shared" ref="IM36:IY36" si="797">SUM(IM3:IM10)+SUM(IM12:IM27)</f>
        <v>13215</v>
      </c>
      <c r="IN36" s="29">
        <f t="shared" si="797"/>
        <v>12206</v>
      </c>
      <c r="IO36" s="29">
        <f t="shared" si="797"/>
        <v>14800</v>
      </c>
      <c r="IP36" s="29">
        <f t="shared" si="797"/>
        <v>8584</v>
      </c>
      <c r="IQ36" s="29">
        <f t="shared" si="797"/>
        <v>6973</v>
      </c>
      <c r="IR36" s="29">
        <f t="shared" si="797"/>
        <v>6047</v>
      </c>
      <c r="IS36" s="29">
        <f>SUM(IS3:IS10)+SUM(IS12:IS27)</f>
        <v>3176</v>
      </c>
      <c r="IT36" s="29">
        <f t="shared" si="797"/>
        <v>13760</v>
      </c>
      <c r="IU36" s="29">
        <f t="shared" si="797"/>
        <v>8179</v>
      </c>
      <c r="IV36" s="29">
        <f t="shared" si="797"/>
        <v>7547</v>
      </c>
      <c r="IW36" s="29">
        <f t="shared" si="797"/>
        <v>12401</v>
      </c>
      <c r="IX36" s="29">
        <f t="shared" si="797"/>
        <v>15000</v>
      </c>
      <c r="IY36" s="29">
        <f t="shared" si="797"/>
        <v>8544</v>
      </c>
      <c r="IZ36" s="29">
        <f t="shared" ref="IZ36:JT36" si="798">SUM(IZ3:IZ10)+SUM(IZ12:IZ27)</f>
        <v>13858</v>
      </c>
      <c r="JA36" s="29">
        <f t="shared" si="798"/>
        <v>13261</v>
      </c>
      <c r="JB36" s="29">
        <f t="shared" si="798"/>
        <v>9418</v>
      </c>
      <c r="JC36" s="29">
        <f t="shared" si="798"/>
        <v>12900</v>
      </c>
      <c r="JD36" s="29">
        <f t="shared" si="798"/>
        <v>13252</v>
      </c>
      <c r="JE36" s="29">
        <f t="shared" si="798"/>
        <v>11329</v>
      </c>
      <c r="JF36" s="29">
        <f t="shared" si="798"/>
        <v>5189</v>
      </c>
      <c r="JG36" s="29">
        <f t="shared" si="798"/>
        <v>161</v>
      </c>
      <c r="JH36" s="29">
        <f t="shared" si="798"/>
        <v>16617</v>
      </c>
      <c r="JI36" s="29">
        <f t="shared" si="798"/>
        <v>12342</v>
      </c>
      <c r="JJ36" s="29">
        <f t="shared" si="798"/>
        <v>9859</v>
      </c>
      <c r="JK36" s="29">
        <f t="shared" si="798"/>
        <v>9581</v>
      </c>
      <c r="JL36" s="29">
        <f t="shared" si="798"/>
        <v>11005</v>
      </c>
      <c r="JM36" s="29">
        <f t="shared" si="798"/>
        <v>4706</v>
      </c>
      <c r="JN36" s="29">
        <f t="shared" si="798"/>
        <v>115</v>
      </c>
      <c r="JO36" s="29">
        <f t="shared" si="798"/>
        <v>11540</v>
      </c>
      <c r="JP36" s="29">
        <f t="shared" si="798"/>
        <v>10008</v>
      </c>
      <c r="JQ36" s="29">
        <f t="shared" si="798"/>
        <v>13593</v>
      </c>
      <c r="JR36" s="29">
        <f t="shared" si="798"/>
        <v>11462</v>
      </c>
      <c r="JS36" s="29">
        <f t="shared" si="798"/>
        <v>9092</v>
      </c>
      <c r="JT36" s="29">
        <f t="shared" si="798"/>
        <v>6452</v>
      </c>
      <c r="JU36" s="29">
        <f>SUM(JU3:JU10)+SUM(JU12:JU27)</f>
        <v>201</v>
      </c>
      <c r="JV36" s="29">
        <f>SUM(JV3:JV10)+SUM(JV12:JV27)</f>
        <v>4861</v>
      </c>
      <c r="JW36" s="29">
        <f>SUM(JW3:JW10)+SUM(JW12:JW27)</f>
        <v>15024</v>
      </c>
      <c r="JX36" s="29">
        <f>SUM(JX3:JX10)+SUM(JX12:JX27)</f>
        <v>10616</v>
      </c>
      <c r="JY36" s="29">
        <f t="shared" ref="JY36:KN36" si="799">SUM(JY3:JY10)+SUM(JY12:JY27)</f>
        <v>6565</v>
      </c>
      <c r="JZ36" s="29">
        <f t="shared" si="799"/>
        <v>8269</v>
      </c>
      <c r="KA36" s="29">
        <f t="shared" si="799"/>
        <v>6239</v>
      </c>
      <c r="KB36" s="29">
        <f t="shared" si="799"/>
        <v>0</v>
      </c>
      <c r="KC36" s="29">
        <f t="shared" si="799"/>
        <v>12771</v>
      </c>
      <c r="KD36" s="29">
        <f t="shared" si="799"/>
        <v>5517</v>
      </c>
      <c r="KE36" s="29">
        <f t="shared" si="799"/>
        <v>13776</v>
      </c>
      <c r="KF36" s="29">
        <f t="shared" si="799"/>
        <v>21821</v>
      </c>
      <c r="KG36" s="29">
        <f t="shared" si="799"/>
        <v>13532</v>
      </c>
      <c r="KH36" s="29">
        <f t="shared" si="799"/>
        <v>7376</v>
      </c>
      <c r="KI36" s="29">
        <f t="shared" si="799"/>
        <v>4143</v>
      </c>
      <c r="KJ36" s="29">
        <f t="shared" si="799"/>
        <v>0</v>
      </c>
      <c r="KK36" s="29">
        <f t="shared" si="799"/>
        <v>19446</v>
      </c>
      <c r="KL36" s="29">
        <f t="shared" si="799"/>
        <v>6893</v>
      </c>
      <c r="KM36" s="29">
        <f t="shared" si="799"/>
        <v>13189</v>
      </c>
      <c r="KN36" s="29">
        <f t="shared" si="799"/>
        <v>6889</v>
      </c>
      <c r="KO36" s="29">
        <f t="shared" ref="KO36:MZ36" si="800">SUM(KO3:KO10)+SUM(KO12:KO27)</f>
        <v>4984</v>
      </c>
      <c r="KP36" s="29">
        <f t="shared" si="800"/>
        <v>919</v>
      </c>
      <c r="KQ36" s="29">
        <f t="shared" si="800"/>
        <v>5776</v>
      </c>
      <c r="KR36" s="29">
        <f t="shared" si="800"/>
        <v>5583</v>
      </c>
      <c r="KS36" s="29">
        <f t="shared" si="800"/>
        <v>6494</v>
      </c>
      <c r="KT36" s="29">
        <f t="shared" si="800"/>
        <v>12642</v>
      </c>
      <c r="KU36" s="29">
        <f t="shared" si="800"/>
        <v>13974</v>
      </c>
      <c r="KV36" s="29">
        <f t="shared" si="800"/>
        <v>10078</v>
      </c>
      <c r="KW36" s="29">
        <f t="shared" si="800"/>
        <v>5929</v>
      </c>
      <c r="KX36" s="29">
        <f t="shared" si="800"/>
        <v>17501</v>
      </c>
      <c r="KY36" s="29">
        <f t="shared" si="800"/>
        <v>10947</v>
      </c>
      <c r="KZ36" s="29">
        <f t="shared" si="800"/>
        <v>9115</v>
      </c>
      <c r="LA36" s="29">
        <f t="shared" si="800"/>
        <v>6794</v>
      </c>
      <c r="LB36" s="29">
        <f t="shared" si="800"/>
        <v>8534</v>
      </c>
      <c r="LC36" s="29">
        <f t="shared" si="800"/>
        <v>5952</v>
      </c>
      <c r="LD36" s="47">
        <f t="shared" si="800"/>
        <v>4576</v>
      </c>
      <c r="LE36" s="47">
        <f t="shared" si="800"/>
        <v>11738</v>
      </c>
      <c r="LF36" s="47">
        <f t="shared" si="800"/>
        <v>12115</v>
      </c>
      <c r="LG36" s="47">
        <f t="shared" si="800"/>
        <v>10545</v>
      </c>
      <c r="LH36" s="47">
        <f t="shared" si="800"/>
        <v>17118</v>
      </c>
      <c r="LI36" s="47">
        <f t="shared" si="800"/>
        <v>13255</v>
      </c>
      <c r="LJ36" s="47">
        <f t="shared" si="800"/>
        <v>9325</v>
      </c>
      <c r="LK36" s="47">
        <f t="shared" si="800"/>
        <v>10481</v>
      </c>
      <c r="LL36" s="29">
        <f t="shared" si="800"/>
        <v>20558</v>
      </c>
      <c r="LM36" s="29">
        <f t="shared" si="800"/>
        <v>15060</v>
      </c>
      <c r="LN36" s="47">
        <f t="shared" si="800"/>
        <v>13056</v>
      </c>
      <c r="LO36" s="47">
        <f>SUM(LO3:LO10)+SUM(LO12:LO27)</f>
        <v>16651</v>
      </c>
      <c r="LP36" s="47">
        <f>SUM(LP3:LP10)+SUM(LP12:LP27)</f>
        <v>11236</v>
      </c>
      <c r="LQ36" s="47">
        <f t="shared" si="800"/>
        <v>5384</v>
      </c>
      <c r="LR36" s="47">
        <f t="shared" si="800"/>
        <v>3272</v>
      </c>
      <c r="LS36" s="29">
        <f t="shared" si="800"/>
        <v>11797</v>
      </c>
      <c r="LT36" s="29">
        <f t="shared" si="800"/>
        <v>9642</v>
      </c>
      <c r="LU36" s="29">
        <f t="shared" si="800"/>
        <v>7581</v>
      </c>
      <c r="LV36" s="29">
        <f t="shared" si="800"/>
        <v>10554</v>
      </c>
      <c r="LW36" s="29">
        <f t="shared" si="800"/>
        <v>8733</v>
      </c>
      <c r="LX36" s="29">
        <f t="shared" si="800"/>
        <v>1857</v>
      </c>
      <c r="LY36" s="29">
        <f t="shared" si="800"/>
        <v>733</v>
      </c>
      <c r="LZ36" s="29">
        <f t="shared" si="800"/>
        <v>14153</v>
      </c>
      <c r="MA36" s="29">
        <f t="shared" si="800"/>
        <v>8286</v>
      </c>
      <c r="MB36" s="29">
        <f t="shared" si="800"/>
        <v>16519</v>
      </c>
      <c r="MC36" s="29">
        <f t="shared" si="800"/>
        <v>10912</v>
      </c>
      <c r="MD36" s="29">
        <f t="shared" si="800"/>
        <v>6684</v>
      </c>
      <c r="ME36" s="29">
        <f t="shared" si="800"/>
        <v>2854</v>
      </c>
      <c r="MF36" s="29">
        <f t="shared" si="800"/>
        <v>3815</v>
      </c>
      <c r="MG36" s="29">
        <f>SUM(MG3:MG10)+SUM(MG12:MG27)</f>
        <v>6645</v>
      </c>
      <c r="MH36" s="29">
        <f t="shared" si="800"/>
        <v>5560</v>
      </c>
      <c r="MI36" s="29">
        <f t="shared" si="800"/>
        <v>7261</v>
      </c>
      <c r="MJ36" s="29">
        <f t="shared" si="800"/>
        <v>7204</v>
      </c>
      <c r="MK36" s="29">
        <f t="shared" si="800"/>
        <v>12402</v>
      </c>
      <c r="ML36" s="29">
        <f t="shared" si="800"/>
        <v>11049</v>
      </c>
      <c r="MM36" s="29">
        <f t="shared" si="800"/>
        <v>3402</v>
      </c>
      <c r="MN36" s="29">
        <f t="shared" si="800"/>
        <v>9406</v>
      </c>
      <c r="MO36" s="29">
        <f t="shared" si="800"/>
        <v>11203</v>
      </c>
      <c r="MP36" s="29">
        <f t="shared" si="800"/>
        <v>12729</v>
      </c>
      <c r="MQ36" s="29">
        <f t="shared" si="800"/>
        <v>18700</v>
      </c>
      <c r="MR36" s="29">
        <f t="shared" si="800"/>
        <v>21207</v>
      </c>
      <c r="MS36" s="29">
        <f t="shared" si="800"/>
        <v>10482</v>
      </c>
      <c r="MT36" s="29">
        <f t="shared" si="800"/>
        <v>4117</v>
      </c>
      <c r="MU36" s="29">
        <f t="shared" si="800"/>
        <v>3685</v>
      </c>
      <c r="MV36" s="29">
        <f t="shared" si="800"/>
        <v>12956</v>
      </c>
      <c r="MW36" s="29">
        <f t="shared" si="800"/>
        <v>6957</v>
      </c>
      <c r="MX36" s="29">
        <f t="shared" si="800"/>
        <v>8155</v>
      </c>
      <c r="MY36" s="29">
        <f t="shared" si="800"/>
        <v>7294</v>
      </c>
      <c r="MZ36" s="29">
        <f t="shared" si="800"/>
        <v>3352</v>
      </c>
      <c r="NA36" s="29">
        <f t="shared" ref="NA36:PL36" si="801">SUM(NA3:NA10)+SUM(NA12:NA27)</f>
        <v>1315</v>
      </c>
      <c r="NB36" s="29">
        <f t="shared" si="801"/>
        <v>18168</v>
      </c>
      <c r="NC36" s="29">
        <f t="shared" si="801"/>
        <v>8222</v>
      </c>
      <c r="ND36" s="29">
        <f t="shared" si="801"/>
        <v>1429</v>
      </c>
      <c r="NE36" s="29">
        <f t="shared" si="801"/>
        <v>8224</v>
      </c>
      <c r="NF36" s="29">
        <f t="shared" si="801"/>
        <v>23732</v>
      </c>
      <c r="NG36" s="29">
        <f t="shared" si="801"/>
        <v>14031</v>
      </c>
      <c r="NH36" s="29">
        <f t="shared" si="801"/>
        <v>337</v>
      </c>
      <c r="NI36" s="29">
        <f t="shared" si="801"/>
        <v>19270</v>
      </c>
      <c r="NJ36" s="29">
        <f t="shared" si="801"/>
        <v>17377</v>
      </c>
      <c r="NK36" s="29">
        <f t="shared" si="801"/>
        <v>16259</v>
      </c>
      <c r="NL36" s="29">
        <f t="shared" si="801"/>
        <v>10388</v>
      </c>
      <c r="NM36" s="29">
        <f t="shared" si="801"/>
        <v>13618</v>
      </c>
      <c r="NN36" s="29">
        <f t="shared" si="801"/>
        <v>9209</v>
      </c>
      <c r="NO36" s="29">
        <f t="shared" si="801"/>
        <v>491</v>
      </c>
      <c r="NP36" s="29">
        <f t="shared" si="801"/>
        <v>10235</v>
      </c>
      <c r="NQ36" s="29">
        <f t="shared" si="801"/>
        <v>16801</v>
      </c>
      <c r="NR36" s="29">
        <f t="shared" si="801"/>
        <v>13182</v>
      </c>
      <c r="NS36" s="29">
        <f t="shared" si="801"/>
        <v>12643</v>
      </c>
      <c r="NT36" s="29">
        <f t="shared" si="801"/>
        <v>14585</v>
      </c>
      <c r="NU36" s="29">
        <f t="shared" si="801"/>
        <v>10224</v>
      </c>
      <c r="NV36" s="29">
        <f t="shared" si="801"/>
        <v>7691</v>
      </c>
      <c r="NW36" s="29">
        <f t="shared" si="801"/>
        <v>19899</v>
      </c>
      <c r="NX36" s="29">
        <f t="shared" si="801"/>
        <v>24034</v>
      </c>
      <c r="NY36" s="29">
        <f t="shared" si="801"/>
        <v>15353</v>
      </c>
      <c r="NZ36" s="29">
        <f t="shared" si="801"/>
        <v>16861</v>
      </c>
      <c r="OA36" s="29">
        <f t="shared" si="801"/>
        <v>13412</v>
      </c>
      <c r="OB36" s="29">
        <f t="shared" si="801"/>
        <v>5770</v>
      </c>
      <c r="OC36" s="29">
        <f t="shared" si="801"/>
        <v>5025</v>
      </c>
      <c r="OD36" s="29">
        <f t="shared" si="801"/>
        <v>12595</v>
      </c>
      <c r="OE36" s="29">
        <f t="shared" si="801"/>
        <v>9485</v>
      </c>
      <c r="OF36" s="29">
        <f t="shared" si="801"/>
        <v>10912</v>
      </c>
      <c r="OG36" s="29">
        <f t="shared" si="801"/>
        <v>15302</v>
      </c>
      <c r="OH36" s="29">
        <f t="shared" si="801"/>
        <v>4482</v>
      </c>
      <c r="OI36" s="29">
        <f t="shared" si="801"/>
        <v>5430</v>
      </c>
      <c r="OJ36" s="29">
        <f t="shared" si="801"/>
        <v>3318</v>
      </c>
      <c r="OK36" s="29">
        <f t="shared" si="801"/>
        <v>5014</v>
      </c>
      <c r="OL36" s="29">
        <f t="shared" si="801"/>
        <v>4656</v>
      </c>
      <c r="OM36" s="29">
        <f t="shared" si="801"/>
        <v>7034</v>
      </c>
      <c r="ON36" s="29">
        <f t="shared" si="801"/>
        <v>18408</v>
      </c>
      <c r="OO36" s="29">
        <f t="shared" si="801"/>
        <v>13851</v>
      </c>
      <c r="OP36" s="29">
        <f t="shared" si="801"/>
        <v>10334</v>
      </c>
      <c r="OQ36" s="29">
        <f t="shared" si="801"/>
        <v>546</v>
      </c>
      <c r="OR36" s="29">
        <f t="shared" si="801"/>
        <v>12492</v>
      </c>
      <c r="OS36" s="29">
        <f t="shared" si="801"/>
        <v>11331</v>
      </c>
      <c r="OT36" s="29">
        <f t="shared" si="801"/>
        <v>14398</v>
      </c>
      <c r="OU36" s="29">
        <f t="shared" si="801"/>
        <v>113</v>
      </c>
      <c r="OV36" s="29">
        <f t="shared" si="801"/>
        <v>18523</v>
      </c>
      <c r="OW36" s="29">
        <f t="shared" si="801"/>
        <v>10638</v>
      </c>
      <c r="OX36" s="29">
        <f t="shared" si="801"/>
        <v>1565</v>
      </c>
      <c r="OY36" s="29">
        <f t="shared" si="801"/>
        <v>24453</v>
      </c>
      <c r="OZ36" s="29">
        <f t="shared" si="801"/>
        <v>22375</v>
      </c>
      <c r="PA36" s="29">
        <f t="shared" si="801"/>
        <v>12389</v>
      </c>
      <c r="PB36" s="29">
        <f t="shared" si="801"/>
        <v>22245</v>
      </c>
      <c r="PC36" s="29">
        <f t="shared" si="801"/>
        <v>17438</v>
      </c>
      <c r="PD36" s="29">
        <f t="shared" si="801"/>
        <v>14912</v>
      </c>
      <c r="PE36" s="29">
        <f t="shared" si="801"/>
        <v>7783</v>
      </c>
      <c r="PF36" s="29">
        <f t="shared" si="801"/>
        <v>10275</v>
      </c>
      <c r="PG36" s="29">
        <f t="shared" si="801"/>
        <v>12111</v>
      </c>
      <c r="PH36" s="29">
        <f t="shared" si="801"/>
        <v>10488</v>
      </c>
      <c r="PI36" s="29">
        <f t="shared" si="801"/>
        <v>13270</v>
      </c>
      <c r="PJ36" s="29">
        <f t="shared" si="801"/>
        <v>13701</v>
      </c>
      <c r="PK36" s="29">
        <f t="shared" si="801"/>
        <v>9609</v>
      </c>
      <c r="PL36" s="29">
        <f t="shared" si="801"/>
        <v>271</v>
      </c>
      <c r="PM36" s="29">
        <f t="shared" ref="PM36:RX36" si="802">SUM(PM3:PM10)+SUM(PM12:PM27)</f>
        <v>15166</v>
      </c>
      <c r="PN36" s="29">
        <f t="shared" si="802"/>
        <v>14019</v>
      </c>
      <c r="PO36" s="29">
        <f t="shared" si="802"/>
        <v>13954</v>
      </c>
      <c r="PP36" s="29">
        <f t="shared" si="802"/>
        <v>10106</v>
      </c>
      <c r="PQ36" s="29">
        <f t="shared" si="802"/>
        <v>8958</v>
      </c>
      <c r="PR36" s="29">
        <f t="shared" si="802"/>
        <v>5056</v>
      </c>
      <c r="PS36" s="29">
        <f t="shared" si="802"/>
        <v>2630</v>
      </c>
      <c r="PT36" s="29">
        <f t="shared" si="802"/>
        <v>2966</v>
      </c>
      <c r="PU36" s="29">
        <f t="shared" si="802"/>
        <v>53</v>
      </c>
      <c r="PV36" s="29">
        <f t="shared" si="802"/>
        <v>0</v>
      </c>
      <c r="PW36" s="29">
        <f t="shared" si="802"/>
        <v>5927</v>
      </c>
      <c r="PX36" s="29">
        <f t="shared" si="802"/>
        <v>6498</v>
      </c>
      <c r="PY36" s="29">
        <f t="shared" si="802"/>
        <v>5756</v>
      </c>
      <c r="PZ36" s="29">
        <f t="shared" si="802"/>
        <v>1824</v>
      </c>
      <c r="QA36" s="29">
        <f t="shared" si="802"/>
        <v>9450</v>
      </c>
      <c r="QB36" s="29">
        <f t="shared" si="802"/>
        <v>8698</v>
      </c>
      <c r="QC36" s="29">
        <f t="shared" si="802"/>
        <v>7310</v>
      </c>
      <c r="QD36" s="29">
        <f t="shared" si="802"/>
        <v>10724</v>
      </c>
      <c r="QE36" s="29">
        <f t="shared" si="802"/>
        <v>13595</v>
      </c>
      <c r="QF36" s="29">
        <f t="shared" si="802"/>
        <v>5259</v>
      </c>
      <c r="QG36" s="29">
        <f t="shared" si="802"/>
        <v>213</v>
      </c>
      <c r="QH36" s="29">
        <f t="shared" si="802"/>
        <v>14195</v>
      </c>
      <c r="QI36" s="29">
        <f t="shared" si="802"/>
        <v>9644</v>
      </c>
      <c r="QJ36" s="29">
        <f t="shared" si="802"/>
        <v>9608</v>
      </c>
      <c r="QK36" s="29">
        <f t="shared" si="802"/>
        <v>9498</v>
      </c>
      <c r="QL36" s="29">
        <f t="shared" si="802"/>
        <v>14337</v>
      </c>
      <c r="QM36" s="29">
        <f t="shared" si="802"/>
        <v>9169</v>
      </c>
      <c r="QN36" s="29">
        <f t="shared" si="802"/>
        <v>267</v>
      </c>
      <c r="QO36" s="29">
        <f t="shared" si="802"/>
        <v>17538</v>
      </c>
      <c r="QP36" s="29">
        <f t="shared" si="802"/>
        <v>11964</v>
      </c>
      <c r="QQ36" s="29">
        <f t="shared" si="802"/>
        <v>11117</v>
      </c>
      <c r="QR36" s="29">
        <f t="shared" si="802"/>
        <v>9948</v>
      </c>
      <c r="QS36" s="29">
        <f t="shared" si="802"/>
        <v>9277</v>
      </c>
      <c r="QT36" s="29">
        <f t="shared" si="802"/>
        <v>5332</v>
      </c>
      <c r="QU36" s="29">
        <f t="shared" si="802"/>
        <v>5964</v>
      </c>
      <c r="QV36" s="29">
        <f t="shared" si="802"/>
        <v>17303</v>
      </c>
      <c r="QW36" s="29">
        <f t="shared" si="802"/>
        <v>13433</v>
      </c>
      <c r="QX36" s="29">
        <f t="shared" si="802"/>
        <v>14877</v>
      </c>
      <c r="QY36" s="29">
        <f t="shared" si="802"/>
        <v>13119</v>
      </c>
      <c r="QZ36" s="29">
        <f t="shared" si="802"/>
        <v>13417</v>
      </c>
      <c r="RA36" s="29">
        <f t="shared" si="802"/>
        <v>8354</v>
      </c>
      <c r="RB36" s="29">
        <f t="shared" si="802"/>
        <v>7818</v>
      </c>
      <c r="RC36" s="29">
        <f t="shared" si="802"/>
        <v>11331</v>
      </c>
      <c r="RD36" s="29">
        <f t="shared" si="802"/>
        <v>19994</v>
      </c>
      <c r="RE36" s="29">
        <f t="shared" si="802"/>
        <v>10695</v>
      </c>
      <c r="RF36" s="29">
        <f t="shared" si="802"/>
        <v>13516</v>
      </c>
      <c r="RG36" s="29">
        <f t="shared" si="802"/>
        <v>16762</v>
      </c>
      <c r="RH36" s="29">
        <f t="shared" si="802"/>
        <v>3030</v>
      </c>
      <c r="RI36" s="29">
        <f t="shared" si="802"/>
        <v>1214</v>
      </c>
      <c r="RJ36" s="29">
        <f t="shared" si="802"/>
        <v>16067</v>
      </c>
      <c r="RK36" s="29">
        <f t="shared" si="802"/>
        <v>9728</v>
      </c>
      <c r="RL36" s="29">
        <f t="shared" si="802"/>
        <v>10664</v>
      </c>
      <c r="RM36" s="29">
        <f t="shared" si="802"/>
        <v>10460</v>
      </c>
      <c r="RN36" s="29">
        <f t="shared" si="802"/>
        <v>10275</v>
      </c>
      <c r="RO36" s="29">
        <f t="shared" si="802"/>
        <v>16668</v>
      </c>
      <c r="RP36" s="29">
        <f t="shared" si="802"/>
        <v>0</v>
      </c>
      <c r="RQ36" s="29">
        <f t="shared" si="802"/>
        <v>11628</v>
      </c>
      <c r="RR36" s="29">
        <f t="shared" si="802"/>
        <v>6877</v>
      </c>
      <c r="RS36" s="29">
        <f t="shared" si="802"/>
        <v>13992</v>
      </c>
      <c r="RT36" s="29">
        <f t="shared" si="802"/>
        <v>21376</v>
      </c>
      <c r="RU36" s="29">
        <f t="shared" si="802"/>
        <v>10694</v>
      </c>
      <c r="RV36" s="29">
        <f t="shared" si="802"/>
        <v>6935</v>
      </c>
      <c r="RW36" s="29">
        <f t="shared" si="802"/>
        <v>0</v>
      </c>
      <c r="RX36" s="29">
        <f t="shared" si="802"/>
        <v>20307</v>
      </c>
      <c r="RY36" s="29">
        <f t="shared" ref="RY36:UK36" si="803">SUM(RY3:RY10)+SUM(RY12:RY27)</f>
        <v>10185</v>
      </c>
      <c r="RZ36" s="29">
        <f t="shared" si="803"/>
        <v>7226</v>
      </c>
      <c r="SA36" s="29">
        <f t="shared" si="803"/>
        <v>12760</v>
      </c>
      <c r="SB36" s="29">
        <f t="shared" si="803"/>
        <v>12571</v>
      </c>
      <c r="SC36" s="29">
        <f t="shared" si="803"/>
        <v>4024</v>
      </c>
      <c r="SD36" s="29">
        <f t="shared" si="803"/>
        <v>9717</v>
      </c>
      <c r="SE36" s="29">
        <f t="shared" si="803"/>
        <v>16534</v>
      </c>
      <c r="SF36" s="29">
        <f t="shared" si="803"/>
        <v>11868</v>
      </c>
      <c r="SG36" s="29">
        <f t="shared" si="803"/>
        <v>13170</v>
      </c>
      <c r="SH36" s="29">
        <f t="shared" si="803"/>
        <v>14371</v>
      </c>
      <c r="SI36" s="29">
        <f t="shared" si="803"/>
        <v>4139</v>
      </c>
      <c r="SJ36" s="29">
        <f t="shared" si="803"/>
        <v>2728</v>
      </c>
      <c r="SK36" s="29">
        <f t="shared" si="803"/>
        <v>0</v>
      </c>
      <c r="SL36" s="29">
        <f t="shared" si="803"/>
        <v>11384</v>
      </c>
      <c r="SM36" s="29">
        <f t="shared" si="803"/>
        <v>8984</v>
      </c>
      <c r="SN36" s="29">
        <f t="shared" si="803"/>
        <v>8972</v>
      </c>
      <c r="SO36" s="29">
        <f t="shared" si="803"/>
        <v>10952</v>
      </c>
      <c r="SP36" s="29">
        <f t="shared" si="803"/>
        <v>14525</v>
      </c>
      <c r="SQ36" s="29">
        <f t="shared" si="803"/>
        <v>8484</v>
      </c>
      <c r="SR36" s="29">
        <f t="shared" si="803"/>
        <v>1175</v>
      </c>
      <c r="SS36" s="29">
        <f t="shared" si="803"/>
        <v>13152</v>
      </c>
      <c r="ST36" s="29">
        <f t="shared" si="803"/>
        <v>5539</v>
      </c>
      <c r="SU36" s="29">
        <f t="shared" si="803"/>
        <v>15355</v>
      </c>
      <c r="SV36" s="29">
        <f t="shared" si="803"/>
        <v>12519</v>
      </c>
      <c r="SW36" s="29">
        <f t="shared" si="803"/>
        <v>11739</v>
      </c>
      <c r="SX36" s="29">
        <f t="shared" si="803"/>
        <v>3894</v>
      </c>
      <c r="SY36" s="29">
        <f t="shared" si="803"/>
        <v>967</v>
      </c>
      <c r="SZ36" s="29">
        <f t="shared" si="803"/>
        <v>18243</v>
      </c>
      <c r="TA36" s="29">
        <f t="shared" si="803"/>
        <v>17603</v>
      </c>
      <c r="TB36" s="29">
        <f t="shared" si="803"/>
        <v>7702</v>
      </c>
      <c r="TC36" s="29">
        <f t="shared" si="803"/>
        <v>14979</v>
      </c>
      <c r="TD36" s="29">
        <f t="shared" si="803"/>
        <v>9511</v>
      </c>
      <c r="TE36" s="29">
        <f t="shared" si="803"/>
        <v>5538</v>
      </c>
      <c r="TF36" s="29">
        <f t="shared" si="803"/>
        <v>0</v>
      </c>
      <c r="TG36" s="29">
        <f t="shared" si="803"/>
        <v>14564</v>
      </c>
      <c r="TH36" s="29">
        <f t="shared" si="803"/>
        <v>5623</v>
      </c>
      <c r="TI36" s="29">
        <f t="shared" si="803"/>
        <v>12784</v>
      </c>
      <c r="TJ36" s="29">
        <f t="shared" si="803"/>
        <v>6892</v>
      </c>
      <c r="TK36" s="29">
        <f t="shared" si="803"/>
        <v>17898</v>
      </c>
      <c r="TL36" s="29">
        <f t="shared" si="803"/>
        <v>11386</v>
      </c>
      <c r="TM36" s="29">
        <f t="shared" si="803"/>
        <v>1127</v>
      </c>
      <c r="TN36" s="29">
        <f t="shared" si="803"/>
        <v>9770</v>
      </c>
      <c r="TO36" s="29">
        <f t="shared" si="803"/>
        <v>9438</v>
      </c>
      <c r="TP36" s="29">
        <f t="shared" si="803"/>
        <v>7159</v>
      </c>
      <c r="TQ36" s="29">
        <f t="shared" si="803"/>
        <v>6109</v>
      </c>
      <c r="TR36" s="29">
        <f t="shared" si="803"/>
        <v>7297</v>
      </c>
      <c r="TS36" s="29">
        <f t="shared" si="803"/>
        <v>2059</v>
      </c>
      <c r="TT36" s="29">
        <f t="shared" si="803"/>
        <v>297</v>
      </c>
      <c r="TU36" s="29">
        <f t="shared" si="803"/>
        <v>0</v>
      </c>
      <c r="TV36" s="29">
        <f t="shared" si="803"/>
        <v>5273</v>
      </c>
      <c r="TW36" s="29">
        <f t="shared" si="803"/>
        <v>18280</v>
      </c>
      <c r="TX36" s="29">
        <f t="shared" si="803"/>
        <v>19061</v>
      </c>
      <c r="TY36" s="29">
        <f t="shared" si="803"/>
        <v>11859</v>
      </c>
      <c r="TZ36" s="29">
        <f t="shared" si="803"/>
        <v>5951</v>
      </c>
      <c r="UA36" s="29">
        <f t="shared" si="803"/>
        <v>1210</v>
      </c>
      <c r="UB36" s="29">
        <f t="shared" si="803"/>
        <v>2857</v>
      </c>
      <c r="UC36" s="29">
        <f t="shared" si="803"/>
        <v>2580</v>
      </c>
      <c r="UD36" s="29">
        <f t="shared" si="803"/>
        <v>855</v>
      </c>
      <c r="UE36" s="29">
        <f t="shared" si="803"/>
        <v>3597</v>
      </c>
      <c r="UF36" s="29">
        <f t="shared" si="803"/>
        <v>9546</v>
      </c>
      <c r="UG36" s="29">
        <f t="shared" si="803"/>
        <v>4641</v>
      </c>
      <c r="UH36" s="29">
        <f t="shared" si="803"/>
        <v>0</v>
      </c>
      <c r="UI36" s="29">
        <f t="shared" si="803"/>
        <v>14978</v>
      </c>
      <c r="UJ36" s="29">
        <f t="shared" si="803"/>
        <v>22001</v>
      </c>
      <c r="UK36" s="29">
        <f t="shared" si="803"/>
        <v>25809</v>
      </c>
      <c r="UL36" s="29">
        <f t="shared" ref="UL36:VP36" si="804">SUM(UL3:UL10)+SUM(UL12:UL27)</f>
        <v>3303</v>
      </c>
      <c r="UM36" s="29">
        <f t="shared" si="804"/>
        <v>18145</v>
      </c>
      <c r="UN36" s="29">
        <f t="shared" si="804"/>
        <v>11387</v>
      </c>
      <c r="UO36" s="29">
        <f t="shared" si="804"/>
        <v>6631</v>
      </c>
      <c r="UP36" s="29">
        <f t="shared" si="804"/>
        <v>11607</v>
      </c>
      <c r="UQ36" s="29">
        <f t="shared" si="804"/>
        <v>21553</v>
      </c>
      <c r="UR36" s="29">
        <f t="shared" si="804"/>
        <v>19987</v>
      </c>
      <c r="US36" s="29">
        <f t="shared" si="804"/>
        <v>10563</v>
      </c>
      <c r="UT36" s="29">
        <f t="shared" si="804"/>
        <v>9458</v>
      </c>
      <c r="UU36" s="29">
        <f t="shared" si="804"/>
        <v>11257</v>
      </c>
      <c r="UV36" s="29">
        <f t="shared" si="804"/>
        <v>0</v>
      </c>
      <c r="UW36" s="29">
        <f t="shared" si="804"/>
        <v>10475</v>
      </c>
      <c r="UX36" s="29">
        <f t="shared" si="804"/>
        <v>15898</v>
      </c>
      <c r="UY36" s="29">
        <f t="shared" si="804"/>
        <v>21848</v>
      </c>
      <c r="UZ36" s="29">
        <f t="shared" si="804"/>
        <v>14351</v>
      </c>
      <c r="VA36" s="29">
        <f t="shared" si="804"/>
        <v>19755</v>
      </c>
      <c r="VB36" s="29">
        <f t="shared" si="804"/>
        <v>10858</v>
      </c>
      <c r="VC36" s="29">
        <f t="shared" si="804"/>
        <v>0</v>
      </c>
      <c r="VD36" s="29">
        <f t="shared" si="804"/>
        <v>13130</v>
      </c>
      <c r="VE36" s="29">
        <f t="shared" si="804"/>
        <v>12164</v>
      </c>
      <c r="VF36" s="29">
        <f t="shared" si="804"/>
        <v>9985</v>
      </c>
      <c r="VG36" s="29">
        <f t="shared" si="804"/>
        <v>10501</v>
      </c>
      <c r="VH36" s="29">
        <f t="shared" si="804"/>
        <v>15393</v>
      </c>
      <c r="VI36" s="29">
        <f t="shared" si="804"/>
        <v>13739</v>
      </c>
      <c r="VJ36" s="29">
        <f t="shared" si="804"/>
        <v>6557</v>
      </c>
      <c r="VK36" s="29">
        <f t="shared" si="804"/>
        <v>16495</v>
      </c>
      <c r="VL36" s="29">
        <f t="shared" si="804"/>
        <v>19162</v>
      </c>
      <c r="VM36" s="29">
        <f t="shared" si="804"/>
        <v>9431</v>
      </c>
      <c r="VN36" s="29">
        <f t="shared" si="804"/>
        <v>20207</v>
      </c>
      <c r="VO36" s="29">
        <f t="shared" si="804"/>
        <v>16323</v>
      </c>
      <c r="VP36" s="29">
        <f t="shared" si="804"/>
        <v>8674</v>
      </c>
      <c r="VQ36" s="29">
        <f t="shared" ref="VQ36:XL36" si="805">SUM(VQ3:VQ10)+SUM(VQ12:VQ27)</f>
        <v>180</v>
      </c>
      <c r="VR36" s="29">
        <f t="shared" si="805"/>
        <v>10085</v>
      </c>
      <c r="VS36" s="29">
        <f t="shared" si="805"/>
        <v>0</v>
      </c>
      <c r="VT36" s="29">
        <f t="shared" si="805"/>
        <v>17133</v>
      </c>
      <c r="VU36" s="29">
        <f t="shared" si="805"/>
        <v>25420</v>
      </c>
      <c r="VV36" s="29">
        <f t="shared" si="805"/>
        <v>17657</v>
      </c>
      <c r="VW36" s="29">
        <f t="shared" si="805"/>
        <v>12921</v>
      </c>
      <c r="VX36" s="29">
        <f t="shared" si="805"/>
        <v>11676</v>
      </c>
      <c r="VY36" s="29">
        <f t="shared" si="805"/>
        <v>18938</v>
      </c>
      <c r="VZ36" s="29">
        <f t="shared" si="805"/>
        <v>14576</v>
      </c>
      <c r="WA36" s="29">
        <f t="shared" si="805"/>
        <v>13788</v>
      </c>
      <c r="WB36" s="29">
        <f t="shared" si="805"/>
        <v>11532</v>
      </c>
      <c r="WC36" s="29">
        <f t="shared" si="805"/>
        <v>9632</v>
      </c>
      <c r="WD36" s="29">
        <f t="shared" si="805"/>
        <v>6043</v>
      </c>
      <c r="WE36" s="29">
        <f t="shared" si="805"/>
        <v>2321</v>
      </c>
      <c r="WF36" s="29">
        <f t="shared" si="805"/>
        <v>14085</v>
      </c>
      <c r="WG36" s="29">
        <f t="shared" si="805"/>
        <v>11634</v>
      </c>
      <c r="WH36" s="29">
        <f t="shared" si="805"/>
        <v>16919</v>
      </c>
      <c r="WI36" s="29">
        <f t="shared" si="805"/>
        <v>16227</v>
      </c>
      <c r="WJ36" s="29">
        <f t="shared" si="805"/>
        <v>16751</v>
      </c>
      <c r="WK36" s="29">
        <f t="shared" si="805"/>
        <v>7353</v>
      </c>
      <c r="WL36" s="29">
        <f t="shared" si="805"/>
        <v>0</v>
      </c>
      <c r="WM36" s="29">
        <f t="shared" si="805"/>
        <v>14392</v>
      </c>
      <c r="WN36" s="29">
        <f t="shared" si="805"/>
        <v>9332</v>
      </c>
      <c r="WO36" s="29">
        <f t="shared" si="805"/>
        <v>16389</v>
      </c>
      <c r="WP36" s="29">
        <f t="shared" si="805"/>
        <v>7129</v>
      </c>
      <c r="WQ36" s="29">
        <f t="shared" si="805"/>
        <v>30286</v>
      </c>
      <c r="WR36" s="29">
        <f t="shared" si="805"/>
        <v>7946</v>
      </c>
      <c r="WS36" s="29">
        <f t="shared" si="805"/>
        <v>2234</v>
      </c>
      <c r="WT36" s="29">
        <f>SUM(WT3:WT10)+SUM(WT12:WT27)</f>
        <v>14267</v>
      </c>
      <c r="WU36" s="29">
        <f t="shared" si="805"/>
        <v>18306</v>
      </c>
      <c r="WV36" s="29">
        <f t="shared" si="805"/>
        <v>9190</v>
      </c>
      <c r="WW36" s="29">
        <f t="shared" si="805"/>
        <v>18053</v>
      </c>
      <c r="WX36" s="29">
        <f t="shared" si="805"/>
        <v>14441</v>
      </c>
      <c r="WY36" s="29">
        <f t="shared" si="805"/>
        <v>8476</v>
      </c>
      <c r="WZ36" s="29">
        <f t="shared" si="805"/>
        <v>9729</v>
      </c>
      <c r="XA36" s="29">
        <f t="shared" si="805"/>
        <v>14684</v>
      </c>
      <c r="XB36" s="29">
        <f>SUM(XB3:XB10)+SUM(XB12:XB27)</f>
        <v>21241</v>
      </c>
      <c r="XC36" s="29">
        <f t="shared" si="805"/>
        <v>13444</v>
      </c>
      <c r="XD36" s="29">
        <f t="shared" si="805"/>
        <v>12432</v>
      </c>
      <c r="XE36" s="29">
        <f t="shared" si="805"/>
        <v>5941</v>
      </c>
      <c r="XF36" s="29">
        <f t="shared" si="805"/>
        <v>6095</v>
      </c>
      <c r="XG36" s="29">
        <f t="shared" si="805"/>
        <v>0</v>
      </c>
      <c r="XH36" s="29">
        <f>SUM(XH3:XH10)+SUM(XH12:XH27)</f>
        <v>19346</v>
      </c>
      <c r="XI36" s="29">
        <f t="shared" si="805"/>
        <v>16991</v>
      </c>
      <c r="XJ36" s="29">
        <f t="shared" si="805"/>
        <v>17739</v>
      </c>
      <c r="XK36" s="29">
        <f t="shared" si="805"/>
        <v>14875</v>
      </c>
      <c r="XL36" s="29">
        <f t="shared" si="805"/>
        <v>12071</v>
      </c>
      <c r="XM36" s="29">
        <f>SUM(XM3:XM10)+SUM(XM12:XM27)</f>
        <v>11158</v>
      </c>
      <c r="XN36" s="29">
        <f>SUM(XN3:XN10)+SUM(XN12:XN27)</f>
        <v>0</v>
      </c>
      <c r="XO36" s="29">
        <f>SUM(XO3:XO10)+SUM(XO12:XO27)</f>
        <v>16444</v>
      </c>
      <c r="XP36" s="29">
        <f t="shared" ref="XP36:XY36" si="806">SUM(XP3:XP10)+SUM(XP12:XP27)</f>
        <v>14065</v>
      </c>
      <c r="XQ36" s="29">
        <f t="shared" si="806"/>
        <v>17238</v>
      </c>
      <c r="XR36" s="29">
        <f t="shared" si="806"/>
        <v>18775</v>
      </c>
      <c r="XS36" s="29">
        <f t="shared" si="806"/>
        <v>16565</v>
      </c>
      <c r="XT36" s="29">
        <f t="shared" si="806"/>
        <v>16699</v>
      </c>
      <c r="XU36" s="29">
        <f>SUM(XU3:XU10)+SUM(XU12:XU27)</f>
        <v>8005</v>
      </c>
      <c r="XV36" s="29">
        <f t="shared" si="806"/>
        <v>0</v>
      </c>
      <c r="XW36" s="29">
        <f t="shared" si="806"/>
        <v>17954</v>
      </c>
      <c r="XX36" s="29">
        <f t="shared" si="806"/>
        <v>21138</v>
      </c>
      <c r="XY36" s="29">
        <f t="shared" si="806"/>
        <v>15277</v>
      </c>
      <c r="XZ36" s="29">
        <f>SUM(XZ3:XZ10)+SUM(XZ12:XZ27)</f>
        <v>13584</v>
      </c>
      <c r="YA36" s="29">
        <f t="shared" ref="YA36:AAF36" si="807">SUM(YA3:YA10)+SUM(YA12:YA27)</f>
        <v>8787</v>
      </c>
      <c r="YB36" s="29">
        <f t="shared" si="807"/>
        <v>0</v>
      </c>
      <c r="YC36" s="29">
        <f t="shared" si="807"/>
        <v>14337</v>
      </c>
      <c r="YD36" s="29">
        <f t="shared" si="807"/>
        <v>9864</v>
      </c>
      <c r="YE36" s="29">
        <f t="shared" si="807"/>
        <v>13653</v>
      </c>
      <c r="YF36" s="29">
        <f t="shared" si="807"/>
        <v>17663</v>
      </c>
      <c r="YG36" s="29">
        <f t="shared" si="807"/>
        <v>19808</v>
      </c>
      <c r="YH36" s="29">
        <f t="shared" si="807"/>
        <v>16284</v>
      </c>
      <c r="YI36" s="29">
        <f t="shared" si="807"/>
        <v>10735</v>
      </c>
      <c r="YJ36" s="29">
        <f t="shared" si="807"/>
        <v>16354</v>
      </c>
      <c r="YK36" s="29">
        <f t="shared" si="807"/>
        <v>0</v>
      </c>
      <c r="YL36" s="29">
        <f t="shared" si="807"/>
        <v>16477</v>
      </c>
      <c r="YM36" s="29">
        <f t="shared" si="807"/>
        <v>11750</v>
      </c>
      <c r="YN36" s="29">
        <f t="shared" si="807"/>
        <v>12456</v>
      </c>
      <c r="YO36" s="29">
        <f t="shared" si="807"/>
        <v>6933</v>
      </c>
      <c r="YP36" s="29">
        <f t="shared" si="807"/>
        <v>0</v>
      </c>
      <c r="YQ36" s="29">
        <f t="shared" si="807"/>
        <v>14095</v>
      </c>
      <c r="YR36" s="29">
        <f t="shared" si="807"/>
        <v>16840</v>
      </c>
      <c r="YS36" s="29">
        <f t="shared" si="807"/>
        <v>18393</v>
      </c>
      <c r="YT36" s="29">
        <f t="shared" si="807"/>
        <v>13656</v>
      </c>
      <c r="YU36" s="29">
        <f t="shared" si="807"/>
        <v>8921</v>
      </c>
      <c r="YV36" s="29">
        <f t="shared" si="807"/>
        <v>6609</v>
      </c>
      <c r="YW36" s="29">
        <f t="shared" si="807"/>
        <v>1506</v>
      </c>
      <c r="YX36" s="29">
        <f t="shared" si="807"/>
        <v>18630</v>
      </c>
      <c r="YY36" s="29">
        <f t="shared" si="807"/>
        <v>13614</v>
      </c>
      <c r="YZ36" s="29">
        <f t="shared" si="807"/>
        <v>18140</v>
      </c>
      <c r="ZA36" s="29">
        <f t="shared" si="807"/>
        <v>20214</v>
      </c>
      <c r="ZB36" s="29">
        <f t="shared" si="807"/>
        <v>19511</v>
      </c>
      <c r="ZC36" s="29">
        <f t="shared" si="807"/>
        <v>11730</v>
      </c>
      <c r="ZD36" s="29">
        <f t="shared" si="807"/>
        <v>0</v>
      </c>
      <c r="ZE36" s="29">
        <f t="shared" si="807"/>
        <v>14232</v>
      </c>
      <c r="ZF36" s="29">
        <f t="shared" si="807"/>
        <v>14597</v>
      </c>
      <c r="ZG36" s="29">
        <f t="shared" si="807"/>
        <v>27307</v>
      </c>
      <c r="ZH36" s="29">
        <f t="shared" si="807"/>
        <v>15885</v>
      </c>
      <c r="ZI36" s="29">
        <f t="shared" si="807"/>
        <v>10798</v>
      </c>
      <c r="ZJ36" s="29">
        <f t="shared" si="807"/>
        <v>12145</v>
      </c>
      <c r="ZK36" s="29">
        <f t="shared" si="807"/>
        <v>2968</v>
      </c>
      <c r="ZL36" s="29">
        <f>SUM(ZL3:ZL10)+SUM(ZL12:ZL27)</f>
        <v>26330</v>
      </c>
      <c r="ZM36" s="29">
        <f t="shared" ref="ZM36:ZP36" si="808">SUM(ZM3:ZM10)+SUM(ZM12:ZM27)</f>
        <v>20203</v>
      </c>
      <c r="ZN36" s="29">
        <f t="shared" si="808"/>
        <v>26592</v>
      </c>
      <c r="ZO36" s="29">
        <f t="shared" si="808"/>
        <v>19956</v>
      </c>
      <c r="ZP36" s="29">
        <f t="shared" si="808"/>
        <v>21226</v>
      </c>
      <c r="ZQ36" s="29">
        <f t="shared" si="807"/>
        <v>9280</v>
      </c>
      <c r="ZR36" s="29">
        <f t="shared" si="807"/>
        <v>6166</v>
      </c>
      <c r="ZS36" s="29">
        <f t="shared" si="807"/>
        <v>21024</v>
      </c>
      <c r="ZT36" s="29">
        <f t="shared" si="807"/>
        <v>17246</v>
      </c>
      <c r="ZU36" s="29">
        <f t="shared" si="807"/>
        <v>20851</v>
      </c>
      <c r="ZV36" s="29">
        <f t="shared" si="807"/>
        <v>13498</v>
      </c>
      <c r="ZW36" s="29">
        <f t="shared" si="807"/>
        <v>13587</v>
      </c>
      <c r="ZX36" s="29">
        <f t="shared" si="807"/>
        <v>8782</v>
      </c>
      <c r="ZY36" s="29">
        <f t="shared" si="807"/>
        <v>517</v>
      </c>
      <c r="ZZ36" s="29">
        <f t="shared" si="807"/>
        <v>16231</v>
      </c>
      <c r="AAA36" s="29">
        <f t="shared" si="807"/>
        <v>15073</v>
      </c>
      <c r="AAB36" s="29">
        <f t="shared" si="807"/>
        <v>11914</v>
      </c>
      <c r="AAC36" s="29">
        <f t="shared" si="807"/>
        <v>19641</v>
      </c>
      <c r="AAD36" s="29">
        <f t="shared" si="807"/>
        <v>9965</v>
      </c>
      <c r="AAE36" s="29">
        <f t="shared" si="807"/>
        <v>12437</v>
      </c>
      <c r="AAF36" s="29">
        <f t="shared" si="807"/>
        <v>41</v>
      </c>
      <c r="AAG36" s="29">
        <f>SUM(AAG3:AAG10)+SUM(AAG12:AAG27)</f>
        <v>21644</v>
      </c>
      <c r="AAH36" s="29">
        <f t="shared" ref="AAH36:AAQ36" si="809">SUM(AAH3:AAH10)+SUM(AAH12:AAH27)</f>
        <v>12468</v>
      </c>
      <c r="AAI36" s="29">
        <f t="shared" si="809"/>
        <v>12123</v>
      </c>
      <c r="AAJ36" s="29">
        <f t="shared" si="809"/>
        <v>11372</v>
      </c>
      <c r="AAK36" s="29">
        <f t="shared" si="809"/>
        <v>12591</v>
      </c>
      <c r="AAL36" s="29">
        <f t="shared" si="809"/>
        <v>9562</v>
      </c>
      <c r="AAM36" s="29">
        <f t="shared" si="809"/>
        <v>2271</v>
      </c>
      <c r="AAN36" s="29">
        <f t="shared" si="809"/>
        <v>13538</v>
      </c>
      <c r="AAO36" s="29">
        <f t="shared" si="809"/>
        <v>18928</v>
      </c>
      <c r="AAP36" s="29">
        <f t="shared" si="809"/>
        <v>16212</v>
      </c>
      <c r="AAQ36" s="29">
        <f t="shared" si="809"/>
        <v>22196</v>
      </c>
      <c r="AAR36" s="29">
        <f t="shared" ref="AAR36" si="810">SUM(AAR3:AAR10)+SUM(AAR12:AAR27)</f>
        <v>20757</v>
      </c>
      <c r="AAS36" s="29">
        <f t="shared" ref="AAS36:ABE36" si="811">SUM(AAS3:AAS10)+SUM(AAS12:AAS27)</f>
        <v>16604</v>
      </c>
      <c r="AAT36" s="29">
        <f t="shared" si="811"/>
        <v>4394</v>
      </c>
      <c r="AAU36" s="29">
        <f t="shared" si="811"/>
        <v>865</v>
      </c>
      <c r="AAV36" s="29">
        <f t="shared" si="811"/>
        <v>25920</v>
      </c>
      <c r="AAW36" s="29">
        <f t="shared" si="811"/>
        <v>16106</v>
      </c>
      <c r="AAX36" s="29">
        <f t="shared" si="811"/>
        <v>19609</v>
      </c>
      <c r="AAY36" s="117">
        <f t="shared" si="811"/>
        <v>11313</v>
      </c>
      <c r="AAZ36" s="29">
        <f t="shared" si="811"/>
        <v>11265</v>
      </c>
      <c r="ABA36" s="29">
        <f t="shared" si="811"/>
        <v>0</v>
      </c>
      <c r="ABB36" s="29">
        <f t="shared" si="811"/>
        <v>22087</v>
      </c>
      <c r="ABC36" s="29">
        <f t="shared" si="811"/>
        <v>10366</v>
      </c>
      <c r="ABD36" s="29">
        <f t="shared" si="811"/>
        <v>20714</v>
      </c>
      <c r="ABE36" s="128">
        <f t="shared" si="811"/>
        <v>7311</v>
      </c>
      <c r="ABF36" s="128">
        <f t="shared" ref="ABF36:ADQ36" si="812">SUM(ABF3:ABF10)+SUM(ABF12:ABF27)</f>
        <v>17369</v>
      </c>
      <c r="ABG36" s="128">
        <f t="shared" si="812"/>
        <v>14305</v>
      </c>
      <c r="ABH36" s="128">
        <f t="shared" si="812"/>
        <v>5453</v>
      </c>
      <c r="ABI36" s="128">
        <f t="shared" si="812"/>
        <v>26095</v>
      </c>
      <c r="ABJ36" s="128">
        <f t="shared" si="812"/>
        <v>15137</v>
      </c>
      <c r="ABK36" s="128">
        <f t="shared" si="812"/>
        <v>14576</v>
      </c>
      <c r="ABL36" s="128">
        <f t="shared" si="812"/>
        <v>16772</v>
      </c>
      <c r="ABM36" s="128">
        <f t="shared" si="812"/>
        <v>18092</v>
      </c>
      <c r="ABN36" s="128">
        <f>SUM(ABN3:ABN10)+SUM(ABN12:ABN27)</f>
        <v>15603</v>
      </c>
      <c r="ABO36" s="128">
        <f t="shared" si="812"/>
        <v>2054</v>
      </c>
      <c r="ABP36" s="128">
        <f t="shared" si="812"/>
        <v>15959</v>
      </c>
      <c r="ABQ36" s="128">
        <f t="shared" si="812"/>
        <v>10758</v>
      </c>
      <c r="ABR36" s="128">
        <f t="shared" si="812"/>
        <v>16203</v>
      </c>
      <c r="ABS36" s="128">
        <f t="shared" si="812"/>
        <v>13940</v>
      </c>
      <c r="ABT36" s="128">
        <f t="shared" si="812"/>
        <v>15901</v>
      </c>
      <c r="ABU36" s="128">
        <f t="shared" si="812"/>
        <v>13339</v>
      </c>
      <c r="ABV36" s="128">
        <f t="shared" si="812"/>
        <v>6805</v>
      </c>
      <c r="ABW36" s="128">
        <f t="shared" si="812"/>
        <v>16121</v>
      </c>
      <c r="ABX36" s="128">
        <f t="shared" si="812"/>
        <v>13824</v>
      </c>
      <c r="ABY36" s="128">
        <f t="shared" si="812"/>
        <v>18073</v>
      </c>
      <c r="ABZ36" s="128">
        <f t="shared" si="812"/>
        <v>17513</v>
      </c>
      <c r="ACA36" s="128">
        <f t="shared" si="812"/>
        <v>12074</v>
      </c>
      <c r="ACB36" s="128">
        <f t="shared" si="812"/>
        <v>8223</v>
      </c>
      <c r="ACC36" s="128">
        <f t="shared" si="812"/>
        <v>7167</v>
      </c>
      <c r="ACD36" s="128">
        <f t="shared" si="812"/>
        <v>12334</v>
      </c>
      <c r="ACE36" s="128">
        <f t="shared" si="812"/>
        <v>12926</v>
      </c>
      <c r="ACF36" s="128">
        <f t="shared" si="812"/>
        <v>13283</v>
      </c>
      <c r="ACG36" s="128">
        <f t="shared" si="812"/>
        <v>13811</v>
      </c>
      <c r="ACH36" s="128">
        <f t="shared" si="812"/>
        <v>8901</v>
      </c>
      <c r="ACI36" s="128">
        <f t="shared" si="812"/>
        <v>9091</v>
      </c>
      <c r="ACJ36" s="128">
        <f t="shared" si="812"/>
        <v>0</v>
      </c>
      <c r="ACK36" s="128">
        <f t="shared" si="812"/>
        <v>12383</v>
      </c>
      <c r="ACL36" s="128">
        <f t="shared" si="812"/>
        <v>15749</v>
      </c>
      <c r="ACM36" s="128">
        <f t="shared" si="812"/>
        <v>18788</v>
      </c>
      <c r="ACN36" s="128">
        <f t="shared" si="812"/>
        <v>15407</v>
      </c>
      <c r="ACO36" s="128">
        <f t="shared" si="812"/>
        <v>18650</v>
      </c>
      <c r="ACP36" s="128">
        <f t="shared" si="812"/>
        <v>11454</v>
      </c>
      <c r="ACQ36" s="128">
        <f t="shared" si="812"/>
        <v>6694</v>
      </c>
      <c r="ACR36" s="128">
        <f t="shared" si="812"/>
        <v>13880</v>
      </c>
      <c r="ACS36" s="128">
        <f t="shared" si="812"/>
        <v>14500</v>
      </c>
      <c r="ACT36" s="128">
        <f t="shared" si="812"/>
        <v>8366</v>
      </c>
      <c r="ACU36" s="128">
        <f t="shared" si="812"/>
        <v>19124</v>
      </c>
      <c r="ACV36" s="128">
        <f t="shared" si="812"/>
        <v>0</v>
      </c>
      <c r="ACW36" s="128">
        <f t="shared" si="812"/>
        <v>15200</v>
      </c>
      <c r="ACX36" s="128">
        <f t="shared" si="812"/>
        <v>9802</v>
      </c>
      <c r="ACY36" s="128">
        <f t="shared" si="812"/>
        <v>18197</v>
      </c>
      <c r="ACZ36" s="128">
        <f t="shared" si="812"/>
        <v>20326</v>
      </c>
      <c r="ADA36" s="128">
        <f t="shared" si="812"/>
        <v>14099</v>
      </c>
      <c r="ADB36" s="128">
        <f t="shared" si="812"/>
        <v>21125</v>
      </c>
      <c r="ADC36" s="128">
        <f t="shared" si="812"/>
        <v>19637</v>
      </c>
      <c r="ADD36" s="128">
        <f t="shared" si="812"/>
        <v>18097</v>
      </c>
      <c r="ADE36" s="128">
        <f t="shared" si="812"/>
        <v>16324</v>
      </c>
      <c r="ADF36" s="128">
        <f t="shared" si="812"/>
        <v>18753</v>
      </c>
      <c r="ADG36" s="128">
        <f t="shared" si="812"/>
        <v>16967</v>
      </c>
      <c r="ADH36" s="128">
        <f t="shared" si="812"/>
        <v>13137</v>
      </c>
      <c r="ADI36" s="128">
        <f t="shared" si="812"/>
        <v>14648</v>
      </c>
      <c r="ADJ36" s="128">
        <f t="shared" si="812"/>
        <v>17636</v>
      </c>
      <c r="ADK36" s="128">
        <f t="shared" si="812"/>
        <v>12077</v>
      </c>
      <c r="ADL36" s="128">
        <f t="shared" si="812"/>
        <v>2896</v>
      </c>
      <c r="ADM36" s="128">
        <f t="shared" si="812"/>
        <v>16158</v>
      </c>
      <c r="ADN36" s="128">
        <f t="shared" si="812"/>
        <v>16700</v>
      </c>
      <c r="ADO36" s="128">
        <f t="shared" si="812"/>
        <v>17380</v>
      </c>
      <c r="ADP36" s="128">
        <f t="shared" si="812"/>
        <v>19727</v>
      </c>
      <c r="ADQ36" s="128">
        <f t="shared" si="812"/>
        <v>17053</v>
      </c>
      <c r="ADR36" s="128">
        <f t="shared" ref="ADR36:AEI36" si="813">SUM(ADR3:ADR10)+SUM(ADR12:ADR27)</f>
        <v>15265</v>
      </c>
      <c r="ADS36" s="128">
        <f t="shared" si="813"/>
        <v>3510</v>
      </c>
      <c r="ADT36" s="128">
        <f t="shared" si="813"/>
        <v>16822</v>
      </c>
      <c r="ADU36" s="128">
        <f t="shared" si="813"/>
        <v>9501</v>
      </c>
      <c r="ADV36" s="128">
        <f t="shared" si="813"/>
        <v>182</v>
      </c>
      <c r="ADW36" s="128">
        <f t="shared" si="813"/>
        <v>0</v>
      </c>
      <c r="ADX36" s="128">
        <f t="shared" si="813"/>
        <v>10892</v>
      </c>
      <c r="ADY36" s="128">
        <f t="shared" si="813"/>
        <v>6504</v>
      </c>
      <c r="ADZ36" s="128">
        <f t="shared" si="813"/>
        <v>5121</v>
      </c>
      <c r="AEA36" s="128">
        <f t="shared" si="813"/>
        <v>9187</v>
      </c>
      <c r="AEB36" s="128">
        <f t="shared" si="813"/>
        <v>9686</v>
      </c>
      <c r="AEC36" s="128">
        <f t="shared" si="813"/>
        <v>9555</v>
      </c>
      <c r="AED36" s="128">
        <f t="shared" si="813"/>
        <v>12013</v>
      </c>
      <c r="AEE36" s="128">
        <f t="shared" si="813"/>
        <v>20361</v>
      </c>
      <c r="AEF36" s="128">
        <f t="shared" si="813"/>
        <v>12782</v>
      </c>
      <c r="AEG36" s="128">
        <f t="shared" si="813"/>
        <v>1301</v>
      </c>
      <c r="AEH36" s="128">
        <f t="shared" si="813"/>
        <v>14386</v>
      </c>
      <c r="AEI36" s="128">
        <f t="shared" si="813"/>
        <v>17432</v>
      </c>
      <c r="AEJ36" s="128">
        <f t="shared" ref="AEJ36:AEO36" si="814">SUM(AEJ3:AEJ10)+SUM(AEJ12:AEJ27)</f>
        <v>16066</v>
      </c>
      <c r="AEK36" s="128">
        <f t="shared" si="814"/>
        <v>16895</v>
      </c>
      <c r="AEL36" s="128">
        <f t="shared" si="814"/>
        <v>17178</v>
      </c>
      <c r="AEM36" s="128">
        <f t="shared" si="814"/>
        <v>13251</v>
      </c>
      <c r="AEN36" s="128">
        <f t="shared" si="814"/>
        <v>3836</v>
      </c>
      <c r="AEO36" s="128">
        <f t="shared" si="814"/>
        <v>19141</v>
      </c>
      <c r="AEP36" s="128">
        <f t="shared" ref="AEP36:AGO36" si="815">SUM(AEP3:AEP10)+SUM(AEP12:AEP27)</f>
        <v>11426</v>
      </c>
      <c r="AEQ36" s="128">
        <f t="shared" si="815"/>
        <v>11621</v>
      </c>
      <c r="AER36" s="128">
        <f t="shared" si="815"/>
        <v>19297</v>
      </c>
      <c r="AES36" s="128">
        <f t="shared" si="815"/>
        <v>16571</v>
      </c>
      <c r="AET36" s="128">
        <f t="shared" si="815"/>
        <v>10929</v>
      </c>
      <c r="AEU36" s="128">
        <f t="shared" si="815"/>
        <v>9554</v>
      </c>
      <c r="AEV36" s="128">
        <f t="shared" si="815"/>
        <v>17837</v>
      </c>
      <c r="AEW36" s="128">
        <f t="shared" si="815"/>
        <v>19221</v>
      </c>
      <c r="AEX36" s="128">
        <f t="shared" si="815"/>
        <v>15423</v>
      </c>
      <c r="AEY36" s="128">
        <f t="shared" si="815"/>
        <v>16729</v>
      </c>
      <c r="AEZ36" s="128">
        <f t="shared" si="815"/>
        <v>15620</v>
      </c>
      <c r="AFA36" s="128">
        <f t="shared" si="815"/>
        <v>9527</v>
      </c>
      <c r="AFB36" s="128">
        <f t="shared" si="815"/>
        <v>6591</v>
      </c>
      <c r="AFC36" s="128">
        <f t="shared" si="815"/>
        <v>13997</v>
      </c>
      <c r="AFD36" s="128">
        <f t="shared" si="815"/>
        <v>19147</v>
      </c>
      <c r="AFE36" s="128">
        <f t="shared" si="815"/>
        <v>22623</v>
      </c>
      <c r="AFF36" s="128">
        <f t="shared" si="815"/>
        <v>23969</v>
      </c>
      <c r="AFG36" s="128">
        <f t="shared" si="815"/>
        <v>20657</v>
      </c>
      <c r="AFH36" s="128">
        <f t="shared" si="815"/>
        <v>12669</v>
      </c>
      <c r="AFI36" s="128">
        <f t="shared" si="815"/>
        <v>0</v>
      </c>
      <c r="AFJ36" s="128">
        <f t="shared" si="815"/>
        <v>19265</v>
      </c>
      <c r="AFK36" s="128">
        <f t="shared" si="815"/>
        <v>17782</v>
      </c>
      <c r="AFL36" s="128">
        <f t="shared" si="815"/>
        <v>16245</v>
      </c>
      <c r="AFM36" s="128">
        <f t="shared" si="815"/>
        <v>21398</v>
      </c>
      <c r="AFN36" s="128">
        <f t="shared" si="815"/>
        <v>21890</v>
      </c>
      <c r="AFO36" s="128">
        <f t="shared" si="815"/>
        <v>13461</v>
      </c>
      <c r="AFP36" s="128">
        <f t="shared" si="815"/>
        <v>5080</v>
      </c>
      <c r="AFQ36" s="128">
        <f t="shared" si="815"/>
        <v>17772</v>
      </c>
      <c r="AFR36" s="128">
        <f t="shared" si="815"/>
        <v>14580</v>
      </c>
      <c r="AFS36" s="128">
        <f t="shared" si="815"/>
        <v>14617</v>
      </c>
      <c r="AFT36" s="128">
        <f t="shared" si="815"/>
        <v>18049</v>
      </c>
      <c r="AFU36" s="128">
        <f t="shared" si="815"/>
        <v>15549</v>
      </c>
      <c r="AFV36" s="128">
        <f t="shared" si="815"/>
        <v>17956</v>
      </c>
      <c r="AFW36" s="128">
        <f t="shared" si="815"/>
        <v>3848</v>
      </c>
      <c r="AFX36" s="128">
        <f t="shared" si="815"/>
        <v>17864</v>
      </c>
      <c r="AFY36" s="128">
        <f t="shared" si="815"/>
        <v>22516</v>
      </c>
      <c r="AFZ36" s="128">
        <f t="shared" si="815"/>
        <v>20946</v>
      </c>
      <c r="AGA36" s="128">
        <f t="shared" si="815"/>
        <v>21831</v>
      </c>
      <c r="AGB36" s="128">
        <f t="shared" si="815"/>
        <v>19687</v>
      </c>
      <c r="AGC36" s="128">
        <f t="shared" si="815"/>
        <v>16743</v>
      </c>
      <c r="AGD36" s="128">
        <f t="shared" si="815"/>
        <v>8966</v>
      </c>
      <c r="AGE36" s="128">
        <f t="shared" si="815"/>
        <v>18175</v>
      </c>
      <c r="AGF36" s="128">
        <f t="shared" si="815"/>
        <v>14689</v>
      </c>
      <c r="AGG36" s="128">
        <f t="shared" si="815"/>
        <v>19940</v>
      </c>
      <c r="AGH36" s="128">
        <f t="shared" si="815"/>
        <v>20596</v>
      </c>
      <c r="AGI36" s="128">
        <f t="shared" si="815"/>
        <v>15194</v>
      </c>
      <c r="AGJ36" s="128">
        <f t="shared" si="815"/>
        <v>1275</v>
      </c>
      <c r="AGK36" s="128">
        <f t="shared" si="815"/>
        <v>4077</v>
      </c>
      <c r="AGL36" s="128">
        <f t="shared" si="815"/>
        <v>18541</v>
      </c>
      <c r="AGM36" s="128">
        <f t="shared" si="815"/>
        <v>19493</v>
      </c>
      <c r="AGN36" s="128">
        <f t="shared" si="815"/>
        <v>15046</v>
      </c>
      <c r="AGO36" s="128">
        <f t="shared" si="815"/>
        <v>12150</v>
      </c>
      <c r="AGP36" s="128">
        <f t="shared" ref="AGP36:AGW36" si="816">SUM(AGP3:AGP10)+SUM(AGP12:AGP27)</f>
        <v>13597</v>
      </c>
      <c r="AGQ36" s="128">
        <f t="shared" si="816"/>
        <v>10695</v>
      </c>
      <c r="AGR36" s="128">
        <f t="shared" si="816"/>
        <v>6259</v>
      </c>
      <c r="AGS36" s="128">
        <f t="shared" si="816"/>
        <v>19891</v>
      </c>
      <c r="AGT36" s="128">
        <f t="shared" si="816"/>
        <v>19754</v>
      </c>
      <c r="AGU36" s="128">
        <f t="shared" si="816"/>
        <v>16424</v>
      </c>
      <c r="AGV36" s="128">
        <f t="shared" si="816"/>
        <v>19885</v>
      </c>
      <c r="AGW36" s="128">
        <f t="shared" si="816"/>
        <v>14356</v>
      </c>
      <c r="AGX36" s="128">
        <f t="shared" ref="AGX36:AIC36" si="817">SUM(AGX3:AGX10)+SUM(AGX12:AGX27)</f>
        <v>10461</v>
      </c>
      <c r="AGY36" s="128">
        <f t="shared" si="817"/>
        <v>5409</v>
      </c>
      <c r="AGZ36" s="128">
        <f t="shared" si="817"/>
        <v>20710</v>
      </c>
      <c r="AHA36" s="128">
        <f t="shared" si="817"/>
        <v>14888</v>
      </c>
      <c r="AHB36" s="128">
        <f t="shared" si="817"/>
        <v>21062</v>
      </c>
      <c r="AHC36" s="128">
        <f t="shared" si="817"/>
        <v>28769</v>
      </c>
      <c r="AHD36" s="128">
        <f t="shared" si="817"/>
        <v>17009</v>
      </c>
      <c r="AHE36" s="128">
        <f t="shared" si="817"/>
        <v>16559</v>
      </c>
      <c r="AHF36" s="128">
        <f t="shared" si="817"/>
        <v>5298</v>
      </c>
      <c r="AHG36" s="128">
        <f t="shared" si="817"/>
        <v>21169</v>
      </c>
      <c r="AHH36" s="128">
        <f t="shared" si="817"/>
        <v>16569</v>
      </c>
      <c r="AHI36" s="128">
        <f t="shared" si="817"/>
        <v>12482</v>
      </c>
      <c r="AHJ36" s="128">
        <f t="shared" si="817"/>
        <v>15356</v>
      </c>
      <c r="AHK36" s="128">
        <f t="shared" si="817"/>
        <v>12044</v>
      </c>
      <c r="AHL36" s="128">
        <f t="shared" si="817"/>
        <v>11347</v>
      </c>
      <c r="AHM36" s="128">
        <f t="shared" si="817"/>
        <v>14734</v>
      </c>
      <c r="AHN36" s="128">
        <f t="shared" si="817"/>
        <v>10504</v>
      </c>
      <c r="AHO36" s="128">
        <f t="shared" si="817"/>
        <v>17553</v>
      </c>
      <c r="AHP36" s="128">
        <f t="shared" si="817"/>
        <v>17039</v>
      </c>
      <c r="AHQ36" s="128">
        <f t="shared" si="817"/>
        <v>16067</v>
      </c>
      <c r="AHR36" s="128">
        <f t="shared" si="817"/>
        <v>18012</v>
      </c>
      <c r="AHS36" s="128">
        <f t="shared" si="817"/>
        <v>11635</v>
      </c>
      <c r="AHT36" s="128">
        <f t="shared" si="817"/>
        <v>3364</v>
      </c>
      <c r="AHU36" s="128">
        <f t="shared" si="817"/>
        <v>0</v>
      </c>
      <c r="AHV36" s="128">
        <f t="shared" si="817"/>
        <v>0</v>
      </c>
      <c r="AHW36" s="128">
        <f t="shared" si="817"/>
        <v>8399</v>
      </c>
      <c r="AHX36" s="128">
        <f t="shared" si="817"/>
        <v>11229</v>
      </c>
      <c r="AHY36" s="128">
        <f t="shared" si="817"/>
        <v>14754</v>
      </c>
      <c r="AHZ36" s="128">
        <f t="shared" si="817"/>
        <v>13466</v>
      </c>
      <c r="AIA36" s="128">
        <f t="shared" si="817"/>
        <v>5862</v>
      </c>
      <c r="AIB36" s="128">
        <f t="shared" si="817"/>
        <v>20622</v>
      </c>
      <c r="AIC36" s="128">
        <f t="shared" si="817"/>
        <v>9584</v>
      </c>
      <c r="AID36" s="128">
        <f t="shared" ref="AID36:AJE36" si="818">SUM(AID3:AID10)+SUM(AID12:AID27)</f>
        <v>4438</v>
      </c>
      <c r="AIE36" s="128">
        <f t="shared" si="818"/>
        <v>6602</v>
      </c>
      <c r="AIF36" s="128">
        <f t="shared" si="818"/>
        <v>8380</v>
      </c>
      <c r="AIG36" s="128">
        <f t="shared" si="818"/>
        <v>5849</v>
      </c>
      <c r="AIH36" s="128">
        <f t="shared" si="818"/>
        <v>0</v>
      </c>
      <c r="AII36" s="128">
        <f t="shared" si="818"/>
        <v>19704</v>
      </c>
      <c r="AIJ36" s="128">
        <f t="shared" si="818"/>
        <v>25493</v>
      </c>
      <c r="AIK36" s="128">
        <f t="shared" si="818"/>
        <v>30585</v>
      </c>
      <c r="AIL36" s="128">
        <f t="shared" si="818"/>
        <v>23053</v>
      </c>
      <c r="AIM36" s="128">
        <f t="shared" si="818"/>
        <v>2908</v>
      </c>
      <c r="AIN36" s="128">
        <f t="shared" si="818"/>
        <v>16460</v>
      </c>
      <c r="AIO36" s="128">
        <f t="shared" si="818"/>
        <v>12662</v>
      </c>
      <c r="AIP36" s="128">
        <f t="shared" si="818"/>
        <v>15441</v>
      </c>
      <c r="AIQ36" s="128">
        <f t="shared" si="818"/>
        <v>15956</v>
      </c>
      <c r="AIR36" s="128">
        <f t="shared" si="818"/>
        <v>30169</v>
      </c>
      <c r="AIS36" s="128">
        <f t="shared" si="818"/>
        <v>25011</v>
      </c>
      <c r="AIT36" s="128">
        <f t="shared" si="818"/>
        <v>21839</v>
      </c>
      <c r="AIU36" s="128">
        <f t="shared" si="818"/>
        <v>10734</v>
      </c>
      <c r="AIV36" s="128">
        <f t="shared" si="818"/>
        <v>4054</v>
      </c>
      <c r="AIW36" s="128">
        <f t="shared" si="818"/>
        <v>15943</v>
      </c>
      <c r="AIX36" s="128">
        <f t="shared" si="818"/>
        <v>13563</v>
      </c>
      <c r="AIY36" s="128">
        <f t="shared" si="818"/>
        <v>13143</v>
      </c>
      <c r="AIZ36" s="128">
        <f t="shared" si="818"/>
        <v>19814</v>
      </c>
      <c r="AJA36" s="128">
        <f t="shared" si="818"/>
        <v>23993</v>
      </c>
      <c r="AJB36" s="128">
        <f>SUM(AJB3:AJB10)+SUM(AJB12:AJB27)</f>
        <v>20714</v>
      </c>
      <c r="AJC36" s="128">
        <f t="shared" si="818"/>
        <v>4280</v>
      </c>
      <c r="AJD36" s="128">
        <f t="shared" si="818"/>
        <v>18713</v>
      </c>
      <c r="AJE36" s="128">
        <f t="shared" si="818"/>
        <v>13545</v>
      </c>
      <c r="AJF36" s="128">
        <f t="shared" ref="AJF36:AKA36" si="819">SUM(AJF3:AJF10)+SUM(AJF12:AJF27)</f>
        <v>13128</v>
      </c>
      <c r="AJG36" s="128">
        <f t="shared" si="819"/>
        <v>19827</v>
      </c>
      <c r="AJH36" s="128">
        <f t="shared" si="819"/>
        <v>14162</v>
      </c>
      <c r="AJI36" s="128">
        <f t="shared" si="819"/>
        <v>12745</v>
      </c>
      <c r="AJJ36" s="128">
        <f t="shared" si="819"/>
        <v>0</v>
      </c>
      <c r="AJK36" s="128">
        <f t="shared" si="819"/>
        <v>16215</v>
      </c>
      <c r="AJL36" s="128">
        <f t="shared" si="819"/>
        <v>21023</v>
      </c>
      <c r="AJM36" s="128">
        <f t="shared" si="819"/>
        <v>20816</v>
      </c>
      <c r="AJN36" s="128">
        <f t="shared" si="819"/>
        <v>17442</v>
      </c>
      <c r="AJO36" s="128">
        <f t="shared" si="819"/>
        <v>15479</v>
      </c>
      <c r="AJP36" s="128">
        <f t="shared" si="819"/>
        <v>12750</v>
      </c>
      <c r="AJQ36" s="128">
        <f t="shared" si="819"/>
        <v>4713</v>
      </c>
      <c r="AJR36" s="128">
        <f t="shared" si="819"/>
        <v>7055</v>
      </c>
      <c r="AJS36" s="128">
        <f t="shared" si="819"/>
        <v>15906</v>
      </c>
      <c r="AJT36" s="128">
        <f t="shared" si="819"/>
        <v>6003</v>
      </c>
      <c r="AJU36" s="128">
        <f t="shared" si="819"/>
        <v>16366</v>
      </c>
      <c r="AJV36" s="128">
        <f t="shared" si="819"/>
        <v>19188</v>
      </c>
      <c r="AJW36" s="128">
        <f t="shared" si="819"/>
        <v>14688</v>
      </c>
      <c r="AJX36" s="128">
        <f t="shared" si="819"/>
        <v>13547</v>
      </c>
      <c r="AJY36" s="128">
        <f t="shared" si="819"/>
        <v>24340</v>
      </c>
      <c r="AJZ36" s="128">
        <f t="shared" si="819"/>
        <v>17654</v>
      </c>
      <c r="AKA36" s="128">
        <f t="shared" si="819"/>
        <v>19178</v>
      </c>
      <c r="AKB36" s="128">
        <f>SUM(AKB3:AKB10)+SUM(AKB12:AKB27)</f>
        <v>16453</v>
      </c>
      <c r="AKC36" s="128">
        <f>SUM(AKC3:AKC10)+SUM(AKC12:AKC27)</f>
        <v>18295</v>
      </c>
      <c r="AKD36" s="128">
        <f>SUM(AKD3:AKD10)+SUM(AKD12:AKD27)</f>
        <v>10814</v>
      </c>
      <c r="AKE36" s="128">
        <f>SUM(AKE3:AKE10)+SUM(AKE12:AKE27)</f>
        <v>1651</v>
      </c>
      <c r="AKF36" s="128">
        <f>SUM(AKF3:AKF10)+SUM(AKF12:AKF27)</f>
        <v>22533</v>
      </c>
      <c r="AKG36" s="128">
        <f>SUM(AKG3:AKG10)+SUM(AKG12:AKG27)</f>
        <v>0</v>
      </c>
      <c r="AKH36" s="128">
        <f>SUM(AKH3:AKH10)+SUM(AKH12:AKH27)</f>
        <v>0</v>
      </c>
    </row>
    <row r="37" spans="1:970">
      <c r="B37" s="1"/>
      <c r="C37" s="27"/>
      <c r="D37" s="1"/>
      <c r="E37" s="28"/>
      <c r="F37" s="1"/>
      <c r="G37" s="1"/>
      <c r="H37" s="1"/>
      <c r="I37" s="1"/>
      <c r="J37" s="1"/>
    </row>
    <row r="38" spans="1:970">
      <c r="B38" s="1"/>
      <c r="C38" s="27"/>
      <c r="D38" s="1"/>
      <c r="F38" s="1"/>
      <c r="G38" s="1"/>
      <c r="H38" s="1"/>
      <c r="I38" s="1"/>
      <c r="J38" s="1"/>
    </row>
    <row r="39" spans="1:970">
      <c r="B39" s="1"/>
      <c r="C39" s="27"/>
      <c r="D39" s="1"/>
      <c r="E39" s="28"/>
      <c r="F39" s="1"/>
      <c r="G39" s="1"/>
      <c r="H39" s="1"/>
      <c r="I39" s="1"/>
      <c r="J39" s="1"/>
      <c r="IT39" s="29"/>
      <c r="IV39" s="29"/>
      <c r="IW39" s="29"/>
    </row>
    <row r="40" spans="1:970">
      <c r="B40" s="1"/>
      <c r="C40" s="27"/>
      <c r="D40" s="1"/>
      <c r="E40" s="28"/>
      <c r="F40" s="1"/>
      <c r="G40" s="1"/>
      <c r="H40" s="1"/>
      <c r="I40" s="1"/>
      <c r="J40" s="1"/>
    </row>
    <row r="61" spans="242:242">
      <c r="IH61" s="41"/>
    </row>
  </sheetData>
  <autoFilter ref="A1:BJ33" xr:uid="{5EEC613C-5700-4E85-9A41-67CE536FF51E}"/>
  <phoneticPr fontId="9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49024463-383d-4d8f-b02f-143a985e8576">
      <UserInfo>
        <DisplayName>Anusorn Aunyamaneekul</DisplayName>
        <AccountId>10</AccountId>
        <AccountType/>
      </UserInfo>
      <UserInfo>
        <DisplayName>Witchai Chaengthiraphusit</DisplayName>
        <AccountId>12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8F69B7AF436C4BB68BC8CA570314BC" ma:contentTypeVersion="6" ma:contentTypeDescription="Create a new document." ma:contentTypeScope="" ma:versionID="44d9f4a8862967985a5a6aa52db14c15">
  <xsd:schema xmlns:xsd="http://www.w3.org/2001/XMLSchema" xmlns:xs="http://www.w3.org/2001/XMLSchema" xmlns:p="http://schemas.microsoft.com/office/2006/metadata/properties" xmlns:ns2="1e2d81ad-42d8-4469-9b82-b4267870dc6e" xmlns:ns3="49024463-383d-4d8f-b02f-143a985e8576" targetNamespace="http://schemas.microsoft.com/office/2006/metadata/properties" ma:root="true" ma:fieldsID="74b4bc2a82be5ff58fb0ff60d9541259" ns2:_="" ns3:_="">
    <xsd:import namespace="1e2d81ad-42d8-4469-9b82-b4267870dc6e"/>
    <xsd:import namespace="49024463-383d-4d8f-b02f-143a985e85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2d81ad-42d8-4469-9b82-b4267870dc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024463-383d-4d8f-b02f-143a985e857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ECD402-B46F-49A6-BCD1-EEE254693FEB}">
  <ds:schemaRefs>
    <ds:schemaRef ds:uri="http://schemas.openxmlformats.org/package/2006/metadata/core-properties"/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purl.org/dc/terms/"/>
    <ds:schemaRef ds:uri="49024463-383d-4d8f-b02f-143a985e8576"/>
    <ds:schemaRef ds:uri="1e2d81ad-42d8-4469-9b82-b4267870dc6e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00C618C-215A-40FB-AC2F-B5E7475733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D3C1CDC-9714-4617-B78A-59C4ABFE36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2d81ad-42d8-4469-9b82-b4267870dc6e"/>
    <ds:schemaRef ds:uri="49024463-383d-4d8f-b02f-143a985e85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XD</vt:lpstr>
      <vt:lpstr>WH</vt:lpstr>
      <vt:lpstr>Online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Apinya Kerdtong</dc:creator>
  <cp:keywords/>
  <dc:description/>
  <cp:lastModifiedBy>Apinya Kerdtong</cp:lastModifiedBy>
  <cp:revision/>
  <dcterms:created xsi:type="dcterms:W3CDTF">2023-11-10T03:08:00Z</dcterms:created>
  <dcterms:modified xsi:type="dcterms:W3CDTF">2026-06-17T02:27:38Z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0x010100D78F69B7AF436C4BB68BC8CA570314BC</vt:lpwstr>
  </property>
</Properties>
</file>